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himolde-my.sharepoint.com/personal/thjen0135_himolde_no/Documents/LOG650/Data/"/>
    </mc:Choice>
  </mc:AlternateContent>
  <xr:revisionPtr revIDLastSave="3" documentId="13_ncr:1_{8455F28C-2457-4FE2-BCF1-97E247A7E24D}" xr6:coauthVersionLast="47" xr6:coauthVersionMax="47" xr10:uidLastSave="{7F944D9A-5833-4F17-A17B-E814C0F546F0}"/>
  <bookViews>
    <workbookView xWindow="9510" yWindow="0" windowWidth="9780" windowHeight="10170" xr2:uid="{46299F58-029A-456E-A394-0986406C6311}"/>
  </bookViews>
  <sheets>
    <sheet name="MARD" sheetId="2" r:id="rId1"/>
    <sheet name="MDMA" sheetId="3" r:id="rId2"/>
    <sheet name="MARA" sheetId="4" r:id="rId3"/>
    <sheet name="MAKT" sheetId="5" r:id="rId4"/>
    <sheet name="MARC" sheetId="6" r:id="rId5"/>
    <sheet name="MBEW" sheetId="7" r:id="rId6"/>
    <sheet name="MSEG" sheetId="8" r:id="rId7"/>
    <sheet name="EKKO" sheetId="9" r:id="rId8"/>
    <sheet name="EKPO" sheetId="10" r:id="rId9"/>
    <sheet name="EKBE" sheetId="11" r:id="rId10"/>
    <sheet name="EINA_EINE" sheetId="12" r:id="rId11"/>
    <sheet name="T023T" sheetId="13" r:id="rId12"/>
    <sheet name="MASTERFILE" sheetId="14" r:id="rId13"/>
    <sheet name="KVALITETSRAPPORT" sheetId="15" r:id="rId14"/>
  </sheets>
  <externalReferences>
    <externalReference r:id="rId15"/>
  </externalReferences>
  <definedNames>
    <definedName name="_xlnm._FilterDatabase" localSheetId="10" hidden="1">EINA_EINE!$A$10:$C$10</definedName>
    <definedName name="_xlnm._FilterDatabase" localSheetId="9" hidden="1">EKBE!$A$10:$B$10</definedName>
    <definedName name="_xlnm._FilterDatabase" localSheetId="7" hidden="1">EKKO!$A$10:$A$13164</definedName>
    <definedName name="_xlnm._FilterDatabase" localSheetId="8" hidden="1">EKPO!$A$10:$D$10</definedName>
    <definedName name="_xlnm._FilterDatabase" localSheetId="13" hidden="1">KVALITETSRAPPORT!$A$10:$E$10</definedName>
    <definedName name="_xlnm._FilterDatabase" localSheetId="3" hidden="1">MAKT!$A$10:$B$10</definedName>
    <definedName name="_xlnm._FilterDatabase" localSheetId="2" hidden="1">MARA!$A$10:$D$10</definedName>
    <definedName name="_xlnm._FilterDatabase" localSheetId="4" hidden="1">MARC!$A$10:$B$10</definedName>
    <definedName name="_xlnm._FilterDatabase" localSheetId="0" hidden="1">MARD!$A$10:$R$10</definedName>
    <definedName name="_xlnm._FilterDatabase" localSheetId="12" hidden="1">MASTERFILE!$A$10:$U$10</definedName>
    <definedName name="_xlnm._FilterDatabase" localSheetId="5" hidden="1">MBEW!$A$10:$E$10</definedName>
    <definedName name="_xlnm._FilterDatabase" localSheetId="1" hidden="1">MDMA!$A$10:$Z$10</definedName>
    <definedName name="_xlnm._FilterDatabase" localSheetId="6" hidden="1">MSEG!$A$10:$AC$10</definedName>
    <definedName name="_xlnm._FilterDatabase" localSheetId="11" hidden="1">T023T!$A$10:$B$10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B4" i="2" s="1" a="1"/>
  <c r="B4" i="2" s="1"/>
  <c r="B18" i="15"/>
  <c r="E15" i="15"/>
  <c r="D15" i="15"/>
  <c r="C15" i="15"/>
  <c r="E14" i="15"/>
  <c r="D14" i="15"/>
  <c r="C14" i="15"/>
  <c r="E13" i="15"/>
  <c r="D13" i="15"/>
  <c r="C13" i="15"/>
  <c r="E12" i="15"/>
  <c r="D12" i="15"/>
  <c r="C12" i="15"/>
  <c r="E11" i="15"/>
  <c r="D11" i="15"/>
  <c r="C11" i="15"/>
  <c r="B15" i="15"/>
  <c r="B14" i="15"/>
  <c r="B13" i="15"/>
  <c r="B12" i="15"/>
  <c r="B11" i="15"/>
  <c r="B5" i="15"/>
  <c r="B4" i="15"/>
  <c r="B3" i="15"/>
  <c r="B8" i="14"/>
  <c r="B7" i="14"/>
  <c r="B6" i="14"/>
  <c r="B5" i="14"/>
  <c r="B3" i="14"/>
  <c r="B7" i="13" a="1"/>
  <c r="B7" i="13" s="1"/>
  <c r="B6" i="13" a="1"/>
  <c r="B6" i="13" s="1"/>
  <c r="B5" i="13" a="1"/>
  <c r="B5" i="13" s="1"/>
  <c r="B4" i="13"/>
  <c r="B8" i="12"/>
  <c r="B7" i="12"/>
  <c r="B6" i="6"/>
  <c r="B7" i="9"/>
  <c r="B6" i="9"/>
  <c r="B5" i="9"/>
  <c r="B4" i="9"/>
  <c r="B3" i="9"/>
  <c r="B8" i="8"/>
  <c r="B7" i="8"/>
  <c r="B6" i="8"/>
  <c r="B5" i="8"/>
  <c r="B4" i="8"/>
  <c r="B3" i="8"/>
  <c r="B8" i="7"/>
  <c r="B7" i="7"/>
  <c r="B6" i="7"/>
  <c r="B5" i="7"/>
  <c r="B4" i="7"/>
  <c r="B3" i="7"/>
  <c r="B8" i="5" a="1"/>
  <c r="B8" i="5" s="1"/>
  <c r="B7" i="5" a="1"/>
  <c r="B7" i="5" s="1"/>
  <c r="B6" i="5"/>
  <c r="B5" i="5" a="1"/>
  <c r="B5" i="5" s="1"/>
  <c r="B4" i="5"/>
  <c r="B3" i="5"/>
  <c r="B8" i="4"/>
  <c r="B6" i="4" a="1"/>
  <c r="B6" i="4" s="1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R1014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R1013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A1012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R1010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R1009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A1009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A1008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R1006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A1006" i="2"/>
  <c r="R1005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A1005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1000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992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990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988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981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980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974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973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972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969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968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961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956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948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945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944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942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941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934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931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927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916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908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903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902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898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896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892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891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888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887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882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880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879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874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871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870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866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855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850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846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845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837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830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828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823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820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816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813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812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811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809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807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803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801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795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793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792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791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789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785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784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783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781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777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775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772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771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768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764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762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761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760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757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756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754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753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747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743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738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734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726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722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710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707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706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703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702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699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691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690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682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679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678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671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667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663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662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659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658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654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652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651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648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647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646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639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632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629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621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620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617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614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612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609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606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605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604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602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601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600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598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596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594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589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588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586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585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584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582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578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577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576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574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564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562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558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556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549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548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545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544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541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540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538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537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525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524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521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520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517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516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513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512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509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503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502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499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498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497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496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495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494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492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489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482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481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474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472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470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469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468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465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462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461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457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454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453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452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450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448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446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444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442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441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440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438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436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430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426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425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424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417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416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409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408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406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R11" i="2"/>
  <c r="Q11" i="2"/>
  <c r="B5" i="2" s="1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B6" i="2" l="1"/>
  <c r="B7" i="2" a="1"/>
  <c r="B7" i="2" s="1"/>
  <c r="B3" i="2"/>
  <c r="B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<sst xmlns="http://schemas.openxmlformats.org/spreadsheetml/2006/main" count="20338" uniqueCount="3426">
  <si>
    <t>Totalt antall rader</t>
  </si>
  <si>
    <t>Unike MATNR totalt</t>
  </si>
  <si>
    <t>Aktive (TOTAL_STOCK &gt; 0)</t>
  </si>
  <si>
    <t>Inaktive (TOTAL_STOCK = 0)</t>
  </si>
  <si>
    <t>Unike aktive MATNR</t>
  </si>
  <si>
    <t>Material</t>
  </si>
  <si>
    <t>Fabrikk</t>
  </si>
  <si>
    <t>Lager</t>
  </si>
  <si>
    <t>Vedlikeholdsstatus</t>
  </si>
  <si>
    <t>Sl.merking lagernivå</t>
  </si>
  <si>
    <t>År innev. periode</t>
  </si>
  <si>
    <t>Inneværende periode</t>
  </si>
  <si>
    <t>Fritt disponibel (LABST)</t>
  </si>
  <si>
    <t>Sperret (EINME)</t>
  </si>
  <si>
    <t>Lagerbeholdning</t>
  </si>
  <si>
    <t>Lagerbeholdn. - f.å.</t>
  </si>
  <si>
    <t>Lageradresse</t>
  </si>
  <si>
    <t>Dato for siste LT</t>
  </si>
  <si>
    <t>Opprettingsdato</t>
  </si>
  <si>
    <t>MARDH-post</t>
  </si>
  <si>
    <t>Regnskapsår</t>
  </si>
  <si>
    <t>TOTAL_STOCK</t>
  </si>
  <si>
    <t>STATUS</t>
  </si>
  <si>
    <t>MANGLER</t>
  </si>
  <si>
    <t>X</t>
  </si>
  <si>
    <t>CcKrQhSd7z60wAFlkcW000</t>
  </si>
  <si>
    <t>3265356AB7271FD180E8A3EFBA680000</t>
  </si>
  <si>
    <t>HAUHIL</t>
  </si>
  <si>
    <t>D</t>
  </si>
  <si>
    <t>FX</t>
  </si>
  <si>
    <t>Z1</t>
  </si>
  <si>
    <t>3300_3001</t>
  </si>
  <si>
    <t>OK</t>
  </si>
  <si>
    <t>Kq5gb1rs7z2zfAzgLkeW00</t>
  </si>
  <si>
    <t>53416A941D761FD0BDA4AF6A56EA2000</t>
  </si>
  <si>
    <t>BiY9f}LK7z2{qIemy8N000</t>
  </si>
  <si>
    <t>2EC889A7F5541FD0BED12A30F085C000</t>
  </si>
  <si>
    <t>jIjokKAq7z2kthEqq28W00</t>
  </si>
  <si>
    <t>B52B72B942B41FD0AEDEB3B4D0222000</t>
  </si>
  <si>
    <t>RyE88LR47z2SwtfehNZDCG</t>
  </si>
  <si>
    <t>6FC3882156C41FD09CEB7A68AD78CD31</t>
  </si>
  <si>
    <t>ND</t>
  </si>
  <si>
    <t>RyE88LR47z2SwvgN2i}DCG</t>
  </si>
  <si>
    <t>6FC3882156C41FD09CEB9A970ACFCD31</t>
  </si>
  <si>
    <t>RyE88LR47z2SwvBaovujCG</t>
  </si>
  <si>
    <t>6FC3882156C41FD09CEB92E4CB9E2D31</t>
  </si>
  <si>
    <t>RyE88LR47z2SwuXwqc3jCG</t>
  </si>
  <si>
    <t>6FC3882156C41FD09CEB887AD260ED31</t>
  </si>
  <si>
    <t>8G5aTDIC7z2ew2I8QRU000</t>
  </si>
  <si>
    <t>21016474D48C1FD0A8E8248869B78000</t>
  </si>
  <si>
    <t>vNZXtEKo7z2JWcX}lp}UVW</t>
  </si>
  <si>
    <t>E578E1DCE5321FD09382687FBF3FDE7E</t>
  </si>
  <si>
    <t>ESYzBj}k7z2eW}Qde2TW00</t>
  </si>
  <si>
    <t>39C8BD2EDFEE1FD0A883F6A7A0276000</t>
  </si>
  <si>
    <t>eTP075G47{2IXnpFg2RgMW</t>
  </si>
  <si>
    <t>A1D6401C54041FE092871CCFA826EA5A</t>
  </si>
  <si>
    <t>KRGL</t>
  </si>
  <si>
    <t>vNZXtEKo7z2JWXLDlHzUVW</t>
  </si>
  <si>
    <t>E578E1DCE5321FD09382154DBD1F5E7E</t>
  </si>
  <si>
    <t>eTP075G47{2IXoCutY9BXG</t>
  </si>
  <si>
    <t>A1D6401C54041FE092872338DE224B85</t>
  </si>
  <si>
    <t>ESYzBj}k7z2eW{9977AW00</t>
  </si>
  <si>
    <t>39C8BD2EDFEE1FD0A883E2491C72A000</t>
  </si>
  <si>
    <t>ESYzBj}k7z2eWzjTMIiW00</t>
  </si>
  <si>
    <t>39C8BD2EDFEE1FD0A883DB5D592B2000</t>
  </si>
  <si>
    <t>ESYzBj}k7z2eW{eCCqF000</t>
  </si>
  <si>
    <t>39C8BD2EDFEE1FD0A883EA0C3343C000</t>
  </si>
  <si>
    <t>eTP075G47{2IXvUEmDWRwm</t>
  </si>
  <si>
    <t>A1D6401C54041FE09287978EC0D81BEB</t>
  </si>
  <si>
    <t>eTP075G47{2IXuyAwmQwS0</t>
  </si>
  <si>
    <t>A1D6401C54041FE092878F0AEB06BA70</t>
  </si>
  <si>
    <t>YB</t>
  </si>
  <si>
    <t>RyE88LR47z2Prrq58Veium</t>
  </si>
  <si>
    <t>6FC3882156C41FD099D75D0521FA2CE3</t>
  </si>
  <si>
    <t>RyE88LR47z2PrrPy9MKium</t>
  </si>
  <si>
    <t>6FC3882156C41FD099D7567C25652CE3</t>
  </si>
  <si>
    <t>RyE88LR47z2PrqxG0aDium</t>
  </si>
  <si>
    <t>6FC3882156C41FD099D74ED002436CE3</t>
  </si>
  <si>
    <t>O}zugJju7{2PsILlzx4KzW</t>
  </si>
  <si>
    <t>63FF78A93B781FE099D9256FF7B114F6</t>
  </si>
  <si>
    <t>vNZXtEKo7z2JWYx9tMkUVW</t>
  </si>
  <si>
    <t>E578E1DCE5321FD093822EC9DD6B9E7E</t>
  </si>
  <si>
    <t>vNZXtEKo7z2JWYUzjIT{VW</t>
  </si>
  <si>
    <t>E578E1DCE5321FD0938227BDB5277E7E</t>
  </si>
  <si>
    <t>vNZXtEKo7z2JWY7vPirUVW</t>
  </si>
  <si>
    <t>E578E1DCE5321FD0938221F966CD5E7E</t>
  </si>
  <si>
    <t>vNZXtEKo7z2JWa608O6UVW</t>
  </si>
  <si>
    <t>E578E1DCE5321FD09382418021819E7E</t>
  </si>
  <si>
    <t>vNZXtEKo7z2JWZi{YXiUVW</t>
  </si>
  <si>
    <t>E578E1DCE5321FD093823B3E8A1B1E7E</t>
  </si>
  <si>
    <t>vNZXtEKo7z2JWZIBor1UVW</t>
  </si>
  <si>
    <t>E578E1DCE5321FD09382348BCB505E7E</t>
  </si>
  <si>
    <t>RyE88LR47z2Pru0LsZtium</t>
  </si>
  <si>
    <t>6FC3882156C41FD099D78015DA3DECE3</t>
  </si>
  <si>
    <t>eTP075G47{2Gr0Vw3p54sW</t>
  </si>
  <si>
    <t>A1D6401C54041FE090D407FA0F3144DA</t>
  </si>
  <si>
    <t>6MMYJRC47z2GqxXqWs6Tj0</t>
  </si>
  <si>
    <t>1965A24DB3041FD090D3B87483619DB4</t>
  </si>
  <si>
    <t>6MMYJRC47z2Gqiicpx84ZG</t>
  </si>
  <si>
    <t>1965A24DB3041FD090D2CB26CFB2048D</t>
  </si>
  <si>
    <t>6MMYJRC47z2GqhQ1TdE390</t>
  </si>
  <si>
    <t>1965A24DB3041FD090D2B68176738324</t>
  </si>
  <si>
    <t>6MMYJRC47z2Gqgh3OXR2H0</t>
  </si>
  <si>
    <t>1965A24DB3041FD090D2AAC36216C244</t>
  </si>
  <si>
    <t>eTP075G47{2IXmvlejyeum</t>
  </si>
  <si>
    <t>A1D6401C54041FE092870E6FA2DF28E3</t>
  </si>
  <si>
    <t>eTP075G47{2IXm2bPtu7AW</t>
  </si>
  <si>
    <t>A1D6401C54041FE0928700A5677E072A</t>
  </si>
  <si>
    <t>RyE88LR47z2PrqE5172Cum</t>
  </si>
  <si>
    <t>6FC3882156C41FD099D7438504708CE3</t>
  </si>
  <si>
    <t>RyE88LR47z2PrpbYTrdium</t>
  </si>
  <si>
    <t>6FC3882156C41FD099D739627759ECE3</t>
  </si>
  <si>
    <t>vNZXtEKo7z2JWawIE0CUVW</t>
  </si>
  <si>
    <t>E578E1DCE5321FD093824E9238031E7E</t>
  </si>
  <si>
    <t>RyE88LR47z2PrsHt1upCum</t>
  </si>
  <si>
    <t>6FC3882156C41FD099D76477078CCCE3</t>
  </si>
  <si>
    <t>O}zugJju7{2PsHuJSkzqzW</t>
  </si>
  <si>
    <t>63FF78A93B781FE099D91E1372EF74F6</t>
  </si>
  <si>
    <t>eTP075G47z2IXx421oLWCW</t>
  </si>
  <si>
    <t>A1D6401C54041FD09287B10207256032</t>
  </si>
  <si>
    <t>8G5aTDIC7z2cXUs{Uxc000</t>
  </si>
  <si>
    <t>21016474D48C1FD0A685EDBE7BB98000</t>
  </si>
  <si>
    <t>8G5aTDIC7z2cXUbcmdm000</t>
  </si>
  <si>
    <t>21016474D48C1FD0A685E966C27C0000</t>
  </si>
  <si>
    <t>eTP075G47z2IXy1PwcNa0m</t>
  </si>
  <si>
    <t>A1D6401C54041FD09287C059EA65E403</t>
  </si>
  <si>
    <t>eTP075G47{2IXqqfrq6m}W</t>
  </si>
  <si>
    <t>A1D6401C54041FE092874D29D741B0FE</t>
  </si>
  <si>
    <t>eTP075G47{2IXqJ6FhXFoG</t>
  </si>
  <si>
    <t>A1D6401C54041FE0928744C63EB84FC9</t>
  </si>
  <si>
    <t>eTP075G47{2IXwGoEiNTKG</t>
  </si>
  <si>
    <t>A1D6401C54041FE09287A4323AC5DD51</t>
  </si>
  <si>
    <t>THOJEN</t>
  </si>
  <si>
    <t>eTP075G47{2IXp7eFiYDb0</t>
  </si>
  <si>
    <t>A1D6401C54041FE0928731E83EC88D94</t>
  </si>
  <si>
    <t>eTP075G47{2IXl7VG}45Am</t>
  </si>
  <si>
    <t>A1D6401C54041FE09286F1DF43F1052B</t>
  </si>
  <si>
    <t>eTP075G47{2IXtkoqqZNO0</t>
  </si>
  <si>
    <t>A1D6401C54041FE092877BB2D348D760</t>
  </si>
  <si>
    <t>6MMYJRC47k{gc4ZtTPVtn0</t>
  </si>
  <si>
    <t>1965A24DB3041EEFAA9848F77597F7C4</t>
  </si>
  <si>
    <t>Y</t>
  </si>
  <si>
    <t>eTP075G47k{Ef5GhC6c{WW</t>
  </si>
  <si>
    <t>A1D6401C54041EEF8EA4542B3069BE82</t>
  </si>
  <si>
    <t>eTP075G47k{Ef4WjL06yYG</t>
  </si>
  <si>
    <t>A1D6401C54041EEF8EA4482D5401BC89</t>
  </si>
  <si>
    <t>6MMYJRC47k{MaUdrpfkcgW</t>
  </si>
  <si>
    <t>1965A24DB3041EEF9691E9F5CE9BA6AA</t>
  </si>
  <si>
    <t>eTP075G47j{EeCK3YnsX2m</t>
  </si>
  <si>
    <t>A1D6401C54041EDF8EA0C5038B1DA10B</t>
  </si>
  <si>
    <t>eTP075G47k{Ee6kFQNqmn0</t>
  </si>
  <si>
    <t>A1D6401C54041EEF8EA06B8F697D30C4</t>
  </si>
  <si>
    <t>lObs60547k{WhslqTT4w0W</t>
  </si>
  <si>
    <t>BD89761801441EEFA0AF6BF475D13A02</t>
  </si>
  <si>
    <t>eTP075G47k{9uA4qXgEls0</t>
  </si>
  <si>
    <t>A1D6401C54041EEF89E0A13486A3AFD8</t>
  </si>
  <si>
    <t>lObs60547j{WgIExCOf1FG</t>
  </si>
  <si>
    <t>BD89761801441EDFA0A923BB318A413D</t>
  </si>
  <si>
    <t>eTP075G47k{9u9JBfUrj{W</t>
  </si>
  <si>
    <t>A1D6401C54041EEF89E094CBA5ED6DFA</t>
  </si>
  <si>
    <t>lObs60547j{WgHOXhq6WRG</t>
  </si>
  <si>
    <t>BD89761801441EDFA0A91621AF41A06D</t>
  </si>
  <si>
    <t>eTP075G47k{9u8BYYlnBfm</t>
  </si>
  <si>
    <t>A1D6401C54041EEF89E082E28AFC4BA7</t>
  </si>
  <si>
    <t>eTP075G47k{9u7CwVPNf1G</t>
  </si>
  <si>
    <t>A1D6401C54041EEF89E0733A7D95E905</t>
  </si>
  <si>
    <t>ERLI</t>
  </si>
  <si>
    <t>eTP075G47j{9u2NR7napi0</t>
  </si>
  <si>
    <t>A1D6401C54041EDF89E025DB1F1933B0</t>
  </si>
  <si>
    <t>6MMYJRC47k{OYuoIJs{9vm</t>
  </si>
  <si>
    <t>1965A24DB3041EEF988B8C924F6F89E7</t>
  </si>
  <si>
    <t>6MMYJRC47k{OYthXgzZ6tm</t>
  </si>
  <si>
    <t>1965A24DB3041EEF988B7AE1ABD8C6DF</t>
  </si>
  <si>
    <t>6MMYJRC47k{Mmyn8ils69W</t>
  </si>
  <si>
    <t>1965A24DB3041EEF96C3CC48B2FD8626</t>
  </si>
  <si>
    <t>eTP075G47j{9u1Tq7V}Hrm</t>
  </si>
  <si>
    <t>A1D6401C54041EDF89E017741DFFD1D7</t>
  </si>
  <si>
    <t>6MMYJRC47k{MmxmR6OWaBW</t>
  </si>
  <si>
    <t>1965A24DB3041EEF96C3BC1B1988242E</t>
  </si>
  <si>
    <t>lObs60547k{BnhQcbBexKW</t>
  </si>
  <si>
    <t>BD89761801441EEF8BC6B6A694BA3B52</t>
  </si>
  <si>
    <t>eTP075G47j{hn3JFARER2G</t>
  </si>
  <si>
    <t>A1D6401C54041EDFABC434CF29B39B09</t>
  </si>
  <si>
    <t>lObs60547k{Bngbj2yCul0</t>
  </si>
  <si>
    <t>BD89761801441EEF8BC6A96D0BC338BC</t>
  </si>
  <si>
    <t>eTP075G47j{hn2mL6k{wAm</t>
  </si>
  <si>
    <t>A1D6401C54041EDFABC42C151AEFBA2B</t>
  </si>
  <si>
    <t>lObs60547k{BneUTqV2Kg0</t>
  </si>
  <si>
    <t>BD89761801441EEF8BC6879DD1F094A8</t>
  </si>
  <si>
    <t>6MMYJRC47j{MmuZaOkTUgW</t>
  </si>
  <si>
    <t>1965A24DB3041EDF96C388E462E75EAA</t>
  </si>
  <si>
    <t>eTP075G47k{Br}ksxt6WoW</t>
  </si>
  <si>
    <t>A1D6401C54041EEF8BD7FBB6EF71A0CA</t>
  </si>
  <si>
    <t>hq2rceZ57j{8iQXvgsT9HW</t>
  </si>
  <si>
    <t>AF40B59A88C51EDF88B1A879AB674946</t>
  </si>
  <si>
    <t>hq2rceZ57j{8iPAFQR0biG</t>
  </si>
  <si>
    <t>AF40B59A88C51EDF88B1928F69B025B1</t>
  </si>
  <si>
    <t>DYTyeTO27kwvk6AH9i3rmG</t>
  </si>
  <si>
    <t>36277CA1D6021EEEB9B8629126C0F5C1</t>
  </si>
  <si>
    <t>ABKJ</t>
  </si>
  <si>
    <t>eTP075G47j{hn0eZfXesW0</t>
  </si>
  <si>
    <t>A1D6401C54041EDFABC40A23A61A3680</t>
  </si>
  <si>
    <t>eTP075G47j{hn07Z0uKrt0</t>
  </si>
  <si>
    <t>A1D6401C54041EDFABC401E3038535DC</t>
  </si>
  <si>
    <t>eTP075G47j{Aa}TQTKeAxG</t>
  </si>
  <si>
    <t>A1D6401C54041EDF8A93F75A754A0AED</t>
  </si>
  <si>
    <t>6MMYJRC47k{OYsN6L4p3{W</t>
  </si>
  <si>
    <t>1965A24DB3041EEF988B65C6544CC3FA</t>
  </si>
  <si>
    <t>eTP075G47j{AayXeK3PZbW</t>
  </si>
  <si>
    <t>A1D6401C54041EDF8A93C86850366396</t>
  </si>
  <si>
    <t>6MMYJRC47k{MmwXLoefY1G</t>
  </si>
  <si>
    <t>1965A24DB3041EEF96C3A855CA8A6205</t>
  </si>
  <si>
    <t>eTP075G47j{hmz{FXvVoHG</t>
  </si>
  <si>
    <t>A1D6401C54041EDFABC3DF8F8797F245</t>
  </si>
  <si>
    <t>hq2rceZ57j{8iS}XgCelJG</t>
  </si>
  <si>
    <t>AF40B59A88C51EDF88B1CFE1A8CA2F4D</t>
  </si>
  <si>
    <t>DYTyeTO27kwra2i8VLere0</t>
  </si>
  <si>
    <t>36277CA1D6021EEEB5902B087D5A35A0</t>
  </si>
  <si>
    <t>DYTyeTO27kwklUsnfsBLNm</t>
  </si>
  <si>
    <t>36277CA1D6021EEEAEBDEDB1A762D55F</t>
  </si>
  <si>
    <t>DYTn7wC67jwgzJLom8WC70</t>
  </si>
  <si>
    <t>3627711FA3061EDEAAF53572C0880C1C</t>
  </si>
  <si>
    <t>DYTn7wC67jwgzIay0{yC70</t>
  </si>
  <si>
    <t>3627711FA3061EDEAAF5293C03EF0C1C</t>
  </si>
  <si>
    <t>DYTn7wC67jwgzHsJzl8i70</t>
  </si>
  <si>
    <t>3627711FA3061EDEAAF51D93F6F22C1C</t>
  </si>
  <si>
    <t>DYTn7wC67jwgzH7C0vsC70</t>
  </si>
  <si>
    <t>3627711FA3061EDEAAF511CC039D8C1C</t>
  </si>
  <si>
    <t>DYTn7wC67jwgtYVQztOC70</t>
  </si>
  <si>
    <t>3627711FA3061EDEAADE27DAF7760C1C</t>
  </si>
  <si>
    <t>DYTn7wC67jwgzGbPlzNi70</t>
  </si>
  <si>
    <t>3627711FA3061EDEAAF50959BFD5EC1C</t>
  </si>
  <si>
    <t>DYTn7wC67jwgzG2EfyQi70</t>
  </si>
  <si>
    <t>3627711FA3061EDEAAF5008EA7C6AC1C</t>
  </si>
  <si>
    <t>DYTn7wC67jwgzFQH2UJi70</t>
  </si>
  <si>
    <t>3627711FA3061EDEAAF4F69109E4EC1C</t>
  </si>
  <si>
    <t>ANDSIS</t>
  </si>
  <si>
    <t>DYTn7wC67jwgzEhEVYci70</t>
  </si>
  <si>
    <t>3627711FA3061EDEAAF4EACE7E29AC1C</t>
  </si>
  <si>
    <t>DYTn7wC67jwgzDx7WqBi70</t>
  </si>
  <si>
    <t>3627711FA3061EDEAAF4DEC78342EC1C</t>
  </si>
  <si>
    <t>DYTn7wC67jwgzCmCKbri70</t>
  </si>
  <si>
    <t>3627711FA3061EDEAAF4CC0C525D6C1C</t>
  </si>
  <si>
    <t>DYTn7wC67jwgzC10o{Xi70</t>
  </si>
  <si>
    <t>3627711FA3061EDEAAF4C040CBE86C1C</t>
  </si>
  <si>
    <t>DYTyeTO27kwrgeCv51pLeW</t>
  </si>
  <si>
    <t>36277CA1D6021EEEB5AA8339141CD5A2</t>
  </si>
  <si>
    <t>ZI</t>
  </si>
  <si>
    <t>DYTyeTO27kwfbb4T7nHrFW</t>
  </si>
  <si>
    <t>36277CA1D6021EEEA996511D1F14753E</t>
  </si>
  <si>
    <t>DYTyeTO27kwfbaSc7h8rFW</t>
  </si>
  <si>
    <t>36277CA1D6021EEEA99647261EB2353E</t>
  </si>
  <si>
    <t>DYTyeTO27kwfbZmLjCwrFW</t>
  </si>
  <si>
    <t>36277CA1D6021EEEA9963C15B4CEB53E</t>
  </si>
  <si>
    <t>DYTyeTO27kwVnOs7Gc5L20</t>
  </si>
  <si>
    <t>36277CA1D6021EEE9FC58D8742615508</t>
  </si>
  <si>
    <t>DYTyeTO27kwVnPzq9vZL20</t>
  </si>
  <si>
    <t>36277CA1D6021EEE9FC59F742798D508</t>
  </si>
  <si>
    <t>C</t>
  </si>
  <si>
    <t>DYTyeTOA7kwLsqPQL8Z}3W</t>
  </si>
  <si>
    <t>36277CA1D60A1EEE95DB465A5488FF0E</t>
  </si>
  <si>
    <t>6MMYJRC47j{Mml{v1KyhDm</t>
  </si>
  <si>
    <t>1965A24DB3041EDF96C2FFB9054F2B37</t>
  </si>
  <si>
    <t>eTP075G47j{Aa{Slec792G</t>
  </si>
  <si>
    <t>A1D6401C54041EDF8A93E72FA261C909</t>
  </si>
  <si>
    <t>DYTyeTOA7kw7uWqqMHlpKm</t>
  </si>
  <si>
    <t>36277CA1D60A1EEE87E20D34591BF353</t>
  </si>
  <si>
    <t>DYTyeTOA7kw7uWOefxGkeG</t>
  </si>
  <si>
    <t>36277CA1D60A1EEE87E20628A7B42EA1</t>
  </si>
  <si>
    <t>eTP075G47j{hmzLodfyHNm</t>
  </si>
  <si>
    <t>A1D6401C54041EDFABC3D5729E9F115F</t>
  </si>
  <si>
    <t>A</t>
  </si>
  <si>
    <t>DYTn7wC67jw8ny3SOQjzuG</t>
  </si>
  <si>
    <t>3627711FA3061EDE88C7C0DC61AB7DE1</t>
  </si>
  <si>
    <t>ZJ</t>
  </si>
  <si>
    <t>DYTn7wC67ksZiymmYqRyH0</t>
  </si>
  <si>
    <t>3627711FA3061EEDA3B3CC308B46FC44</t>
  </si>
  <si>
    <t>ARTJUZ</t>
  </si>
  <si>
    <t>DYTn7wC67ksZixZDKsLJPm</t>
  </si>
  <si>
    <t>3627711FA3061EEDA3B3B8CD53655367</t>
  </si>
  <si>
    <t>DYTyeTOA7ksaoPjueQqypG</t>
  </si>
  <si>
    <t>36277CA1D60A1EEDA4C99B78A1AD3CCD</t>
  </si>
  <si>
    <t>NILSCH</t>
  </si>
  <si>
    <t>DYTyeTOA7jsaoQacGJCYkG</t>
  </si>
  <si>
    <t>36277CA1D60A1EDDA4C9A926413322B9</t>
  </si>
  <si>
    <t>DYTyeTOA7jsaoRYfjgUhDW</t>
  </si>
  <si>
    <t>36277CA1D60A1EDDA4C9B8A9B6A7AB36</t>
  </si>
  <si>
    <t>DYTyeTOA7jsaoSKBEvyn1W</t>
  </si>
  <si>
    <t>36277CA1D60A1EDDA4C9C50B3B9F3106</t>
  </si>
  <si>
    <t>B</t>
  </si>
  <si>
    <t>DYTyeTOA7jsaoTuitNmOam</t>
  </si>
  <si>
    <t>36277CA1D60A1EDDA4C9DE2CDD7C1893</t>
  </si>
  <si>
    <t>DYTyeTOA7jsaoTFxFelrKW</t>
  </si>
  <si>
    <t>36277CA1D60A1EDDA4C9D3FB3E8BF552</t>
  </si>
  <si>
    <t>DYTyeTOA7jsZjhLk4d7dXW</t>
  </si>
  <si>
    <t>36277CA1D60A1EDDA3B6B56E1271E786</t>
  </si>
  <si>
    <t>DYTyeTOA7ksZcyQea9{jg0</t>
  </si>
  <si>
    <t>36277CA1D60A1EEDA39BC6A8909FADA8</t>
  </si>
  <si>
    <t>DYTyeTOA7jsZcti}TlMkSG</t>
  </si>
  <si>
    <t>36277CA1D60A1EDDA39B7B3F76F5AE71</t>
  </si>
  <si>
    <t>DYTyeTOA7jsZjhpVfYdfZG</t>
  </si>
  <si>
    <t>36277CA1D60A1EDDA3B6BCDFA629E98D</t>
  </si>
  <si>
    <t>DYTyeTOA7ksaoWGNblL6Pm</t>
  </si>
  <si>
    <t>36277CA1D60A1EEDA4CA041796F54667</t>
  </si>
  <si>
    <t>DYTyeTOA7ksaoX07ioYfE0</t>
  </si>
  <si>
    <t>36277CA1D60A1EEDA4CA1007B328A938</t>
  </si>
  <si>
    <t>DYTyeTOA7ksWffEdhWrrn0</t>
  </si>
  <si>
    <t>36277CA1D60A1EEDA0A693A7AE0D75C4</t>
  </si>
  <si>
    <t>DYTn7wC67ksKwpc5cnO}9G</t>
  </si>
  <si>
    <t>3627711FA3061EED94EB39859B163F25</t>
  </si>
  <si>
    <t>DYTn7wC67ksIZa4C0dZaAG</t>
  </si>
  <si>
    <t>3627711FA3061EED928E410C0278E429</t>
  </si>
  <si>
    <t>DYTyeTOA7ks6ZKOB9LPhrW</t>
  </si>
  <si>
    <t>36277CA1D60A1EED868D460B25566BD6</t>
  </si>
  <si>
    <t>DYTn7wC67koYiCZTStZN5G</t>
  </si>
  <si>
    <t>3627711FA3061EECA2B0C8DD7378D715</t>
  </si>
  <si>
    <t>EVST</t>
  </si>
  <si>
    <t>DYTn7wC67koYiEzJ21ctc0</t>
  </si>
  <si>
    <t>3627711FA3061EECA2B0EF530819B798</t>
  </si>
  <si>
    <t>DYTn7wC67koYiDmQeTatUG</t>
  </si>
  <si>
    <t>3627711FA3061EECA2B0DC1AA1D93779</t>
  </si>
  <si>
    <t>DYTyeTOA7joZhHhnuazubm</t>
  </si>
  <si>
    <t>36277CA1D60A1EDCA3AD1AF1E24F7897</t>
  </si>
  <si>
    <t>DYTn7wC67joZhFZLe{LWTW</t>
  </si>
  <si>
    <t>3627711FA3061EDCA3ACF8D5A3E56076</t>
  </si>
  <si>
    <t>DYTn7wC67koYiGEUvMBu7G</t>
  </si>
  <si>
    <t>3627711FA3061EECA2B1039EE562F81D</t>
  </si>
  <si>
    <t>DYTyeTOA7joZhIQ346EOdW</t>
  </si>
  <si>
    <t>36277CA1D60A1EDCA3AD26831063989E</t>
  </si>
  <si>
    <t>DYTn7wC67koWwYeL3fVVkm</t>
  </si>
  <si>
    <t>3627711FA3061EECA0EA2A150E97DFBB</t>
  </si>
  <si>
    <t>DYTn7wC67koWwY1fwNMVhW</t>
  </si>
  <si>
    <t>3627711FA3061EECA0EA2069E9759FAE</t>
  </si>
  <si>
    <t>DYTn7wC67koWwXj4XIz}fm</t>
  </si>
  <si>
    <t>3627711FA3061EECA0EA1B44852F7FA7</t>
  </si>
  <si>
    <t>1,00</t>
  </si>
  <si>
    <t>DYTn7wC67joGnuc8ugcQ3W</t>
  </si>
  <si>
    <t>3627711FA3061EDC90C78988E2A99A0E</t>
  </si>
  <si>
    <t>DYTyeTOA7jo9ylt{MF09WW</t>
  </si>
  <si>
    <t>36277CA1D60A1EDC89F2FDFE58F00982</t>
  </si>
  <si>
    <t>DYTyeTOA7jo9ylt{MEx9WW</t>
  </si>
  <si>
    <t>36277CA1D60A1EDC89F2FDFE58EEC982</t>
  </si>
  <si>
    <t>DYTyeTOA7jo9ylt{MEufWW</t>
  </si>
  <si>
    <t>36277CA1D60A1EDC89F2FDFE58EE2982</t>
  </si>
  <si>
    <t>DYTyeTOA7jo9ylt{MEn9WW</t>
  </si>
  <si>
    <t>36277CA1D60A1EDC89F2FDFE58EC4982</t>
  </si>
  <si>
    <t>DYTyeTOA7jo9ylt{MEkfWW</t>
  </si>
  <si>
    <t>36277CA1D60A1EDC89F2FDFE58EBA982</t>
  </si>
  <si>
    <t>DYTyeTOA7ko8kZ2}y0ePqm</t>
  </si>
  <si>
    <t>36277CA1D60A1EEC88BA30BFF00A19D3</t>
  </si>
  <si>
    <t>DYTyeTOA7ko7s8UuJECqKW</t>
  </si>
  <si>
    <t>36277CA1D60A1EEC87D887B84CE33452</t>
  </si>
  <si>
    <t>DYTn7wC67ksTtQH6EQkBRG</t>
  </si>
  <si>
    <t>3627711FA3061EED9DDDA44639AB8B6D</t>
  </si>
  <si>
    <t>DYTn7wC67ksUyZQ{9trbp0</t>
  </si>
  <si>
    <t>3627711FA3061EED9EF236BE277D65CC</t>
  </si>
  <si>
    <t>DYTn7wC67jwDwBpqSblZo0</t>
  </si>
  <si>
    <t>3627711FA3061EDE8DE8BCF4725BE3C8</t>
  </si>
  <si>
    <t>DYTn7wC67ksTtRc}N0uMi0</t>
  </si>
  <si>
    <t>3627711FA3061EED9DDDB9BF5C0E16B0</t>
  </si>
  <si>
    <t>DYTyeTO27kwra59UDR5re0</t>
  </si>
  <si>
    <t>36277CA1D6021EEEB590525E35B175A0</t>
  </si>
  <si>
    <t>eTP075G47z2GY0Xn4JjGWG</t>
  </si>
  <si>
    <t>A1D6401C54041FD090880871113B5081</t>
  </si>
  <si>
    <t>DYTyeTO27kwhll0tOfjLIG</t>
  </si>
  <si>
    <t>36277CA1D6021EEEABBEF037629B5549</t>
  </si>
  <si>
    <t>DYTyeTO27kwhljwxTcILIG</t>
  </si>
  <si>
    <t>36277CA1D6021EEEABBEDEBB76649549</t>
  </si>
  <si>
    <t>DYTyeTO27kw{}DnejYIrwW</t>
  </si>
  <si>
    <t>36277CA1D6021EEEBEFCDC68B624B5EA</t>
  </si>
  <si>
    <t>RIASUM</t>
  </si>
  <si>
    <t>DYTyeTOA7jo7ffn2vFXHIG</t>
  </si>
  <si>
    <t>36277CA1D60A1EDC87A69C42E4F85149</t>
  </si>
  <si>
    <t>KOVE</t>
  </si>
  <si>
    <t>DYTyeTOA7jo7ffn2vFNHIG</t>
  </si>
  <si>
    <t>36277CA1D60A1EDC87A69C42E4F5D149</t>
  </si>
  <si>
    <t>DYTyeTOA7jo7ffn2vFKnIG</t>
  </si>
  <si>
    <t>36277CA1D60A1EDC87A69C42E4F53149</t>
  </si>
  <si>
    <t>DYTyeTOA7jo7ffmSuuhHIG</t>
  </si>
  <si>
    <t>36277CA1D60A1EDC87A69C1CE38AD149</t>
  </si>
  <si>
    <t>DYTyeTOA7jo7ffmSuuZnIG</t>
  </si>
  <si>
    <t>36277CA1D60A1EDC87A69C1CE388F149</t>
  </si>
  <si>
    <t>DYTyeTOA7jo7ffmSuuSHIG</t>
  </si>
  <si>
    <t>36277CA1D60A1EDC87A69C1CE3871149</t>
  </si>
  <si>
    <t>DYTyeTOA7jo7ffmSuuPnIG</t>
  </si>
  <si>
    <t>36277CA1D60A1EDC87A69C1CE3867149</t>
  </si>
  <si>
    <t>LINHAL</t>
  </si>
  <si>
    <t>DYTyeTOA7jo7ffmSuuNHIG</t>
  </si>
  <si>
    <t>36277CA1D60A1EDC87A69C1CE385D149</t>
  </si>
  <si>
    <t>HEIDI</t>
  </si>
  <si>
    <t>DYTyeTOA7jo7h5j2IHZK}0</t>
  </si>
  <si>
    <t>36277CA1D60A1EDC87AC5B424918D4FC</t>
  </si>
  <si>
    <t>DYTyeTOA7jo7ffmSuuKnIG</t>
  </si>
  <si>
    <t>36277CA1D60A1EDC87A69C1CE3853149</t>
  </si>
  <si>
    <t>DYTyeTOA7jo7ffmSuuIHIG</t>
  </si>
  <si>
    <t>36277CA1D60A1EDC87A69C1CE3849149</t>
  </si>
  <si>
    <t>DYTyeTOA7jo7ffmSuuFnIG</t>
  </si>
  <si>
    <t>36277CA1D60A1EDC87A69C1CE383F149</t>
  </si>
  <si>
    <t>DYTyeTOA7jo7ffmSuuDHIG</t>
  </si>
  <si>
    <t>36277CA1D60A1EDC87A69C1CE3835149</t>
  </si>
  <si>
    <t>DYTyeTOA7jo7ffmSuuAnIG</t>
  </si>
  <si>
    <t>36277CA1D60A1EDC87A69C1CE382B149</t>
  </si>
  <si>
    <t>DYTyeTOA7jo7ffmSuu8HIG</t>
  </si>
  <si>
    <t>36277CA1D60A1EDC87A69C1CE3821149</t>
  </si>
  <si>
    <t>DYTyeTOA7jo7fflsdvenIG</t>
  </si>
  <si>
    <t>36277CA1D60A1EDC87A69BF69F9A3149</t>
  </si>
  <si>
    <t>DYTyeTOA7jo7fflsdvZnIG</t>
  </si>
  <si>
    <t>36277CA1D60A1EDC87A69BF69F98F149</t>
  </si>
  <si>
    <t>DYTyeTOA7jo7fflsdvSHIG</t>
  </si>
  <si>
    <t>36277CA1D60A1EDC87A69BF69F971149</t>
  </si>
  <si>
    <t>DYTyeTOA7jo7fflsdv3HIG</t>
  </si>
  <si>
    <t>36277CA1D60A1EDC87A69BF69F90D149</t>
  </si>
  <si>
    <t>DYTyeTOA7jo7fflGpqOnIG</t>
  </si>
  <si>
    <t>36277CA1D60A1EDC87A69BD0CF463149</t>
  </si>
  <si>
    <t>DYTyeTOA7jo7fflGpqMHIG</t>
  </si>
  <si>
    <t>36277CA1D60A1EDC87A69BD0CF459149</t>
  </si>
  <si>
    <t>DYTyeTOA7jo7fflGpqJnIG</t>
  </si>
  <si>
    <t>36277CA1D60A1EDC87A69BD0CF44F149</t>
  </si>
  <si>
    <t>DYTyeTOA7jo7fflGpppHIG</t>
  </si>
  <si>
    <t>36277CA1D60A1EDC87A69BD0CF3CD149</t>
  </si>
  <si>
    <t>DYTyeTOA7jo7ffkgELinIG</t>
  </si>
  <si>
    <t>36277CA1D60A1EDC87A69BAA395B3149</t>
  </si>
  <si>
    <t>DYTyeTOA7jo7ffkgELgHIG</t>
  </si>
  <si>
    <t>36277CA1D60A1EDC87A69BAA395A9149</t>
  </si>
  <si>
    <t>DYTyeTOA7jo7ffkgELJnIG</t>
  </si>
  <si>
    <t>36277CA1D60A1EDC87A69BAA3954F149</t>
  </si>
  <si>
    <t>DYTyeTOA7jo7ffkgEL3nIG</t>
  </si>
  <si>
    <t>36277CA1D60A1EDC87A69BAA3950F149</t>
  </si>
  <si>
    <t>DYTyeTOA7jo7ffk4E56HIG</t>
  </si>
  <si>
    <t>36277CA1D60A1EDC87A69B8438519149</t>
  </si>
  <si>
    <t>DYTyeTOA7jo7ffk4E4{nIG</t>
  </si>
  <si>
    <t>36277CA1D60A1EDC87A69B84384FB149</t>
  </si>
  <si>
    <t>DYTyeTOA7jo7ffk4E4tHIG</t>
  </si>
  <si>
    <t>36277CA1D60A1EDC87A69B84384DD149</t>
  </si>
  <si>
    <t>DYTyeTOA7jo7ffk4E4qnIG</t>
  </si>
  <si>
    <t>36277CA1D60A1EDC87A69B84384D3149</t>
  </si>
  <si>
    <t>DYTyeTOA7jo7ffk4E4lnIG</t>
  </si>
  <si>
    <t>36277CA1D60A1EDC87A69B84384BF149</t>
  </si>
  <si>
    <t>DP</t>
  </si>
  <si>
    <t>DYTyeTOA7jo7ffjTvGXnIG</t>
  </si>
  <si>
    <t>36277CA1D60A1EDC87A69B5DE5087149</t>
  </si>
  <si>
    <t>DYTyeTOA7jo7ffjTvGSnIG</t>
  </si>
  <si>
    <t>36277CA1D60A1EDC87A69B5DE5073149</t>
  </si>
  <si>
    <t>eTP075G47{2Gr06LTvd47W</t>
  </si>
  <si>
    <t>A1D6401C54041FE090D401957799C41E</t>
  </si>
  <si>
    <t>DYTyeTOA7jo7ffjTvGNnIG</t>
  </si>
  <si>
    <t>36277CA1D60A1EDC87A69B5DE505F149</t>
  </si>
  <si>
    <t>DYTyeTOA7jo7ffjTvGLHIG</t>
  </si>
  <si>
    <t>36277CA1D60A1EDC87A69B5DE5055149</t>
  </si>
  <si>
    <t>DYTn7wC67jwgtWlx1KJi70</t>
  </si>
  <si>
    <t>3627711FA3061EDEAADE0BFB0544EC1C</t>
  </si>
  <si>
    <t>DYTyeTOA7jo7ffjTvG6HIG</t>
  </si>
  <si>
    <t>36277CA1D60A1EDC87A69B5DE5019149</t>
  </si>
  <si>
    <t>DYTyeTOA7jo7ffjTvG3nIG</t>
  </si>
  <si>
    <t>36277CA1D60A1EDC87A69B5DE500F149</t>
  </si>
  <si>
    <t>DYTyeTOA7jo7ffjTvG1HIG</t>
  </si>
  <si>
    <t>36277CA1D60A1EDC87A69B5DE5005149</t>
  </si>
  <si>
    <t>DYTyeTOA7jo7ffjTvFtHIG</t>
  </si>
  <si>
    <t>36277CA1D60A1EDC87A69B5DE4FDD149</t>
  </si>
  <si>
    <t>DYTyeTOA7jo7ffjTvFqnIG</t>
  </si>
  <si>
    <t>36277CA1D60A1EDC87A69B5DE4FD3149</t>
  </si>
  <si>
    <t>DYTyeTOA7jo7ffjTvFoHIG</t>
  </si>
  <si>
    <t>36277CA1D60A1EDC87A69B5DE4FC9149</t>
  </si>
  <si>
    <t>DYTyeTOA7jo7ffjTvFgnIG</t>
  </si>
  <si>
    <t>36277CA1D60A1EDC87A69B5DE4FAB149</t>
  </si>
  <si>
    <t>DYTyeTOA7jo7ffjTvFbnIG</t>
  </si>
  <si>
    <t>36277CA1D60A1EDC87A69B5DE4F97149</t>
  </si>
  <si>
    <t>DYTyeTOA7jo7ffjTvFZHIG</t>
  </si>
  <si>
    <t>36277CA1D60A1EDC87A69B5DE4F8D149</t>
  </si>
  <si>
    <t>DYTyeTOA7jo7ffithKHHIG</t>
  </si>
  <si>
    <t>36277CA1D60A1EDC87A69B37AD445149</t>
  </si>
  <si>
    <t>DYTyeTOA7jo7ffithJpHIG</t>
  </si>
  <si>
    <t>36277CA1D60A1EDC87A69B37AD3CD149</t>
  </si>
  <si>
    <t>DYTn7wC67jwVZVi4zPOC4m</t>
  </si>
  <si>
    <t>3627711FA3061EDE9F8DFB04F5960C13</t>
  </si>
  <si>
    <t>DYTn7wC67jwVZVI4tiOi4m</t>
  </si>
  <si>
    <t>3627711FA3061EDE9F8DF484DEC62C13</t>
  </si>
  <si>
    <t>DYTn7wC67jwVZUuIXcRC4m</t>
  </si>
  <si>
    <t>3627711FA3061EDE9F8DEE128666CC13</t>
  </si>
  <si>
    <t>DYTyeTO27kwUnEY6JQoL0W</t>
  </si>
  <si>
    <t>36277CA1D6021EEE9EC4E8864DAC9502</t>
  </si>
  <si>
    <t>DYTyeTOA7jo7ffithJhnIG</t>
  </si>
  <si>
    <t>36277CA1D60A1EDC87A69B37AD3AF149</t>
  </si>
  <si>
    <t>DYTyeTOA7jo7ffithJaHIG</t>
  </si>
  <si>
    <t>36277CA1D60A1EDC87A69B37AD391149</t>
  </si>
  <si>
    <t>DYTyeTOA7jo7ffithJXnIG</t>
  </si>
  <si>
    <t>36277CA1D60A1EDC87A69B37AD387149</t>
  </si>
  <si>
    <t>DYTyeTOA7jo7ffithJSnIG</t>
  </si>
  <si>
    <t>36277CA1D60A1EDC87A69B37AD373149</t>
  </si>
  <si>
    <t>DYTyeTOA7jo7ffithJQHIG</t>
  </si>
  <si>
    <t>36277CA1D60A1EDC87A69B37AD369149</t>
  </si>
  <si>
    <t>DYTyeTOA7jo7ffiHh61nIG</t>
  </si>
  <si>
    <t>36277CA1D60A1EDC87A69B11AC607149</t>
  </si>
  <si>
    <t>DYTyeTOA7jo7ffiHh5wHIG</t>
  </si>
  <si>
    <t>36277CA1D60A1EDC87A69B11AC5E9149</t>
  </si>
  <si>
    <t>DYTyeTOA7jo7ffiHh5jnIG</t>
  </si>
  <si>
    <t>36277CA1D60A1EDC87A69B11AC5B7149</t>
  </si>
  <si>
    <t>DYTyeTOA7jo7ffiHh5enIG</t>
  </si>
  <si>
    <t>36277CA1D60A1EDC87A69B11AC5A3149</t>
  </si>
  <si>
    <t>DYTyeTOA7jo7ffiHh5cHIG</t>
  </si>
  <si>
    <t>36277CA1D60A1EDC87A69B11AC599149</t>
  </si>
  <si>
    <t>DYTyeTOA7jo7ffhheCUHIG</t>
  </si>
  <si>
    <t>36277CA1D60A1EDC87A69AEBA0C79149</t>
  </si>
  <si>
    <t>DYTyeTOA7jo7ffhheCPHIG</t>
  </si>
  <si>
    <t>36277CA1D60A1EDC87A69AEBA0C65149</t>
  </si>
  <si>
    <t>DYTyeTOA7jo7ffhheCMnIG</t>
  </si>
  <si>
    <t>36277CA1D60A1EDC87A69AEBA0C5B149</t>
  </si>
  <si>
    <t>DYTyeTOA7jo7ffhheCFHIG</t>
  </si>
  <si>
    <t>36277CA1D60A1EDC87A69AEBA0C3D149</t>
  </si>
  <si>
    <t>DYTyeTOA7jo7ffhheC7nIG</t>
  </si>
  <si>
    <t>36277CA1D60A1EDC87A69AEBA0C1F149</t>
  </si>
  <si>
    <t>DYTyeTOA7jo7ffhheC5HIG</t>
  </si>
  <si>
    <t>36277CA1D60A1EDC87A69AEBA0C15149</t>
  </si>
  <si>
    <t>DYTyeTOA7jo7ffhheC0HIG</t>
  </si>
  <si>
    <t>36277CA1D60A1EDC87A69AEBA0C01149</t>
  </si>
  <si>
    <t>DYTyeTOA7jo7ffhheBznIG</t>
  </si>
  <si>
    <t>36277CA1D60A1EDC87A69AEBA0BF7149</t>
  </si>
  <si>
    <t>DYTyeTOA7jo7ffhheBxHIG</t>
  </si>
  <si>
    <t>36277CA1D60A1EDC87A69AEBA0BED149</t>
  </si>
  <si>
    <t>DYTyeTOA7jo7ffh5148HIG</t>
  </si>
  <si>
    <t>36277CA1D60A1EDC87A69AC504421149</t>
  </si>
  <si>
    <t>DYTyeTOA7jo7ffh5145nIG</t>
  </si>
  <si>
    <t>36277CA1D60A1EDC87A69AC504417149</t>
  </si>
  <si>
    <t>ANIN</t>
  </si>
  <si>
    <t>DYTyeTOA7jo7ffh513vHIG</t>
  </si>
  <si>
    <t>36277CA1D60A1EDC87A69AC5043E5149</t>
  </si>
  <si>
    <t>DYTyeTOA7jo7ffh513qHIG</t>
  </si>
  <si>
    <t>36277CA1D60A1EDC87A69AC5043D1149</t>
  </si>
  <si>
    <t>DYTyeTOA7jo7ffh513YnIG</t>
  </si>
  <si>
    <t>36277CA1D60A1EDC87A69AC50438B149</t>
  </si>
  <si>
    <t>ALOS</t>
  </si>
  <si>
    <t>DYTn7wC67joUfLAUBCW{h0</t>
  </si>
  <si>
    <t>3627711FA3061EDC9EA5529E2CC83EAC</t>
  </si>
  <si>
    <t>DYTyeTOA7jo7ffgV6a4nIG</t>
  </si>
  <si>
    <t>36277CA1D60A1EDC87A69A9F1A413149</t>
  </si>
  <si>
    <t>lObs60547k{Bnfnim{Vt6G</t>
  </si>
  <si>
    <t>BD89761801441EEF8BC69C6CC3E7F719</t>
  </si>
  <si>
    <t>hq2rceZ57j{8iTy0Aern2W</t>
  </si>
  <si>
    <t>AF40B59A88C51EDF88B1DF002A8D710A</t>
  </si>
  <si>
    <t>DYTyeTOA7jo7ffgV6ZpHIG</t>
  </si>
  <si>
    <t>36277CA1D60A1EDC87A69A9F1A3CD149</t>
  </si>
  <si>
    <t>DYTyeTOA7jo7ffgV6ZkHIG</t>
  </si>
  <si>
    <t>36277CA1D60A1EDC87A69A9F1A3B9149</t>
  </si>
  <si>
    <t>DYTyeTOA7jsyzaRO7Red1W</t>
  </si>
  <si>
    <t>36277CA1D60A1EDDBCF646D81DBA2706</t>
  </si>
  <si>
    <t>DYTyeTOA7jo7ffgV6ZfHIG</t>
  </si>
  <si>
    <t>36277CA1D60A1EDC87A69A9F1A3A5149</t>
  </si>
  <si>
    <t>6MMYJRC47{2GqzH7sQHXkW</t>
  </si>
  <si>
    <t>1965A24DB3041FE090D3D447D9A461BA</t>
  </si>
  <si>
    <t>DYTn7wC67joUfKqYhIx{fm</t>
  </si>
  <si>
    <t>3627711FA3061EDC9EA54D22AD2EFEA7</t>
  </si>
  <si>
    <t>DYTn7wC67jwXfA72}nOi4m</t>
  </si>
  <si>
    <t>3627711FA3061EDEA1A4A1C2FF162C13</t>
  </si>
  <si>
    <t>DYTyeTOA7ksyzZOzVhG}Em</t>
  </si>
  <si>
    <t>36277CA1D60A1EEDBCF6363D7EB43F3B</t>
  </si>
  <si>
    <t>DYTn7wC67jsx}Jod2RnV1m</t>
  </si>
  <si>
    <t>3627711FA3061EDDBBFD3CA709BC5F07</t>
  </si>
  <si>
    <t>DYTyeTOA7ksaoYLxbBlG}0</t>
  </si>
  <si>
    <t>36277CA1D60A1EEDA4CA257B94BBD0FC</t>
  </si>
  <si>
    <t>DYTyeTOA7jo7ffgV6ZXnIG</t>
  </si>
  <si>
    <t>36277CA1D60A1EDC87A69A9F1A387149</t>
  </si>
  <si>
    <t>DYTyeTOA7jo7ffgV6ZSnIG</t>
  </si>
  <si>
    <t>36277CA1D60A1EDC87A69A9F1A373149</t>
  </si>
  <si>
    <t>DYTn7wC67jsZW4wm18vdnW</t>
  </si>
  <si>
    <t>3627711FA3061EDDA3804EB0048E67C6</t>
  </si>
  <si>
    <t>DYTyeTOA7jo7ffgV6ZBHIG</t>
  </si>
  <si>
    <t>36277CA1D60A1EDC87A69A9F1A32D149</t>
  </si>
  <si>
    <t>DYTyeTOA7jo7ffgV6Y{nIG</t>
  </si>
  <si>
    <t>36277CA1D60A1EDC87A69A9F1A2FB149</t>
  </si>
  <si>
    <t>DYTyeTOA7jo7ffgV6YlnIG</t>
  </si>
  <si>
    <t>36277CA1D60A1EDC87A69A9F1A2BF149</t>
  </si>
  <si>
    <t>DYTyeTOA7ksQhAhtLKCrdW</t>
  </si>
  <si>
    <t>36277CA1D60A1EED9AACAAF75543359E</t>
  </si>
  <si>
    <t>DYTyeTOA7ksPukE2Ctkyp0</t>
  </si>
  <si>
    <t>36277CA1D60A1EED99E2E382337BBCCC</t>
  </si>
  <si>
    <t>DYTyeTOA7jo7ffgV6YZHIG</t>
  </si>
  <si>
    <t>36277CA1D60A1EDC87A69A9F1A28D149</t>
  </si>
  <si>
    <t>DYTyeTOA7jo7ffgV6YUHIG</t>
  </si>
  <si>
    <t>36277CA1D60A1EDC87A69A9F1A279149</t>
  </si>
  <si>
    <t>DYTyeTOA7jo7ffg32MunIG</t>
  </si>
  <si>
    <t>36277CA1D60A1EDC87A69A83096E3149</t>
  </si>
  <si>
    <t>DYTyeTOA7jo7ffg32MsHIG</t>
  </si>
  <si>
    <t>36277CA1D60A1EDC87A69A83096D9149</t>
  </si>
  <si>
    <t>DYTyeTOA7jo7ffg32MpnIG</t>
  </si>
  <si>
    <t>36277CA1D60A1EDC87A69A83096CF149</t>
  </si>
  <si>
    <t>DYTyeTOA7jo7ffg32MnHIG</t>
  </si>
  <si>
    <t>36277CA1D60A1EDC87A69A83096C5149</t>
  </si>
  <si>
    <t>DYTyeTOA7jo7ffg32MiHIG</t>
  </si>
  <si>
    <t>36277CA1D60A1EDC87A69A83096B1149</t>
  </si>
  <si>
    <t>lObs60547k{WhuqDCyKUKG</t>
  </si>
  <si>
    <t>BD89761801441EEFA0AF8D0D33C51E51</t>
  </si>
  <si>
    <t>DYTyeTOA7jo7ffg32MdHIG</t>
  </si>
  <si>
    <t>36277CA1D60A1EDC87A69A830969D149</t>
  </si>
  <si>
    <t>eTP075G47j{AazgV5Qqd9m</t>
  </si>
  <si>
    <t>A1D6401C54041EDF8A93DA9F15AD2727</t>
  </si>
  <si>
    <t>6MMYJRC47k{OYqVCNpfWhG</t>
  </si>
  <si>
    <t>1965A24DB3041EEF988B47CC5F3A60AD</t>
  </si>
  <si>
    <t>DYTyeTOA7ks7xxhdCE7dYW</t>
  </si>
  <si>
    <t>36277CA1D60A1EED87EFBAE730E1E78A</t>
  </si>
  <si>
    <t>DYTyeTOA7jo7ffg32M9HIG</t>
  </si>
  <si>
    <t>36277CA1D60A1EDC87A69A8309625149</t>
  </si>
  <si>
    <t>DYTyeTOA7jo7ffg32M6nIG</t>
  </si>
  <si>
    <t>36277CA1D60A1EDC87A69A830961B149</t>
  </si>
  <si>
    <t>DYTyeTOA7jo7ffg32M1nIG</t>
  </si>
  <si>
    <t>36277CA1D60A1EDC87A69A8309607149</t>
  </si>
  <si>
    <t>DYTyeTOA7jo7fffIaNCHIG</t>
  </si>
  <si>
    <t>36277CA1D60A1EDC87A69A5291731149</t>
  </si>
  <si>
    <t>DYTyeTOA7jo7fffIaN4nIG</t>
  </si>
  <si>
    <t>36277CA1D60A1EDC87A69A5291713149</t>
  </si>
  <si>
    <t>DYTyeTOA7jsaoce9fyRnzm</t>
  </si>
  <si>
    <t>36277CA1D60A1EDDA4CA6A09A7C6F1F7</t>
  </si>
  <si>
    <t>DYTyeTOA7jsaod37L2BswG</t>
  </si>
  <si>
    <t>36277CA1D60A1EDDA4CA70C75422F6E9</t>
  </si>
  <si>
    <t>DYTyeTOA7jo7fffIaN2HIG</t>
  </si>
  <si>
    <t>36277CA1D60A1EDC87A69A5291709149</t>
  </si>
  <si>
    <t>DYTyeTOA7jo7fffIaMwnIG</t>
  </si>
  <si>
    <t>36277CA1D60A1EDC87A69A52916EB149</t>
  </si>
  <si>
    <t>DYTyeTOA7jo7fffIaMrnIG</t>
  </si>
  <si>
    <t>36277CA1D60A1EDC87A69A52916D7149</t>
  </si>
  <si>
    <t>DYTyeTOA7ks7xxFMdcycn0</t>
  </si>
  <si>
    <t>36277CA1D60A1EED87EFB3D69E6F26C4</t>
  </si>
  <si>
    <t>DYTyeTOA7jo7fffIaMcnIG</t>
  </si>
  <si>
    <t>36277CA1D60A1EDC87A69A529169B149</t>
  </si>
  <si>
    <t>eTP075G47j{hm}JdkvIqQG</t>
  </si>
  <si>
    <t>A1D6401C54041EDFABC3F4E7BB94B469</t>
  </si>
  <si>
    <t>eTP075G47j{hm{SWR8jos0</t>
  </si>
  <si>
    <t>A1D6401C54041EDFABC3E7206C8B72D8</t>
  </si>
  <si>
    <t>DYTyeTOA7jo7fffIaMaHIG</t>
  </si>
  <si>
    <t>36277CA1D60A1EDC87A69A5291691149</t>
  </si>
  <si>
    <t>DYTyeTOA7jo7fffIaMSnIG</t>
  </si>
  <si>
    <t>36277CA1D60A1EDC87A69A5291673149</t>
  </si>
  <si>
    <t>DYTyeTOA7jo7fffIaMQHIG</t>
  </si>
  <si>
    <t>36277CA1D60A1EDC87A69A5291669149</t>
  </si>
  <si>
    <t>eTP075G47j{Aaxf6IBSWQG</t>
  </si>
  <si>
    <t>A1D6401C54041EDF8A93BA4648B72069</t>
  </si>
  <si>
    <t>DYTyeTOA7jo7fffIaMLHIG</t>
  </si>
  <si>
    <t>36277CA1D60A1EDC87A69A5291655149</t>
  </si>
  <si>
    <t>DYTyeTOA7jo7ffeiZBFnIG</t>
  </si>
  <si>
    <t>36277CA1D60A1EDC87A69A2C8CB3F149</t>
  </si>
  <si>
    <t>DYTn7wC67koys}J4QQUUeW</t>
  </si>
  <si>
    <t>3627711FA3061EECBCDBF4C469A79EA2</t>
  </si>
  <si>
    <t>eTP075G47z2IXz{ZSYq9c0</t>
  </si>
  <si>
    <t>A1D6401C54041FD09287DFA3722D0998</t>
  </si>
  <si>
    <t>DYTyeTOA7jo7ffeiZB5nIG</t>
  </si>
  <si>
    <t>36277CA1D60A1EDC87A69A2C8CB17149</t>
  </si>
  <si>
    <t>DYTyeTOA7jo7ffeiZB3HIG</t>
  </si>
  <si>
    <t>36277CA1D60A1EDC87A69A2C8CB0D149</t>
  </si>
  <si>
    <t>hq2rceZ57j{8iRnTCHniV0</t>
  </si>
  <si>
    <t>AF40B59A88C51EDF88B1BC5D311C6C7C</t>
  </si>
  <si>
    <t>DYTyeTOA7jo7ffeiZB0nIG</t>
  </si>
  <si>
    <t>36277CA1D60A1EDC87A69A2C8CB03149</t>
  </si>
  <si>
    <t>DYTyeTOA7koD{CYw9HHbNm</t>
  </si>
  <si>
    <t>36277CA1D60A1EEC8DF8C8BA2514655F</t>
  </si>
  <si>
    <t>DYTyeTOA7koDnSqTa0jz0m</t>
  </si>
  <si>
    <t>36277CA1D60A1EEC8DC5CD1D900B7D03</t>
  </si>
  <si>
    <t>DYTn7wC67joZhEc{0m9WPW</t>
  </si>
  <si>
    <t>3627711FA3061EDCA3ACE9BE03026066</t>
  </si>
  <si>
    <t>DYTyeTOA7koba3Bq5Ao{}m</t>
  </si>
  <si>
    <t>36277CA1D60A1EECA59032F414ACBEFF</t>
  </si>
  <si>
    <t>DYTyeTOA7jo7ffeiZAbHIG</t>
  </si>
  <si>
    <t>36277CA1D60A1EDC87A69A2C8CA95149</t>
  </si>
  <si>
    <t>DYTyeTOA7jo7ffeiZAYnIG</t>
  </si>
  <si>
    <t>36277CA1D60A1EDC87A69A2C8CA8B149</t>
  </si>
  <si>
    <t>DYTyeTOA7jsaodvyyQs}9m</t>
  </si>
  <si>
    <t>36277CA1D60A1EDDA4CA7E7CF1ADBF27</t>
  </si>
  <si>
    <t>DYTyeTOA7ksaoeUw3J6aVG</t>
  </si>
  <si>
    <t>36277CA1D60A1EEDA4CA87BA0D31A47D</t>
  </si>
  <si>
    <t>DYTyeTOA7joZhH4xWjlubW</t>
  </si>
  <si>
    <t>36277CA1D60A1EDCA3AD113B82DBF896</t>
  </si>
  <si>
    <t>eTP075G47z2GY1JlECroAG</t>
  </si>
  <si>
    <t>A1D6401C54041FD0908814EF38CD7229</t>
  </si>
  <si>
    <t>DYTyeTOA7ksQhBG77pxseG</t>
  </si>
  <si>
    <t>36277CA1D60A1EED9AACB4071F3EF6A1</t>
  </si>
  <si>
    <t>DYTyeTOA7jo7ffeiZAMHIG</t>
  </si>
  <si>
    <t>36277CA1D60A1EDC87A69A2C8CA59149</t>
  </si>
  <si>
    <t>DYTyeTOA7jo7ffeiZAJnIG</t>
  </si>
  <si>
    <t>36277CA1D60A1EDC87A69A2C8CA4F149</t>
  </si>
  <si>
    <t>eTP075G47z2GY02HJzUFBW</t>
  </si>
  <si>
    <t>A1D6401C54041FD0908800914FD78F2E</t>
  </si>
  <si>
    <t>DYTyeTO27kwfbXcqTtOrFW</t>
  </si>
  <si>
    <t>36277CA1D6021EEEA99619B47776353E</t>
  </si>
  <si>
    <t>DYTn7wC67jwVZb1CfoCi4m</t>
  </si>
  <si>
    <t>3627711FA3061EDE9F8E504CA7232C13</t>
  </si>
  <si>
    <t>DYTn7wC67jwVZZyUfKri4m</t>
  </si>
  <si>
    <t>3627711FA3061EDE9F8E3F1EA54D6C13</t>
  </si>
  <si>
    <t>DYTyeTOA7jo7ffe6U6DHIG</t>
  </si>
  <si>
    <t>36277CA1D60A1EDC87A69A0678635149</t>
  </si>
  <si>
    <t>DYTyeTOA7jo7ffe6U6AnIG</t>
  </si>
  <si>
    <t>36277CA1D60A1EDC87A69A067862B149</t>
  </si>
  <si>
    <t>lObs60547k{WhtFdOj6wuG</t>
  </si>
  <si>
    <t>BD89761801441EEFA0AF73E762D1BAE1</t>
  </si>
  <si>
    <t>DYTyeTOA7ks7yFxMl3mrZG</t>
  </si>
  <si>
    <t>36277CA1D60A1EED87F0FED6BC3C358D</t>
  </si>
  <si>
    <t>DYTyeTOA7jo7ffe6U5vHIG</t>
  </si>
  <si>
    <t>36277CA1D60A1EDC87A69A06785E5149</t>
  </si>
  <si>
    <t>DYTyeTOA7joYv2wHpWwrFm</t>
  </si>
  <si>
    <t>36277CA1D60A1EDCA2E42E91CE0EB53F</t>
  </si>
  <si>
    <t>DYTyeTOA7jo7ffe6U5THIG</t>
  </si>
  <si>
    <t>36277CA1D60A1EDC87A69A0678575149</t>
  </si>
  <si>
    <t>DYTyeTOA7jo7ffe6U5QnIG</t>
  </si>
  <si>
    <t>36277CA1D60A1EDC87A69A067856B149</t>
  </si>
  <si>
    <t>DYTyeTOA7jo7ffe6U5LnIG</t>
  </si>
  <si>
    <t>36277CA1D60A1EDC87A69A0678557149</t>
  </si>
  <si>
    <t>DYTyeTOA7jo7ffe6U5JHIG</t>
  </si>
  <si>
    <t>36277CA1D60A1EDC87A69A067854D149</t>
  </si>
  <si>
    <t>DYTyeTOA7jo7ffe6U51nIG</t>
  </si>
  <si>
    <t>36277CA1D60A1EDC87A69A0678507149</t>
  </si>
  <si>
    <t>DYTyeTOA7jo7ffdW8rYnIG</t>
  </si>
  <si>
    <t>36277CA1D60A1EDC87A699E02358B149</t>
  </si>
  <si>
    <t>DYTyeTOA7jo7ffdW8rOnIG</t>
  </si>
  <si>
    <t>36277CA1D60A1EDC87A699E023563149</t>
  </si>
  <si>
    <t>DYTyeTOA7jo7ffdW8rMHIG</t>
  </si>
  <si>
    <t>36277CA1D60A1EDC87A699E023559149</t>
  </si>
  <si>
    <t>DYTyeTOA7jo7ffdW8rJnIG</t>
  </si>
  <si>
    <t>36277CA1D60A1EDC87A699E02354F149</t>
  </si>
  <si>
    <t>DYTyeTOA7jsMeWKV}3PEmW</t>
  </si>
  <si>
    <t>36277CA1D60A1EDD96A2051FFC364EC2</t>
  </si>
  <si>
    <t>DYTyeTOA7jo7ffdW8qwnIG</t>
  </si>
  <si>
    <t>36277CA1D60A1EDC87A699E0234EB149</t>
  </si>
  <si>
    <t>DYTyeTOA7jo7ffdW8qfHIG</t>
  </si>
  <si>
    <t>36277CA1D60A1EDC87A699E0234A5149</t>
  </si>
  <si>
    <t>DYTyeTOA7jo7ffdW8qInIG</t>
  </si>
  <si>
    <t>36277CA1D60A1EDC87A699E02344B149</t>
  </si>
  <si>
    <t>DYTyeTOA7koWprWYnXgSMG</t>
  </si>
  <si>
    <t>36277CA1D60A1EECA0CF5822C61A9C59</t>
  </si>
  <si>
    <t>DYTyeTOA7koWpdCmoIsxmG</t>
  </si>
  <si>
    <t>36277CA1D60A1EECA0CE7330C92DBBC1</t>
  </si>
  <si>
    <t>DYTyeTOA7koWpboJwhCRh0</t>
  </si>
  <si>
    <t>36277CA1D60A1EECA0CE5C93EAB31BAC</t>
  </si>
  <si>
    <t>DYTyeTOA7koWpb1CxA0RfW</t>
  </si>
  <si>
    <t>36277CA1D60A1EECA0CE504CECA01BA6</t>
  </si>
  <si>
    <t>DYTyeTOA7jo7ffcwDSCHIG</t>
  </si>
  <si>
    <t>36277CA1D60A1EDC87A699BA35C31149</t>
  </si>
  <si>
    <t>DYTyeTOA7jo7ffcwDS7HIG</t>
  </si>
  <si>
    <t>36277CA1D60A1EDC87A699BA35C1D149</t>
  </si>
  <si>
    <t>DYTyeTOA7jo7ffcwDRhnIG</t>
  </si>
  <si>
    <t>36277CA1D60A1EDC87A699BA35BAF149</t>
  </si>
  <si>
    <t>DYTyeTOA7jo7ffcwDRfHIG</t>
  </si>
  <si>
    <t>36277CA1D60A1EDC87A699BA35BA5149</t>
  </si>
  <si>
    <t>DYTyeTOA7jo7ffcwDRDnIG</t>
  </si>
  <si>
    <t>36277CA1D60A1EDC87A699BA35B37149</t>
  </si>
  <si>
    <t>DYTyeTOA7jo7ffcJ}nbHIG</t>
  </si>
  <si>
    <t>36277CA1D60A1EDC87A69993FF195149</t>
  </si>
  <si>
    <t>TOVKVA</t>
  </si>
  <si>
    <t>DYTn7wC67koYv1FTMUVEO0</t>
  </si>
  <si>
    <t>3627711FA3061EECA2E413DD59E7CE60</t>
  </si>
  <si>
    <t>SRUDUV</t>
  </si>
  <si>
    <t>DYTyeTOA7jo7ffcJ}n4HIG</t>
  </si>
  <si>
    <t>36277CA1D60A1EDC87A69993FF111149</t>
  </si>
  <si>
    <t>DYTyeTOA7jo7ffcJ}mtnIG</t>
  </si>
  <si>
    <t>36277CA1D60A1EDC87A69993FF0DF149</t>
  </si>
  <si>
    <t>DYTyeTOA7jo7ffcJ}mrHIG</t>
  </si>
  <si>
    <t>36277CA1D60A1EDC87A69993FF0D5149</t>
  </si>
  <si>
    <t>DYTyeTOA7jo7ffcJ}mmHIG</t>
  </si>
  <si>
    <t>36277CA1D60A1EDC87A69993FF0C1149</t>
  </si>
  <si>
    <t>DYTyeTOA7jo7ffbjoqTnIG</t>
  </si>
  <si>
    <t>36277CA1D60A1EDC87A6996DCB477149</t>
  </si>
  <si>
    <t>Z</t>
  </si>
  <si>
    <t>DYTyeTOA7jo7ffbjoqOnIG</t>
  </si>
  <si>
    <t>36277CA1D60A1EDC87A6996DCB463149</t>
  </si>
  <si>
    <t>DYTyeTOA7jo7ffbjoqMHIG</t>
  </si>
  <si>
    <t>36277CA1D60A1EDC87A6996DCB459149</t>
  </si>
  <si>
    <t>DYTyeTOA7jo7ffbjoqJnIG</t>
  </si>
  <si>
    <t>36277CA1D60A1EDC87A6996DCB44F149</t>
  </si>
  <si>
    <t>DYTyeTOA7jo7ffbjoq7HIG</t>
  </si>
  <si>
    <t>36277CA1D60A1EDC87A6996DCB41D149</t>
  </si>
  <si>
    <t>DYTyeTOA7jo7ffbjopwnIG</t>
  </si>
  <si>
    <t>36277CA1D60A1EDC87A6996DCB3EB149</t>
  </si>
  <si>
    <t>DYTyeTOA7jo7ffbjoprnIG</t>
  </si>
  <si>
    <t>36277CA1D60A1EDC87A6996DCB3D7149</t>
  </si>
  <si>
    <t>DYTyeTOA7jo7ffbjopXnIG</t>
  </si>
  <si>
    <t>36277CA1D60A1EDC87A6996DCB387149</t>
  </si>
  <si>
    <t>DYTn7wC67jwQWFT301ui4m</t>
  </si>
  <si>
    <t>3627711FA3061EDE9A80F743001E2C13</t>
  </si>
  <si>
    <t>DYTyeTOA7jo7ffb7lmoHIG</t>
  </si>
  <si>
    <t>36277CA1D60A1EDC87A69947BF0C9149</t>
  </si>
  <si>
    <t>DYTyeTOA7jo7ffb7lmlnIG</t>
  </si>
  <si>
    <t>36277CA1D60A1EDC87A69947BF0BF149</t>
  </si>
  <si>
    <t>DYTyeTOA7jo7ffb7lmgnIG</t>
  </si>
  <si>
    <t>36277CA1D60A1EDC87A69947BF0AB149</t>
  </si>
  <si>
    <t>DYTyeTOA7jo7ffb7lmWnIG</t>
  </si>
  <si>
    <t>36277CA1D60A1EDC87A69947BF083149</t>
  </si>
  <si>
    <t>DYTyeTOA7jo7ffb7lmCnIG</t>
  </si>
  <si>
    <t>36277CA1D60A1EDC87A69947BF033149</t>
  </si>
  <si>
    <t>DYTyeTOA7jo7ffb7lm7nIG</t>
  </si>
  <si>
    <t>36277CA1D60A1EDC87A69947BF01F149</t>
  </si>
  <si>
    <t>DYTyeTOA7jo7ffb7lm5HIG</t>
  </si>
  <si>
    <t>36277CA1D60A1EDC87A69947BF015149</t>
  </si>
  <si>
    <t>DYTyeTOA7jo7ffb7lm2nIG</t>
  </si>
  <si>
    <t>36277CA1D60A1EDC87A69947BF00B149</t>
  </si>
  <si>
    <t>DYTyeTOA7jo7ffb7llznIG</t>
  </si>
  <si>
    <t>36277CA1D60A1EDC87A69947BEFF7149</t>
  </si>
  <si>
    <t>DYTyeTOA7jo7ffaXiysnIG</t>
  </si>
  <si>
    <t>36277CA1D60A1EDC87A69921B3CDB149</t>
  </si>
  <si>
    <t>DYTyeTOA7jo7ffaXiynnIG</t>
  </si>
  <si>
    <t>36277CA1D60A1EDC87A69921B3CC7149</t>
  </si>
  <si>
    <t>DYTyeTOA7jo7ffaXiylHIG</t>
  </si>
  <si>
    <t>36277CA1D60A1EDC87A69921B3CBD149</t>
  </si>
  <si>
    <t>DYTyeTOA7jo7ffaXiydnIG</t>
  </si>
  <si>
    <t>36277CA1D60A1EDC87A69921B3C9F149</t>
  </si>
  <si>
    <t>EIVG</t>
  </si>
  <si>
    <t>DYTn7wC67ksiq3BlJyiGM0</t>
  </si>
  <si>
    <t>3627711FA3061EEDACD032EF4FCB1058</t>
  </si>
  <si>
    <t>DYTn7wC67jwVZaYt}Sti4m</t>
  </si>
  <si>
    <t>3627711FA3061EDE9F8E48B7FDCDEC13</t>
  </si>
  <si>
    <t>DYTyeTOA7jo7ffaXiyOnIG</t>
  </si>
  <si>
    <t>36277CA1D60A1EDC87A69921B3C63149</t>
  </si>
  <si>
    <t>DYTyeTOA7jo7ffaXiyMHIG</t>
  </si>
  <si>
    <t>36277CA1D60A1EDC87A69921B3C59149</t>
  </si>
  <si>
    <t>DYTn7wC67jsPp8CqBOJWBm</t>
  </si>
  <si>
    <t>3627711FA3061EDD99CC83342D84E02F</t>
  </si>
  <si>
    <t>DYTyeTOA7jo7ffZxeNPHI0</t>
  </si>
  <si>
    <t>36277CA1D60A1EDC87A698FBA1765148</t>
  </si>
  <si>
    <t>DYTyeTOA7jo7ffZxeNFHI0</t>
  </si>
  <si>
    <t>36277CA1D60A1EDC87A698FBA173D148</t>
  </si>
  <si>
    <t>lObs60547j{Pln3LghIzAW</t>
  </si>
  <si>
    <t>BD89761801441EDF99BF10D5AAB4BD2A</t>
  </si>
  <si>
    <t>lObs60547j{PlmKUGRix}W</t>
  </si>
  <si>
    <t>BD89761801441EDF99BF051E41BB3BFE</t>
  </si>
  <si>
    <t>hq2rceZ57j{YlhUrwJsvJ0</t>
  </si>
  <si>
    <t>AF40B59A88C51EDFA2BEB7B5E93DB94C</t>
  </si>
  <si>
    <t>lObs60547j{Pll1oE}dPuG</t>
  </si>
  <si>
    <t>BD89761801441EDF99BEF0723BF9D9E1</t>
  </si>
  <si>
    <t>lObs60547j{OfRroI04nE0</t>
  </si>
  <si>
    <t>BD89761801441EDF98A5BD7248013138</t>
  </si>
  <si>
    <t>lObs60547j{OfR0W{wxG9m</t>
  </si>
  <si>
    <t>BD89761801441EDF98A5B020FBAED027</t>
  </si>
  <si>
    <t>lObs60547j{OfQEXij5kpG</t>
  </si>
  <si>
    <t>BD89761801441EDF98A5A3A1B2D16ECD</t>
  </si>
  <si>
    <t>lObs60547j{OfPJfuYTjQm</t>
  </si>
  <si>
    <t>BD89761801441EDF98A594E9E2276D6B</t>
  </si>
  <si>
    <t>DYTyeTOA7jo7ffZxeN0HI0</t>
  </si>
  <si>
    <t>36277CA1D60A1EDC87A698FBA1701148</t>
  </si>
  <si>
    <t>DYTyeTOA7jo7ffZxeMxHI0</t>
  </si>
  <si>
    <t>36277CA1D60A1EDC87A698FBA16ED148</t>
  </si>
  <si>
    <t>DYTyeTOA7jo7ffZxeMsHI0</t>
  </si>
  <si>
    <t>36277CA1D60A1EDC87A698FBA16D9148</t>
  </si>
  <si>
    <t>DYTyeTOA7jo7ffZxeMpnI0</t>
  </si>
  <si>
    <t>36277CA1D60A1EDC87A698FBA16CF148</t>
  </si>
  <si>
    <t>DYTyeTOA7jo7ffZxeMknI0</t>
  </si>
  <si>
    <t>36277CA1D60A1EDC87A698FBA16BB148</t>
  </si>
  <si>
    <t>DYTyeTOA7jo7ffZxeMfnI0</t>
  </si>
  <si>
    <t>36277CA1D60A1EDC87A698FBA16A7148</t>
  </si>
  <si>
    <t>DYTyeTOA7jo7ffZxeMdHI0</t>
  </si>
  <si>
    <t>36277CA1D60A1EDC87A698FBA169D148</t>
  </si>
  <si>
    <t>DYTyeTOA7jo7ffZxeManI0</t>
  </si>
  <si>
    <t>36277CA1D60A1EDC87A698FBA1693148</t>
  </si>
  <si>
    <t>DYTn7wC67joYcLaH9Qx810</t>
  </si>
  <si>
    <t>3627711FA3061EDCA299591125AEC804</t>
  </si>
  <si>
    <t>DYTyeTOA7jo7ffZxeMOHI0</t>
  </si>
  <si>
    <t>36277CA1D60A1EDC87A698FBA1661148</t>
  </si>
  <si>
    <t>DYTyeTOA7jo7ffZL7M5nI0</t>
  </si>
  <si>
    <t>36277CA1D60A1EDC87A698D51D617148</t>
  </si>
  <si>
    <t>DYTyeTOA7jo7ffZL7LYnI0</t>
  </si>
  <si>
    <t>36277CA1D60A1EDC87A698D51D58B148</t>
  </si>
  <si>
    <t>DYTyeTO27k{6WkbTuH7sAW</t>
  </si>
  <si>
    <t>36277CA1D6021EEF8682E95DE111F62A</t>
  </si>
  <si>
    <t>DYTyeTOA7jo7ffZL7LEnI0</t>
  </si>
  <si>
    <t>36277CA1D60A1EDC87A698D51D53B148</t>
  </si>
  <si>
    <t>DYTyeTOA7jo7ffZL7L2HI0</t>
  </si>
  <si>
    <t>36277CA1D60A1EDC87A698D51D509148</t>
  </si>
  <si>
    <t>DYTyeTOA7jo7ffYlF65nI0</t>
  </si>
  <si>
    <t>36277CA1D60A1EDC87A698AF3C617148</t>
  </si>
  <si>
    <t>DYTyeTOA7jo7ffYlF63HI0</t>
  </si>
  <si>
    <t>36277CA1D60A1EDC87A698AF3C60D148</t>
  </si>
  <si>
    <t>DYTyeTOA7jo7ffYlF5{HI0</t>
  </si>
  <si>
    <t>36277CA1D60A1EDC87A698AF3C5F9148</t>
  </si>
  <si>
    <t>DYTyeTOA7jo7ffYlF5snI0</t>
  </si>
  <si>
    <t>36277CA1D60A1EDC87A698AF3C5DB148</t>
  </si>
  <si>
    <t>DYTyeTOA7jo7ffYlF5bHI0</t>
  </si>
  <si>
    <t>36277CA1D60A1EDC87A698AF3C595148</t>
  </si>
  <si>
    <t>DYTn7wC67joRmHEVwxeEM0</t>
  </si>
  <si>
    <t>3627711FA3061EDC9BC1139FEBBA0E58</t>
  </si>
  <si>
    <t>DYTyeTOA7jo7ffYlF5JnI0</t>
  </si>
  <si>
    <t>36277CA1D60A1EDC87A698AF3C54F148</t>
  </si>
  <si>
    <t>DYTyeTOA7jo7ffY9M2cHI0</t>
  </si>
  <si>
    <t>36277CA1D60A1EDC87A6988958299148</t>
  </si>
  <si>
    <t>DYTyeTOA7jo7ffY9M2SHI0</t>
  </si>
  <si>
    <t>36277CA1D60A1EDC87A6988958271148</t>
  </si>
  <si>
    <t>DYTn7wC67jobgO4BRUO4QG</t>
  </si>
  <si>
    <t>3627711FA3061EDCA5A9810B6DE60469</t>
  </si>
  <si>
    <t>DYTn7wC67jsZW4Gwt67YvG</t>
  </si>
  <si>
    <t>3627711FA3061EDDA380443ADC61E2E5</t>
  </si>
  <si>
    <t>DYTyeTOA7jo7ffY9M2FnI0</t>
  </si>
  <si>
    <t>36277CA1D60A1EDC87A698895823F148</t>
  </si>
  <si>
    <t>DYTyeTOA7jo7ffY9M2AnI0</t>
  </si>
  <si>
    <t>36277CA1D60A1EDC87A698895822B148</t>
  </si>
  <si>
    <t>DYTyeTOA7jo7ffY9M23HI0</t>
  </si>
  <si>
    <t>36277CA1D60A1EDC87A698895820D148</t>
  </si>
  <si>
    <t>DYTyeTOA7ksaofxYOLGIc0</t>
  </si>
  <si>
    <t>36277CA1D60A1EEDA4CA9EE261541298</t>
  </si>
  <si>
    <t>DYTyeTOA7jo7ffY9M1vHI0</t>
  </si>
  <si>
    <t>36277CA1D60A1EDC87A69889581E5148</t>
  </si>
  <si>
    <t>DYTyeTOA7jo7ffY9M1bHI0</t>
  </si>
  <si>
    <t>36277CA1D60A1EDC87A6988958195148</t>
  </si>
  <si>
    <t>DYTyeTOA7jo7ffY9M1YnI0</t>
  </si>
  <si>
    <t>36277CA1D60A1EDC87A698895818B148</t>
  </si>
  <si>
    <t>DYTyeTOA7jo7ffY9M1RHI0</t>
  </si>
  <si>
    <t>36277CA1D60A1EDC87A698895816D148</t>
  </si>
  <si>
    <t>DYTyeTOA7jo7ffY9M1OnI0</t>
  </si>
  <si>
    <t>36277CA1D60A1EDC87A6988958163148</t>
  </si>
  <si>
    <t>DYTyeTOA7jo7ffY9M1MHI0</t>
  </si>
  <si>
    <t>36277CA1D60A1EDC87A6988958159148</t>
  </si>
  <si>
    <t>DYTyeTOA7jo7ffXYeECHI0</t>
  </si>
  <si>
    <t>36277CA1D60A1EDC87A69862A0E31148</t>
  </si>
  <si>
    <t>DYTyeTOA7jo7ffXYeE4nI0</t>
  </si>
  <si>
    <t>36277CA1D60A1EDC87A69862A0E13148</t>
  </si>
  <si>
    <t>DYTyeTOA7jo7ffXYeD}nI0</t>
  </si>
  <si>
    <t>36277CA1D60A1EDC87A69862A0DFF148</t>
  </si>
  <si>
    <t>DYTyeTOA7ksaogoBS4eudG</t>
  </si>
  <si>
    <t>36277CA1D60A1EEDA4CAAC8B704A389D</t>
  </si>
  <si>
    <t>DYTyeTOA7ksaoh8CL6Ewpm</t>
  </si>
  <si>
    <t>36277CA1D60A1EEDA4CAB20C5463BACF</t>
  </si>
  <si>
    <t>DYTyeTOA7jo7ffXYeDwnI0</t>
  </si>
  <si>
    <t>36277CA1D60A1EDC87A69862A0DEB148</t>
  </si>
  <si>
    <t>DYTyeTOA7jo7ffXYeDuHI0</t>
  </si>
  <si>
    <t>36277CA1D60A1EDC87A69862A0DE1148</t>
  </si>
  <si>
    <t>DYTyeTOA7jo7ffXYeDrnI0</t>
  </si>
  <si>
    <t>36277CA1D60A1EDC87A69862A0DD7148</t>
  </si>
  <si>
    <t>DYTyeTOA7jo7ffXYeDpHI0</t>
  </si>
  <si>
    <t>36277CA1D60A1EDC87A69862A0DCD148</t>
  </si>
  <si>
    <t>DYTyeTOA7jo7ffXYeDDnI0</t>
  </si>
  <si>
    <t>36277CA1D60A1EDC87A69862A0D37148</t>
  </si>
  <si>
    <t>DYTyeTOA7jo7ffWyYCTHI0</t>
  </si>
  <si>
    <t>36277CA1D60A1EDC87A6983C88C75148</t>
  </si>
  <si>
    <t>DYTyeTOA7jo7ffWyYCQnI0</t>
  </si>
  <si>
    <t>36277CA1D60A1EDC87A6983C88C6B148</t>
  </si>
  <si>
    <t>DYTyeTOA7jo7ffWyYCOHI0</t>
  </si>
  <si>
    <t>36277CA1D60A1EDC87A6983C88C61148</t>
  </si>
  <si>
    <t>DYTyeTOA7jo7ffWyYCEHI0</t>
  </si>
  <si>
    <t>36277CA1D60A1EDC87A6983C88C39148</t>
  </si>
  <si>
    <t>DYTyeTOA7jo7ffWyYC4HI0</t>
  </si>
  <si>
    <t>36277CA1D60A1EDC87A6983C88C11148</t>
  </si>
  <si>
    <t>DYTyeTOA7jo7ffWyYC1nI0</t>
  </si>
  <si>
    <t>36277CA1D60A1EDC87A6983C88C07148</t>
  </si>
  <si>
    <t>DYTyeTOA7jo7ffWyYBynI0</t>
  </si>
  <si>
    <t>36277CA1D60A1EDC87A6983C88BF3148</t>
  </si>
  <si>
    <t>DYTyeTOA7jo7ffWyYBonI0</t>
  </si>
  <si>
    <t>36277CA1D60A1EDC87A6983C88BCB148</t>
  </si>
  <si>
    <t>DYTyeTOA7jo7ffWyYBhHI0</t>
  </si>
  <si>
    <t>36277CA1D60A1EDC87A6983C88BAD148</t>
  </si>
  <si>
    <t>DYTyeTOA7jo7ffWyYBcHI0</t>
  </si>
  <si>
    <t>36277CA1D60A1EDC87A6983C88B99148</t>
  </si>
  <si>
    <t>DYTyeTOA7jo7ffWMWiyHI0</t>
  </si>
  <si>
    <t>36277CA1D60A1EDC87A6981682CF1148</t>
  </si>
  <si>
    <t>DYTyeTOA7jo7ffWMWivnI0</t>
  </si>
  <si>
    <t>36277CA1D60A1EDC87A6981682CE7148</t>
  </si>
  <si>
    <t>DYTyeTOA7jo7ffWMWiKHI0</t>
  </si>
  <si>
    <t>36277CA1D60A1EDC87A6981682C51148</t>
  </si>
  <si>
    <t>DYTyeTOA7jo7ffWMWi7nI0</t>
  </si>
  <si>
    <t>36277CA1D60A1EDC87A6981682C1F148</t>
  </si>
  <si>
    <t>DYTyeTOA7jo7ffVmGRZHHm</t>
  </si>
  <si>
    <t>36277CA1D60A1EDC87A697F041B8D147</t>
  </si>
  <si>
    <t>DYTyeTOA7jo7ffVmGRRnHm</t>
  </si>
  <si>
    <t>36277CA1D60A1EDC87A697F041B6F147</t>
  </si>
  <si>
    <t>DYTyeTOA7jsN}f4Xyb6{5G</t>
  </si>
  <si>
    <t>36277CA1D60A1EDD97FE9121F251BE15</t>
  </si>
  <si>
    <t>DYTn7wC67jsZW5f8DjDBAW</t>
  </si>
  <si>
    <t>3627711FA3061EDDA3805A4836D34B2A</t>
  </si>
  <si>
    <t>DYTn7wC67jsZW5OzaQs9kG</t>
  </si>
  <si>
    <t>3627711FA3061EDDA380563D91AD89B9</t>
  </si>
  <si>
    <t>DYTn7wC67jsZW3{MIdk0T0</t>
  </si>
  <si>
    <t>3627711FA3061EDDA3803F964A7B8074</t>
  </si>
  <si>
    <t>DYTn7wC67ksTtQ4fC9AfRW</t>
  </si>
  <si>
    <t>3627711FA3061EED9DDDA1293092A96E</t>
  </si>
  <si>
    <t>DYTn7wC67ksTtPVihDE4gm</t>
  </si>
  <si>
    <t>3627711FA3061EED9DDD97ECACD384AB</t>
  </si>
  <si>
    <t>DYTn7wC67ksTtPBaQ5EXmG</t>
  </si>
  <si>
    <t>3627711FA3061EED9DDD92E46853A1C1</t>
  </si>
  <si>
    <t>DYTyeTOA7jo7ffVmGRCnHm</t>
  </si>
  <si>
    <t>36277CA1D60A1EDC87A697F041B33147</t>
  </si>
  <si>
    <t>DYTyeTOA7jo7ffVmGRAHHm</t>
  </si>
  <si>
    <t>36277CA1D60A1EDC87A697F041B29147</t>
  </si>
  <si>
    <t>DYTyeTOA7jo7ffVmGR7nHm</t>
  </si>
  <si>
    <t>36277CA1D60A1EDC87A697F041B1F147</t>
  </si>
  <si>
    <t>DYTyeTOA7jo7ffVmGR5HHm</t>
  </si>
  <si>
    <t>36277CA1D60A1EDC87A697F041B15147</t>
  </si>
  <si>
    <t>DYTyeTOA7jo7ffVmGQsHHm</t>
  </si>
  <si>
    <t>36277CA1D60A1EDC87A697F041AD9147</t>
  </si>
  <si>
    <t>DYTyeTOA7jo7ffVmGQpnHm</t>
  </si>
  <si>
    <t>36277CA1D60A1EDC87A697F041ACF147</t>
  </si>
  <si>
    <t>DYTyeTOA7joZhSNFkStuxW</t>
  </si>
  <si>
    <t>36277CA1D60A1EDCA3ADC5CFB9CDF8EE</t>
  </si>
  <si>
    <t>DYTyeTOA7jo7ffVmGQknHm</t>
  </si>
  <si>
    <t>36277CA1D60A1EDC87A697F041ABB147</t>
  </si>
  <si>
    <t>DYTyeTOA7jo7ffVmGQiHHm</t>
  </si>
  <si>
    <t>36277CA1D60A1EDC87A697F041AB1147</t>
  </si>
  <si>
    <t>DYTyeTOA7jo7ffVmGQdHHm</t>
  </si>
  <si>
    <t>36277CA1D60A1EDC87A697F041A9D147</t>
  </si>
  <si>
    <t>DYTyeTOA7jo7ffVALh6nHm</t>
  </si>
  <si>
    <t>36277CA1D60A1EDC87A697CA56B1B147</t>
  </si>
  <si>
    <t>DYTyeTOA7jo7ffVALgwHHm</t>
  </si>
  <si>
    <t>36277CA1D60A1EDC87A697CA56AE9147</t>
  </si>
  <si>
    <t>DYTyeTOA7jo7ffVALgrHHm</t>
  </si>
  <si>
    <t>36277CA1D60A1EDC87A697CA56AD5147</t>
  </si>
  <si>
    <t>DYTyeTOA7jo7ffVALgonHm</t>
  </si>
  <si>
    <t>36277CA1D60A1EDC87A697CA56ACB147</t>
  </si>
  <si>
    <t>DYTyeTOA7jo7ffVALgjnHm</t>
  </si>
  <si>
    <t>36277CA1D60A1EDC87A697CA56AB7147</t>
  </si>
  <si>
    <t>DYTyeTOA7jo7ffVALgcHHm</t>
  </si>
  <si>
    <t>36277CA1D60A1EDC87A697CA56A99147</t>
  </si>
  <si>
    <t>DYTyeTOA7jsaoigFLCUXp0</t>
  </si>
  <si>
    <t>36277CA1D60A1EDDA4CACA8F54C7A1CC</t>
  </si>
  <si>
    <t>DYTyeTOA7jo7ffUaFGoHHm</t>
  </si>
  <si>
    <t>36277CA1D60A1EDC87A697A43D0C9147</t>
  </si>
  <si>
    <t>DYTyeTOA7jo7ffUaFGjHHm</t>
  </si>
  <si>
    <t>36277CA1D60A1EDC87A697A43D0B5147</t>
  </si>
  <si>
    <t>DYTyeTOA7jo7ffUaFGPHHm</t>
  </si>
  <si>
    <t>36277CA1D60A1EDC87A697A43D065147</t>
  </si>
  <si>
    <t>DYTyeTOA7jo7ffUaFGFHHm</t>
  </si>
  <si>
    <t>36277CA1D60A1EDC87A697A43D03D147</t>
  </si>
  <si>
    <t>DYTyeTOA7jo7ffTz{kiHHm</t>
  </si>
  <si>
    <t>36277CA1D60A1EDC87A6977DFAEB1147</t>
  </si>
  <si>
    <t>DYTyeTOA7jo7ffTz{kfnHm</t>
  </si>
  <si>
    <t>36277CA1D60A1EDC87A6977DFAEA7147</t>
  </si>
  <si>
    <t>DYTyeTOA7jo7ffTz{kdHHm</t>
  </si>
  <si>
    <t>36277CA1D60A1EDC87A6977DFAE9D147</t>
  </si>
  <si>
    <t>DYTyeTOA7jo7ffTz{kanHm</t>
  </si>
  <si>
    <t>36277CA1D60A1EDC87A6977DFAE93147</t>
  </si>
  <si>
    <t>DYTyeTOA7jo7ffTz{kLnHm</t>
  </si>
  <si>
    <t>36277CA1D60A1EDC87A6977DFAE57147</t>
  </si>
  <si>
    <t>DYTyeTOA7jo7ffTz{k4HHm</t>
  </si>
  <si>
    <t>36277CA1D60A1EDC87A6977DFAE11147</t>
  </si>
  <si>
    <t>DYTyeTOA7jo7ffTz{jXHHm</t>
  </si>
  <si>
    <t>36277CA1D60A1EDC87A6977DFAD85147</t>
  </si>
  <si>
    <t>DYTyeTOA7jo7ffTz{jUnHm</t>
  </si>
  <si>
    <t>36277CA1D60A1EDC87A6977DFAD7B147</t>
  </si>
  <si>
    <t>DYTyeTOA7jo7ffTz{jSHHm</t>
  </si>
  <si>
    <t>36277CA1D60A1EDC87A6977DFAD71147</t>
  </si>
  <si>
    <t>DYTyeTOA7jo7ffTNfAeHHm</t>
  </si>
  <si>
    <t>36277CA1D60A1EDC87A69757A4AA1147</t>
  </si>
  <si>
    <t>DYTyeTOA7jo7ffTNfAbnHm</t>
  </si>
  <si>
    <t>36277CA1D60A1EDC87A69757A4A97147</t>
  </si>
  <si>
    <t>DYTyeTOA7jo7ffTNfAUHHm</t>
  </si>
  <si>
    <t>36277CA1D60A1EDC87A69757A4A79147</t>
  </si>
  <si>
    <t>DYTyeTOA7jo7ffTNfAMnHm</t>
  </si>
  <si>
    <t>36277CA1D60A1EDC87A69757A4A5B147</t>
  </si>
  <si>
    <t>DYTyeTOA7jo7ffTNfAFHHm</t>
  </si>
  <si>
    <t>36277CA1D60A1EDC87A69757A4A3D147</t>
  </si>
  <si>
    <t>DYTyeTOA7jo7ffTNfACnHm</t>
  </si>
  <si>
    <t>36277CA1D60A1EDC87A69757A4A33147</t>
  </si>
  <si>
    <t>DYTyeTOA7jo7ffTNfAAHHm</t>
  </si>
  <si>
    <t>36277CA1D60A1EDC87A69757A4A29147</t>
  </si>
  <si>
    <t>DYTyeTOA7jo7ffSnWEXnHm</t>
  </si>
  <si>
    <t>36277CA1D60A1EDC87A6973180E87147</t>
  </si>
  <si>
    <t>DYTyeTOA7jo7ffSnWEVHHm</t>
  </si>
  <si>
    <t>36277CA1D60A1EDC87A6973180E7D147</t>
  </si>
  <si>
    <t>DYTyeTOA7jo7ffSnWESnHm</t>
  </si>
  <si>
    <t>36277CA1D60A1EDC87A6973180E73147</t>
  </si>
  <si>
    <t>DYTyeTOA7jo7ffSnWENnHm</t>
  </si>
  <si>
    <t>36277CA1D60A1EDC87A6973180E5F147</t>
  </si>
  <si>
    <t>DYTyeTOA7jo7ffSnWEInHm</t>
  </si>
  <si>
    <t>36277CA1D60A1EDC87A6973180E4B147</t>
  </si>
  <si>
    <t>DYTyeTOA7jo7ffSnWDeHHm</t>
  </si>
  <si>
    <t>36277CA1D60A1EDC87A6973180DA1147</t>
  </si>
  <si>
    <t>DYTyeTOA7jo7ffSnWDbnHm</t>
  </si>
  <si>
    <t>36277CA1D60A1EDC87A6973180D97147</t>
  </si>
  <si>
    <t>DYTyeTOA7jo7ffSnWDWnHm</t>
  </si>
  <si>
    <t>36277CA1D60A1EDC87A6973180D83147</t>
  </si>
  <si>
    <t>DYTyeTOA7jo7ffSnWDUHHm</t>
  </si>
  <si>
    <t>36277CA1D60A1EDC87A6973180D79147</t>
  </si>
  <si>
    <t>DYTyeTOA7jo7ffSnWDRnHm</t>
  </si>
  <si>
    <t>36277CA1D60A1EDC87A6973180D6F147</t>
  </si>
  <si>
    <t>DYTyeTOA7jo7ffSnWDPHHm</t>
  </si>
  <si>
    <t>36277CA1D60A1EDC87A6973180D65147</t>
  </si>
  <si>
    <t>DYTyeTOA7jo7ffSnWDKHHm</t>
  </si>
  <si>
    <t>36277CA1D60A1EDC87A6973180D51147</t>
  </si>
  <si>
    <t>DYTyeTOA7jo7ffSBf4unHm</t>
  </si>
  <si>
    <t>36277CA1D60A1EDC87A6970BA44E3147</t>
  </si>
  <si>
    <t>DYTyeTOA7jo7ffSBf4sHHm</t>
  </si>
  <si>
    <t>36277CA1D60A1EDC87A6970BA44D9147</t>
  </si>
  <si>
    <t>DYTyeTOA7jo7ffSBf4knHm</t>
  </si>
  <si>
    <t>36277CA1D60A1EDC87A6970BA44BB147</t>
  </si>
  <si>
    <t>DYTyeTOA7jo7ffSBf4fnHm</t>
  </si>
  <si>
    <t>36277CA1D60A1EDC87A6970BA44A7147</t>
  </si>
  <si>
    <t>DYTyeTOA7jo7ffSBf4VnHm</t>
  </si>
  <si>
    <t>36277CA1D60A1EDC87A6970BA447F147</t>
  </si>
  <si>
    <t>DYTyeTOA7jo7ffSBf4OHHm</t>
  </si>
  <si>
    <t>36277CA1D60A1EDC87A6970BA4461147</t>
  </si>
  <si>
    <t>DYTyeTOA7jo7ffSBf4LnHm</t>
  </si>
  <si>
    <t>36277CA1D60A1EDC87A6970BA4457147</t>
  </si>
  <si>
    <t>DYTyeTOA7jo7ffSBf4EHHm</t>
  </si>
  <si>
    <t>36277CA1D60A1EDC87A6970BA4439147</t>
  </si>
  <si>
    <t>DYTyeTOA7jo7ffSBf49HHm</t>
  </si>
  <si>
    <t>36277CA1D60A1EDC87A6970BA4425147</t>
  </si>
  <si>
    <t>DYTyeTOA7jo7ffSBf46nHm</t>
  </si>
  <si>
    <t>36277CA1D60A1EDC87A6970BA441B147</t>
  </si>
  <si>
    <t>DYTyeTOA7jo7ffSBf3wHHm</t>
  </si>
  <si>
    <t>36277CA1D60A1EDC87A6970BA43E9147</t>
  </si>
  <si>
    <t>DYTyeTOA7jo7ffSBf3tnHm</t>
  </si>
  <si>
    <t>36277CA1D60A1EDC87A6970BA43DF147</t>
  </si>
  <si>
    <t>DYTyeTOA7jo7ffSBf3onHm</t>
  </si>
  <si>
    <t>36277CA1D60A1EDC87A6970BA43CB147</t>
  </si>
  <si>
    <t>DYTyeTOA7jo7ffSBf3jnHm</t>
  </si>
  <si>
    <t>36277CA1D60A1EDC87A6970BA43B7147</t>
  </si>
  <si>
    <t>DYTyeTOA7jo7ffSBf3hHHm</t>
  </si>
  <si>
    <t>36277CA1D60A1EDC87A6970BA43AD147</t>
  </si>
  <si>
    <t>DYTyeTOA7jo7ffSBf3enHm</t>
  </si>
  <si>
    <t>36277CA1D60A1EDC87A6970BA43A3147</t>
  </si>
  <si>
    <t>DYTyeTOA7jo7ffSBf3SHHm</t>
  </si>
  <si>
    <t>36277CA1D60A1EDC87A6970BA4371147</t>
  </si>
  <si>
    <t>DYTyeTOA7jo7ffRba}iHHm</t>
  </si>
  <si>
    <t>36277CA1D60A1EDC87A696E593FB1147</t>
  </si>
  <si>
    <t>DYTyeTOA7jo7ffRba}anHm</t>
  </si>
  <si>
    <t>36277CA1D60A1EDC87A696E593F93147</t>
  </si>
  <si>
    <t>DYTyeTOA7jo7ffRba}YHHm</t>
  </si>
  <si>
    <t>36277CA1D60A1EDC87A696E593F89147</t>
  </si>
  <si>
    <t>DYTyeTOA7jo7ffRba}THHm</t>
  </si>
  <si>
    <t>36277CA1D60A1EDC87A696E593F75147</t>
  </si>
  <si>
    <t>DYTyeTOA7jo7ffRba}JHHm</t>
  </si>
  <si>
    <t>36277CA1D60A1EDC87A696E593F4D147</t>
  </si>
  <si>
    <t>DYTyeTOA7jo7ffRba}GnHm</t>
  </si>
  <si>
    <t>36277CA1D60A1EDC87A696E593F43147</t>
  </si>
  <si>
    <t>DYTyeTOA7jo7ffQP0ITHHm</t>
  </si>
  <si>
    <t>36277CA1D60A1EDC87A6969901275147</t>
  </si>
  <si>
    <t>DYTn7wC67ksLqYtEehPhkm</t>
  </si>
  <si>
    <t>3627711FA3061EED95D22DCEA2B66BBB</t>
  </si>
  <si>
    <t>DYTyeTOA7jo7ffQP0IEHHm</t>
  </si>
  <si>
    <t>36277CA1D60A1EDC87A6969901239147</t>
  </si>
  <si>
    <t>DYTyeTOA7jo7ffQP0IBnHm</t>
  </si>
  <si>
    <t>36277CA1D60A1EDC87A696990122F147</t>
  </si>
  <si>
    <t>DYTyeTOA7jo7ffQP0I6nHm</t>
  </si>
  <si>
    <t>36277CA1D60A1EDC87A696990121B147</t>
  </si>
  <si>
    <t>DYTyeTOA7jo7ffQP0I4HHm</t>
  </si>
  <si>
    <t>36277CA1D60A1EDC87A6969901211147</t>
  </si>
  <si>
    <t>DYTyeTOA7jo7ffQP0I1nHm</t>
  </si>
  <si>
    <t>36277CA1D60A1EDC87A6969901207147</t>
  </si>
  <si>
    <t>DYTyeTOA7jo7ffQP0HwHHm</t>
  </si>
  <si>
    <t>36277CA1D60A1EDC87A69699011E9147</t>
  </si>
  <si>
    <t>DYTyeTOA7jo7ffQP0HonHm</t>
  </si>
  <si>
    <t>36277CA1D60A1EDC87A69699011CB147</t>
  </si>
  <si>
    <t>DYTyeTOA7jo7ffQP0HenHm</t>
  </si>
  <si>
    <t>36277CA1D60A1EDC87A69699011A3147</t>
  </si>
  <si>
    <t>DYTyeTOA7jo7ffQP0HZnHm</t>
  </si>
  <si>
    <t>36277CA1D60A1EDC87A696990118F147</t>
  </si>
  <si>
    <t>DYTyeTOA7jo7ffQP0HXHHm</t>
  </si>
  <si>
    <t>36277CA1D60A1EDC87A6969901185147</t>
  </si>
  <si>
    <t>DYTyeTOA7jo7ffPqluCnHm</t>
  </si>
  <si>
    <t>36277CA1D60A1EDC87A69674BF833147</t>
  </si>
  <si>
    <t>DYTn7wC67jsCpMr3cInIrm</t>
  </si>
  <si>
    <t>3627711FA3061EDD8CCD6D43992C52D7</t>
  </si>
  <si>
    <t>DYTn7wC67ksCXapXtzeW}G</t>
  </si>
  <si>
    <t>3627711FA3061EED8C864CE1DFDA20FD</t>
  </si>
  <si>
    <t>lObs60547k{Plrg1cFG7JW</t>
  </si>
  <si>
    <t>BD89761801441EEF99BF5A8198F4074E</t>
  </si>
  <si>
    <t>lObs60547k{PlsoqEEp9BG</t>
  </si>
  <si>
    <t>BD89761801441EEF99BF6CB438ECC92D</t>
  </si>
  <si>
    <t>XYZ_COVERAGE</t>
  </si>
  <si>
    <t>ABC_COVERAGE</t>
  </si>
  <si>
    <t>XYZ Indicator</t>
  </si>
  <si>
    <t>ABC-indikator</t>
  </si>
  <si>
    <t>Migreringsstatus</t>
  </si>
  <si>
    <t>Fastsetting sikkerhLagermet.</t>
  </si>
  <si>
    <t>VM-behandlingstid</t>
  </si>
  <si>
    <t>Lokal.prod.-ID</t>
  </si>
  <si>
    <t>Produkt</t>
  </si>
  <si>
    <t>Endret kl.</t>
  </si>
  <si>
    <t>Endret den</t>
  </si>
  <si>
    <t>Endret av</t>
  </si>
  <si>
    <t>Planl. leveringstid</t>
  </si>
  <si>
    <t>Aut. annullering</t>
  </si>
  <si>
    <t>Slettemerking</t>
  </si>
  <si>
    <t>Fast partistørrelse</t>
  </si>
  <si>
    <t>Spesialanskaffelse</t>
  </si>
  <si>
    <t>Partiberegningsmetode</t>
  </si>
  <si>
    <t>Bestillingspunkt</t>
  </si>
  <si>
    <t>MRP-gruppe</t>
  </si>
  <si>
    <t>Materialplanlegger</t>
  </si>
  <si>
    <t>MRP-type</t>
  </si>
  <si>
    <t>MRP-område: Fabrikk</t>
  </si>
  <si>
    <t>MRP-område</t>
  </si>
  <si>
    <t>Antall</t>
  </si>
  <si>
    <t>Totalt antall MATNR</t>
  </si>
  <si>
    <t>STK</t>
  </si>
  <si>
    <t>ZHAW</t>
  </si>
  <si>
    <t>SET</t>
  </si>
  <si>
    <t>BOX</t>
  </si>
  <si>
    <t>PAK</t>
  </si>
  <si>
    <t>RUL</t>
  </si>
  <si>
    <t>PSE</t>
  </si>
  <si>
    <t>PAR</t>
  </si>
  <si>
    <t>TUB</t>
  </si>
  <si>
    <t>MEINS</t>
  </si>
  <si>
    <t>MATKL</t>
  </si>
  <si>
    <t>MTART</t>
  </si>
  <si>
    <t>MATNR</t>
  </si>
  <si>
    <t>Materialbeskrivelse</t>
  </si>
  <si>
    <t>4000005</t>
  </si>
  <si>
    <t>Filter steril Diasafe Plus</t>
  </si>
  <si>
    <t>4000009</t>
  </si>
  <si>
    <t>Bikarbonatpulver til 5008 900g</t>
  </si>
  <si>
    <t>4000014</t>
  </si>
  <si>
    <t>Forstøverbeger medikament m/munnstykke</t>
  </si>
  <si>
    <t>4000023</t>
  </si>
  <si>
    <t>Ernæringssett Infinity pack</t>
  </si>
  <si>
    <t>4000024</t>
  </si>
  <si>
    <t>Ernæringssett Flocare Infin mobil</t>
  </si>
  <si>
    <t>4000027</t>
  </si>
  <si>
    <t>Sonde ernæring ENFit Ch6/60cm</t>
  </si>
  <si>
    <t>4000032</t>
  </si>
  <si>
    <t>Væske infu NaCl 9mg/ml pose 500ml</t>
  </si>
  <si>
    <t>4000060</t>
  </si>
  <si>
    <t>Kran 3-veis luerlock u/slange</t>
  </si>
  <si>
    <t>4000061</t>
  </si>
  <si>
    <t>Kran 3-veis m/slange 10cm</t>
  </si>
  <si>
    <t>4000062</t>
  </si>
  <si>
    <t>Kran 3-veis m/slange 100cm</t>
  </si>
  <si>
    <t>4000063</t>
  </si>
  <si>
    <t>Infusett m/lufting 180cm</t>
  </si>
  <si>
    <t>4000065</t>
  </si>
  <si>
    <t>Propp kombi luer/luerlock rød</t>
  </si>
  <si>
    <t>4000066</t>
  </si>
  <si>
    <t>Kanyle spinal svart 22Gx88mm</t>
  </si>
  <si>
    <t>4000067</t>
  </si>
  <si>
    <t>Kanyle spinal gul 20Gx88mm</t>
  </si>
  <si>
    <t>4000069</t>
  </si>
  <si>
    <t>Kanyle opptrekk m/lokk/partik filter 5µm</t>
  </si>
  <si>
    <t>4000072</t>
  </si>
  <si>
    <t>Sprøyte m/kateterspiss 50/60ml</t>
  </si>
  <si>
    <t>4000073</t>
  </si>
  <si>
    <t>Sprøyte luerlock 50ml</t>
  </si>
  <si>
    <t>4000077</t>
  </si>
  <si>
    <t>Knivblad m/skaft suturfjern safety nr12</t>
  </si>
  <si>
    <t>4000078</t>
  </si>
  <si>
    <t>Knivblad opr nr10</t>
  </si>
  <si>
    <t>4000082</t>
  </si>
  <si>
    <t>Plaster sår vanntett</t>
  </si>
  <si>
    <t>4000084</t>
  </si>
  <si>
    <t>Autoklavetape dampster blå 18mmx55m</t>
  </si>
  <si>
    <t>4000090</t>
  </si>
  <si>
    <t>Filmbandasje 6x7cm</t>
  </si>
  <si>
    <t>4000094</t>
  </si>
  <si>
    <t>Film fiksering IV kanyle 7x8cm</t>
  </si>
  <si>
    <t>4000098</t>
  </si>
  <si>
    <t>Innsnittsduk opr m/jod 34x35cm</t>
  </si>
  <si>
    <t>4000099</t>
  </si>
  <si>
    <t>Innsnittsduk opr m/jod 56x60cm</t>
  </si>
  <si>
    <t>4000108</t>
  </si>
  <si>
    <t>Engangsblad standard til kir klipper</t>
  </si>
  <si>
    <t>4000273</t>
  </si>
  <si>
    <t>Sprøyte prefylt NaCl 0,9% SP 5ml</t>
  </si>
  <si>
    <t>4000274</t>
  </si>
  <si>
    <t>Sprøyte prefylt NaCl 0,9% SP 10ml</t>
  </si>
  <si>
    <t>4000275</t>
  </si>
  <si>
    <t>Kanyle injeksjon safety blå 23Gx25mm</t>
  </si>
  <si>
    <t>4000276</t>
  </si>
  <si>
    <t>Kanyle injeksjon safety grønn 21Gx40mm</t>
  </si>
  <si>
    <t>4000279</t>
  </si>
  <si>
    <t>Holder til blodprøvetakingskanyle 5-10ml</t>
  </si>
  <si>
    <t>4000280</t>
  </si>
  <si>
    <t>Adapter m/holder vakumrør luerlock blå</t>
  </si>
  <si>
    <t>4000286</t>
  </si>
  <si>
    <t>PVK safety m/brønn blå 22Gx25mm</t>
  </si>
  <si>
    <t>4000287</t>
  </si>
  <si>
    <t>PVK safety m/brønn rosa 20Gx32mm</t>
  </si>
  <si>
    <t>4000288</t>
  </si>
  <si>
    <t>PVK safety m/brønn grønn 18Gx32mm</t>
  </si>
  <si>
    <t>4000290</t>
  </si>
  <si>
    <t>PVK safety m/brønn grå 16Gx45mm</t>
  </si>
  <si>
    <t>4000291</t>
  </si>
  <si>
    <t>PVK safety m/brønn oransje 14Gx45mm</t>
  </si>
  <si>
    <t>4000310</t>
  </si>
  <si>
    <t>Sugesett kon tupp m/fingrkontr 3,5m</t>
  </si>
  <si>
    <t>4000311</t>
  </si>
  <si>
    <t>Sugeslange kon elastisk tupp 3,5m</t>
  </si>
  <si>
    <t>4000312</t>
  </si>
  <si>
    <t>Sugesett opr dobbelrør abdominal 3,5m</t>
  </si>
  <si>
    <t>4000313</t>
  </si>
  <si>
    <t>Sugeslange elastisk del 1m microkir 3,5m</t>
  </si>
  <si>
    <t>4000314</t>
  </si>
  <si>
    <t>Utbyttepose sårdren opr 700ml</t>
  </si>
  <si>
    <t>4000315</t>
  </si>
  <si>
    <t>Dren opr m/belg u/trokar sug&lt;75mmhg Ch10</t>
  </si>
  <si>
    <t>4000316</t>
  </si>
  <si>
    <t>Dren opr m/belg u/trokar sug&lt;75mmhg Ch14</t>
  </si>
  <si>
    <t>4000319</t>
  </si>
  <si>
    <t>Dren opr m/belg u/trokar sug&lt;25mmhg Ch18</t>
  </si>
  <si>
    <t>4000323</t>
  </si>
  <si>
    <t>Stomipose 2D Sensura Mio tømba maxi 50mm</t>
  </si>
  <si>
    <t>4000324</t>
  </si>
  <si>
    <t>Stomipose 2D Sensura Mio tømba maxi 70mm</t>
  </si>
  <si>
    <t>4000325</t>
  </si>
  <si>
    <t>Uridom lateksfri selvklebende Ø35mm norm</t>
  </si>
  <si>
    <t>4000328</t>
  </si>
  <si>
    <t>Stomipasta Coloplast formbar strimler</t>
  </si>
  <si>
    <t>4000330</t>
  </si>
  <si>
    <t>Kat urin tappe prefukt mann rett Ch10</t>
  </si>
  <si>
    <t>4000331</t>
  </si>
  <si>
    <t>Kat urin tappe prefukt mann rett Ch12</t>
  </si>
  <si>
    <t>4000332</t>
  </si>
  <si>
    <t>Kat urin tappe prefukt mann rett Ch14</t>
  </si>
  <si>
    <t>4000333</t>
  </si>
  <si>
    <t>Kat urin tappe prefukt mann rett Ch16</t>
  </si>
  <si>
    <t>4000334</t>
  </si>
  <si>
    <t>Kat urin tappe prefukt mann rett Ch18</t>
  </si>
  <si>
    <t>4000340</t>
  </si>
  <si>
    <t>Kat urin tappe prefukt kvinne Ch10</t>
  </si>
  <si>
    <t>4000341</t>
  </si>
  <si>
    <t>Kat urin tappe prefukt kvinne Ch12</t>
  </si>
  <si>
    <t>4000342</t>
  </si>
  <si>
    <t>Kat urin tappe prefukt kvinne Ch14</t>
  </si>
  <si>
    <t>4000343</t>
  </si>
  <si>
    <t>Festebånd til urinpose ben</t>
  </si>
  <si>
    <t>4000396</t>
  </si>
  <si>
    <t>Sprøyte blodgass 3ml u/kanyle</t>
  </si>
  <si>
    <t>4000403</t>
  </si>
  <si>
    <t>Knivblad opr nr20</t>
  </si>
  <si>
    <t>4000406</t>
  </si>
  <si>
    <t>Infusett blandesett 1-grenet</t>
  </si>
  <si>
    <t>4000411</t>
  </si>
  <si>
    <t>Steriliseringspose rull 75mmx200m</t>
  </si>
  <si>
    <t>4000412</t>
  </si>
  <si>
    <t>Steriliseringspose rull 100mmx200m</t>
  </si>
  <si>
    <t>4000413</t>
  </si>
  <si>
    <t>Steriliseringspose rull 150mmx200m</t>
  </si>
  <si>
    <t>4000414</t>
  </si>
  <si>
    <t>Steriliseringspose rull 200mmx200m</t>
  </si>
  <si>
    <t>4000415</t>
  </si>
  <si>
    <t>Steriliseringspose rull 250mmx200m</t>
  </si>
  <si>
    <t>4000416</t>
  </si>
  <si>
    <t>Steriliseringspose 205x400mm</t>
  </si>
  <si>
    <t>4000418</t>
  </si>
  <si>
    <t>Steriliseringspose 150x400mm</t>
  </si>
  <si>
    <t>4000419</t>
  </si>
  <si>
    <t>Steriliseringspose 100x200mm</t>
  </si>
  <si>
    <t>4000420</t>
  </si>
  <si>
    <t>Steriliseringspose 100x270mm</t>
  </si>
  <si>
    <t>4000426</t>
  </si>
  <si>
    <t>Hylse diatermiforlenger røykavsug 165mm</t>
  </si>
  <si>
    <t>4000427</t>
  </si>
  <si>
    <t>Vakumrør Li-Heparin gel grønn 4ml</t>
  </si>
  <si>
    <t>4000428</t>
  </si>
  <si>
    <t>Vakumrør Li-Heparin u/gel grønn 4ml</t>
  </si>
  <si>
    <t>4000430</t>
  </si>
  <si>
    <t>Vakumrør EDTA-K2 lilla 3ml</t>
  </si>
  <si>
    <t>4000432</t>
  </si>
  <si>
    <t>Vakumrør Na-citrat blå 3ml</t>
  </si>
  <si>
    <t>4000434</t>
  </si>
  <si>
    <t>Vakumrør K2-EDTA gel hvit 5ml</t>
  </si>
  <si>
    <t>4000435</t>
  </si>
  <si>
    <t>Vakumrør u/gel m/aktivator rød 6ml</t>
  </si>
  <si>
    <t>4000441</t>
  </si>
  <si>
    <t>Erme opr engangs steril</t>
  </si>
  <si>
    <t>4000442</t>
  </si>
  <si>
    <t>Kompress NW 4lag usteril 10x10cm</t>
  </si>
  <si>
    <t>4000443</t>
  </si>
  <si>
    <t>Kompress opr gas 8lag sydd 10x60cm 5pk</t>
  </si>
  <si>
    <t>4000445</t>
  </si>
  <si>
    <t>Sprøyte luer 1ml</t>
  </si>
  <si>
    <t>4000447</t>
  </si>
  <si>
    <t>Sprøyte luer 2,5ml</t>
  </si>
  <si>
    <t>4000449</t>
  </si>
  <si>
    <t>Sprøyte luer 5ml</t>
  </si>
  <si>
    <t>4000452</t>
  </si>
  <si>
    <t>Tupfer opr gas nr3 5pk</t>
  </si>
  <si>
    <t>4000455</t>
  </si>
  <si>
    <t>Kat urin 3v hematuri Couvelair 50ml/Ch18</t>
  </si>
  <si>
    <t>4000457</t>
  </si>
  <si>
    <t>Kat urin 3v hematuri Couvelair 70ml/Ch22</t>
  </si>
  <si>
    <t>4000493</t>
  </si>
  <si>
    <t>Stomi tetningsring 4mm tykk 18-48mm</t>
  </si>
  <si>
    <t>4000740</t>
  </si>
  <si>
    <t>Bomullspinne tre usteril 15cm</t>
  </si>
  <si>
    <t>4000755</t>
  </si>
  <si>
    <t>Tupfer opr gas nr0 5pk</t>
  </si>
  <si>
    <t>4000757</t>
  </si>
  <si>
    <t>Bandasje skum selvkleb tynn 10x10cm</t>
  </si>
  <si>
    <t>4000758</t>
  </si>
  <si>
    <t>Bandasje silikonnett 5x7cm</t>
  </si>
  <si>
    <t>4000759</t>
  </si>
  <si>
    <t>Bandasje silikonnett 7,5x10cm</t>
  </si>
  <si>
    <t>4000760</t>
  </si>
  <si>
    <t>Bandasje silikonnett 10x18cm</t>
  </si>
  <si>
    <t>4000761</t>
  </si>
  <si>
    <t>Bandasje skum m/silikon 10x10cm</t>
  </si>
  <si>
    <t>4000763</t>
  </si>
  <si>
    <t>Tape fiksering NW m/beskyttpap 10cmx10m</t>
  </si>
  <si>
    <t>4000764</t>
  </si>
  <si>
    <t>Tape fiksering NW m/beskyttpap 15cmx10m</t>
  </si>
  <si>
    <t>4000765</t>
  </si>
  <si>
    <t>Tape fiksering NW m/beskyttpap 20cmx10m</t>
  </si>
  <si>
    <t>4000766</t>
  </si>
  <si>
    <t>Hanske opr syntetisk micro indikator 6,0</t>
  </si>
  <si>
    <t>4000767</t>
  </si>
  <si>
    <t>Hanske opr syntetisk micro indikator 6,5</t>
  </si>
  <si>
    <t>4000768</t>
  </si>
  <si>
    <t>Hanske opr syntetisk micro indikator 7,0</t>
  </si>
  <si>
    <t>4000769</t>
  </si>
  <si>
    <t>Hanske opr syntetisk micro indikator 7,5</t>
  </si>
  <si>
    <t>4000770</t>
  </si>
  <si>
    <t>Hanske opr syntetisk micro indikator 8,0</t>
  </si>
  <si>
    <t>4000771</t>
  </si>
  <si>
    <t>Hanske opr syntetisk micro indikator 8,5</t>
  </si>
  <si>
    <t>4000772</t>
  </si>
  <si>
    <t>Hanske opr syntetisk micro 7,0</t>
  </si>
  <si>
    <t>4000773</t>
  </si>
  <si>
    <t>Hanske opr syntetisk micro 8,0</t>
  </si>
  <si>
    <t>4000775</t>
  </si>
  <si>
    <t>Laken opr hånd/fot elastisk hull 150x180</t>
  </si>
  <si>
    <t>4000776</t>
  </si>
  <si>
    <t>Hanske opr lateks indikator 6,0</t>
  </si>
  <si>
    <t>4000777</t>
  </si>
  <si>
    <t>Hanske opr lateks indikator 6,5</t>
  </si>
  <si>
    <t>4000778</t>
  </si>
  <si>
    <t>Hanske opr lateks indikator 7,0</t>
  </si>
  <si>
    <t>4000779</t>
  </si>
  <si>
    <t>Hanske opr lateks indikator 7,5</t>
  </si>
  <si>
    <t>4000780</t>
  </si>
  <si>
    <t>Hanske opr lateks indikator 8,0</t>
  </si>
  <si>
    <t>4000781</t>
  </si>
  <si>
    <t>Hanske opr lateks indikator 8,5</t>
  </si>
  <si>
    <t>4000786</t>
  </si>
  <si>
    <t>Hanske opr lateks utbytte indik 6,0</t>
  </si>
  <si>
    <t>4000787</t>
  </si>
  <si>
    <t>Hanske opr lateks utbytte indik 6,5</t>
  </si>
  <si>
    <t>4000788</t>
  </si>
  <si>
    <t>Hanske opr lateks utbytte indik 7,0</t>
  </si>
  <si>
    <t>4000789</t>
  </si>
  <si>
    <t>Hanske opr lateks utbytte indik 7,5</t>
  </si>
  <si>
    <t>4000790</t>
  </si>
  <si>
    <t>Hanske opr lateks utbytte indik 8,0</t>
  </si>
  <si>
    <t>4000791</t>
  </si>
  <si>
    <t>Hanske opr lateks utbytte indik 8,5</t>
  </si>
  <si>
    <t>4000793</t>
  </si>
  <si>
    <t>Ernæringssett Applix EasyBag mobil</t>
  </si>
  <si>
    <t>4000794</t>
  </si>
  <si>
    <t>Ernæringssett Applix Bag mobil</t>
  </si>
  <si>
    <t>4000795</t>
  </si>
  <si>
    <t>Ernæringssett Applix EasyBag</t>
  </si>
  <si>
    <t>4000800</t>
  </si>
  <si>
    <t>Sprøyte ernæring ENFit 3ml</t>
  </si>
  <si>
    <t>4000801</t>
  </si>
  <si>
    <t>Sprøyte ernæring ENFit 5ml</t>
  </si>
  <si>
    <t>4000802</t>
  </si>
  <si>
    <t>Sprøyte ernæring ENFit 10ml</t>
  </si>
  <si>
    <t>4000803</t>
  </si>
  <si>
    <t>Sprøyte ernæring ENFit 20ml</t>
  </si>
  <si>
    <t>4000804</t>
  </si>
  <si>
    <t>Sprøyte ernæring ENFit 60ml</t>
  </si>
  <si>
    <t>4000805</t>
  </si>
  <si>
    <t>Sprøyte ernæring ENFit 1ml</t>
  </si>
  <si>
    <t>4000830</t>
  </si>
  <si>
    <t>Kanyle opptrekk m/filter butt 18Gx40mm</t>
  </si>
  <si>
    <t>4000835</t>
  </si>
  <si>
    <t>Kateterklemme</t>
  </si>
  <si>
    <t>4000893</t>
  </si>
  <si>
    <t>Kat urin 2veis silikon 10ml/Ch22</t>
  </si>
  <si>
    <t>4000894</t>
  </si>
  <si>
    <t>Kat urin korttids prefylt 10ml/Ch12</t>
  </si>
  <si>
    <t>4000895</t>
  </si>
  <si>
    <t>Kat urin korttids prefylt 10ml/Ch14</t>
  </si>
  <si>
    <t>4000896</t>
  </si>
  <si>
    <t>Kat urin korttids prefylt 10ml/Ch16</t>
  </si>
  <si>
    <t>4000897</t>
  </si>
  <si>
    <t>Kat urin korttids prefylt 10ml/Ch18</t>
  </si>
  <si>
    <t>4000966</t>
  </si>
  <si>
    <t>Ventil nålfri 2løp slange m/forlengelse</t>
  </si>
  <si>
    <t>4000969</t>
  </si>
  <si>
    <t>Kateter sug rett Ch8 53cm</t>
  </si>
  <si>
    <t>4000972</t>
  </si>
  <si>
    <t>Tube svelg nr00/5cm</t>
  </si>
  <si>
    <t>4000973</t>
  </si>
  <si>
    <t>Tube svelg nr0/6cm</t>
  </si>
  <si>
    <t>4000974</t>
  </si>
  <si>
    <t>Tube svelg nr1/6,5cm</t>
  </si>
  <si>
    <t>4000975</t>
  </si>
  <si>
    <t>Tube svelg nr2/8cm</t>
  </si>
  <si>
    <t>4000976</t>
  </si>
  <si>
    <t>Tube svelg nr3/9cm</t>
  </si>
  <si>
    <t>4000977</t>
  </si>
  <si>
    <t>Tube svelg nr4/10cm</t>
  </si>
  <si>
    <t>4000978</t>
  </si>
  <si>
    <t>Sonde mage steril enlumen Ch22/80cm</t>
  </si>
  <si>
    <t>4000979</t>
  </si>
  <si>
    <t>Sonde mage steril enlumen Ch28/80cm</t>
  </si>
  <si>
    <t>4000981</t>
  </si>
  <si>
    <t>Transfusjonssett 1-grenet 180cm</t>
  </si>
  <si>
    <t>4000988</t>
  </si>
  <si>
    <t>Sonde rektal Ch22 40cm</t>
  </si>
  <si>
    <t>4000989</t>
  </si>
  <si>
    <t>Sonde rektal Ch24/40cm</t>
  </si>
  <si>
    <t>4001115</t>
  </si>
  <si>
    <t>Mikrorør serum m/gel komplett gul</t>
  </si>
  <si>
    <t>4001116</t>
  </si>
  <si>
    <t>Sonde duodenal rtg-tett Ch14/121cm</t>
  </si>
  <si>
    <t>4001117</t>
  </si>
  <si>
    <t>Sonde duodenal rtg-tett Ch12/121cm</t>
  </si>
  <si>
    <t>4001118</t>
  </si>
  <si>
    <t>Sonde duodenal rtg-tett Ch16/121cm</t>
  </si>
  <si>
    <t>4001120</t>
  </si>
  <si>
    <t>Tube endotrach m/cuff 9,0mm</t>
  </si>
  <si>
    <t>4001122</t>
  </si>
  <si>
    <t>Hanske opr syntetisk 6,0</t>
  </si>
  <si>
    <t>4001123</t>
  </si>
  <si>
    <t>Hanske opr syntetisk 6,5</t>
  </si>
  <si>
    <t>4001124</t>
  </si>
  <si>
    <t>Hanske opr syntetisk 8,5</t>
  </si>
  <si>
    <t>4001125</t>
  </si>
  <si>
    <t>Kanyle arterie safety m/skyvlås20Gx45mm</t>
  </si>
  <si>
    <t>4001127</t>
  </si>
  <si>
    <t>Kateter sug rett Ch12 53cm</t>
  </si>
  <si>
    <t>4001128</t>
  </si>
  <si>
    <t>Kateter sug bøyd Ch12/53cm</t>
  </si>
  <si>
    <t>4001129</t>
  </si>
  <si>
    <t>Kateter sug bøyd Ch16/53cm</t>
  </si>
  <si>
    <t>4001130</t>
  </si>
  <si>
    <t>Vaskesett opr stort</t>
  </si>
  <si>
    <t>4001133</t>
  </si>
  <si>
    <t>Tube endotrach preform oral m/cuff 4,0mm</t>
  </si>
  <si>
    <t>4001134</t>
  </si>
  <si>
    <t>Tube endotrach preform oral m/cuff 4,5mm</t>
  </si>
  <si>
    <t>4001135</t>
  </si>
  <si>
    <t>Tube endotrach preform oral m/cuff 5,0mm</t>
  </si>
  <si>
    <t>4001136</t>
  </si>
  <si>
    <t>Tube endotrach preform oral m/cuff 5,5mm</t>
  </si>
  <si>
    <t>4001137</t>
  </si>
  <si>
    <t>Tube endotrach preform oral m/cuff 7,0mm</t>
  </si>
  <si>
    <t>4001138</t>
  </si>
  <si>
    <t>Tube endotrach preform oral m/cuff 8,0mm</t>
  </si>
  <si>
    <t>4001160</t>
  </si>
  <si>
    <t>Hullduk opr hull 6x8cm m/limkant 50x60cm</t>
  </si>
  <si>
    <t>4001161</t>
  </si>
  <si>
    <t>Skyllesett uro dobbelt m/ecoklick-kobl</t>
  </si>
  <si>
    <t>4001170</t>
  </si>
  <si>
    <t>Tupp irrigasjon konet</t>
  </si>
  <si>
    <t>4001194</t>
  </si>
  <si>
    <t>Kompress salve steril 10cmx7m (boks)</t>
  </si>
  <si>
    <t>4001207</t>
  </si>
  <si>
    <t>Bind kompresjon langelast 8cmx7m</t>
  </si>
  <si>
    <t>4001208</t>
  </si>
  <si>
    <t>Bind kompr langelast 10cmx7m</t>
  </si>
  <si>
    <t>4001211</t>
  </si>
  <si>
    <t>Kompress NW 4lag steril 5x5cm 2pk</t>
  </si>
  <si>
    <t>4001215</t>
  </si>
  <si>
    <t>Stomipasta m/sprit tube 60g</t>
  </si>
  <si>
    <t>4001216</t>
  </si>
  <si>
    <t>Kompress opr duk NW 40x65cm 1pk</t>
  </si>
  <si>
    <t>4001221</t>
  </si>
  <si>
    <t>Bind støtte elastisk 6cmx5m</t>
  </si>
  <si>
    <t>4001225</t>
  </si>
  <si>
    <t>Kateter sug rett Ch6 53cm</t>
  </si>
  <si>
    <t>4001233</t>
  </si>
  <si>
    <t>Slange forlengelse infu Ø0,9/1,9mm 1,5m</t>
  </si>
  <si>
    <t>4001237</t>
  </si>
  <si>
    <t>Pocketmaske sett enpas komplett</t>
  </si>
  <si>
    <t>4001241</t>
  </si>
  <si>
    <t>Hanske plast steril M</t>
  </si>
  <si>
    <t>4001257</t>
  </si>
  <si>
    <t>Kateter O2-grime Ch14 slange 2m</t>
  </si>
  <si>
    <t>4001264</t>
  </si>
  <si>
    <t>Hanske opr syntetisk 7,5</t>
  </si>
  <si>
    <t>4001277</t>
  </si>
  <si>
    <t>Bandasje absorb selvkleb 10x35cm</t>
  </si>
  <si>
    <t>4001278</t>
  </si>
  <si>
    <t>Bandasje absorb selvkleb 10x25cm</t>
  </si>
  <si>
    <t>4001279</t>
  </si>
  <si>
    <t>Bandasje absorb selvkleb 10x15cm</t>
  </si>
  <si>
    <t>4001282</t>
  </si>
  <si>
    <t>Sprøyte luer 20ml</t>
  </si>
  <si>
    <t>4001283</t>
  </si>
  <si>
    <t>Sprøyte luer 10ml</t>
  </si>
  <si>
    <t>4001285</t>
  </si>
  <si>
    <t>Tape mikroporøs m/dispenser 25mm</t>
  </si>
  <si>
    <t>4001287</t>
  </si>
  <si>
    <t>Bandasje absorb selvkleb 5x7cm</t>
  </si>
  <si>
    <t>4001288</t>
  </si>
  <si>
    <t>Bandasje absorb selvkleb 10x20cm</t>
  </si>
  <si>
    <t>4001289</t>
  </si>
  <si>
    <t>Bandasje absorb tykk 10x13cm</t>
  </si>
  <si>
    <t>4001290</t>
  </si>
  <si>
    <t>Bandasje absorb tykk 23x30cm</t>
  </si>
  <si>
    <t>4001291</t>
  </si>
  <si>
    <t>Bandasje absorb tykk 10x23cm</t>
  </si>
  <si>
    <t>4001293</t>
  </si>
  <si>
    <t>Bind fiksering elastisk 8cmx4m</t>
  </si>
  <si>
    <t>4001295</t>
  </si>
  <si>
    <t>Trekk C-bue rektangulær universl 104x188</t>
  </si>
  <si>
    <t>4001298</t>
  </si>
  <si>
    <t>Propp PE nøytral til reagensrør Ø16mm</t>
  </si>
  <si>
    <t>4001307</t>
  </si>
  <si>
    <t>Kompress opr gas 4lag sydd 10x60cm 5pk</t>
  </si>
  <si>
    <t>4001310</t>
  </si>
  <si>
    <t>Oppdekkingssett ØNH</t>
  </si>
  <si>
    <t>4001311</t>
  </si>
  <si>
    <t>Dren thorax u/trokar Ch32/ca 50cm</t>
  </si>
  <si>
    <t>4001312</t>
  </si>
  <si>
    <t>Kateter sug bøyd Ch14/53cm</t>
  </si>
  <si>
    <t>4001314</t>
  </si>
  <si>
    <t>Vakumrør EDTA-K2 lilla 6ml</t>
  </si>
  <si>
    <t>4001315</t>
  </si>
  <si>
    <t>Slange O2 m/kopling 2,1m</t>
  </si>
  <si>
    <t>4001316</t>
  </si>
  <si>
    <t>Tape fiksering elast brun 2,5cmx4,5m</t>
  </si>
  <si>
    <t>4001318</t>
  </si>
  <si>
    <t>Sugesett rektoskopi 2m</t>
  </si>
  <si>
    <t>4001320</t>
  </si>
  <si>
    <t>Bandasje absorb tykk 15x23cm</t>
  </si>
  <si>
    <t>4001323</t>
  </si>
  <si>
    <t>Rektoskopitube engangs 25cm</t>
  </si>
  <si>
    <t>4001324</t>
  </si>
  <si>
    <t>Drenasjesystem thorax tørr barn/voks</t>
  </si>
  <si>
    <t>4001327</t>
  </si>
  <si>
    <t>Sugeslange m/fingrktr usteril 2m</t>
  </si>
  <si>
    <t>4001328</t>
  </si>
  <si>
    <t>Duk opr m/limkant ca50x50cm</t>
  </si>
  <si>
    <t>4001331</t>
  </si>
  <si>
    <t>Pinsett sårvask steril engangs</t>
  </si>
  <si>
    <t>4001333</t>
  </si>
  <si>
    <t>Frakk opr forsterket 140cm L</t>
  </si>
  <si>
    <t>4001334</t>
  </si>
  <si>
    <t>Pose opr sug/diatermi 2rom ca30x40cm</t>
  </si>
  <si>
    <t>4001335</t>
  </si>
  <si>
    <t>Assistansebordpose opr</t>
  </si>
  <si>
    <t>4001336</t>
  </si>
  <si>
    <t>Laken opr m/limkant ca180x180m</t>
  </si>
  <si>
    <t>4001337</t>
  </si>
  <si>
    <t>Duk opr m/limkant 75x75cm</t>
  </si>
  <si>
    <t>4001338</t>
  </si>
  <si>
    <t>Duk opr u/limkant 75x90cm</t>
  </si>
  <si>
    <t>4001339</t>
  </si>
  <si>
    <t>Oppdekkingssett universal voksen</t>
  </si>
  <si>
    <t>4001340</t>
  </si>
  <si>
    <t>Oppdekkingssett TUR</t>
  </si>
  <si>
    <t>4001341</t>
  </si>
  <si>
    <t>Tape sårlukking elast 6x100mm 10strips</t>
  </si>
  <si>
    <t>4001343</t>
  </si>
  <si>
    <t>Tubebandasje netting lateks nr5 3cm</t>
  </si>
  <si>
    <t>4001344</t>
  </si>
  <si>
    <t>Tubebandasje netting lateks nr3 2,2cm</t>
  </si>
  <si>
    <t>4001345</t>
  </si>
  <si>
    <t>Tubebandasje netting lateks nr1 1,8cm</t>
  </si>
  <si>
    <t>4001347</t>
  </si>
  <si>
    <t>Tubegas bomull 2,5cmx20m</t>
  </si>
  <si>
    <t>4001348</t>
  </si>
  <si>
    <t>Tube endotrach m/cuff 5,5mm</t>
  </si>
  <si>
    <t>4001349</t>
  </si>
  <si>
    <t>Tube endotrach m/cuff 5,0mm</t>
  </si>
  <si>
    <t>4001350</t>
  </si>
  <si>
    <t>Tupfer gas trekant usteril nr2</t>
  </si>
  <si>
    <t>4001351</t>
  </si>
  <si>
    <t>Laken opr m/splitt 7x70cm 150x183cm</t>
  </si>
  <si>
    <t>4001354</t>
  </si>
  <si>
    <t>Hanske opr syntetisk 8,0</t>
  </si>
  <si>
    <t>4001357</t>
  </si>
  <si>
    <t>Skyllesett uro dobbelt m/spike</t>
  </si>
  <si>
    <t>4001359</t>
  </si>
  <si>
    <t>Hanske opr lateks 6,0</t>
  </si>
  <si>
    <t>4001363</t>
  </si>
  <si>
    <t>Hanske opr lateks 8,5</t>
  </si>
  <si>
    <t>4001364</t>
  </si>
  <si>
    <t>Hanske opr syntetisk 7,0</t>
  </si>
  <si>
    <t>4001365</t>
  </si>
  <si>
    <t>Tubegas bomull 6cmx20m</t>
  </si>
  <si>
    <t>4001366</t>
  </si>
  <si>
    <t>Urinpose ben flerkam tømbar slange 30cm</t>
  </si>
  <si>
    <t>4001367</t>
  </si>
  <si>
    <t>Kateter sug rett Ch10 53cm</t>
  </si>
  <si>
    <t>4001368</t>
  </si>
  <si>
    <t>Kateter sug rett Ch14 53cm</t>
  </si>
  <si>
    <t>4001369</t>
  </si>
  <si>
    <t>Kateter sug rett Ch16 53cm</t>
  </si>
  <si>
    <t>4001371</t>
  </si>
  <si>
    <t>Slange O2 boble klar Ø7mmx30m</t>
  </si>
  <si>
    <t>4001373</t>
  </si>
  <si>
    <t>Frakk opr standard 150cm XL</t>
  </si>
  <si>
    <t>4001374</t>
  </si>
  <si>
    <t>Frakk opr forsterket 150cm XL</t>
  </si>
  <si>
    <t>4001376</t>
  </si>
  <si>
    <t>Mikrorør EDTA K2 lilla</t>
  </si>
  <si>
    <t>4001379</t>
  </si>
  <si>
    <t>Pose væskeoppsaml opr m/lim 50x55cm</t>
  </si>
  <si>
    <t>4001380</t>
  </si>
  <si>
    <t>Bind støtte elastisk 8cmx5m</t>
  </si>
  <si>
    <t>4001383</t>
  </si>
  <si>
    <t>Tube endotrach m/cuff 8,0mm</t>
  </si>
  <si>
    <t>4001384</t>
  </si>
  <si>
    <t>Tube endotrach m/cuff 7,0mm</t>
  </si>
  <si>
    <t>4001385</t>
  </si>
  <si>
    <t>Tube endotrach m/cuff 6,0mm</t>
  </si>
  <si>
    <t>4001387</t>
  </si>
  <si>
    <t>Bind fiksering elastisk 6cmx4m</t>
  </si>
  <si>
    <t>4001388</t>
  </si>
  <si>
    <t>Bind fiksering elastisk 10cmx4m</t>
  </si>
  <si>
    <t>4001390</t>
  </si>
  <si>
    <t>Bandasje absorb selvkleb 10x10cm</t>
  </si>
  <si>
    <t>4001396</t>
  </si>
  <si>
    <t>Dren thorax u/trokar Ch24/ca 50cm</t>
  </si>
  <si>
    <t>4001401</t>
  </si>
  <si>
    <t>Infusett Neria 8mm80cm</t>
  </si>
  <si>
    <t>4001403</t>
  </si>
  <si>
    <t>Infusett Neria Soft 17mm/60cm</t>
  </si>
  <si>
    <t>4001449</t>
  </si>
  <si>
    <t>Tube endotrach preform oral m/cuff 6,0mm</t>
  </si>
  <si>
    <t>4001451</t>
  </si>
  <si>
    <t>Maske aerosol ansiktstelt</t>
  </si>
  <si>
    <t>4001458</t>
  </si>
  <si>
    <t>Maske O2 m/slange 2m barn</t>
  </si>
  <si>
    <t>4001459</t>
  </si>
  <si>
    <t>Maske O2 u/slange voksen</t>
  </si>
  <si>
    <t>4001461</t>
  </si>
  <si>
    <t>Maske aerosol voksen</t>
  </si>
  <si>
    <t>4001523</t>
  </si>
  <si>
    <t>Øretube otoskop universal grå 4,0mm</t>
  </si>
  <si>
    <t>4001524</t>
  </si>
  <si>
    <t>Øretube otoskop universal grå 2,5mm</t>
  </si>
  <si>
    <t>4001551</t>
  </si>
  <si>
    <t>Ventil tilbakeslag infusjon</t>
  </si>
  <si>
    <t>4001562</t>
  </si>
  <si>
    <t>Pleuratappesett m/3-veiskran og sprøyte</t>
  </si>
  <si>
    <t>4001572</t>
  </si>
  <si>
    <t>Tape mikroporøs m/dispenser 12,5mm</t>
  </si>
  <si>
    <t>4001573</t>
  </si>
  <si>
    <t>Tape mikroporøs m/dispenser 50mm</t>
  </si>
  <si>
    <t>4001574</t>
  </si>
  <si>
    <t>Tape silke 2,5cmx9,2m</t>
  </si>
  <si>
    <t>4001576</t>
  </si>
  <si>
    <t>Filmbandasje 10x12cm</t>
  </si>
  <si>
    <t>4001609</t>
  </si>
  <si>
    <t>Slangesett m/fuktekamm EVAQUA2 voksen</t>
  </si>
  <si>
    <t>4001630</t>
  </si>
  <si>
    <t>Trykksett art 1linje lukk m/flush 1port</t>
  </si>
  <si>
    <t>4001691</t>
  </si>
  <si>
    <t>Stomiplate Sensura Mioflex klipp 40 50mm</t>
  </si>
  <si>
    <t>4001701</t>
  </si>
  <si>
    <t>Plasterfjerner serviett 50stk</t>
  </si>
  <si>
    <t>4001754</t>
  </si>
  <si>
    <t>Bind støtte elastisk 10cmx4m</t>
  </si>
  <si>
    <t>4001762</t>
  </si>
  <si>
    <t>Knivblad opr nr11</t>
  </si>
  <si>
    <t>4001763</t>
  </si>
  <si>
    <t>Knivblad opr nr15</t>
  </si>
  <si>
    <t>4001764</t>
  </si>
  <si>
    <t>Knivblad opr nr21</t>
  </si>
  <si>
    <t>4001809</t>
  </si>
  <si>
    <t>Propp kombi luer/luerlock hvit</t>
  </si>
  <si>
    <t>4001853</t>
  </si>
  <si>
    <t>Tubebandasje netting lateks nr6 5,6cm</t>
  </si>
  <si>
    <t>4001951</t>
  </si>
  <si>
    <t>T-stykke innhalator AerogenPro voksen</t>
  </si>
  <si>
    <t>4001953</t>
  </si>
  <si>
    <t>Forstøverbeger Aeroneb Solo</t>
  </si>
  <si>
    <t>4001969</t>
  </si>
  <si>
    <t>Slange O2 boble grønn Ø3mmx30m</t>
  </si>
  <si>
    <t>4002229</t>
  </si>
  <si>
    <t>Dren thorax m/trokar Ch20/40cm</t>
  </si>
  <si>
    <t>4002233</t>
  </si>
  <si>
    <t>Filter HME voksen</t>
  </si>
  <si>
    <t>4002277</t>
  </si>
  <si>
    <t>Bandasje skum m/silik/kleb 10x10cm</t>
  </si>
  <si>
    <t>4002292</t>
  </si>
  <si>
    <t>Ventil mottrykks Antisifon</t>
  </si>
  <si>
    <t>4002298</t>
  </si>
  <si>
    <t>Ernæringssett gravitasjon</t>
  </si>
  <si>
    <t>4002302</t>
  </si>
  <si>
    <t>Adapter mellomstykke ENFit/ENLock Freka</t>
  </si>
  <si>
    <t>4002332</t>
  </si>
  <si>
    <t>Kanyle injeksjon beige 19Gx50mm</t>
  </si>
  <si>
    <t>4002333</t>
  </si>
  <si>
    <t>Kanyle injeksjon rosa 18Gx50mm</t>
  </si>
  <si>
    <t>4002335</t>
  </si>
  <si>
    <t>Vaskesett kateterisering</t>
  </si>
  <si>
    <t>4002344</t>
  </si>
  <si>
    <t>Tubebandasje netting lateks nr10 10,1cm</t>
  </si>
  <si>
    <t>4002345</t>
  </si>
  <si>
    <t>Injeksjonstørk</t>
  </si>
  <si>
    <t>4002349</t>
  </si>
  <si>
    <t>Strøpulver stomi 25g</t>
  </si>
  <si>
    <t>4002416</t>
  </si>
  <si>
    <t>Filter respirator elektrostatisk</t>
  </si>
  <si>
    <t>4002446</t>
  </si>
  <si>
    <t>Lansett safety lilla 1,3-2,3mm</t>
  </si>
  <si>
    <t>4002462</t>
  </si>
  <si>
    <t>Ventil nålfri enkel</t>
  </si>
  <si>
    <t>4002465</t>
  </si>
  <si>
    <t>Hanske opr lateks 6,5</t>
  </si>
  <si>
    <t>4002466</t>
  </si>
  <si>
    <t>Hanske opr lateks 7,0</t>
  </si>
  <si>
    <t>4002467</t>
  </si>
  <si>
    <t>Hanske opr lateks 7,5</t>
  </si>
  <si>
    <t>4002468</t>
  </si>
  <si>
    <t>Hanske opr lateks 8,0</t>
  </si>
  <si>
    <t>4002472</t>
  </si>
  <si>
    <t>Skiftesett m/duk pinsett gas kompr/tupf</t>
  </si>
  <si>
    <t>4002475</t>
  </si>
  <si>
    <t>Tubebandasje bomull 8cmx20m</t>
  </si>
  <si>
    <t>4002477</t>
  </si>
  <si>
    <t>Tape sårlukking elast 13x100mm 6strips</t>
  </si>
  <si>
    <t>4002481</t>
  </si>
  <si>
    <t>Trykkmåler spinal m/stigeslange</t>
  </si>
  <si>
    <t>4002482</t>
  </si>
  <si>
    <t>Kanyle injeksjon grønn 21Gx80mm</t>
  </si>
  <si>
    <t>4002490</t>
  </si>
  <si>
    <t>Sugesett trachea 2kammer u/filter Ch14</t>
  </si>
  <si>
    <t>4002491</t>
  </si>
  <si>
    <t>Kateter O2 nasal enkel m/svamp ch14</t>
  </si>
  <si>
    <t>4002495</t>
  </si>
  <si>
    <t>Mellomstykke rett 4/7mm</t>
  </si>
  <si>
    <t>4002545</t>
  </si>
  <si>
    <t>4002546</t>
  </si>
  <si>
    <t>Filmbandasje m/abs pad 8x10cm</t>
  </si>
  <si>
    <t>4002621</t>
  </si>
  <si>
    <t>Barrierefilm flytende applikator 2,7ml</t>
  </si>
  <si>
    <t>4002637</t>
  </si>
  <si>
    <t>Slangesett Airspiral oppvarmet Airvo</t>
  </si>
  <si>
    <t>4002667</t>
  </si>
  <si>
    <t>Maske O2 m/slange 2,1m barn</t>
  </si>
  <si>
    <t>4002675</t>
  </si>
  <si>
    <t>Barrierefilm serviett</t>
  </si>
  <si>
    <t>4002677</t>
  </si>
  <si>
    <t>Bandasje skum m/silik/kleb 10x20cm</t>
  </si>
  <si>
    <t>4002679</t>
  </si>
  <si>
    <t>Filter tracheo varm/fukt m/O2port og sug</t>
  </si>
  <si>
    <t>4002682</t>
  </si>
  <si>
    <t>Film fiksering SVK m/splitt/tape 9x12cm</t>
  </si>
  <si>
    <t>4002684</t>
  </si>
  <si>
    <t>Bandasje skum m/silik/kleb sacr 23x23cm</t>
  </si>
  <si>
    <t>4002685</t>
  </si>
  <si>
    <t>Frakk opr forsterket 160cm XXL</t>
  </si>
  <si>
    <t>4002686</t>
  </si>
  <si>
    <t>Infusett smertepumpe Deltec</t>
  </si>
  <si>
    <t>4002688</t>
  </si>
  <si>
    <t>Bandasje skum m/silik/kleb hæl 22x23cm</t>
  </si>
  <si>
    <t>4002709</t>
  </si>
  <si>
    <t>PVK safety m/brønn gul 24Gx19mm</t>
  </si>
  <si>
    <t>4002737</t>
  </si>
  <si>
    <t>Innførerhylse radialis 5F 10cm</t>
  </si>
  <si>
    <t>4002738</t>
  </si>
  <si>
    <t>Innførerhylse radialis 6Fr 10cm</t>
  </si>
  <si>
    <t>4002739</t>
  </si>
  <si>
    <t>Innførerhylse radialis 7Fr 10cm</t>
  </si>
  <si>
    <t>4002740</t>
  </si>
  <si>
    <t>Innførerhylse femoralis B 6Fr 10cm</t>
  </si>
  <si>
    <t>4002741</t>
  </si>
  <si>
    <t>Innførerhylse femoralis B 8Fr 10cm</t>
  </si>
  <si>
    <t>4002742</t>
  </si>
  <si>
    <t>Kontrastinjektor med håndkontroll AT P65</t>
  </si>
  <si>
    <t>4002743</t>
  </si>
  <si>
    <t>CVi Manifoldsett BT 2000</t>
  </si>
  <si>
    <t>4002745</t>
  </si>
  <si>
    <t>CVi Sprøytesett A2000</t>
  </si>
  <si>
    <t>4002809</t>
  </si>
  <si>
    <t>Kompress gas 8Lag 10x10cm 5pk</t>
  </si>
  <si>
    <t>4002843</t>
  </si>
  <si>
    <t>Filter varme/fukt passiv rett voksen</t>
  </si>
  <si>
    <t>4002847</t>
  </si>
  <si>
    <t>Autoklavetest Bowie-Dick</t>
  </si>
  <si>
    <t>4002874</t>
  </si>
  <si>
    <t>Tubeforlenger m/dob svivel 10-16cm</t>
  </si>
  <si>
    <t>4002898</t>
  </si>
  <si>
    <t>DaVinci Cannula seal 5-8mm</t>
  </si>
  <si>
    <t>4002899</t>
  </si>
  <si>
    <t>DaVinci instrumentarm drape</t>
  </si>
  <si>
    <t>4002985</t>
  </si>
  <si>
    <t>Maske O2 m/slange 2,1m voksen</t>
  </si>
  <si>
    <t>4003002</t>
  </si>
  <si>
    <t>Beholder m/absorbent Renasys Touch 300ml</t>
  </si>
  <si>
    <t>4003004</t>
  </si>
  <si>
    <t>Bandasjekit Renasys F Soft Port S</t>
  </si>
  <si>
    <t>4003005</t>
  </si>
  <si>
    <t>Bandasjekit Renasys F Soft Port M</t>
  </si>
  <si>
    <t>4003006</t>
  </si>
  <si>
    <t>Bandasjekit Renasys F Soft Port L</t>
  </si>
  <si>
    <t>4003008</t>
  </si>
  <si>
    <t>Sårfilm Renasys 20x30cm</t>
  </si>
  <si>
    <t>4003208</t>
  </si>
  <si>
    <t>Bandasje skum m/silik post-op 10x25cm</t>
  </si>
  <si>
    <t>4003238</t>
  </si>
  <si>
    <t>Kat urin 2v silikon glycsprøyte 5ml/Ch10</t>
  </si>
  <si>
    <t>4003241</t>
  </si>
  <si>
    <t>Kat urin 3v hematuri Couvelair 30ml/Ch22</t>
  </si>
  <si>
    <t>4003273</t>
  </si>
  <si>
    <t>Bandasje kull luktabsorb steril 10x10cm</t>
  </si>
  <si>
    <t>4003308</t>
  </si>
  <si>
    <t>Vakumrør serum m/gel/aktivator 3,5ml</t>
  </si>
  <si>
    <t>4003346</t>
  </si>
  <si>
    <t>Preparatpose laparoskopi Ø10mm</t>
  </si>
  <si>
    <t>4003357</t>
  </si>
  <si>
    <t>Maske O2 m/reservoir nonbreathing</t>
  </si>
  <si>
    <t>4003416</t>
  </si>
  <si>
    <t>Slanfe forleng t/smertepump Deltec 152cm</t>
  </si>
  <si>
    <t>4003529</t>
  </si>
  <si>
    <t>Steriliseringspose 75x300mm</t>
  </si>
  <si>
    <t>4003611</t>
  </si>
  <si>
    <t>Hanske plast steril S</t>
  </si>
  <si>
    <t>4003836</t>
  </si>
  <si>
    <t>Tubebandasje IV fiksering 7,5cmx10m</t>
  </si>
  <si>
    <t>4003844</t>
  </si>
  <si>
    <t>Plaster sår 6cmx5m</t>
  </si>
  <si>
    <t>4003854</t>
  </si>
  <si>
    <t>Slangesett sug/spyl endoskopi 330mm</t>
  </si>
  <si>
    <t>4003855</t>
  </si>
  <si>
    <t>Laken opr m/jod vertikal 328x252cm</t>
  </si>
  <si>
    <t>4003857</t>
  </si>
  <si>
    <t>Veneprøvesett grønn m/slange 178mm 21G</t>
  </si>
  <si>
    <t>4003858</t>
  </si>
  <si>
    <t>Veneprøvesett blå m/slange 178mm 23G</t>
  </si>
  <si>
    <t>4003859</t>
  </si>
  <si>
    <t>Dren opr m/belg u/trokar sug&lt;75mmhg Ch18</t>
  </si>
  <si>
    <t>4003860</t>
  </si>
  <si>
    <t>Dren opr m/belg u/trokar sug&lt;75mmhg Ch08</t>
  </si>
  <si>
    <t>4003862</t>
  </si>
  <si>
    <t>Diatermipenn isolert m/røykavsug</t>
  </si>
  <si>
    <t>4003864</t>
  </si>
  <si>
    <t>Adapter trykksett art lukket prøvetak</t>
  </si>
  <si>
    <t>4003887</t>
  </si>
  <si>
    <t>Propp lamell nøytr til reagensrør Ø12mm</t>
  </si>
  <si>
    <t>4003889</t>
  </si>
  <si>
    <t>SVK akutt m/floswitch 16G 160mm</t>
  </si>
  <si>
    <t>4003897</t>
  </si>
  <si>
    <t>Skyllevæske sterilt vann pose 1000ml</t>
  </si>
  <si>
    <t>4003906</t>
  </si>
  <si>
    <t>Slange overfør til cystoskop Ecocl 60cm</t>
  </si>
  <si>
    <t>4003911</t>
  </si>
  <si>
    <t>Kanyle spinal orange 25Gx88mm</t>
  </si>
  <si>
    <t>4003915</t>
  </si>
  <si>
    <t>Instrumentpose opr klar 3lommer ca30x50c</t>
  </si>
  <si>
    <t>4003916</t>
  </si>
  <si>
    <t>Hullduk opr m/lim transparent 40x40cm</t>
  </si>
  <si>
    <t>4003922</t>
  </si>
  <si>
    <t>Hurtigtest antigen Covid-19</t>
  </si>
  <si>
    <t>4004010</t>
  </si>
  <si>
    <t>Sprøyte prefylt Nacl 0,9 % SP 3ml</t>
  </si>
  <si>
    <t>4004015</t>
  </si>
  <si>
    <t>Kanyle injeksjon safety oransje 25Gx16mm</t>
  </si>
  <si>
    <t>4004018</t>
  </si>
  <si>
    <t>Sugeslange m/kon tupp og hette 2m</t>
  </si>
  <si>
    <t>4004037</t>
  </si>
  <si>
    <t>Infusett adapter cytostat 4-grenet 15cm</t>
  </si>
  <si>
    <t>4004039</t>
  </si>
  <si>
    <t>Steriliseringspapir 44/77Inter 60x60cm</t>
  </si>
  <si>
    <t>4004041</t>
  </si>
  <si>
    <t>Merkepenn kir std tip m/linjal steril</t>
  </si>
  <si>
    <t>4004049</t>
  </si>
  <si>
    <t>Vakumrør Na-Citrat lysblå 2ml</t>
  </si>
  <si>
    <t>4004054</t>
  </si>
  <si>
    <t>Kompress opr duk gas 4L sydd 45x70cm 1pk</t>
  </si>
  <si>
    <t>4004060</t>
  </si>
  <si>
    <t>Klipstang laparoskopisk L</t>
  </si>
  <si>
    <t>4004061</t>
  </si>
  <si>
    <t>Klipstang laparoskopisk univeral M/L</t>
  </si>
  <si>
    <t>4004067</t>
  </si>
  <si>
    <t>Trokar komplett 12mm hylse 100mm</t>
  </si>
  <si>
    <t>4004068</t>
  </si>
  <si>
    <t>Trokarhylse laparoskopi 12x100mm</t>
  </si>
  <si>
    <t>4004070</t>
  </si>
  <si>
    <t>Hakebind mors</t>
  </si>
  <si>
    <t>4004071</t>
  </si>
  <si>
    <t>Bomullsdotter 0,5g bulk</t>
  </si>
  <si>
    <t>4004074</t>
  </si>
  <si>
    <t>Bandasje skum m/silikon 10x20cm</t>
  </si>
  <si>
    <t>4004098</t>
  </si>
  <si>
    <t>Kat urin 2v silikon glycsprøyte 3ml/Ch8</t>
  </si>
  <si>
    <t>4004107</t>
  </si>
  <si>
    <t>Infusett m/nålfri vent t/pumpe AlarisGP</t>
  </si>
  <si>
    <t>4004110</t>
  </si>
  <si>
    <t>Slange forleng m/sensor Alaris CC 200cm</t>
  </si>
  <si>
    <t>4004111</t>
  </si>
  <si>
    <t>Infusett 3-grenet TIVA</t>
  </si>
  <si>
    <t>4004114</t>
  </si>
  <si>
    <t>Sugesett tracheal m/beholder/fingerkontr</t>
  </si>
  <si>
    <t>4004121</t>
  </si>
  <si>
    <t>Bandasje hydrofiber høyabsorb 10x10cm</t>
  </si>
  <si>
    <t>4004123</t>
  </si>
  <si>
    <t>Tube svelg nr5/12cm</t>
  </si>
  <si>
    <t>4004124</t>
  </si>
  <si>
    <t>Sonde mage steril enlumen Ch20/80cm</t>
  </si>
  <si>
    <t>4004137</t>
  </si>
  <si>
    <t>Duk opr m/limkant absorb 60x70cm</t>
  </si>
  <si>
    <t>4004147</t>
  </si>
  <si>
    <t>Tape sårlukking elast 6x75mm 3strips</t>
  </si>
  <si>
    <t>4004149</t>
  </si>
  <si>
    <t>V.A.C.Simplece ex spiral skumband kit S</t>
  </si>
  <si>
    <t>4004150</t>
  </si>
  <si>
    <t>Stasebånd m/klemme flergangs voksen</t>
  </si>
  <si>
    <t>4004152</t>
  </si>
  <si>
    <t>V.A.C. bandasjefilm 30,5x26cm</t>
  </si>
  <si>
    <t>4004157</t>
  </si>
  <si>
    <t>SVK 3løp Certofix 7Fr 15cm</t>
  </si>
  <si>
    <t>4004166</t>
  </si>
  <si>
    <t>Bind kompr kortelast selvheft 10cmx4,5m</t>
  </si>
  <si>
    <t>4004168</t>
  </si>
  <si>
    <t>SVK 1løp Certofix 5fr 15cm</t>
  </si>
  <si>
    <t>4004171</t>
  </si>
  <si>
    <t>Kanyle opptrekk filterstrå 5µm 4,5cm</t>
  </si>
  <si>
    <t>4004200</t>
  </si>
  <si>
    <t>Uridom latexfri selvklebende ø25mm</t>
  </si>
  <si>
    <t>4004201</t>
  </si>
  <si>
    <t>Uridom latexfri selvklebende ø30mm</t>
  </si>
  <si>
    <t>4004203</t>
  </si>
  <si>
    <t>Steriliseringspose 150x300mm</t>
  </si>
  <si>
    <t>4004205</t>
  </si>
  <si>
    <t>Sprøyte luer 50ml</t>
  </si>
  <si>
    <t>4004236</t>
  </si>
  <si>
    <t>Kompress salve steril 10x40cm</t>
  </si>
  <si>
    <t>4004237</t>
  </si>
  <si>
    <t>Hanske plast steril L</t>
  </si>
  <si>
    <t>4004238</t>
  </si>
  <si>
    <t>Tube endotrach m/cuff 6,5mm</t>
  </si>
  <si>
    <t>4004240</t>
  </si>
  <si>
    <t>Kompress salve steril 5x5cm</t>
  </si>
  <si>
    <t>4004241</t>
  </si>
  <si>
    <t>Kompress salve steril 10x10cm</t>
  </si>
  <si>
    <t>4004246</t>
  </si>
  <si>
    <t>Nippel mini-pep 3,0mm ø22mm</t>
  </si>
  <si>
    <t>4004247</t>
  </si>
  <si>
    <t>Nippel mini-pep 3,5mm ø22mm</t>
  </si>
  <si>
    <t>4004248</t>
  </si>
  <si>
    <t>Nippel mini-pep 4,0mm ø22mm</t>
  </si>
  <si>
    <t>4004250</t>
  </si>
  <si>
    <t>Munnstykke mini-pep ø22mm</t>
  </si>
  <si>
    <t>4004259</t>
  </si>
  <si>
    <t>Maske aerosol barn</t>
  </si>
  <si>
    <t>4004262</t>
  </si>
  <si>
    <t>Bind kirurgisk blodtomhet steril15x275cm</t>
  </si>
  <si>
    <t>4004269</t>
  </si>
  <si>
    <t>Knivblad opr nr22</t>
  </si>
  <si>
    <t>4004272</t>
  </si>
  <si>
    <t>V.A.C. Acti beholder m/gel 300ml</t>
  </si>
  <si>
    <t>4004276</t>
  </si>
  <si>
    <t>Sprøyte blodgass m/nål G25 1ml</t>
  </si>
  <si>
    <t>4004280</t>
  </si>
  <si>
    <t>Bandasje hydrokolloid tynn m/kleb 5x5cm</t>
  </si>
  <si>
    <t>4004281</t>
  </si>
  <si>
    <t>Sårplate hydrokolloid tynn 10x10cm</t>
  </si>
  <si>
    <t>4004319</t>
  </si>
  <si>
    <t>Transfusjonssett 1-grenet 275cm AlarisGP</t>
  </si>
  <si>
    <t>4004351</t>
  </si>
  <si>
    <t>Oppdekkingssett regionalanestesi</t>
  </si>
  <si>
    <t>4004352</t>
  </si>
  <si>
    <t>Sprøyte luerlock til pumpe Perfusor 50ml</t>
  </si>
  <si>
    <t>4004353</t>
  </si>
  <si>
    <t>Knivblad m/skaft opr safety nr10</t>
  </si>
  <si>
    <t>4004354</t>
  </si>
  <si>
    <t>Knivblad m/skaft opr safety nr11</t>
  </si>
  <si>
    <t>4004355</t>
  </si>
  <si>
    <t>Knivblad m/skaft opr safety nr15</t>
  </si>
  <si>
    <t>4004359</t>
  </si>
  <si>
    <t>Barrierekrem tube 28g</t>
  </si>
  <si>
    <t>4004360</t>
  </si>
  <si>
    <t>Operasjonstape 10x50cm</t>
  </si>
  <si>
    <t>4004377</t>
  </si>
  <si>
    <t>Sugeslange m/kon-kon kobl 3,5m</t>
  </si>
  <si>
    <t>4004385</t>
  </si>
  <si>
    <t>Sprøyte prefylt Nacl 0,9 % XS 10ml</t>
  </si>
  <si>
    <t>4004390</t>
  </si>
  <si>
    <t>Hylse diatermiforlenger røykavsug 125mm</t>
  </si>
  <si>
    <t>4004397</t>
  </si>
  <si>
    <t>Duk genitialbeskytelse ca20x40cm</t>
  </si>
  <si>
    <t>4004401</t>
  </si>
  <si>
    <t>Hudstifter steril 35stk/pk 6,9mm</t>
  </si>
  <si>
    <t>4004408</t>
  </si>
  <si>
    <t>Kameratrekk perfo tupp ringinnf 15x249cm</t>
  </si>
  <si>
    <t>4004410</t>
  </si>
  <si>
    <t>Diatermiplate univers m/splitt kabel 5m</t>
  </si>
  <si>
    <t>4004428</t>
  </si>
  <si>
    <t>V.A.C.Simplace ex spiral skumband kit M</t>
  </si>
  <si>
    <t>4004437</t>
  </si>
  <si>
    <t>Kat urin 2v silikon glycsprøyt 10ml/Ch12</t>
  </si>
  <si>
    <t>4004438</t>
  </si>
  <si>
    <t>Kat urin 2v silikon glycsprøyt 10ml/Ch14</t>
  </si>
  <si>
    <t>4004439</t>
  </si>
  <si>
    <t>Kat urin 2v silikon glycsprøyt 10ml/Ch16</t>
  </si>
  <si>
    <t>4004440</t>
  </si>
  <si>
    <t>Kat urin 2v silikon glycsprøyt 10ml/Ch18</t>
  </si>
  <si>
    <t>4004441</t>
  </si>
  <si>
    <t>Kat urin 2v silikon glycsprøyt 10ml/Ch20</t>
  </si>
  <si>
    <t>4004447</t>
  </si>
  <si>
    <t>Tape sårlukking elast 3x75mm 5strips</t>
  </si>
  <si>
    <t>4004450</t>
  </si>
  <si>
    <t>Sårplate hydrokoll m/indikator 10x10cm</t>
  </si>
  <si>
    <t>4004451</t>
  </si>
  <si>
    <t>Sårfyller hydrofiber 2x45cm</t>
  </si>
  <si>
    <t>4004453</t>
  </si>
  <si>
    <t>Filmbandasje m/abs pad 5x7,2cm</t>
  </si>
  <si>
    <t>4004670</t>
  </si>
  <si>
    <t>Sprøyte CT dobbelt kit 200mlx2</t>
  </si>
  <si>
    <t>4004674</t>
  </si>
  <si>
    <t>Bind støtte elastisk 12cmx5m</t>
  </si>
  <si>
    <t>4004679</t>
  </si>
  <si>
    <t>Mandreng til endotrach tube engangs Ch10</t>
  </si>
  <si>
    <t>4004696</t>
  </si>
  <si>
    <t>Fistelnål butt art 14Gx25mm</t>
  </si>
  <si>
    <t>4004700</t>
  </si>
  <si>
    <t>Fistelnål butt art 15Gx25mm</t>
  </si>
  <si>
    <t>4004809</t>
  </si>
  <si>
    <t>Blodvarmer Enflow kassett M extention</t>
  </si>
  <si>
    <t>4004810</t>
  </si>
  <si>
    <t>Blodvarmer Enflow armstropp</t>
  </si>
  <si>
    <t>4004825</t>
  </si>
  <si>
    <t>Fiksering plaster kateter/dren Ch 8-36</t>
  </si>
  <si>
    <t>4004843</t>
  </si>
  <si>
    <t>Mellomstykke rett 4/4mm</t>
  </si>
  <si>
    <t>4004889</t>
  </si>
  <si>
    <t>Bandasje skum m/silik post-op 6x8cm</t>
  </si>
  <si>
    <t>4004891</t>
  </si>
  <si>
    <t>Bandasje skum m/silik post-op 10x30cm</t>
  </si>
  <si>
    <t>4004920</t>
  </si>
  <si>
    <t>Bandasje skum m/silik post-op 9x10cm</t>
  </si>
  <si>
    <t>4004963</t>
  </si>
  <si>
    <t>Bag resuscit m/maske kompl eng voksen #5</t>
  </si>
  <si>
    <t>4004967</t>
  </si>
  <si>
    <t>Mikroskoptrekk 65mm No 71</t>
  </si>
  <si>
    <t>4004969</t>
  </si>
  <si>
    <t>Sonde ernæring steril blå Ch8/50cm</t>
  </si>
  <si>
    <t>4004972</t>
  </si>
  <si>
    <t>Larynxmaske rett engangs standard 4.0</t>
  </si>
  <si>
    <t>4004973</t>
  </si>
  <si>
    <t>Larynxmaske rett engangs standard 5.0</t>
  </si>
  <si>
    <t>4005020</t>
  </si>
  <si>
    <t>Larynxmaske rett engangs standard 3.0</t>
  </si>
  <si>
    <t>4005032</t>
  </si>
  <si>
    <t>Maske O2 m/reservoirbag slange 2m barn</t>
  </si>
  <si>
    <t>4005052</t>
  </si>
  <si>
    <t>Ventil engangs PEEP</t>
  </si>
  <si>
    <t>4005446</t>
  </si>
  <si>
    <t>Nesepronge Optiflow M</t>
  </si>
  <si>
    <t>4005449</t>
  </si>
  <si>
    <t>Kanyle plexus m/elek.kabel caG21x100mm</t>
  </si>
  <si>
    <t>4005454</t>
  </si>
  <si>
    <t>Kanyle plexus m/elek.kabel caG22x50mm</t>
  </si>
  <si>
    <t>4005458</t>
  </si>
  <si>
    <t>Tape sårlukking forsterk 3x75mm 5 strip</t>
  </si>
  <si>
    <t>4005459</t>
  </si>
  <si>
    <t>Tape sårlukking forsterk 6x75mm 3 strip</t>
  </si>
  <si>
    <t>4005503</t>
  </si>
  <si>
    <t>Sprøyte luerlock BD plastipak 50ml</t>
  </si>
  <si>
    <t>4005583</t>
  </si>
  <si>
    <t>Kan. vakumrørsafe m/vindu grønn 21Gx32m</t>
  </si>
  <si>
    <t>4005584</t>
  </si>
  <si>
    <t>Kan. vakumrørsafe m/vindu svart 22Gx32mm</t>
  </si>
  <si>
    <t>4005783</t>
  </si>
  <si>
    <t>Nesepronge Optiflow S</t>
  </si>
  <si>
    <t>4005791</t>
  </si>
  <si>
    <t>Adapter vakumrør luer m/ventil blå</t>
  </si>
  <si>
    <t>4005792</t>
  </si>
  <si>
    <t>Stomi tetningsring Cera 2mm tykk 18-48mm</t>
  </si>
  <si>
    <t>4005868</t>
  </si>
  <si>
    <t>Sutur resorb mult lilla 2/0 SH 70cm</t>
  </si>
  <si>
    <t>4005876</t>
  </si>
  <si>
    <t>Sutur mono blå 4/0 2xV-7 90cm</t>
  </si>
  <si>
    <t>4005880</t>
  </si>
  <si>
    <t>Sutur resorb mono uf 3/0 PS-1 MP 70cm</t>
  </si>
  <si>
    <t>4005881</t>
  </si>
  <si>
    <t>Sutur hud sort 5/0 PS-2 MP 45cm</t>
  </si>
  <si>
    <t>4005883</t>
  </si>
  <si>
    <t>Sutur langresor mono 0 MO-2 Lp150cm</t>
  </si>
  <si>
    <t>4005885</t>
  </si>
  <si>
    <t>Sutur resorb mult lilla 0 CT-1 70cm</t>
  </si>
  <si>
    <t>4005925</t>
  </si>
  <si>
    <t>Beinvoks 2,5g</t>
  </si>
  <si>
    <t>4005949</t>
  </si>
  <si>
    <t>Kanyle spinal pencil m/introd G27x88mm</t>
  </si>
  <si>
    <t>4005955</t>
  </si>
  <si>
    <t>Kanyle opptrekk filterstrå 5µm 10cm</t>
  </si>
  <si>
    <t>4005962</t>
  </si>
  <si>
    <t>Film fiksering IV kanyle m/splitt 7x9cm</t>
  </si>
  <si>
    <t>4005997</t>
  </si>
  <si>
    <t>Sutur rask resor mult uf 2/0 CT-1 90cm</t>
  </si>
  <si>
    <t>4006009</t>
  </si>
  <si>
    <t>Sutur mono blå 5/0 2xV-5 90cm</t>
  </si>
  <si>
    <t>4006012</t>
  </si>
  <si>
    <t>Kat urin m/tempsensor Ch14</t>
  </si>
  <si>
    <t>4006014</t>
  </si>
  <si>
    <t>Sutur hud sort 3/0 FS-2 45cm</t>
  </si>
  <si>
    <t>4006023</t>
  </si>
  <si>
    <t>Ligatur resorb mult lilla 3/0 hjul 250cm</t>
  </si>
  <si>
    <t>4006025</t>
  </si>
  <si>
    <t>Sutur mono blå 6/0 2xC-1 75cm</t>
  </si>
  <si>
    <t>4006027</t>
  </si>
  <si>
    <t>Sutur resorb mult lilla 3/0 SH 70cm</t>
  </si>
  <si>
    <t>4006037</t>
  </si>
  <si>
    <t>Sutur resorb mult lilla 2/0 CT-1 70cm</t>
  </si>
  <si>
    <t>4006043</t>
  </si>
  <si>
    <t>Sprøyte luerlock BD plastipak 10ml</t>
  </si>
  <si>
    <t>4006059</t>
  </si>
  <si>
    <t>Klipstang åpen kir engangs L</t>
  </si>
  <si>
    <t>4006062</t>
  </si>
  <si>
    <t>Sutur resorb mult lilla 4/0 RB-1 70cm</t>
  </si>
  <si>
    <t>4006066</t>
  </si>
  <si>
    <t>Sutur hud sort 2/0 FS-1 45cm</t>
  </si>
  <si>
    <t>4006072</t>
  </si>
  <si>
    <t>Sutur lang resorb mono 5/0 2xTF 70cm</t>
  </si>
  <si>
    <t>4006088</t>
  </si>
  <si>
    <t>Sutur hud 4/0 FS-2 45cm</t>
  </si>
  <si>
    <t>4006094</t>
  </si>
  <si>
    <t>Sutur hud sort 0 FSLX 75cm</t>
  </si>
  <si>
    <t>4006098</t>
  </si>
  <si>
    <t>Sutur hud sort 2/0 FSLX 75cm</t>
  </si>
  <si>
    <t>4006104</t>
  </si>
  <si>
    <t>Sutur resorb mult antib lilla 2 CPX 90cm</t>
  </si>
  <si>
    <t>4006114</t>
  </si>
  <si>
    <t>Slange gass sampling anestesi Flow-i 2m</t>
  </si>
  <si>
    <t>4006157</t>
  </si>
  <si>
    <t>Mandreng til endotrach tube engangs CH14</t>
  </si>
  <si>
    <t>4006159</t>
  </si>
  <si>
    <t>Autoklavetest lastkontroll refill</t>
  </si>
  <si>
    <t>4006161</t>
  </si>
  <si>
    <t>Vaskesett m/duk skål 10 store tupf</t>
  </si>
  <si>
    <t>4006163</t>
  </si>
  <si>
    <t>Trokar komplett 5mm hylse 100mm</t>
  </si>
  <si>
    <t>4006164</t>
  </si>
  <si>
    <t>Trokarhylse universal 5x100mm</t>
  </si>
  <si>
    <t>4006167</t>
  </si>
  <si>
    <t>Autoklavetest hulrom Bowie&amp;Dick refill</t>
  </si>
  <si>
    <t>4006168</t>
  </si>
  <si>
    <t>Stomiplate DansacN knepp klipp 55mm</t>
  </si>
  <si>
    <t>4006169</t>
  </si>
  <si>
    <t>Stomiplate DansacN knepp klipp 70mm</t>
  </si>
  <si>
    <t>4006170</t>
  </si>
  <si>
    <t>Tube endotach m/cuff 4,0mm</t>
  </si>
  <si>
    <t>4006171</t>
  </si>
  <si>
    <t>Tube endotach m/cuff 4,5mm</t>
  </si>
  <si>
    <t>4006172</t>
  </si>
  <si>
    <t>Kompress gas 8L steril 20x80cm 5pk</t>
  </si>
  <si>
    <t>4006174</t>
  </si>
  <si>
    <t>Sprøyte insulin safety 0,5ml G29x12,7mm</t>
  </si>
  <si>
    <t>4006175</t>
  </si>
  <si>
    <t>Elektrode diatermiforlenger isolert125mm</t>
  </si>
  <si>
    <t>4006176</t>
  </si>
  <si>
    <t>Kompress gas 8L steril 10x10cm 2pk</t>
  </si>
  <si>
    <t>4006177</t>
  </si>
  <si>
    <t>Sårgel hydrogel 15g tube</t>
  </si>
  <si>
    <t>4006181</t>
  </si>
  <si>
    <t>Bind støtte elastisk 15cmx5m</t>
  </si>
  <si>
    <t>4006185</t>
  </si>
  <si>
    <t>Drenasjepose m/kleb 100ml usteril 6-38mm</t>
  </si>
  <si>
    <t>4006187</t>
  </si>
  <si>
    <t>Duk opr m/lim transparent 45x30cm</t>
  </si>
  <si>
    <t>4006188</t>
  </si>
  <si>
    <t>Duk opr m/limkant transparent 45x60cm</t>
  </si>
  <si>
    <t>4006193</t>
  </si>
  <si>
    <t>Mandreng til endotrach tube engangs CH6</t>
  </si>
  <si>
    <t>4006210</t>
  </si>
  <si>
    <t>Sonde ernæring ENFit Ch8/80cm</t>
  </si>
  <si>
    <t>4006235</t>
  </si>
  <si>
    <t>Magasin suturmaskin EndoGia articul 60mm</t>
  </si>
  <si>
    <t>4006236</t>
  </si>
  <si>
    <t>Suturmaskin EndoGia rett m/kniv 45-60mm</t>
  </si>
  <si>
    <t>4006332</t>
  </si>
  <si>
    <t>Stomiplate SenSuraMio klipp kleb 50mm</t>
  </si>
  <si>
    <t>4006333</t>
  </si>
  <si>
    <t>Stomiplate SenSuraMio klipp kleb 70mm</t>
  </si>
  <si>
    <t>4006334</t>
  </si>
  <si>
    <t>Klebefjerner stomi spray 50ml</t>
  </si>
  <si>
    <t>4006340</t>
  </si>
  <si>
    <t>Fistelnål spiss safty 30cm sl 14Gx20mm</t>
  </si>
  <si>
    <t>4006341</t>
  </si>
  <si>
    <t>Fistelnål spiss safty 30cm sl 15Gx20mm</t>
  </si>
  <si>
    <t>4006367</t>
  </si>
  <si>
    <t>Steriliseringspapir 77/77Inter 100x100cm</t>
  </si>
  <si>
    <t>4006368</t>
  </si>
  <si>
    <t>Steriliseringspapir 77/77Inter 120x120cm</t>
  </si>
  <si>
    <t>4006370</t>
  </si>
  <si>
    <t>Steriliseringspose 250x380mm</t>
  </si>
  <si>
    <t>4006372</t>
  </si>
  <si>
    <t>Steriliseringspose 300x500mm</t>
  </si>
  <si>
    <t>4006375</t>
  </si>
  <si>
    <t>Steriliseringspose 150x350mm</t>
  </si>
  <si>
    <t>4006377</t>
  </si>
  <si>
    <t>Steriliseringspose 75x200mm</t>
  </si>
  <si>
    <t>4006378</t>
  </si>
  <si>
    <t>Steriliseringspose 270x440mm</t>
  </si>
  <si>
    <t>4006380</t>
  </si>
  <si>
    <t>Steriliseringspose 205x270mm</t>
  </si>
  <si>
    <t>4006381</t>
  </si>
  <si>
    <t>Steriliseringspose 100x300mm</t>
  </si>
  <si>
    <t>4006387</t>
  </si>
  <si>
    <t>Tupfer gas rund usteril 70mm</t>
  </si>
  <si>
    <t>4006406</t>
  </si>
  <si>
    <t>Sprøyte blodgass u/nål 1,7ml</t>
  </si>
  <si>
    <t>4006407</t>
  </si>
  <si>
    <t>Stomipose Uro 2D DansacN ringkob 70mm</t>
  </si>
  <si>
    <t>4006417</t>
  </si>
  <si>
    <t>Sterilt vann til O2 fukt m/adapter 325ml</t>
  </si>
  <si>
    <t>4006431</t>
  </si>
  <si>
    <t>Hanske opr syntetisk micro 6.5</t>
  </si>
  <si>
    <t>4006432</t>
  </si>
  <si>
    <t>Hanske opr syntetisk micro 7.5</t>
  </si>
  <si>
    <t>4006450</t>
  </si>
  <si>
    <t>Larynxmaske gel m/sugekanal 4,0</t>
  </si>
  <si>
    <t>4006451</t>
  </si>
  <si>
    <t>Larynxmaske gel m/sugekanal 5,0</t>
  </si>
  <si>
    <t>4006464</t>
  </si>
  <si>
    <t>Sonde rektal Ch28/40cm</t>
  </si>
  <si>
    <t>4006497</t>
  </si>
  <si>
    <t>Oppdekkingssett kneartroskopi std</t>
  </si>
  <si>
    <t>4006498</t>
  </si>
  <si>
    <t>Slangesett/kammer EVAQUA flow &gt;4L/m barn</t>
  </si>
  <si>
    <t>4006499</t>
  </si>
  <si>
    <t>Tubebandasje IV fiksering 5cmx10m</t>
  </si>
  <si>
    <t>4006501</t>
  </si>
  <si>
    <t>Tupfer gas rund steril 70mm 5pk</t>
  </si>
  <si>
    <t>4006502</t>
  </si>
  <si>
    <t>Kateter sug lukket system Ch12/365mm</t>
  </si>
  <si>
    <t>4006504</t>
  </si>
  <si>
    <t>Kanyle overføring flaske/flaske m/safety</t>
  </si>
  <si>
    <t>4006529</t>
  </si>
  <si>
    <t>Tube endotrach preform oral m/cuff 6,5mm</t>
  </si>
  <si>
    <t>4006543</t>
  </si>
  <si>
    <t>Kompress gas 8lag usteril i eske 10x10cm</t>
  </si>
  <si>
    <t>4006545</t>
  </si>
  <si>
    <t>Tupfer gas rund usteril 30mm</t>
  </si>
  <si>
    <t>4006546</t>
  </si>
  <si>
    <t>Gel ultralyd steril klar 20 ml</t>
  </si>
  <si>
    <t>4006560</t>
  </si>
  <si>
    <t>Slangesett Hamilton fuktekammer vok/ped</t>
  </si>
  <si>
    <t>4006561</t>
  </si>
  <si>
    <t>Flowsensor Hamilton voks/pedi 188cm</t>
  </si>
  <si>
    <t>4006565</t>
  </si>
  <si>
    <t>Sutur hud 4/0 PS-2 MP 45cm</t>
  </si>
  <si>
    <t>4006590</t>
  </si>
  <si>
    <t>Maske O2 m/reservoarbag slange 2m voksen</t>
  </si>
  <si>
    <t>4006599</t>
  </si>
  <si>
    <t>Forstøversett m/munnstykke</t>
  </si>
  <si>
    <t>4006600</t>
  </si>
  <si>
    <t>Forstøversett m/maske voksen</t>
  </si>
  <si>
    <t>4006665</t>
  </si>
  <si>
    <t>Operasjonstørk bomull m/rtg tråd 19x19mm</t>
  </si>
  <si>
    <t>4006678</t>
  </si>
  <si>
    <t>Tamponggas usteril 5cmx5m</t>
  </si>
  <si>
    <t>4006755</t>
  </si>
  <si>
    <t>Ledning til sprøytepumpe Alaris</t>
  </si>
  <si>
    <t>4006758</t>
  </si>
  <si>
    <t>Adapter EtCo2 Hamilton airway voksen/ped</t>
  </si>
  <si>
    <t>4006770</t>
  </si>
  <si>
    <t>Sutur hud sort 5/0 FS-2 45cm</t>
  </si>
  <si>
    <t>4006771</t>
  </si>
  <si>
    <t>Sutur hud sort 3/0 FSL 75cm</t>
  </si>
  <si>
    <t>4006775</t>
  </si>
  <si>
    <t>Sutur rask resorb mult uf 5/0 P-3 45cm</t>
  </si>
  <si>
    <t>4006778</t>
  </si>
  <si>
    <t>Sutur rask resorb mult uf 4/0 SH 70cm</t>
  </si>
  <si>
    <t>4006780</t>
  </si>
  <si>
    <t>Ligatur resorb mult lilla 2/0 hjul 250cm</t>
  </si>
  <si>
    <t>4006795</t>
  </si>
  <si>
    <t>Tampong bakterie-soppbindende 10cmx2m</t>
  </si>
  <si>
    <t>4007769</t>
  </si>
  <si>
    <t>Sutur mono blå 4/0 2xV-5 90cm</t>
  </si>
  <si>
    <t>4007774</t>
  </si>
  <si>
    <t>Sutur resormult antib lilla 3/0 SH 70cm</t>
  </si>
  <si>
    <t>4007802</t>
  </si>
  <si>
    <t>Tape sårlukking forsterk 13x100mm 6strip</t>
  </si>
  <si>
    <t>4007817</t>
  </si>
  <si>
    <t>Stomipose 2D NovaL2 tømb beige maxi 55cm</t>
  </si>
  <si>
    <t>4007818</t>
  </si>
  <si>
    <t>Stomipose 2D NovaL2 tømb beige maxi 70cm</t>
  </si>
  <si>
    <t>4007825</t>
  </si>
  <si>
    <t>Barrierefilm flytende på pensel 1ml 5stk</t>
  </si>
  <si>
    <t>4007843</t>
  </si>
  <si>
    <t>Sprøyte luerlock BD plastipak 20ml</t>
  </si>
  <si>
    <t>4007851</t>
  </si>
  <si>
    <t>Fistelnål spiss safty 30cm sl 14Gx25mm</t>
  </si>
  <si>
    <t>4007872</t>
  </si>
  <si>
    <t>Ligaklip Titan M 6stk</t>
  </si>
  <si>
    <t>4008002</t>
  </si>
  <si>
    <t>SVK 2løp barn 5Fr 13cm</t>
  </si>
  <si>
    <t>4008010</t>
  </si>
  <si>
    <t>Flaskepropp universal m/lukking lilla</t>
  </si>
  <si>
    <t>4008022</t>
  </si>
  <si>
    <t>Epiduralsett softtip 18G LoRsprøyte 5/10</t>
  </si>
  <si>
    <t>4008023</t>
  </si>
  <si>
    <t>Introducer spinal G22x35 til kan G27/29</t>
  </si>
  <si>
    <t>4008024</t>
  </si>
  <si>
    <t>Kanyle spinal pencilpoint G27x88mm</t>
  </si>
  <si>
    <t>4008026</t>
  </si>
  <si>
    <t>Sprøyte luerlock til pumpe Perfusor 20ml</t>
  </si>
  <si>
    <t>4008027</t>
  </si>
  <si>
    <t>Innsnittsduk opr 15x20cm</t>
  </si>
  <si>
    <t>4008033</t>
  </si>
  <si>
    <t>Kirurgisk klipper m/lader</t>
  </si>
  <si>
    <t>4008034</t>
  </si>
  <si>
    <t>Klippehode til kirurgisk klipper Hodehår</t>
  </si>
  <si>
    <t>4008035</t>
  </si>
  <si>
    <t>Pumpesett artroskopi m/forlengelse</t>
  </si>
  <si>
    <t>4008075</t>
  </si>
  <si>
    <t>Stomipose 2D SenSurMio lukk kleb 70mm</t>
  </si>
  <si>
    <t>4008076</t>
  </si>
  <si>
    <t>Kat urin tappe prefukt kvinne Ch16</t>
  </si>
  <si>
    <t>4008077</t>
  </si>
  <si>
    <t>Kat urin tappe prefukt barn Ch8</t>
  </si>
  <si>
    <t>4008079</t>
  </si>
  <si>
    <t>Fistelnål butt 15Gx20mm m/sl 30cm</t>
  </si>
  <si>
    <t>4008095</t>
  </si>
  <si>
    <t>Steriliseringspapir 44/66Inter 50x50cm</t>
  </si>
  <si>
    <t>4008096</t>
  </si>
  <si>
    <t>Steriliseringspapir 44/77Inter 75x75cm</t>
  </si>
  <si>
    <t>4008099</t>
  </si>
  <si>
    <t>Steriliseringspapir 77/77Inter 130x150cm</t>
  </si>
  <si>
    <t>4008100</t>
  </si>
  <si>
    <t>Steriliseringspose rull 50mmx200m</t>
  </si>
  <si>
    <t>4008106</t>
  </si>
  <si>
    <t>Vakumrør serum u/gel m/aktivator rød 4ml</t>
  </si>
  <si>
    <t>4008108</t>
  </si>
  <si>
    <t>Slange insufflator m/filter Olympus 3m</t>
  </si>
  <si>
    <t>4008109</t>
  </si>
  <si>
    <t>Kompress opr gas 12L sydd 10x60cm 5pk</t>
  </si>
  <si>
    <t>4008110</t>
  </si>
  <si>
    <t>Kanyle punksjon lys grønn 14Gx80mm</t>
  </si>
  <si>
    <t>4008121</t>
  </si>
  <si>
    <t>Biopsinål Bard Magnum 16Gx10cm</t>
  </si>
  <si>
    <t>4008122</t>
  </si>
  <si>
    <t>Urostomipose 2D klar Nova2 M 55mm</t>
  </si>
  <si>
    <t>4008123</t>
  </si>
  <si>
    <t>Oppsamlingspose for avføring 1000ml</t>
  </si>
  <si>
    <t>4008124</t>
  </si>
  <si>
    <t>SLETTET pga. basisenhet. BRUK 4048468</t>
  </si>
  <si>
    <t>4008133</t>
  </si>
  <si>
    <t>Trokar komplett 12mm hylse 150mm</t>
  </si>
  <si>
    <t>4008142</t>
  </si>
  <si>
    <t>Bandasje skum m/silikon 15x15cm</t>
  </si>
  <si>
    <t>4008143</t>
  </si>
  <si>
    <t>Bandasje skum m/silikon 20x20cm</t>
  </si>
  <si>
    <t>4008145</t>
  </si>
  <si>
    <t>Forkle plast/NW 2lag 145cm</t>
  </si>
  <si>
    <t>4008148</t>
  </si>
  <si>
    <t>Forkle plast engangs hvit 160cm</t>
  </si>
  <si>
    <t>4008152</t>
  </si>
  <si>
    <t>Kat ureter lukket ende Ch3</t>
  </si>
  <si>
    <t>4008157</t>
  </si>
  <si>
    <t>Sonde mage steril enlumen Ch24/80cm</t>
  </si>
  <si>
    <t>4008159</t>
  </si>
  <si>
    <t>Sonde ernæring rtg-tett ch5/50cm</t>
  </si>
  <si>
    <t>4008161</t>
  </si>
  <si>
    <t>Kateter O2 nasal enkel m/svamp ch10</t>
  </si>
  <si>
    <t>4008184</t>
  </si>
  <si>
    <t>Bind kompresjon langelast 12cmx7m</t>
  </si>
  <si>
    <t>4008194</t>
  </si>
  <si>
    <t>Tape perforert transparent 2,5cmx9,1m</t>
  </si>
  <si>
    <t>4008197</t>
  </si>
  <si>
    <t>Tape perforert transparent 7,5cmx9,1m</t>
  </si>
  <si>
    <t>4008198</t>
  </si>
  <si>
    <t>Tape silke 5,0cmx9,1m</t>
  </si>
  <si>
    <t>4008201</t>
  </si>
  <si>
    <t>Gel katerinnleggelse m/bedøvelse</t>
  </si>
  <si>
    <t>4008203</t>
  </si>
  <si>
    <t>Bind kompr selvheft lateksfri 10cmx6m</t>
  </si>
  <si>
    <t>4008204</t>
  </si>
  <si>
    <t>Stomiplate SenSura cvx klipp33 kleb 50mm</t>
  </si>
  <si>
    <t>4008206</t>
  </si>
  <si>
    <t>Kat urin 2veis silikon barn Ch6</t>
  </si>
  <si>
    <t>4008209</t>
  </si>
  <si>
    <t>Stomipose 2D SenSurMio lukk kleb 50mm</t>
  </si>
  <si>
    <t>4008211</t>
  </si>
  <si>
    <t>Kat urin 2veis silikon bøyd Tiemann Ch18</t>
  </si>
  <si>
    <t>4008212</t>
  </si>
  <si>
    <t>Kat urin 2veis silikon bøyd Tiemann Ch16</t>
  </si>
  <si>
    <t>4008213</t>
  </si>
  <si>
    <t>Kat urin 2veis silikon bøyd Tiemann Ch14</t>
  </si>
  <si>
    <t>4008214</t>
  </si>
  <si>
    <t>Kat urin 2veis silikon bøyd Tiemann Ch12</t>
  </si>
  <si>
    <t>4008217</t>
  </si>
  <si>
    <t>Sprøyte angiografi 150-FT-Q 150ml</t>
  </si>
  <si>
    <t>4008222</t>
  </si>
  <si>
    <t>Sårplate hydrokolloid 20x20cm</t>
  </si>
  <si>
    <t>4008223</t>
  </si>
  <si>
    <t>Sårplate hydrokolloid tynn 9x25cm</t>
  </si>
  <si>
    <t>4008239</t>
  </si>
  <si>
    <t>Kompress salve steril rull 15cmx2m</t>
  </si>
  <si>
    <t>4008245</t>
  </si>
  <si>
    <t>Skyllesett uro enkelt m/tilbakeslventil</t>
  </si>
  <si>
    <t>4008247</t>
  </si>
  <si>
    <t>Filter injeksjon 0,2µm</t>
  </si>
  <si>
    <t>4008248</t>
  </si>
  <si>
    <t>Slangesett til CT- injektor</t>
  </si>
  <si>
    <t>4008253</t>
  </si>
  <si>
    <t>Kassett infusjon smertepump Deltec 50ml</t>
  </si>
  <si>
    <t>4008254</t>
  </si>
  <si>
    <t>SVK 2løp Certofix 7Fr 15cm</t>
  </si>
  <si>
    <t>4008258</t>
  </si>
  <si>
    <t>Knivblad m/skaft opr safety nr20</t>
  </si>
  <si>
    <t>4008259</t>
  </si>
  <si>
    <t>Koblingssett inf m/trykklemme 40cm</t>
  </si>
  <si>
    <t>4008263</t>
  </si>
  <si>
    <t>Stomipose 1D tømbar maxi klipp 10-70/90</t>
  </si>
  <si>
    <t>4008265</t>
  </si>
  <si>
    <t>Sugesett m/vinkl munnstykke 17cm ØNH 2m</t>
  </si>
  <si>
    <t>4008266</t>
  </si>
  <si>
    <t>Kobling dobbel til lukket sugesystem</t>
  </si>
  <si>
    <t>4008267</t>
  </si>
  <si>
    <t>Slange sirkel anestesi voksen 180cm</t>
  </si>
  <si>
    <t>4008272</t>
  </si>
  <si>
    <t>Slange m/filt røykavsug laparoskopi 50cm</t>
  </si>
  <si>
    <t>4008274</t>
  </si>
  <si>
    <t>Forlengsett m/trykk lowsorb gul AlarisCC</t>
  </si>
  <si>
    <t>4008276</t>
  </si>
  <si>
    <t>Trykksett vene 1-linje m/flush 180cm</t>
  </si>
  <si>
    <t>4008277</t>
  </si>
  <si>
    <t>Trykksett vene 1-linje u/flush 150cm</t>
  </si>
  <si>
    <t>4008278</t>
  </si>
  <si>
    <t>Trykksett art/vene 3-linj lukket m/flush</t>
  </si>
  <si>
    <t>4008279</t>
  </si>
  <si>
    <t>Trykksett art/vene 2-linj lukket m/flush</t>
  </si>
  <si>
    <t>4008280</t>
  </si>
  <si>
    <t>Trykksett art barn lukk m/prøvetakingsys</t>
  </si>
  <si>
    <t>4008289</t>
  </si>
  <si>
    <t>Sutur hud 2-0 FSL 75cm</t>
  </si>
  <si>
    <t>4008290</t>
  </si>
  <si>
    <t>Sutur hud 5-0 45cm P-3</t>
  </si>
  <si>
    <t>4008291</t>
  </si>
  <si>
    <t>Sutur resorb mult ufarget 4/0  FS-2 45cm</t>
  </si>
  <si>
    <t>4008292</t>
  </si>
  <si>
    <t>Sutur resorb mult ufarget 3/0 FS-2 45cm</t>
  </si>
  <si>
    <t>4008295</t>
  </si>
  <si>
    <t>Operasjonstørk bomull m/rtg tråd 25x75mm</t>
  </si>
  <si>
    <t>4008296</t>
  </si>
  <si>
    <t>Tape sårlukking elast 25x102mm 4strips</t>
  </si>
  <si>
    <t>4008297</t>
  </si>
  <si>
    <t>Tubebandasje tykk elast gul 10,75x10m</t>
  </si>
  <si>
    <t>4008299</t>
  </si>
  <si>
    <t>V.A.C. skumbandasje kit L</t>
  </si>
  <si>
    <t>4008307</t>
  </si>
  <si>
    <t>Slangesett Medtronic hjert/lung mask HUS</t>
  </si>
  <si>
    <t>4008308</t>
  </si>
  <si>
    <t>Mikroskoptrekk Nevrokir 137x381cm</t>
  </si>
  <si>
    <t>4008314</t>
  </si>
  <si>
    <t>Dekkestykke opr perineal m/duk 75x90cm</t>
  </si>
  <si>
    <t>4008327</t>
  </si>
  <si>
    <t>Innsnittsduk opr 84x56cm</t>
  </si>
  <si>
    <t>4008328</t>
  </si>
  <si>
    <t>Kompress gas 8lag usteril i eske 5x5cm</t>
  </si>
  <si>
    <t>4008329</t>
  </si>
  <si>
    <t>Kateter HD HF akutt 2veis 13,5Fr 16cm</t>
  </si>
  <si>
    <t>4008330</t>
  </si>
  <si>
    <t>Kateter HD HF akutt 2veis 13,5Fr 20cm</t>
  </si>
  <si>
    <t>4008333</t>
  </si>
  <si>
    <t>Oppdekkingssett universal barn</t>
  </si>
  <si>
    <t>4008334</t>
  </si>
  <si>
    <t>Bind fiksering elastisk steril 10cmx4m</t>
  </si>
  <si>
    <t>4008335</t>
  </si>
  <si>
    <t>Kompress gas 12L steril 5x5cm 2pk</t>
  </si>
  <si>
    <t>4008336</t>
  </si>
  <si>
    <t>Kompress gas 12L steril 5x5cm 5pk</t>
  </si>
  <si>
    <t>4008337</t>
  </si>
  <si>
    <t>Kompress gas 8L steril 10x60cm 5pk</t>
  </si>
  <si>
    <t>4008338</t>
  </si>
  <si>
    <t>Kateter sug lukket system Ch14/580mm</t>
  </si>
  <si>
    <t>4008339</t>
  </si>
  <si>
    <t>Kompress skum m/splitt steril 6x7cm</t>
  </si>
  <si>
    <t>4008340</t>
  </si>
  <si>
    <t>Kompress gas 8L steril 10x10cm 25pk</t>
  </si>
  <si>
    <t>4008342</t>
  </si>
  <si>
    <t>Frakk opr våtfrakk 150cm XL</t>
  </si>
  <si>
    <t>4008343</t>
  </si>
  <si>
    <t>Bandasje absorb selvkleb 10x30cm</t>
  </si>
  <si>
    <t>4008345</t>
  </si>
  <si>
    <t>Bind kirurgisk blodtomhet steril10x275cm</t>
  </si>
  <si>
    <t>4008346</t>
  </si>
  <si>
    <t>Tupfer gas flat steril 30x30mm 5pk</t>
  </si>
  <si>
    <t>4008347</t>
  </si>
  <si>
    <t>Tupfer gas mikro flat usteril 8x8mm</t>
  </si>
  <si>
    <t>4008354</t>
  </si>
  <si>
    <t>SVK 4løp G16/18/18/14 kateter 8,5Fr 20cm</t>
  </si>
  <si>
    <t>4008377</t>
  </si>
  <si>
    <t>Veneportnål safe u/Y G20x25mm</t>
  </si>
  <si>
    <t>4008378</t>
  </si>
  <si>
    <t>Veneportnål safe m/Y G19x25mm</t>
  </si>
  <si>
    <t>4008379</t>
  </si>
  <si>
    <t>Veneportnål safe u/Y G19x20mm</t>
  </si>
  <si>
    <t>4008380</t>
  </si>
  <si>
    <t>Veneportnål safe m/Y G19x20mm</t>
  </si>
  <si>
    <t>4008387</t>
  </si>
  <si>
    <t>Kateter sug lukket system Ch14/365mm</t>
  </si>
  <si>
    <t>4008388</t>
  </si>
  <si>
    <t>Slange forlengelse infu Ø1,0/2,0mm 75cm</t>
  </si>
  <si>
    <t>4008411</t>
  </si>
  <si>
    <t>Filter blodtransf high flow SQ 40S</t>
  </si>
  <si>
    <t>4008412</t>
  </si>
  <si>
    <t>Vakumrør Na-citrat sort 1,6ml</t>
  </si>
  <si>
    <t>4008413</t>
  </si>
  <si>
    <t>Urinpose steril 5cm slange 600ml</t>
  </si>
  <si>
    <t>4008414</t>
  </si>
  <si>
    <t>Filter lungefunksjonstest bakt/virus</t>
  </si>
  <si>
    <t>4008419</t>
  </si>
  <si>
    <t>Prøvekapsel m/skru steril 25ml</t>
  </si>
  <si>
    <t>4008431</t>
  </si>
  <si>
    <t>Bind fiksering elastisk steril 6cmx4m</t>
  </si>
  <si>
    <t>4008432</t>
  </si>
  <si>
    <t>Tupfer mikro flat gas steril 10x10mm</t>
  </si>
  <si>
    <t>4008436</t>
  </si>
  <si>
    <t>Ernæringssett Applix Hydrobag</t>
  </si>
  <si>
    <t>4008438</t>
  </si>
  <si>
    <t>Instrumentbeskytter transparent 15mm</t>
  </si>
  <si>
    <t>4008439</t>
  </si>
  <si>
    <t>Instrumentbeskytter transparent 30mm</t>
  </si>
  <si>
    <t>4008440</t>
  </si>
  <si>
    <t>Kompress tellebrett</t>
  </si>
  <si>
    <t>4008441</t>
  </si>
  <si>
    <t>Kanyle arterie 18Gx70mm</t>
  </si>
  <si>
    <t>4008446</t>
  </si>
  <si>
    <t>Sug/spyl lapraskopisk Fairmont</t>
  </si>
  <si>
    <t>4008447</t>
  </si>
  <si>
    <t>Sutur resorb mult lilla 0 CT 70cm</t>
  </si>
  <si>
    <t>4008448</t>
  </si>
  <si>
    <t>Sutur resorb mult lilla 0 UR-6 70cm</t>
  </si>
  <si>
    <t>4008449</t>
  </si>
  <si>
    <t>Sutur resorb mult lilla 1 CT 90cm</t>
  </si>
  <si>
    <t>4008450</t>
  </si>
  <si>
    <t>Sutur resorb mult lilla 0 HR26 70cm</t>
  </si>
  <si>
    <t>4008451</t>
  </si>
  <si>
    <t>Sutur resorb mult lilla 2/0 MH 70cm</t>
  </si>
  <si>
    <t>4008452</t>
  </si>
  <si>
    <t>Sutur resorb mult lilla 2 HR40s 90cm</t>
  </si>
  <si>
    <t>4008453</t>
  </si>
  <si>
    <t>Sutur resorb mult Ufarget 4/0 RB-1 70cm</t>
  </si>
  <si>
    <t>4008454</t>
  </si>
  <si>
    <t>Sutur resorb mult Ufarget 4/0 FS-2 70cm</t>
  </si>
  <si>
    <t>4008455</t>
  </si>
  <si>
    <t>Sutur resorb mult lilla 0 CTX 90cm</t>
  </si>
  <si>
    <t>4008456</t>
  </si>
  <si>
    <t>Sutur resorb mult lilla 4/0 SH 70cm</t>
  </si>
  <si>
    <t>4008457</t>
  </si>
  <si>
    <t>Ligatur resorb multi lilla 4/0 6x45cm</t>
  </si>
  <si>
    <t>4008458</t>
  </si>
  <si>
    <t>Sutur stål 7 CCS 4x45cm</t>
  </si>
  <si>
    <t>4008459</t>
  </si>
  <si>
    <t>Sutur lang resob mono 4/0 SH 70cm</t>
  </si>
  <si>
    <t>4008460</t>
  </si>
  <si>
    <t>Sutur lang resor mono 1 CT-1 70cm</t>
  </si>
  <si>
    <t>4008461</t>
  </si>
  <si>
    <t>Sutur lang reso mono 2/0 CT-1 70cm</t>
  </si>
  <si>
    <t>4008462</t>
  </si>
  <si>
    <t>Sutur resorb mono uf 4/0 PS-2 MP 45cm</t>
  </si>
  <si>
    <t>4008463</t>
  </si>
  <si>
    <t>Sutur hud uf 4/0 PS-2 75cm</t>
  </si>
  <si>
    <t>4008464</t>
  </si>
  <si>
    <t>Sutur hud sort 8/0 BV130-4 13cm</t>
  </si>
  <si>
    <t>4008465</t>
  </si>
  <si>
    <t>Kanyle vakumr m/holder safe sva 0,7x25mm</t>
  </si>
  <si>
    <t>4008466</t>
  </si>
  <si>
    <t>Kanyle vakumr m/holder safe grø 0,8x25mm</t>
  </si>
  <si>
    <t>4008467</t>
  </si>
  <si>
    <t>Prosedyrepakke El-fys HUS</t>
  </si>
  <si>
    <t>4008468</t>
  </si>
  <si>
    <t>Prosedyrepakke pacemaker HUS</t>
  </si>
  <si>
    <t>4008469</t>
  </si>
  <si>
    <t>Prosedyrepakke hjerteinv og radi PCI HUS</t>
  </si>
  <si>
    <t>4008470</t>
  </si>
  <si>
    <t>Tape sårlukking forsterk 6x38mm 6 strips</t>
  </si>
  <si>
    <t>4008471</t>
  </si>
  <si>
    <t>Tampong bakterie soppbindende 2x50cm</t>
  </si>
  <si>
    <t>4008472</t>
  </si>
  <si>
    <t>Prosedyrepakke SVK Thorax HUS</t>
  </si>
  <si>
    <t>4008473</t>
  </si>
  <si>
    <t>Stomipose 1D tømb softcvx sort 13-52mm</t>
  </si>
  <si>
    <t>4008474</t>
  </si>
  <si>
    <t>Stomipose 1D tømb softcvx sand 13-52mm</t>
  </si>
  <si>
    <t>4008475</t>
  </si>
  <si>
    <t>Stomipose uro 1D tømb max softcx 10-50mm</t>
  </si>
  <si>
    <t>4008476</t>
  </si>
  <si>
    <t>Stomi tetningsring formbar 4,2mm/ 50mm</t>
  </si>
  <si>
    <t>4008477</t>
  </si>
  <si>
    <t>Slange forleng inf m/trykksensor 300cm</t>
  </si>
  <si>
    <t>4008481</t>
  </si>
  <si>
    <t>Tamponggas steril boks 2,4cmx5m</t>
  </si>
  <si>
    <t>4008483</t>
  </si>
  <si>
    <t>Ethilon 4-0 FS-2 45cm</t>
  </si>
  <si>
    <t>4008484</t>
  </si>
  <si>
    <t>Vicryl 3-0 SH 70cm undyed X36</t>
  </si>
  <si>
    <t>4008490</t>
  </si>
  <si>
    <t>Kateter sug lukket system Ch12/580mm</t>
  </si>
  <si>
    <t>4008494</t>
  </si>
  <si>
    <t>Urinprøvepose m/kleb steril barn 100ml</t>
  </si>
  <si>
    <t>4008506</t>
  </si>
  <si>
    <t>Hanske opr lateks suprem 6,5</t>
  </si>
  <si>
    <t>4008507</t>
  </si>
  <si>
    <t>Hanske opr lateks suprem 7</t>
  </si>
  <si>
    <t>4008508</t>
  </si>
  <si>
    <t>Hanske opr lateks suprem 7,5</t>
  </si>
  <si>
    <t>4008509</t>
  </si>
  <si>
    <t>Hanske opr lateks suprem 8</t>
  </si>
  <si>
    <t>4008511</t>
  </si>
  <si>
    <t>Bag resucit m/maske 02 slange eng barn 3</t>
  </si>
  <si>
    <t>4008530</t>
  </si>
  <si>
    <t>Filter respirator mekanisk</t>
  </si>
  <si>
    <t>4008555</t>
  </si>
  <si>
    <t>Slange respirator sirkel voksen 250cm</t>
  </si>
  <si>
    <t>4008556</t>
  </si>
  <si>
    <t>Stomipose uro 2D SensuraMio maxi kl 50mm</t>
  </si>
  <si>
    <t>4008559</t>
  </si>
  <si>
    <t>Sug nasal transp håndtak 4,0x150mm</t>
  </si>
  <si>
    <t>4008583</t>
  </si>
  <si>
    <t>Bandasje hydrofiber Ag brannsk 23x100cm</t>
  </si>
  <si>
    <t>4008589</t>
  </si>
  <si>
    <t>Filter sug hydrofobisk Getinge</t>
  </si>
  <si>
    <t>4008609</t>
  </si>
  <si>
    <t>Sutur hud uf 4/0 FSL 75cm</t>
  </si>
  <si>
    <t>4008615</t>
  </si>
  <si>
    <t>Vannfelle Dryline Getinge</t>
  </si>
  <si>
    <t>4009078</t>
  </si>
  <si>
    <t>Slange sampling 2,6m</t>
  </si>
  <si>
    <t>4009081</t>
  </si>
  <si>
    <t>Sprøyte CT dobbelt kit multi 200mlx2</t>
  </si>
  <si>
    <t>4009082</t>
  </si>
  <si>
    <t>Rektoskopitube HBE engangs 25cm</t>
  </si>
  <si>
    <t>4009084</t>
  </si>
  <si>
    <t>Infusett 3-grenet TIVA m/nålfri ventil</t>
  </si>
  <si>
    <t>4009085</t>
  </si>
  <si>
    <t>Sugeslange m/elastisk tupp 2m</t>
  </si>
  <si>
    <t>4009086</t>
  </si>
  <si>
    <t>Tape sårlukking forst 6x100mm 10strips</t>
  </si>
  <si>
    <t>4009089</t>
  </si>
  <si>
    <t>Kat utin 2v silikon glycsprøyt 10ml/ch22</t>
  </si>
  <si>
    <t>4009091</t>
  </si>
  <si>
    <t>PVK safety u/brønn gul 24Gx19mm</t>
  </si>
  <si>
    <t>4009092</t>
  </si>
  <si>
    <t>Mikroskoptrekk 65mm No 28</t>
  </si>
  <si>
    <t>4009221</t>
  </si>
  <si>
    <t>SVK 5løp 9,5Fr 16cm</t>
  </si>
  <si>
    <t>4009223</t>
  </si>
  <si>
    <t>SVK 5løp 9,5fr 20cm</t>
  </si>
  <si>
    <t>4009225</t>
  </si>
  <si>
    <t>SVK 4løp 8,5Fr 16cm</t>
  </si>
  <si>
    <t>4009232</t>
  </si>
  <si>
    <t>Slangesett m/fuktekammer RT319</t>
  </si>
  <si>
    <t>4009249</t>
  </si>
  <si>
    <t>Kateter sug lukket system Ch10/580mm</t>
  </si>
  <si>
    <t>4009250</t>
  </si>
  <si>
    <t>Trokarhylse universal m/ballong 5x100mm</t>
  </si>
  <si>
    <t>4009251</t>
  </si>
  <si>
    <t>Nesepronge Optiflow L</t>
  </si>
  <si>
    <t>4009254</t>
  </si>
  <si>
    <t>Filter bakt/virus Serres sug</t>
  </si>
  <si>
    <t>4009255</t>
  </si>
  <si>
    <t>Filter HME nyfødt</t>
  </si>
  <si>
    <t>4009256</t>
  </si>
  <si>
    <t>Trokar kompl 12mm hylse m/ballong 100mm</t>
  </si>
  <si>
    <t>4009257</t>
  </si>
  <si>
    <t>Trokar kompl 5mm hylse m/ballong 100mm</t>
  </si>
  <si>
    <t>4009261</t>
  </si>
  <si>
    <t>Trokarhylse laparo m/ballong 12x100mm</t>
  </si>
  <si>
    <t>4009476</t>
  </si>
  <si>
    <t>Dren thorax silikon u/trokar Ch36/70cm</t>
  </si>
  <si>
    <t>4009658</t>
  </si>
  <si>
    <t>Hemostatika Cellistypt 10x20cm</t>
  </si>
  <si>
    <t>4009675</t>
  </si>
  <si>
    <t>Magasin suturmaskin 75-80mm Blå</t>
  </si>
  <si>
    <t>4009677</t>
  </si>
  <si>
    <t>Suturmaskin rett m/kniv 75-80mm Blå</t>
  </si>
  <si>
    <t>4009686</t>
  </si>
  <si>
    <t>Epiduralsett komplett 18G</t>
  </si>
  <si>
    <t>4009745</t>
  </si>
  <si>
    <t>PVK kat system safe blå 22Gx25mm</t>
  </si>
  <si>
    <t>4009890</t>
  </si>
  <si>
    <t>PVK kat system y m/port 18Gx32mm grønn</t>
  </si>
  <si>
    <t>4009893</t>
  </si>
  <si>
    <t>Teststrimler urin Combur10UX Urisys 1100</t>
  </si>
  <si>
    <t>4009895</t>
  </si>
  <si>
    <t>kapnograf samplingslange LP voks/barn</t>
  </si>
  <si>
    <t>4009896</t>
  </si>
  <si>
    <t>Nesekateter O2 m/CO2 måling barn</t>
  </si>
  <si>
    <t>4009897</t>
  </si>
  <si>
    <t>Nesekateter O2 m/CO2 måling MR barn</t>
  </si>
  <si>
    <t>4009898</t>
  </si>
  <si>
    <t>Nesekateter O2 m/CO2 måling voksen</t>
  </si>
  <si>
    <t>4009899</t>
  </si>
  <si>
    <t>Nesekateter O2 m/CO2 måling MR voksen</t>
  </si>
  <si>
    <t>4009901</t>
  </si>
  <si>
    <t>PVK kat system y m/port 20Gx32mm rosa</t>
  </si>
  <si>
    <t>4009902</t>
  </si>
  <si>
    <t>PVK kat system y m/port 22Gx25mm blå</t>
  </si>
  <si>
    <t>4009903</t>
  </si>
  <si>
    <t>PVK kat system høyt trykk 20Gx32mm rosa</t>
  </si>
  <si>
    <t>4009908</t>
  </si>
  <si>
    <t>Slange resp sirkel barn 5-35kg 180cm</t>
  </si>
  <si>
    <t>4009909</t>
  </si>
  <si>
    <t>Probetrekk UL steril gel+strikk 8,9X91cm</t>
  </si>
  <si>
    <t>4009910</t>
  </si>
  <si>
    <t>Kanyle plexus u/elek.kabel caG22x50mm</t>
  </si>
  <si>
    <t>4009911</t>
  </si>
  <si>
    <t>Kanyle plexus u/elek.kabel caG21x100mm</t>
  </si>
  <si>
    <t>4009912</t>
  </si>
  <si>
    <t>PVK x-lang til UL G18 min 60mm grønn</t>
  </si>
  <si>
    <t>4009913</t>
  </si>
  <si>
    <t>PVK x-lang til UL G20 min 60mm rosa</t>
  </si>
  <si>
    <t>4009914</t>
  </si>
  <si>
    <t>Skjema anestesikurve HBE</t>
  </si>
  <si>
    <t>4009916</t>
  </si>
  <si>
    <t>Skjema EDA HBE</t>
  </si>
  <si>
    <t>4015482</t>
  </si>
  <si>
    <t>Bind fiksering Fransbind steril 6cmx4m</t>
  </si>
  <si>
    <t>4015483</t>
  </si>
  <si>
    <t>Bind fiksering Fransbind steril 10cmx4m</t>
  </si>
  <si>
    <t>4024865</t>
  </si>
  <si>
    <t>Stomipose Uro 2D DansacN ringkob 55mm</t>
  </si>
  <si>
    <t>4024878</t>
  </si>
  <si>
    <t>Trykksett art 1linje lukk flush 1port an</t>
  </si>
  <si>
    <t>4030741</t>
  </si>
  <si>
    <t>Stomi Irrigasjonspose klar 50mm</t>
  </si>
  <si>
    <t>4030746</t>
  </si>
  <si>
    <t>Stomi tetningsring formbar 3mm 50mm</t>
  </si>
  <si>
    <t>4030760</t>
  </si>
  <si>
    <t>Sutur mono blå 5/0 2xC-1 75cm</t>
  </si>
  <si>
    <t>4032343</t>
  </si>
  <si>
    <t>Slange respirato Hamilton C1/T1/MR1 2,4m</t>
  </si>
  <si>
    <t>4032344</t>
  </si>
  <si>
    <t>Slange respirato Hamilton C1/T1/MR1 4,8m</t>
  </si>
  <si>
    <t>4032345</t>
  </si>
  <si>
    <t>Slange resp Hamilton C1/T1/MR1 neo EV 3m</t>
  </si>
  <si>
    <t>4032346</t>
  </si>
  <si>
    <t>Slangeset Hamilton fuktekammer neo &lt;15kg</t>
  </si>
  <si>
    <t>4032347</t>
  </si>
  <si>
    <t>Flowsensor Hamilton neonatal 188cm</t>
  </si>
  <si>
    <t>4032348</t>
  </si>
  <si>
    <t>Ventilmemb eksp Hamilton bruk m/160245</t>
  </si>
  <si>
    <t>4032349</t>
  </si>
  <si>
    <t>Adapter EtCo2 Hamilton Airway neonatal</t>
  </si>
  <si>
    <t>4033645</t>
  </si>
  <si>
    <t>Magasin suturmaskin EndoGia vasculæ 45mm</t>
  </si>
  <si>
    <t>4033646</t>
  </si>
  <si>
    <t>Magasin suturmaskin EndoGia vaskulæ 60mm</t>
  </si>
  <si>
    <t>4033654</t>
  </si>
  <si>
    <t>Preparatpose lapraskopi Ø15mm 1500ml</t>
  </si>
  <si>
    <t>4033674</t>
  </si>
  <si>
    <t>Bandasje sølv Acticoat flex 7 40x40cm</t>
  </si>
  <si>
    <t>4033704</t>
  </si>
  <si>
    <t>Desinfeksjonspropp åpne male luer 5stk</t>
  </si>
  <si>
    <t>4033705</t>
  </si>
  <si>
    <t>Desinfeksjonspropp åpne female luer 5stk</t>
  </si>
  <si>
    <t>4033706</t>
  </si>
  <si>
    <t>Desinfeksjonspropp åpne femal luer enkle</t>
  </si>
  <si>
    <t>4035929</t>
  </si>
  <si>
    <t>Maske hel NIV NV str S</t>
  </si>
  <si>
    <t>4035930</t>
  </si>
  <si>
    <t>Maske hel NIV NV str M</t>
  </si>
  <si>
    <t>4035931</t>
  </si>
  <si>
    <t>Maske hel NIV NV str L</t>
  </si>
  <si>
    <t>4035932</t>
  </si>
  <si>
    <t>Filter bakt/vir fukt/vrm rett port voksn</t>
  </si>
  <si>
    <t>4035935</t>
  </si>
  <si>
    <t>Filter Servo Guard vannfelle</t>
  </si>
  <si>
    <t>4035940</t>
  </si>
  <si>
    <t>4035951</t>
  </si>
  <si>
    <t>Adapter trykksett art barn lukk prøvetak</t>
  </si>
  <si>
    <t>4035953</t>
  </si>
  <si>
    <t>Kateter føring PCI AL 6F 0.75 100cm</t>
  </si>
  <si>
    <t>4035954</t>
  </si>
  <si>
    <t>Kateter føring PCI extrasup 6F 3.5 100cm</t>
  </si>
  <si>
    <t>4035956</t>
  </si>
  <si>
    <t>Kateter føring PCI extrsup 6F 3.75 100cm</t>
  </si>
  <si>
    <t>4035957</t>
  </si>
  <si>
    <t>Kateter føring PCI JR 6F 4.0 100cm</t>
  </si>
  <si>
    <t>4035958</t>
  </si>
  <si>
    <t>Kateter føring PCI SL 6F 3.5 100cm</t>
  </si>
  <si>
    <t>4035959</t>
  </si>
  <si>
    <t>Kateter føring  PCI extrsup 7F 3.5 100cm</t>
  </si>
  <si>
    <t>4035960</t>
  </si>
  <si>
    <t>Kateter diagnostisk IMA 5F 100cm</t>
  </si>
  <si>
    <t>4035961</t>
  </si>
  <si>
    <t>Prøverør ifob og kalpro i fæses 2 ml</t>
  </si>
  <si>
    <t>4035963</t>
  </si>
  <si>
    <t>4035971</t>
  </si>
  <si>
    <t>Kateter diagnostisk JR 5F 4.0 100cm</t>
  </si>
  <si>
    <t>4035972</t>
  </si>
  <si>
    <t>Kateter diagnostisk Pig Stand 5F 110 cm</t>
  </si>
  <si>
    <t>4035973</t>
  </si>
  <si>
    <t>Sprøyte Manometer Everest 30cc</t>
  </si>
  <si>
    <t>4035974</t>
  </si>
  <si>
    <t>Innføringssett 9FR m/sideslange</t>
  </si>
  <si>
    <t>4036481</t>
  </si>
  <si>
    <t>Kateter diagnostisk JL 5F 3,5 100cm</t>
  </si>
  <si>
    <t>4036668</t>
  </si>
  <si>
    <t>Sutur rask resorb mult uf 4/0 PS-2S 45cm</t>
  </si>
  <si>
    <t>4036669</t>
  </si>
  <si>
    <t>Sutur kar ikke-resor mono 3/0 2xV-7 90cm</t>
  </si>
  <si>
    <t>4036670</t>
  </si>
  <si>
    <t>Sutur kar ikke-re mon 3/0 2xMH1 VB 120cm</t>
  </si>
  <si>
    <t>4036671</t>
  </si>
  <si>
    <t>Sutur kar ikke-resor mono 6/0 2xC-1 75cm</t>
  </si>
  <si>
    <t>4036672</t>
  </si>
  <si>
    <t>Sutur lang resor mono 4/0 2xSH1 VB 75cm</t>
  </si>
  <si>
    <t>4036673</t>
  </si>
  <si>
    <t>Sutur lang resor mono 4/0 2xRB1 70cm</t>
  </si>
  <si>
    <t>4036674</t>
  </si>
  <si>
    <t>Magasin suturmaskin EndoGia articul 45mm</t>
  </si>
  <si>
    <t>4036675</t>
  </si>
  <si>
    <t>Ligeringsslynge resorb sutur multifil 0</t>
  </si>
  <si>
    <t>4036677</t>
  </si>
  <si>
    <t>Magasin suturm EndoGia m/tip vaskulæ30mm</t>
  </si>
  <si>
    <t>4036678</t>
  </si>
  <si>
    <t>Suturmaskin rett m/kniv 55-60mm Blå</t>
  </si>
  <si>
    <t>4036688</t>
  </si>
  <si>
    <t>Røntgentrek steril sirk Hybrid 102x51cm</t>
  </si>
  <si>
    <t>4036709</t>
  </si>
  <si>
    <t>Magasin suturmaskin 55-60 Blå</t>
  </si>
  <si>
    <t>4036710</t>
  </si>
  <si>
    <t>Magasin suturmaskin 55-60mm Grønn</t>
  </si>
  <si>
    <t>4036711</t>
  </si>
  <si>
    <t>Magasin suturmaskin 75-80mm Grønn</t>
  </si>
  <si>
    <t>4036744</t>
  </si>
  <si>
    <t>Infusjonssett m/spike Bodyguard BD</t>
  </si>
  <si>
    <t>4036755</t>
  </si>
  <si>
    <t>Sutur kar ikke-res mono 7-0 2xBV EP 40cm</t>
  </si>
  <si>
    <t>4036756</t>
  </si>
  <si>
    <t>Sutur kar ikke-res mono 7-0 2xACC VB60cm</t>
  </si>
  <si>
    <t>4036757</t>
  </si>
  <si>
    <t>Sutur kar ikke-res mono 5-0 2xC-1 VB75cm</t>
  </si>
  <si>
    <t>4036758</t>
  </si>
  <si>
    <t>Sutur kar ikke-resor mono 3-0 2xV-5 90cm</t>
  </si>
  <si>
    <t>4036771</t>
  </si>
  <si>
    <t>Sutur ikke-res mult gr/hv2-0 2xV7 4x75cm</t>
  </si>
  <si>
    <t>4036772</t>
  </si>
  <si>
    <t>Sutur ikke-res pled gr/hv2-0 2xV5 4x75cm</t>
  </si>
  <si>
    <t>4036775</t>
  </si>
  <si>
    <t>Ligatur res mult antib 3-0 6x45cm</t>
  </si>
  <si>
    <t>4036776</t>
  </si>
  <si>
    <t>Sutur res mult antib 0 UR-6 70cm</t>
  </si>
  <si>
    <t>4036777</t>
  </si>
  <si>
    <t>Sutur res mult antib 0 SH 70cm</t>
  </si>
  <si>
    <t>4036778</t>
  </si>
  <si>
    <t>Sutur res mult antib 0 CT 70cm</t>
  </si>
  <si>
    <t>4036779</t>
  </si>
  <si>
    <t>Sutur res mult antib 1 CT 90cm</t>
  </si>
  <si>
    <t>4036780</t>
  </si>
  <si>
    <t>Sutur res mono antib 3-0 PS-1 70cm</t>
  </si>
  <si>
    <t>4036781</t>
  </si>
  <si>
    <t>Ligaklip titan Blå S</t>
  </si>
  <si>
    <t>4036782</t>
  </si>
  <si>
    <t>SLETTET pga. duplikat. BRUK 4007872</t>
  </si>
  <si>
    <t>4036783</t>
  </si>
  <si>
    <t>Ligaklip titan Grønn M/L</t>
  </si>
  <si>
    <t>4038549</t>
  </si>
  <si>
    <t>Adapter Y koronarperfusjon</t>
  </si>
  <si>
    <t>4038550</t>
  </si>
  <si>
    <t>Sug HLM Pericardial Sumps 20Fr</t>
  </si>
  <si>
    <t>4038551</t>
  </si>
  <si>
    <t>Kompresser NW grønn stor 3-lag 40x60cm</t>
  </si>
  <si>
    <t>4038552</t>
  </si>
  <si>
    <t>Dialator kit vasculær ca 120cm</t>
  </si>
  <si>
    <t>4038553</t>
  </si>
  <si>
    <t>Kanyle Aorta rot m/VentLine 5Fr</t>
  </si>
  <si>
    <t>4038554</t>
  </si>
  <si>
    <t>Kanyle kor art Ostial vinklet metal 10Fr</t>
  </si>
  <si>
    <t>4038555</t>
  </si>
  <si>
    <t>Kanyle IMA 1mm</t>
  </si>
  <si>
    <t>4038556</t>
  </si>
  <si>
    <t>Karstrikk Rød Mini</t>
  </si>
  <si>
    <t>4038557</t>
  </si>
  <si>
    <t>Karstrikk Rød MAXI</t>
  </si>
  <si>
    <t>4038558</t>
  </si>
  <si>
    <t>Sagblad sternumsag system 7</t>
  </si>
  <si>
    <t>4038559</t>
  </si>
  <si>
    <t>Ledning Pacemaker midlertidig Atrial</t>
  </si>
  <si>
    <t>4038560</t>
  </si>
  <si>
    <t>Ledning Pacemaker midlertidig Myocard</t>
  </si>
  <si>
    <t>4038561</t>
  </si>
  <si>
    <t>Innsnittsduk opr m/jod 56x85cm</t>
  </si>
  <si>
    <t>4038562</t>
  </si>
  <si>
    <t>Røntgentrek steril sirk Hybrid 102x152cm</t>
  </si>
  <si>
    <t>4038563</t>
  </si>
  <si>
    <t>Røntgentrek ArtisZego steril stor Hybrid</t>
  </si>
  <si>
    <t>4038564</t>
  </si>
  <si>
    <t>Kanyle arterie EOPA 22Fr</t>
  </si>
  <si>
    <t>4038565</t>
  </si>
  <si>
    <t>Kanyle arterie EOPA 24Fr</t>
  </si>
  <si>
    <t>4038566</t>
  </si>
  <si>
    <t>Kanyle arterie EOPA m/guidewire 22Fr</t>
  </si>
  <si>
    <t>4038567</t>
  </si>
  <si>
    <t>Kanyle vene  two stages 28/36Fr</t>
  </si>
  <si>
    <t>4038568</t>
  </si>
  <si>
    <t>Kanyle vene  two stages 34/46Fr</t>
  </si>
  <si>
    <t>4038569</t>
  </si>
  <si>
    <t>Kanyle vene oval two stages 32/40Fr</t>
  </si>
  <si>
    <t>4038570</t>
  </si>
  <si>
    <t>Kanyle Air asp "blåhette" 16Ga</t>
  </si>
  <si>
    <t>4038571</t>
  </si>
  <si>
    <t>Knivblad Beaver 15 grader 3mm</t>
  </si>
  <si>
    <t>4038572</t>
  </si>
  <si>
    <t>Retractor sårbeskytter Alexis Small</t>
  </si>
  <si>
    <t>4038573</t>
  </si>
  <si>
    <t>Kateter Koronar Ostial m/ballongtip 4mm</t>
  </si>
  <si>
    <t>4038574</t>
  </si>
  <si>
    <t>Kateter Koronar Ostial m/ballongtip 6mm</t>
  </si>
  <si>
    <t>4038575</t>
  </si>
  <si>
    <t>Ultralyd Harmonic 1100 36cm</t>
  </si>
  <si>
    <t>4038576</t>
  </si>
  <si>
    <t>Ultralydkniv/vevfseg bi Thunderb åpn jaw</t>
  </si>
  <si>
    <t>4038577</t>
  </si>
  <si>
    <t>Kateter kardioplegi retrograd 12Fr</t>
  </si>
  <si>
    <t>4038578</t>
  </si>
  <si>
    <t>Boks steril dobbel stor 750/500?</t>
  </si>
  <si>
    <t>4038579</t>
  </si>
  <si>
    <t>Elektrode diatermiforlenger isolert165mm</t>
  </si>
  <si>
    <t>4038580</t>
  </si>
  <si>
    <t>Fogartybekledning soft/traction 33mm</t>
  </si>
  <si>
    <t>4038581</t>
  </si>
  <si>
    <t>Fogartybekledning soft/traction 61mm</t>
  </si>
  <si>
    <t>4038582</t>
  </si>
  <si>
    <t>Fogartybekledning soft/traction 86mm</t>
  </si>
  <si>
    <t>4038583</t>
  </si>
  <si>
    <t>Kanyle vene Thin flex one stages 28Fr</t>
  </si>
  <si>
    <t>4038584</t>
  </si>
  <si>
    <t>Kanyle vene Thin flex one stages 32Fr</t>
  </si>
  <si>
    <t>4038585</t>
  </si>
  <si>
    <t>Trocar Thorax 10/12mm 75cm</t>
  </si>
  <si>
    <t>4038586</t>
  </si>
  <si>
    <t>Kateter vent 16Fr</t>
  </si>
  <si>
    <t>4038643</t>
  </si>
  <si>
    <t>Fistelnål spiss safty 30cm sl 15Gx25mm</t>
  </si>
  <si>
    <t>4038644</t>
  </si>
  <si>
    <t>Fistelnål spiss safty 30cm sl 16Gx25mm</t>
  </si>
  <si>
    <t>4038645</t>
  </si>
  <si>
    <t>Fistelnål butt 30cm slange 14Gx20mm</t>
  </si>
  <si>
    <t>4038646</t>
  </si>
  <si>
    <t>Fistelnål butt 30cm Slange 16Gx20mm</t>
  </si>
  <si>
    <t>4038647</t>
  </si>
  <si>
    <t>Fistelnål butt 30cm slange 16Gx25mm</t>
  </si>
  <si>
    <t>4038648</t>
  </si>
  <si>
    <t>Elektrode BCM</t>
  </si>
  <si>
    <t>4038649</t>
  </si>
  <si>
    <t>Slangesett barn AK98</t>
  </si>
  <si>
    <t>4038650</t>
  </si>
  <si>
    <t>Slangesett plasma TPE2000</t>
  </si>
  <si>
    <t>4038735</t>
  </si>
  <si>
    <t>Stomi ConvaTec 1Dcvx tømb 44mm</t>
  </si>
  <si>
    <t>4038736</t>
  </si>
  <si>
    <t>Stomi ConvaTec 1Dcvx tømb 54mm</t>
  </si>
  <si>
    <t>4038737</t>
  </si>
  <si>
    <t>Urostomi ConvaTec 1Dcvx tømb 44mm</t>
  </si>
  <si>
    <t>4038742</t>
  </si>
  <si>
    <t>Stomipose Colop Mio2D highOutp kleb 70mm</t>
  </si>
  <si>
    <t>4038743</t>
  </si>
  <si>
    <t>Stomipose Colop Mio2D highOutp kleb 50mm</t>
  </si>
  <si>
    <t>4039173</t>
  </si>
  <si>
    <t>Kateter HD HF akutt 2veis 13,5Fr 13,5cm</t>
  </si>
  <si>
    <t>4039174</t>
  </si>
  <si>
    <t>Kateter HD tunnelert 19 cm</t>
  </si>
  <si>
    <t>4039175</t>
  </si>
  <si>
    <t>Kateter HD tunnelert 23 cm</t>
  </si>
  <si>
    <t>4039176</t>
  </si>
  <si>
    <t>Kateter HD tunnelert 28 cm</t>
  </si>
  <si>
    <t>4039177</t>
  </si>
  <si>
    <t>Kateter HD tunnelert 44 cm</t>
  </si>
  <si>
    <t>4039951</t>
  </si>
  <si>
    <t>Blodvarmepose plasma TPE2000</t>
  </si>
  <si>
    <t>4039952</t>
  </si>
  <si>
    <t>Slangesett voksen AK 98</t>
  </si>
  <si>
    <t>4039953</t>
  </si>
  <si>
    <t>Bicarbonat AK98 720g</t>
  </si>
  <si>
    <t>4039954</t>
  </si>
  <si>
    <t>CleanCart AK98</t>
  </si>
  <si>
    <t>4039955</t>
  </si>
  <si>
    <t>Avfallspose plasma 5L</t>
  </si>
  <si>
    <t>4039956</t>
  </si>
  <si>
    <t>Filter steril AK98 U9000 Plus</t>
  </si>
  <si>
    <t>4043184</t>
  </si>
  <si>
    <t>Kat urin 3v silikon couvelaire 30ml/CH22</t>
  </si>
  <si>
    <t>4044449</t>
  </si>
  <si>
    <t>Drenasjesett ekstern CSF m/nålfri kobl</t>
  </si>
  <si>
    <t>4044451</t>
  </si>
  <si>
    <t>Ventil Strata uten BioGlide liten</t>
  </si>
  <si>
    <t>4044453</t>
  </si>
  <si>
    <t>Skalpklips steril</t>
  </si>
  <si>
    <t>4044460</t>
  </si>
  <si>
    <t>Reflektorkuler for navigasjon pk a 3stk</t>
  </si>
  <si>
    <t>4044461</t>
  </si>
  <si>
    <t>Fikseringsimplantat benlapp titan 11mm</t>
  </si>
  <si>
    <t>4044462</t>
  </si>
  <si>
    <t>Fikseringsimplantat benlapp titan 16mm</t>
  </si>
  <si>
    <t>4044466</t>
  </si>
  <si>
    <t>Hemostase flytende m/thrombin kit 8ml</t>
  </si>
  <si>
    <t>4044863</t>
  </si>
  <si>
    <t>Larynxmaske gel plus m/sugekanal 5,0</t>
  </si>
  <si>
    <t>4044864</t>
  </si>
  <si>
    <t>Larynxmaske gel plus m/sugekanal 4,0</t>
  </si>
  <si>
    <t>4045013</t>
  </si>
  <si>
    <t>Munnbind opr m/knyt antidugg II blå</t>
  </si>
  <si>
    <t>4045014</t>
  </si>
  <si>
    <t>Innsnittsduk opr m/jod 10x20cm</t>
  </si>
  <si>
    <t>4045015</t>
  </si>
  <si>
    <t>Baclofen revisjonskit suturfri 8578</t>
  </si>
  <si>
    <t>4045017</t>
  </si>
  <si>
    <t>Medpor titan implantat MTB 76x50x1,6mm</t>
  </si>
  <si>
    <t>4045018</t>
  </si>
  <si>
    <t>Medpor transphenoidal imp 20x20x2,5x0,45</t>
  </si>
  <si>
    <t>4045019</t>
  </si>
  <si>
    <t>Peritonealkateter Ares m/antibiotika</t>
  </si>
  <si>
    <t>4045020</t>
  </si>
  <si>
    <t>Kanyle injeksjon orange 25Gx16mm</t>
  </si>
  <si>
    <t>4045021</t>
  </si>
  <si>
    <t>Duraerstatter Lyoplant 6x14cm</t>
  </si>
  <si>
    <t>4045024</t>
  </si>
  <si>
    <t>Duraerstatter Lyoplant Onlay 7,5x7,5cm</t>
  </si>
  <si>
    <t>4045025</t>
  </si>
  <si>
    <t>Stimulatorprobe til NIM 3.0</t>
  </si>
  <si>
    <t>4045026</t>
  </si>
  <si>
    <t>Elektrode til NIM 3.0 2-kanals 12mm</t>
  </si>
  <si>
    <t>4045027</t>
  </si>
  <si>
    <t>Frimerker små gule Americot  3x3mm</t>
  </si>
  <si>
    <t>4045028</t>
  </si>
  <si>
    <t>Frimerker store gule Americot 6x6mm</t>
  </si>
  <si>
    <t>4045029</t>
  </si>
  <si>
    <t>Frimerker små blå Americot 13x13mm</t>
  </si>
  <si>
    <t>4045030</t>
  </si>
  <si>
    <t>Frimerker smale remser Americot 13x76mm</t>
  </si>
  <si>
    <t>4045031</t>
  </si>
  <si>
    <t>Operasjonstørk Pledd Americot 76x76mm</t>
  </si>
  <si>
    <t>4045032</t>
  </si>
  <si>
    <t>Medikamentpumpe SynchroMed II 20ml</t>
  </si>
  <si>
    <t>4045033</t>
  </si>
  <si>
    <t>Nakkebur Capri 16x14 5mm</t>
  </si>
  <si>
    <t>4045034</t>
  </si>
  <si>
    <t>Nakkebur Capri 16x14 6mm</t>
  </si>
  <si>
    <t>4045035</t>
  </si>
  <si>
    <t>Nakkebur Capri 16x14 7mm</t>
  </si>
  <si>
    <t>4045037</t>
  </si>
  <si>
    <t>Nakkebur Capri 18x16 5mm</t>
  </si>
  <si>
    <t>4045038</t>
  </si>
  <si>
    <t>Nakkebur Capri 18x16 6mm</t>
  </si>
  <si>
    <t>4045039</t>
  </si>
  <si>
    <t>Nakkebur Capri 18x16 7mm</t>
  </si>
  <si>
    <t>4045042</t>
  </si>
  <si>
    <t>DBS Percept PC</t>
  </si>
  <si>
    <t>4045055</t>
  </si>
  <si>
    <t>Retractor Vycor 21x15mm 5 cm</t>
  </si>
  <si>
    <t>4045056</t>
  </si>
  <si>
    <t>Retractor Vycor 21x15mm 7cm</t>
  </si>
  <si>
    <t>4045057</t>
  </si>
  <si>
    <t>Retractor Vycor 12x8mm 7cm</t>
  </si>
  <si>
    <t>4045060</t>
  </si>
  <si>
    <t>Ventrikkelkateter Ares m/antibiotika</t>
  </si>
  <si>
    <t>4045068</t>
  </si>
  <si>
    <t>Hemostase gelantinsvamp 7x5x1cm</t>
  </si>
  <si>
    <t>4045081</t>
  </si>
  <si>
    <t>Hemostase Fibrillar 2,5x5cm</t>
  </si>
  <si>
    <t>4045333</t>
  </si>
  <si>
    <t>Ventil m/distalkat Strata II snap</t>
  </si>
  <si>
    <t>4045334</t>
  </si>
  <si>
    <t>Ventrikkelkateter Strata II snap 6cm</t>
  </si>
  <si>
    <t>4045335</t>
  </si>
  <si>
    <t>Ventrikkelkateter Strata II snap 7cm</t>
  </si>
  <si>
    <t>4045337</t>
  </si>
  <si>
    <t>Slangesett CUSA til ultralydaspirator</t>
  </si>
  <si>
    <t>4045338</t>
  </si>
  <si>
    <t>Forstykke CUSA curveExtMicro tip 36kHz</t>
  </si>
  <si>
    <t>4045339</t>
  </si>
  <si>
    <t>Momentnøkkel CUSA 36kHz</t>
  </si>
  <si>
    <t>4045370</t>
  </si>
  <si>
    <t>Hake butt engangs steril 12mm</t>
  </si>
  <si>
    <t>4045373</t>
  </si>
  <si>
    <t>EVD kateter sett Bactiseal 1,9mm</t>
  </si>
  <si>
    <t>4045608</t>
  </si>
  <si>
    <t>Medpor titan max impl MTM 100x76x1,5mm</t>
  </si>
  <si>
    <t>4046090</t>
  </si>
  <si>
    <t>Kateter Baklofen intratekal kort Ascenda</t>
  </si>
  <si>
    <t>4046091</t>
  </si>
  <si>
    <t>Revisjonskit Baklofen for m/SynchroMed</t>
  </si>
  <si>
    <t>4046092</t>
  </si>
  <si>
    <t>Revisjonskit Baklofen spinalseg suturfri</t>
  </si>
  <si>
    <t>4046093</t>
  </si>
  <si>
    <t>Neuroballong</t>
  </si>
  <si>
    <t>4046094</t>
  </si>
  <si>
    <t>Fiksasjonssett DogBone 2Hulls plate 3stk</t>
  </si>
  <si>
    <t>4046095</t>
  </si>
  <si>
    <t>Sagblad Oscillerende buet 11mm</t>
  </si>
  <si>
    <t>4046096</t>
  </si>
  <si>
    <t>Sagblad Oscillerende rett 10mm</t>
  </si>
  <si>
    <t>4046097</t>
  </si>
  <si>
    <t>Shaverblad DiegoElite stand mono rett 4m</t>
  </si>
  <si>
    <t>4046098</t>
  </si>
  <si>
    <t>Shaverblad DiegoElite standard 40gr 4mm</t>
  </si>
  <si>
    <t>4046099</t>
  </si>
  <si>
    <t>Shaverblad DiegoElite rett 4mm</t>
  </si>
  <si>
    <t>4046100</t>
  </si>
  <si>
    <t>Shaver DiegoEli Larynxblad til MLS 2,9mm</t>
  </si>
  <si>
    <t>4046101</t>
  </si>
  <si>
    <t>Bor DiegoElite Diamant ball 15gr 4,5mm</t>
  </si>
  <si>
    <t>4046102</t>
  </si>
  <si>
    <t>Bor DiegoElite Diamant bullet 15gr 3mm</t>
  </si>
  <si>
    <t>4046103</t>
  </si>
  <si>
    <t>Bor DiegoElite Diamant bullet 70gr 3mm</t>
  </si>
  <si>
    <t>4046119</t>
  </si>
  <si>
    <t>Plate Lorenz 16 hull rett</t>
  </si>
  <si>
    <t>4046120</t>
  </si>
  <si>
    <t>Plate Lorenz 5 hulls lang Y</t>
  </si>
  <si>
    <t>4046121</t>
  </si>
  <si>
    <t>Plate Lorenz 2x4 hull rektangulær</t>
  </si>
  <si>
    <t>4046122</t>
  </si>
  <si>
    <t>Plate Lorenz 4 hulls rektang 0,5mm tykk</t>
  </si>
  <si>
    <t>4046123</t>
  </si>
  <si>
    <t>Plate Lorenz Burr Hole 18,5mm</t>
  </si>
  <si>
    <t>4046124</t>
  </si>
  <si>
    <t>Plate Lorenz Gap 25mm</t>
  </si>
  <si>
    <t>4046125</t>
  </si>
  <si>
    <t>Skrue selvborende Lorenz 1,5x4mm</t>
  </si>
  <si>
    <t>4046126</t>
  </si>
  <si>
    <t>Skrue emergency selvbor Lorenz 1,8x5mm</t>
  </si>
  <si>
    <t>4048468</t>
  </si>
  <si>
    <t>Sutur resorb mult lilla 5/0 2xS-14 45cm</t>
  </si>
  <si>
    <t>4049107</t>
  </si>
  <si>
    <t>Tampong Hartmann steril 2cmx5m</t>
  </si>
  <si>
    <t>4049121</t>
  </si>
  <si>
    <t>Hake butt m/snor engangs steril 5mm</t>
  </si>
  <si>
    <t>4049360</t>
  </si>
  <si>
    <t>Vakumrør EDTA-K2 gel lilla 3,5ml</t>
  </si>
  <si>
    <t>4049385</t>
  </si>
  <si>
    <t>Ventil Nålfri enkel BD</t>
  </si>
  <si>
    <t>UNIT_PRICE</t>
  </si>
  <si>
    <t>VPRSV</t>
  </si>
  <si>
    <t>PEINH</t>
  </si>
  <si>
    <t>PRIS_STATUS</t>
  </si>
  <si>
    <t>V</t>
  </si>
  <si>
    <t>S</t>
  </si>
  <si>
    <t>EKSKLUDER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</si>
  <si>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</si>
  <si>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</si>
  <si>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</si>
  <si>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</si>
  <si>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</si>
  <si>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</si>
  <si>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</si>
  <si>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</si>
  <si>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</si>
  <si>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</si>
  <si>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</si>
  <si>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</si>
  <si>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</si>
  <si>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</si>
  <si>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</si>
  <si>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</si>
  <si>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</si>
  <si>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</si>
  <si>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</si>
  <si>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</si>
  <si>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</si>
  <si>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</si>
  <si>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</si>
  <si>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</si>
  <si>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TOTAL</t>
  </si>
  <si>
    <t>ACTIVE_MONTHS</t>
  </si>
  <si>
    <t>CV</t>
  </si>
  <si>
    <t>NY_ARTIKKEL</t>
  </si>
  <si>
    <t>EBELN</t>
  </si>
  <si>
    <t>Antall unike MATNR</t>
  </si>
  <si>
    <t>Snitt ORDER_COUNT</t>
  </si>
  <si>
    <t>TOTAL_NETWR</t>
  </si>
  <si>
    <t>ORDER_COUNT</t>
  </si>
  <si>
    <t>AVG_ORDER_QTY</t>
  </si>
  <si>
    <t>Filter</t>
  </si>
  <si>
    <t>BEWTP=E, BWART=101</t>
  </si>
  <si>
    <t>Totalt filtrerte rader</t>
  </si>
  <si>
    <t>Antall S-rader (mottak)</t>
  </si>
  <si>
    <t>Antall H-rader (retur)</t>
  </si>
  <si>
    <t>Returandel H%</t>
  </si>
  <si>
    <t>Total NET_RECEIVED</t>
  </si>
  <si>
    <t>NET_RECEIVED</t>
  </si>
  <si>
    <t>Antall MATNR med leveringstid</t>
  </si>
  <si>
    <t>Snitt LEAD_TIME_DAYS</t>
  </si>
  <si>
    <t>Min LEAD_TIME_DAYS</t>
  </si>
  <si>
    <t>Maks LEAD_TIME_DAYS</t>
  </si>
  <si>
    <t>LEAD_TIME_DAYS</t>
  </si>
  <si>
    <t>SUPPLIER_COUNT</t>
  </si>
  <si>
    <t>WGBEZ</t>
  </si>
  <si>
    <t>Blodsubst/infusjonop</t>
  </si>
  <si>
    <t>Endosk prod forbr</t>
  </si>
  <si>
    <t>Gastrostomi forbr</t>
  </si>
  <si>
    <t>Kar/thor kir forbr</t>
  </si>
  <si>
    <t>Invasiv kardiologi</t>
  </si>
  <si>
    <t>Inv kardio forbr.mat</t>
  </si>
  <si>
    <t>Nevrokirurgiske impl</t>
  </si>
  <si>
    <t>Tann/Orale implantat</t>
  </si>
  <si>
    <t>Nevrokirurgisk forbr</t>
  </si>
  <si>
    <t>Artroskopi</t>
  </si>
  <si>
    <t>Gips og ortoser</t>
  </si>
  <si>
    <t>Ortopedi forbr</t>
  </si>
  <si>
    <t>Ryggkirurgi implant</t>
  </si>
  <si>
    <t>Radiol. Vaskul. Prod</t>
  </si>
  <si>
    <t>Dampsterilis. Emball</t>
  </si>
  <si>
    <t>Steriliseringstester</t>
  </si>
  <si>
    <t>Sterilisering forbru</t>
  </si>
  <si>
    <t>Diatermi forbr</t>
  </si>
  <si>
    <t>Elektrokir instr</t>
  </si>
  <si>
    <t>Fagspes. Kir. Instr</t>
  </si>
  <si>
    <t>Gener. Kir. Instrum</t>
  </si>
  <si>
    <t>Hemostasemidler</t>
  </si>
  <si>
    <t>Hudklips, lim, tape</t>
  </si>
  <si>
    <t>Laparosk prod forbr</t>
  </si>
  <si>
    <t>Suturer</t>
  </si>
  <si>
    <t>ØNH forbr</t>
  </si>
  <si>
    <t>Kirurgisk forbruksm</t>
  </si>
  <si>
    <t>Blodprøvetakingsutst</t>
  </si>
  <si>
    <t>Hurtigtester</t>
  </si>
  <si>
    <t>Plastprodukter, labo</t>
  </si>
  <si>
    <t>Prøvetakingsutstyr</t>
  </si>
  <si>
    <t>Blodgass utstyr</t>
  </si>
  <si>
    <t>Klinisk farmakologi</t>
  </si>
  <si>
    <t>Klinisk kjemi</t>
  </si>
  <si>
    <t>Biopsi</t>
  </si>
  <si>
    <t>Uklas lab. Produkter</t>
  </si>
  <si>
    <t>Akutt/prehosp. Forbr</t>
  </si>
  <si>
    <t>Anestesi kanyler</t>
  </si>
  <si>
    <t>Infusjon/transfj. Pr</t>
  </si>
  <si>
    <t>Anestesi luftveiprod</t>
  </si>
  <si>
    <t>Magesonder</t>
  </si>
  <si>
    <t>Venekanyl/-port/-nål</t>
  </si>
  <si>
    <t>Sprøyter og kanyler</t>
  </si>
  <si>
    <t>Anestesi forbruksm</t>
  </si>
  <si>
    <t>Med. Desinfeksmidl</t>
  </si>
  <si>
    <t>Pasientstell</t>
  </si>
  <si>
    <t>Smittevern, besky, v</t>
  </si>
  <si>
    <t>Undersøkelseshansker</t>
  </si>
  <si>
    <t>Avføringskontrollpro</t>
  </si>
  <si>
    <t>Urol. Kateter/tilbh</t>
  </si>
  <si>
    <t>Ernær. Syst til barn</t>
  </si>
  <si>
    <t>Fikseringsprodukter</t>
  </si>
  <si>
    <t>Invasiv trykkmåling</t>
  </si>
  <si>
    <t>Luftveisprod. Slange</t>
  </si>
  <si>
    <t>Oksygenbehandling</t>
  </si>
  <si>
    <t>Sugekateter/-sett</t>
  </si>
  <si>
    <t>MTU Thoraxdren.syst</t>
  </si>
  <si>
    <t>Bordtoppdekking</t>
  </si>
  <si>
    <t>Instrumenttildekking</t>
  </si>
  <si>
    <t>Operasjonsbekledning</t>
  </si>
  <si>
    <t>Operasjonshansker</t>
  </si>
  <si>
    <t>Operasjonskompresser</t>
  </si>
  <si>
    <t>Operasjonsprodukter</t>
  </si>
  <si>
    <t>Oppdekkingsprodukter</t>
  </si>
  <si>
    <t>Prosedyrepakker</t>
  </si>
  <si>
    <t>Sug, slanger og pose</t>
  </si>
  <si>
    <t>Sårdren</t>
  </si>
  <si>
    <t>Vaskesett</t>
  </si>
  <si>
    <t>Stomiprodukter</t>
  </si>
  <si>
    <t>Sårbehandlingsproduk</t>
  </si>
  <si>
    <t>Medisinske forbruksm</t>
  </si>
  <si>
    <t>MTU, Anestesiutstyr</t>
  </si>
  <si>
    <t>MTU, Defibrillatorer</t>
  </si>
  <si>
    <t>MTU, Respirasjonutst</t>
  </si>
  <si>
    <t>MTU, CT</t>
  </si>
  <si>
    <t>MTU, bilde., ultraly</t>
  </si>
  <si>
    <t>MTU, infrastr. Ukla</t>
  </si>
  <si>
    <t>MTU, operas./kirugi</t>
  </si>
  <si>
    <t>MTU, Dialyse</t>
  </si>
  <si>
    <t>MTU, pasientovervåk</t>
  </si>
  <si>
    <t>MTU, pulsoksy/blodtr</t>
  </si>
  <si>
    <t>MTU, ØNH generell</t>
  </si>
  <si>
    <t>Ambulanse medutstyr</t>
  </si>
  <si>
    <t>Forbr BHM Dialyseuts</t>
  </si>
  <si>
    <t>Forbr BHM Ernærsyst</t>
  </si>
  <si>
    <t>Forbr BHM Resp.utst</t>
  </si>
  <si>
    <t>Kontorrekvisita</t>
  </si>
  <si>
    <t>Teknisk verktøy</t>
  </si>
  <si>
    <t>Pasient-/personaltøy</t>
  </si>
  <si>
    <t>Verneutstyr</t>
  </si>
  <si>
    <t>Andel aktive (%)</t>
  </si>
  <si>
    <t>🔴 MARD</t>
  </si>
  <si>
    <t>Unike MATNR</t>
  </si>
  <si>
    <t>Unike materialtyper (MTART)</t>
  </si>
  <si>
    <t>Unike varegrupper (MATKL)</t>
  </si>
  <si>
    <t>Vanligste enhet (MEINS)</t>
  </si>
  <si>
    <t>Andel STK</t>
  </si>
  <si>
    <t>🟢 MARA</t>
  </si>
  <si>
    <t>🟢 MAKT</t>
  </si>
  <si>
    <t>Unike materialnr (MATNR)</t>
  </si>
  <si>
    <t>Gjennomsnittlig beskrivelseslengde</t>
  </si>
  <si>
    <t>Materialer uten beskrivelse</t>
  </si>
  <si>
    <t>Lengste beskrivelse (tegn)</t>
  </si>
  <si>
    <t>Korteste beskrivelse (tegn)</t>
  </si>
  <si>
    <t>🟢 MBEW</t>
  </si>
  <si>
    <t>Totalt antall materialer</t>
  </si>
  <si>
    <t>Gjennomsnittspris (UNIT_PRICE)</t>
  </si>
  <si>
    <t>Medianpris</t>
  </si>
  <si>
    <t>Maks pris</t>
  </si>
  <si>
    <t>Min pris (&gt; 0)</t>
  </si>
  <si>
    <t>Andel V-priser (bevegelig gj.sn.)</t>
  </si>
  <si>
    <t>🟢 MSEG</t>
  </si>
  <si>
    <t>Aktive måneder (snitt)</t>
  </si>
  <si>
    <t>Total forbruk (alle MATNR)</t>
  </si>
  <si>
    <t>Gjennomsnittlig CV</t>
  </si>
  <si>
    <t>Antall med CV &gt; 1.0 (ustabil)</t>
  </si>
  <si>
    <t>Antall med STATUS 'INAKTIV'</t>
  </si>
  <si>
    <t>🟢 EKKO</t>
  </si>
  <si>
    <t>Totalt antall innkjøpsordre</t>
  </si>
  <si>
    <t>Unike EBELN</t>
  </si>
  <si>
    <t>Første ordrenummer</t>
  </si>
  <si>
    <t>Siste ordrenummer</t>
  </si>
  <si>
    <t>Antall ordre (intervall)</t>
  </si>
  <si>
    <t>Datakvalitet</t>
  </si>
  <si>
    <t>🔴 MARC</t>
  </si>
  <si>
    <t>Unike MATNR (etter dedup)</t>
  </si>
  <si>
    <t>MATNR m/blank ABC-indikator</t>
  </si>
  <si>
    <t>ABC dekningsprosent</t>
  </si>
  <si>
    <t>Vanligste ABC-klasse</t>
  </si>
  <si>
    <t>Manglende kolonner</t>
  </si>
  <si>
    <t>EISBE, MINBE, MABST</t>
  </si>
  <si>
    <t>🔴 MDMA</t>
  </si>
  <si>
    <t>XYZ dekningsprosent</t>
  </si>
  <si>
    <t>ZZABC blank (mangler)</t>
  </si>
  <si>
    <t>ZZXYZ blank (mangler)</t>
  </si>
  <si>
    <t>🟢 EKPO</t>
  </si>
  <si>
    <t>Total NETWR (NOK)</t>
  </si>
  <si>
    <t>Høyeste NETWR (artikkel)</t>
  </si>
  <si>
    <t>WERKS=3300, LGORT=3001</t>
  </si>
  <si>
    <t>🟢 EKBE</t>
  </si>
  <si>
    <t>Antall med &gt; 1 leverandør</t>
  </si>
  <si>
    <t>Andel med leveringstid &gt; 3 dager</t>
  </si>
  <si>
    <t>🟢 EINA_EINE</t>
  </si>
  <si>
    <t>🟢 T023T</t>
  </si>
  <si>
    <t>Antall unike varegrupper (MATKL)</t>
  </si>
  <si>
    <t>Lengste varegruppenavn (tegn)</t>
  </si>
  <si>
    <t>Korteste varegruppenavn (tegn)</t>
  </si>
  <si>
    <t>Snitt navnlengde (tegn)</t>
  </si>
  <si>
    <t>MAKTX</t>
  </si>
  <si>
    <t>ZZABC</t>
  </si>
  <si>
    <t>ZZXYZ</t>
  </si>
  <si>
    <t>MARC_ABC</t>
  </si>
  <si>
    <t>D_ANNUAL</t>
  </si>
  <si>
    <t>MSEG_STATUS</t>
  </si>
  <si>
    <t>Antall artikler i MASTERFILE</t>
  </si>
  <si>
    <t>Av total</t>
  </si>
  <si>
    <t>Dekning (%)</t>
  </si>
  <si>
    <t>SPESIALSTATISTIKK</t>
  </si>
  <si>
    <t>Antall kildetabeller koblet</t>
  </si>
  <si>
    <t>Dekningsprosent ZZXYZ</t>
  </si>
  <si>
    <t>Dekningsprosent UNIT_PRICE</t>
  </si>
  <si>
    <t>Dekningsprosent CV</t>
  </si>
  <si>
    <t>Dekningsprosent LEAD_TIME_DAYS</t>
  </si>
  <si>
    <t>Generert dato</t>
  </si>
  <si>
    <t>Antall med NY_ARTIKKEL status</t>
  </si>
  <si>
    <t>Felt med lavest dekning</t>
  </si>
  <si>
    <t>Felt med høyest dekning</t>
  </si>
  <si>
    <t>Dekningsterskel (OK)</t>
  </si>
  <si>
    <t>Felt</t>
  </si>
  <si>
    <t>Status</t>
  </si>
  <si>
    <t>Antall MSEG_STATUS = NY_ARTIKKEL</t>
  </si>
  <si>
    <t>🔴 MASTERFILE</t>
  </si>
  <si>
    <t>🔴 KVALITETSRAPPORT</t>
  </si>
  <si>
    <t xml:space="preserve"> 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</si>
</sst>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#,##0.0000"/>
    <numFmt numFmtId="166" formatCode="0.00%"/>
    <numFmt numFmtId="167" formatCode="0.0"/>
    <numFmt numFmtId="168" formatCode="#,##0.0"/>
    <numFmt numFmtId="169" formatCode="0.000"/>
    <numFmt numFmtId="170" formatCode="0.0000"/>
    <numFmt numFmtId="171" formatCode="dd\.mm\.yyyy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2" borderId="0" xfId="0" applyFill="1" applyAlignment="1">
      <alignment vertical="top"/>
    </xf>
    <xf numFmtId="1" fontId="0" fillId="0" borderId="0" xfId="0" applyNumberFormat="1" applyAlignment="1">
      <alignment vertical="top"/>
    </xf>
    <xf numFmtId="0" fontId="4" fillId="3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4" xfId="0" applyFont="1" applyFill="1" applyBorder="1" applyAlignment="1">
      <alignment vertical="top"/>
    </xf>
    <xf numFmtId="164" fontId="0" fillId="5" borderId="7" xfId="0" applyNumberFormat="1" applyFill="1" applyBorder="1" applyAlignment="1">
      <alignment horizontal="right" vertical="top"/>
    </xf>
    <xf numFmtId="0" fontId="2" fillId="6" borderId="0" xfId="0" applyFont="1" applyFill="1" applyAlignment="1">
      <alignment vertical="top"/>
    </xf>
    <xf numFmtId="168" fontId="0" fillId="0" borderId="0" xfId="0" applyNumberFormat="1" applyAlignment="1">
      <alignment vertical="top"/>
    </xf>
    <xf numFmtId="0" fontId="0" fillId="5" borderId="5" xfId="0" applyFill="1" applyBorder="1" applyAlignment="1">
      <alignment horizontal="right" vertical="top"/>
    </xf>
    <xf numFmtId="0" fontId="0" fillId="5" borderId="6" xfId="0" applyFill="1" applyBorder="1" applyAlignment="1">
      <alignment horizontal="right" vertical="top"/>
    </xf>
    <xf numFmtId="167" fontId="0" fillId="5" borderId="6" xfId="0" applyNumberFormat="1" applyFill="1" applyBorder="1" applyAlignment="1">
      <alignment horizontal="right" vertical="top"/>
    </xf>
    <xf numFmtId="0" fontId="0" fillId="5" borderId="7" xfId="0" applyFill="1" applyBorder="1" applyAlignment="1">
      <alignment horizontal="right" vertical="top"/>
    </xf>
    <xf numFmtId="4" fontId="0" fillId="5" borderId="6" xfId="0" applyNumberFormat="1" applyFill="1" applyBorder="1" applyAlignment="1">
      <alignment horizontal="right" vertical="top"/>
    </xf>
    <xf numFmtId="165" fontId="0" fillId="5" borderId="6" xfId="0" applyNumberFormat="1" applyFill="1" applyBorder="1" applyAlignment="1">
      <alignment horizontal="right" vertical="top"/>
    </xf>
    <xf numFmtId="168" fontId="4" fillId="3" borderId="0" xfId="0" applyNumberFormat="1" applyFont="1" applyFill="1" applyAlignment="1">
      <alignment vertical="top"/>
    </xf>
    <xf numFmtId="3" fontId="4" fillId="3" borderId="0" xfId="0" applyNumberFormat="1" applyFont="1" applyFill="1" applyAlignment="1">
      <alignment vertical="top"/>
    </xf>
    <xf numFmtId="3" fontId="0" fillId="5" borderId="6" xfId="0" applyNumberFormat="1" applyFill="1" applyBorder="1" applyAlignment="1">
      <alignment horizontal="right" vertical="top"/>
    </xf>
    <xf numFmtId="169" fontId="0" fillId="5" borderId="6" xfId="0" applyNumberFormat="1" applyFill="1" applyBorder="1" applyAlignment="1">
      <alignment horizontal="right" vertical="top"/>
    </xf>
    <xf numFmtId="170" fontId="0" fillId="0" borderId="0" xfId="0" applyNumberFormat="1" applyAlignment="1">
      <alignment vertical="top"/>
    </xf>
    <xf numFmtId="1" fontId="0" fillId="5" borderId="6" xfId="0" applyNumberFormat="1" applyFill="1" applyBorder="1" applyAlignment="1">
      <alignment horizontal="right" vertical="top"/>
    </xf>
    <xf numFmtId="0" fontId="1" fillId="5" borderId="0" xfId="0" applyFont="1" applyFill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5" borderId="5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164" fontId="0" fillId="5" borderId="6" xfId="0" applyNumberFormat="1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4" fontId="0" fillId="5" borderId="6" xfId="0" applyNumberFormat="1" applyFill="1" applyBorder="1" applyAlignment="1">
      <alignment horizontal="right"/>
    </xf>
    <xf numFmtId="2" fontId="0" fillId="5" borderId="6" xfId="0" applyNumberFormat="1" applyFill="1" applyBorder="1" applyAlignment="1">
      <alignment horizontal="right"/>
    </xf>
    <xf numFmtId="3" fontId="0" fillId="5" borderId="6" xfId="0" applyNumberFormat="1" applyFill="1" applyBorder="1" applyAlignment="1">
      <alignment horizontal="right"/>
    </xf>
    <xf numFmtId="4" fontId="0" fillId="5" borderId="7" xfId="0" applyNumberFormat="1" applyFill="1" applyBorder="1" applyAlignment="1">
      <alignment horizontal="right"/>
    </xf>
    <xf numFmtId="167" fontId="0" fillId="5" borderId="6" xfId="0" applyNumberFormat="1" applyFill="1" applyBorder="1" applyAlignment="1">
      <alignment horizontal="right"/>
    </xf>
    <xf numFmtId="164" fontId="0" fillId="5" borderId="7" xfId="0" applyNumberFormat="1" applyFill="1" applyBorder="1" applyAlignment="1">
      <alignment horizontal="right"/>
    </xf>
    <xf numFmtId="0" fontId="2" fillId="6" borderId="1" xfId="0" applyFont="1" applyFill="1" applyBorder="1" applyAlignment="1">
      <alignment vertical="top"/>
    </xf>
    <xf numFmtId="0" fontId="3" fillId="5" borderId="5" xfId="0" applyFont="1" applyFill="1" applyBorder="1" applyAlignment="1">
      <alignment horizontal="right" vertical="top"/>
    </xf>
    <xf numFmtId="0" fontId="3" fillId="5" borderId="6" xfId="0" applyFont="1" applyFill="1" applyBorder="1" applyAlignment="1">
      <alignment horizontal="right" vertical="top"/>
    </xf>
    <xf numFmtId="164" fontId="3" fillId="5" borderId="7" xfId="0" applyNumberFormat="1" applyFont="1" applyFill="1" applyBorder="1" applyAlignment="1">
      <alignment horizontal="right" vertical="top"/>
    </xf>
    <xf numFmtId="0" fontId="0" fillId="8" borderId="0" xfId="0" applyFill="1" applyAlignment="1">
      <alignment vertical="top"/>
    </xf>
    <xf numFmtId="0" fontId="5" fillId="8" borderId="0" xfId="0" applyFont="1" applyFill="1" applyAlignment="1">
      <alignment vertical="top"/>
    </xf>
    <xf numFmtId="0" fontId="3" fillId="0" borderId="0" xfId="0" applyFont="1"/>
    <xf numFmtId="0" fontId="2" fillId="6" borderId="0" xfId="0" applyFont="1" applyFill="1" applyAlignment="1">
      <alignment horizontal="center"/>
    </xf>
    <xf numFmtId="0" fontId="0" fillId="7" borderId="0" xfId="0" applyFill="1"/>
    <xf numFmtId="0" fontId="0" fillId="9" borderId="0" xfId="0" applyFill="1"/>
    <xf numFmtId="168" fontId="0" fillId="7" borderId="0" xfId="0" applyNumberFormat="1" applyFill="1"/>
    <xf numFmtId="168" fontId="0" fillId="9" borderId="0" xfId="0" applyNumberFormat="1" applyFill="1"/>
    <xf numFmtId="3" fontId="0" fillId="7" borderId="0" xfId="0" applyNumberFormat="1" applyFill="1"/>
    <xf numFmtId="3" fontId="0" fillId="9" borderId="0" xfId="0" applyNumberFormat="1" applyFill="1"/>
    <xf numFmtId="170" fontId="0" fillId="7" borderId="0" xfId="0" applyNumberFormat="1" applyFill="1"/>
    <xf numFmtId="170" fontId="0" fillId="9" borderId="0" xfId="0" applyNumberFormat="1" applyFill="1"/>
    <xf numFmtId="167" fontId="0" fillId="7" borderId="0" xfId="0" applyNumberFormat="1" applyFill="1"/>
    <xf numFmtId="167" fontId="0" fillId="9" borderId="0" xfId="0" applyNumberFormat="1" applyFill="1"/>
    <xf numFmtId="0" fontId="0" fillId="5" borderId="0" xfId="0" applyFill="1"/>
    <xf numFmtId="164" fontId="0" fillId="7" borderId="0" xfId="0" applyNumberFormat="1" applyFill="1"/>
    <xf numFmtId="164" fontId="0" fillId="9" borderId="0" xfId="0" applyNumberFormat="1" applyFill="1"/>
    <xf numFmtId="0" fontId="6" fillId="4" borderId="0" xfId="0" applyFont="1" applyFill="1" applyAlignment="1">
      <alignment vertical="top"/>
    </xf>
    <xf numFmtId="0" fontId="6" fillId="4" borderId="0" xfId="0" applyFont="1" applyFill="1"/>
    <xf numFmtId="3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0" fontId="7" fillId="5" borderId="9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8" xfId="0" applyFont="1" applyBorder="1"/>
    <xf numFmtId="171" fontId="0" fillId="5" borderId="0" xfId="0" applyNumberFormat="1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9" fontId="0" fillId="5" borderId="0" xfId="0" applyNumberFormat="1" applyFill="1" applyAlignment="1">
      <alignment horizontal="right"/>
    </xf>
    <xf numFmtId="0" fontId="1" fillId="5" borderId="9" xfId="0" applyFont="1" applyFill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vertical="top"/>
    </xf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17"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ont>
        <color rgb="FFFFFFFF"/>
      </font>
      <fill>
        <patternFill patternType="solid">
          <fgColor indexed="64"/>
          <bgColor rgb="FFFF4444"/>
        </patternFill>
      </fill>
    </dxf>
    <dxf>
      <font>
        <color rgb="FF000000"/>
      </font>
      <fill>
        <patternFill patternType="solid">
          <fgColor indexed="64"/>
          <bgColor rgb="FFFFA500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  <dxf>
      <fill>
        <patternFill patternType="solid">
          <fgColor indexed="64"/>
          <bgColor rgb="FFF9F9F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OneDrive_1_6.3.2026\MARD_3300_3001_Validert.xlsx" TargetMode="External"/><Relationship Id="rId1" Type="http://schemas.openxmlformats.org/officeDocument/2006/relationships/externalLinkPath" Target="OneDrive_1_6.3.2026/MARD_3300_3001_Valide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sultat"/>
    </sheetNames>
    <sheetDataSet>
      <sheetData sheetId="0" refreshError="1">
        <row r="2">
          <cell r="A2" t="str">
            <v>4000005</v>
          </cell>
          <cell r="B2" t="str">
            <v>3300</v>
          </cell>
          <cell r="C2" t="str">
            <v>3001</v>
          </cell>
          <cell r="D2" t="str">
            <v>DL</v>
          </cell>
          <cell r="E2" t="str">
            <v/>
          </cell>
          <cell r="F2" t="str">
            <v>2026</v>
          </cell>
          <cell r="G2" t="str">
            <v>2</v>
          </cell>
          <cell r="H2">
            <v>52</v>
          </cell>
          <cell r="I2">
            <v>0</v>
          </cell>
          <cell r="J2" t="str">
            <v>X</v>
          </cell>
          <cell r="K2" t="str">
            <v/>
          </cell>
          <cell r="L2" t="str">
            <v>02:01:02</v>
          </cell>
          <cell r="M2">
            <v>46029</v>
          </cell>
          <cell r="N2">
            <v>45462</v>
          </cell>
          <cell r="O2" t="str">
            <v>X</v>
          </cell>
          <cell r="P2" t="str">
            <v>2026</v>
          </cell>
          <cell r="Q2">
            <v>52</v>
          </cell>
          <cell r="R2" t="str">
            <v/>
          </cell>
        </row>
        <row r="3">
          <cell r="A3" t="str">
            <v>4000009</v>
          </cell>
          <cell r="B3" t="str">
            <v>3300</v>
          </cell>
          <cell r="C3" t="str">
            <v>3001</v>
          </cell>
          <cell r="D3" t="str">
            <v>DL</v>
          </cell>
          <cell r="E3" t="str">
            <v/>
          </cell>
          <cell r="F3" t="str">
            <v>2024</v>
          </cell>
          <cell r="G3" t="str">
            <v>9</v>
          </cell>
          <cell r="H3">
            <v>0</v>
          </cell>
          <cell r="I3">
            <v>0</v>
          </cell>
          <cell r="J3" t="str">
            <v>X</v>
          </cell>
          <cell r="K3" t="str">
            <v/>
          </cell>
          <cell r="L3" t="str">
            <v>SLETTET</v>
          </cell>
          <cell r="M3">
            <v>46030</v>
          </cell>
          <cell r="N3">
            <v>45462</v>
          </cell>
          <cell r="O3" t="str">
            <v>X</v>
          </cell>
          <cell r="P3" t="str">
            <v>2026</v>
          </cell>
          <cell r="Q3">
            <v>0</v>
          </cell>
          <cell r="R3" t="str">
            <v>INAKTIV</v>
          </cell>
        </row>
        <row r="4">
          <cell r="A4" t="str">
            <v>4000014</v>
          </cell>
          <cell r="B4" t="str">
            <v>3300</v>
          </cell>
          <cell r="C4" t="str">
            <v>3001</v>
          </cell>
          <cell r="D4" t="str">
            <v>L</v>
          </cell>
          <cell r="E4" t="str">
            <v/>
          </cell>
          <cell r="F4" t="str">
            <v>2026</v>
          </cell>
          <cell r="G4" t="str">
            <v>3</v>
          </cell>
          <cell r="H4">
            <v>302</v>
          </cell>
          <cell r="I4">
            <v>0</v>
          </cell>
          <cell r="J4" t="str">
            <v>X</v>
          </cell>
          <cell r="K4" t="str">
            <v>X</v>
          </cell>
          <cell r="L4" t="str">
            <v>15:08:02</v>
          </cell>
          <cell r="M4">
            <v>46006</v>
          </cell>
          <cell r="N4">
            <v>44430</v>
          </cell>
          <cell r="O4" t="str">
            <v>X</v>
          </cell>
          <cell r="P4" t="str">
            <v>2025</v>
          </cell>
          <cell r="Q4">
            <v>302</v>
          </cell>
          <cell r="R4" t="str">
            <v/>
          </cell>
        </row>
        <row r="5">
          <cell r="A5" t="str">
            <v>4000023</v>
          </cell>
          <cell r="B5" t="str">
            <v>3300</v>
          </cell>
          <cell r="C5" t="str">
            <v>3001</v>
          </cell>
          <cell r="D5" t="str">
            <v>DL</v>
          </cell>
          <cell r="E5" t="str">
            <v/>
          </cell>
          <cell r="F5" t="str">
            <v>2026</v>
          </cell>
          <cell r="G5" t="str">
            <v>3</v>
          </cell>
          <cell r="H5">
            <v>574</v>
          </cell>
          <cell r="I5">
            <v>0</v>
          </cell>
          <cell r="J5" t="str">
            <v>X</v>
          </cell>
          <cell r="K5" t="str">
            <v>X</v>
          </cell>
          <cell r="L5" t="str">
            <v>07:02:03</v>
          </cell>
          <cell r="M5">
            <v>45824</v>
          </cell>
          <cell r="N5">
            <v>44816</v>
          </cell>
          <cell r="O5" t="str">
            <v>X</v>
          </cell>
          <cell r="P5" t="str">
            <v>2025</v>
          </cell>
          <cell r="Q5">
            <v>574</v>
          </cell>
          <cell r="R5" t="str">
            <v/>
          </cell>
        </row>
        <row r="6">
          <cell r="A6" t="str">
            <v>4000024</v>
          </cell>
          <cell r="B6" t="str">
            <v>3300</v>
          </cell>
          <cell r="C6" t="str">
            <v>3001</v>
          </cell>
          <cell r="D6" t="str">
            <v>DL</v>
          </cell>
          <cell r="E6" t="str">
            <v/>
          </cell>
          <cell r="F6" t="str">
            <v>2026</v>
          </cell>
          <cell r="G6" t="str">
            <v>2</v>
          </cell>
          <cell r="H6">
            <v>2130</v>
          </cell>
          <cell r="I6">
            <v>0</v>
          </cell>
          <cell r="J6" t="str">
            <v>X</v>
          </cell>
          <cell r="K6" t="str">
            <v>X</v>
          </cell>
          <cell r="L6" t="str">
            <v>10:05:01</v>
          </cell>
          <cell r="M6">
            <v>45987</v>
          </cell>
          <cell r="N6">
            <v>44816</v>
          </cell>
          <cell r="O6" t="str">
            <v>X</v>
          </cell>
          <cell r="P6" t="str">
            <v>2025</v>
          </cell>
          <cell r="Q6">
            <v>2130</v>
          </cell>
          <cell r="R6" t="str">
            <v/>
          </cell>
        </row>
        <row r="7">
          <cell r="A7" t="str">
            <v>4000027</v>
          </cell>
          <cell r="B7" t="str">
            <v>3300</v>
          </cell>
          <cell r="C7" t="str">
            <v>3001</v>
          </cell>
          <cell r="D7" t="str">
            <v>L</v>
          </cell>
          <cell r="E7" t="str">
            <v/>
          </cell>
          <cell r="F7" t="str">
            <v>2026</v>
          </cell>
          <cell r="G7" t="str">
            <v>2</v>
          </cell>
          <cell r="H7">
            <v>184</v>
          </cell>
          <cell r="I7">
            <v>0</v>
          </cell>
          <cell r="J7" t="str">
            <v>X</v>
          </cell>
          <cell r="K7" t="str">
            <v>X</v>
          </cell>
          <cell r="L7" t="str">
            <v>04:06:02</v>
          </cell>
          <cell r="M7">
            <v>45799</v>
          </cell>
          <cell r="N7">
            <v>44430</v>
          </cell>
          <cell r="O7" t="str">
            <v>X</v>
          </cell>
          <cell r="P7" t="str">
            <v>2025</v>
          </cell>
          <cell r="Q7">
            <v>184</v>
          </cell>
          <cell r="R7" t="str">
            <v/>
          </cell>
        </row>
        <row r="8">
          <cell r="A8" t="str">
            <v>4000032</v>
          </cell>
          <cell r="B8" t="str">
            <v>3300</v>
          </cell>
          <cell r="C8" t="str">
            <v>3001</v>
          </cell>
          <cell r="D8" t="str">
            <v>DL</v>
          </cell>
          <cell r="E8" t="str">
            <v/>
          </cell>
          <cell r="F8" t="str">
            <v>2022</v>
          </cell>
          <cell r="G8" t="str">
            <v>2</v>
          </cell>
          <cell r="H8">
            <v>0</v>
          </cell>
          <cell r="I8">
            <v>0</v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>
            <v>44594</v>
          </cell>
          <cell r="O8" t="str">
            <v>X</v>
          </cell>
          <cell r="P8" t="str">
            <v>2022</v>
          </cell>
          <cell r="Q8">
            <v>0</v>
          </cell>
          <cell r="R8" t="str">
            <v>INAKTIV</v>
          </cell>
        </row>
        <row r="9">
          <cell r="A9" t="str">
            <v>4000060</v>
          </cell>
          <cell r="B9" t="str">
            <v>3300</v>
          </cell>
          <cell r="C9" t="str">
            <v>3001</v>
          </cell>
          <cell r="D9" t="str">
            <v>L</v>
          </cell>
          <cell r="E9" t="str">
            <v/>
          </cell>
          <cell r="F9" t="str">
            <v>2026</v>
          </cell>
          <cell r="G9" t="str">
            <v>3</v>
          </cell>
          <cell r="H9">
            <v>1900</v>
          </cell>
          <cell r="I9">
            <v>0</v>
          </cell>
          <cell r="J9" t="str">
            <v>X</v>
          </cell>
          <cell r="K9" t="str">
            <v>X</v>
          </cell>
          <cell r="L9" t="str">
            <v>03:13:03</v>
          </cell>
          <cell r="M9">
            <v>45798</v>
          </cell>
          <cell r="N9">
            <v>44430</v>
          </cell>
          <cell r="O9" t="str">
            <v>X</v>
          </cell>
          <cell r="P9" t="str">
            <v>2025</v>
          </cell>
          <cell r="Q9">
            <v>1900</v>
          </cell>
          <cell r="R9" t="str">
            <v/>
          </cell>
        </row>
        <row r="10">
          <cell r="A10" t="str">
            <v>4000061</v>
          </cell>
          <cell r="B10" t="str">
            <v>3300</v>
          </cell>
          <cell r="C10" t="str">
            <v>3001</v>
          </cell>
          <cell r="D10" t="str">
            <v>L</v>
          </cell>
          <cell r="E10" t="str">
            <v/>
          </cell>
          <cell r="F10" t="str">
            <v>2026</v>
          </cell>
          <cell r="G10" t="str">
            <v>3</v>
          </cell>
          <cell r="H10">
            <v>2600</v>
          </cell>
          <cell r="I10">
            <v>0</v>
          </cell>
          <cell r="J10" t="str">
            <v>X</v>
          </cell>
          <cell r="K10" t="str">
            <v>X</v>
          </cell>
          <cell r="L10" t="str">
            <v>14:16:01</v>
          </cell>
          <cell r="M10">
            <v>46001</v>
          </cell>
          <cell r="N10">
            <v>44430</v>
          </cell>
          <cell r="O10" t="str">
            <v>X</v>
          </cell>
          <cell r="P10" t="str">
            <v>2025</v>
          </cell>
          <cell r="Q10">
            <v>2600</v>
          </cell>
          <cell r="R10" t="str">
            <v/>
          </cell>
        </row>
        <row r="11">
          <cell r="A11" t="str">
            <v>4000062</v>
          </cell>
          <cell r="B11" t="str">
            <v>3300</v>
          </cell>
          <cell r="C11" t="str">
            <v>3001</v>
          </cell>
          <cell r="D11" t="str">
            <v>L</v>
          </cell>
          <cell r="E11" t="str">
            <v/>
          </cell>
          <cell r="F11" t="str">
            <v>2024</v>
          </cell>
          <cell r="G11" t="str">
            <v>11</v>
          </cell>
          <cell r="H11">
            <v>0</v>
          </cell>
          <cell r="I11">
            <v>0</v>
          </cell>
          <cell r="J11" t="str">
            <v>X</v>
          </cell>
          <cell r="K11" t="str">
            <v/>
          </cell>
          <cell r="L11" t="str">
            <v>SLETTET</v>
          </cell>
          <cell r="M11">
            <v>44568</v>
          </cell>
          <cell r="N11">
            <v>44430</v>
          </cell>
          <cell r="O11" t="str">
            <v>X</v>
          </cell>
          <cell r="P11" t="str">
            <v>2022</v>
          </cell>
          <cell r="Q11">
            <v>0</v>
          </cell>
          <cell r="R11" t="str">
            <v>INAKTIV</v>
          </cell>
        </row>
        <row r="12">
          <cell r="A12" t="str">
            <v>4000063</v>
          </cell>
          <cell r="B12" t="str">
            <v>3300</v>
          </cell>
          <cell r="C12" t="str">
            <v>3001</v>
          </cell>
          <cell r="D12" t="str">
            <v>L</v>
          </cell>
          <cell r="E12" t="str">
            <v/>
          </cell>
          <cell r="F12" t="str">
            <v>2021</v>
          </cell>
          <cell r="G12" t="str">
            <v>11</v>
          </cell>
          <cell r="H12">
            <v>0</v>
          </cell>
          <cell r="I12">
            <v>0</v>
          </cell>
          <cell r="J12" t="str">
            <v/>
          </cell>
          <cell r="K12" t="str">
            <v>X</v>
          </cell>
          <cell r="L12" t="str">
            <v>SLETTET</v>
          </cell>
          <cell r="M12">
            <v>44568</v>
          </cell>
          <cell r="N12">
            <v>44430</v>
          </cell>
          <cell r="O12" t="str">
            <v>X</v>
          </cell>
          <cell r="P12" t="str">
            <v>2023</v>
          </cell>
          <cell r="Q12">
            <v>0</v>
          </cell>
          <cell r="R12" t="str">
            <v>INAKTIV</v>
          </cell>
        </row>
        <row r="13">
          <cell r="A13" t="str">
            <v>4000065</v>
          </cell>
          <cell r="B13" t="str">
            <v>3300</v>
          </cell>
          <cell r="C13" t="str">
            <v>3001</v>
          </cell>
          <cell r="D13" t="str">
            <v>L</v>
          </cell>
          <cell r="E13" t="str">
            <v/>
          </cell>
          <cell r="F13" t="str">
            <v>2026</v>
          </cell>
          <cell r="G13" t="str">
            <v>3</v>
          </cell>
          <cell r="H13">
            <v>7000</v>
          </cell>
          <cell r="I13">
            <v>0</v>
          </cell>
          <cell r="J13" t="str">
            <v>X</v>
          </cell>
          <cell r="K13" t="str">
            <v>X</v>
          </cell>
          <cell r="L13" t="str">
            <v>14:11:01</v>
          </cell>
          <cell r="M13">
            <v>46001</v>
          </cell>
          <cell r="N13">
            <v>44430</v>
          </cell>
          <cell r="O13" t="str">
            <v>X</v>
          </cell>
          <cell r="P13" t="str">
            <v>2025</v>
          </cell>
          <cell r="Q13">
            <v>7000</v>
          </cell>
          <cell r="R13" t="str">
            <v/>
          </cell>
        </row>
        <row r="14">
          <cell r="A14" t="str">
            <v>4000066</v>
          </cell>
          <cell r="B14" t="str">
            <v>3300</v>
          </cell>
          <cell r="C14" t="str">
            <v>3001</v>
          </cell>
          <cell r="D14" t="str">
            <v>L</v>
          </cell>
          <cell r="E14" t="str">
            <v/>
          </cell>
          <cell r="F14" t="str">
            <v>2026</v>
          </cell>
          <cell r="G14" t="str">
            <v>2</v>
          </cell>
          <cell r="H14">
            <v>150</v>
          </cell>
          <cell r="I14">
            <v>0</v>
          </cell>
          <cell r="J14" t="str">
            <v>X</v>
          </cell>
          <cell r="K14" t="str">
            <v>X</v>
          </cell>
          <cell r="L14" t="str">
            <v>09:10:01</v>
          </cell>
          <cell r="M14">
            <v>45987</v>
          </cell>
          <cell r="N14">
            <v>44430</v>
          </cell>
          <cell r="O14" t="str">
            <v>X</v>
          </cell>
          <cell r="P14" t="str">
            <v>2025</v>
          </cell>
          <cell r="Q14">
            <v>150</v>
          </cell>
          <cell r="R14" t="str">
            <v/>
          </cell>
        </row>
        <row r="15">
          <cell r="A15" t="str">
            <v>4000067</v>
          </cell>
          <cell r="B15" t="str">
            <v>3300</v>
          </cell>
          <cell r="C15" t="str">
            <v>3001</v>
          </cell>
          <cell r="D15" t="str">
            <v>L</v>
          </cell>
          <cell r="E15" t="str">
            <v/>
          </cell>
          <cell r="F15" t="str">
            <v>2026</v>
          </cell>
          <cell r="G15" t="str">
            <v>3</v>
          </cell>
          <cell r="H15">
            <v>0</v>
          </cell>
          <cell r="I15">
            <v>0</v>
          </cell>
          <cell r="J15" t="str">
            <v>X</v>
          </cell>
          <cell r="K15" t="str">
            <v>X</v>
          </cell>
          <cell r="L15" t="str">
            <v>09:10:01</v>
          </cell>
          <cell r="M15">
            <v>45987</v>
          </cell>
          <cell r="N15">
            <v>44430</v>
          </cell>
          <cell r="O15" t="str">
            <v>X</v>
          </cell>
          <cell r="P15" t="str">
            <v>2025</v>
          </cell>
          <cell r="Q15">
            <v>0</v>
          </cell>
          <cell r="R15" t="str">
            <v>INAKTIV</v>
          </cell>
        </row>
        <row r="16">
          <cell r="A16" t="str">
            <v>4000069</v>
          </cell>
          <cell r="B16" t="str">
            <v>3300</v>
          </cell>
          <cell r="C16" t="str">
            <v>3001</v>
          </cell>
          <cell r="D16" t="str">
            <v>L</v>
          </cell>
          <cell r="E16" t="str">
            <v/>
          </cell>
          <cell r="F16" t="str">
            <v>2025</v>
          </cell>
          <cell r="G16" t="str">
            <v>9</v>
          </cell>
          <cell r="H16">
            <v>100</v>
          </cell>
          <cell r="I16">
            <v>0</v>
          </cell>
          <cell r="J16" t="str">
            <v/>
          </cell>
          <cell r="K16" t="str">
            <v>X</v>
          </cell>
          <cell r="L16" t="str">
            <v>SLETTET</v>
          </cell>
          <cell r="M16">
            <v>44568</v>
          </cell>
          <cell r="N16">
            <v>44430</v>
          </cell>
          <cell r="O16" t="str">
            <v>X</v>
          </cell>
          <cell r="P16" t="str">
            <v>2023</v>
          </cell>
          <cell r="Q16">
            <v>100</v>
          </cell>
          <cell r="R16" t="str">
            <v/>
          </cell>
        </row>
        <row r="17">
          <cell r="A17" t="str">
            <v>4000072</v>
          </cell>
          <cell r="B17" t="str">
            <v>3300</v>
          </cell>
          <cell r="C17" t="str">
            <v>3001</v>
          </cell>
          <cell r="D17" t="str">
            <v>L</v>
          </cell>
          <cell r="E17" t="str">
            <v/>
          </cell>
          <cell r="F17" t="str">
            <v>2026</v>
          </cell>
          <cell r="G17" t="str">
            <v>3</v>
          </cell>
          <cell r="H17">
            <v>920</v>
          </cell>
          <cell r="I17">
            <v>0</v>
          </cell>
          <cell r="J17" t="str">
            <v>X</v>
          </cell>
          <cell r="K17" t="str">
            <v>X</v>
          </cell>
          <cell r="L17" t="str">
            <v>10:09:02</v>
          </cell>
          <cell r="M17">
            <v>45987</v>
          </cell>
          <cell r="N17">
            <v>44430</v>
          </cell>
          <cell r="O17" t="str">
            <v>X</v>
          </cell>
          <cell r="P17" t="str">
            <v>2025</v>
          </cell>
          <cell r="Q17">
            <v>920</v>
          </cell>
          <cell r="R17" t="str">
            <v/>
          </cell>
        </row>
        <row r="18">
          <cell r="A18" t="str">
            <v>4000073</v>
          </cell>
          <cell r="B18" t="str">
            <v>3300</v>
          </cell>
          <cell r="C18" t="str">
            <v>3001</v>
          </cell>
          <cell r="D18" t="str">
            <v>DL</v>
          </cell>
          <cell r="E18" t="str">
            <v/>
          </cell>
          <cell r="F18" t="str">
            <v>2024</v>
          </cell>
          <cell r="G18" t="str">
            <v>6</v>
          </cell>
          <cell r="H18">
            <v>0</v>
          </cell>
          <cell r="I18">
            <v>0</v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>
            <v>45462</v>
          </cell>
          <cell r="O18" t="str">
            <v>X</v>
          </cell>
          <cell r="P18" t="str">
            <v>2024</v>
          </cell>
          <cell r="Q18">
            <v>0</v>
          </cell>
          <cell r="R18" t="str">
            <v>INAKTIV</v>
          </cell>
        </row>
        <row r="19">
          <cell r="A19" t="str">
            <v>4000077</v>
          </cell>
          <cell r="B19" t="str">
            <v>3300</v>
          </cell>
          <cell r="C19" t="str">
            <v>3001</v>
          </cell>
          <cell r="D19" t="str">
            <v>L</v>
          </cell>
          <cell r="E19" t="str">
            <v/>
          </cell>
          <cell r="F19" t="str">
            <v>2026</v>
          </cell>
          <cell r="G19" t="str">
            <v>3</v>
          </cell>
          <cell r="H19">
            <v>405</v>
          </cell>
          <cell r="I19">
            <v>0</v>
          </cell>
          <cell r="J19" t="str">
            <v>X</v>
          </cell>
          <cell r="K19" t="str">
            <v>X</v>
          </cell>
          <cell r="L19" t="str">
            <v>08:13:03</v>
          </cell>
          <cell r="M19">
            <v>45980</v>
          </cell>
          <cell r="N19">
            <v>44430</v>
          </cell>
          <cell r="O19" t="str">
            <v>X</v>
          </cell>
          <cell r="P19" t="str">
            <v>2025</v>
          </cell>
          <cell r="Q19">
            <v>405</v>
          </cell>
          <cell r="R19" t="str">
            <v/>
          </cell>
        </row>
        <row r="20">
          <cell r="A20" t="str">
            <v>4000078</v>
          </cell>
          <cell r="B20" t="str">
            <v>3300</v>
          </cell>
          <cell r="C20" t="str">
            <v>3001</v>
          </cell>
          <cell r="D20" t="str">
            <v>L</v>
          </cell>
          <cell r="E20" t="str">
            <v/>
          </cell>
          <cell r="F20" t="str">
            <v>2026</v>
          </cell>
          <cell r="G20" t="str">
            <v>2</v>
          </cell>
          <cell r="H20">
            <v>1300</v>
          </cell>
          <cell r="I20">
            <v>0</v>
          </cell>
          <cell r="J20" t="str">
            <v>X</v>
          </cell>
          <cell r="K20" t="str">
            <v>X</v>
          </cell>
          <cell r="L20" t="str">
            <v>08:12:01</v>
          </cell>
          <cell r="M20">
            <v>45980</v>
          </cell>
          <cell r="N20">
            <v>44430</v>
          </cell>
          <cell r="O20" t="str">
            <v>X</v>
          </cell>
          <cell r="P20" t="str">
            <v>2025</v>
          </cell>
          <cell r="Q20">
            <v>1300</v>
          </cell>
          <cell r="R20" t="str">
            <v/>
          </cell>
        </row>
        <row r="21">
          <cell r="A21" t="str">
            <v>4000082</v>
          </cell>
          <cell r="B21" t="str">
            <v>3300</v>
          </cell>
          <cell r="C21" t="str">
            <v>3001</v>
          </cell>
          <cell r="D21" t="str">
            <v>DL</v>
          </cell>
          <cell r="E21" t="str">
            <v/>
          </cell>
          <cell r="F21" t="str">
            <v>2025</v>
          </cell>
          <cell r="G21" t="str">
            <v>6</v>
          </cell>
          <cell r="H21">
            <v>0</v>
          </cell>
          <cell r="I21">
            <v>0</v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>
            <v>45818</v>
          </cell>
          <cell r="O21" t="str">
            <v>X</v>
          </cell>
          <cell r="P21" t="str">
            <v>2025</v>
          </cell>
          <cell r="Q21">
            <v>0</v>
          </cell>
          <cell r="R21" t="str">
            <v>INAKTIV</v>
          </cell>
        </row>
        <row r="22">
          <cell r="A22" t="str">
            <v>4000084</v>
          </cell>
          <cell r="B22" t="str">
            <v>3300</v>
          </cell>
          <cell r="C22" t="str">
            <v>3001</v>
          </cell>
          <cell r="D22" t="str">
            <v>L</v>
          </cell>
          <cell r="E22" t="str">
            <v/>
          </cell>
          <cell r="F22" t="str">
            <v>2026</v>
          </cell>
          <cell r="G22" t="str">
            <v>3</v>
          </cell>
          <cell r="H22">
            <v>129</v>
          </cell>
          <cell r="I22">
            <v>0</v>
          </cell>
          <cell r="J22" t="str">
            <v>X</v>
          </cell>
          <cell r="K22" t="str">
            <v>X</v>
          </cell>
          <cell r="L22" t="str">
            <v>08:04:02</v>
          </cell>
          <cell r="M22">
            <v>45825</v>
          </cell>
          <cell r="N22">
            <v>44430</v>
          </cell>
          <cell r="O22" t="str">
            <v>X</v>
          </cell>
          <cell r="P22" t="str">
            <v>2025</v>
          </cell>
          <cell r="Q22">
            <v>129</v>
          </cell>
          <cell r="R22" t="str">
            <v/>
          </cell>
        </row>
        <row r="23">
          <cell r="A23" t="str">
            <v>4000090</v>
          </cell>
          <cell r="B23" t="str">
            <v>3300</v>
          </cell>
          <cell r="C23" t="str">
            <v>3001</v>
          </cell>
          <cell r="D23" t="str">
            <v>L</v>
          </cell>
          <cell r="E23" t="str">
            <v/>
          </cell>
          <cell r="F23" t="str">
            <v>2026</v>
          </cell>
          <cell r="G23" t="str">
            <v>3</v>
          </cell>
          <cell r="H23">
            <v>2700</v>
          </cell>
          <cell r="I23">
            <v>0</v>
          </cell>
          <cell r="J23" t="str">
            <v>X</v>
          </cell>
          <cell r="K23" t="str">
            <v>X</v>
          </cell>
          <cell r="L23" t="str">
            <v>14:11:03</v>
          </cell>
          <cell r="M23">
            <v>46001</v>
          </cell>
          <cell r="N23">
            <v>44430</v>
          </cell>
          <cell r="O23" t="str">
            <v>X</v>
          </cell>
          <cell r="P23" t="str">
            <v>2025</v>
          </cell>
          <cell r="Q23">
            <v>2700</v>
          </cell>
          <cell r="R23" t="str">
            <v/>
          </cell>
        </row>
        <row r="24">
          <cell r="A24" t="str">
            <v>4000094</v>
          </cell>
          <cell r="B24" t="str">
            <v>3300</v>
          </cell>
          <cell r="C24" t="str">
            <v>3001</v>
          </cell>
          <cell r="D24" t="str">
            <v>DL</v>
          </cell>
          <cell r="E24" t="str">
            <v/>
          </cell>
          <cell r="F24" t="str">
            <v>2026</v>
          </cell>
          <cell r="G24" t="str">
            <v>3</v>
          </cell>
          <cell r="H24">
            <v>3100</v>
          </cell>
          <cell r="I24">
            <v>0</v>
          </cell>
          <cell r="J24" t="str">
            <v>X</v>
          </cell>
          <cell r="K24" t="str">
            <v>X</v>
          </cell>
          <cell r="L24" t="str">
            <v>14:15:01</v>
          </cell>
          <cell r="M24">
            <v>46001</v>
          </cell>
          <cell r="N24">
            <v>44862</v>
          </cell>
          <cell r="O24" t="str">
            <v>X</v>
          </cell>
          <cell r="P24" t="str">
            <v>2025</v>
          </cell>
          <cell r="Q24">
            <v>3100</v>
          </cell>
          <cell r="R24" t="str">
            <v/>
          </cell>
        </row>
        <row r="25">
          <cell r="A25" t="str">
            <v>4000098</v>
          </cell>
          <cell r="B25" t="str">
            <v>3300</v>
          </cell>
          <cell r="C25" t="str">
            <v>3001</v>
          </cell>
          <cell r="D25" t="str">
            <v>DL</v>
          </cell>
          <cell r="E25" t="str">
            <v/>
          </cell>
          <cell r="F25" t="str">
            <v>2026</v>
          </cell>
          <cell r="G25" t="str">
            <v>2</v>
          </cell>
          <cell r="H25">
            <v>0</v>
          </cell>
          <cell r="I25">
            <v>0</v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>
            <v>46059</v>
          </cell>
          <cell r="O25" t="str">
            <v>X</v>
          </cell>
          <cell r="P25" t="str">
            <v>2026</v>
          </cell>
          <cell r="Q25">
            <v>0</v>
          </cell>
          <cell r="R25" t="str">
            <v>INAKTIV</v>
          </cell>
        </row>
        <row r="26">
          <cell r="A26" t="str">
            <v>4000099</v>
          </cell>
          <cell r="B26" t="str">
            <v>3300</v>
          </cell>
          <cell r="C26" t="str">
            <v>3001</v>
          </cell>
          <cell r="D26" t="str">
            <v>DL</v>
          </cell>
          <cell r="E26" t="str">
            <v/>
          </cell>
          <cell r="F26" t="str">
            <v>2024</v>
          </cell>
          <cell r="G26" t="str">
            <v>5</v>
          </cell>
          <cell r="H26">
            <v>0</v>
          </cell>
          <cell r="I26">
            <v>0</v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>
            <v>45436</v>
          </cell>
          <cell r="O26" t="str">
            <v>X</v>
          </cell>
          <cell r="P26" t="str">
            <v>2024</v>
          </cell>
          <cell r="Q26">
            <v>0</v>
          </cell>
          <cell r="R26" t="str">
            <v>INAKTIV</v>
          </cell>
        </row>
        <row r="27">
          <cell r="A27" t="str">
            <v>4000108</v>
          </cell>
          <cell r="B27" t="str">
            <v>3300</v>
          </cell>
          <cell r="C27" t="str">
            <v>3001</v>
          </cell>
          <cell r="D27" t="str">
            <v>L</v>
          </cell>
          <cell r="E27" t="str">
            <v/>
          </cell>
          <cell r="F27" t="str">
            <v>2026</v>
          </cell>
          <cell r="G27" t="str">
            <v>3</v>
          </cell>
          <cell r="H27">
            <v>2899</v>
          </cell>
          <cell r="I27">
            <v>0</v>
          </cell>
          <cell r="J27" t="str">
            <v>X</v>
          </cell>
          <cell r="K27" t="str">
            <v>X</v>
          </cell>
          <cell r="L27" t="str">
            <v>08:09:01</v>
          </cell>
          <cell r="M27">
            <v>45980</v>
          </cell>
          <cell r="N27">
            <v>44430</v>
          </cell>
          <cell r="O27" t="str">
            <v>X</v>
          </cell>
          <cell r="P27" t="str">
            <v>2025</v>
          </cell>
          <cell r="Q27">
            <v>2899</v>
          </cell>
          <cell r="R27" t="str">
            <v/>
          </cell>
        </row>
        <row r="28">
          <cell r="A28" t="str">
            <v>4000273</v>
          </cell>
          <cell r="B28" t="str">
            <v>3300</v>
          </cell>
          <cell r="C28" t="str">
            <v>3001</v>
          </cell>
          <cell r="D28" t="str">
            <v>L</v>
          </cell>
          <cell r="E28" t="str">
            <v/>
          </cell>
          <cell r="F28" t="str">
            <v>2026</v>
          </cell>
          <cell r="G28" t="str">
            <v>3</v>
          </cell>
          <cell r="H28">
            <v>6120</v>
          </cell>
          <cell r="I28">
            <v>0</v>
          </cell>
          <cell r="J28" t="str">
            <v>X</v>
          </cell>
          <cell r="K28" t="str">
            <v>X</v>
          </cell>
          <cell r="L28" t="str">
            <v>15:10:01*</v>
          </cell>
          <cell r="M28">
            <v>46006</v>
          </cell>
          <cell r="N28">
            <v>44430</v>
          </cell>
          <cell r="O28" t="str">
            <v>X</v>
          </cell>
          <cell r="P28" t="str">
            <v>2025</v>
          </cell>
          <cell r="Q28">
            <v>6120</v>
          </cell>
          <cell r="R28" t="str">
            <v/>
          </cell>
        </row>
        <row r="29">
          <cell r="A29" t="str">
            <v>4000274</v>
          </cell>
          <cell r="B29" t="str">
            <v>3300</v>
          </cell>
          <cell r="C29" t="str">
            <v>3001</v>
          </cell>
          <cell r="D29" t="str">
            <v>L</v>
          </cell>
          <cell r="E29" t="str">
            <v/>
          </cell>
          <cell r="F29" t="str">
            <v>2026</v>
          </cell>
          <cell r="G29" t="str">
            <v>3</v>
          </cell>
          <cell r="H29">
            <v>10860</v>
          </cell>
          <cell r="I29">
            <v>0</v>
          </cell>
          <cell r="J29" t="str">
            <v>X</v>
          </cell>
          <cell r="K29" t="str">
            <v>X</v>
          </cell>
          <cell r="L29" t="str">
            <v>15:11:01*</v>
          </cell>
          <cell r="M29">
            <v>46006</v>
          </cell>
          <cell r="N29">
            <v>44430</v>
          </cell>
          <cell r="O29" t="str">
            <v>X</v>
          </cell>
          <cell r="P29" t="str">
            <v>2025</v>
          </cell>
          <cell r="Q29">
            <v>10860</v>
          </cell>
          <cell r="R29" t="str">
            <v/>
          </cell>
        </row>
        <row r="30">
          <cell r="A30" t="str">
            <v>4000275</v>
          </cell>
          <cell r="B30" t="str">
            <v>3300</v>
          </cell>
          <cell r="C30" t="str">
            <v>3001</v>
          </cell>
          <cell r="D30" t="str">
            <v>L</v>
          </cell>
          <cell r="E30" t="str">
            <v/>
          </cell>
          <cell r="F30" t="str">
            <v>2026</v>
          </cell>
          <cell r="G30" t="str">
            <v>3</v>
          </cell>
          <cell r="H30">
            <v>2600</v>
          </cell>
          <cell r="I30">
            <v>0</v>
          </cell>
          <cell r="J30" t="str">
            <v>X</v>
          </cell>
          <cell r="K30" t="str">
            <v>X</v>
          </cell>
          <cell r="L30" t="str">
            <v>04:12:02</v>
          </cell>
          <cell r="M30">
            <v>45800</v>
          </cell>
          <cell r="N30">
            <v>44430</v>
          </cell>
          <cell r="O30" t="str">
            <v>X</v>
          </cell>
          <cell r="P30" t="str">
            <v>2025</v>
          </cell>
          <cell r="Q30">
            <v>2600</v>
          </cell>
          <cell r="R30" t="str">
            <v/>
          </cell>
        </row>
        <row r="31">
          <cell r="A31" t="str">
            <v>4000276</v>
          </cell>
          <cell r="B31" t="str">
            <v>3300</v>
          </cell>
          <cell r="C31" t="str">
            <v>3001</v>
          </cell>
          <cell r="D31" t="str">
            <v>L</v>
          </cell>
          <cell r="E31" t="str">
            <v/>
          </cell>
          <cell r="F31" t="str">
            <v>2026</v>
          </cell>
          <cell r="G31" t="str">
            <v>3</v>
          </cell>
          <cell r="H31">
            <v>900</v>
          </cell>
          <cell r="I31">
            <v>0</v>
          </cell>
          <cell r="J31" t="str">
            <v>X</v>
          </cell>
          <cell r="K31" t="str">
            <v>X</v>
          </cell>
          <cell r="L31" t="str">
            <v>04:13:01</v>
          </cell>
          <cell r="M31">
            <v>45800</v>
          </cell>
          <cell r="N31">
            <v>44430</v>
          </cell>
          <cell r="O31" t="str">
            <v>X</v>
          </cell>
          <cell r="P31" t="str">
            <v>2025</v>
          </cell>
          <cell r="Q31">
            <v>900</v>
          </cell>
          <cell r="R31" t="str">
            <v/>
          </cell>
        </row>
        <row r="32">
          <cell r="A32" t="str">
            <v>4000279</v>
          </cell>
          <cell r="B32" t="str">
            <v>3300</v>
          </cell>
          <cell r="C32" t="str">
            <v>3001</v>
          </cell>
          <cell r="D32" t="str">
            <v>L</v>
          </cell>
          <cell r="E32" t="str">
            <v/>
          </cell>
          <cell r="F32" t="str">
            <v>2026</v>
          </cell>
          <cell r="G32" t="str">
            <v>3</v>
          </cell>
          <cell r="H32">
            <v>1212</v>
          </cell>
          <cell r="I32">
            <v>0</v>
          </cell>
          <cell r="J32" t="str">
            <v>X</v>
          </cell>
          <cell r="K32" t="str">
            <v>X</v>
          </cell>
          <cell r="L32" t="str">
            <v>06:09:03</v>
          </cell>
          <cell r="M32">
            <v>45824</v>
          </cell>
          <cell r="N32">
            <v>44430</v>
          </cell>
          <cell r="O32" t="str">
            <v>X</v>
          </cell>
          <cell r="P32" t="str">
            <v>2025</v>
          </cell>
          <cell r="Q32">
            <v>1212</v>
          </cell>
          <cell r="R32" t="str">
            <v/>
          </cell>
        </row>
        <row r="33">
          <cell r="A33" t="str">
            <v>4000280</v>
          </cell>
          <cell r="B33" t="str">
            <v>3300</v>
          </cell>
          <cell r="C33" t="str">
            <v>3001</v>
          </cell>
          <cell r="D33" t="str">
            <v>L</v>
          </cell>
          <cell r="E33" t="str">
            <v>X</v>
          </cell>
          <cell r="F33" t="str">
            <v>2021</v>
          </cell>
          <cell r="G33" t="str">
            <v>12</v>
          </cell>
          <cell r="H33">
            <v>0</v>
          </cell>
          <cell r="I33">
            <v>0</v>
          </cell>
          <cell r="J33" t="str">
            <v>X</v>
          </cell>
          <cell r="K33" t="str">
            <v/>
          </cell>
          <cell r="L33" t="str">
            <v>SLETTET</v>
          </cell>
          <cell r="M33">
            <v>44568</v>
          </cell>
          <cell r="N33">
            <v>44430</v>
          </cell>
          <cell r="O33" t="str">
            <v>X</v>
          </cell>
          <cell r="P33" t="str">
            <v>2022</v>
          </cell>
          <cell r="Q33">
            <v>0</v>
          </cell>
          <cell r="R33" t="str">
            <v>INAKTIV</v>
          </cell>
        </row>
        <row r="34">
          <cell r="A34" t="str">
            <v>4000286</v>
          </cell>
          <cell r="B34" t="str">
            <v>3300</v>
          </cell>
          <cell r="C34" t="str">
            <v>3001</v>
          </cell>
          <cell r="D34" t="str">
            <v>L</v>
          </cell>
          <cell r="E34" t="str">
            <v/>
          </cell>
          <cell r="F34" t="str">
            <v>2026</v>
          </cell>
          <cell r="G34" t="str">
            <v>3</v>
          </cell>
          <cell r="H34">
            <v>1200</v>
          </cell>
          <cell r="I34">
            <v>0</v>
          </cell>
          <cell r="J34" t="str">
            <v>X</v>
          </cell>
          <cell r="K34" t="str">
            <v>X</v>
          </cell>
          <cell r="L34" t="str">
            <v>15:04:01</v>
          </cell>
          <cell r="M34">
            <v>46001</v>
          </cell>
          <cell r="N34">
            <v>44430</v>
          </cell>
          <cell r="O34" t="str">
            <v>X</v>
          </cell>
          <cell r="P34" t="str">
            <v>2025</v>
          </cell>
          <cell r="Q34">
            <v>1200</v>
          </cell>
          <cell r="R34" t="str">
            <v/>
          </cell>
        </row>
        <row r="35">
          <cell r="A35" t="str">
            <v>4000287</v>
          </cell>
          <cell r="B35" t="str">
            <v>3300</v>
          </cell>
          <cell r="C35" t="str">
            <v>3001</v>
          </cell>
          <cell r="D35" t="str">
            <v>L</v>
          </cell>
          <cell r="E35" t="str">
            <v/>
          </cell>
          <cell r="F35" t="str">
            <v>2026</v>
          </cell>
          <cell r="G35" t="str">
            <v>3</v>
          </cell>
          <cell r="H35">
            <v>2950</v>
          </cell>
          <cell r="I35">
            <v>0</v>
          </cell>
          <cell r="J35" t="str">
            <v>X</v>
          </cell>
          <cell r="K35" t="str">
            <v>X</v>
          </cell>
          <cell r="L35" t="str">
            <v>15:05:01</v>
          </cell>
          <cell r="M35">
            <v>46001</v>
          </cell>
          <cell r="N35">
            <v>44430</v>
          </cell>
          <cell r="O35" t="str">
            <v>X</v>
          </cell>
          <cell r="P35" t="str">
            <v>2025</v>
          </cell>
          <cell r="Q35">
            <v>2950</v>
          </cell>
          <cell r="R35" t="str">
            <v/>
          </cell>
        </row>
        <row r="36">
          <cell r="A36" t="str">
            <v>4000288</v>
          </cell>
          <cell r="B36" t="str">
            <v>3300</v>
          </cell>
          <cell r="C36" t="str">
            <v>3001</v>
          </cell>
          <cell r="D36" t="str">
            <v>L</v>
          </cell>
          <cell r="E36" t="str">
            <v/>
          </cell>
          <cell r="F36" t="str">
            <v>2026</v>
          </cell>
          <cell r="G36" t="str">
            <v>3</v>
          </cell>
          <cell r="H36">
            <v>1000</v>
          </cell>
          <cell r="I36">
            <v>0</v>
          </cell>
          <cell r="J36" t="str">
            <v>X</v>
          </cell>
          <cell r="K36" t="str">
            <v>X</v>
          </cell>
          <cell r="L36" t="str">
            <v>15:05:03</v>
          </cell>
          <cell r="M36">
            <v>46001</v>
          </cell>
          <cell r="N36">
            <v>44430</v>
          </cell>
          <cell r="O36" t="str">
            <v>X</v>
          </cell>
          <cell r="P36" t="str">
            <v>2025</v>
          </cell>
          <cell r="Q36">
            <v>1000</v>
          </cell>
          <cell r="R36" t="str">
            <v/>
          </cell>
        </row>
        <row r="37">
          <cell r="A37" t="str">
            <v>4000290</v>
          </cell>
          <cell r="B37" t="str">
            <v>3300</v>
          </cell>
          <cell r="C37" t="str">
            <v>3001</v>
          </cell>
          <cell r="D37" t="str">
            <v>L</v>
          </cell>
          <cell r="E37" t="str">
            <v/>
          </cell>
          <cell r="F37" t="str">
            <v>2026</v>
          </cell>
          <cell r="G37" t="str">
            <v>2</v>
          </cell>
          <cell r="H37">
            <v>700</v>
          </cell>
          <cell r="I37">
            <v>0</v>
          </cell>
          <cell r="J37" t="str">
            <v>X</v>
          </cell>
          <cell r="K37" t="str">
            <v>X</v>
          </cell>
          <cell r="L37" t="str">
            <v>14:05:01</v>
          </cell>
          <cell r="M37">
            <v>46001</v>
          </cell>
          <cell r="N37">
            <v>44430</v>
          </cell>
          <cell r="O37" t="str">
            <v>X</v>
          </cell>
          <cell r="P37" t="str">
            <v>2025</v>
          </cell>
          <cell r="Q37">
            <v>700</v>
          </cell>
          <cell r="R37" t="str">
            <v/>
          </cell>
        </row>
        <row r="38">
          <cell r="A38" t="str">
            <v>4000291</v>
          </cell>
          <cell r="B38" t="str">
            <v>3300</v>
          </cell>
          <cell r="C38" t="str">
            <v>3001</v>
          </cell>
          <cell r="D38" t="str">
            <v>L</v>
          </cell>
          <cell r="E38" t="str">
            <v/>
          </cell>
          <cell r="F38" t="str">
            <v>2026</v>
          </cell>
          <cell r="G38" t="str">
            <v>2</v>
          </cell>
          <cell r="H38">
            <v>350</v>
          </cell>
          <cell r="I38">
            <v>0</v>
          </cell>
          <cell r="J38" t="str">
            <v>X</v>
          </cell>
          <cell r="K38" t="str">
            <v>X</v>
          </cell>
          <cell r="L38" t="str">
            <v>13:09:03</v>
          </cell>
          <cell r="M38">
            <v>45994</v>
          </cell>
          <cell r="N38">
            <v>44430</v>
          </cell>
          <cell r="O38" t="str">
            <v>X</v>
          </cell>
          <cell r="P38" t="str">
            <v>2025</v>
          </cell>
          <cell r="Q38">
            <v>350</v>
          </cell>
          <cell r="R38" t="str">
            <v/>
          </cell>
        </row>
        <row r="39">
          <cell r="A39" t="str">
            <v>4000310</v>
          </cell>
          <cell r="B39" t="str">
            <v>3300</v>
          </cell>
          <cell r="C39" t="str">
            <v>3001</v>
          </cell>
          <cell r="D39" t="str">
            <v>L</v>
          </cell>
          <cell r="E39" t="str">
            <v/>
          </cell>
          <cell r="F39" t="str">
            <v>2026</v>
          </cell>
          <cell r="G39" t="str">
            <v>3</v>
          </cell>
          <cell r="H39">
            <v>124</v>
          </cell>
          <cell r="I39">
            <v>0</v>
          </cell>
          <cell r="J39" t="str">
            <v>X</v>
          </cell>
          <cell r="K39" t="str">
            <v>X</v>
          </cell>
          <cell r="L39" t="str">
            <v>08:05:02</v>
          </cell>
          <cell r="M39">
            <v>45980</v>
          </cell>
          <cell r="N39">
            <v>44430</v>
          </cell>
          <cell r="O39" t="str">
            <v>X</v>
          </cell>
          <cell r="P39" t="str">
            <v>2025</v>
          </cell>
          <cell r="Q39">
            <v>124</v>
          </cell>
          <cell r="R39" t="str">
            <v/>
          </cell>
        </row>
        <row r="40">
          <cell r="A40" t="str">
            <v>4000311</v>
          </cell>
          <cell r="B40" t="str">
            <v>3300</v>
          </cell>
          <cell r="C40" t="str">
            <v>3001</v>
          </cell>
          <cell r="D40" t="str">
            <v>L</v>
          </cell>
          <cell r="E40" t="str">
            <v/>
          </cell>
          <cell r="F40" t="str">
            <v>2026</v>
          </cell>
          <cell r="G40" t="str">
            <v>2</v>
          </cell>
          <cell r="H40">
            <v>164</v>
          </cell>
          <cell r="I40">
            <v>0</v>
          </cell>
          <cell r="J40" t="str">
            <v>X</v>
          </cell>
          <cell r="K40" t="str">
            <v>X</v>
          </cell>
          <cell r="L40" t="str">
            <v>10:07:01</v>
          </cell>
          <cell r="M40">
            <v>45987</v>
          </cell>
          <cell r="N40">
            <v>44430</v>
          </cell>
          <cell r="O40" t="str">
            <v>X</v>
          </cell>
          <cell r="P40" t="str">
            <v>2025</v>
          </cell>
          <cell r="Q40">
            <v>164</v>
          </cell>
          <cell r="R40" t="str">
            <v/>
          </cell>
        </row>
        <row r="41">
          <cell r="A41" t="str">
            <v>4000312</v>
          </cell>
          <cell r="B41" t="str">
            <v>3300</v>
          </cell>
          <cell r="C41" t="str">
            <v>3001</v>
          </cell>
          <cell r="D41" t="str">
            <v>L</v>
          </cell>
          <cell r="E41" t="str">
            <v/>
          </cell>
          <cell r="F41" t="str">
            <v>2026</v>
          </cell>
          <cell r="G41" t="str">
            <v>2</v>
          </cell>
          <cell r="H41">
            <v>136</v>
          </cell>
          <cell r="I41">
            <v>0</v>
          </cell>
          <cell r="J41" t="str">
            <v>X</v>
          </cell>
          <cell r="K41" t="str">
            <v>X</v>
          </cell>
          <cell r="L41" t="str">
            <v>07:07:03</v>
          </cell>
          <cell r="M41">
            <v>45824</v>
          </cell>
          <cell r="N41">
            <v>44430</v>
          </cell>
          <cell r="O41" t="str">
            <v>X</v>
          </cell>
          <cell r="P41" t="str">
            <v>2025</v>
          </cell>
          <cell r="Q41">
            <v>136</v>
          </cell>
          <cell r="R41" t="str">
            <v/>
          </cell>
        </row>
        <row r="42">
          <cell r="A42" t="str">
            <v>4000313</v>
          </cell>
          <cell r="B42" t="str">
            <v>3300</v>
          </cell>
          <cell r="C42" t="str">
            <v>3001</v>
          </cell>
          <cell r="D42" t="str">
            <v>L</v>
          </cell>
          <cell r="E42" t="str">
            <v/>
          </cell>
          <cell r="F42" t="str">
            <v>2026</v>
          </cell>
          <cell r="G42" t="str">
            <v>2</v>
          </cell>
          <cell r="H42">
            <v>80</v>
          </cell>
          <cell r="I42">
            <v>0</v>
          </cell>
          <cell r="J42" t="str">
            <v>X</v>
          </cell>
          <cell r="K42" t="str">
            <v>X</v>
          </cell>
          <cell r="L42" t="str">
            <v>06:03:03</v>
          </cell>
          <cell r="M42">
            <v>45819</v>
          </cell>
          <cell r="N42">
            <v>44430</v>
          </cell>
          <cell r="O42" t="str">
            <v>X</v>
          </cell>
          <cell r="P42" t="str">
            <v>2025</v>
          </cell>
          <cell r="Q42">
            <v>80</v>
          </cell>
          <cell r="R42" t="str">
            <v/>
          </cell>
        </row>
        <row r="43">
          <cell r="A43" t="str">
            <v>4000314</v>
          </cell>
          <cell r="B43" t="str">
            <v>3300</v>
          </cell>
          <cell r="C43" t="str">
            <v>3001</v>
          </cell>
          <cell r="D43" t="str">
            <v>L</v>
          </cell>
          <cell r="E43" t="str">
            <v/>
          </cell>
          <cell r="F43" t="str">
            <v>2026</v>
          </cell>
          <cell r="G43" t="str">
            <v>2</v>
          </cell>
          <cell r="H43">
            <v>1040</v>
          </cell>
          <cell r="I43">
            <v>0</v>
          </cell>
          <cell r="J43" t="str">
            <v>X</v>
          </cell>
          <cell r="K43" t="str">
            <v>X</v>
          </cell>
          <cell r="L43" t="str">
            <v>08:10:02</v>
          </cell>
          <cell r="M43">
            <v>45980</v>
          </cell>
          <cell r="N43">
            <v>44430</v>
          </cell>
          <cell r="O43" t="str">
            <v>X</v>
          </cell>
          <cell r="P43" t="str">
            <v>2025</v>
          </cell>
          <cell r="Q43">
            <v>1040</v>
          </cell>
          <cell r="R43" t="str">
            <v/>
          </cell>
        </row>
        <row r="44">
          <cell r="A44" t="str">
            <v>4000315</v>
          </cell>
          <cell r="B44" t="str">
            <v>3300</v>
          </cell>
          <cell r="C44" t="str">
            <v>3001</v>
          </cell>
          <cell r="D44" t="str">
            <v>L</v>
          </cell>
          <cell r="E44" t="str">
            <v/>
          </cell>
          <cell r="F44" t="str">
            <v>2026</v>
          </cell>
          <cell r="G44" t="str">
            <v>2</v>
          </cell>
          <cell r="H44">
            <v>70</v>
          </cell>
          <cell r="I44">
            <v>0</v>
          </cell>
          <cell r="J44" t="str">
            <v>X</v>
          </cell>
          <cell r="K44" t="str">
            <v>X</v>
          </cell>
          <cell r="L44" t="str">
            <v>10:06:01</v>
          </cell>
          <cell r="M44">
            <v>45987</v>
          </cell>
          <cell r="N44">
            <v>44430</v>
          </cell>
          <cell r="O44" t="str">
            <v>X</v>
          </cell>
          <cell r="P44" t="str">
            <v>2025</v>
          </cell>
          <cell r="Q44">
            <v>70</v>
          </cell>
          <cell r="R44" t="str">
            <v/>
          </cell>
        </row>
        <row r="45">
          <cell r="A45" t="str">
            <v>4000316</v>
          </cell>
          <cell r="B45" t="str">
            <v>3300</v>
          </cell>
          <cell r="C45" t="str">
            <v>3001</v>
          </cell>
          <cell r="D45" t="str">
            <v>L</v>
          </cell>
          <cell r="E45" t="str">
            <v/>
          </cell>
          <cell r="F45" t="str">
            <v>2026</v>
          </cell>
          <cell r="G45" t="str">
            <v>2</v>
          </cell>
          <cell r="H45">
            <v>68</v>
          </cell>
          <cell r="I45">
            <v>0</v>
          </cell>
          <cell r="J45" t="str">
            <v>X</v>
          </cell>
          <cell r="K45" t="str">
            <v>X</v>
          </cell>
          <cell r="L45" t="str">
            <v>08:04:03</v>
          </cell>
          <cell r="M45">
            <v>45980</v>
          </cell>
          <cell r="N45">
            <v>44430</v>
          </cell>
          <cell r="O45" t="str">
            <v>X</v>
          </cell>
          <cell r="P45" t="str">
            <v>2025</v>
          </cell>
          <cell r="Q45">
            <v>68</v>
          </cell>
          <cell r="R45" t="str">
            <v/>
          </cell>
        </row>
        <row r="46">
          <cell r="A46" t="str">
            <v>4000319</v>
          </cell>
          <cell r="B46" t="str">
            <v>3300</v>
          </cell>
          <cell r="C46" t="str">
            <v>3001</v>
          </cell>
          <cell r="D46" t="str">
            <v>L</v>
          </cell>
          <cell r="E46" t="str">
            <v/>
          </cell>
          <cell r="F46" t="str">
            <v>2026</v>
          </cell>
          <cell r="G46" t="str">
            <v>2</v>
          </cell>
          <cell r="H46">
            <v>60</v>
          </cell>
          <cell r="I46">
            <v>0</v>
          </cell>
          <cell r="J46" t="str">
            <v>X</v>
          </cell>
          <cell r="K46" t="str">
            <v>X</v>
          </cell>
          <cell r="L46" t="str">
            <v>08:09:03</v>
          </cell>
          <cell r="M46">
            <v>45980</v>
          </cell>
          <cell r="N46">
            <v>44430</v>
          </cell>
          <cell r="O46" t="str">
            <v>X</v>
          </cell>
          <cell r="P46" t="str">
            <v>2025</v>
          </cell>
          <cell r="Q46">
            <v>60</v>
          </cell>
          <cell r="R46" t="str">
            <v/>
          </cell>
        </row>
        <row r="47">
          <cell r="A47" t="str">
            <v>4000323</v>
          </cell>
          <cell r="B47" t="str">
            <v>3300</v>
          </cell>
          <cell r="C47" t="str">
            <v>3001</v>
          </cell>
          <cell r="D47" t="str">
            <v>L</v>
          </cell>
          <cell r="E47" t="str">
            <v/>
          </cell>
          <cell r="F47" t="str">
            <v>2026</v>
          </cell>
          <cell r="G47" t="str">
            <v>2</v>
          </cell>
          <cell r="H47">
            <v>140</v>
          </cell>
          <cell r="I47">
            <v>0</v>
          </cell>
          <cell r="J47" t="str">
            <v>X</v>
          </cell>
          <cell r="K47" t="str">
            <v>X</v>
          </cell>
          <cell r="L47" t="str">
            <v>02:13:02</v>
          </cell>
          <cell r="M47">
            <v>45797</v>
          </cell>
          <cell r="N47">
            <v>44430</v>
          </cell>
          <cell r="O47" t="str">
            <v>X</v>
          </cell>
          <cell r="P47" t="str">
            <v>2025</v>
          </cell>
          <cell r="Q47">
            <v>140</v>
          </cell>
          <cell r="R47" t="str">
            <v/>
          </cell>
        </row>
        <row r="48">
          <cell r="A48" t="str">
            <v>4000324</v>
          </cell>
          <cell r="B48" t="str">
            <v>3300</v>
          </cell>
          <cell r="C48" t="str">
            <v>3001</v>
          </cell>
          <cell r="D48" t="str">
            <v>L</v>
          </cell>
          <cell r="E48" t="str">
            <v/>
          </cell>
          <cell r="F48" t="str">
            <v>2026</v>
          </cell>
          <cell r="G48" t="str">
            <v>2</v>
          </cell>
          <cell r="H48">
            <v>270</v>
          </cell>
          <cell r="I48">
            <v>0</v>
          </cell>
          <cell r="J48" t="str">
            <v>X</v>
          </cell>
          <cell r="K48" t="str">
            <v>X</v>
          </cell>
          <cell r="L48" t="str">
            <v>02:13:02</v>
          </cell>
          <cell r="M48">
            <v>45797</v>
          </cell>
          <cell r="N48">
            <v>44430</v>
          </cell>
          <cell r="O48" t="str">
            <v>X</v>
          </cell>
          <cell r="P48" t="str">
            <v>2025</v>
          </cell>
          <cell r="Q48">
            <v>270</v>
          </cell>
          <cell r="R48" t="str">
            <v/>
          </cell>
        </row>
        <row r="49">
          <cell r="A49" t="str">
            <v>4000325</v>
          </cell>
          <cell r="B49" t="str">
            <v>3300</v>
          </cell>
          <cell r="C49" t="str">
            <v>3001</v>
          </cell>
          <cell r="D49" t="str">
            <v>L</v>
          </cell>
          <cell r="E49" t="str">
            <v/>
          </cell>
          <cell r="F49" t="str">
            <v>2026</v>
          </cell>
          <cell r="G49" t="str">
            <v>1</v>
          </cell>
          <cell r="H49">
            <v>90</v>
          </cell>
          <cell r="I49">
            <v>0</v>
          </cell>
          <cell r="J49" t="str">
            <v>X</v>
          </cell>
          <cell r="K49" t="str">
            <v>X</v>
          </cell>
          <cell r="L49" t="str">
            <v>02:12:01</v>
          </cell>
          <cell r="M49">
            <v>45797</v>
          </cell>
          <cell r="N49">
            <v>44430</v>
          </cell>
          <cell r="O49" t="str">
            <v>X</v>
          </cell>
          <cell r="P49" t="str">
            <v>2025</v>
          </cell>
          <cell r="Q49">
            <v>90</v>
          </cell>
          <cell r="R49" t="str">
            <v/>
          </cell>
        </row>
        <row r="50">
          <cell r="A50" t="str">
            <v>4000328</v>
          </cell>
          <cell r="B50" t="str">
            <v>3300</v>
          </cell>
          <cell r="C50" t="str">
            <v>3001</v>
          </cell>
          <cell r="D50" t="str">
            <v>L</v>
          </cell>
          <cell r="E50" t="str">
            <v/>
          </cell>
          <cell r="F50" t="str">
            <v>2026</v>
          </cell>
          <cell r="G50" t="str">
            <v>2</v>
          </cell>
          <cell r="H50">
            <v>70</v>
          </cell>
          <cell r="I50">
            <v>0</v>
          </cell>
          <cell r="J50" t="str">
            <v>X</v>
          </cell>
          <cell r="K50" t="str">
            <v>X</v>
          </cell>
          <cell r="L50" t="str">
            <v>02:13:01</v>
          </cell>
          <cell r="M50">
            <v>45797</v>
          </cell>
          <cell r="N50">
            <v>44430</v>
          </cell>
          <cell r="O50" t="str">
            <v>X</v>
          </cell>
          <cell r="P50" t="str">
            <v>2025</v>
          </cell>
          <cell r="Q50">
            <v>70</v>
          </cell>
          <cell r="R50" t="str">
            <v/>
          </cell>
        </row>
        <row r="51">
          <cell r="A51" t="str">
            <v>4000330</v>
          </cell>
          <cell r="B51" t="str">
            <v>3300</v>
          </cell>
          <cell r="C51" t="str">
            <v>3001</v>
          </cell>
          <cell r="D51" t="str">
            <v>L</v>
          </cell>
          <cell r="E51" t="str">
            <v/>
          </cell>
          <cell r="F51" t="str">
            <v>2026</v>
          </cell>
          <cell r="G51" t="str">
            <v>3</v>
          </cell>
          <cell r="H51">
            <v>110</v>
          </cell>
          <cell r="I51">
            <v>0</v>
          </cell>
          <cell r="J51" t="str">
            <v>X</v>
          </cell>
          <cell r="K51" t="str">
            <v>X</v>
          </cell>
          <cell r="L51" t="str">
            <v>03:11:03</v>
          </cell>
          <cell r="M51">
            <v>45798</v>
          </cell>
          <cell r="N51">
            <v>44430</v>
          </cell>
          <cell r="O51" t="str">
            <v>X</v>
          </cell>
          <cell r="P51" t="str">
            <v>2025</v>
          </cell>
          <cell r="Q51">
            <v>110</v>
          </cell>
          <cell r="R51" t="str">
            <v/>
          </cell>
        </row>
        <row r="52">
          <cell r="A52" t="str">
            <v>4000331</v>
          </cell>
          <cell r="B52" t="str">
            <v>3300</v>
          </cell>
          <cell r="C52" t="str">
            <v>3001</v>
          </cell>
          <cell r="D52" t="str">
            <v>L</v>
          </cell>
          <cell r="E52" t="str">
            <v/>
          </cell>
          <cell r="F52" t="str">
            <v>2026</v>
          </cell>
          <cell r="G52" t="str">
            <v>2</v>
          </cell>
          <cell r="H52">
            <v>420</v>
          </cell>
          <cell r="I52">
            <v>0</v>
          </cell>
          <cell r="J52" t="str">
            <v>X</v>
          </cell>
          <cell r="K52" t="str">
            <v>X</v>
          </cell>
          <cell r="L52" t="str">
            <v>03:12:01</v>
          </cell>
          <cell r="M52">
            <v>45798</v>
          </cell>
          <cell r="N52">
            <v>44430</v>
          </cell>
          <cell r="O52" t="str">
            <v>X</v>
          </cell>
          <cell r="P52" t="str">
            <v>2025</v>
          </cell>
          <cell r="Q52">
            <v>420</v>
          </cell>
          <cell r="R52" t="str">
            <v/>
          </cell>
        </row>
        <row r="53">
          <cell r="A53" t="str">
            <v>4000332</v>
          </cell>
          <cell r="B53" t="str">
            <v>3300</v>
          </cell>
          <cell r="C53" t="str">
            <v>3001</v>
          </cell>
          <cell r="D53" t="str">
            <v>L</v>
          </cell>
          <cell r="E53" t="str">
            <v/>
          </cell>
          <cell r="F53" t="str">
            <v>2026</v>
          </cell>
          <cell r="G53" t="str">
            <v>3</v>
          </cell>
          <cell r="H53">
            <v>442</v>
          </cell>
          <cell r="I53">
            <v>0</v>
          </cell>
          <cell r="J53" t="str">
            <v>X</v>
          </cell>
          <cell r="K53" t="str">
            <v>X</v>
          </cell>
          <cell r="L53" t="str">
            <v>03:12:02</v>
          </cell>
          <cell r="M53">
            <v>45798</v>
          </cell>
          <cell r="N53">
            <v>44430</v>
          </cell>
          <cell r="O53" t="str">
            <v>X</v>
          </cell>
          <cell r="P53" t="str">
            <v>2025</v>
          </cell>
          <cell r="Q53">
            <v>442</v>
          </cell>
          <cell r="R53" t="str">
            <v/>
          </cell>
        </row>
        <row r="54">
          <cell r="A54" t="str">
            <v>4000333</v>
          </cell>
          <cell r="B54" t="str">
            <v>3300</v>
          </cell>
          <cell r="C54" t="str">
            <v>3001</v>
          </cell>
          <cell r="D54" t="str">
            <v>L</v>
          </cell>
          <cell r="E54" t="str">
            <v/>
          </cell>
          <cell r="F54" t="str">
            <v>2026</v>
          </cell>
          <cell r="G54" t="str">
            <v>2</v>
          </cell>
          <cell r="H54">
            <v>245</v>
          </cell>
          <cell r="I54">
            <v>0</v>
          </cell>
          <cell r="J54" t="str">
            <v>X</v>
          </cell>
          <cell r="K54" t="str">
            <v>X</v>
          </cell>
          <cell r="L54" t="str">
            <v>03:12:02</v>
          </cell>
          <cell r="M54">
            <v>45798</v>
          </cell>
          <cell r="N54">
            <v>44430</v>
          </cell>
          <cell r="O54" t="str">
            <v>X</v>
          </cell>
          <cell r="P54" t="str">
            <v>2025</v>
          </cell>
          <cell r="Q54">
            <v>245</v>
          </cell>
          <cell r="R54" t="str">
            <v/>
          </cell>
        </row>
        <row r="55">
          <cell r="A55" t="str">
            <v>4000334</v>
          </cell>
          <cell r="B55" t="str">
            <v>3300</v>
          </cell>
          <cell r="C55" t="str">
            <v>3001</v>
          </cell>
          <cell r="D55" t="str">
            <v>L</v>
          </cell>
          <cell r="E55" t="str">
            <v/>
          </cell>
          <cell r="F55" t="str">
            <v>2025</v>
          </cell>
          <cell r="G55" t="str">
            <v>12</v>
          </cell>
          <cell r="H55">
            <v>60</v>
          </cell>
          <cell r="I55">
            <v>0</v>
          </cell>
          <cell r="J55" t="str">
            <v>X</v>
          </cell>
          <cell r="K55" t="str">
            <v>X</v>
          </cell>
          <cell r="L55" t="str">
            <v>03:12:03</v>
          </cell>
          <cell r="M55">
            <v>45798</v>
          </cell>
          <cell r="N55">
            <v>44430</v>
          </cell>
          <cell r="O55" t="str">
            <v>X</v>
          </cell>
          <cell r="P55" t="str">
            <v>2025</v>
          </cell>
          <cell r="Q55">
            <v>60</v>
          </cell>
          <cell r="R55" t="str">
            <v/>
          </cell>
        </row>
        <row r="56">
          <cell r="A56" t="str">
            <v>4000340</v>
          </cell>
          <cell r="B56" t="str">
            <v>3300</v>
          </cell>
          <cell r="C56" t="str">
            <v>3001</v>
          </cell>
          <cell r="D56" t="str">
            <v>L</v>
          </cell>
          <cell r="E56" t="str">
            <v/>
          </cell>
          <cell r="F56" t="str">
            <v>2026</v>
          </cell>
          <cell r="G56" t="str">
            <v>2</v>
          </cell>
          <cell r="H56">
            <v>345</v>
          </cell>
          <cell r="I56">
            <v>0</v>
          </cell>
          <cell r="J56" t="str">
            <v>X</v>
          </cell>
          <cell r="K56" t="str">
            <v>X</v>
          </cell>
          <cell r="L56" t="str">
            <v>03:11:01</v>
          </cell>
          <cell r="M56">
            <v>45798</v>
          </cell>
          <cell r="N56">
            <v>44430</v>
          </cell>
          <cell r="O56" t="str">
            <v>X</v>
          </cell>
          <cell r="P56" t="str">
            <v>2025</v>
          </cell>
          <cell r="Q56">
            <v>345</v>
          </cell>
          <cell r="R56" t="str">
            <v/>
          </cell>
        </row>
        <row r="57">
          <cell r="A57" t="str">
            <v>4000341</v>
          </cell>
          <cell r="B57" t="str">
            <v>3300</v>
          </cell>
          <cell r="C57" t="str">
            <v>3001</v>
          </cell>
          <cell r="D57" t="str">
            <v>L</v>
          </cell>
          <cell r="E57" t="str">
            <v/>
          </cell>
          <cell r="F57" t="str">
            <v>2026</v>
          </cell>
          <cell r="G57" t="str">
            <v>3</v>
          </cell>
          <cell r="H57">
            <v>700</v>
          </cell>
          <cell r="I57">
            <v>0</v>
          </cell>
          <cell r="J57" t="str">
            <v>X</v>
          </cell>
          <cell r="K57" t="str">
            <v>X</v>
          </cell>
          <cell r="L57" t="str">
            <v>03:11:02</v>
          </cell>
          <cell r="M57">
            <v>45798</v>
          </cell>
          <cell r="N57">
            <v>44430</v>
          </cell>
          <cell r="O57" t="str">
            <v>X</v>
          </cell>
          <cell r="P57" t="str">
            <v>2025</v>
          </cell>
          <cell r="Q57">
            <v>700</v>
          </cell>
          <cell r="R57" t="str">
            <v/>
          </cell>
        </row>
        <row r="58">
          <cell r="A58" t="str">
            <v>4000342</v>
          </cell>
          <cell r="B58" t="str">
            <v>3300</v>
          </cell>
          <cell r="C58" t="str">
            <v>3001</v>
          </cell>
          <cell r="D58" t="str">
            <v>L</v>
          </cell>
          <cell r="E58" t="str">
            <v/>
          </cell>
          <cell r="F58" t="str">
            <v>2026</v>
          </cell>
          <cell r="G58" t="str">
            <v>3</v>
          </cell>
          <cell r="H58">
            <v>450</v>
          </cell>
          <cell r="I58">
            <v>0</v>
          </cell>
          <cell r="J58" t="str">
            <v>X</v>
          </cell>
          <cell r="K58" t="str">
            <v>X</v>
          </cell>
          <cell r="L58" t="str">
            <v>03:11:02</v>
          </cell>
          <cell r="M58">
            <v>45798</v>
          </cell>
          <cell r="N58">
            <v>44430</v>
          </cell>
          <cell r="O58" t="str">
            <v>X</v>
          </cell>
          <cell r="P58" t="str">
            <v>2025</v>
          </cell>
          <cell r="Q58">
            <v>450</v>
          </cell>
          <cell r="R58" t="str">
            <v/>
          </cell>
        </row>
        <row r="59">
          <cell r="A59" t="str">
            <v>4000343</v>
          </cell>
          <cell r="B59" t="str">
            <v>3300</v>
          </cell>
          <cell r="C59" t="str">
            <v>3001</v>
          </cell>
          <cell r="D59" t="str">
            <v>L</v>
          </cell>
          <cell r="E59" t="str">
            <v/>
          </cell>
          <cell r="F59" t="str">
            <v>2026</v>
          </cell>
          <cell r="G59" t="str">
            <v>3</v>
          </cell>
          <cell r="H59">
            <v>200</v>
          </cell>
          <cell r="I59">
            <v>0</v>
          </cell>
          <cell r="J59" t="str">
            <v>X</v>
          </cell>
          <cell r="K59" t="str">
            <v>X</v>
          </cell>
          <cell r="L59" t="str">
            <v>02:12:03</v>
          </cell>
          <cell r="M59">
            <v>45797</v>
          </cell>
          <cell r="N59">
            <v>44430</v>
          </cell>
          <cell r="O59" t="str">
            <v>X</v>
          </cell>
          <cell r="P59" t="str">
            <v>2025</v>
          </cell>
          <cell r="Q59">
            <v>200</v>
          </cell>
          <cell r="R59" t="str">
            <v/>
          </cell>
        </row>
        <row r="60">
          <cell r="A60" t="str">
            <v>4000396</v>
          </cell>
          <cell r="B60" t="str">
            <v>3300</v>
          </cell>
          <cell r="C60" t="str">
            <v>3001</v>
          </cell>
          <cell r="D60" t="str">
            <v>L</v>
          </cell>
          <cell r="E60" t="str">
            <v/>
          </cell>
          <cell r="F60" t="str">
            <v>2026</v>
          </cell>
          <cell r="G60" t="str">
            <v>3</v>
          </cell>
          <cell r="H60">
            <v>980</v>
          </cell>
          <cell r="I60">
            <v>0</v>
          </cell>
          <cell r="J60" t="str">
            <v>X</v>
          </cell>
          <cell r="K60" t="str">
            <v>X</v>
          </cell>
          <cell r="L60" t="str">
            <v>15:08:01</v>
          </cell>
          <cell r="M60">
            <v>46006</v>
          </cell>
          <cell r="N60">
            <v>44430</v>
          </cell>
          <cell r="O60" t="str">
            <v>X</v>
          </cell>
          <cell r="P60" t="str">
            <v>2025</v>
          </cell>
          <cell r="Q60">
            <v>980</v>
          </cell>
          <cell r="R60" t="str">
            <v/>
          </cell>
        </row>
        <row r="61">
          <cell r="A61" t="str">
            <v>4000403</v>
          </cell>
          <cell r="B61" t="str">
            <v>3300</v>
          </cell>
          <cell r="C61" t="str">
            <v>3001</v>
          </cell>
          <cell r="D61" t="str">
            <v>L</v>
          </cell>
          <cell r="E61" t="str">
            <v/>
          </cell>
          <cell r="F61" t="str">
            <v>2026</v>
          </cell>
          <cell r="G61" t="str">
            <v>2</v>
          </cell>
          <cell r="H61">
            <v>1100</v>
          </cell>
          <cell r="I61">
            <v>0</v>
          </cell>
          <cell r="J61" t="str">
            <v>X</v>
          </cell>
          <cell r="K61" t="str">
            <v>X</v>
          </cell>
          <cell r="L61" t="str">
            <v>08:12:02</v>
          </cell>
          <cell r="M61">
            <v>45980</v>
          </cell>
          <cell r="N61">
            <v>44430</v>
          </cell>
          <cell r="O61" t="str">
            <v>X</v>
          </cell>
          <cell r="P61" t="str">
            <v>2025</v>
          </cell>
          <cell r="Q61">
            <v>1100</v>
          </cell>
          <cell r="R61" t="str">
            <v/>
          </cell>
        </row>
        <row r="62">
          <cell r="A62" t="str">
            <v>4000406</v>
          </cell>
          <cell r="B62" t="str">
            <v>3300</v>
          </cell>
          <cell r="C62" t="str">
            <v>3001</v>
          </cell>
          <cell r="D62" t="str">
            <v>L</v>
          </cell>
          <cell r="E62" t="str">
            <v/>
          </cell>
          <cell r="F62" t="str">
            <v>2026</v>
          </cell>
          <cell r="G62" t="str">
            <v>3</v>
          </cell>
          <cell r="H62">
            <v>2730</v>
          </cell>
          <cell r="I62">
            <v>0</v>
          </cell>
          <cell r="J62" t="str">
            <v>X</v>
          </cell>
          <cell r="K62" t="str">
            <v>X</v>
          </cell>
          <cell r="L62" t="str">
            <v>14:18:01*</v>
          </cell>
          <cell r="M62">
            <v>46001</v>
          </cell>
          <cell r="N62">
            <v>44430</v>
          </cell>
          <cell r="O62" t="str">
            <v>X</v>
          </cell>
          <cell r="P62" t="str">
            <v>2025</v>
          </cell>
          <cell r="Q62">
            <v>2730</v>
          </cell>
          <cell r="R62" t="str">
            <v/>
          </cell>
        </row>
        <row r="63">
          <cell r="A63" t="str">
            <v>4000411</v>
          </cell>
          <cell r="B63" t="str">
            <v>3300</v>
          </cell>
          <cell r="C63" t="str">
            <v>3001</v>
          </cell>
          <cell r="D63" t="str">
            <v>L</v>
          </cell>
          <cell r="E63" t="str">
            <v/>
          </cell>
          <cell r="F63" t="str">
            <v>2026</v>
          </cell>
          <cell r="G63" t="str">
            <v>2</v>
          </cell>
          <cell r="H63">
            <v>14</v>
          </cell>
          <cell r="I63">
            <v>0</v>
          </cell>
          <cell r="J63" t="str">
            <v>X</v>
          </cell>
          <cell r="K63" t="str">
            <v>X</v>
          </cell>
          <cell r="L63" t="str">
            <v>13:12:00</v>
          </cell>
          <cell r="M63">
            <v>46001</v>
          </cell>
          <cell r="N63">
            <v>44430</v>
          </cell>
          <cell r="O63" t="str">
            <v>X</v>
          </cell>
          <cell r="P63" t="str">
            <v>2025</v>
          </cell>
          <cell r="Q63">
            <v>14</v>
          </cell>
          <cell r="R63" t="str">
            <v/>
          </cell>
        </row>
        <row r="64">
          <cell r="A64" t="str">
            <v>4000412</v>
          </cell>
          <cell r="B64" t="str">
            <v>3300</v>
          </cell>
          <cell r="C64" t="str">
            <v>3001</v>
          </cell>
          <cell r="D64" t="str">
            <v>L</v>
          </cell>
          <cell r="E64" t="str">
            <v/>
          </cell>
          <cell r="F64" t="str">
            <v>2026</v>
          </cell>
          <cell r="G64" t="str">
            <v>2</v>
          </cell>
          <cell r="H64">
            <v>19</v>
          </cell>
          <cell r="I64">
            <v>0</v>
          </cell>
          <cell r="J64" t="str">
            <v>X</v>
          </cell>
          <cell r="K64" t="str">
            <v>X</v>
          </cell>
          <cell r="L64" t="str">
            <v>13:12:02</v>
          </cell>
          <cell r="M64">
            <v>46001</v>
          </cell>
          <cell r="N64">
            <v>44430</v>
          </cell>
          <cell r="O64" t="str">
            <v>X</v>
          </cell>
          <cell r="P64" t="str">
            <v>2025</v>
          </cell>
          <cell r="Q64">
            <v>19</v>
          </cell>
          <cell r="R64" t="str">
            <v/>
          </cell>
        </row>
        <row r="65">
          <cell r="A65" t="str">
            <v>4000413</v>
          </cell>
          <cell r="B65" t="str">
            <v>3300</v>
          </cell>
          <cell r="C65" t="str">
            <v>3001</v>
          </cell>
          <cell r="D65" t="str">
            <v>L</v>
          </cell>
          <cell r="E65" t="str">
            <v/>
          </cell>
          <cell r="F65" t="str">
            <v>2026</v>
          </cell>
          <cell r="G65" t="str">
            <v>2</v>
          </cell>
          <cell r="H65">
            <v>14</v>
          </cell>
          <cell r="I65">
            <v>0</v>
          </cell>
          <cell r="J65" t="str">
            <v>X</v>
          </cell>
          <cell r="K65" t="str">
            <v>X</v>
          </cell>
          <cell r="L65" t="str">
            <v>13:12:02</v>
          </cell>
          <cell r="M65">
            <v>46001</v>
          </cell>
          <cell r="N65">
            <v>44430</v>
          </cell>
          <cell r="O65" t="str">
            <v>X</v>
          </cell>
          <cell r="P65" t="str">
            <v>2025</v>
          </cell>
          <cell r="Q65">
            <v>14</v>
          </cell>
          <cell r="R65" t="str">
            <v/>
          </cell>
        </row>
        <row r="66">
          <cell r="A66" t="str">
            <v>4000414</v>
          </cell>
          <cell r="B66" t="str">
            <v>3300</v>
          </cell>
          <cell r="C66" t="str">
            <v>3001</v>
          </cell>
          <cell r="D66" t="str">
            <v>L</v>
          </cell>
          <cell r="E66" t="str">
            <v/>
          </cell>
          <cell r="F66" t="str">
            <v>2026</v>
          </cell>
          <cell r="G66" t="str">
            <v>2</v>
          </cell>
          <cell r="H66">
            <v>12</v>
          </cell>
          <cell r="I66">
            <v>0</v>
          </cell>
          <cell r="J66" t="str">
            <v>X</v>
          </cell>
          <cell r="K66" t="str">
            <v>X</v>
          </cell>
          <cell r="L66" t="str">
            <v>13:12:03</v>
          </cell>
          <cell r="M66">
            <v>46001</v>
          </cell>
          <cell r="N66">
            <v>44430</v>
          </cell>
          <cell r="O66" t="str">
            <v>X</v>
          </cell>
          <cell r="P66" t="str">
            <v>2025</v>
          </cell>
          <cell r="Q66">
            <v>12</v>
          </cell>
          <cell r="R66" t="str">
            <v/>
          </cell>
        </row>
        <row r="67">
          <cell r="A67" t="str">
            <v>4000415</v>
          </cell>
          <cell r="B67" t="str">
            <v>3300</v>
          </cell>
          <cell r="C67" t="str">
            <v>3001</v>
          </cell>
          <cell r="D67" t="str">
            <v>L</v>
          </cell>
          <cell r="E67" t="str">
            <v/>
          </cell>
          <cell r="F67" t="str">
            <v>2026</v>
          </cell>
          <cell r="G67" t="str">
            <v>2</v>
          </cell>
          <cell r="H67">
            <v>10</v>
          </cell>
          <cell r="I67">
            <v>0</v>
          </cell>
          <cell r="J67" t="str">
            <v>X</v>
          </cell>
          <cell r="K67" t="str">
            <v>X</v>
          </cell>
          <cell r="L67" t="str">
            <v>13:13:02</v>
          </cell>
          <cell r="M67">
            <v>46001</v>
          </cell>
          <cell r="N67">
            <v>44430</v>
          </cell>
          <cell r="O67" t="str">
            <v>X</v>
          </cell>
          <cell r="P67" t="str">
            <v>2025</v>
          </cell>
          <cell r="Q67">
            <v>10</v>
          </cell>
          <cell r="R67" t="str">
            <v/>
          </cell>
        </row>
        <row r="68">
          <cell r="A68" t="str">
            <v>4000416</v>
          </cell>
          <cell r="B68" t="str">
            <v>3300</v>
          </cell>
          <cell r="C68" t="str">
            <v>3001</v>
          </cell>
          <cell r="D68" t="str">
            <v>L</v>
          </cell>
          <cell r="E68" t="str">
            <v/>
          </cell>
          <cell r="F68" t="str">
            <v>2026</v>
          </cell>
          <cell r="G68" t="str">
            <v>2</v>
          </cell>
          <cell r="H68">
            <v>3100</v>
          </cell>
          <cell r="I68">
            <v>0</v>
          </cell>
          <cell r="J68" t="str">
            <v>X</v>
          </cell>
          <cell r="K68" t="str">
            <v>X</v>
          </cell>
          <cell r="L68" t="str">
            <v>13:11:03</v>
          </cell>
          <cell r="M68">
            <v>46001</v>
          </cell>
          <cell r="N68">
            <v>44430</v>
          </cell>
          <cell r="O68" t="str">
            <v>X</v>
          </cell>
          <cell r="P68" t="str">
            <v>2025</v>
          </cell>
          <cell r="Q68">
            <v>3100</v>
          </cell>
          <cell r="R68" t="str">
            <v/>
          </cell>
        </row>
        <row r="69">
          <cell r="A69" t="str">
            <v>4000418</v>
          </cell>
          <cell r="B69" t="str">
            <v>3300</v>
          </cell>
          <cell r="C69" t="str">
            <v>3001</v>
          </cell>
          <cell r="D69" t="str">
            <v>L</v>
          </cell>
          <cell r="E69" t="str">
            <v/>
          </cell>
          <cell r="F69" t="str">
            <v>2026</v>
          </cell>
          <cell r="G69" t="str">
            <v>2</v>
          </cell>
          <cell r="H69">
            <v>600</v>
          </cell>
          <cell r="I69">
            <v>0</v>
          </cell>
          <cell r="J69" t="str">
            <v>X</v>
          </cell>
          <cell r="K69" t="str">
            <v>X</v>
          </cell>
          <cell r="L69" t="str">
            <v>13:11:02</v>
          </cell>
          <cell r="M69">
            <v>46001</v>
          </cell>
          <cell r="N69">
            <v>44430</v>
          </cell>
          <cell r="O69" t="str">
            <v>X</v>
          </cell>
          <cell r="P69" t="str">
            <v>2025</v>
          </cell>
          <cell r="Q69">
            <v>600</v>
          </cell>
          <cell r="R69" t="str">
            <v/>
          </cell>
        </row>
        <row r="70">
          <cell r="A70" t="str">
            <v>4000419</v>
          </cell>
          <cell r="B70" t="str">
            <v>3300</v>
          </cell>
          <cell r="C70" t="str">
            <v>3001</v>
          </cell>
          <cell r="D70" t="str">
            <v>L</v>
          </cell>
          <cell r="E70" t="str">
            <v/>
          </cell>
          <cell r="F70" t="str">
            <v>2026</v>
          </cell>
          <cell r="G70" t="str">
            <v>2</v>
          </cell>
          <cell r="H70">
            <v>2300</v>
          </cell>
          <cell r="I70">
            <v>0</v>
          </cell>
          <cell r="J70" t="str">
            <v>X</v>
          </cell>
          <cell r="K70" t="str">
            <v>X</v>
          </cell>
          <cell r="L70" t="str">
            <v>13:10:02</v>
          </cell>
          <cell r="M70">
            <v>45994</v>
          </cell>
          <cell r="N70">
            <v>44430</v>
          </cell>
          <cell r="O70" t="str">
            <v>X</v>
          </cell>
          <cell r="P70" t="str">
            <v>2025</v>
          </cell>
          <cell r="Q70">
            <v>2300</v>
          </cell>
          <cell r="R70" t="str">
            <v/>
          </cell>
        </row>
        <row r="71">
          <cell r="A71" t="str">
            <v>4000420</v>
          </cell>
          <cell r="B71" t="str">
            <v>3300</v>
          </cell>
          <cell r="C71" t="str">
            <v>3001</v>
          </cell>
          <cell r="D71" t="str">
            <v>L</v>
          </cell>
          <cell r="E71" t="str">
            <v/>
          </cell>
          <cell r="F71" t="str">
            <v>2026</v>
          </cell>
          <cell r="G71" t="str">
            <v>2</v>
          </cell>
          <cell r="H71">
            <v>2500</v>
          </cell>
          <cell r="I71">
            <v>0</v>
          </cell>
          <cell r="J71" t="str">
            <v>X</v>
          </cell>
          <cell r="K71" t="str">
            <v>X</v>
          </cell>
          <cell r="L71" t="str">
            <v>13:10:03</v>
          </cell>
          <cell r="M71">
            <v>45994</v>
          </cell>
          <cell r="N71">
            <v>44430</v>
          </cell>
          <cell r="O71" t="str">
            <v>X</v>
          </cell>
          <cell r="P71" t="str">
            <v>2025</v>
          </cell>
          <cell r="Q71">
            <v>2500</v>
          </cell>
          <cell r="R71" t="str">
            <v/>
          </cell>
        </row>
        <row r="72">
          <cell r="A72" t="str">
            <v>4000426</v>
          </cell>
          <cell r="B72" t="str">
            <v>3300</v>
          </cell>
          <cell r="C72" t="str">
            <v>3001</v>
          </cell>
          <cell r="D72" t="str">
            <v>DL</v>
          </cell>
          <cell r="E72" t="str">
            <v/>
          </cell>
          <cell r="F72" t="str">
            <v>2024</v>
          </cell>
          <cell r="G72" t="str">
            <v>5</v>
          </cell>
          <cell r="H72">
            <v>0</v>
          </cell>
          <cell r="I72">
            <v>0</v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>
            <v>45436</v>
          </cell>
          <cell r="O72" t="str">
            <v>X</v>
          </cell>
          <cell r="P72" t="str">
            <v>2024</v>
          </cell>
          <cell r="Q72">
            <v>0</v>
          </cell>
          <cell r="R72" t="str">
            <v>INAKTIV</v>
          </cell>
        </row>
        <row r="73">
          <cell r="A73" t="str">
            <v>4000427</v>
          </cell>
          <cell r="B73" t="str">
            <v>3300</v>
          </cell>
          <cell r="C73" t="str">
            <v>3001</v>
          </cell>
          <cell r="D73" t="str">
            <v>L</v>
          </cell>
          <cell r="E73" t="str">
            <v/>
          </cell>
          <cell r="F73" t="str">
            <v>2026</v>
          </cell>
          <cell r="G73" t="str">
            <v>2</v>
          </cell>
          <cell r="H73">
            <v>1200</v>
          </cell>
          <cell r="I73">
            <v>0</v>
          </cell>
          <cell r="J73" t="str">
            <v>X</v>
          </cell>
          <cell r="K73" t="str">
            <v>X</v>
          </cell>
          <cell r="L73" t="str">
            <v>17:01:02</v>
          </cell>
          <cell r="M73">
            <v>46006</v>
          </cell>
          <cell r="N73">
            <v>44430</v>
          </cell>
          <cell r="O73" t="str">
            <v>X</v>
          </cell>
          <cell r="P73" t="str">
            <v>2025</v>
          </cell>
          <cell r="Q73">
            <v>1200</v>
          </cell>
          <cell r="R73" t="str">
            <v/>
          </cell>
        </row>
        <row r="74">
          <cell r="A74" t="str">
            <v>4000428</v>
          </cell>
          <cell r="B74" t="str">
            <v>3300</v>
          </cell>
          <cell r="C74" t="str">
            <v>3001</v>
          </cell>
          <cell r="D74" t="str">
            <v>L</v>
          </cell>
          <cell r="E74" t="str">
            <v/>
          </cell>
          <cell r="F74" t="str">
            <v>2026</v>
          </cell>
          <cell r="G74" t="str">
            <v>3</v>
          </cell>
          <cell r="H74">
            <v>3300</v>
          </cell>
          <cell r="I74">
            <v>0</v>
          </cell>
          <cell r="J74" t="str">
            <v>X</v>
          </cell>
          <cell r="K74" t="str">
            <v>X</v>
          </cell>
          <cell r="L74" t="str">
            <v>17:02:02</v>
          </cell>
          <cell r="M74">
            <v>46006</v>
          </cell>
          <cell r="N74">
            <v>44430</v>
          </cell>
          <cell r="O74" t="str">
            <v>X</v>
          </cell>
          <cell r="P74" t="str">
            <v>2025</v>
          </cell>
          <cell r="Q74">
            <v>3300</v>
          </cell>
          <cell r="R74" t="str">
            <v/>
          </cell>
        </row>
        <row r="75">
          <cell r="A75" t="str">
            <v>4000430</v>
          </cell>
          <cell r="B75" t="str">
            <v>3300</v>
          </cell>
          <cell r="C75" t="str">
            <v>3001</v>
          </cell>
          <cell r="D75" t="str">
            <v>L</v>
          </cell>
          <cell r="E75" t="str">
            <v/>
          </cell>
          <cell r="F75" t="str">
            <v>2023</v>
          </cell>
          <cell r="G75" t="str">
            <v>10</v>
          </cell>
          <cell r="H75">
            <v>0</v>
          </cell>
          <cell r="I75">
            <v>0</v>
          </cell>
          <cell r="J75" t="str">
            <v/>
          </cell>
          <cell r="K75" t="str">
            <v/>
          </cell>
          <cell r="L75" t="str">
            <v>SLETTET</v>
          </cell>
          <cell r="M75">
            <v>45167</v>
          </cell>
          <cell r="N75">
            <v>44430</v>
          </cell>
          <cell r="O75" t="str">
            <v>X</v>
          </cell>
          <cell r="P75" t="str">
            <v>2025</v>
          </cell>
          <cell r="Q75">
            <v>0</v>
          </cell>
          <cell r="R75" t="str">
            <v>INAKTIV</v>
          </cell>
        </row>
        <row r="76">
          <cell r="A76" t="str">
            <v>4000432</v>
          </cell>
          <cell r="B76" t="str">
            <v>3300</v>
          </cell>
          <cell r="C76" t="str">
            <v>3001</v>
          </cell>
          <cell r="D76" t="str">
            <v>L</v>
          </cell>
          <cell r="E76" t="str">
            <v/>
          </cell>
          <cell r="F76" t="str">
            <v>2026</v>
          </cell>
          <cell r="G76" t="str">
            <v>3</v>
          </cell>
          <cell r="H76">
            <v>2600</v>
          </cell>
          <cell r="I76">
            <v>0</v>
          </cell>
          <cell r="J76" t="str">
            <v>X</v>
          </cell>
          <cell r="K76" t="str">
            <v/>
          </cell>
          <cell r="L76" t="str">
            <v>17:02:03</v>
          </cell>
          <cell r="M76">
            <v>46029</v>
          </cell>
          <cell r="N76">
            <v>44430</v>
          </cell>
          <cell r="O76" t="str">
            <v>X</v>
          </cell>
          <cell r="P76" t="str">
            <v>2026</v>
          </cell>
          <cell r="Q76">
            <v>2600</v>
          </cell>
          <cell r="R76" t="str">
            <v/>
          </cell>
        </row>
        <row r="77">
          <cell r="A77" t="str">
            <v>4000434</v>
          </cell>
          <cell r="B77" t="str">
            <v>3300</v>
          </cell>
          <cell r="C77" t="str">
            <v>3001</v>
          </cell>
          <cell r="D77" t="str">
            <v>L</v>
          </cell>
          <cell r="E77" t="str">
            <v/>
          </cell>
          <cell r="F77" t="str">
            <v>2026</v>
          </cell>
          <cell r="G77" t="str">
            <v>3</v>
          </cell>
          <cell r="H77">
            <v>150</v>
          </cell>
          <cell r="I77">
            <v>0</v>
          </cell>
          <cell r="J77" t="str">
            <v>X</v>
          </cell>
          <cell r="K77" t="str">
            <v/>
          </cell>
          <cell r="L77" t="str">
            <v>17:03:01</v>
          </cell>
          <cell r="M77">
            <v>46029</v>
          </cell>
          <cell r="N77">
            <v>44430</v>
          </cell>
          <cell r="O77" t="str">
            <v>X</v>
          </cell>
          <cell r="P77" t="str">
            <v>2026</v>
          </cell>
          <cell r="Q77">
            <v>150</v>
          </cell>
          <cell r="R77" t="str">
            <v/>
          </cell>
        </row>
        <row r="78">
          <cell r="A78" t="str">
            <v>4000435</v>
          </cell>
          <cell r="B78" t="str">
            <v>3300</v>
          </cell>
          <cell r="C78" t="str">
            <v>3001</v>
          </cell>
          <cell r="D78" t="str">
            <v>L</v>
          </cell>
          <cell r="E78" t="str">
            <v/>
          </cell>
          <cell r="F78" t="str">
            <v>2026</v>
          </cell>
          <cell r="G78" t="str">
            <v>3</v>
          </cell>
          <cell r="H78">
            <v>2100</v>
          </cell>
          <cell r="I78">
            <v>0</v>
          </cell>
          <cell r="J78" t="str">
            <v>X</v>
          </cell>
          <cell r="K78" t="str">
            <v>X</v>
          </cell>
          <cell r="L78" t="str">
            <v>17:01:03</v>
          </cell>
          <cell r="M78">
            <v>46006</v>
          </cell>
          <cell r="N78">
            <v>44430</v>
          </cell>
          <cell r="O78" t="str">
            <v>X</v>
          </cell>
          <cell r="P78" t="str">
            <v>2025</v>
          </cell>
          <cell r="Q78">
            <v>2100</v>
          </cell>
          <cell r="R78" t="str">
            <v/>
          </cell>
        </row>
        <row r="79">
          <cell r="A79" t="str">
            <v>4000441</v>
          </cell>
          <cell r="B79" t="str">
            <v>3300</v>
          </cell>
          <cell r="C79" t="str">
            <v>3001</v>
          </cell>
          <cell r="D79" t="str">
            <v>L</v>
          </cell>
          <cell r="E79" t="str">
            <v/>
          </cell>
          <cell r="F79" t="str">
            <v>2026</v>
          </cell>
          <cell r="G79" t="str">
            <v>3</v>
          </cell>
          <cell r="H79">
            <v>60</v>
          </cell>
          <cell r="I79">
            <v>0</v>
          </cell>
          <cell r="J79" t="str">
            <v>X</v>
          </cell>
          <cell r="K79" t="str">
            <v>X</v>
          </cell>
          <cell r="L79" t="str">
            <v>13:09:01</v>
          </cell>
          <cell r="M79">
            <v>45994</v>
          </cell>
          <cell r="N79">
            <v>44430</v>
          </cell>
          <cell r="O79" t="str">
            <v>X</v>
          </cell>
          <cell r="P79" t="str">
            <v>2025</v>
          </cell>
          <cell r="Q79">
            <v>60</v>
          </cell>
          <cell r="R79" t="str">
            <v/>
          </cell>
        </row>
        <row r="80">
          <cell r="A80" t="str">
            <v>4000442</v>
          </cell>
          <cell r="B80" t="str">
            <v>3300</v>
          </cell>
          <cell r="C80" t="str">
            <v>3001</v>
          </cell>
          <cell r="D80" t="str">
            <v>L</v>
          </cell>
          <cell r="E80" t="str">
            <v/>
          </cell>
          <cell r="F80" t="str">
            <v>2026</v>
          </cell>
          <cell r="G80" t="str">
            <v>3</v>
          </cell>
          <cell r="H80">
            <v>14900</v>
          </cell>
          <cell r="I80">
            <v>0</v>
          </cell>
          <cell r="J80" t="str">
            <v>X</v>
          </cell>
          <cell r="K80" t="str">
            <v>X</v>
          </cell>
          <cell r="L80" t="str">
            <v>11:01:00</v>
          </cell>
          <cell r="M80">
            <v>45987</v>
          </cell>
          <cell r="N80">
            <v>44430</v>
          </cell>
          <cell r="O80" t="str">
            <v>X</v>
          </cell>
          <cell r="P80" t="str">
            <v>2025</v>
          </cell>
          <cell r="Q80">
            <v>14900</v>
          </cell>
          <cell r="R80" t="str">
            <v/>
          </cell>
        </row>
        <row r="81">
          <cell r="A81" t="str">
            <v>4000443</v>
          </cell>
          <cell r="B81" t="str">
            <v>3300</v>
          </cell>
          <cell r="C81" t="str">
            <v>3001</v>
          </cell>
          <cell r="D81" t="str">
            <v>L</v>
          </cell>
          <cell r="E81" t="str">
            <v/>
          </cell>
          <cell r="F81" t="str">
            <v>2026</v>
          </cell>
          <cell r="G81" t="str">
            <v>3</v>
          </cell>
          <cell r="H81">
            <v>6435</v>
          </cell>
          <cell r="I81">
            <v>0</v>
          </cell>
          <cell r="J81" t="str">
            <v>X</v>
          </cell>
          <cell r="K81" t="str">
            <v>X</v>
          </cell>
          <cell r="L81" t="str">
            <v>12:06:00*</v>
          </cell>
          <cell r="M81">
            <v>45994</v>
          </cell>
          <cell r="N81">
            <v>44430</v>
          </cell>
          <cell r="O81" t="str">
            <v>X</v>
          </cell>
          <cell r="P81" t="str">
            <v>2025</v>
          </cell>
          <cell r="Q81">
            <v>6435</v>
          </cell>
          <cell r="R81" t="str">
            <v/>
          </cell>
        </row>
        <row r="82">
          <cell r="A82" t="str">
            <v>4000445</v>
          </cell>
          <cell r="B82" t="str">
            <v>3300</v>
          </cell>
          <cell r="C82" t="str">
            <v>3001</v>
          </cell>
          <cell r="D82" t="str">
            <v>L</v>
          </cell>
          <cell r="E82" t="str">
            <v/>
          </cell>
          <cell r="F82" t="str">
            <v>2026</v>
          </cell>
          <cell r="G82" t="str">
            <v>3</v>
          </cell>
          <cell r="H82">
            <v>2800</v>
          </cell>
          <cell r="I82">
            <v>0</v>
          </cell>
          <cell r="J82" t="str">
            <v>X</v>
          </cell>
          <cell r="K82" t="str">
            <v>X</v>
          </cell>
          <cell r="L82" t="str">
            <v>09:01:01</v>
          </cell>
          <cell r="M82">
            <v>45980</v>
          </cell>
          <cell r="N82">
            <v>44430</v>
          </cell>
          <cell r="O82" t="str">
            <v>X</v>
          </cell>
          <cell r="P82" t="str">
            <v>2025</v>
          </cell>
          <cell r="Q82">
            <v>2800</v>
          </cell>
          <cell r="R82" t="str">
            <v/>
          </cell>
        </row>
        <row r="83">
          <cell r="A83" t="str">
            <v>4000447</v>
          </cell>
          <cell r="B83" t="str">
            <v>3300</v>
          </cell>
          <cell r="C83" t="str">
            <v>3001</v>
          </cell>
          <cell r="D83" t="str">
            <v>L</v>
          </cell>
          <cell r="E83" t="str">
            <v/>
          </cell>
          <cell r="F83" t="str">
            <v>2026</v>
          </cell>
          <cell r="G83" t="str">
            <v>3</v>
          </cell>
          <cell r="H83">
            <v>9800</v>
          </cell>
          <cell r="I83">
            <v>0</v>
          </cell>
          <cell r="J83" t="str">
            <v>X</v>
          </cell>
          <cell r="K83" t="str">
            <v>X</v>
          </cell>
          <cell r="L83" t="str">
            <v>09:03:01</v>
          </cell>
          <cell r="M83">
            <v>45980</v>
          </cell>
          <cell r="N83">
            <v>44430</v>
          </cell>
          <cell r="O83" t="str">
            <v>X</v>
          </cell>
          <cell r="P83" t="str">
            <v>2025</v>
          </cell>
          <cell r="Q83">
            <v>9800</v>
          </cell>
          <cell r="R83" t="str">
            <v/>
          </cell>
        </row>
        <row r="84">
          <cell r="A84" t="str">
            <v>4000449</v>
          </cell>
          <cell r="B84" t="str">
            <v>3300</v>
          </cell>
          <cell r="C84" t="str">
            <v>3001</v>
          </cell>
          <cell r="D84" t="str">
            <v>L</v>
          </cell>
          <cell r="E84" t="str">
            <v/>
          </cell>
          <cell r="F84" t="str">
            <v>2026</v>
          </cell>
          <cell r="G84" t="str">
            <v>3</v>
          </cell>
          <cell r="H84">
            <v>2800</v>
          </cell>
          <cell r="I84">
            <v>0</v>
          </cell>
          <cell r="J84" t="str">
            <v>X</v>
          </cell>
          <cell r="K84" t="str">
            <v>X</v>
          </cell>
          <cell r="L84" t="str">
            <v>09:04:01</v>
          </cell>
          <cell r="M84">
            <v>45980</v>
          </cell>
          <cell r="N84">
            <v>44430</v>
          </cell>
          <cell r="O84" t="str">
            <v>X</v>
          </cell>
          <cell r="P84" t="str">
            <v>2025</v>
          </cell>
          <cell r="Q84">
            <v>2800</v>
          </cell>
          <cell r="R84" t="str">
            <v/>
          </cell>
        </row>
        <row r="85">
          <cell r="A85" t="str">
            <v>4000452</v>
          </cell>
          <cell r="B85" t="str">
            <v>3300</v>
          </cell>
          <cell r="C85" t="str">
            <v>3001</v>
          </cell>
          <cell r="D85" t="str">
            <v>L</v>
          </cell>
          <cell r="E85" t="str">
            <v/>
          </cell>
          <cell r="F85" t="str">
            <v>2026</v>
          </cell>
          <cell r="G85" t="str">
            <v>2</v>
          </cell>
          <cell r="H85">
            <v>1350</v>
          </cell>
          <cell r="I85">
            <v>0</v>
          </cell>
          <cell r="J85" t="str">
            <v>X</v>
          </cell>
          <cell r="K85" t="str">
            <v>X</v>
          </cell>
          <cell r="L85" t="str">
            <v>10:09:03</v>
          </cell>
          <cell r="M85">
            <v>45987</v>
          </cell>
          <cell r="N85">
            <v>44430</v>
          </cell>
          <cell r="O85" t="str">
            <v>X</v>
          </cell>
          <cell r="P85" t="str">
            <v>2025</v>
          </cell>
          <cell r="Q85">
            <v>1350</v>
          </cell>
          <cell r="R85" t="str">
            <v/>
          </cell>
        </row>
        <row r="86">
          <cell r="A86" t="str">
            <v>4000455</v>
          </cell>
          <cell r="B86" t="str">
            <v>3300</v>
          </cell>
          <cell r="C86" t="str">
            <v>3001</v>
          </cell>
          <cell r="D86" t="str">
            <v>L</v>
          </cell>
          <cell r="E86" t="str">
            <v/>
          </cell>
          <cell r="F86" t="str">
            <v>2026</v>
          </cell>
          <cell r="G86" t="str">
            <v>1</v>
          </cell>
          <cell r="H86">
            <v>170</v>
          </cell>
          <cell r="I86">
            <v>0</v>
          </cell>
          <cell r="J86" t="str">
            <v>X</v>
          </cell>
          <cell r="K86" t="str">
            <v>X</v>
          </cell>
          <cell r="L86" t="str">
            <v>03:08:02</v>
          </cell>
          <cell r="M86">
            <v>45798</v>
          </cell>
          <cell r="N86">
            <v>44430</v>
          </cell>
          <cell r="O86" t="str">
            <v>X</v>
          </cell>
          <cell r="P86" t="str">
            <v>2025</v>
          </cell>
          <cell r="Q86">
            <v>170</v>
          </cell>
          <cell r="R86" t="str">
            <v/>
          </cell>
        </row>
        <row r="87">
          <cell r="A87" t="str">
            <v>4000457</v>
          </cell>
          <cell r="B87" t="str">
            <v>3300</v>
          </cell>
          <cell r="C87" t="str">
            <v>3001</v>
          </cell>
          <cell r="D87" t="str">
            <v>L</v>
          </cell>
          <cell r="E87" t="str">
            <v/>
          </cell>
          <cell r="F87" t="str">
            <v>2025</v>
          </cell>
          <cell r="G87" t="str">
            <v>5</v>
          </cell>
          <cell r="H87">
            <v>170</v>
          </cell>
          <cell r="I87">
            <v>0</v>
          </cell>
          <cell r="J87" t="str">
            <v>X</v>
          </cell>
          <cell r="K87" t="str">
            <v>X</v>
          </cell>
          <cell r="L87" t="str">
            <v>03:08:03</v>
          </cell>
          <cell r="M87">
            <v>45798</v>
          </cell>
          <cell r="N87">
            <v>44430</v>
          </cell>
          <cell r="O87" t="str">
            <v>X</v>
          </cell>
          <cell r="P87" t="str">
            <v>2025</v>
          </cell>
          <cell r="Q87">
            <v>170</v>
          </cell>
          <cell r="R87" t="str">
            <v/>
          </cell>
        </row>
        <row r="88">
          <cell r="A88" t="str">
            <v>4000493</v>
          </cell>
          <cell r="B88" t="str">
            <v>3300</v>
          </cell>
          <cell r="C88" t="str">
            <v>3001</v>
          </cell>
          <cell r="D88" t="str">
            <v>L</v>
          </cell>
          <cell r="E88" t="str">
            <v/>
          </cell>
          <cell r="F88" t="str">
            <v>2021</v>
          </cell>
          <cell r="G88" t="str">
            <v>11</v>
          </cell>
          <cell r="H88">
            <v>0</v>
          </cell>
          <cell r="I88">
            <v>0</v>
          </cell>
          <cell r="J88" t="str">
            <v>X</v>
          </cell>
          <cell r="K88" t="str">
            <v/>
          </cell>
          <cell r="L88" t="str">
            <v>SLETTET</v>
          </cell>
          <cell r="M88">
            <v>44568</v>
          </cell>
          <cell r="N88">
            <v>44430</v>
          </cell>
          <cell r="O88" t="str">
            <v>X</v>
          </cell>
          <cell r="P88" t="str">
            <v>2022</v>
          </cell>
          <cell r="Q88">
            <v>0</v>
          </cell>
          <cell r="R88" t="str">
            <v>INAKTIV</v>
          </cell>
        </row>
        <row r="89">
          <cell r="A89" t="str">
            <v>4000740</v>
          </cell>
          <cell r="B89" t="str">
            <v>3300</v>
          </cell>
          <cell r="C89" t="str">
            <v>3001</v>
          </cell>
          <cell r="D89" t="str">
            <v>L</v>
          </cell>
          <cell r="E89" t="str">
            <v/>
          </cell>
          <cell r="F89" t="str">
            <v>2026</v>
          </cell>
          <cell r="G89" t="str">
            <v>3</v>
          </cell>
          <cell r="H89">
            <v>178</v>
          </cell>
          <cell r="I89">
            <v>0</v>
          </cell>
          <cell r="J89" t="str">
            <v>X</v>
          </cell>
          <cell r="K89" t="str">
            <v>X</v>
          </cell>
          <cell r="L89" t="str">
            <v>11:02:02</v>
          </cell>
          <cell r="M89">
            <v>45987</v>
          </cell>
          <cell r="N89">
            <v>44430</v>
          </cell>
          <cell r="O89" t="str">
            <v>X</v>
          </cell>
          <cell r="P89" t="str">
            <v>2025</v>
          </cell>
          <cell r="Q89">
            <v>178</v>
          </cell>
          <cell r="R89" t="str">
            <v/>
          </cell>
        </row>
        <row r="90">
          <cell r="A90" t="str">
            <v>4000755</v>
          </cell>
          <cell r="B90" t="str">
            <v>3300</v>
          </cell>
          <cell r="C90" t="str">
            <v>3001</v>
          </cell>
          <cell r="D90" t="str">
            <v>L</v>
          </cell>
          <cell r="E90" t="str">
            <v/>
          </cell>
          <cell r="F90" t="str">
            <v>2026</v>
          </cell>
          <cell r="G90" t="str">
            <v>3</v>
          </cell>
          <cell r="H90">
            <v>0</v>
          </cell>
          <cell r="I90">
            <v>0</v>
          </cell>
          <cell r="J90" t="str">
            <v>X</v>
          </cell>
          <cell r="K90" t="str">
            <v>X</v>
          </cell>
          <cell r="L90" t="str">
            <v>10:08:03</v>
          </cell>
          <cell r="M90">
            <v>45987</v>
          </cell>
          <cell r="N90">
            <v>44430</v>
          </cell>
          <cell r="O90" t="str">
            <v>X</v>
          </cell>
          <cell r="P90" t="str">
            <v>2025</v>
          </cell>
          <cell r="Q90">
            <v>0</v>
          </cell>
          <cell r="R90" t="str">
            <v>INAKTIV</v>
          </cell>
        </row>
        <row r="91">
          <cell r="A91" t="str">
            <v>4000757</v>
          </cell>
          <cell r="B91" t="str">
            <v>3300</v>
          </cell>
          <cell r="C91" t="str">
            <v>3001</v>
          </cell>
          <cell r="D91" t="str">
            <v>DL</v>
          </cell>
          <cell r="E91" t="str">
            <v/>
          </cell>
          <cell r="F91" t="str">
            <v>2024</v>
          </cell>
          <cell r="G91" t="str">
            <v>6</v>
          </cell>
          <cell r="H91">
            <v>0</v>
          </cell>
          <cell r="I91">
            <v>0</v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>
            <v>45462</v>
          </cell>
          <cell r="O91" t="str">
            <v>X</v>
          </cell>
          <cell r="P91" t="str">
            <v>2024</v>
          </cell>
          <cell r="Q91">
            <v>0</v>
          </cell>
          <cell r="R91" t="str">
            <v>INAKTIV</v>
          </cell>
        </row>
        <row r="92">
          <cell r="A92" t="str">
            <v>4000758</v>
          </cell>
          <cell r="B92" t="str">
            <v>3300</v>
          </cell>
          <cell r="C92" t="str">
            <v>3001</v>
          </cell>
          <cell r="D92" t="str">
            <v>L</v>
          </cell>
          <cell r="E92" t="str">
            <v/>
          </cell>
          <cell r="F92" t="str">
            <v>2026</v>
          </cell>
          <cell r="G92" t="str">
            <v>3</v>
          </cell>
          <cell r="H92">
            <v>140</v>
          </cell>
          <cell r="I92">
            <v>0</v>
          </cell>
          <cell r="J92" t="str">
            <v>X</v>
          </cell>
          <cell r="K92" t="str">
            <v>X</v>
          </cell>
          <cell r="L92" t="str">
            <v>06:09:02</v>
          </cell>
          <cell r="M92">
            <v>45819</v>
          </cell>
          <cell r="N92">
            <v>44430</v>
          </cell>
          <cell r="O92" t="str">
            <v>X</v>
          </cell>
          <cell r="P92" t="str">
            <v>2025</v>
          </cell>
          <cell r="Q92">
            <v>140</v>
          </cell>
          <cell r="R92" t="str">
            <v/>
          </cell>
        </row>
        <row r="93">
          <cell r="A93" t="str">
            <v>4000759</v>
          </cell>
          <cell r="B93" t="str">
            <v>3300</v>
          </cell>
          <cell r="C93" t="str">
            <v>3001</v>
          </cell>
          <cell r="D93" t="str">
            <v>L</v>
          </cell>
          <cell r="E93" t="str">
            <v/>
          </cell>
          <cell r="F93" t="str">
            <v>2026</v>
          </cell>
          <cell r="G93" t="str">
            <v>3</v>
          </cell>
          <cell r="H93">
            <v>90</v>
          </cell>
          <cell r="I93">
            <v>0</v>
          </cell>
          <cell r="J93" t="str">
            <v>X</v>
          </cell>
          <cell r="K93" t="str">
            <v>X</v>
          </cell>
          <cell r="L93" t="str">
            <v>06:09:02</v>
          </cell>
          <cell r="M93">
            <v>45819</v>
          </cell>
          <cell r="N93">
            <v>44430</v>
          </cell>
          <cell r="O93" t="str">
            <v>X</v>
          </cell>
          <cell r="P93" t="str">
            <v>2025</v>
          </cell>
          <cell r="Q93">
            <v>90</v>
          </cell>
          <cell r="R93" t="str">
            <v/>
          </cell>
        </row>
        <row r="94">
          <cell r="A94" t="str">
            <v>4000760</v>
          </cell>
          <cell r="B94" t="str">
            <v>3300</v>
          </cell>
          <cell r="C94" t="str">
            <v>3001</v>
          </cell>
          <cell r="D94" t="str">
            <v>L</v>
          </cell>
          <cell r="E94" t="str">
            <v/>
          </cell>
          <cell r="F94" t="str">
            <v>2026</v>
          </cell>
          <cell r="G94" t="str">
            <v>3</v>
          </cell>
          <cell r="H94">
            <v>50</v>
          </cell>
          <cell r="I94">
            <v>0</v>
          </cell>
          <cell r="J94" t="str">
            <v>X</v>
          </cell>
          <cell r="K94" t="str">
            <v>X</v>
          </cell>
          <cell r="L94" t="str">
            <v>06:09:01</v>
          </cell>
          <cell r="M94">
            <v>45819</v>
          </cell>
          <cell r="N94">
            <v>44430</v>
          </cell>
          <cell r="O94" t="str">
            <v>X</v>
          </cell>
          <cell r="P94" t="str">
            <v>2025</v>
          </cell>
          <cell r="Q94">
            <v>50</v>
          </cell>
          <cell r="R94" t="str">
            <v/>
          </cell>
        </row>
        <row r="95">
          <cell r="A95" t="str">
            <v>4000761</v>
          </cell>
          <cell r="B95" t="str">
            <v>3300</v>
          </cell>
          <cell r="C95" t="str">
            <v>3001</v>
          </cell>
          <cell r="D95" t="str">
            <v>L</v>
          </cell>
          <cell r="E95" t="str">
            <v/>
          </cell>
          <cell r="F95" t="str">
            <v>2026</v>
          </cell>
          <cell r="G95" t="str">
            <v>3</v>
          </cell>
          <cell r="H95">
            <v>204</v>
          </cell>
          <cell r="I95">
            <v>0</v>
          </cell>
          <cell r="J95" t="str">
            <v>X</v>
          </cell>
          <cell r="K95" t="str">
            <v>X</v>
          </cell>
          <cell r="L95" t="str">
            <v>06:10:02</v>
          </cell>
          <cell r="M95">
            <v>45824</v>
          </cell>
          <cell r="N95">
            <v>44430</v>
          </cell>
          <cell r="O95" t="str">
            <v>X</v>
          </cell>
          <cell r="P95" t="str">
            <v>2025</v>
          </cell>
          <cell r="Q95">
            <v>204</v>
          </cell>
          <cell r="R95" t="str">
            <v/>
          </cell>
        </row>
        <row r="96">
          <cell r="A96" t="str">
            <v>4000763</v>
          </cell>
          <cell r="B96" t="str">
            <v>3300</v>
          </cell>
          <cell r="C96" t="str">
            <v>3001</v>
          </cell>
          <cell r="D96" t="str">
            <v>L</v>
          </cell>
          <cell r="E96" t="str">
            <v/>
          </cell>
          <cell r="F96" t="str">
            <v>2026</v>
          </cell>
          <cell r="G96" t="str">
            <v>2</v>
          </cell>
          <cell r="H96">
            <v>35</v>
          </cell>
          <cell r="I96">
            <v>0</v>
          </cell>
          <cell r="J96" t="str">
            <v>X</v>
          </cell>
          <cell r="K96" t="str">
            <v>X</v>
          </cell>
          <cell r="L96" t="str">
            <v>10:13:01</v>
          </cell>
          <cell r="M96">
            <v>45987</v>
          </cell>
          <cell r="N96">
            <v>44430</v>
          </cell>
          <cell r="O96" t="str">
            <v>X</v>
          </cell>
          <cell r="P96" t="str">
            <v>2025</v>
          </cell>
          <cell r="Q96">
            <v>35</v>
          </cell>
          <cell r="R96" t="str">
            <v/>
          </cell>
        </row>
        <row r="97">
          <cell r="A97" t="str">
            <v>4000764</v>
          </cell>
          <cell r="B97" t="str">
            <v>3300</v>
          </cell>
          <cell r="C97" t="str">
            <v>3001</v>
          </cell>
          <cell r="D97" t="str">
            <v>L</v>
          </cell>
          <cell r="E97" t="str">
            <v/>
          </cell>
          <cell r="F97" t="str">
            <v>2026</v>
          </cell>
          <cell r="G97" t="str">
            <v>2</v>
          </cell>
          <cell r="H97">
            <v>26</v>
          </cell>
          <cell r="I97">
            <v>0</v>
          </cell>
          <cell r="J97" t="str">
            <v>X</v>
          </cell>
          <cell r="K97" t="str">
            <v>X</v>
          </cell>
          <cell r="L97" t="str">
            <v>10:13:02</v>
          </cell>
          <cell r="M97">
            <v>45987</v>
          </cell>
          <cell r="N97">
            <v>44430</v>
          </cell>
          <cell r="O97" t="str">
            <v>X</v>
          </cell>
          <cell r="P97" t="str">
            <v>2025</v>
          </cell>
          <cell r="Q97">
            <v>26</v>
          </cell>
          <cell r="R97" t="str">
            <v/>
          </cell>
        </row>
        <row r="98">
          <cell r="A98" t="str">
            <v>4000765</v>
          </cell>
          <cell r="B98" t="str">
            <v>3300</v>
          </cell>
          <cell r="C98" t="str">
            <v>3001</v>
          </cell>
          <cell r="D98" t="str">
            <v>L</v>
          </cell>
          <cell r="E98" t="str">
            <v/>
          </cell>
          <cell r="F98" t="str">
            <v>2026</v>
          </cell>
          <cell r="G98" t="str">
            <v>2</v>
          </cell>
          <cell r="H98">
            <v>32</v>
          </cell>
          <cell r="I98">
            <v>0</v>
          </cell>
          <cell r="J98" t="str">
            <v>X</v>
          </cell>
          <cell r="K98" t="str">
            <v>X</v>
          </cell>
          <cell r="L98" t="str">
            <v>10:13:03</v>
          </cell>
          <cell r="M98">
            <v>45987</v>
          </cell>
          <cell r="N98">
            <v>44430</v>
          </cell>
          <cell r="O98" t="str">
            <v>X</v>
          </cell>
          <cell r="P98" t="str">
            <v>2025</v>
          </cell>
          <cell r="Q98">
            <v>32</v>
          </cell>
          <cell r="R98" t="str">
            <v/>
          </cell>
        </row>
        <row r="99">
          <cell r="A99" t="str">
            <v>4000766</v>
          </cell>
          <cell r="B99" t="str">
            <v>3300</v>
          </cell>
          <cell r="C99" t="str">
            <v>3001</v>
          </cell>
          <cell r="D99" t="str">
            <v>L</v>
          </cell>
          <cell r="E99" t="str">
            <v/>
          </cell>
          <cell r="F99" t="str">
            <v>2026</v>
          </cell>
          <cell r="G99" t="str">
            <v>3</v>
          </cell>
          <cell r="H99">
            <v>125</v>
          </cell>
          <cell r="I99">
            <v>0</v>
          </cell>
          <cell r="J99" t="str">
            <v>X</v>
          </cell>
          <cell r="K99" t="str">
            <v>X</v>
          </cell>
          <cell r="L99" t="str">
            <v>13:05:01</v>
          </cell>
          <cell r="M99">
            <v>45994</v>
          </cell>
          <cell r="N99">
            <v>44430</v>
          </cell>
          <cell r="O99" t="str">
            <v>X</v>
          </cell>
          <cell r="P99" t="str">
            <v>2025</v>
          </cell>
          <cell r="Q99">
            <v>125</v>
          </cell>
          <cell r="R99" t="str">
            <v/>
          </cell>
        </row>
        <row r="100">
          <cell r="A100" t="str">
            <v>4000767</v>
          </cell>
          <cell r="B100" t="str">
            <v>3300</v>
          </cell>
          <cell r="C100" t="str">
            <v>3001</v>
          </cell>
          <cell r="D100" t="str">
            <v>L</v>
          </cell>
          <cell r="E100" t="str">
            <v/>
          </cell>
          <cell r="F100" t="str">
            <v>2026</v>
          </cell>
          <cell r="G100" t="str">
            <v>2</v>
          </cell>
          <cell r="H100">
            <v>200</v>
          </cell>
          <cell r="I100">
            <v>0</v>
          </cell>
          <cell r="J100" t="str">
            <v>X</v>
          </cell>
          <cell r="K100" t="str">
            <v>X</v>
          </cell>
          <cell r="L100" t="str">
            <v>13:05:01</v>
          </cell>
          <cell r="M100">
            <v>45994</v>
          </cell>
          <cell r="N100">
            <v>44430</v>
          </cell>
          <cell r="O100" t="str">
            <v>X</v>
          </cell>
          <cell r="P100" t="str">
            <v>2025</v>
          </cell>
          <cell r="Q100">
            <v>200</v>
          </cell>
          <cell r="R100" t="str">
            <v/>
          </cell>
        </row>
        <row r="101">
          <cell r="A101" t="str">
            <v>4000768</v>
          </cell>
          <cell r="B101" t="str">
            <v>3300</v>
          </cell>
          <cell r="C101" t="str">
            <v>3001</v>
          </cell>
          <cell r="D101" t="str">
            <v>L</v>
          </cell>
          <cell r="E101" t="str">
            <v/>
          </cell>
          <cell r="F101" t="str">
            <v>2026</v>
          </cell>
          <cell r="G101" t="str">
            <v>2</v>
          </cell>
          <cell r="H101">
            <v>50</v>
          </cell>
          <cell r="I101">
            <v>0</v>
          </cell>
          <cell r="J101" t="str">
            <v>X</v>
          </cell>
          <cell r="K101" t="str">
            <v>X</v>
          </cell>
          <cell r="L101" t="str">
            <v>13:05:02</v>
          </cell>
          <cell r="M101">
            <v>45994</v>
          </cell>
          <cell r="N101">
            <v>44430</v>
          </cell>
          <cell r="O101" t="str">
            <v>X</v>
          </cell>
          <cell r="P101" t="str">
            <v>2025</v>
          </cell>
          <cell r="Q101">
            <v>50</v>
          </cell>
          <cell r="R101" t="str">
            <v/>
          </cell>
        </row>
        <row r="102">
          <cell r="A102" t="str">
            <v>4000769</v>
          </cell>
          <cell r="B102" t="str">
            <v>3300</v>
          </cell>
          <cell r="C102" t="str">
            <v>3001</v>
          </cell>
          <cell r="D102" t="str">
            <v>L</v>
          </cell>
          <cell r="E102" t="str">
            <v/>
          </cell>
          <cell r="F102" t="str">
            <v>2026</v>
          </cell>
          <cell r="G102" t="str">
            <v>3</v>
          </cell>
          <cell r="H102">
            <v>100</v>
          </cell>
          <cell r="I102">
            <v>0</v>
          </cell>
          <cell r="J102" t="str">
            <v>X</v>
          </cell>
          <cell r="K102" t="str">
            <v>X</v>
          </cell>
          <cell r="L102" t="str">
            <v>13:05:02</v>
          </cell>
          <cell r="M102">
            <v>45994</v>
          </cell>
          <cell r="N102">
            <v>44430</v>
          </cell>
          <cell r="O102" t="str">
            <v>X</v>
          </cell>
          <cell r="P102" t="str">
            <v>2025</v>
          </cell>
          <cell r="Q102">
            <v>100</v>
          </cell>
          <cell r="R102" t="str">
            <v/>
          </cell>
        </row>
        <row r="103">
          <cell r="A103" t="str">
            <v>4000770</v>
          </cell>
          <cell r="B103" t="str">
            <v>3300</v>
          </cell>
          <cell r="C103" t="str">
            <v>3001</v>
          </cell>
          <cell r="D103" t="str">
            <v>L</v>
          </cell>
          <cell r="E103" t="str">
            <v/>
          </cell>
          <cell r="F103" t="str">
            <v>2026</v>
          </cell>
          <cell r="G103" t="str">
            <v>1</v>
          </cell>
          <cell r="H103">
            <v>100</v>
          </cell>
          <cell r="I103">
            <v>0</v>
          </cell>
          <cell r="J103" t="str">
            <v>X</v>
          </cell>
          <cell r="K103" t="str">
            <v>X</v>
          </cell>
          <cell r="L103" t="str">
            <v>13:04:03</v>
          </cell>
          <cell r="M103">
            <v>45994</v>
          </cell>
          <cell r="N103">
            <v>44430</v>
          </cell>
          <cell r="O103" t="str">
            <v>X</v>
          </cell>
          <cell r="P103" t="str">
            <v>2025</v>
          </cell>
          <cell r="Q103">
            <v>100</v>
          </cell>
          <cell r="R103" t="str">
            <v/>
          </cell>
        </row>
        <row r="104">
          <cell r="A104" t="str">
            <v>4000771</v>
          </cell>
          <cell r="B104" t="str">
            <v>3300</v>
          </cell>
          <cell r="C104" t="str">
            <v>3001</v>
          </cell>
          <cell r="D104" t="str">
            <v>L</v>
          </cell>
          <cell r="E104" t="str">
            <v>X</v>
          </cell>
          <cell r="F104" t="str">
            <v>2021</v>
          </cell>
          <cell r="G104" t="str">
            <v>8</v>
          </cell>
          <cell r="H104">
            <v>0</v>
          </cell>
          <cell r="I104">
            <v>0</v>
          </cell>
          <cell r="J104" t="str">
            <v>X</v>
          </cell>
          <cell r="K104" t="str">
            <v/>
          </cell>
          <cell r="L104" t="str">
            <v>SLETTET</v>
          </cell>
          <cell r="M104">
            <v>44568</v>
          </cell>
          <cell r="N104">
            <v>44430</v>
          </cell>
          <cell r="O104" t="str">
            <v>X</v>
          </cell>
          <cell r="P104" t="str">
            <v>2022</v>
          </cell>
          <cell r="Q104">
            <v>0</v>
          </cell>
          <cell r="R104" t="str">
            <v>INAKTIV</v>
          </cell>
        </row>
        <row r="105">
          <cell r="A105" t="str">
            <v>4000772</v>
          </cell>
          <cell r="B105" t="str">
            <v>3300</v>
          </cell>
          <cell r="C105" t="str">
            <v>3001</v>
          </cell>
          <cell r="D105" t="str">
            <v>L</v>
          </cell>
          <cell r="E105" t="str">
            <v/>
          </cell>
          <cell r="F105" t="str">
            <v>2026</v>
          </cell>
          <cell r="G105" t="str">
            <v>3</v>
          </cell>
          <cell r="H105">
            <v>450</v>
          </cell>
          <cell r="I105">
            <v>0</v>
          </cell>
          <cell r="J105" t="str">
            <v>X</v>
          </cell>
          <cell r="K105" t="str">
            <v>X</v>
          </cell>
          <cell r="L105" t="str">
            <v>13:06:02</v>
          </cell>
          <cell r="M105">
            <v>45994</v>
          </cell>
          <cell r="N105">
            <v>44430</v>
          </cell>
          <cell r="O105" t="str">
            <v>X</v>
          </cell>
          <cell r="P105" t="str">
            <v>2025</v>
          </cell>
          <cell r="Q105">
            <v>450</v>
          </cell>
          <cell r="R105" t="str">
            <v/>
          </cell>
        </row>
        <row r="106">
          <cell r="A106" t="str">
            <v>4000773</v>
          </cell>
          <cell r="B106" t="str">
            <v>3300</v>
          </cell>
          <cell r="C106" t="str">
            <v>3001</v>
          </cell>
          <cell r="D106" t="str">
            <v>L</v>
          </cell>
          <cell r="E106" t="str">
            <v/>
          </cell>
          <cell r="F106" t="str">
            <v>2026</v>
          </cell>
          <cell r="G106" t="str">
            <v>2</v>
          </cell>
          <cell r="H106">
            <v>125</v>
          </cell>
          <cell r="I106">
            <v>0</v>
          </cell>
          <cell r="J106" t="str">
            <v>X</v>
          </cell>
          <cell r="K106" t="str">
            <v>X</v>
          </cell>
          <cell r="L106" t="str">
            <v>13:05:03</v>
          </cell>
          <cell r="M106">
            <v>45994</v>
          </cell>
          <cell r="N106">
            <v>44430</v>
          </cell>
          <cell r="O106" t="str">
            <v>X</v>
          </cell>
          <cell r="P106" t="str">
            <v>2025</v>
          </cell>
          <cell r="Q106">
            <v>125</v>
          </cell>
          <cell r="R106" t="str">
            <v/>
          </cell>
        </row>
        <row r="107">
          <cell r="A107" t="str">
            <v>4000775</v>
          </cell>
          <cell r="B107" t="str">
            <v>3300</v>
          </cell>
          <cell r="C107" t="str">
            <v>3001</v>
          </cell>
          <cell r="D107" t="str">
            <v>L</v>
          </cell>
          <cell r="E107" t="str">
            <v/>
          </cell>
          <cell r="F107" t="str">
            <v>2026</v>
          </cell>
          <cell r="G107" t="str">
            <v>2</v>
          </cell>
          <cell r="H107">
            <v>85</v>
          </cell>
          <cell r="I107">
            <v>0</v>
          </cell>
          <cell r="J107" t="str">
            <v>X</v>
          </cell>
          <cell r="K107" t="str">
            <v>X</v>
          </cell>
          <cell r="L107" t="str">
            <v>06:01:01</v>
          </cell>
          <cell r="M107">
            <v>45804</v>
          </cell>
          <cell r="N107">
            <v>44430</v>
          </cell>
          <cell r="O107" t="str">
            <v>X</v>
          </cell>
          <cell r="P107" t="str">
            <v>2025</v>
          </cell>
          <cell r="Q107">
            <v>85</v>
          </cell>
          <cell r="R107" t="str">
            <v/>
          </cell>
        </row>
        <row r="108">
          <cell r="A108" t="str">
            <v>4000776</v>
          </cell>
          <cell r="B108" t="str">
            <v>3300</v>
          </cell>
          <cell r="C108" t="str">
            <v>3001</v>
          </cell>
          <cell r="D108" t="str">
            <v>L</v>
          </cell>
          <cell r="E108" t="str">
            <v/>
          </cell>
          <cell r="F108" t="str">
            <v>2026</v>
          </cell>
          <cell r="G108" t="str">
            <v>2</v>
          </cell>
          <cell r="H108">
            <v>100</v>
          </cell>
          <cell r="I108">
            <v>0</v>
          </cell>
          <cell r="J108" t="str">
            <v>X</v>
          </cell>
          <cell r="K108" t="str">
            <v>X</v>
          </cell>
          <cell r="L108" t="str">
            <v>14:09:01</v>
          </cell>
          <cell r="M108">
            <v>46001</v>
          </cell>
          <cell r="N108">
            <v>44430</v>
          </cell>
          <cell r="O108" t="str">
            <v>X</v>
          </cell>
          <cell r="P108" t="str">
            <v>2025</v>
          </cell>
          <cell r="Q108">
            <v>100</v>
          </cell>
          <cell r="R108" t="str">
            <v/>
          </cell>
        </row>
        <row r="109">
          <cell r="A109" t="str">
            <v>4000777</v>
          </cell>
          <cell r="B109" t="str">
            <v>3300</v>
          </cell>
          <cell r="C109" t="str">
            <v>3001</v>
          </cell>
          <cell r="D109" t="str">
            <v>L</v>
          </cell>
          <cell r="E109" t="str">
            <v/>
          </cell>
          <cell r="F109" t="str">
            <v>2026</v>
          </cell>
          <cell r="G109" t="str">
            <v>3</v>
          </cell>
          <cell r="H109">
            <v>575</v>
          </cell>
          <cell r="I109">
            <v>0</v>
          </cell>
          <cell r="J109" t="str">
            <v>X</v>
          </cell>
          <cell r="K109" t="str">
            <v>X</v>
          </cell>
          <cell r="L109" t="str">
            <v>14:08:01</v>
          </cell>
          <cell r="M109">
            <v>46001</v>
          </cell>
          <cell r="N109">
            <v>44430</v>
          </cell>
          <cell r="O109" t="str">
            <v>X</v>
          </cell>
          <cell r="P109" t="str">
            <v>2025</v>
          </cell>
          <cell r="Q109">
            <v>575</v>
          </cell>
          <cell r="R109" t="str">
            <v/>
          </cell>
        </row>
        <row r="110">
          <cell r="A110" t="str">
            <v>4000778</v>
          </cell>
          <cell r="B110" t="str">
            <v>3300</v>
          </cell>
          <cell r="C110" t="str">
            <v>3001</v>
          </cell>
          <cell r="D110" t="str">
            <v>L</v>
          </cell>
          <cell r="E110" t="str">
            <v/>
          </cell>
          <cell r="F110" t="str">
            <v>2026</v>
          </cell>
          <cell r="G110" t="str">
            <v>3</v>
          </cell>
          <cell r="H110">
            <v>425</v>
          </cell>
          <cell r="I110">
            <v>0</v>
          </cell>
          <cell r="J110" t="str">
            <v>X</v>
          </cell>
          <cell r="K110" t="str">
            <v>X</v>
          </cell>
          <cell r="L110" t="str">
            <v>14:09:02</v>
          </cell>
          <cell r="M110">
            <v>46001</v>
          </cell>
          <cell r="N110">
            <v>44430</v>
          </cell>
          <cell r="O110" t="str">
            <v>X</v>
          </cell>
          <cell r="P110" t="str">
            <v>2025</v>
          </cell>
          <cell r="Q110">
            <v>425</v>
          </cell>
          <cell r="R110" t="str">
            <v/>
          </cell>
        </row>
        <row r="111">
          <cell r="A111" t="str">
            <v>4000779</v>
          </cell>
          <cell r="B111" t="str">
            <v>3300</v>
          </cell>
          <cell r="C111" t="str">
            <v>3001</v>
          </cell>
          <cell r="D111" t="str">
            <v>L</v>
          </cell>
          <cell r="E111" t="str">
            <v/>
          </cell>
          <cell r="F111" t="str">
            <v>2026</v>
          </cell>
          <cell r="G111" t="str">
            <v>3</v>
          </cell>
          <cell r="H111">
            <v>575</v>
          </cell>
          <cell r="I111">
            <v>0</v>
          </cell>
          <cell r="J111" t="str">
            <v>X</v>
          </cell>
          <cell r="K111" t="str">
            <v>X</v>
          </cell>
          <cell r="L111" t="str">
            <v>14:10:02</v>
          </cell>
          <cell r="M111">
            <v>46001</v>
          </cell>
          <cell r="N111">
            <v>44430</v>
          </cell>
          <cell r="O111" t="str">
            <v>X</v>
          </cell>
          <cell r="P111" t="str">
            <v>2025</v>
          </cell>
          <cell r="Q111">
            <v>575</v>
          </cell>
          <cell r="R111" t="str">
            <v/>
          </cell>
        </row>
        <row r="112">
          <cell r="A112" t="str">
            <v>4000780</v>
          </cell>
          <cell r="B112" t="str">
            <v>3300</v>
          </cell>
          <cell r="C112" t="str">
            <v>3001</v>
          </cell>
          <cell r="D112" t="str">
            <v>L</v>
          </cell>
          <cell r="E112" t="str">
            <v/>
          </cell>
          <cell r="F112" t="str">
            <v>2026</v>
          </cell>
          <cell r="G112" t="str">
            <v>3</v>
          </cell>
          <cell r="H112">
            <v>300</v>
          </cell>
          <cell r="I112">
            <v>0</v>
          </cell>
          <cell r="J112" t="str">
            <v>X</v>
          </cell>
          <cell r="K112" t="str">
            <v>X</v>
          </cell>
          <cell r="L112" t="str">
            <v>14:09:03</v>
          </cell>
          <cell r="M112">
            <v>46001</v>
          </cell>
          <cell r="N112">
            <v>44430</v>
          </cell>
          <cell r="O112" t="str">
            <v>X</v>
          </cell>
          <cell r="P112" t="str">
            <v>2025</v>
          </cell>
          <cell r="Q112">
            <v>300</v>
          </cell>
          <cell r="R112" t="str">
            <v/>
          </cell>
        </row>
        <row r="113">
          <cell r="A113" t="str">
            <v>4000781</v>
          </cell>
          <cell r="B113" t="str">
            <v>3300</v>
          </cell>
          <cell r="C113" t="str">
            <v>3001</v>
          </cell>
          <cell r="D113" t="str">
            <v>L</v>
          </cell>
          <cell r="E113" t="str">
            <v/>
          </cell>
          <cell r="F113" t="str">
            <v>2026</v>
          </cell>
          <cell r="G113" t="str">
            <v>2</v>
          </cell>
          <cell r="H113">
            <v>50</v>
          </cell>
          <cell r="I113">
            <v>0</v>
          </cell>
          <cell r="J113" t="str">
            <v>X</v>
          </cell>
          <cell r="K113" t="str">
            <v>X</v>
          </cell>
          <cell r="L113" t="str">
            <v>14:10:03</v>
          </cell>
          <cell r="M113">
            <v>46001</v>
          </cell>
          <cell r="N113">
            <v>44430</v>
          </cell>
          <cell r="O113" t="str">
            <v>X</v>
          </cell>
          <cell r="P113" t="str">
            <v>2025</v>
          </cell>
          <cell r="Q113">
            <v>50</v>
          </cell>
          <cell r="R113" t="str">
            <v/>
          </cell>
        </row>
        <row r="114">
          <cell r="A114" t="str">
            <v>4000786</v>
          </cell>
          <cell r="B114" t="str">
            <v>3300</v>
          </cell>
          <cell r="C114" t="str">
            <v>3001</v>
          </cell>
          <cell r="D114" t="str">
            <v>L</v>
          </cell>
          <cell r="E114" t="str">
            <v/>
          </cell>
          <cell r="F114" t="str">
            <v>2026</v>
          </cell>
          <cell r="G114" t="str">
            <v>2</v>
          </cell>
          <cell r="H114">
            <v>500</v>
          </cell>
          <cell r="I114">
            <v>0</v>
          </cell>
          <cell r="J114" t="str">
            <v>X</v>
          </cell>
          <cell r="K114" t="str">
            <v>X</v>
          </cell>
          <cell r="L114" t="str">
            <v>13:04:02</v>
          </cell>
          <cell r="M114">
            <v>45994</v>
          </cell>
          <cell r="N114">
            <v>44430</v>
          </cell>
          <cell r="O114" t="str">
            <v>X</v>
          </cell>
          <cell r="P114" t="str">
            <v>2025</v>
          </cell>
          <cell r="Q114">
            <v>500</v>
          </cell>
          <cell r="R114" t="str">
            <v/>
          </cell>
        </row>
        <row r="115">
          <cell r="A115" t="str">
            <v>4000787</v>
          </cell>
          <cell r="B115" t="str">
            <v>3300</v>
          </cell>
          <cell r="C115" t="str">
            <v>3001</v>
          </cell>
          <cell r="D115" t="str">
            <v>L</v>
          </cell>
          <cell r="E115" t="str">
            <v/>
          </cell>
          <cell r="F115" t="str">
            <v>2026</v>
          </cell>
          <cell r="G115" t="str">
            <v>3</v>
          </cell>
          <cell r="H115">
            <v>500</v>
          </cell>
          <cell r="I115">
            <v>0</v>
          </cell>
          <cell r="J115" t="str">
            <v>X</v>
          </cell>
          <cell r="K115" t="str">
            <v>X</v>
          </cell>
          <cell r="L115" t="str">
            <v>13:03:01</v>
          </cell>
          <cell r="M115">
            <v>45994</v>
          </cell>
          <cell r="N115">
            <v>44430</v>
          </cell>
          <cell r="O115" t="str">
            <v>X</v>
          </cell>
          <cell r="P115" t="str">
            <v>2025</v>
          </cell>
          <cell r="Q115">
            <v>500</v>
          </cell>
          <cell r="R115" t="str">
            <v/>
          </cell>
        </row>
        <row r="116">
          <cell r="A116" t="str">
            <v>4000788</v>
          </cell>
          <cell r="B116" t="str">
            <v>3300</v>
          </cell>
          <cell r="C116" t="str">
            <v>3001</v>
          </cell>
          <cell r="D116" t="str">
            <v>L</v>
          </cell>
          <cell r="E116" t="str">
            <v/>
          </cell>
          <cell r="F116" t="str">
            <v>2026</v>
          </cell>
          <cell r="G116" t="str">
            <v>3</v>
          </cell>
          <cell r="H116">
            <v>250</v>
          </cell>
          <cell r="I116">
            <v>0</v>
          </cell>
          <cell r="J116" t="str">
            <v>X</v>
          </cell>
          <cell r="K116" t="str">
            <v>X</v>
          </cell>
          <cell r="L116" t="str">
            <v>13:03:02</v>
          </cell>
          <cell r="M116">
            <v>45994</v>
          </cell>
          <cell r="N116">
            <v>44430</v>
          </cell>
          <cell r="O116" t="str">
            <v>X</v>
          </cell>
          <cell r="P116" t="str">
            <v>2025</v>
          </cell>
          <cell r="Q116">
            <v>250</v>
          </cell>
          <cell r="R116" t="str">
            <v/>
          </cell>
        </row>
        <row r="117">
          <cell r="A117" t="str">
            <v>4000789</v>
          </cell>
          <cell r="B117" t="str">
            <v>3300</v>
          </cell>
          <cell r="C117" t="str">
            <v>3001</v>
          </cell>
          <cell r="D117" t="str">
            <v>L</v>
          </cell>
          <cell r="E117" t="str">
            <v/>
          </cell>
          <cell r="F117" t="str">
            <v>2026</v>
          </cell>
          <cell r="G117" t="str">
            <v>3</v>
          </cell>
          <cell r="H117">
            <v>450</v>
          </cell>
          <cell r="I117">
            <v>0</v>
          </cell>
          <cell r="J117" t="str">
            <v>X</v>
          </cell>
          <cell r="K117" t="str">
            <v>X</v>
          </cell>
          <cell r="L117" t="str">
            <v>13:04:01</v>
          </cell>
          <cell r="M117">
            <v>45994</v>
          </cell>
          <cell r="N117">
            <v>44430</v>
          </cell>
          <cell r="O117" t="str">
            <v>X</v>
          </cell>
          <cell r="P117" t="str">
            <v>2025</v>
          </cell>
          <cell r="Q117">
            <v>450</v>
          </cell>
          <cell r="R117" t="str">
            <v/>
          </cell>
        </row>
        <row r="118">
          <cell r="A118" t="str">
            <v>4000790</v>
          </cell>
          <cell r="B118" t="str">
            <v>3300</v>
          </cell>
          <cell r="C118" t="str">
            <v>3001</v>
          </cell>
          <cell r="D118" t="str">
            <v>L</v>
          </cell>
          <cell r="E118" t="str">
            <v/>
          </cell>
          <cell r="F118" t="str">
            <v>2026</v>
          </cell>
          <cell r="G118" t="str">
            <v>3</v>
          </cell>
          <cell r="H118">
            <v>350</v>
          </cell>
          <cell r="I118">
            <v>0</v>
          </cell>
          <cell r="J118" t="str">
            <v>X</v>
          </cell>
          <cell r="K118" t="str">
            <v>X</v>
          </cell>
          <cell r="L118" t="str">
            <v>14:08:02</v>
          </cell>
          <cell r="M118">
            <v>46001</v>
          </cell>
          <cell r="N118">
            <v>44430</v>
          </cell>
          <cell r="O118" t="str">
            <v>X</v>
          </cell>
          <cell r="P118" t="str">
            <v>2025</v>
          </cell>
          <cell r="Q118">
            <v>350</v>
          </cell>
          <cell r="R118" t="str">
            <v/>
          </cell>
        </row>
        <row r="119">
          <cell r="A119" t="str">
            <v>4000791</v>
          </cell>
          <cell r="B119" t="str">
            <v>3300</v>
          </cell>
          <cell r="C119" t="str">
            <v>3001</v>
          </cell>
          <cell r="D119" t="str">
            <v>L</v>
          </cell>
          <cell r="E119" t="str">
            <v/>
          </cell>
          <cell r="F119" t="str">
            <v>2026</v>
          </cell>
          <cell r="G119" t="str">
            <v>2</v>
          </cell>
          <cell r="H119">
            <v>400</v>
          </cell>
          <cell r="I119">
            <v>0</v>
          </cell>
          <cell r="J119" t="str">
            <v>X</v>
          </cell>
          <cell r="K119" t="str">
            <v>X</v>
          </cell>
          <cell r="L119" t="str">
            <v>13:03:03</v>
          </cell>
          <cell r="M119">
            <v>45994</v>
          </cell>
          <cell r="N119">
            <v>44430</v>
          </cell>
          <cell r="O119" t="str">
            <v>X</v>
          </cell>
          <cell r="P119" t="str">
            <v>2025</v>
          </cell>
          <cell r="Q119">
            <v>400</v>
          </cell>
          <cell r="R119" t="str">
            <v/>
          </cell>
        </row>
        <row r="120">
          <cell r="A120" t="str">
            <v>4000793</v>
          </cell>
          <cell r="B120" t="str">
            <v>3300</v>
          </cell>
          <cell r="C120" t="str">
            <v>3001</v>
          </cell>
          <cell r="D120" t="str">
            <v>L</v>
          </cell>
          <cell r="E120" t="str">
            <v/>
          </cell>
          <cell r="F120" t="str">
            <v>2025</v>
          </cell>
          <cell r="G120" t="str">
            <v>4</v>
          </cell>
          <cell r="H120">
            <v>0</v>
          </cell>
          <cell r="I120">
            <v>0</v>
          </cell>
          <cell r="J120" t="str">
            <v>X</v>
          </cell>
          <cell r="K120" t="str">
            <v>X</v>
          </cell>
          <cell r="L120" t="str">
            <v>SLETTET</v>
          </cell>
          <cell r="M120">
            <v>45450</v>
          </cell>
          <cell r="N120">
            <v>44430</v>
          </cell>
          <cell r="O120" t="str">
            <v>X</v>
          </cell>
          <cell r="P120" t="str">
            <v>2024</v>
          </cell>
          <cell r="Q120">
            <v>0</v>
          </cell>
          <cell r="R120" t="str">
            <v>INAKTIV</v>
          </cell>
        </row>
        <row r="121">
          <cell r="A121" t="str">
            <v>4000794</v>
          </cell>
          <cell r="B121" t="str">
            <v>3300</v>
          </cell>
          <cell r="C121" t="str">
            <v>3001</v>
          </cell>
          <cell r="D121" t="str">
            <v>L</v>
          </cell>
          <cell r="E121" t="str">
            <v/>
          </cell>
          <cell r="F121" t="str">
            <v>2025</v>
          </cell>
          <cell r="G121" t="str">
            <v>1</v>
          </cell>
          <cell r="H121">
            <v>0</v>
          </cell>
          <cell r="I121">
            <v>0</v>
          </cell>
          <cell r="J121" t="str">
            <v>X</v>
          </cell>
          <cell r="K121" t="str">
            <v>X</v>
          </cell>
          <cell r="L121" t="str">
            <v>SLETTET</v>
          </cell>
          <cell r="M121">
            <v>45450</v>
          </cell>
          <cell r="N121">
            <v>44430</v>
          </cell>
          <cell r="O121" t="str">
            <v>X</v>
          </cell>
          <cell r="P121" t="str">
            <v>2024</v>
          </cell>
          <cell r="Q121">
            <v>0</v>
          </cell>
          <cell r="R121" t="str">
            <v>INAKTIV</v>
          </cell>
        </row>
        <row r="122">
          <cell r="A122" t="str">
            <v>4000795</v>
          </cell>
          <cell r="B122" t="str">
            <v>3300</v>
          </cell>
          <cell r="C122" t="str">
            <v>3001</v>
          </cell>
          <cell r="D122" t="str">
            <v>L</v>
          </cell>
          <cell r="E122" t="str">
            <v>X</v>
          </cell>
          <cell r="F122" t="str">
            <v>2026</v>
          </cell>
          <cell r="G122" t="str">
            <v>2</v>
          </cell>
          <cell r="H122">
            <v>0</v>
          </cell>
          <cell r="I122">
            <v>0</v>
          </cell>
          <cell r="J122" t="str">
            <v>X</v>
          </cell>
          <cell r="K122" t="str">
            <v>X</v>
          </cell>
          <cell r="L122" t="str">
            <v>SLETTET</v>
          </cell>
          <cell r="M122">
            <v>45800</v>
          </cell>
          <cell r="N122">
            <v>44430</v>
          </cell>
          <cell r="O122" t="str">
            <v>X</v>
          </cell>
          <cell r="P122" t="str">
            <v>2025</v>
          </cell>
          <cell r="Q122">
            <v>0</v>
          </cell>
          <cell r="R122" t="str">
            <v>INAKTIV</v>
          </cell>
        </row>
        <row r="123">
          <cell r="A123" t="str">
            <v>4000800</v>
          </cell>
          <cell r="B123" t="str">
            <v>3300</v>
          </cell>
          <cell r="C123" t="str">
            <v>3001</v>
          </cell>
          <cell r="D123" t="str">
            <v>L</v>
          </cell>
          <cell r="E123" t="str">
            <v/>
          </cell>
          <cell r="F123" t="str">
            <v>2026</v>
          </cell>
          <cell r="G123" t="str">
            <v>3</v>
          </cell>
          <cell r="H123">
            <v>1100</v>
          </cell>
          <cell r="I123">
            <v>0</v>
          </cell>
          <cell r="J123" t="str">
            <v>X</v>
          </cell>
          <cell r="K123" t="str">
            <v>X</v>
          </cell>
          <cell r="L123" t="str">
            <v>10:12:02</v>
          </cell>
          <cell r="M123">
            <v>45987</v>
          </cell>
          <cell r="N123">
            <v>44430</v>
          </cell>
          <cell r="O123" t="str">
            <v>X</v>
          </cell>
          <cell r="P123" t="str">
            <v>2025</v>
          </cell>
          <cell r="Q123">
            <v>1100</v>
          </cell>
          <cell r="R123" t="str">
            <v/>
          </cell>
        </row>
        <row r="124">
          <cell r="A124" t="str">
            <v>4000801</v>
          </cell>
          <cell r="B124" t="str">
            <v>3300</v>
          </cell>
          <cell r="C124" t="str">
            <v>3001</v>
          </cell>
          <cell r="D124" t="str">
            <v>L</v>
          </cell>
          <cell r="E124" t="str">
            <v/>
          </cell>
          <cell r="F124" t="str">
            <v>2026</v>
          </cell>
          <cell r="G124" t="str">
            <v>3</v>
          </cell>
          <cell r="H124">
            <v>2000</v>
          </cell>
          <cell r="I124">
            <v>0</v>
          </cell>
          <cell r="J124" t="str">
            <v>X</v>
          </cell>
          <cell r="K124" t="str">
            <v>X</v>
          </cell>
          <cell r="L124" t="str">
            <v>10:12:03</v>
          </cell>
          <cell r="M124">
            <v>45987</v>
          </cell>
          <cell r="N124">
            <v>44430</v>
          </cell>
          <cell r="O124" t="str">
            <v>X</v>
          </cell>
          <cell r="P124" t="str">
            <v>2025</v>
          </cell>
          <cell r="Q124">
            <v>2000</v>
          </cell>
          <cell r="R124" t="str">
            <v/>
          </cell>
        </row>
        <row r="125">
          <cell r="A125" t="str">
            <v>4000802</v>
          </cell>
          <cell r="B125" t="str">
            <v>3300</v>
          </cell>
          <cell r="C125" t="str">
            <v>3001</v>
          </cell>
          <cell r="D125" t="str">
            <v>L</v>
          </cell>
          <cell r="E125" t="str">
            <v/>
          </cell>
          <cell r="F125" t="str">
            <v>2026</v>
          </cell>
          <cell r="G125" t="str">
            <v>3</v>
          </cell>
          <cell r="H125">
            <v>825</v>
          </cell>
          <cell r="I125">
            <v>0</v>
          </cell>
          <cell r="J125" t="str">
            <v>X</v>
          </cell>
          <cell r="K125" t="str">
            <v>X</v>
          </cell>
          <cell r="L125" t="str">
            <v>10:10:03</v>
          </cell>
          <cell r="M125">
            <v>45987</v>
          </cell>
          <cell r="N125">
            <v>44430</v>
          </cell>
          <cell r="O125" t="str">
            <v>X</v>
          </cell>
          <cell r="P125" t="str">
            <v>2025</v>
          </cell>
          <cell r="Q125">
            <v>825</v>
          </cell>
          <cell r="R125" t="str">
            <v/>
          </cell>
        </row>
        <row r="126">
          <cell r="A126" t="str">
            <v>4000803</v>
          </cell>
          <cell r="B126" t="str">
            <v>3300</v>
          </cell>
          <cell r="C126" t="str">
            <v>3001</v>
          </cell>
          <cell r="D126" t="str">
            <v>L</v>
          </cell>
          <cell r="E126" t="str">
            <v/>
          </cell>
          <cell r="F126" t="str">
            <v>2026</v>
          </cell>
          <cell r="G126" t="str">
            <v>3</v>
          </cell>
          <cell r="H126">
            <v>900</v>
          </cell>
          <cell r="I126">
            <v>0</v>
          </cell>
          <cell r="J126" t="str">
            <v>X</v>
          </cell>
          <cell r="K126" t="str">
            <v>X</v>
          </cell>
          <cell r="L126" t="str">
            <v>10:10:01</v>
          </cell>
          <cell r="M126">
            <v>45987</v>
          </cell>
          <cell r="N126">
            <v>44430</v>
          </cell>
          <cell r="O126" t="str">
            <v>X</v>
          </cell>
          <cell r="P126" t="str">
            <v>2025</v>
          </cell>
          <cell r="Q126">
            <v>900</v>
          </cell>
          <cell r="R126" t="str">
            <v/>
          </cell>
        </row>
        <row r="127">
          <cell r="A127" t="str">
            <v>4000804</v>
          </cell>
          <cell r="B127" t="str">
            <v>3300</v>
          </cell>
          <cell r="C127" t="str">
            <v>3001</v>
          </cell>
          <cell r="D127" t="str">
            <v>L</v>
          </cell>
          <cell r="E127" t="str">
            <v/>
          </cell>
          <cell r="F127" t="str">
            <v>2026</v>
          </cell>
          <cell r="G127" t="str">
            <v>3</v>
          </cell>
          <cell r="H127">
            <v>1616</v>
          </cell>
          <cell r="I127">
            <v>0</v>
          </cell>
          <cell r="J127" t="str">
            <v>X</v>
          </cell>
          <cell r="K127" t="str">
            <v>X</v>
          </cell>
          <cell r="L127" t="str">
            <v>09:02:01*</v>
          </cell>
          <cell r="M127">
            <v>45980</v>
          </cell>
          <cell r="N127">
            <v>44430</v>
          </cell>
          <cell r="O127" t="str">
            <v>X</v>
          </cell>
          <cell r="P127" t="str">
            <v>2025</v>
          </cell>
          <cell r="Q127">
            <v>1616</v>
          </cell>
          <cell r="R127" t="str">
            <v/>
          </cell>
        </row>
        <row r="128">
          <cell r="A128" t="str">
            <v>4000805</v>
          </cell>
          <cell r="B128" t="str">
            <v>3300</v>
          </cell>
          <cell r="C128" t="str">
            <v>3001</v>
          </cell>
          <cell r="D128" t="str">
            <v>L</v>
          </cell>
          <cell r="E128" t="str">
            <v/>
          </cell>
          <cell r="F128" t="str">
            <v>2026</v>
          </cell>
          <cell r="G128" t="str">
            <v>3</v>
          </cell>
          <cell r="H128">
            <v>775</v>
          </cell>
          <cell r="I128">
            <v>0</v>
          </cell>
          <cell r="J128" t="str">
            <v>X</v>
          </cell>
          <cell r="K128" t="str">
            <v>X</v>
          </cell>
          <cell r="L128" t="str">
            <v>10:12:01</v>
          </cell>
          <cell r="M128">
            <v>45987</v>
          </cell>
          <cell r="N128">
            <v>44430</v>
          </cell>
          <cell r="O128" t="str">
            <v>X</v>
          </cell>
          <cell r="P128" t="str">
            <v>2025</v>
          </cell>
          <cell r="Q128">
            <v>775</v>
          </cell>
          <cell r="R128" t="str">
            <v/>
          </cell>
        </row>
        <row r="129">
          <cell r="A129" t="str">
            <v>4000830</v>
          </cell>
          <cell r="B129" t="str">
            <v>3300</v>
          </cell>
          <cell r="C129" t="str">
            <v>3001</v>
          </cell>
          <cell r="D129" t="str">
            <v>L</v>
          </cell>
          <cell r="E129" t="str">
            <v/>
          </cell>
          <cell r="F129" t="str">
            <v>2026</v>
          </cell>
          <cell r="G129" t="str">
            <v>3</v>
          </cell>
          <cell r="H129">
            <v>4800</v>
          </cell>
          <cell r="I129">
            <v>0</v>
          </cell>
          <cell r="J129" t="str">
            <v>X</v>
          </cell>
          <cell r="K129" t="str">
            <v>X</v>
          </cell>
          <cell r="L129" t="str">
            <v>14:12:01</v>
          </cell>
          <cell r="M129">
            <v>46001</v>
          </cell>
          <cell r="N129">
            <v>44430</v>
          </cell>
          <cell r="O129" t="str">
            <v>X</v>
          </cell>
          <cell r="P129" t="str">
            <v>2025</v>
          </cell>
          <cell r="Q129">
            <v>4800</v>
          </cell>
          <cell r="R129" t="str">
            <v/>
          </cell>
        </row>
        <row r="130">
          <cell r="A130" t="str">
            <v>4000835</v>
          </cell>
          <cell r="B130" t="str">
            <v>3300</v>
          </cell>
          <cell r="C130" t="str">
            <v>3001</v>
          </cell>
          <cell r="D130" t="str">
            <v>L</v>
          </cell>
          <cell r="E130" t="str">
            <v/>
          </cell>
          <cell r="F130" t="str">
            <v>2026</v>
          </cell>
          <cell r="G130" t="str">
            <v>3</v>
          </cell>
          <cell r="H130">
            <v>3260</v>
          </cell>
          <cell r="I130">
            <v>0</v>
          </cell>
          <cell r="J130" t="str">
            <v>X</v>
          </cell>
          <cell r="K130" t="str">
            <v>X</v>
          </cell>
          <cell r="L130" t="str">
            <v>03:06:03</v>
          </cell>
          <cell r="M130">
            <v>45798</v>
          </cell>
          <cell r="N130">
            <v>44430</v>
          </cell>
          <cell r="O130" t="str">
            <v>X</v>
          </cell>
          <cell r="P130" t="str">
            <v>2025</v>
          </cell>
          <cell r="Q130">
            <v>3260</v>
          </cell>
          <cell r="R130" t="str">
            <v/>
          </cell>
        </row>
        <row r="131">
          <cell r="A131" t="str">
            <v>4000893</v>
          </cell>
          <cell r="B131" t="str">
            <v>3300</v>
          </cell>
          <cell r="C131" t="str">
            <v>3001</v>
          </cell>
          <cell r="D131" t="str">
            <v>L</v>
          </cell>
          <cell r="E131" t="str">
            <v>X</v>
          </cell>
          <cell r="F131" t="str">
            <v>2021</v>
          </cell>
          <cell r="G131" t="str">
            <v>10</v>
          </cell>
          <cell r="H131">
            <v>0</v>
          </cell>
          <cell r="I131">
            <v>0</v>
          </cell>
          <cell r="J131" t="str">
            <v>X</v>
          </cell>
          <cell r="K131" t="str">
            <v/>
          </cell>
          <cell r="L131" t="str">
            <v>SLETTET</v>
          </cell>
          <cell r="M131">
            <v>44568</v>
          </cell>
          <cell r="N131">
            <v>44430</v>
          </cell>
          <cell r="O131" t="str">
            <v>X</v>
          </cell>
          <cell r="P131" t="str">
            <v>2022</v>
          </cell>
          <cell r="Q131">
            <v>0</v>
          </cell>
          <cell r="R131" t="str">
            <v>INAKTIV</v>
          </cell>
        </row>
        <row r="132">
          <cell r="A132" t="str">
            <v>4000894</v>
          </cell>
          <cell r="B132" t="str">
            <v>3300</v>
          </cell>
          <cell r="C132" t="str">
            <v>3001</v>
          </cell>
          <cell r="D132" t="str">
            <v>L</v>
          </cell>
          <cell r="E132" t="str">
            <v>X</v>
          </cell>
          <cell r="F132" t="str">
            <v>2021</v>
          </cell>
          <cell r="G132" t="str">
            <v>11</v>
          </cell>
          <cell r="H132">
            <v>0</v>
          </cell>
          <cell r="I132">
            <v>0</v>
          </cell>
          <cell r="J132" t="str">
            <v>X</v>
          </cell>
          <cell r="K132" t="str">
            <v/>
          </cell>
          <cell r="L132" t="str">
            <v>SLETTET</v>
          </cell>
          <cell r="M132">
            <v>44568</v>
          </cell>
          <cell r="N132">
            <v>44430</v>
          </cell>
          <cell r="O132" t="str">
            <v>X</v>
          </cell>
          <cell r="P132" t="str">
            <v>2022</v>
          </cell>
          <cell r="Q132">
            <v>0</v>
          </cell>
          <cell r="R132" t="str">
            <v>INAKTIV</v>
          </cell>
        </row>
        <row r="133">
          <cell r="A133" t="str">
            <v>4000895</v>
          </cell>
          <cell r="B133" t="str">
            <v>3300</v>
          </cell>
          <cell r="C133" t="str">
            <v>3001</v>
          </cell>
          <cell r="D133" t="str">
            <v>L</v>
          </cell>
          <cell r="E133" t="str">
            <v>X</v>
          </cell>
          <cell r="F133" t="str">
            <v>2022</v>
          </cell>
          <cell r="G133" t="str">
            <v>4</v>
          </cell>
          <cell r="H133">
            <v>0</v>
          </cell>
          <cell r="I133">
            <v>0</v>
          </cell>
          <cell r="J133" t="str">
            <v>X</v>
          </cell>
          <cell r="K133" t="str">
            <v/>
          </cell>
          <cell r="L133" t="str">
            <v>SLETTET</v>
          </cell>
          <cell r="M133">
            <v>45448</v>
          </cell>
          <cell r="N133">
            <v>44430</v>
          </cell>
          <cell r="O133" t="str">
            <v>X</v>
          </cell>
          <cell r="P133" t="str">
            <v>2024</v>
          </cell>
          <cell r="Q133">
            <v>0</v>
          </cell>
          <cell r="R133" t="str">
            <v>INAKTIV</v>
          </cell>
        </row>
        <row r="134">
          <cell r="A134" t="str">
            <v>4000896</v>
          </cell>
          <cell r="B134" t="str">
            <v>3300</v>
          </cell>
          <cell r="C134" t="str">
            <v>3001</v>
          </cell>
          <cell r="D134" t="str">
            <v>L</v>
          </cell>
          <cell r="E134" t="str">
            <v>X</v>
          </cell>
          <cell r="F134" t="str">
            <v>2021</v>
          </cell>
          <cell r="G134" t="str">
            <v>11</v>
          </cell>
          <cell r="H134">
            <v>0</v>
          </cell>
          <cell r="I134">
            <v>0</v>
          </cell>
          <cell r="J134" t="str">
            <v>X</v>
          </cell>
          <cell r="K134" t="str">
            <v/>
          </cell>
          <cell r="L134" t="str">
            <v>SLETTET</v>
          </cell>
          <cell r="M134">
            <v>45448</v>
          </cell>
          <cell r="N134">
            <v>44430</v>
          </cell>
          <cell r="O134" t="str">
            <v>X</v>
          </cell>
          <cell r="P134" t="str">
            <v>2024</v>
          </cell>
          <cell r="Q134">
            <v>0</v>
          </cell>
          <cell r="R134" t="str">
            <v>INAKTIV</v>
          </cell>
        </row>
        <row r="135">
          <cell r="A135" t="str">
            <v>4000897</v>
          </cell>
          <cell r="B135" t="str">
            <v>3300</v>
          </cell>
          <cell r="C135" t="str">
            <v>3001</v>
          </cell>
          <cell r="D135" t="str">
            <v>L</v>
          </cell>
          <cell r="E135" t="str">
            <v/>
          </cell>
          <cell r="F135" t="str">
            <v>2022</v>
          </cell>
          <cell r="G135" t="str">
            <v>1</v>
          </cell>
          <cell r="H135">
            <v>0</v>
          </cell>
          <cell r="I135">
            <v>0</v>
          </cell>
          <cell r="J135" t="str">
            <v>X</v>
          </cell>
          <cell r="K135" t="str">
            <v/>
          </cell>
          <cell r="L135" t="str">
            <v>SLETTET</v>
          </cell>
          <cell r="M135">
            <v>45448</v>
          </cell>
          <cell r="N135">
            <v>44430</v>
          </cell>
          <cell r="O135" t="str">
            <v>X</v>
          </cell>
          <cell r="P135" t="str">
            <v>2024</v>
          </cell>
          <cell r="Q135">
            <v>0</v>
          </cell>
          <cell r="R135" t="str">
            <v>INAKTIV</v>
          </cell>
        </row>
        <row r="136">
          <cell r="A136" t="str">
            <v>4000966</v>
          </cell>
          <cell r="B136" t="str">
            <v>3300</v>
          </cell>
          <cell r="C136" t="str">
            <v>3001</v>
          </cell>
          <cell r="D136" t="str">
            <v>DL</v>
          </cell>
          <cell r="E136" t="str">
            <v/>
          </cell>
          <cell r="F136" t="str">
            <v>2026</v>
          </cell>
          <cell r="G136" t="str">
            <v>2</v>
          </cell>
          <cell r="H136">
            <v>440</v>
          </cell>
          <cell r="I136">
            <v>0</v>
          </cell>
          <cell r="J136" t="str">
            <v>X</v>
          </cell>
          <cell r="K136" t="str">
            <v>X</v>
          </cell>
          <cell r="L136" t="str">
            <v>07:03:01</v>
          </cell>
          <cell r="M136">
            <v>45824</v>
          </cell>
          <cell r="N136">
            <v>44908</v>
          </cell>
          <cell r="O136" t="str">
            <v>X</v>
          </cell>
          <cell r="P136" t="str">
            <v>2025</v>
          </cell>
          <cell r="Q136">
            <v>440</v>
          </cell>
          <cell r="R136" t="str">
            <v/>
          </cell>
        </row>
        <row r="137">
          <cell r="A137" t="str">
            <v>4000969</v>
          </cell>
          <cell r="B137" t="str">
            <v>3300</v>
          </cell>
          <cell r="C137" t="str">
            <v>3001</v>
          </cell>
          <cell r="D137" t="str">
            <v>L</v>
          </cell>
          <cell r="E137" t="str">
            <v/>
          </cell>
          <cell r="F137" t="str">
            <v>2026</v>
          </cell>
          <cell r="G137" t="str">
            <v>2</v>
          </cell>
          <cell r="H137">
            <v>487</v>
          </cell>
          <cell r="I137">
            <v>0</v>
          </cell>
          <cell r="J137" t="str">
            <v>X</v>
          </cell>
          <cell r="K137" t="str">
            <v>X</v>
          </cell>
          <cell r="L137" t="str">
            <v>04:03:01</v>
          </cell>
          <cell r="M137">
            <v>45798</v>
          </cell>
          <cell r="N137">
            <v>44430</v>
          </cell>
          <cell r="O137" t="str">
            <v>X</v>
          </cell>
          <cell r="P137" t="str">
            <v>2025</v>
          </cell>
          <cell r="Q137">
            <v>487</v>
          </cell>
          <cell r="R137" t="str">
            <v/>
          </cell>
        </row>
        <row r="138">
          <cell r="A138" t="str">
            <v>4000972</v>
          </cell>
          <cell r="B138" t="str">
            <v>3300</v>
          </cell>
          <cell r="C138" t="str">
            <v>3001</v>
          </cell>
          <cell r="D138" t="str">
            <v>L</v>
          </cell>
          <cell r="E138" t="str">
            <v/>
          </cell>
          <cell r="F138" t="str">
            <v>2026</v>
          </cell>
          <cell r="G138" t="str">
            <v>2</v>
          </cell>
          <cell r="H138">
            <v>230</v>
          </cell>
          <cell r="I138">
            <v>0</v>
          </cell>
          <cell r="J138" t="str">
            <v>X</v>
          </cell>
          <cell r="K138" t="str">
            <v>X</v>
          </cell>
          <cell r="L138" t="str">
            <v>15:03:04</v>
          </cell>
          <cell r="M138">
            <v>46001</v>
          </cell>
          <cell r="N138">
            <v>44430</v>
          </cell>
          <cell r="O138" t="str">
            <v>X</v>
          </cell>
          <cell r="P138" t="str">
            <v>2025</v>
          </cell>
          <cell r="Q138">
            <v>230</v>
          </cell>
          <cell r="R138" t="str">
            <v/>
          </cell>
        </row>
        <row r="139">
          <cell r="A139" t="str">
            <v>4000973</v>
          </cell>
          <cell r="B139" t="str">
            <v>3300</v>
          </cell>
          <cell r="C139" t="str">
            <v>3001</v>
          </cell>
          <cell r="D139" t="str">
            <v>L</v>
          </cell>
          <cell r="E139" t="str">
            <v/>
          </cell>
          <cell r="F139" t="str">
            <v>2026</v>
          </cell>
          <cell r="G139" t="str">
            <v>2</v>
          </cell>
          <cell r="H139">
            <v>130</v>
          </cell>
          <cell r="I139">
            <v>0</v>
          </cell>
          <cell r="J139" t="str">
            <v>X</v>
          </cell>
          <cell r="K139" t="str">
            <v>X</v>
          </cell>
          <cell r="L139" t="str">
            <v>15:01:04</v>
          </cell>
          <cell r="M139">
            <v>46001</v>
          </cell>
          <cell r="N139">
            <v>44430</v>
          </cell>
          <cell r="O139" t="str">
            <v>X</v>
          </cell>
          <cell r="P139" t="str">
            <v>2025</v>
          </cell>
          <cell r="Q139">
            <v>130</v>
          </cell>
          <cell r="R139" t="str">
            <v/>
          </cell>
        </row>
        <row r="140">
          <cell r="A140" t="str">
            <v>4000974</v>
          </cell>
          <cell r="B140" t="str">
            <v>3300</v>
          </cell>
          <cell r="C140" t="str">
            <v>3001</v>
          </cell>
          <cell r="D140" t="str">
            <v>L</v>
          </cell>
          <cell r="E140" t="str">
            <v/>
          </cell>
          <cell r="F140" t="str">
            <v>2026</v>
          </cell>
          <cell r="G140" t="str">
            <v>2</v>
          </cell>
          <cell r="H140">
            <v>234</v>
          </cell>
          <cell r="I140">
            <v>0</v>
          </cell>
          <cell r="J140" t="str">
            <v>X</v>
          </cell>
          <cell r="K140" t="str">
            <v>X</v>
          </cell>
          <cell r="L140" t="str">
            <v>15:03:05</v>
          </cell>
          <cell r="M140">
            <v>46001</v>
          </cell>
          <cell r="N140">
            <v>44430</v>
          </cell>
          <cell r="O140" t="str">
            <v>X</v>
          </cell>
          <cell r="P140" t="str">
            <v>2025</v>
          </cell>
          <cell r="Q140">
            <v>234</v>
          </cell>
          <cell r="R140" t="str">
            <v/>
          </cell>
        </row>
        <row r="141">
          <cell r="A141" t="str">
            <v>4000975</v>
          </cell>
          <cell r="B141" t="str">
            <v>3300</v>
          </cell>
          <cell r="C141" t="str">
            <v>3001</v>
          </cell>
          <cell r="D141" t="str">
            <v>L</v>
          </cell>
          <cell r="E141" t="str">
            <v/>
          </cell>
          <cell r="F141" t="str">
            <v>2026</v>
          </cell>
          <cell r="G141" t="str">
            <v>2</v>
          </cell>
          <cell r="H141">
            <v>376</v>
          </cell>
          <cell r="I141">
            <v>126</v>
          </cell>
          <cell r="J141" t="str">
            <v>X</v>
          </cell>
          <cell r="K141" t="str">
            <v>X</v>
          </cell>
          <cell r="L141" t="str">
            <v>15:03:06</v>
          </cell>
          <cell r="M141">
            <v>46001</v>
          </cell>
          <cell r="N141">
            <v>44430</v>
          </cell>
          <cell r="O141" t="str">
            <v>X</v>
          </cell>
          <cell r="P141" t="str">
            <v>2025</v>
          </cell>
          <cell r="Q141">
            <v>502</v>
          </cell>
          <cell r="R141" t="str">
            <v/>
          </cell>
        </row>
        <row r="142">
          <cell r="A142" t="str">
            <v>4000976</v>
          </cell>
          <cell r="B142" t="str">
            <v>3300</v>
          </cell>
          <cell r="C142" t="str">
            <v>3001</v>
          </cell>
          <cell r="D142" t="str">
            <v>L</v>
          </cell>
          <cell r="E142" t="str">
            <v/>
          </cell>
          <cell r="F142" t="str">
            <v>2026</v>
          </cell>
          <cell r="G142" t="str">
            <v>2</v>
          </cell>
          <cell r="H142">
            <v>80</v>
          </cell>
          <cell r="I142">
            <v>133</v>
          </cell>
          <cell r="J142" t="str">
            <v>X</v>
          </cell>
          <cell r="K142" t="str">
            <v>X</v>
          </cell>
          <cell r="L142" t="str">
            <v>15:02:01</v>
          </cell>
          <cell r="M142">
            <v>46001</v>
          </cell>
          <cell r="N142">
            <v>44430</v>
          </cell>
          <cell r="O142" t="str">
            <v>X</v>
          </cell>
          <cell r="P142" t="str">
            <v>2025</v>
          </cell>
          <cell r="Q142">
            <v>213</v>
          </cell>
          <cell r="R142" t="str">
            <v/>
          </cell>
        </row>
        <row r="143">
          <cell r="A143" t="str">
            <v>4000977</v>
          </cell>
          <cell r="B143" t="str">
            <v>3300</v>
          </cell>
          <cell r="C143" t="str">
            <v>3001</v>
          </cell>
          <cell r="D143" t="str">
            <v>L</v>
          </cell>
          <cell r="E143" t="str">
            <v/>
          </cell>
          <cell r="F143" t="str">
            <v>2026</v>
          </cell>
          <cell r="G143" t="str">
            <v>2</v>
          </cell>
          <cell r="H143">
            <v>0</v>
          </cell>
          <cell r="I143">
            <v>0</v>
          </cell>
          <cell r="J143" t="str">
            <v>X</v>
          </cell>
          <cell r="K143" t="str">
            <v>X</v>
          </cell>
          <cell r="L143" t="str">
            <v>15:01:01</v>
          </cell>
          <cell r="M143">
            <v>46001</v>
          </cell>
          <cell r="N143">
            <v>44430</v>
          </cell>
          <cell r="O143" t="str">
            <v>X</v>
          </cell>
          <cell r="P143" t="str">
            <v>2025</v>
          </cell>
          <cell r="Q143">
            <v>0</v>
          </cell>
          <cell r="R143" t="str">
            <v>INAKTIV</v>
          </cell>
        </row>
        <row r="144">
          <cell r="A144" t="str">
            <v>4000978</v>
          </cell>
          <cell r="B144" t="str">
            <v>3300</v>
          </cell>
          <cell r="C144" t="str">
            <v>3001</v>
          </cell>
          <cell r="D144" t="str">
            <v>L</v>
          </cell>
          <cell r="E144" t="str">
            <v/>
          </cell>
          <cell r="F144" t="str">
            <v>2026</v>
          </cell>
          <cell r="G144" t="str">
            <v>3</v>
          </cell>
          <cell r="H144">
            <v>189</v>
          </cell>
          <cell r="I144">
            <v>0</v>
          </cell>
          <cell r="J144" t="str">
            <v>X</v>
          </cell>
          <cell r="K144" t="str">
            <v>X</v>
          </cell>
          <cell r="L144" t="str">
            <v>13:13:03</v>
          </cell>
          <cell r="M144">
            <v>46001</v>
          </cell>
          <cell r="N144">
            <v>44430</v>
          </cell>
          <cell r="O144" t="str">
            <v>X</v>
          </cell>
          <cell r="P144" t="str">
            <v>2025</v>
          </cell>
          <cell r="Q144">
            <v>189</v>
          </cell>
          <cell r="R144" t="str">
            <v/>
          </cell>
        </row>
        <row r="145">
          <cell r="A145" t="str">
            <v>4000979</v>
          </cell>
          <cell r="B145" t="str">
            <v>3300</v>
          </cell>
          <cell r="C145" t="str">
            <v>3001</v>
          </cell>
          <cell r="D145" t="str">
            <v>L</v>
          </cell>
          <cell r="E145" t="str">
            <v/>
          </cell>
          <cell r="F145" t="str">
            <v>2026</v>
          </cell>
          <cell r="G145" t="str">
            <v>2</v>
          </cell>
          <cell r="H145">
            <v>234</v>
          </cell>
          <cell r="I145">
            <v>0</v>
          </cell>
          <cell r="J145" t="str">
            <v>X</v>
          </cell>
          <cell r="K145" t="str">
            <v>X</v>
          </cell>
          <cell r="L145" t="str">
            <v>02:09:02</v>
          </cell>
          <cell r="M145">
            <v>45797</v>
          </cell>
          <cell r="N145">
            <v>44430</v>
          </cell>
          <cell r="O145" t="str">
            <v>X</v>
          </cell>
          <cell r="P145" t="str">
            <v>2025</v>
          </cell>
          <cell r="Q145">
            <v>234</v>
          </cell>
          <cell r="R145" t="str">
            <v/>
          </cell>
        </row>
        <row r="146">
          <cell r="A146" t="str">
            <v>4000981</v>
          </cell>
          <cell r="B146" t="str">
            <v>3300</v>
          </cell>
          <cell r="C146" t="str">
            <v>3001</v>
          </cell>
          <cell r="D146" t="str">
            <v>L</v>
          </cell>
          <cell r="E146" t="str">
            <v/>
          </cell>
          <cell r="F146" t="str">
            <v>2021</v>
          </cell>
          <cell r="G146" t="str">
            <v>10</v>
          </cell>
          <cell r="H146">
            <v>0</v>
          </cell>
          <cell r="I146">
            <v>0</v>
          </cell>
          <cell r="J146" t="str">
            <v/>
          </cell>
          <cell r="K146" t="str">
            <v>X</v>
          </cell>
          <cell r="L146" t="str">
            <v>SLETTET</v>
          </cell>
          <cell r="M146">
            <v>44568</v>
          </cell>
          <cell r="N146">
            <v>44430</v>
          </cell>
          <cell r="O146" t="str">
            <v>X</v>
          </cell>
          <cell r="P146" t="str">
            <v>2023</v>
          </cell>
          <cell r="Q146">
            <v>0</v>
          </cell>
          <cell r="R146" t="str">
            <v>INAKTIV</v>
          </cell>
        </row>
        <row r="147">
          <cell r="A147" t="str">
            <v>4000988</v>
          </cell>
          <cell r="B147" t="str">
            <v>3300</v>
          </cell>
          <cell r="C147" t="str">
            <v>3001</v>
          </cell>
          <cell r="D147" t="str">
            <v>L</v>
          </cell>
          <cell r="E147" t="str">
            <v/>
          </cell>
          <cell r="F147" t="str">
            <v>2026</v>
          </cell>
          <cell r="G147" t="str">
            <v>3</v>
          </cell>
          <cell r="H147">
            <v>439</v>
          </cell>
          <cell r="I147">
            <v>0</v>
          </cell>
          <cell r="J147" t="str">
            <v>X</v>
          </cell>
          <cell r="K147" t="str">
            <v>X</v>
          </cell>
          <cell r="L147" t="str">
            <v>03:01:01</v>
          </cell>
          <cell r="M147">
            <v>45798</v>
          </cell>
          <cell r="N147">
            <v>44430</v>
          </cell>
          <cell r="O147" t="str">
            <v>X</v>
          </cell>
          <cell r="P147" t="str">
            <v>2025</v>
          </cell>
          <cell r="Q147">
            <v>439</v>
          </cell>
          <cell r="R147" t="str">
            <v/>
          </cell>
        </row>
        <row r="148">
          <cell r="A148" t="str">
            <v>4000989</v>
          </cell>
          <cell r="B148" t="str">
            <v>3300</v>
          </cell>
          <cell r="C148" t="str">
            <v>3001</v>
          </cell>
          <cell r="D148" t="str">
            <v>L</v>
          </cell>
          <cell r="E148" t="str">
            <v/>
          </cell>
          <cell r="F148" t="str">
            <v>2026</v>
          </cell>
          <cell r="G148" t="str">
            <v>2</v>
          </cell>
          <cell r="H148">
            <v>346</v>
          </cell>
          <cell r="I148">
            <v>0</v>
          </cell>
          <cell r="J148" t="str">
            <v>X</v>
          </cell>
          <cell r="K148" t="str">
            <v>X</v>
          </cell>
          <cell r="L148" t="str">
            <v>04:07:01</v>
          </cell>
          <cell r="M148">
            <v>45799</v>
          </cell>
          <cell r="N148">
            <v>44430</v>
          </cell>
          <cell r="O148" t="str">
            <v>X</v>
          </cell>
          <cell r="P148" t="str">
            <v>2025</v>
          </cell>
          <cell r="Q148">
            <v>346</v>
          </cell>
          <cell r="R148" t="str">
            <v/>
          </cell>
        </row>
        <row r="149">
          <cell r="A149" t="str">
            <v>4001115</v>
          </cell>
          <cell r="B149" t="str">
            <v>3300</v>
          </cell>
          <cell r="C149" t="str">
            <v>3001</v>
          </cell>
          <cell r="D149" t="str">
            <v>L</v>
          </cell>
          <cell r="E149" t="str">
            <v/>
          </cell>
          <cell r="F149" t="str">
            <v>2026</v>
          </cell>
          <cell r="G149" t="str">
            <v>2</v>
          </cell>
          <cell r="H149">
            <v>1450</v>
          </cell>
          <cell r="I149">
            <v>0</v>
          </cell>
          <cell r="J149" t="str">
            <v>X</v>
          </cell>
          <cell r="K149" t="str">
            <v/>
          </cell>
          <cell r="L149" t="str">
            <v>17:02:02</v>
          </cell>
          <cell r="M149">
            <v>46029</v>
          </cell>
          <cell r="N149">
            <v>44430</v>
          </cell>
          <cell r="O149" t="str">
            <v>X</v>
          </cell>
          <cell r="P149" t="str">
            <v>2026</v>
          </cell>
          <cell r="Q149">
            <v>1450</v>
          </cell>
          <cell r="R149" t="str">
            <v/>
          </cell>
        </row>
        <row r="150">
          <cell r="A150" t="str">
            <v>4001116</v>
          </cell>
          <cell r="B150" t="str">
            <v>3300</v>
          </cell>
          <cell r="C150" t="str">
            <v>3001</v>
          </cell>
          <cell r="D150" t="str">
            <v>L</v>
          </cell>
          <cell r="E150" t="str">
            <v/>
          </cell>
          <cell r="F150" t="str">
            <v>2026</v>
          </cell>
          <cell r="G150" t="str">
            <v>3</v>
          </cell>
          <cell r="H150">
            <v>201</v>
          </cell>
          <cell r="I150">
            <v>0</v>
          </cell>
          <cell r="J150" t="str">
            <v>X</v>
          </cell>
          <cell r="K150" t="str">
            <v>X</v>
          </cell>
          <cell r="L150" t="str">
            <v>04:05:02</v>
          </cell>
          <cell r="M150">
            <v>45798</v>
          </cell>
          <cell r="N150">
            <v>44430</v>
          </cell>
          <cell r="O150" t="str">
            <v>X</v>
          </cell>
          <cell r="P150" t="str">
            <v>2025</v>
          </cell>
          <cell r="Q150">
            <v>201</v>
          </cell>
          <cell r="R150" t="str">
            <v/>
          </cell>
        </row>
        <row r="151">
          <cell r="A151" t="str">
            <v>4001117</v>
          </cell>
          <cell r="B151" t="str">
            <v>3300</v>
          </cell>
          <cell r="C151" t="str">
            <v>3001</v>
          </cell>
          <cell r="D151" t="str">
            <v>L</v>
          </cell>
          <cell r="E151" t="str">
            <v/>
          </cell>
          <cell r="F151" t="str">
            <v>2026</v>
          </cell>
          <cell r="G151" t="str">
            <v>2</v>
          </cell>
          <cell r="H151">
            <v>63</v>
          </cell>
          <cell r="I151">
            <v>0</v>
          </cell>
          <cell r="J151" t="str">
            <v>X</v>
          </cell>
          <cell r="K151" t="str">
            <v>X</v>
          </cell>
          <cell r="L151" t="str">
            <v>04:06:01</v>
          </cell>
          <cell r="M151">
            <v>45799</v>
          </cell>
          <cell r="N151">
            <v>44430</v>
          </cell>
          <cell r="O151" t="str">
            <v>X</v>
          </cell>
          <cell r="P151" t="str">
            <v>2025</v>
          </cell>
          <cell r="Q151">
            <v>63</v>
          </cell>
          <cell r="R151" t="str">
            <v/>
          </cell>
        </row>
        <row r="152">
          <cell r="A152" t="str">
            <v>4001118</v>
          </cell>
          <cell r="B152" t="str">
            <v>3300</v>
          </cell>
          <cell r="C152" t="str">
            <v>3001</v>
          </cell>
          <cell r="D152" t="str">
            <v>L</v>
          </cell>
          <cell r="E152" t="str">
            <v/>
          </cell>
          <cell r="F152" t="str">
            <v>2026</v>
          </cell>
          <cell r="G152" t="str">
            <v>3</v>
          </cell>
          <cell r="H152">
            <v>126</v>
          </cell>
          <cell r="I152">
            <v>0</v>
          </cell>
          <cell r="J152" t="str">
            <v>X</v>
          </cell>
          <cell r="K152" t="str">
            <v>X</v>
          </cell>
          <cell r="L152" t="str">
            <v>04:05:01</v>
          </cell>
          <cell r="M152">
            <v>45798</v>
          </cell>
          <cell r="N152">
            <v>44430</v>
          </cell>
          <cell r="O152" t="str">
            <v>X</v>
          </cell>
          <cell r="P152" t="str">
            <v>2025</v>
          </cell>
          <cell r="Q152">
            <v>126</v>
          </cell>
          <cell r="R152" t="str">
            <v/>
          </cell>
        </row>
        <row r="153">
          <cell r="A153" t="str">
            <v>4001120</v>
          </cell>
          <cell r="B153" t="str">
            <v>3300</v>
          </cell>
          <cell r="C153" t="str">
            <v>3001</v>
          </cell>
          <cell r="D153" t="str">
            <v>DL</v>
          </cell>
          <cell r="E153" t="str">
            <v/>
          </cell>
          <cell r="F153" t="str">
            <v>2026</v>
          </cell>
          <cell r="G153" t="str">
            <v>2</v>
          </cell>
          <cell r="H153">
            <v>130</v>
          </cell>
          <cell r="I153">
            <v>0</v>
          </cell>
          <cell r="J153" t="str">
            <v>X</v>
          </cell>
          <cell r="K153" t="str">
            <v>X</v>
          </cell>
          <cell r="L153" t="str">
            <v>04:08:03</v>
          </cell>
          <cell r="M153">
            <v>45799</v>
          </cell>
          <cell r="N153">
            <v>44594</v>
          </cell>
          <cell r="O153" t="str">
            <v>X</v>
          </cell>
          <cell r="P153" t="str">
            <v>2025</v>
          </cell>
          <cell r="Q153">
            <v>130</v>
          </cell>
          <cell r="R153" t="str">
            <v/>
          </cell>
        </row>
        <row r="154">
          <cell r="A154" t="str">
            <v>4001122</v>
          </cell>
          <cell r="B154" t="str">
            <v>3300</v>
          </cell>
          <cell r="C154" t="str">
            <v>3001</v>
          </cell>
          <cell r="D154" t="str">
            <v>L</v>
          </cell>
          <cell r="E154" t="str">
            <v/>
          </cell>
          <cell r="F154" t="str">
            <v>2026</v>
          </cell>
          <cell r="G154" t="str">
            <v>3</v>
          </cell>
          <cell r="H154">
            <v>600</v>
          </cell>
          <cell r="I154">
            <v>0</v>
          </cell>
          <cell r="J154" t="str">
            <v>X</v>
          </cell>
          <cell r="K154" t="str">
            <v>X</v>
          </cell>
          <cell r="L154" t="str">
            <v>14:14:01</v>
          </cell>
          <cell r="M154">
            <v>46001</v>
          </cell>
          <cell r="N154">
            <v>44430</v>
          </cell>
          <cell r="O154" t="str">
            <v>X</v>
          </cell>
          <cell r="P154" t="str">
            <v>2025</v>
          </cell>
          <cell r="Q154">
            <v>600</v>
          </cell>
          <cell r="R154" t="str">
            <v/>
          </cell>
        </row>
        <row r="155">
          <cell r="A155" t="str">
            <v>4001123</v>
          </cell>
          <cell r="B155" t="str">
            <v>3300</v>
          </cell>
          <cell r="C155" t="str">
            <v>3001</v>
          </cell>
          <cell r="D155" t="str">
            <v>L</v>
          </cell>
          <cell r="E155" t="str">
            <v/>
          </cell>
          <cell r="F155" t="str">
            <v>2026</v>
          </cell>
          <cell r="G155" t="str">
            <v>3</v>
          </cell>
          <cell r="H155">
            <v>0</v>
          </cell>
          <cell r="I155">
            <v>0</v>
          </cell>
          <cell r="J155" t="str">
            <v>X</v>
          </cell>
          <cell r="K155" t="str">
            <v>X</v>
          </cell>
          <cell r="L155" t="str">
            <v>14:14:02</v>
          </cell>
          <cell r="M155">
            <v>46001</v>
          </cell>
          <cell r="N155">
            <v>44430</v>
          </cell>
          <cell r="O155" t="str">
            <v>X</v>
          </cell>
          <cell r="P155" t="str">
            <v>2025</v>
          </cell>
          <cell r="Q155">
            <v>0</v>
          </cell>
          <cell r="R155" t="str">
            <v>INAKTIV</v>
          </cell>
        </row>
        <row r="156">
          <cell r="A156" t="str">
            <v>4001124</v>
          </cell>
          <cell r="B156" t="str">
            <v>3300</v>
          </cell>
          <cell r="C156" t="str">
            <v>3001</v>
          </cell>
          <cell r="D156" t="str">
            <v>L</v>
          </cell>
          <cell r="E156" t="str">
            <v/>
          </cell>
          <cell r="F156" t="str">
            <v>2026</v>
          </cell>
          <cell r="G156" t="str">
            <v>2</v>
          </cell>
          <cell r="H156">
            <v>300</v>
          </cell>
          <cell r="I156">
            <v>0</v>
          </cell>
          <cell r="J156" t="str">
            <v>X</v>
          </cell>
          <cell r="K156" t="str">
            <v>X</v>
          </cell>
          <cell r="L156" t="str">
            <v>14:13:03</v>
          </cell>
          <cell r="M156">
            <v>46001</v>
          </cell>
          <cell r="N156">
            <v>44430</v>
          </cell>
          <cell r="O156" t="str">
            <v>X</v>
          </cell>
          <cell r="P156" t="str">
            <v>2025</v>
          </cell>
          <cell r="Q156">
            <v>300</v>
          </cell>
          <cell r="R156" t="str">
            <v/>
          </cell>
        </row>
        <row r="157">
          <cell r="A157" t="str">
            <v>4001125</v>
          </cell>
          <cell r="B157" t="str">
            <v>3300</v>
          </cell>
          <cell r="C157" t="str">
            <v>3001</v>
          </cell>
          <cell r="D157" t="str">
            <v>L</v>
          </cell>
          <cell r="E157" t="str">
            <v/>
          </cell>
          <cell r="F157" t="str">
            <v>2026</v>
          </cell>
          <cell r="G157" t="str">
            <v>3</v>
          </cell>
          <cell r="H157">
            <v>825</v>
          </cell>
          <cell r="I157">
            <v>0</v>
          </cell>
          <cell r="J157" t="str">
            <v>X</v>
          </cell>
          <cell r="K157" t="str">
            <v>X</v>
          </cell>
          <cell r="L157" t="str">
            <v>15:10;03</v>
          </cell>
          <cell r="M157">
            <v>46006</v>
          </cell>
          <cell r="N157">
            <v>44430</v>
          </cell>
          <cell r="O157" t="str">
            <v>X</v>
          </cell>
          <cell r="P157" t="str">
            <v>2025</v>
          </cell>
          <cell r="Q157">
            <v>825</v>
          </cell>
          <cell r="R157" t="str">
            <v/>
          </cell>
        </row>
        <row r="158">
          <cell r="A158" t="str">
            <v>4001127</v>
          </cell>
          <cell r="B158" t="str">
            <v>3300</v>
          </cell>
          <cell r="C158" t="str">
            <v>3001</v>
          </cell>
          <cell r="D158" t="str">
            <v>L</v>
          </cell>
          <cell r="E158" t="str">
            <v/>
          </cell>
          <cell r="F158" t="str">
            <v>2026</v>
          </cell>
          <cell r="G158" t="str">
            <v>3</v>
          </cell>
          <cell r="H158">
            <v>1238</v>
          </cell>
          <cell r="I158">
            <v>0</v>
          </cell>
          <cell r="J158" t="str">
            <v>X</v>
          </cell>
          <cell r="K158" t="str">
            <v>X</v>
          </cell>
          <cell r="L158" t="str">
            <v>04:03:02</v>
          </cell>
          <cell r="M158">
            <v>45798</v>
          </cell>
          <cell r="N158">
            <v>44430</v>
          </cell>
          <cell r="O158" t="str">
            <v>X</v>
          </cell>
          <cell r="P158" t="str">
            <v>2025</v>
          </cell>
          <cell r="Q158">
            <v>1238</v>
          </cell>
          <cell r="R158" t="str">
            <v/>
          </cell>
        </row>
        <row r="159">
          <cell r="A159" t="str">
            <v>4001128</v>
          </cell>
          <cell r="B159" t="str">
            <v>3300</v>
          </cell>
          <cell r="C159" t="str">
            <v>3001</v>
          </cell>
          <cell r="D159" t="str">
            <v>L</v>
          </cell>
          <cell r="E159" t="str">
            <v/>
          </cell>
          <cell r="F159" t="str">
            <v>2026</v>
          </cell>
          <cell r="G159" t="str">
            <v>2</v>
          </cell>
          <cell r="H159">
            <v>486</v>
          </cell>
          <cell r="I159">
            <v>0</v>
          </cell>
          <cell r="J159" t="str">
            <v>X</v>
          </cell>
          <cell r="K159" t="str">
            <v>X</v>
          </cell>
          <cell r="L159" t="str">
            <v>04:04:01</v>
          </cell>
          <cell r="M159">
            <v>45798</v>
          </cell>
          <cell r="N159">
            <v>44430</v>
          </cell>
          <cell r="O159" t="str">
            <v>X</v>
          </cell>
          <cell r="P159" t="str">
            <v>2025</v>
          </cell>
          <cell r="Q159">
            <v>486</v>
          </cell>
          <cell r="R159" t="str">
            <v/>
          </cell>
        </row>
        <row r="160">
          <cell r="A160" t="str">
            <v>4001129</v>
          </cell>
          <cell r="B160" t="str">
            <v>3300</v>
          </cell>
          <cell r="C160" t="str">
            <v>3001</v>
          </cell>
          <cell r="D160" t="str">
            <v>L</v>
          </cell>
          <cell r="E160" t="str">
            <v/>
          </cell>
          <cell r="F160" t="str">
            <v>2026</v>
          </cell>
          <cell r="G160" t="str">
            <v>3</v>
          </cell>
          <cell r="H160">
            <v>130</v>
          </cell>
          <cell r="I160">
            <v>0</v>
          </cell>
          <cell r="J160" t="str">
            <v>X</v>
          </cell>
          <cell r="K160" t="str">
            <v>X</v>
          </cell>
          <cell r="L160" t="str">
            <v>04:04:02</v>
          </cell>
          <cell r="M160">
            <v>45798</v>
          </cell>
          <cell r="N160">
            <v>44430</v>
          </cell>
          <cell r="O160" t="str">
            <v>X</v>
          </cell>
          <cell r="P160" t="str">
            <v>2025</v>
          </cell>
          <cell r="Q160">
            <v>130</v>
          </cell>
          <cell r="R160" t="str">
            <v/>
          </cell>
        </row>
        <row r="161">
          <cell r="A161" t="str">
            <v>4001130</v>
          </cell>
          <cell r="B161" t="str">
            <v>3300</v>
          </cell>
          <cell r="C161" t="str">
            <v>3001</v>
          </cell>
          <cell r="D161" t="str">
            <v>L</v>
          </cell>
          <cell r="E161" t="str">
            <v/>
          </cell>
          <cell r="F161" t="str">
            <v>2023</v>
          </cell>
          <cell r="G161" t="str">
            <v>4</v>
          </cell>
          <cell r="H161">
            <v>0</v>
          </cell>
          <cell r="I161">
            <v>0</v>
          </cell>
          <cell r="J161" t="str">
            <v/>
          </cell>
          <cell r="K161" t="str">
            <v>X</v>
          </cell>
          <cell r="L161" t="str">
            <v>SLETTET</v>
          </cell>
          <cell r="M161">
            <v>44568</v>
          </cell>
          <cell r="N161">
            <v>44430</v>
          </cell>
          <cell r="O161" t="str">
            <v>X</v>
          </cell>
          <cell r="P161" t="str">
            <v>2023</v>
          </cell>
          <cell r="Q161">
            <v>0</v>
          </cell>
          <cell r="R161" t="str">
            <v>INAKTIV</v>
          </cell>
        </row>
        <row r="162">
          <cell r="A162" t="str">
            <v>4001133</v>
          </cell>
          <cell r="B162" t="str">
            <v>3300</v>
          </cell>
          <cell r="C162" t="str">
            <v>3001</v>
          </cell>
          <cell r="D162" t="str">
            <v>DL</v>
          </cell>
          <cell r="E162" t="str">
            <v/>
          </cell>
          <cell r="F162" t="str">
            <v>2026</v>
          </cell>
          <cell r="G162" t="str">
            <v>2</v>
          </cell>
          <cell r="H162">
            <v>180</v>
          </cell>
          <cell r="I162">
            <v>0</v>
          </cell>
          <cell r="J162" t="str">
            <v>X</v>
          </cell>
          <cell r="K162" t="str">
            <v>X</v>
          </cell>
          <cell r="L162" t="str">
            <v>04:11:02</v>
          </cell>
          <cell r="M162">
            <v>45800</v>
          </cell>
          <cell r="N162">
            <v>44903</v>
          </cell>
          <cell r="O162" t="str">
            <v>X</v>
          </cell>
          <cell r="P162" t="str">
            <v>2025</v>
          </cell>
          <cell r="Q162">
            <v>180</v>
          </cell>
          <cell r="R162" t="str">
            <v/>
          </cell>
        </row>
        <row r="163">
          <cell r="A163" t="str">
            <v>4001134</v>
          </cell>
          <cell r="B163" t="str">
            <v>3300</v>
          </cell>
          <cell r="C163" t="str">
            <v>3001</v>
          </cell>
          <cell r="D163" t="str">
            <v>DL</v>
          </cell>
          <cell r="E163" t="str">
            <v/>
          </cell>
          <cell r="F163" t="str">
            <v>2026</v>
          </cell>
          <cell r="G163" t="str">
            <v>1</v>
          </cell>
          <cell r="H163">
            <v>70</v>
          </cell>
          <cell r="I163">
            <v>0</v>
          </cell>
          <cell r="J163" t="str">
            <v>X</v>
          </cell>
          <cell r="K163" t="str">
            <v>X</v>
          </cell>
          <cell r="L163" t="str">
            <v>04:11:02</v>
          </cell>
          <cell r="M163">
            <v>45800</v>
          </cell>
          <cell r="N163">
            <v>44903</v>
          </cell>
          <cell r="O163" t="str">
            <v>X</v>
          </cell>
          <cell r="P163" t="str">
            <v>2025</v>
          </cell>
          <cell r="Q163">
            <v>70</v>
          </cell>
          <cell r="R163" t="str">
            <v/>
          </cell>
        </row>
        <row r="164">
          <cell r="A164" t="str">
            <v>4001135</v>
          </cell>
          <cell r="B164" t="str">
            <v>3300</v>
          </cell>
          <cell r="C164" t="str">
            <v>3001</v>
          </cell>
          <cell r="D164" t="str">
            <v>DL</v>
          </cell>
          <cell r="E164" t="str">
            <v/>
          </cell>
          <cell r="F164" t="str">
            <v>2026</v>
          </cell>
          <cell r="G164" t="str">
            <v>2</v>
          </cell>
          <cell r="H164">
            <v>100</v>
          </cell>
          <cell r="I164">
            <v>0</v>
          </cell>
          <cell r="J164" t="str">
            <v>X</v>
          </cell>
          <cell r="K164" t="str">
            <v>X</v>
          </cell>
          <cell r="L164" t="str">
            <v>03:05:02</v>
          </cell>
          <cell r="M164">
            <v>45798</v>
          </cell>
          <cell r="N164">
            <v>44903</v>
          </cell>
          <cell r="O164" t="str">
            <v>X</v>
          </cell>
          <cell r="P164" t="str">
            <v>2025</v>
          </cell>
          <cell r="Q164">
            <v>100</v>
          </cell>
          <cell r="R164" t="str">
            <v/>
          </cell>
        </row>
        <row r="165">
          <cell r="A165" t="str">
            <v>4001136</v>
          </cell>
          <cell r="B165" t="str">
            <v>3300</v>
          </cell>
          <cell r="C165" t="str">
            <v>3001</v>
          </cell>
          <cell r="D165" t="str">
            <v>DL</v>
          </cell>
          <cell r="E165" t="str">
            <v/>
          </cell>
          <cell r="F165" t="str">
            <v>2026</v>
          </cell>
          <cell r="G165" t="str">
            <v>2</v>
          </cell>
          <cell r="H165">
            <v>270</v>
          </cell>
          <cell r="I165">
            <v>0</v>
          </cell>
          <cell r="J165" t="str">
            <v>X</v>
          </cell>
          <cell r="K165" t="str">
            <v>X</v>
          </cell>
          <cell r="L165" t="str">
            <v>03;07;03</v>
          </cell>
          <cell r="M165">
            <v>45798</v>
          </cell>
          <cell r="N165">
            <v>44908</v>
          </cell>
          <cell r="O165" t="str">
            <v>X</v>
          </cell>
          <cell r="P165" t="str">
            <v>2025</v>
          </cell>
          <cell r="Q165">
            <v>270</v>
          </cell>
          <cell r="R165" t="str">
            <v/>
          </cell>
        </row>
        <row r="166">
          <cell r="A166" t="str">
            <v>4001137</v>
          </cell>
          <cell r="B166" t="str">
            <v>3300</v>
          </cell>
          <cell r="C166" t="str">
            <v>3001</v>
          </cell>
          <cell r="D166" t="str">
            <v>DL</v>
          </cell>
          <cell r="E166" t="str">
            <v/>
          </cell>
          <cell r="F166" t="str">
            <v>2026</v>
          </cell>
          <cell r="G166" t="str">
            <v>2</v>
          </cell>
          <cell r="H166">
            <v>340</v>
          </cell>
          <cell r="I166">
            <v>0</v>
          </cell>
          <cell r="J166" t="str">
            <v>X</v>
          </cell>
          <cell r="K166" t="str">
            <v>X</v>
          </cell>
          <cell r="L166" t="str">
            <v>04:01:01</v>
          </cell>
          <cell r="M166">
            <v>45798</v>
          </cell>
          <cell r="N166">
            <v>44908</v>
          </cell>
          <cell r="O166" t="str">
            <v>X</v>
          </cell>
          <cell r="P166" t="str">
            <v>2025</v>
          </cell>
          <cell r="Q166">
            <v>340</v>
          </cell>
          <cell r="R166" t="str">
            <v/>
          </cell>
        </row>
        <row r="167">
          <cell r="A167" t="str">
            <v>4001138</v>
          </cell>
          <cell r="B167" t="str">
            <v>3300</v>
          </cell>
          <cell r="C167" t="str">
            <v>3001</v>
          </cell>
          <cell r="D167" t="str">
            <v>DL</v>
          </cell>
          <cell r="E167" t="str">
            <v/>
          </cell>
          <cell r="F167" t="str">
            <v>2026</v>
          </cell>
          <cell r="G167" t="str">
            <v>2</v>
          </cell>
          <cell r="H167">
            <v>340</v>
          </cell>
          <cell r="I167">
            <v>0</v>
          </cell>
          <cell r="J167" t="str">
            <v>X</v>
          </cell>
          <cell r="K167" t="str">
            <v>X</v>
          </cell>
          <cell r="L167" t="str">
            <v>04:09:02</v>
          </cell>
          <cell r="M167">
            <v>45799</v>
          </cell>
          <cell r="N167">
            <v>44908</v>
          </cell>
          <cell r="O167" t="str">
            <v>X</v>
          </cell>
          <cell r="P167" t="str">
            <v>2025</v>
          </cell>
          <cell r="Q167">
            <v>340</v>
          </cell>
          <cell r="R167" t="str">
            <v/>
          </cell>
        </row>
        <row r="168">
          <cell r="A168" t="str">
            <v>4001160</v>
          </cell>
          <cell r="B168" t="str">
            <v>3300</v>
          </cell>
          <cell r="C168" t="str">
            <v>3001</v>
          </cell>
          <cell r="D168" t="str">
            <v>L</v>
          </cell>
          <cell r="E168" t="str">
            <v/>
          </cell>
          <cell r="F168" t="str">
            <v>2026</v>
          </cell>
          <cell r="G168" t="str">
            <v>2</v>
          </cell>
          <cell r="H168">
            <v>630</v>
          </cell>
          <cell r="I168">
            <v>0</v>
          </cell>
          <cell r="J168" t="str">
            <v>X</v>
          </cell>
          <cell r="K168" t="str">
            <v>X</v>
          </cell>
          <cell r="L168" t="str">
            <v>07:07:01</v>
          </cell>
          <cell r="M168">
            <v>45824</v>
          </cell>
          <cell r="N168">
            <v>44430</v>
          </cell>
          <cell r="O168" t="str">
            <v>X</v>
          </cell>
          <cell r="P168" t="str">
            <v>2025</v>
          </cell>
          <cell r="Q168">
            <v>630</v>
          </cell>
          <cell r="R168" t="str">
            <v/>
          </cell>
        </row>
        <row r="169">
          <cell r="A169" t="str">
            <v>4001161</v>
          </cell>
          <cell r="B169" t="str">
            <v>3300</v>
          </cell>
          <cell r="C169" t="str">
            <v>3001</v>
          </cell>
          <cell r="D169" t="str">
            <v>DL</v>
          </cell>
          <cell r="E169" t="str">
            <v/>
          </cell>
          <cell r="F169" t="str">
            <v>2025</v>
          </cell>
          <cell r="G169" t="str">
            <v>5</v>
          </cell>
          <cell r="H169">
            <v>0</v>
          </cell>
          <cell r="I169">
            <v>0</v>
          </cell>
          <cell r="J169" t="str">
            <v/>
          </cell>
          <cell r="K169" t="str">
            <v/>
          </cell>
          <cell r="L169" t="str">
            <v>SLETTET</v>
          </cell>
          <cell r="M169" t="str">
            <v/>
          </cell>
          <cell r="N169">
            <v>44873</v>
          </cell>
          <cell r="O169" t="str">
            <v>X</v>
          </cell>
          <cell r="P169" t="str">
            <v>2022</v>
          </cell>
          <cell r="Q169">
            <v>0</v>
          </cell>
          <cell r="R169" t="str">
            <v>INAKTIV</v>
          </cell>
        </row>
        <row r="170">
          <cell r="A170" t="str">
            <v>4001170</v>
          </cell>
          <cell r="B170" t="str">
            <v>3300</v>
          </cell>
          <cell r="C170" t="str">
            <v>3001</v>
          </cell>
          <cell r="D170" t="str">
            <v>L</v>
          </cell>
          <cell r="E170" t="str">
            <v/>
          </cell>
          <cell r="F170" t="str">
            <v>2024</v>
          </cell>
          <cell r="G170" t="str">
            <v>6</v>
          </cell>
          <cell r="H170">
            <v>0</v>
          </cell>
          <cell r="I170">
            <v>0</v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>
            <v>45450</v>
          </cell>
          <cell r="O170" t="str">
            <v>X</v>
          </cell>
          <cell r="P170" t="str">
            <v>2024</v>
          </cell>
          <cell r="Q170">
            <v>0</v>
          </cell>
          <cell r="R170" t="str">
            <v>INAKTIV</v>
          </cell>
        </row>
        <row r="171">
          <cell r="A171" t="str">
            <v>4001194</v>
          </cell>
          <cell r="B171" t="str">
            <v>3300</v>
          </cell>
          <cell r="C171" t="str">
            <v>3001</v>
          </cell>
          <cell r="D171" t="str">
            <v>L</v>
          </cell>
          <cell r="E171" t="str">
            <v/>
          </cell>
          <cell r="F171" t="str">
            <v>2024</v>
          </cell>
          <cell r="G171" t="str">
            <v>7</v>
          </cell>
          <cell r="H171">
            <v>0</v>
          </cell>
          <cell r="I171">
            <v>0</v>
          </cell>
          <cell r="J171" t="str">
            <v>X</v>
          </cell>
          <cell r="K171" t="str">
            <v>X</v>
          </cell>
          <cell r="L171" t="str">
            <v>SLETTET</v>
          </cell>
          <cell r="M171">
            <v>45355</v>
          </cell>
          <cell r="N171">
            <v>44430</v>
          </cell>
          <cell r="O171" t="str">
            <v>X</v>
          </cell>
          <cell r="P171" t="str">
            <v>2024</v>
          </cell>
          <cell r="Q171">
            <v>0</v>
          </cell>
          <cell r="R171" t="str">
            <v>INAKTIV</v>
          </cell>
        </row>
        <row r="172">
          <cell r="A172" t="str">
            <v>4001207</v>
          </cell>
          <cell r="B172" t="str">
            <v>3300</v>
          </cell>
          <cell r="C172" t="str">
            <v>3001</v>
          </cell>
          <cell r="D172" t="str">
            <v>L</v>
          </cell>
          <cell r="E172" t="str">
            <v/>
          </cell>
          <cell r="F172" t="str">
            <v>2026</v>
          </cell>
          <cell r="G172" t="str">
            <v>3</v>
          </cell>
          <cell r="H172">
            <v>276</v>
          </cell>
          <cell r="I172">
            <v>0</v>
          </cell>
          <cell r="J172" t="str">
            <v>X</v>
          </cell>
          <cell r="K172" t="str">
            <v>X</v>
          </cell>
          <cell r="L172" t="str">
            <v>02:04:02</v>
          </cell>
          <cell r="M172">
            <v>45796</v>
          </cell>
          <cell r="N172">
            <v>44430</v>
          </cell>
          <cell r="O172" t="str">
            <v>X</v>
          </cell>
          <cell r="P172" t="str">
            <v>2025</v>
          </cell>
          <cell r="Q172">
            <v>276</v>
          </cell>
          <cell r="R172" t="str">
            <v/>
          </cell>
        </row>
        <row r="173">
          <cell r="A173" t="str">
            <v>4001208</v>
          </cell>
          <cell r="B173" t="str">
            <v>3300</v>
          </cell>
          <cell r="C173" t="str">
            <v>3001</v>
          </cell>
          <cell r="D173" t="str">
            <v>L</v>
          </cell>
          <cell r="E173" t="str">
            <v/>
          </cell>
          <cell r="F173" t="str">
            <v>2026</v>
          </cell>
          <cell r="G173" t="str">
            <v>3</v>
          </cell>
          <cell r="H173">
            <v>191</v>
          </cell>
          <cell r="I173">
            <v>0</v>
          </cell>
          <cell r="J173" t="str">
            <v>X</v>
          </cell>
          <cell r="K173" t="str">
            <v>X</v>
          </cell>
          <cell r="L173" t="str">
            <v>02:07:01</v>
          </cell>
          <cell r="M173">
            <v>45796</v>
          </cell>
          <cell r="N173">
            <v>44430</v>
          </cell>
          <cell r="O173" t="str">
            <v>X</v>
          </cell>
          <cell r="P173" t="str">
            <v>2025</v>
          </cell>
          <cell r="Q173">
            <v>191</v>
          </cell>
          <cell r="R173" t="str">
            <v/>
          </cell>
        </row>
        <row r="174">
          <cell r="A174" t="str">
            <v>4001211</v>
          </cell>
          <cell r="B174" t="str">
            <v>3300</v>
          </cell>
          <cell r="C174" t="str">
            <v>3001</v>
          </cell>
          <cell r="D174" t="str">
            <v>L</v>
          </cell>
          <cell r="E174" t="str">
            <v/>
          </cell>
          <cell r="F174" t="str">
            <v>2026</v>
          </cell>
          <cell r="G174" t="str">
            <v>3</v>
          </cell>
          <cell r="H174">
            <v>3220</v>
          </cell>
          <cell r="I174">
            <v>0</v>
          </cell>
          <cell r="J174" t="str">
            <v>X</v>
          </cell>
          <cell r="K174" t="str">
            <v>X</v>
          </cell>
          <cell r="L174" t="str">
            <v>12:01:02</v>
          </cell>
          <cell r="M174">
            <v>45994</v>
          </cell>
          <cell r="N174">
            <v>44430</v>
          </cell>
          <cell r="O174" t="str">
            <v>X</v>
          </cell>
          <cell r="P174" t="str">
            <v>2025</v>
          </cell>
          <cell r="Q174">
            <v>3220</v>
          </cell>
          <cell r="R174" t="str">
            <v/>
          </cell>
        </row>
        <row r="175">
          <cell r="A175" t="str">
            <v>4001215</v>
          </cell>
          <cell r="B175" t="str">
            <v>3300</v>
          </cell>
          <cell r="C175" t="str">
            <v>3001</v>
          </cell>
          <cell r="D175" t="str">
            <v>L</v>
          </cell>
          <cell r="E175" t="str">
            <v/>
          </cell>
          <cell r="F175" t="str">
            <v>2026</v>
          </cell>
          <cell r="G175" t="str">
            <v>2</v>
          </cell>
          <cell r="H175">
            <v>102</v>
          </cell>
          <cell r="I175">
            <v>0</v>
          </cell>
          <cell r="J175" t="str">
            <v>X</v>
          </cell>
          <cell r="K175" t="str">
            <v>X</v>
          </cell>
          <cell r="L175" t="str">
            <v>02:10:01</v>
          </cell>
          <cell r="M175">
            <v>45797</v>
          </cell>
          <cell r="N175">
            <v>44430</v>
          </cell>
          <cell r="O175" t="str">
            <v>X</v>
          </cell>
          <cell r="P175" t="str">
            <v>2025</v>
          </cell>
          <cell r="Q175">
            <v>102</v>
          </cell>
          <cell r="R175" t="str">
            <v/>
          </cell>
        </row>
        <row r="176">
          <cell r="A176" t="str">
            <v>4001216</v>
          </cell>
          <cell r="B176" t="str">
            <v>3300</v>
          </cell>
          <cell r="C176" t="str">
            <v>3001</v>
          </cell>
          <cell r="D176" t="str">
            <v>L</v>
          </cell>
          <cell r="E176" t="str">
            <v>X</v>
          </cell>
          <cell r="F176" t="str">
            <v>2025</v>
          </cell>
          <cell r="G176" t="str">
            <v>4</v>
          </cell>
          <cell r="H176">
            <v>0</v>
          </cell>
          <cell r="I176">
            <v>0</v>
          </cell>
          <cell r="J176" t="str">
            <v>X</v>
          </cell>
          <cell r="K176" t="str">
            <v>X</v>
          </cell>
          <cell r="L176" t="str">
            <v>SLETTET</v>
          </cell>
          <cell r="M176">
            <v>45994</v>
          </cell>
          <cell r="N176">
            <v>44430</v>
          </cell>
          <cell r="O176" t="str">
            <v>X</v>
          </cell>
          <cell r="P176" t="str">
            <v>2025</v>
          </cell>
          <cell r="Q176">
            <v>0</v>
          </cell>
          <cell r="R176" t="str">
            <v>INAKTIV</v>
          </cell>
        </row>
        <row r="177">
          <cell r="A177" t="str">
            <v>4001221</v>
          </cell>
          <cell r="B177" t="str">
            <v>3300</v>
          </cell>
          <cell r="C177" t="str">
            <v>3001</v>
          </cell>
          <cell r="D177" t="str">
            <v>L</v>
          </cell>
          <cell r="E177" t="str">
            <v/>
          </cell>
          <cell r="F177" t="str">
            <v>2026</v>
          </cell>
          <cell r="G177" t="str">
            <v>3</v>
          </cell>
          <cell r="H177">
            <v>800</v>
          </cell>
          <cell r="I177">
            <v>0</v>
          </cell>
          <cell r="J177" t="str">
            <v>X</v>
          </cell>
          <cell r="K177" t="str">
            <v>X</v>
          </cell>
          <cell r="L177" t="str">
            <v>02:03:03</v>
          </cell>
          <cell r="M177">
            <v>45796</v>
          </cell>
          <cell r="N177">
            <v>44430</v>
          </cell>
          <cell r="O177" t="str">
            <v>X</v>
          </cell>
          <cell r="P177" t="str">
            <v>2025</v>
          </cell>
          <cell r="Q177">
            <v>800</v>
          </cell>
          <cell r="R177" t="str">
            <v/>
          </cell>
        </row>
        <row r="178">
          <cell r="A178" t="str">
            <v>4001225</v>
          </cell>
          <cell r="B178" t="str">
            <v>3300</v>
          </cell>
          <cell r="C178" t="str">
            <v>3001</v>
          </cell>
          <cell r="D178" t="str">
            <v>L</v>
          </cell>
          <cell r="E178" t="str">
            <v/>
          </cell>
          <cell r="F178" t="str">
            <v>2026</v>
          </cell>
          <cell r="G178" t="str">
            <v>2</v>
          </cell>
          <cell r="H178">
            <v>576</v>
          </cell>
          <cell r="I178">
            <v>0</v>
          </cell>
          <cell r="J178" t="str">
            <v>X</v>
          </cell>
          <cell r="K178" t="str">
            <v>X</v>
          </cell>
          <cell r="L178" t="str">
            <v>04:03:01</v>
          </cell>
          <cell r="M178">
            <v>45798</v>
          </cell>
          <cell r="N178">
            <v>44430</v>
          </cell>
          <cell r="O178" t="str">
            <v>X</v>
          </cell>
          <cell r="P178" t="str">
            <v>2025</v>
          </cell>
          <cell r="Q178">
            <v>576</v>
          </cell>
          <cell r="R178" t="str">
            <v/>
          </cell>
        </row>
        <row r="179">
          <cell r="A179" t="str">
            <v>4001233</v>
          </cell>
          <cell r="B179" t="str">
            <v>3300</v>
          </cell>
          <cell r="C179" t="str">
            <v>3001</v>
          </cell>
          <cell r="D179" t="str">
            <v>L</v>
          </cell>
          <cell r="E179" t="str">
            <v/>
          </cell>
          <cell r="F179" t="str">
            <v>2026</v>
          </cell>
          <cell r="G179" t="str">
            <v>3</v>
          </cell>
          <cell r="H179">
            <v>650</v>
          </cell>
          <cell r="I179">
            <v>0</v>
          </cell>
          <cell r="J179" t="str">
            <v>X</v>
          </cell>
          <cell r="K179" t="str">
            <v>X</v>
          </cell>
          <cell r="L179" t="str">
            <v>08:04:00</v>
          </cell>
          <cell r="M179">
            <v>45825</v>
          </cell>
          <cell r="N179">
            <v>44430</v>
          </cell>
          <cell r="O179" t="str">
            <v>X</v>
          </cell>
          <cell r="P179" t="str">
            <v>2025</v>
          </cell>
          <cell r="Q179">
            <v>650</v>
          </cell>
          <cell r="R179" t="str">
            <v/>
          </cell>
        </row>
        <row r="180">
          <cell r="A180" t="str">
            <v>4001237</v>
          </cell>
          <cell r="B180" t="str">
            <v>3300</v>
          </cell>
          <cell r="C180" t="str">
            <v>3001</v>
          </cell>
          <cell r="D180" t="str">
            <v>L</v>
          </cell>
          <cell r="E180" t="str">
            <v/>
          </cell>
          <cell r="F180" t="str">
            <v>2026</v>
          </cell>
          <cell r="G180" t="str">
            <v>2</v>
          </cell>
          <cell r="H180">
            <v>52</v>
          </cell>
          <cell r="I180">
            <v>0</v>
          </cell>
          <cell r="J180" t="str">
            <v>X</v>
          </cell>
          <cell r="K180" t="str">
            <v>X</v>
          </cell>
          <cell r="L180" t="str">
            <v>11:01:03</v>
          </cell>
          <cell r="M180">
            <v>45987</v>
          </cell>
          <cell r="N180">
            <v>44430</v>
          </cell>
          <cell r="O180" t="str">
            <v>X</v>
          </cell>
          <cell r="P180" t="str">
            <v>2025</v>
          </cell>
          <cell r="Q180">
            <v>52</v>
          </cell>
          <cell r="R180" t="str">
            <v/>
          </cell>
        </row>
        <row r="181">
          <cell r="A181" t="str">
            <v>4001241</v>
          </cell>
          <cell r="B181" t="str">
            <v>3300</v>
          </cell>
          <cell r="C181" t="str">
            <v>3001</v>
          </cell>
          <cell r="D181" t="str">
            <v>L</v>
          </cell>
          <cell r="E181" t="str">
            <v/>
          </cell>
          <cell r="F181" t="str">
            <v>2026</v>
          </cell>
          <cell r="G181" t="str">
            <v>2</v>
          </cell>
          <cell r="H181">
            <v>3800</v>
          </cell>
          <cell r="I181">
            <v>0</v>
          </cell>
          <cell r="J181" t="str">
            <v>X</v>
          </cell>
          <cell r="K181" t="str">
            <v>X</v>
          </cell>
          <cell r="L181" t="str">
            <v>13:08:03</v>
          </cell>
          <cell r="M181">
            <v>45994</v>
          </cell>
          <cell r="N181">
            <v>44430</v>
          </cell>
          <cell r="O181" t="str">
            <v>X</v>
          </cell>
          <cell r="P181" t="str">
            <v>2025</v>
          </cell>
          <cell r="Q181">
            <v>3800</v>
          </cell>
          <cell r="R181" t="str">
            <v/>
          </cell>
        </row>
        <row r="182">
          <cell r="A182" t="str">
            <v>4001257</v>
          </cell>
          <cell r="B182" t="str">
            <v>3300</v>
          </cell>
          <cell r="C182" t="str">
            <v>3001</v>
          </cell>
          <cell r="D182" t="str">
            <v>L</v>
          </cell>
          <cell r="E182" t="str">
            <v/>
          </cell>
          <cell r="F182" t="str">
            <v>2026</v>
          </cell>
          <cell r="G182" t="str">
            <v>3</v>
          </cell>
          <cell r="H182">
            <v>265</v>
          </cell>
          <cell r="I182">
            <v>0</v>
          </cell>
          <cell r="J182" t="str">
            <v>X</v>
          </cell>
          <cell r="K182" t="str">
            <v>X</v>
          </cell>
          <cell r="L182" t="str">
            <v>14:18:02</v>
          </cell>
          <cell r="M182">
            <v>46001</v>
          </cell>
          <cell r="N182">
            <v>44430</v>
          </cell>
          <cell r="O182" t="str">
            <v>X</v>
          </cell>
          <cell r="P182" t="str">
            <v>2025</v>
          </cell>
          <cell r="Q182">
            <v>265</v>
          </cell>
          <cell r="R182" t="str">
            <v/>
          </cell>
        </row>
        <row r="183">
          <cell r="A183" t="str">
            <v>4001264</v>
          </cell>
          <cell r="B183" t="str">
            <v>3300</v>
          </cell>
          <cell r="C183" t="str">
            <v>3001</v>
          </cell>
          <cell r="D183" t="str">
            <v>L</v>
          </cell>
          <cell r="E183" t="str">
            <v/>
          </cell>
          <cell r="F183" t="str">
            <v>2026</v>
          </cell>
          <cell r="G183" t="str">
            <v>3</v>
          </cell>
          <cell r="H183">
            <v>450</v>
          </cell>
          <cell r="I183">
            <v>0</v>
          </cell>
          <cell r="J183" t="str">
            <v>X</v>
          </cell>
          <cell r="K183" t="str">
            <v>X</v>
          </cell>
          <cell r="L183" t="str">
            <v>14:13:01</v>
          </cell>
          <cell r="M183">
            <v>46001</v>
          </cell>
          <cell r="N183">
            <v>44430</v>
          </cell>
          <cell r="O183" t="str">
            <v>X</v>
          </cell>
          <cell r="P183" t="str">
            <v>2025</v>
          </cell>
          <cell r="Q183">
            <v>450</v>
          </cell>
          <cell r="R183" t="str">
            <v/>
          </cell>
        </row>
        <row r="184">
          <cell r="A184" t="str">
            <v>4001277</v>
          </cell>
          <cell r="B184" t="str">
            <v>3300</v>
          </cell>
          <cell r="C184" t="str">
            <v>3001</v>
          </cell>
          <cell r="D184" t="str">
            <v>L</v>
          </cell>
          <cell r="E184" t="str">
            <v/>
          </cell>
          <cell r="F184" t="str">
            <v>2026</v>
          </cell>
          <cell r="G184" t="str">
            <v>3</v>
          </cell>
          <cell r="H184">
            <v>660</v>
          </cell>
          <cell r="I184">
            <v>0</v>
          </cell>
          <cell r="J184" t="str">
            <v>X</v>
          </cell>
          <cell r="K184" t="str">
            <v>X</v>
          </cell>
          <cell r="L184" t="str">
            <v>12:10:02</v>
          </cell>
          <cell r="M184">
            <v>45994</v>
          </cell>
          <cell r="N184">
            <v>44430</v>
          </cell>
          <cell r="O184" t="str">
            <v>X</v>
          </cell>
          <cell r="P184" t="str">
            <v>2025</v>
          </cell>
          <cell r="Q184">
            <v>660</v>
          </cell>
          <cell r="R184" t="str">
            <v/>
          </cell>
        </row>
        <row r="185">
          <cell r="A185" t="str">
            <v>4001278</v>
          </cell>
          <cell r="B185" t="str">
            <v>3300</v>
          </cell>
          <cell r="C185" t="str">
            <v>3001</v>
          </cell>
          <cell r="D185" t="str">
            <v>L</v>
          </cell>
          <cell r="E185" t="str">
            <v/>
          </cell>
          <cell r="F185" t="str">
            <v>2026</v>
          </cell>
          <cell r="G185" t="str">
            <v>2</v>
          </cell>
          <cell r="H185">
            <v>1140</v>
          </cell>
          <cell r="I185">
            <v>0</v>
          </cell>
          <cell r="J185" t="str">
            <v>X</v>
          </cell>
          <cell r="K185" t="str">
            <v>X</v>
          </cell>
          <cell r="L185" t="str">
            <v>12:09:02</v>
          </cell>
          <cell r="M185">
            <v>45994</v>
          </cell>
          <cell r="N185">
            <v>44430</v>
          </cell>
          <cell r="O185" t="str">
            <v>X</v>
          </cell>
          <cell r="P185" t="str">
            <v>2025</v>
          </cell>
          <cell r="Q185">
            <v>1140</v>
          </cell>
          <cell r="R185" t="str">
            <v/>
          </cell>
        </row>
        <row r="186">
          <cell r="A186" t="str">
            <v>4001279</v>
          </cell>
          <cell r="B186" t="str">
            <v>3300</v>
          </cell>
          <cell r="C186" t="str">
            <v>3001</v>
          </cell>
          <cell r="D186" t="str">
            <v>L</v>
          </cell>
          <cell r="E186" t="str">
            <v/>
          </cell>
          <cell r="F186" t="str">
            <v>2026</v>
          </cell>
          <cell r="G186" t="str">
            <v>3</v>
          </cell>
          <cell r="H186">
            <v>1350</v>
          </cell>
          <cell r="I186">
            <v>0</v>
          </cell>
          <cell r="J186" t="str">
            <v>X</v>
          </cell>
          <cell r="K186" t="str">
            <v>X</v>
          </cell>
          <cell r="L186" t="str">
            <v>12:11:02</v>
          </cell>
          <cell r="M186">
            <v>45994</v>
          </cell>
          <cell r="N186">
            <v>44430</v>
          </cell>
          <cell r="O186" t="str">
            <v>X</v>
          </cell>
          <cell r="P186" t="str">
            <v>2025</v>
          </cell>
          <cell r="Q186">
            <v>1350</v>
          </cell>
          <cell r="R186" t="str">
            <v/>
          </cell>
        </row>
        <row r="187">
          <cell r="A187" t="str">
            <v>4001282</v>
          </cell>
          <cell r="B187" t="str">
            <v>3300</v>
          </cell>
          <cell r="C187" t="str">
            <v>3001</v>
          </cell>
          <cell r="D187" t="str">
            <v>L</v>
          </cell>
          <cell r="E187" t="str">
            <v/>
          </cell>
          <cell r="F187" t="str">
            <v>2026</v>
          </cell>
          <cell r="G187" t="str">
            <v>3</v>
          </cell>
          <cell r="H187">
            <v>2101</v>
          </cell>
          <cell r="I187">
            <v>0</v>
          </cell>
          <cell r="J187" t="str">
            <v>X</v>
          </cell>
          <cell r="K187" t="str">
            <v>X</v>
          </cell>
          <cell r="L187" t="str">
            <v>09:09:01</v>
          </cell>
          <cell r="M187">
            <v>45987</v>
          </cell>
          <cell r="N187">
            <v>44430</v>
          </cell>
          <cell r="O187" t="str">
            <v>X</v>
          </cell>
          <cell r="P187" t="str">
            <v>2025</v>
          </cell>
          <cell r="Q187">
            <v>2101</v>
          </cell>
          <cell r="R187" t="str">
            <v/>
          </cell>
        </row>
        <row r="188">
          <cell r="A188" t="str">
            <v>4001283</v>
          </cell>
          <cell r="B188" t="str">
            <v>3300</v>
          </cell>
          <cell r="C188" t="str">
            <v>3001</v>
          </cell>
          <cell r="D188" t="str">
            <v>L</v>
          </cell>
          <cell r="E188" t="str">
            <v/>
          </cell>
          <cell r="F188" t="str">
            <v>2026</v>
          </cell>
          <cell r="G188" t="str">
            <v>3</v>
          </cell>
          <cell r="H188">
            <v>5400</v>
          </cell>
          <cell r="I188">
            <v>0</v>
          </cell>
          <cell r="J188" t="str">
            <v>X</v>
          </cell>
          <cell r="K188" t="str">
            <v>X</v>
          </cell>
          <cell r="L188" t="str">
            <v>09:06:01</v>
          </cell>
          <cell r="M188">
            <v>45980</v>
          </cell>
          <cell r="N188">
            <v>44430</v>
          </cell>
          <cell r="O188" t="str">
            <v>X</v>
          </cell>
          <cell r="P188" t="str">
            <v>2025</v>
          </cell>
          <cell r="Q188">
            <v>5400</v>
          </cell>
          <cell r="R188" t="str">
            <v/>
          </cell>
        </row>
        <row r="189">
          <cell r="A189" t="str">
            <v>4001285</v>
          </cell>
          <cell r="B189" t="str">
            <v>3300</v>
          </cell>
          <cell r="C189" t="str">
            <v>3001</v>
          </cell>
          <cell r="D189" t="str">
            <v>L</v>
          </cell>
          <cell r="E189" t="str">
            <v/>
          </cell>
          <cell r="F189" t="str">
            <v>2026</v>
          </cell>
          <cell r="G189" t="str">
            <v>3</v>
          </cell>
          <cell r="H189">
            <v>1224</v>
          </cell>
          <cell r="I189">
            <v>0</v>
          </cell>
          <cell r="J189" t="str">
            <v>X</v>
          </cell>
          <cell r="K189" t="str">
            <v>X</v>
          </cell>
          <cell r="L189" t="str">
            <v>14:15:02</v>
          </cell>
          <cell r="M189">
            <v>46001</v>
          </cell>
          <cell r="N189">
            <v>44430</v>
          </cell>
          <cell r="O189" t="str">
            <v>X</v>
          </cell>
          <cell r="P189" t="str">
            <v>2025</v>
          </cell>
          <cell r="Q189">
            <v>1224</v>
          </cell>
          <cell r="R189" t="str">
            <v/>
          </cell>
        </row>
        <row r="190">
          <cell r="A190" t="str">
            <v>4001287</v>
          </cell>
          <cell r="B190" t="str">
            <v>3300</v>
          </cell>
          <cell r="C190" t="str">
            <v>3001</v>
          </cell>
          <cell r="D190" t="str">
            <v>L</v>
          </cell>
          <cell r="E190" t="str">
            <v/>
          </cell>
          <cell r="F190" t="str">
            <v>2026</v>
          </cell>
          <cell r="G190" t="str">
            <v>3</v>
          </cell>
          <cell r="H190">
            <v>4320</v>
          </cell>
          <cell r="I190">
            <v>0</v>
          </cell>
          <cell r="J190" t="str">
            <v>X</v>
          </cell>
          <cell r="K190" t="str">
            <v>X</v>
          </cell>
          <cell r="L190" t="str">
            <v>12:11:01</v>
          </cell>
          <cell r="M190">
            <v>45994</v>
          </cell>
          <cell r="N190">
            <v>44430</v>
          </cell>
          <cell r="O190" t="str">
            <v>X</v>
          </cell>
          <cell r="P190" t="str">
            <v>2025</v>
          </cell>
          <cell r="Q190">
            <v>4320</v>
          </cell>
          <cell r="R190" t="str">
            <v/>
          </cell>
        </row>
        <row r="191">
          <cell r="A191" t="str">
            <v>4001288</v>
          </cell>
          <cell r="B191" t="str">
            <v>3300</v>
          </cell>
          <cell r="C191" t="str">
            <v>3001</v>
          </cell>
          <cell r="D191" t="str">
            <v>L</v>
          </cell>
          <cell r="E191" t="str">
            <v/>
          </cell>
          <cell r="F191" t="str">
            <v>2026</v>
          </cell>
          <cell r="G191" t="str">
            <v>3</v>
          </cell>
          <cell r="H191">
            <v>480</v>
          </cell>
          <cell r="I191">
            <v>0</v>
          </cell>
          <cell r="J191" t="str">
            <v>X</v>
          </cell>
          <cell r="K191" t="str">
            <v>X</v>
          </cell>
          <cell r="L191" t="str">
            <v>12:11:03</v>
          </cell>
          <cell r="M191">
            <v>45994</v>
          </cell>
          <cell r="N191">
            <v>44430</v>
          </cell>
          <cell r="O191" t="str">
            <v>X</v>
          </cell>
          <cell r="P191" t="str">
            <v>2025</v>
          </cell>
          <cell r="Q191">
            <v>480</v>
          </cell>
          <cell r="R191" t="str">
            <v/>
          </cell>
        </row>
        <row r="192">
          <cell r="A192" t="str">
            <v>4001289</v>
          </cell>
          <cell r="B192" t="str">
            <v>3300</v>
          </cell>
          <cell r="C192" t="str">
            <v>3001</v>
          </cell>
          <cell r="D192" t="str">
            <v>L</v>
          </cell>
          <cell r="E192" t="str">
            <v/>
          </cell>
          <cell r="F192" t="str">
            <v>2026</v>
          </cell>
          <cell r="G192" t="str">
            <v>2</v>
          </cell>
          <cell r="H192">
            <v>750</v>
          </cell>
          <cell r="I192">
            <v>0</v>
          </cell>
          <cell r="J192" t="str">
            <v>X</v>
          </cell>
          <cell r="K192" t="str">
            <v>X</v>
          </cell>
          <cell r="L192" t="str">
            <v>12:08:01</v>
          </cell>
          <cell r="M192">
            <v>45994</v>
          </cell>
          <cell r="N192">
            <v>44430</v>
          </cell>
          <cell r="O192" t="str">
            <v>X</v>
          </cell>
          <cell r="P192" t="str">
            <v>2025</v>
          </cell>
          <cell r="Q192">
            <v>750</v>
          </cell>
          <cell r="R192" t="str">
            <v/>
          </cell>
        </row>
        <row r="193">
          <cell r="A193" t="str">
            <v>4001290</v>
          </cell>
          <cell r="B193" t="str">
            <v>3300</v>
          </cell>
          <cell r="C193" t="str">
            <v>3001</v>
          </cell>
          <cell r="D193" t="str">
            <v>L</v>
          </cell>
          <cell r="E193" t="str">
            <v/>
          </cell>
          <cell r="F193" t="str">
            <v>2026</v>
          </cell>
          <cell r="G193" t="str">
            <v>2</v>
          </cell>
          <cell r="H193">
            <v>120</v>
          </cell>
          <cell r="I193">
            <v>0</v>
          </cell>
          <cell r="J193" t="str">
            <v>X</v>
          </cell>
          <cell r="K193" t="str">
            <v>X</v>
          </cell>
          <cell r="L193" t="str">
            <v>12:08:03</v>
          </cell>
          <cell r="M193">
            <v>45994</v>
          </cell>
          <cell r="N193">
            <v>44430</v>
          </cell>
          <cell r="O193" t="str">
            <v>X</v>
          </cell>
          <cell r="P193" t="str">
            <v>2025</v>
          </cell>
          <cell r="Q193">
            <v>120</v>
          </cell>
          <cell r="R193" t="str">
            <v/>
          </cell>
        </row>
        <row r="194">
          <cell r="A194" t="str">
            <v>4001291</v>
          </cell>
          <cell r="B194" t="str">
            <v>3300</v>
          </cell>
          <cell r="C194" t="str">
            <v>3001</v>
          </cell>
          <cell r="D194" t="str">
            <v>L</v>
          </cell>
          <cell r="E194" t="str">
            <v/>
          </cell>
          <cell r="F194" t="str">
            <v>2026</v>
          </cell>
          <cell r="G194" t="str">
            <v>2</v>
          </cell>
          <cell r="H194">
            <v>550</v>
          </cell>
          <cell r="I194">
            <v>0</v>
          </cell>
          <cell r="J194" t="str">
            <v>X</v>
          </cell>
          <cell r="K194" t="str">
            <v>X</v>
          </cell>
          <cell r="L194" t="str">
            <v>12:09:01</v>
          </cell>
          <cell r="M194">
            <v>45994</v>
          </cell>
          <cell r="N194">
            <v>44430</v>
          </cell>
          <cell r="O194" t="str">
            <v>X</v>
          </cell>
          <cell r="P194" t="str">
            <v>2025</v>
          </cell>
          <cell r="Q194">
            <v>550</v>
          </cell>
          <cell r="R194" t="str">
            <v/>
          </cell>
        </row>
        <row r="195">
          <cell r="A195" t="str">
            <v>4001293</v>
          </cell>
          <cell r="B195" t="str">
            <v>3300</v>
          </cell>
          <cell r="C195" t="str">
            <v>3001</v>
          </cell>
          <cell r="D195" t="str">
            <v>L</v>
          </cell>
          <cell r="E195" t="str">
            <v/>
          </cell>
          <cell r="F195" t="str">
            <v>2026</v>
          </cell>
          <cell r="G195" t="str">
            <v>3</v>
          </cell>
          <cell r="H195">
            <v>1820</v>
          </cell>
          <cell r="I195">
            <v>0</v>
          </cell>
          <cell r="J195" t="str">
            <v>X</v>
          </cell>
          <cell r="K195" t="str">
            <v>X</v>
          </cell>
          <cell r="L195" t="str">
            <v>02:05:01</v>
          </cell>
          <cell r="M195">
            <v>45796</v>
          </cell>
          <cell r="N195">
            <v>44430</v>
          </cell>
          <cell r="O195" t="str">
            <v>X</v>
          </cell>
          <cell r="P195" t="str">
            <v>2025</v>
          </cell>
          <cell r="Q195">
            <v>1820</v>
          </cell>
          <cell r="R195" t="str">
            <v/>
          </cell>
        </row>
        <row r="196">
          <cell r="A196" t="str">
            <v>4001295</v>
          </cell>
          <cell r="B196" t="str">
            <v>3300</v>
          </cell>
          <cell r="C196" t="str">
            <v>3001</v>
          </cell>
          <cell r="D196" t="str">
            <v>L</v>
          </cell>
          <cell r="E196" t="str">
            <v/>
          </cell>
          <cell r="F196" t="str">
            <v>2026</v>
          </cell>
          <cell r="G196" t="str">
            <v>3</v>
          </cell>
          <cell r="H196">
            <v>10</v>
          </cell>
          <cell r="I196">
            <v>0</v>
          </cell>
          <cell r="J196" t="str">
            <v>X</v>
          </cell>
          <cell r="K196" t="str">
            <v>X</v>
          </cell>
          <cell r="L196" t="str">
            <v>07:02:02</v>
          </cell>
          <cell r="M196">
            <v>45824</v>
          </cell>
          <cell r="N196">
            <v>44430</v>
          </cell>
          <cell r="O196" t="str">
            <v>X</v>
          </cell>
          <cell r="P196" t="str">
            <v>2025</v>
          </cell>
          <cell r="Q196">
            <v>10</v>
          </cell>
          <cell r="R196" t="str">
            <v/>
          </cell>
        </row>
        <row r="197">
          <cell r="A197" t="str">
            <v>4001298</v>
          </cell>
          <cell r="B197" t="str">
            <v>3300</v>
          </cell>
          <cell r="C197" t="str">
            <v>3001</v>
          </cell>
          <cell r="D197" t="str">
            <v>L</v>
          </cell>
          <cell r="E197" t="str">
            <v>X</v>
          </cell>
          <cell r="F197" t="str">
            <v>2023</v>
          </cell>
          <cell r="G197" t="str">
            <v>3</v>
          </cell>
          <cell r="H197">
            <v>0</v>
          </cell>
          <cell r="I197">
            <v>0</v>
          </cell>
          <cell r="J197" t="str">
            <v/>
          </cell>
          <cell r="K197" t="str">
            <v>X</v>
          </cell>
          <cell r="L197" t="str">
            <v>SLETTET</v>
          </cell>
          <cell r="M197">
            <v>44568</v>
          </cell>
          <cell r="N197">
            <v>44430</v>
          </cell>
          <cell r="O197" t="str">
            <v>X</v>
          </cell>
          <cell r="P197" t="str">
            <v>2023</v>
          </cell>
          <cell r="Q197">
            <v>0</v>
          </cell>
          <cell r="R197" t="str">
            <v>INAKTIV</v>
          </cell>
        </row>
        <row r="198">
          <cell r="A198" t="str">
            <v>4001307</v>
          </cell>
          <cell r="B198" t="str">
            <v>3300</v>
          </cell>
          <cell r="C198" t="str">
            <v>3001</v>
          </cell>
          <cell r="D198" t="str">
            <v>L</v>
          </cell>
          <cell r="E198" t="str">
            <v/>
          </cell>
          <cell r="F198" t="str">
            <v>2026</v>
          </cell>
          <cell r="G198" t="str">
            <v>3</v>
          </cell>
          <cell r="H198">
            <v>1320</v>
          </cell>
          <cell r="I198">
            <v>0</v>
          </cell>
          <cell r="J198" t="str">
            <v>X</v>
          </cell>
          <cell r="K198" t="str">
            <v>X</v>
          </cell>
          <cell r="L198" t="str">
            <v>12:05:00</v>
          </cell>
          <cell r="M198">
            <v>45994</v>
          </cell>
          <cell r="N198">
            <v>44430</v>
          </cell>
          <cell r="O198" t="str">
            <v>X</v>
          </cell>
          <cell r="P198" t="str">
            <v>2025</v>
          </cell>
          <cell r="Q198">
            <v>1320</v>
          </cell>
          <cell r="R198" t="str">
            <v/>
          </cell>
        </row>
        <row r="199">
          <cell r="A199" t="str">
            <v>4001310</v>
          </cell>
          <cell r="B199" t="str">
            <v>3300</v>
          </cell>
          <cell r="C199" t="str">
            <v>3001</v>
          </cell>
          <cell r="D199" t="str">
            <v>L</v>
          </cell>
          <cell r="E199" t="str">
            <v/>
          </cell>
          <cell r="F199" t="str">
            <v>2026</v>
          </cell>
          <cell r="G199" t="str">
            <v>2</v>
          </cell>
          <cell r="H199">
            <v>35</v>
          </cell>
          <cell r="I199">
            <v>0</v>
          </cell>
          <cell r="J199" t="str">
            <v>X</v>
          </cell>
          <cell r="K199" t="str">
            <v>X</v>
          </cell>
          <cell r="L199" t="str">
            <v>07:08:02</v>
          </cell>
          <cell r="M199">
            <v>45824</v>
          </cell>
          <cell r="N199">
            <v>44430</v>
          </cell>
          <cell r="O199" t="str">
            <v>X</v>
          </cell>
          <cell r="P199" t="str">
            <v>2025</v>
          </cell>
          <cell r="Q199">
            <v>35</v>
          </cell>
          <cell r="R199" t="str">
            <v/>
          </cell>
        </row>
        <row r="200">
          <cell r="A200" t="str">
            <v>4001311</v>
          </cell>
          <cell r="B200" t="str">
            <v>3300</v>
          </cell>
          <cell r="C200" t="str">
            <v>3001</v>
          </cell>
          <cell r="D200" t="str">
            <v>L</v>
          </cell>
          <cell r="E200" t="str">
            <v/>
          </cell>
          <cell r="F200" t="str">
            <v>2022</v>
          </cell>
          <cell r="G200" t="str">
            <v>8</v>
          </cell>
          <cell r="H200">
            <v>0</v>
          </cell>
          <cell r="I200">
            <v>0</v>
          </cell>
          <cell r="J200" t="str">
            <v>X</v>
          </cell>
          <cell r="K200" t="str">
            <v/>
          </cell>
          <cell r="L200" t="str">
            <v>SLETTET</v>
          </cell>
          <cell r="M200">
            <v>44568</v>
          </cell>
          <cell r="N200">
            <v>44430</v>
          </cell>
          <cell r="O200" t="str">
            <v>X</v>
          </cell>
          <cell r="P200" t="str">
            <v>2022</v>
          </cell>
          <cell r="Q200">
            <v>0</v>
          </cell>
          <cell r="R200" t="str">
            <v>INAKTIV</v>
          </cell>
        </row>
        <row r="201">
          <cell r="A201" t="str">
            <v>4001312</v>
          </cell>
          <cell r="B201" t="str">
            <v>3300</v>
          </cell>
          <cell r="C201" t="str">
            <v>3001</v>
          </cell>
          <cell r="D201" t="str">
            <v>L</v>
          </cell>
          <cell r="E201" t="str">
            <v/>
          </cell>
          <cell r="F201" t="str">
            <v>2026</v>
          </cell>
          <cell r="G201" t="str">
            <v>3</v>
          </cell>
          <cell r="H201">
            <v>645</v>
          </cell>
          <cell r="I201">
            <v>0</v>
          </cell>
          <cell r="J201" t="str">
            <v>X</v>
          </cell>
          <cell r="K201" t="str">
            <v>X</v>
          </cell>
          <cell r="L201" t="str">
            <v>04:04:01</v>
          </cell>
          <cell r="M201">
            <v>45798</v>
          </cell>
          <cell r="N201">
            <v>44430</v>
          </cell>
          <cell r="O201" t="str">
            <v>X</v>
          </cell>
          <cell r="P201" t="str">
            <v>2025</v>
          </cell>
          <cell r="Q201">
            <v>645</v>
          </cell>
          <cell r="R201" t="str">
            <v/>
          </cell>
        </row>
        <row r="202">
          <cell r="A202" t="str">
            <v>4001314</v>
          </cell>
          <cell r="B202" t="str">
            <v>3300</v>
          </cell>
          <cell r="C202" t="str">
            <v>3001</v>
          </cell>
          <cell r="D202" t="str">
            <v>L</v>
          </cell>
          <cell r="E202" t="str">
            <v/>
          </cell>
          <cell r="F202" t="str">
            <v>2026</v>
          </cell>
          <cell r="G202" t="str">
            <v>2</v>
          </cell>
          <cell r="H202">
            <v>2550</v>
          </cell>
          <cell r="I202">
            <v>0</v>
          </cell>
          <cell r="J202" t="str">
            <v>X</v>
          </cell>
          <cell r="K202" t="str">
            <v>X</v>
          </cell>
          <cell r="L202" t="str">
            <v>17:02:01</v>
          </cell>
          <cell r="M202">
            <v>46006</v>
          </cell>
          <cell r="N202">
            <v>44430</v>
          </cell>
          <cell r="O202" t="str">
            <v>X</v>
          </cell>
          <cell r="P202" t="str">
            <v>2025</v>
          </cell>
          <cell r="Q202">
            <v>2550</v>
          </cell>
          <cell r="R202" t="str">
            <v/>
          </cell>
        </row>
        <row r="203">
          <cell r="A203" t="str">
            <v>4001315</v>
          </cell>
          <cell r="B203" t="str">
            <v>3300</v>
          </cell>
          <cell r="C203" t="str">
            <v>3001</v>
          </cell>
          <cell r="D203" t="str">
            <v>L</v>
          </cell>
          <cell r="E203" t="str">
            <v/>
          </cell>
          <cell r="F203" t="str">
            <v>2026</v>
          </cell>
          <cell r="G203" t="str">
            <v>2</v>
          </cell>
          <cell r="H203">
            <v>135</v>
          </cell>
          <cell r="I203">
            <v>0</v>
          </cell>
          <cell r="J203" t="str">
            <v>X</v>
          </cell>
          <cell r="K203" t="str">
            <v>X</v>
          </cell>
          <cell r="L203" t="str">
            <v>14:18:03</v>
          </cell>
          <cell r="M203">
            <v>46001</v>
          </cell>
          <cell r="N203">
            <v>44430</v>
          </cell>
          <cell r="O203" t="str">
            <v>X</v>
          </cell>
          <cell r="P203" t="str">
            <v>2025</v>
          </cell>
          <cell r="Q203">
            <v>135</v>
          </cell>
          <cell r="R203" t="str">
            <v/>
          </cell>
        </row>
        <row r="204">
          <cell r="A204" t="str">
            <v>4001316</v>
          </cell>
          <cell r="B204" t="str">
            <v>3300</v>
          </cell>
          <cell r="C204" t="str">
            <v>3001</v>
          </cell>
          <cell r="D204" t="str">
            <v>L</v>
          </cell>
          <cell r="E204" t="str">
            <v/>
          </cell>
          <cell r="F204" t="str">
            <v>2026</v>
          </cell>
          <cell r="G204" t="str">
            <v>3</v>
          </cell>
          <cell r="H204">
            <v>525</v>
          </cell>
          <cell r="I204">
            <v>0</v>
          </cell>
          <cell r="J204" t="str">
            <v>X</v>
          </cell>
          <cell r="K204" t="str">
            <v>X</v>
          </cell>
          <cell r="L204" t="str">
            <v>14:10:01</v>
          </cell>
          <cell r="M204">
            <v>46001</v>
          </cell>
          <cell r="N204">
            <v>44430</v>
          </cell>
          <cell r="O204" t="str">
            <v>X</v>
          </cell>
          <cell r="P204" t="str">
            <v>2025</v>
          </cell>
          <cell r="Q204">
            <v>525</v>
          </cell>
          <cell r="R204" t="str">
            <v/>
          </cell>
        </row>
        <row r="205">
          <cell r="A205" t="str">
            <v>4001318</v>
          </cell>
          <cell r="B205" t="str">
            <v>3300</v>
          </cell>
          <cell r="C205" t="str">
            <v>3001</v>
          </cell>
          <cell r="D205" t="str">
            <v>L</v>
          </cell>
          <cell r="E205" t="str">
            <v/>
          </cell>
          <cell r="F205" t="str">
            <v>2026</v>
          </cell>
          <cell r="G205" t="str">
            <v>1</v>
          </cell>
          <cell r="H205">
            <v>315</v>
          </cell>
          <cell r="I205">
            <v>0</v>
          </cell>
          <cell r="J205" t="str">
            <v>X</v>
          </cell>
          <cell r="K205" t="str">
            <v>X</v>
          </cell>
          <cell r="L205" t="str">
            <v>06:04:01</v>
          </cell>
          <cell r="M205">
            <v>45819</v>
          </cell>
          <cell r="N205">
            <v>44430</v>
          </cell>
          <cell r="O205" t="str">
            <v>X</v>
          </cell>
          <cell r="P205" t="str">
            <v>2025</v>
          </cell>
          <cell r="Q205">
            <v>315</v>
          </cell>
          <cell r="R205" t="str">
            <v/>
          </cell>
        </row>
        <row r="206">
          <cell r="A206" t="str">
            <v>4001320</v>
          </cell>
          <cell r="B206" t="str">
            <v>3300</v>
          </cell>
          <cell r="C206" t="str">
            <v>3001</v>
          </cell>
          <cell r="D206" t="str">
            <v>L</v>
          </cell>
          <cell r="E206" t="str">
            <v/>
          </cell>
          <cell r="F206" t="str">
            <v>2026</v>
          </cell>
          <cell r="G206" t="str">
            <v>2</v>
          </cell>
          <cell r="H206">
            <v>300</v>
          </cell>
          <cell r="I206">
            <v>0</v>
          </cell>
          <cell r="J206" t="str">
            <v>X</v>
          </cell>
          <cell r="K206" t="str">
            <v>X</v>
          </cell>
          <cell r="L206" t="str">
            <v>12:09:03</v>
          </cell>
          <cell r="M206">
            <v>45994</v>
          </cell>
          <cell r="N206">
            <v>44430</v>
          </cell>
          <cell r="O206" t="str">
            <v>X</v>
          </cell>
          <cell r="P206" t="str">
            <v>2025</v>
          </cell>
          <cell r="Q206">
            <v>300</v>
          </cell>
          <cell r="R206" t="str">
            <v/>
          </cell>
        </row>
        <row r="207">
          <cell r="A207" t="str">
            <v>4001323</v>
          </cell>
          <cell r="B207" t="str">
            <v>3300</v>
          </cell>
          <cell r="C207" t="str">
            <v>3001</v>
          </cell>
          <cell r="D207" t="str">
            <v>L</v>
          </cell>
          <cell r="E207" t="str">
            <v>X</v>
          </cell>
          <cell r="F207" t="str">
            <v>2022</v>
          </cell>
          <cell r="G207" t="str">
            <v>2</v>
          </cell>
          <cell r="H207">
            <v>0</v>
          </cell>
          <cell r="I207">
            <v>0</v>
          </cell>
          <cell r="J207" t="str">
            <v/>
          </cell>
          <cell r="K207" t="str">
            <v>X</v>
          </cell>
          <cell r="L207" t="str">
            <v>SLETTET</v>
          </cell>
          <cell r="M207">
            <v>44565</v>
          </cell>
          <cell r="N207">
            <v>44430</v>
          </cell>
          <cell r="O207" t="str">
            <v>X</v>
          </cell>
          <cell r="P207" t="str">
            <v>2023</v>
          </cell>
          <cell r="Q207">
            <v>0</v>
          </cell>
          <cell r="R207" t="str">
            <v>INAKTIV</v>
          </cell>
        </row>
        <row r="208">
          <cell r="A208" t="str">
            <v>4001324</v>
          </cell>
          <cell r="B208" t="str">
            <v>3300</v>
          </cell>
          <cell r="C208" t="str">
            <v>3001</v>
          </cell>
          <cell r="D208" t="str">
            <v>L</v>
          </cell>
          <cell r="E208" t="str">
            <v/>
          </cell>
          <cell r="F208" t="str">
            <v>2026</v>
          </cell>
          <cell r="G208" t="str">
            <v>2</v>
          </cell>
          <cell r="H208">
            <v>21</v>
          </cell>
          <cell r="I208">
            <v>0</v>
          </cell>
          <cell r="J208" t="str">
            <v>X</v>
          </cell>
          <cell r="K208" t="str">
            <v>X</v>
          </cell>
          <cell r="L208" t="str">
            <v>05:06:00</v>
          </cell>
          <cell r="M208">
            <v>45803</v>
          </cell>
          <cell r="N208">
            <v>44430</v>
          </cell>
          <cell r="O208" t="str">
            <v>X</v>
          </cell>
          <cell r="P208" t="str">
            <v>2025</v>
          </cell>
          <cell r="Q208">
            <v>21</v>
          </cell>
          <cell r="R208" t="str">
            <v/>
          </cell>
        </row>
        <row r="209">
          <cell r="A209" t="str">
            <v>4001327</v>
          </cell>
          <cell r="B209" t="str">
            <v>3300</v>
          </cell>
          <cell r="C209" t="str">
            <v>3001</v>
          </cell>
          <cell r="D209" t="str">
            <v>L</v>
          </cell>
          <cell r="E209" t="str">
            <v/>
          </cell>
          <cell r="F209" t="str">
            <v>2022</v>
          </cell>
          <cell r="G209" t="str">
            <v>11</v>
          </cell>
          <cell r="H209">
            <v>0</v>
          </cell>
          <cell r="I209">
            <v>0</v>
          </cell>
          <cell r="J209" t="str">
            <v/>
          </cell>
          <cell r="K209" t="str">
            <v>X</v>
          </cell>
          <cell r="L209" t="str">
            <v>SLETTET</v>
          </cell>
          <cell r="M209">
            <v>44568</v>
          </cell>
          <cell r="N209">
            <v>44430</v>
          </cell>
          <cell r="O209" t="str">
            <v>X</v>
          </cell>
          <cell r="P209" t="str">
            <v>2023</v>
          </cell>
          <cell r="Q209">
            <v>0</v>
          </cell>
          <cell r="R209" t="str">
            <v>INAKTIV</v>
          </cell>
        </row>
        <row r="210">
          <cell r="A210" t="str">
            <v>4001328</v>
          </cell>
          <cell r="B210" t="str">
            <v>3300</v>
          </cell>
          <cell r="C210" t="str">
            <v>3001</v>
          </cell>
          <cell r="D210" t="str">
            <v>L</v>
          </cell>
          <cell r="E210" t="str">
            <v/>
          </cell>
          <cell r="F210" t="str">
            <v>2026</v>
          </cell>
          <cell r="G210" t="str">
            <v>3</v>
          </cell>
          <cell r="H210">
            <v>415</v>
          </cell>
          <cell r="I210">
            <v>0</v>
          </cell>
          <cell r="J210" t="str">
            <v>X</v>
          </cell>
          <cell r="K210" t="str">
            <v>X</v>
          </cell>
          <cell r="L210" t="str">
            <v>06:05:01</v>
          </cell>
          <cell r="M210">
            <v>45819</v>
          </cell>
          <cell r="N210">
            <v>44430</v>
          </cell>
          <cell r="O210" t="str">
            <v>X</v>
          </cell>
          <cell r="P210" t="str">
            <v>2025</v>
          </cell>
          <cell r="Q210">
            <v>415</v>
          </cell>
          <cell r="R210" t="str">
            <v/>
          </cell>
        </row>
        <row r="211">
          <cell r="A211" t="str">
            <v>4001331</v>
          </cell>
          <cell r="B211" t="str">
            <v>3300</v>
          </cell>
          <cell r="C211" t="str">
            <v>3001</v>
          </cell>
          <cell r="D211" t="str">
            <v>L</v>
          </cell>
          <cell r="E211" t="str">
            <v/>
          </cell>
          <cell r="F211" t="str">
            <v>2026</v>
          </cell>
          <cell r="G211" t="str">
            <v>3</v>
          </cell>
          <cell r="H211">
            <v>1550</v>
          </cell>
          <cell r="I211">
            <v>0</v>
          </cell>
          <cell r="J211" t="str">
            <v>X</v>
          </cell>
          <cell r="K211" t="str">
            <v>X</v>
          </cell>
          <cell r="L211" t="str">
            <v>08:11:03</v>
          </cell>
          <cell r="M211">
            <v>45980</v>
          </cell>
          <cell r="N211">
            <v>44430</v>
          </cell>
          <cell r="O211" t="str">
            <v>X</v>
          </cell>
          <cell r="P211" t="str">
            <v>2025</v>
          </cell>
          <cell r="Q211">
            <v>1550</v>
          </cell>
          <cell r="R211" t="str">
            <v/>
          </cell>
        </row>
        <row r="212">
          <cell r="A212" t="str">
            <v>4001333</v>
          </cell>
          <cell r="B212" t="str">
            <v>3300</v>
          </cell>
          <cell r="C212" t="str">
            <v>3001</v>
          </cell>
          <cell r="D212" t="str">
            <v>L</v>
          </cell>
          <cell r="E212" t="str">
            <v/>
          </cell>
          <cell r="F212" t="str">
            <v>2023</v>
          </cell>
          <cell r="G212" t="str">
            <v>7</v>
          </cell>
          <cell r="H212">
            <v>0</v>
          </cell>
          <cell r="I212">
            <v>0</v>
          </cell>
          <cell r="J212" t="str">
            <v/>
          </cell>
          <cell r="K212" t="str">
            <v>X</v>
          </cell>
          <cell r="L212" t="str">
            <v>SLETTET</v>
          </cell>
          <cell r="M212">
            <v>44568</v>
          </cell>
          <cell r="N212">
            <v>44430</v>
          </cell>
          <cell r="O212" t="str">
            <v>X</v>
          </cell>
          <cell r="P212" t="str">
            <v>2023</v>
          </cell>
          <cell r="Q212">
            <v>0</v>
          </cell>
          <cell r="R212" t="str">
            <v>INAKTIV</v>
          </cell>
        </row>
        <row r="213">
          <cell r="A213" t="str">
            <v>4001334</v>
          </cell>
          <cell r="B213" t="str">
            <v>3300</v>
          </cell>
          <cell r="C213" t="str">
            <v>3001</v>
          </cell>
          <cell r="D213" t="str">
            <v>L</v>
          </cell>
          <cell r="E213" t="str">
            <v/>
          </cell>
          <cell r="F213" t="str">
            <v>2026</v>
          </cell>
          <cell r="G213" t="str">
            <v>2</v>
          </cell>
          <cell r="H213">
            <v>415</v>
          </cell>
          <cell r="I213">
            <v>0</v>
          </cell>
          <cell r="J213" t="str">
            <v>X</v>
          </cell>
          <cell r="K213" t="str">
            <v>X</v>
          </cell>
          <cell r="L213" t="str">
            <v>05:09:03</v>
          </cell>
          <cell r="M213">
            <v>45804</v>
          </cell>
          <cell r="N213">
            <v>44430</v>
          </cell>
          <cell r="O213" t="str">
            <v>X</v>
          </cell>
          <cell r="P213" t="str">
            <v>2025</v>
          </cell>
          <cell r="Q213">
            <v>415</v>
          </cell>
          <cell r="R213" t="str">
            <v/>
          </cell>
        </row>
        <row r="214">
          <cell r="A214" t="str">
            <v>4001335</v>
          </cell>
          <cell r="B214" t="str">
            <v>3300</v>
          </cell>
          <cell r="C214" t="str">
            <v>3001</v>
          </cell>
          <cell r="D214" t="str">
            <v>L</v>
          </cell>
          <cell r="E214" t="str">
            <v/>
          </cell>
          <cell r="F214" t="str">
            <v>2021</v>
          </cell>
          <cell r="G214" t="str">
            <v>11</v>
          </cell>
          <cell r="H214">
            <v>0</v>
          </cell>
          <cell r="I214">
            <v>0</v>
          </cell>
          <cell r="J214" t="str">
            <v/>
          </cell>
          <cell r="K214" t="str">
            <v>X</v>
          </cell>
          <cell r="L214" t="str">
            <v>SLETTET</v>
          </cell>
          <cell r="M214">
            <v>44568</v>
          </cell>
          <cell r="N214">
            <v>44430</v>
          </cell>
          <cell r="O214" t="str">
            <v>X</v>
          </cell>
          <cell r="P214" t="str">
            <v>2023</v>
          </cell>
          <cell r="Q214">
            <v>0</v>
          </cell>
          <cell r="R214" t="str">
            <v>INAKTIV</v>
          </cell>
        </row>
        <row r="215">
          <cell r="A215" t="str">
            <v>4001336</v>
          </cell>
          <cell r="B215" t="str">
            <v>3300</v>
          </cell>
          <cell r="C215" t="str">
            <v>3001</v>
          </cell>
          <cell r="D215" t="str">
            <v>L</v>
          </cell>
          <cell r="E215" t="str">
            <v/>
          </cell>
          <cell r="F215" t="str">
            <v>2021</v>
          </cell>
          <cell r="G215" t="str">
            <v>11</v>
          </cell>
          <cell r="H215">
            <v>0</v>
          </cell>
          <cell r="I215">
            <v>0</v>
          </cell>
          <cell r="J215" t="str">
            <v>X</v>
          </cell>
          <cell r="K215" t="str">
            <v/>
          </cell>
          <cell r="L215" t="str">
            <v>SLETTET</v>
          </cell>
          <cell r="M215">
            <v>44568</v>
          </cell>
          <cell r="N215">
            <v>44430</v>
          </cell>
          <cell r="O215" t="str">
            <v>X</v>
          </cell>
          <cell r="P215" t="str">
            <v>2022</v>
          </cell>
          <cell r="Q215">
            <v>0</v>
          </cell>
          <cell r="R215" t="str">
            <v>INAKTIV</v>
          </cell>
        </row>
        <row r="216">
          <cell r="A216" t="str">
            <v>4001337</v>
          </cell>
          <cell r="B216" t="str">
            <v>3300</v>
          </cell>
          <cell r="C216" t="str">
            <v>3001</v>
          </cell>
          <cell r="D216" t="str">
            <v>L</v>
          </cell>
          <cell r="E216" t="str">
            <v/>
          </cell>
          <cell r="F216" t="str">
            <v>2022</v>
          </cell>
          <cell r="G216" t="str">
            <v>1</v>
          </cell>
          <cell r="H216">
            <v>0</v>
          </cell>
          <cell r="I216">
            <v>0</v>
          </cell>
          <cell r="J216" t="str">
            <v>X</v>
          </cell>
          <cell r="K216" t="str">
            <v/>
          </cell>
          <cell r="L216" t="str">
            <v>SLETTET</v>
          </cell>
          <cell r="M216">
            <v>44568</v>
          </cell>
          <cell r="N216">
            <v>44430</v>
          </cell>
          <cell r="O216" t="str">
            <v>X</v>
          </cell>
          <cell r="P216" t="str">
            <v>2022</v>
          </cell>
          <cell r="Q216">
            <v>0</v>
          </cell>
          <cell r="R216" t="str">
            <v>INAKTIV</v>
          </cell>
        </row>
        <row r="217">
          <cell r="A217" t="str">
            <v>4001338</v>
          </cell>
          <cell r="B217" t="str">
            <v>3300</v>
          </cell>
          <cell r="C217" t="str">
            <v>3001</v>
          </cell>
          <cell r="D217" t="str">
            <v>L</v>
          </cell>
          <cell r="E217" t="str">
            <v/>
          </cell>
          <cell r="F217" t="str">
            <v>2021</v>
          </cell>
          <cell r="G217" t="str">
            <v>11</v>
          </cell>
          <cell r="H217">
            <v>0</v>
          </cell>
          <cell r="I217">
            <v>0</v>
          </cell>
          <cell r="J217" t="str">
            <v/>
          </cell>
          <cell r="K217" t="str">
            <v>X</v>
          </cell>
          <cell r="L217" t="str">
            <v>SLETTET</v>
          </cell>
          <cell r="M217">
            <v>44568</v>
          </cell>
          <cell r="N217">
            <v>44430</v>
          </cell>
          <cell r="O217" t="str">
            <v>X</v>
          </cell>
          <cell r="P217" t="str">
            <v>2023</v>
          </cell>
          <cell r="Q217">
            <v>0</v>
          </cell>
          <cell r="R217" t="str">
            <v>INAKTIV</v>
          </cell>
        </row>
        <row r="218">
          <cell r="A218" t="str">
            <v>4001339</v>
          </cell>
          <cell r="B218" t="str">
            <v>3300</v>
          </cell>
          <cell r="C218" t="str">
            <v>3001</v>
          </cell>
          <cell r="D218" t="str">
            <v>L</v>
          </cell>
          <cell r="E218" t="str">
            <v/>
          </cell>
          <cell r="F218" t="str">
            <v>2021</v>
          </cell>
          <cell r="G218" t="str">
            <v>10</v>
          </cell>
          <cell r="H218">
            <v>0</v>
          </cell>
          <cell r="I218">
            <v>0</v>
          </cell>
          <cell r="J218" t="str">
            <v/>
          </cell>
          <cell r="K218" t="str">
            <v>X</v>
          </cell>
          <cell r="L218" t="str">
            <v>SLETTET</v>
          </cell>
          <cell r="M218">
            <v>44568</v>
          </cell>
          <cell r="N218">
            <v>44430</v>
          </cell>
          <cell r="O218" t="str">
            <v>X</v>
          </cell>
          <cell r="P218" t="str">
            <v>2023</v>
          </cell>
          <cell r="Q218">
            <v>0</v>
          </cell>
          <cell r="R218" t="str">
            <v>INAKTIV</v>
          </cell>
        </row>
        <row r="219">
          <cell r="A219" t="str">
            <v>4001340</v>
          </cell>
          <cell r="B219" t="str">
            <v>3300</v>
          </cell>
          <cell r="C219" t="str">
            <v>3001</v>
          </cell>
          <cell r="D219" t="str">
            <v>L</v>
          </cell>
          <cell r="E219" t="str">
            <v/>
          </cell>
          <cell r="F219" t="str">
            <v>2026</v>
          </cell>
          <cell r="G219" t="str">
            <v>2</v>
          </cell>
          <cell r="H219">
            <v>36</v>
          </cell>
          <cell r="I219">
            <v>0</v>
          </cell>
          <cell r="J219" t="str">
            <v>X</v>
          </cell>
          <cell r="K219" t="str">
            <v>X</v>
          </cell>
          <cell r="L219" t="str">
            <v>07:03:03</v>
          </cell>
          <cell r="M219">
            <v>45824</v>
          </cell>
          <cell r="N219">
            <v>44430</v>
          </cell>
          <cell r="O219" t="str">
            <v>X</v>
          </cell>
          <cell r="P219" t="str">
            <v>2025</v>
          </cell>
          <cell r="Q219">
            <v>36</v>
          </cell>
          <cell r="R219" t="str">
            <v/>
          </cell>
        </row>
        <row r="220">
          <cell r="A220" t="str">
            <v>4001341</v>
          </cell>
          <cell r="B220" t="str">
            <v>3300</v>
          </cell>
          <cell r="C220" t="str">
            <v>3001</v>
          </cell>
          <cell r="D220" t="str">
            <v>L</v>
          </cell>
          <cell r="E220" t="str">
            <v/>
          </cell>
          <cell r="F220" t="str">
            <v>2026</v>
          </cell>
          <cell r="G220" t="str">
            <v>3</v>
          </cell>
          <cell r="H220">
            <v>749</v>
          </cell>
          <cell r="I220">
            <v>0</v>
          </cell>
          <cell r="J220" t="str">
            <v>X</v>
          </cell>
          <cell r="K220" t="str">
            <v>X</v>
          </cell>
          <cell r="L220" t="str">
            <v>08:08:01</v>
          </cell>
          <cell r="M220">
            <v>45980</v>
          </cell>
          <cell r="N220">
            <v>44430</v>
          </cell>
          <cell r="O220" t="str">
            <v>X</v>
          </cell>
          <cell r="P220" t="str">
            <v>2025</v>
          </cell>
          <cell r="Q220">
            <v>749</v>
          </cell>
          <cell r="R220" t="str">
            <v/>
          </cell>
        </row>
        <row r="221">
          <cell r="A221" t="str">
            <v>4001343</v>
          </cell>
          <cell r="B221" t="str">
            <v>3300</v>
          </cell>
          <cell r="C221" t="str">
            <v>3001</v>
          </cell>
          <cell r="D221" t="str">
            <v>L</v>
          </cell>
          <cell r="E221" t="str">
            <v/>
          </cell>
          <cell r="F221" t="str">
            <v>2026</v>
          </cell>
          <cell r="G221" t="str">
            <v>3</v>
          </cell>
          <cell r="H221">
            <v>52</v>
          </cell>
          <cell r="I221">
            <v>0</v>
          </cell>
          <cell r="J221" t="str">
            <v>X</v>
          </cell>
          <cell r="K221" t="str">
            <v>X</v>
          </cell>
          <cell r="L221" t="str">
            <v>02:02:03</v>
          </cell>
          <cell r="M221">
            <v>45796</v>
          </cell>
          <cell r="N221">
            <v>44430</v>
          </cell>
          <cell r="O221" t="str">
            <v>X</v>
          </cell>
          <cell r="P221" t="str">
            <v>2025</v>
          </cell>
          <cell r="Q221">
            <v>52</v>
          </cell>
          <cell r="R221" t="str">
            <v/>
          </cell>
        </row>
        <row r="222">
          <cell r="A222" t="str">
            <v>4001344</v>
          </cell>
          <cell r="B222" t="str">
            <v>3300</v>
          </cell>
          <cell r="C222" t="str">
            <v>3001</v>
          </cell>
          <cell r="D222" t="str">
            <v>L</v>
          </cell>
          <cell r="E222" t="str">
            <v/>
          </cell>
          <cell r="F222" t="str">
            <v>2026</v>
          </cell>
          <cell r="G222" t="str">
            <v>3</v>
          </cell>
          <cell r="H222">
            <v>108</v>
          </cell>
          <cell r="I222">
            <v>0</v>
          </cell>
          <cell r="J222" t="str">
            <v>X</v>
          </cell>
          <cell r="K222" t="str">
            <v>X</v>
          </cell>
          <cell r="L222" t="str">
            <v>02:02:02</v>
          </cell>
          <cell r="M222">
            <v>45796</v>
          </cell>
          <cell r="N222">
            <v>44430</v>
          </cell>
          <cell r="O222" t="str">
            <v>X</v>
          </cell>
          <cell r="P222" t="str">
            <v>2025</v>
          </cell>
          <cell r="Q222">
            <v>108</v>
          </cell>
          <cell r="R222" t="str">
            <v/>
          </cell>
        </row>
        <row r="223">
          <cell r="A223" t="str">
            <v>4001345</v>
          </cell>
          <cell r="B223" t="str">
            <v>3300</v>
          </cell>
          <cell r="C223" t="str">
            <v>3001</v>
          </cell>
          <cell r="D223" t="str">
            <v>L</v>
          </cell>
          <cell r="E223" t="str">
            <v/>
          </cell>
          <cell r="F223" t="str">
            <v>2026</v>
          </cell>
          <cell r="G223" t="str">
            <v>2</v>
          </cell>
          <cell r="H223">
            <v>50</v>
          </cell>
          <cell r="I223">
            <v>0</v>
          </cell>
          <cell r="J223" t="str">
            <v>X</v>
          </cell>
          <cell r="K223" t="str">
            <v>X</v>
          </cell>
          <cell r="L223" t="str">
            <v>02:02:01</v>
          </cell>
          <cell r="M223">
            <v>45796</v>
          </cell>
          <cell r="N223">
            <v>44430</v>
          </cell>
          <cell r="O223" t="str">
            <v>X</v>
          </cell>
          <cell r="P223" t="str">
            <v>2025</v>
          </cell>
          <cell r="Q223">
            <v>50</v>
          </cell>
          <cell r="R223" t="str">
            <v/>
          </cell>
        </row>
        <row r="224">
          <cell r="A224" t="str">
            <v>4001347</v>
          </cell>
          <cell r="B224" t="str">
            <v>3300</v>
          </cell>
          <cell r="C224" t="str">
            <v>3001</v>
          </cell>
          <cell r="D224" t="str">
            <v>L</v>
          </cell>
          <cell r="E224" t="str">
            <v/>
          </cell>
          <cell r="F224" t="str">
            <v>2026</v>
          </cell>
          <cell r="G224" t="str">
            <v>2</v>
          </cell>
          <cell r="H224">
            <v>15</v>
          </cell>
          <cell r="I224">
            <v>0</v>
          </cell>
          <cell r="J224" t="str">
            <v>X</v>
          </cell>
          <cell r="K224" t="str">
            <v>X</v>
          </cell>
          <cell r="L224" t="str">
            <v>02:06:01</v>
          </cell>
          <cell r="M224">
            <v>45796</v>
          </cell>
          <cell r="N224">
            <v>44430</v>
          </cell>
          <cell r="O224" t="str">
            <v>X</v>
          </cell>
          <cell r="P224" t="str">
            <v>2025</v>
          </cell>
          <cell r="Q224">
            <v>15</v>
          </cell>
          <cell r="R224" t="str">
            <v/>
          </cell>
        </row>
        <row r="225">
          <cell r="A225" t="str">
            <v>4001348</v>
          </cell>
          <cell r="B225" t="str">
            <v>3300</v>
          </cell>
          <cell r="C225" t="str">
            <v>3001</v>
          </cell>
          <cell r="D225" t="str">
            <v>DL</v>
          </cell>
          <cell r="E225" t="str">
            <v/>
          </cell>
          <cell r="F225" t="str">
            <v>2026</v>
          </cell>
          <cell r="G225" t="str">
            <v>3</v>
          </cell>
          <cell r="H225">
            <v>200</v>
          </cell>
          <cell r="I225">
            <v>0</v>
          </cell>
          <cell r="J225" t="str">
            <v>X</v>
          </cell>
          <cell r="K225" t="str">
            <v>X</v>
          </cell>
          <cell r="L225" t="str">
            <v>05:04:02</v>
          </cell>
          <cell r="M225">
            <v>45803</v>
          </cell>
          <cell r="N225">
            <v>44908</v>
          </cell>
          <cell r="O225" t="str">
            <v>X</v>
          </cell>
          <cell r="P225" t="str">
            <v>2025</v>
          </cell>
          <cell r="Q225">
            <v>200</v>
          </cell>
          <cell r="R225" t="str">
            <v/>
          </cell>
        </row>
        <row r="226">
          <cell r="A226" t="str">
            <v>4001349</v>
          </cell>
          <cell r="B226" t="str">
            <v>3300</v>
          </cell>
          <cell r="C226" t="str">
            <v>3001</v>
          </cell>
          <cell r="D226" t="str">
            <v>DL</v>
          </cell>
          <cell r="E226" t="str">
            <v/>
          </cell>
          <cell r="F226" t="str">
            <v>2026</v>
          </cell>
          <cell r="G226" t="str">
            <v>2</v>
          </cell>
          <cell r="H226">
            <v>160</v>
          </cell>
          <cell r="I226">
            <v>0</v>
          </cell>
          <cell r="J226" t="str">
            <v>X</v>
          </cell>
          <cell r="K226" t="str">
            <v>X</v>
          </cell>
          <cell r="L226" t="str">
            <v>05:05:03</v>
          </cell>
          <cell r="M226">
            <v>45803</v>
          </cell>
          <cell r="N226">
            <v>44908</v>
          </cell>
          <cell r="O226" t="str">
            <v>X</v>
          </cell>
          <cell r="P226" t="str">
            <v>2025</v>
          </cell>
          <cell r="Q226">
            <v>160</v>
          </cell>
          <cell r="R226" t="str">
            <v/>
          </cell>
        </row>
        <row r="227">
          <cell r="A227" t="str">
            <v>4001350</v>
          </cell>
          <cell r="B227" t="str">
            <v>3300</v>
          </cell>
          <cell r="C227" t="str">
            <v>3001</v>
          </cell>
          <cell r="D227" t="str">
            <v>L</v>
          </cell>
          <cell r="E227" t="str">
            <v/>
          </cell>
          <cell r="F227" t="str">
            <v>2026</v>
          </cell>
          <cell r="G227" t="str">
            <v>3</v>
          </cell>
          <cell r="H227">
            <v>3200</v>
          </cell>
          <cell r="I227">
            <v>0</v>
          </cell>
          <cell r="J227" t="str">
            <v>X</v>
          </cell>
          <cell r="K227" t="str">
            <v>X</v>
          </cell>
          <cell r="L227" t="str">
            <v>09:11:02</v>
          </cell>
          <cell r="M227">
            <v>45987</v>
          </cell>
          <cell r="N227">
            <v>44430</v>
          </cell>
          <cell r="O227" t="str">
            <v>X</v>
          </cell>
          <cell r="P227" t="str">
            <v>2025</v>
          </cell>
          <cell r="Q227">
            <v>3200</v>
          </cell>
          <cell r="R227" t="str">
            <v/>
          </cell>
        </row>
        <row r="228">
          <cell r="A228" t="str">
            <v>4001351</v>
          </cell>
          <cell r="B228" t="str">
            <v>3300</v>
          </cell>
          <cell r="C228" t="str">
            <v>3001</v>
          </cell>
          <cell r="D228" t="str">
            <v>L</v>
          </cell>
          <cell r="E228" t="str">
            <v/>
          </cell>
          <cell r="F228" t="str">
            <v>2021</v>
          </cell>
          <cell r="G228" t="str">
            <v>10</v>
          </cell>
          <cell r="H228">
            <v>0</v>
          </cell>
          <cell r="I228">
            <v>0</v>
          </cell>
          <cell r="J228" t="str">
            <v/>
          </cell>
          <cell r="K228" t="str">
            <v>X</v>
          </cell>
          <cell r="L228" t="str">
            <v>SLETTET</v>
          </cell>
          <cell r="M228">
            <v>44568</v>
          </cell>
          <cell r="N228">
            <v>44430</v>
          </cell>
          <cell r="O228" t="str">
            <v>X</v>
          </cell>
          <cell r="P228" t="str">
            <v>2023</v>
          </cell>
          <cell r="Q228">
            <v>0</v>
          </cell>
          <cell r="R228" t="str">
            <v>INAKTIV</v>
          </cell>
        </row>
        <row r="229">
          <cell r="A229" t="str">
            <v>4001354</v>
          </cell>
          <cell r="B229" t="str">
            <v>3300</v>
          </cell>
          <cell r="C229" t="str">
            <v>3001</v>
          </cell>
          <cell r="D229" t="str">
            <v>L</v>
          </cell>
          <cell r="E229" t="str">
            <v/>
          </cell>
          <cell r="F229" t="str">
            <v>2026</v>
          </cell>
          <cell r="G229" t="str">
            <v>2</v>
          </cell>
          <cell r="H229">
            <v>650</v>
          </cell>
          <cell r="I229">
            <v>0</v>
          </cell>
          <cell r="J229" t="str">
            <v>X</v>
          </cell>
          <cell r="K229" t="str">
            <v>X</v>
          </cell>
          <cell r="L229" t="str">
            <v>14:13:02</v>
          </cell>
          <cell r="M229">
            <v>46001</v>
          </cell>
          <cell r="N229">
            <v>44430</v>
          </cell>
          <cell r="O229" t="str">
            <v>X</v>
          </cell>
          <cell r="P229" t="str">
            <v>2025</v>
          </cell>
          <cell r="Q229">
            <v>650</v>
          </cell>
          <cell r="R229" t="str">
            <v/>
          </cell>
        </row>
        <row r="230">
          <cell r="A230" t="str">
            <v>4001357</v>
          </cell>
          <cell r="B230" t="str">
            <v>3300</v>
          </cell>
          <cell r="C230" t="str">
            <v>3001</v>
          </cell>
          <cell r="D230" t="str">
            <v>L</v>
          </cell>
          <cell r="E230" t="str">
            <v/>
          </cell>
          <cell r="F230" t="str">
            <v>2023</v>
          </cell>
          <cell r="G230" t="str">
            <v>8</v>
          </cell>
          <cell r="H230">
            <v>0</v>
          </cell>
          <cell r="I230">
            <v>0</v>
          </cell>
          <cell r="J230" t="str">
            <v/>
          </cell>
          <cell r="K230" t="str">
            <v/>
          </cell>
          <cell r="L230" t="str">
            <v>SLETTET</v>
          </cell>
          <cell r="M230">
            <v>44568</v>
          </cell>
          <cell r="N230">
            <v>44430</v>
          </cell>
          <cell r="O230" t="str">
            <v>X</v>
          </cell>
          <cell r="P230" t="str">
            <v>2025</v>
          </cell>
          <cell r="Q230">
            <v>0</v>
          </cell>
          <cell r="R230" t="str">
            <v>INAKTIV</v>
          </cell>
        </row>
        <row r="231">
          <cell r="A231" t="str">
            <v>4001359</v>
          </cell>
          <cell r="B231" t="str">
            <v>3300</v>
          </cell>
          <cell r="C231" t="str">
            <v>3001</v>
          </cell>
          <cell r="D231" t="str">
            <v>L</v>
          </cell>
          <cell r="E231" t="str">
            <v/>
          </cell>
          <cell r="F231" t="str">
            <v>2026</v>
          </cell>
          <cell r="G231" t="str">
            <v>2</v>
          </cell>
          <cell r="H231">
            <v>650</v>
          </cell>
          <cell r="I231">
            <v>0</v>
          </cell>
          <cell r="J231" t="str">
            <v>X</v>
          </cell>
          <cell r="K231" t="str">
            <v>X</v>
          </cell>
          <cell r="L231" t="str">
            <v>13:01:01</v>
          </cell>
          <cell r="M231">
            <v>45994</v>
          </cell>
          <cell r="N231">
            <v>44430</v>
          </cell>
          <cell r="O231" t="str">
            <v>X</v>
          </cell>
          <cell r="P231" t="str">
            <v>2025</v>
          </cell>
          <cell r="Q231">
            <v>650</v>
          </cell>
          <cell r="R231" t="str">
            <v/>
          </cell>
        </row>
        <row r="232">
          <cell r="A232" t="str">
            <v>4001363</v>
          </cell>
          <cell r="B232" t="str">
            <v>3300</v>
          </cell>
          <cell r="C232" t="str">
            <v>3001</v>
          </cell>
          <cell r="D232" t="str">
            <v>L</v>
          </cell>
          <cell r="E232" t="str">
            <v/>
          </cell>
          <cell r="F232" t="str">
            <v>2026</v>
          </cell>
          <cell r="G232" t="str">
            <v>3</v>
          </cell>
          <cell r="H232">
            <v>0</v>
          </cell>
          <cell r="I232">
            <v>0</v>
          </cell>
          <cell r="J232" t="str">
            <v>X</v>
          </cell>
          <cell r="K232" t="str">
            <v>X</v>
          </cell>
          <cell r="L232" t="str">
            <v>13:02:03</v>
          </cell>
          <cell r="M232">
            <v>45994</v>
          </cell>
          <cell r="N232">
            <v>44430</v>
          </cell>
          <cell r="O232" t="str">
            <v>X</v>
          </cell>
          <cell r="P232" t="str">
            <v>2025</v>
          </cell>
          <cell r="Q232">
            <v>0</v>
          </cell>
          <cell r="R232" t="str">
            <v>INAKTIV</v>
          </cell>
        </row>
        <row r="233">
          <cell r="A233" t="str">
            <v>4001364</v>
          </cell>
          <cell r="B233" t="str">
            <v>3300</v>
          </cell>
          <cell r="C233" t="str">
            <v>3001</v>
          </cell>
          <cell r="D233" t="str">
            <v>L</v>
          </cell>
          <cell r="E233" t="str">
            <v/>
          </cell>
          <cell r="F233" t="str">
            <v>2026</v>
          </cell>
          <cell r="G233" t="str">
            <v>3</v>
          </cell>
          <cell r="H233">
            <v>900</v>
          </cell>
          <cell r="I233">
            <v>0</v>
          </cell>
          <cell r="J233" t="str">
            <v>X</v>
          </cell>
          <cell r="K233" t="str">
            <v>X</v>
          </cell>
          <cell r="L233" t="str">
            <v>14:14:03</v>
          </cell>
          <cell r="M233">
            <v>46001</v>
          </cell>
          <cell r="N233">
            <v>44430</v>
          </cell>
          <cell r="O233" t="str">
            <v>X</v>
          </cell>
          <cell r="P233" t="str">
            <v>2025</v>
          </cell>
          <cell r="Q233">
            <v>900</v>
          </cell>
          <cell r="R233" t="str">
            <v/>
          </cell>
        </row>
        <row r="234">
          <cell r="A234" t="str">
            <v>4001365</v>
          </cell>
          <cell r="B234" t="str">
            <v>3300</v>
          </cell>
          <cell r="C234" t="str">
            <v>3001</v>
          </cell>
          <cell r="D234" t="str">
            <v>L</v>
          </cell>
          <cell r="E234" t="str">
            <v/>
          </cell>
          <cell r="F234" t="str">
            <v>2026</v>
          </cell>
          <cell r="G234" t="str">
            <v>2</v>
          </cell>
          <cell r="H234">
            <v>52</v>
          </cell>
          <cell r="I234">
            <v>0</v>
          </cell>
          <cell r="J234" t="str">
            <v>X</v>
          </cell>
          <cell r="K234" t="str">
            <v>X</v>
          </cell>
          <cell r="L234" t="str">
            <v>02:04:01</v>
          </cell>
          <cell r="M234">
            <v>45796</v>
          </cell>
          <cell r="N234">
            <v>44430</v>
          </cell>
          <cell r="O234" t="str">
            <v>X</v>
          </cell>
          <cell r="P234" t="str">
            <v>2025</v>
          </cell>
          <cell r="Q234">
            <v>52</v>
          </cell>
          <cell r="R234" t="str">
            <v/>
          </cell>
        </row>
        <row r="235">
          <cell r="A235" t="str">
            <v>4001366</v>
          </cell>
          <cell r="B235" t="str">
            <v>3300</v>
          </cell>
          <cell r="C235" t="str">
            <v>3001</v>
          </cell>
          <cell r="D235" t="str">
            <v>L</v>
          </cell>
          <cell r="E235" t="str">
            <v/>
          </cell>
          <cell r="F235" t="str">
            <v>2026</v>
          </cell>
          <cell r="G235" t="str">
            <v>2</v>
          </cell>
          <cell r="H235">
            <v>120</v>
          </cell>
          <cell r="I235">
            <v>0</v>
          </cell>
          <cell r="J235" t="str">
            <v>X</v>
          </cell>
          <cell r="K235" t="str">
            <v>X</v>
          </cell>
          <cell r="L235" t="str">
            <v>03:03:01</v>
          </cell>
          <cell r="M235">
            <v>45798</v>
          </cell>
          <cell r="N235">
            <v>44430</v>
          </cell>
          <cell r="O235" t="str">
            <v>X</v>
          </cell>
          <cell r="P235" t="str">
            <v>2025</v>
          </cell>
          <cell r="Q235">
            <v>120</v>
          </cell>
          <cell r="R235" t="str">
            <v/>
          </cell>
        </row>
        <row r="236">
          <cell r="A236" t="str">
            <v>4001367</v>
          </cell>
          <cell r="B236" t="str">
            <v>3300</v>
          </cell>
          <cell r="C236" t="str">
            <v>3001</v>
          </cell>
          <cell r="D236" t="str">
            <v>L</v>
          </cell>
          <cell r="E236" t="str">
            <v/>
          </cell>
          <cell r="F236" t="str">
            <v>2026</v>
          </cell>
          <cell r="G236" t="str">
            <v>2</v>
          </cell>
          <cell r="H236">
            <v>466</v>
          </cell>
          <cell r="I236">
            <v>0</v>
          </cell>
          <cell r="J236" t="str">
            <v>X</v>
          </cell>
          <cell r="K236" t="str">
            <v>X</v>
          </cell>
          <cell r="L236" t="str">
            <v>04:02:03</v>
          </cell>
          <cell r="M236">
            <v>45798</v>
          </cell>
          <cell r="N236">
            <v>44430</v>
          </cell>
          <cell r="O236" t="str">
            <v>X</v>
          </cell>
          <cell r="P236" t="str">
            <v>2025</v>
          </cell>
          <cell r="Q236">
            <v>466</v>
          </cell>
          <cell r="R236" t="str">
            <v/>
          </cell>
        </row>
        <row r="237">
          <cell r="A237" t="str">
            <v>4001368</v>
          </cell>
          <cell r="B237" t="str">
            <v>3300</v>
          </cell>
          <cell r="C237" t="str">
            <v>3001</v>
          </cell>
          <cell r="D237" t="str">
            <v>L</v>
          </cell>
          <cell r="E237" t="str">
            <v/>
          </cell>
          <cell r="F237" t="str">
            <v>2026</v>
          </cell>
          <cell r="G237" t="str">
            <v>3</v>
          </cell>
          <cell r="H237">
            <v>2036</v>
          </cell>
          <cell r="I237">
            <v>0</v>
          </cell>
          <cell r="J237" t="str">
            <v>X</v>
          </cell>
          <cell r="K237" t="str">
            <v>X</v>
          </cell>
          <cell r="L237" t="str">
            <v>04:03:03</v>
          </cell>
          <cell r="M237">
            <v>45798</v>
          </cell>
          <cell r="N237">
            <v>44430</v>
          </cell>
          <cell r="O237" t="str">
            <v>X</v>
          </cell>
          <cell r="P237" t="str">
            <v>2025</v>
          </cell>
          <cell r="Q237">
            <v>2036</v>
          </cell>
          <cell r="R237" t="str">
            <v/>
          </cell>
        </row>
        <row r="238">
          <cell r="A238" t="str">
            <v>4001369</v>
          </cell>
          <cell r="B238" t="str">
            <v>3300</v>
          </cell>
          <cell r="C238" t="str">
            <v>3001</v>
          </cell>
          <cell r="D238" t="str">
            <v>L</v>
          </cell>
          <cell r="E238" t="str">
            <v/>
          </cell>
          <cell r="F238" t="str">
            <v>2026</v>
          </cell>
          <cell r="G238" t="str">
            <v>2</v>
          </cell>
          <cell r="H238">
            <v>1600</v>
          </cell>
          <cell r="I238">
            <v>0</v>
          </cell>
          <cell r="J238" t="str">
            <v>X</v>
          </cell>
          <cell r="K238" t="str">
            <v>X</v>
          </cell>
          <cell r="L238" t="str">
            <v>04:04:03</v>
          </cell>
          <cell r="M238">
            <v>45798</v>
          </cell>
          <cell r="N238">
            <v>44430</v>
          </cell>
          <cell r="O238" t="str">
            <v>X</v>
          </cell>
          <cell r="P238" t="str">
            <v>2025</v>
          </cell>
          <cell r="Q238">
            <v>1600</v>
          </cell>
          <cell r="R238" t="str">
            <v/>
          </cell>
        </row>
        <row r="239">
          <cell r="A239" t="str">
            <v>4001371</v>
          </cell>
          <cell r="B239" t="str">
            <v>3300</v>
          </cell>
          <cell r="C239" t="str">
            <v>3001</v>
          </cell>
          <cell r="D239" t="str">
            <v>L</v>
          </cell>
          <cell r="E239" t="str">
            <v/>
          </cell>
          <cell r="F239" t="str">
            <v>2026</v>
          </cell>
          <cell r="G239" t="str">
            <v>2</v>
          </cell>
          <cell r="H239">
            <v>19</v>
          </cell>
          <cell r="I239">
            <v>0</v>
          </cell>
          <cell r="J239" t="str">
            <v>X</v>
          </cell>
          <cell r="K239" t="str">
            <v>X</v>
          </cell>
          <cell r="L239" t="str">
            <v>04:08:02</v>
          </cell>
          <cell r="M239">
            <v>45799</v>
          </cell>
          <cell r="N239">
            <v>44430</v>
          </cell>
          <cell r="O239" t="str">
            <v>X</v>
          </cell>
          <cell r="P239" t="str">
            <v>2025</v>
          </cell>
          <cell r="Q239">
            <v>19</v>
          </cell>
          <cell r="R239" t="str">
            <v/>
          </cell>
        </row>
        <row r="240">
          <cell r="A240" t="str">
            <v>4001373</v>
          </cell>
          <cell r="B240" t="str">
            <v>3300</v>
          </cell>
          <cell r="C240" t="str">
            <v>3001</v>
          </cell>
          <cell r="D240" t="str">
            <v>L</v>
          </cell>
          <cell r="E240" t="str">
            <v/>
          </cell>
          <cell r="F240" t="str">
            <v>2021</v>
          </cell>
          <cell r="G240" t="str">
            <v>10</v>
          </cell>
          <cell r="H240">
            <v>0</v>
          </cell>
          <cell r="I240">
            <v>0</v>
          </cell>
          <cell r="J240" t="str">
            <v/>
          </cell>
          <cell r="K240" t="str">
            <v>X</v>
          </cell>
          <cell r="L240" t="str">
            <v>SLETTET</v>
          </cell>
          <cell r="M240">
            <v>44568</v>
          </cell>
          <cell r="N240">
            <v>44430</v>
          </cell>
          <cell r="O240" t="str">
            <v>X</v>
          </cell>
          <cell r="P240" t="str">
            <v>2023</v>
          </cell>
          <cell r="Q240">
            <v>0</v>
          </cell>
          <cell r="R240" t="str">
            <v>INAKTIV</v>
          </cell>
        </row>
        <row r="241">
          <cell r="A241" t="str">
            <v>4001374</v>
          </cell>
          <cell r="B241" t="str">
            <v>3300</v>
          </cell>
          <cell r="C241" t="str">
            <v>3001</v>
          </cell>
          <cell r="D241" t="str">
            <v>L</v>
          </cell>
          <cell r="E241" t="str">
            <v/>
          </cell>
          <cell r="F241" t="str">
            <v>2021</v>
          </cell>
          <cell r="G241" t="str">
            <v>10</v>
          </cell>
          <cell r="H241">
            <v>0</v>
          </cell>
          <cell r="I241">
            <v>0</v>
          </cell>
          <cell r="J241" t="str">
            <v/>
          </cell>
          <cell r="K241" t="str">
            <v>X</v>
          </cell>
          <cell r="L241" t="str">
            <v>SLETTET</v>
          </cell>
          <cell r="M241">
            <v>44568</v>
          </cell>
          <cell r="N241">
            <v>44430</v>
          </cell>
          <cell r="O241" t="str">
            <v>X</v>
          </cell>
          <cell r="P241" t="str">
            <v>2023</v>
          </cell>
          <cell r="Q241">
            <v>0</v>
          </cell>
          <cell r="R241" t="str">
            <v>INAKTIV</v>
          </cell>
        </row>
        <row r="242">
          <cell r="A242" t="str">
            <v>4001376</v>
          </cell>
          <cell r="B242" t="str">
            <v>3300</v>
          </cell>
          <cell r="C242" t="str">
            <v>3001</v>
          </cell>
          <cell r="D242" t="str">
            <v>L</v>
          </cell>
          <cell r="E242" t="str">
            <v/>
          </cell>
          <cell r="F242" t="str">
            <v>2026</v>
          </cell>
          <cell r="G242" t="str">
            <v>3</v>
          </cell>
          <cell r="H242">
            <v>1700</v>
          </cell>
          <cell r="I242">
            <v>0</v>
          </cell>
          <cell r="J242" t="str">
            <v>X</v>
          </cell>
          <cell r="K242" t="str">
            <v/>
          </cell>
          <cell r="L242" t="str">
            <v>17:02:04</v>
          </cell>
          <cell r="M242">
            <v>46029</v>
          </cell>
          <cell r="N242">
            <v>44430</v>
          </cell>
          <cell r="O242" t="str">
            <v>X</v>
          </cell>
          <cell r="P242" t="str">
            <v>2026</v>
          </cell>
          <cell r="Q242">
            <v>1700</v>
          </cell>
          <cell r="R242" t="str">
            <v/>
          </cell>
        </row>
        <row r="243">
          <cell r="A243" t="str">
            <v>4001379</v>
          </cell>
          <cell r="B243" t="str">
            <v>3300</v>
          </cell>
          <cell r="C243" t="str">
            <v>3001</v>
          </cell>
          <cell r="D243" t="str">
            <v>L</v>
          </cell>
          <cell r="E243" t="str">
            <v/>
          </cell>
          <cell r="F243" t="str">
            <v>2026</v>
          </cell>
          <cell r="G243" t="str">
            <v>3</v>
          </cell>
          <cell r="H243">
            <v>100</v>
          </cell>
          <cell r="I243">
            <v>0</v>
          </cell>
          <cell r="J243" t="str">
            <v>X</v>
          </cell>
          <cell r="K243" t="str">
            <v>X</v>
          </cell>
          <cell r="L243" t="str">
            <v>07:02:01</v>
          </cell>
          <cell r="M243">
            <v>45824</v>
          </cell>
          <cell r="N243">
            <v>44430</v>
          </cell>
          <cell r="O243" t="str">
            <v>X</v>
          </cell>
          <cell r="P243" t="str">
            <v>2025</v>
          </cell>
          <cell r="Q243">
            <v>100</v>
          </cell>
          <cell r="R243" t="str">
            <v/>
          </cell>
        </row>
        <row r="244">
          <cell r="A244" t="str">
            <v>4001380</v>
          </cell>
          <cell r="B244" t="str">
            <v>3300</v>
          </cell>
          <cell r="C244" t="str">
            <v>3001</v>
          </cell>
          <cell r="D244" t="str">
            <v>L</v>
          </cell>
          <cell r="E244" t="str">
            <v/>
          </cell>
          <cell r="F244" t="str">
            <v>2026</v>
          </cell>
          <cell r="G244" t="str">
            <v>2</v>
          </cell>
          <cell r="H244">
            <v>230</v>
          </cell>
          <cell r="I244">
            <v>0</v>
          </cell>
          <cell r="J244" t="str">
            <v>X</v>
          </cell>
          <cell r="K244" t="str">
            <v>X</v>
          </cell>
          <cell r="L244" t="str">
            <v>02:06:01</v>
          </cell>
          <cell r="M244">
            <v>45796</v>
          </cell>
          <cell r="N244">
            <v>44430</v>
          </cell>
          <cell r="O244" t="str">
            <v>X</v>
          </cell>
          <cell r="P244" t="str">
            <v>2025</v>
          </cell>
          <cell r="Q244">
            <v>230</v>
          </cell>
          <cell r="R244" t="str">
            <v/>
          </cell>
        </row>
        <row r="245">
          <cell r="A245" t="str">
            <v>4001383</v>
          </cell>
          <cell r="B245" t="str">
            <v>3300</v>
          </cell>
          <cell r="C245" t="str">
            <v>3001</v>
          </cell>
          <cell r="D245" t="str">
            <v>L</v>
          </cell>
          <cell r="E245" t="str">
            <v/>
          </cell>
          <cell r="F245" t="str">
            <v>2026</v>
          </cell>
          <cell r="G245" t="str">
            <v>3</v>
          </cell>
          <cell r="H245">
            <v>120</v>
          </cell>
          <cell r="I245">
            <v>0</v>
          </cell>
          <cell r="J245" t="str">
            <v>X</v>
          </cell>
          <cell r="K245" t="str">
            <v>X</v>
          </cell>
          <cell r="L245" t="str">
            <v>03:04:02</v>
          </cell>
          <cell r="M245">
            <v>45798</v>
          </cell>
          <cell r="N245">
            <v>44430</v>
          </cell>
          <cell r="O245" t="str">
            <v>X</v>
          </cell>
          <cell r="P245" t="str">
            <v>2025</v>
          </cell>
          <cell r="Q245">
            <v>120</v>
          </cell>
          <cell r="R245" t="str">
            <v/>
          </cell>
        </row>
        <row r="246">
          <cell r="A246" t="str">
            <v>4001384</v>
          </cell>
          <cell r="B246" t="str">
            <v>3300</v>
          </cell>
          <cell r="C246" t="str">
            <v>3001</v>
          </cell>
          <cell r="D246" t="str">
            <v>L</v>
          </cell>
          <cell r="E246" t="str">
            <v/>
          </cell>
          <cell r="F246" t="str">
            <v>2026</v>
          </cell>
          <cell r="G246" t="str">
            <v>3</v>
          </cell>
          <cell r="H246">
            <v>100</v>
          </cell>
          <cell r="I246">
            <v>0</v>
          </cell>
          <cell r="J246" t="str">
            <v>X</v>
          </cell>
          <cell r="K246" t="str">
            <v>X</v>
          </cell>
          <cell r="L246" t="str">
            <v>04:09:01</v>
          </cell>
          <cell r="M246">
            <v>45799</v>
          </cell>
          <cell r="N246">
            <v>44430</v>
          </cell>
          <cell r="O246" t="str">
            <v>X</v>
          </cell>
          <cell r="P246" t="str">
            <v>2025</v>
          </cell>
          <cell r="Q246">
            <v>100</v>
          </cell>
          <cell r="R246" t="str">
            <v/>
          </cell>
        </row>
        <row r="247">
          <cell r="A247" t="str">
            <v>4001385</v>
          </cell>
          <cell r="B247" t="str">
            <v>3300</v>
          </cell>
          <cell r="C247" t="str">
            <v>3001</v>
          </cell>
          <cell r="D247" t="str">
            <v>DL</v>
          </cell>
          <cell r="E247" t="str">
            <v/>
          </cell>
          <cell r="F247" t="str">
            <v>2026</v>
          </cell>
          <cell r="G247" t="str">
            <v>2</v>
          </cell>
          <cell r="H247">
            <v>220</v>
          </cell>
          <cell r="I247">
            <v>0</v>
          </cell>
          <cell r="J247" t="str">
            <v>X</v>
          </cell>
          <cell r="K247" t="str">
            <v>X</v>
          </cell>
          <cell r="L247" t="str">
            <v>03:04:01</v>
          </cell>
          <cell r="M247">
            <v>45798</v>
          </cell>
          <cell r="N247">
            <v>44908</v>
          </cell>
          <cell r="O247" t="str">
            <v>X</v>
          </cell>
          <cell r="P247" t="str">
            <v>2025</v>
          </cell>
          <cell r="Q247">
            <v>220</v>
          </cell>
          <cell r="R247" t="str">
            <v/>
          </cell>
        </row>
        <row r="248">
          <cell r="A248" t="str">
            <v>4001387</v>
          </cell>
          <cell r="B248" t="str">
            <v>3300</v>
          </cell>
          <cell r="C248" t="str">
            <v>3001</v>
          </cell>
          <cell r="D248" t="str">
            <v>L</v>
          </cell>
          <cell r="E248" t="str">
            <v/>
          </cell>
          <cell r="F248" t="str">
            <v>2026</v>
          </cell>
          <cell r="G248" t="str">
            <v>3</v>
          </cell>
          <cell r="H248">
            <v>1660</v>
          </cell>
          <cell r="I248">
            <v>0</v>
          </cell>
          <cell r="J248" t="str">
            <v>X</v>
          </cell>
          <cell r="K248" t="str">
            <v>X</v>
          </cell>
          <cell r="L248" t="str">
            <v>02:05:03</v>
          </cell>
          <cell r="M248">
            <v>45796</v>
          </cell>
          <cell r="N248">
            <v>44430</v>
          </cell>
          <cell r="O248" t="str">
            <v>X</v>
          </cell>
          <cell r="P248" t="str">
            <v>2025</v>
          </cell>
          <cell r="Q248">
            <v>1660</v>
          </cell>
          <cell r="R248" t="str">
            <v/>
          </cell>
        </row>
        <row r="249">
          <cell r="A249" t="str">
            <v>4001388</v>
          </cell>
          <cell r="B249" t="str">
            <v>3300</v>
          </cell>
          <cell r="C249" t="str">
            <v>3001</v>
          </cell>
          <cell r="D249" t="str">
            <v>L</v>
          </cell>
          <cell r="E249" t="str">
            <v/>
          </cell>
          <cell r="F249" t="str">
            <v>2026</v>
          </cell>
          <cell r="G249" t="str">
            <v>3</v>
          </cell>
          <cell r="H249">
            <v>1060</v>
          </cell>
          <cell r="I249">
            <v>0</v>
          </cell>
          <cell r="J249" t="str">
            <v>X</v>
          </cell>
          <cell r="K249" t="str">
            <v>X</v>
          </cell>
          <cell r="L249" t="str">
            <v>02:05:02</v>
          </cell>
          <cell r="M249">
            <v>45796</v>
          </cell>
          <cell r="N249">
            <v>44430</v>
          </cell>
          <cell r="O249" t="str">
            <v>X</v>
          </cell>
          <cell r="P249" t="str">
            <v>2025</v>
          </cell>
          <cell r="Q249">
            <v>1060</v>
          </cell>
          <cell r="R249" t="str">
            <v/>
          </cell>
        </row>
        <row r="250">
          <cell r="A250" t="str">
            <v>4001390</v>
          </cell>
          <cell r="B250" t="str">
            <v>3300</v>
          </cell>
          <cell r="C250" t="str">
            <v>3001</v>
          </cell>
          <cell r="D250" t="str">
            <v>L</v>
          </cell>
          <cell r="E250" t="str">
            <v/>
          </cell>
          <cell r="F250" t="str">
            <v>2026</v>
          </cell>
          <cell r="G250" t="str">
            <v>3</v>
          </cell>
          <cell r="H250">
            <v>2750</v>
          </cell>
          <cell r="I250">
            <v>0</v>
          </cell>
          <cell r="J250" t="str">
            <v>X</v>
          </cell>
          <cell r="K250" t="str">
            <v>X</v>
          </cell>
          <cell r="L250" t="str">
            <v>12:10:03</v>
          </cell>
          <cell r="M250">
            <v>45994</v>
          </cell>
          <cell r="N250">
            <v>44430</v>
          </cell>
          <cell r="O250" t="str">
            <v>X</v>
          </cell>
          <cell r="P250" t="str">
            <v>2025</v>
          </cell>
          <cell r="Q250">
            <v>2750</v>
          </cell>
          <cell r="R250" t="str">
            <v/>
          </cell>
        </row>
        <row r="251">
          <cell r="A251" t="str">
            <v>4001396</v>
          </cell>
          <cell r="B251" t="str">
            <v>3300</v>
          </cell>
          <cell r="C251" t="str">
            <v>3001</v>
          </cell>
          <cell r="D251" t="str">
            <v>L</v>
          </cell>
          <cell r="E251" t="str">
            <v/>
          </cell>
          <cell r="F251" t="str">
            <v>2026</v>
          </cell>
          <cell r="G251" t="str">
            <v>2</v>
          </cell>
          <cell r="H251">
            <v>219</v>
          </cell>
          <cell r="I251">
            <v>0</v>
          </cell>
          <cell r="J251" t="str">
            <v>X</v>
          </cell>
          <cell r="K251" t="str">
            <v>X</v>
          </cell>
          <cell r="L251" t="str">
            <v>04:05:02</v>
          </cell>
          <cell r="M251">
            <v>45798</v>
          </cell>
          <cell r="N251">
            <v>44430</v>
          </cell>
          <cell r="O251" t="str">
            <v>X</v>
          </cell>
          <cell r="P251" t="str">
            <v>2025</v>
          </cell>
          <cell r="Q251">
            <v>219</v>
          </cell>
          <cell r="R251" t="str">
            <v/>
          </cell>
        </row>
        <row r="252">
          <cell r="A252" t="str">
            <v>4001401</v>
          </cell>
          <cell r="B252" t="str">
            <v>3300</v>
          </cell>
          <cell r="C252" t="str">
            <v>3001</v>
          </cell>
          <cell r="D252" t="str">
            <v>L</v>
          </cell>
          <cell r="E252" t="str">
            <v/>
          </cell>
          <cell r="F252" t="str">
            <v>2026</v>
          </cell>
          <cell r="G252" t="str">
            <v>3</v>
          </cell>
          <cell r="H252">
            <v>420</v>
          </cell>
          <cell r="I252">
            <v>0</v>
          </cell>
          <cell r="J252" t="str">
            <v>X</v>
          </cell>
          <cell r="K252" t="str">
            <v>X</v>
          </cell>
          <cell r="L252" t="str">
            <v>14:12:03</v>
          </cell>
          <cell r="M252">
            <v>46001</v>
          </cell>
          <cell r="N252">
            <v>44430</v>
          </cell>
          <cell r="O252" t="str">
            <v>X</v>
          </cell>
          <cell r="P252" t="str">
            <v>2025</v>
          </cell>
          <cell r="Q252">
            <v>420</v>
          </cell>
          <cell r="R252" t="str">
            <v/>
          </cell>
        </row>
        <row r="253">
          <cell r="A253" t="str">
            <v>4001403</v>
          </cell>
          <cell r="B253" t="str">
            <v>3300</v>
          </cell>
          <cell r="C253" t="str">
            <v>3001</v>
          </cell>
          <cell r="D253" t="str">
            <v>L</v>
          </cell>
          <cell r="E253" t="str">
            <v/>
          </cell>
          <cell r="F253" t="str">
            <v>2026</v>
          </cell>
          <cell r="G253" t="str">
            <v>3</v>
          </cell>
          <cell r="H253">
            <v>350</v>
          </cell>
          <cell r="I253">
            <v>0</v>
          </cell>
          <cell r="J253" t="str">
            <v>X</v>
          </cell>
          <cell r="K253" t="str">
            <v>X</v>
          </cell>
          <cell r="L253" t="str">
            <v>05:09:02</v>
          </cell>
          <cell r="M253">
            <v>45804</v>
          </cell>
          <cell r="N253">
            <v>44430</v>
          </cell>
          <cell r="O253" t="str">
            <v>X</v>
          </cell>
          <cell r="P253" t="str">
            <v>2025</v>
          </cell>
          <cell r="Q253">
            <v>350</v>
          </cell>
          <cell r="R253" t="str">
            <v/>
          </cell>
        </row>
        <row r="254">
          <cell r="A254" t="str">
            <v>4001449</v>
          </cell>
          <cell r="B254" t="str">
            <v>3300</v>
          </cell>
          <cell r="C254" t="str">
            <v>3001</v>
          </cell>
          <cell r="D254" t="str">
            <v>DL</v>
          </cell>
          <cell r="E254" t="str">
            <v/>
          </cell>
          <cell r="F254" t="str">
            <v>2026</v>
          </cell>
          <cell r="G254" t="str">
            <v>1</v>
          </cell>
          <cell r="H254">
            <v>190</v>
          </cell>
          <cell r="I254">
            <v>0</v>
          </cell>
          <cell r="J254" t="str">
            <v>X</v>
          </cell>
          <cell r="K254" t="str">
            <v>X</v>
          </cell>
          <cell r="L254" t="str">
            <v>03;04;03</v>
          </cell>
          <cell r="M254">
            <v>45797</v>
          </cell>
          <cell r="N254">
            <v>44908</v>
          </cell>
          <cell r="O254" t="str">
            <v>X</v>
          </cell>
          <cell r="P254" t="str">
            <v>2025</v>
          </cell>
          <cell r="Q254">
            <v>190</v>
          </cell>
          <cell r="R254" t="str">
            <v/>
          </cell>
        </row>
        <row r="255">
          <cell r="A255" t="str">
            <v>4001451</v>
          </cell>
          <cell r="B255" t="str">
            <v>3300</v>
          </cell>
          <cell r="C255" t="str">
            <v>3001</v>
          </cell>
          <cell r="D255" t="str">
            <v>L</v>
          </cell>
          <cell r="E255" t="str">
            <v>X</v>
          </cell>
          <cell r="F255" t="str">
            <v>2025</v>
          </cell>
          <cell r="G255" t="str">
            <v>12</v>
          </cell>
          <cell r="H255">
            <v>0</v>
          </cell>
          <cell r="I255">
            <v>0</v>
          </cell>
          <cell r="J255" t="str">
            <v>X</v>
          </cell>
          <cell r="K255" t="str">
            <v>X</v>
          </cell>
          <cell r="L255" t="str">
            <v>SLETTET</v>
          </cell>
          <cell r="M255">
            <v>45994</v>
          </cell>
          <cell r="N255">
            <v>44430</v>
          </cell>
          <cell r="O255" t="str">
            <v>X</v>
          </cell>
          <cell r="P255" t="str">
            <v>2025</v>
          </cell>
          <cell r="Q255">
            <v>0</v>
          </cell>
          <cell r="R255" t="str">
            <v>INAKTIV</v>
          </cell>
        </row>
        <row r="256">
          <cell r="A256" t="str">
            <v>4001458</v>
          </cell>
          <cell r="B256" t="str">
            <v>3300</v>
          </cell>
          <cell r="C256" t="str">
            <v>3001</v>
          </cell>
          <cell r="D256" t="str">
            <v>DL</v>
          </cell>
          <cell r="E256" t="str">
            <v/>
          </cell>
          <cell r="F256" t="str">
            <v>2026</v>
          </cell>
          <cell r="G256" t="str">
            <v>2</v>
          </cell>
          <cell r="H256">
            <v>99</v>
          </cell>
          <cell r="I256">
            <v>0</v>
          </cell>
          <cell r="J256" t="str">
            <v>X</v>
          </cell>
          <cell r="K256" t="str">
            <v>X</v>
          </cell>
          <cell r="L256" t="str">
            <v>08:02:01</v>
          </cell>
          <cell r="M256">
            <v>45825</v>
          </cell>
          <cell r="N256">
            <v>44587</v>
          </cell>
          <cell r="O256" t="str">
            <v>X</v>
          </cell>
          <cell r="P256" t="str">
            <v>2025</v>
          </cell>
          <cell r="Q256">
            <v>99</v>
          </cell>
          <cell r="R256" t="str">
            <v/>
          </cell>
        </row>
        <row r="257">
          <cell r="A257" t="str">
            <v>4001459</v>
          </cell>
          <cell r="B257" t="str">
            <v>3300</v>
          </cell>
          <cell r="C257" t="str">
            <v>3001</v>
          </cell>
          <cell r="D257" t="str">
            <v>L</v>
          </cell>
          <cell r="E257" t="str">
            <v>X</v>
          </cell>
          <cell r="F257" t="str">
            <v>2022</v>
          </cell>
          <cell r="G257" t="str">
            <v>11</v>
          </cell>
          <cell r="H257">
            <v>0</v>
          </cell>
          <cell r="I257">
            <v>0</v>
          </cell>
          <cell r="J257" t="str">
            <v>X</v>
          </cell>
          <cell r="K257" t="str">
            <v/>
          </cell>
          <cell r="L257" t="str">
            <v>SLETTET</v>
          </cell>
          <cell r="M257">
            <v>44568</v>
          </cell>
          <cell r="N257">
            <v>44430</v>
          </cell>
          <cell r="O257" t="str">
            <v>X</v>
          </cell>
          <cell r="P257" t="str">
            <v>2022</v>
          </cell>
          <cell r="Q257">
            <v>0</v>
          </cell>
          <cell r="R257" t="str">
            <v>INAKTIV</v>
          </cell>
        </row>
        <row r="258">
          <cell r="A258" t="str">
            <v>4001461</v>
          </cell>
          <cell r="B258" t="str">
            <v>3300</v>
          </cell>
          <cell r="C258" t="str">
            <v>3001</v>
          </cell>
          <cell r="D258" t="str">
            <v>L</v>
          </cell>
          <cell r="E258" t="str">
            <v/>
          </cell>
          <cell r="F258" t="str">
            <v>2026</v>
          </cell>
          <cell r="G258" t="str">
            <v>3</v>
          </cell>
          <cell r="H258">
            <v>40</v>
          </cell>
          <cell r="I258">
            <v>0</v>
          </cell>
          <cell r="J258" t="str">
            <v>X</v>
          </cell>
          <cell r="K258" t="str">
            <v>X</v>
          </cell>
          <cell r="L258" t="str">
            <v>11:02:03</v>
          </cell>
          <cell r="M258">
            <v>45994</v>
          </cell>
          <cell r="N258">
            <v>44430</v>
          </cell>
          <cell r="O258" t="str">
            <v>X</v>
          </cell>
          <cell r="P258" t="str">
            <v>2025</v>
          </cell>
          <cell r="Q258">
            <v>40</v>
          </cell>
          <cell r="R258" t="str">
            <v/>
          </cell>
        </row>
        <row r="259">
          <cell r="A259" t="str">
            <v>4001523</v>
          </cell>
          <cell r="B259" t="str">
            <v>3300</v>
          </cell>
          <cell r="C259" t="str">
            <v>3001</v>
          </cell>
          <cell r="D259" t="str">
            <v>L</v>
          </cell>
          <cell r="E259" t="str">
            <v/>
          </cell>
          <cell r="F259" t="str">
            <v>2026</v>
          </cell>
          <cell r="G259" t="str">
            <v>2</v>
          </cell>
          <cell r="H259">
            <v>2250</v>
          </cell>
          <cell r="I259">
            <v>0</v>
          </cell>
          <cell r="J259" t="str">
            <v>X</v>
          </cell>
          <cell r="K259" t="str">
            <v>X</v>
          </cell>
          <cell r="L259" t="str">
            <v>08:11:01</v>
          </cell>
          <cell r="M259">
            <v>45980</v>
          </cell>
          <cell r="N259">
            <v>44430</v>
          </cell>
          <cell r="O259" t="str">
            <v>X</v>
          </cell>
          <cell r="P259" t="str">
            <v>2025</v>
          </cell>
          <cell r="Q259">
            <v>2250</v>
          </cell>
          <cell r="R259" t="str">
            <v/>
          </cell>
        </row>
        <row r="260">
          <cell r="A260" t="str">
            <v>4001524</v>
          </cell>
          <cell r="B260" t="str">
            <v>3300</v>
          </cell>
          <cell r="C260" t="str">
            <v>3001</v>
          </cell>
          <cell r="D260" t="str">
            <v>L</v>
          </cell>
          <cell r="E260" t="str">
            <v/>
          </cell>
          <cell r="F260" t="str">
            <v>2026</v>
          </cell>
          <cell r="G260" t="str">
            <v>2</v>
          </cell>
          <cell r="H260">
            <v>1600</v>
          </cell>
          <cell r="I260">
            <v>0</v>
          </cell>
          <cell r="J260" t="str">
            <v>X</v>
          </cell>
          <cell r="K260" t="str">
            <v>X</v>
          </cell>
          <cell r="L260" t="str">
            <v>08:11:01</v>
          </cell>
          <cell r="M260">
            <v>45980</v>
          </cell>
          <cell r="N260">
            <v>44430</v>
          </cell>
          <cell r="O260" t="str">
            <v>X</v>
          </cell>
          <cell r="P260" t="str">
            <v>2025</v>
          </cell>
          <cell r="Q260">
            <v>1600</v>
          </cell>
          <cell r="R260" t="str">
            <v/>
          </cell>
        </row>
        <row r="261">
          <cell r="A261" t="str">
            <v>4001551</v>
          </cell>
          <cell r="B261" t="str">
            <v>3300</v>
          </cell>
          <cell r="C261" t="str">
            <v>3001</v>
          </cell>
          <cell r="D261" t="str">
            <v>L</v>
          </cell>
          <cell r="E261" t="str">
            <v/>
          </cell>
          <cell r="F261" t="str">
            <v>2026</v>
          </cell>
          <cell r="G261" t="str">
            <v>3</v>
          </cell>
          <cell r="H261">
            <v>2200</v>
          </cell>
          <cell r="I261">
            <v>0</v>
          </cell>
          <cell r="J261" t="str">
            <v>X</v>
          </cell>
          <cell r="K261" t="str">
            <v>X</v>
          </cell>
          <cell r="L261" t="str">
            <v>14:17:01</v>
          </cell>
          <cell r="M261">
            <v>46001</v>
          </cell>
          <cell r="N261">
            <v>44430</v>
          </cell>
          <cell r="O261" t="str">
            <v>X</v>
          </cell>
          <cell r="P261" t="str">
            <v>2025</v>
          </cell>
          <cell r="Q261">
            <v>2200</v>
          </cell>
          <cell r="R261" t="str">
            <v/>
          </cell>
        </row>
        <row r="262">
          <cell r="A262" t="str">
            <v>4001562</v>
          </cell>
          <cell r="B262" t="str">
            <v>3300</v>
          </cell>
          <cell r="C262" t="str">
            <v>3001</v>
          </cell>
          <cell r="D262" t="str">
            <v>L</v>
          </cell>
          <cell r="E262" t="str">
            <v/>
          </cell>
          <cell r="F262" t="str">
            <v>2026</v>
          </cell>
          <cell r="G262" t="str">
            <v>3</v>
          </cell>
          <cell r="H262">
            <v>35</v>
          </cell>
          <cell r="I262">
            <v>0</v>
          </cell>
          <cell r="J262" t="str">
            <v>X</v>
          </cell>
          <cell r="K262" t="str">
            <v>X</v>
          </cell>
          <cell r="L262" t="str">
            <v>07:10:03</v>
          </cell>
          <cell r="M262">
            <v>45825</v>
          </cell>
          <cell r="N262">
            <v>44430</v>
          </cell>
          <cell r="O262" t="str">
            <v>X</v>
          </cell>
          <cell r="P262" t="str">
            <v>2025</v>
          </cell>
          <cell r="Q262">
            <v>35</v>
          </cell>
          <cell r="R262" t="str">
            <v/>
          </cell>
        </row>
        <row r="263">
          <cell r="A263" t="str">
            <v>4001572</v>
          </cell>
          <cell r="B263" t="str">
            <v>3300</v>
          </cell>
          <cell r="C263" t="str">
            <v>3001</v>
          </cell>
          <cell r="D263" t="str">
            <v>L</v>
          </cell>
          <cell r="E263" t="str">
            <v/>
          </cell>
          <cell r="F263" t="str">
            <v>2026</v>
          </cell>
          <cell r="G263" t="str">
            <v>2</v>
          </cell>
          <cell r="H263">
            <v>840</v>
          </cell>
          <cell r="I263">
            <v>0</v>
          </cell>
          <cell r="J263" t="str">
            <v>X</v>
          </cell>
          <cell r="K263" t="str">
            <v>X</v>
          </cell>
          <cell r="L263" t="str">
            <v>06:08:02</v>
          </cell>
          <cell r="M263">
            <v>45819</v>
          </cell>
          <cell r="N263">
            <v>44430</v>
          </cell>
          <cell r="O263" t="str">
            <v>X</v>
          </cell>
          <cell r="P263" t="str">
            <v>2025</v>
          </cell>
          <cell r="Q263">
            <v>840</v>
          </cell>
          <cell r="R263" t="str">
            <v/>
          </cell>
        </row>
        <row r="264">
          <cell r="A264" t="str">
            <v>4001573</v>
          </cell>
          <cell r="B264" t="str">
            <v>3300</v>
          </cell>
          <cell r="C264" t="str">
            <v>3001</v>
          </cell>
          <cell r="D264" t="str">
            <v>L</v>
          </cell>
          <cell r="E264" t="str">
            <v/>
          </cell>
          <cell r="F264" t="str">
            <v>2026</v>
          </cell>
          <cell r="G264" t="str">
            <v>2</v>
          </cell>
          <cell r="H264">
            <v>66</v>
          </cell>
          <cell r="I264">
            <v>0</v>
          </cell>
          <cell r="J264" t="str">
            <v>X</v>
          </cell>
          <cell r="K264" t="str">
            <v>X</v>
          </cell>
          <cell r="L264" t="str">
            <v>06:08:02</v>
          </cell>
          <cell r="M264">
            <v>45819</v>
          </cell>
          <cell r="N264">
            <v>44430</v>
          </cell>
          <cell r="O264" t="str">
            <v>X</v>
          </cell>
          <cell r="P264" t="str">
            <v>2025</v>
          </cell>
          <cell r="Q264">
            <v>66</v>
          </cell>
          <cell r="R264" t="str">
            <v/>
          </cell>
        </row>
        <row r="265">
          <cell r="A265" t="str">
            <v>4001574</v>
          </cell>
          <cell r="B265" t="str">
            <v>3300</v>
          </cell>
          <cell r="C265" t="str">
            <v>3001</v>
          </cell>
          <cell r="D265" t="str">
            <v>L</v>
          </cell>
          <cell r="E265" t="str">
            <v/>
          </cell>
          <cell r="F265" t="str">
            <v>2026</v>
          </cell>
          <cell r="G265" t="str">
            <v>3</v>
          </cell>
          <cell r="H265">
            <v>525</v>
          </cell>
          <cell r="I265">
            <v>0</v>
          </cell>
          <cell r="J265" t="str">
            <v>X</v>
          </cell>
          <cell r="K265" t="str">
            <v>X</v>
          </cell>
          <cell r="L265" t="str">
            <v>06:08:01</v>
          </cell>
          <cell r="M265">
            <v>45819</v>
          </cell>
          <cell r="N265">
            <v>44430</v>
          </cell>
          <cell r="O265" t="str">
            <v>X</v>
          </cell>
          <cell r="P265" t="str">
            <v>2025</v>
          </cell>
          <cell r="Q265">
            <v>525</v>
          </cell>
          <cell r="R265" t="str">
            <v/>
          </cell>
        </row>
        <row r="266">
          <cell r="A266" t="str">
            <v>4001576</v>
          </cell>
          <cell r="B266" t="str">
            <v>3300</v>
          </cell>
          <cell r="C266" t="str">
            <v>3001</v>
          </cell>
          <cell r="D266" t="str">
            <v>DL</v>
          </cell>
          <cell r="E266" t="str">
            <v/>
          </cell>
          <cell r="F266" t="str">
            <v>2026</v>
          </cell>
          <cell r="G266" t="str">
            <v>3</v>
          </cell>
          <cell r="H266">
            <v>1600</v>
          </cell>
          <cell r="I266">
            <v>0</v>
          </cell>
          <cell r="J266" t="str">
            <v>X</v>
          </cell>
          <cell r="K266" t="str">
            <v>X</v>
          </cell>
          <cell r="L266" t="str">
            <v>12:12:02</v>
          </cell>
          <cell r="M266">
            <v>45994</v>
          </cell>
          <cell r="N266">
            <v>44533</v>
          </cell>
          <cell r="O266" t="str">
            <v>X</v>
          </cell>
          <cell r="P266" t="str">
            <v>2025</v>
          </cell>
          <cell r="Q266">
            <v>1600</v>
          </cell>
          <cell r="R266" t="str">
            <v/>
          </cell>
        </row>
        <row r="267">
          <cell r="A267" t="str">
            <v>4001609</v>
          </cell>
          <cell r="B267" t="str">
            <v>3300</v>
          </cell>
          <cell r="C267" t="str">
            <v>3001</v>
          </cell>
          <cell r="D267" t="str">
            <v>L</v>
          </cell>
          <cell r="E267" t="str">
            <v/>
          </cell>
          <cell r="F267" t="str">
            <v>2025</v>
          </cell>
          <cell r="G267" t="str">
            <v>12</v>
          </cell>
          <cell r="H267">
            <v>150</v>
          </cell>
          <cell r="I267">
            <v>0</v>
          </cell>
          <cell r="J267" t="str">
            <v>X</v>
          </cell>
          <cell r="K267" t="str">
            <v>X</v>
          </cell>
          <cell r="L267" t="str">
            <v>15:08;03*</v>
          </cell>
          <cell r="M267">
            <v>46001</v>
          </cell>
          <cell r="N267">
            <v>44430</v>
          </cell>
          <cell r="O267" t="str">
            <v>X</v>
          </cell>
          <cell r="P267" t="str">
            <v>2025</v>
          </cell>
          <cell r="Q267">
            <v>150</v>
          </cell>
          <cell r="R267" t="str">
            <v/>
          </cell>
        </row>
        <row r="268">
          <cell r="A268" t="str">
            <v>4001630</v>
          </cell>
          <cell r="B268" t="str">
            <v>3300</v>
          </cell>
          <cell r="C268" t="str">
            <v>3001</v>
          </cell>
          <cell r="D268" t="str">
            <v>L</v>
          </cell>
          <cell r="E268" t="str">
            <v/>
          </cell>
          <cell r="F268" t="str">
            <v>2024</v>
          </cell>
          <cell r="G268" t="str">
            <v>10</v>
          </cell>
          <cell r="H268">
            <v>0</v>
          </cell>
          <cell r="I268">
            <v>0</v>
          </cell>
          <cell r="J268" t="str">
            <v/>
          </cell>
          <cell r="K268" t="str">
            <v>X</v>
          </cell>
          <cell r="L268" t="str">
            <v>SLETTET</v>
          </cell>
          <cell r="M268">
            <v>44568</v>
          </cell>
          <cell r="N268">
            <v>44430</v>
          </cell>
          <cell r="O268" t="str">
            <v>X</v>
          </cell>
          <cell r="P268" t="str">
            <v>2023</v>
          </cell>
          <cell r="Q268">
            <v>0</v>
          </cell>
          <cell r="R268" t="str">
            <v>INAKTIV</v>
          </cell>
        </row>
        <row r="269">
          <cell r="A269" t="str">
            <v>4001691</v>
          </cell>
          <cell r="B269" t="str">
            <v>3300</v>
          </cell>
          <cell r="C269" t="str">
            <v>3001</v>
          </cell>
          <cell r="D269" t="str">
            <v>L</v>
          </cell>
          <cell r="E269" t="str">
            <v/>
          </cell>
          <cell r="F269" t="str">
            <v>2026</v>
          </cell>
          <cell r="G269" t="str">
            <v>2</v>
          </cell>
          <cell r="H269">
            <v>70</v>
          </cell>
          <cell r="I269">
            <v>0</v>
          </cell>
          <cell r="J269" t="str">
            <v>X</v>
          </cell>
          <cell r="K269" t="str">
            <v>X</v>
          </cell>
          <cell r="L269" t="str">
            <v>02:12:02</v>
          </cell>
          <cell r="M269">
            <v>45797</v>
          </cell>
          <cell r="N269">
            <v>44430</v>
          </cell>
          <cell r="O269" t="str">
            <v>X</v>
          </cell>
          <cell r="P269" t="str">
            <v>2025</v>
          </cell>
          <cell r="Q269">
            <v>70</v>
          </cell>
          <cell r="R269" t="str">
            <v/>
          </cell>
        </row>
        <row r="270">
          <cell r="A270" t="str">
            <v>4001701</v>
          </cell>
          <cell r="B270" t="str">
            <v>3300</v>
          </cell>
          <cell r="C270" t="str">
            <v>3001</v>
          </cell>
          <cell r="D270" t="str">
            <v>L</v>
          </cell>
          <cell r="E270" t="str">
            <v/>
          </cell>
          <cell r="F270" t="str">
            <v>2026</v>
          </cell>
          <cell r="G270" t="str">
            <v>2</v>
          </cell>
          <cell r="H270">
            <v>52</v>
          </cell>
          <cell r="I270">
            <v>0</v>
          </cell>
          <cell r="J270" t="str">
            <v>X</v>
          </cell>
          <cell r="K270" t="str">
            <v>X</v>
          </cell>
          <cell r="L270" t="str">
            <v>02:10:02</v>
          </cell>
          <cell r="M270">
            <v>45797</v>
          </cell>
          <cell r="N270">
            <v>44430</v>
          </cell>
          <cell r="O270" t="str">
            <v>X</v>
          </cell>
          <cell r="P270" t="str">
            <v>2025</v>
          </cell>
          <cell r="Q270">
            <v>52</v>
          </cell>
          <cell r="R270" t="str">
            <v/>
          </cell>
        </row>
        <row r="271">
          <cell r="A271" t="str">
            <v>4001754</v>
          </cell>
          <cell r="B271" t="str">
            <v>3300</v>
          </cell>
          <cell r="C271" t="str">
            <v>3001</v>
          </cell>
          <cell r="D271" t="str">
            <v>L</v>
          </cell>
          <cell r="E271" t="str">
            <v/>
          </cell>
          <cell r="F271" t="str">
            <v>2026</v>
          </cell>
          <cell r="G271" t="str">
            <v>3</v>
          </cell>
          <cell r="H271">
            <v>320</v>
          </cell>
          <cell r="I271">
            <v>0</v>
          </cell>
          <cell r="J271" t="str">
            <v>X</v>
          </cell>
          <cell r="K271" t="str">
            <v>X</v>
          </cell>
          <cell r="L271" t="str">
            <v>02:08:02</v>
          </cell>
          <cell r="M271">
            <v>45797</v>
          </cell>
          <cell r="N271">
            <v>44430</v>
          </cell>
          <cell r="O271" t="str">
            <v>X</v>
          </cell>
          <cell r="P271" t="str">
            <v>2025</v>
          </cell>
          <cell r="Q271">
            <v>320</v>
          </cell>
          <cell r="R271" t="str">
            <v/>
          </cell>
        </row>
        <row r="272">
          <cell r="A272" t="str">
            <v>4001762</v>
          </cell>
          <cell r="B272" t="str">
            <v>3300</v>
          </cell>
          <cell r="C272" t="str">
            <v>3001</v>
          </cell>
          <cell r="D272" t="str">
            <v>L</v>
          </cell>
          <cell r="E272" t="str">
            <v/>
          </cell>
          <cell r="F272" t="str">
            <v>2026</v>
          </cell>
          <cell r="G272" t="str">
            <v>2</v>
          </cell>
          <cell r="H272">
            <v>1600</v>
          </cell>
          <cell r="I272">
            <v>0</v>
          </cell>
          <cell r="J272" t="str">
            <v>X</v>
          </cell>
          <cell r="K272" t="str">
            <v>X</v>
          </cell>
          <cell r="L272" t="str">
            <v>08:12:01</v>
          </cell>
          <cell r="M272">
            <v>45980</v>
          </cell>
          <cell r="N272">
            <v>44430</v>
          </cell>
          <cell r="O272" t="str">
            <v>X</v>
          </cell>
          <cell r="P272" t="str">
            <v>2025</v>
          </cell>
          <cell r="Q272">
            <v>1600</v>
          </cell>
          <cell r="R272" t="str">
            <v/>
          </cell>
        </row>
        <row r="273">
          <cell r="A273" t="str">
            <v>4001763</v>
          </cell>
          <cell r="B273" t="str">
            <v>3300</v>
          </cell>
          <cell r="C273" t="str">
            <v>3001</v>
          </cell>
          <cell r="D273" t="str">
            <v>L</v>
          </cell>
          <cell r="E273" t="str">
            <v/>
          </cell>
          <cell r="F273" t="str">
            <v>2026</v>
          </cell>
          <cell r="G273" t="str">
            <v>2</v>
          </cell>
          <cell r="H273">
            <v>5300</v>
          </cell>
          <cell r="I273">
            <v>0</v>
          </cell>
          <cell r="J273" t="str">
            <v>X</v>
          </cell>
          <cell r="K273" t="str">
            <v>X</v>
          </cell>
          <cell r="L273" t="str">
            <v>08:12:01</v>
          </cell>
          <cell r="M273">
            <v>45980</v>
          </cell>
          <cell r="N273">
            <v>44430</v>
          </cell>
          <cell r="O273" t="str">
            <v>X</v>
          </cell>
          <cell r="P273" t="str">
            <v>2025</v>
          </cell>
          <cell r="Q273">
            <v>5300</v>
          </cell>
          <cell r="R273" t="str">
            <v/>
          </cell>
        </row>
        <row r="274">
          <cell r="A274" t="str">
            <v>4001764</v>
          </cell>
          <cell r="B274" t="str">
            <v>3300</v>
          </cell>
          <cell r="C274" t="str">
            <v>3001</v>
          </cell>
          <cell r="D274" t="str">
            <v>L</v>
          </cell>
          <cell r="E274" t="str">
            <v/>
          </cell>
          <cell r="F274" t="str">
            <v>2026</v>
          </cell>
          <cell r="G274" t="str">
            <v>1</v>
          </cell>
          <cell r="H274">
            <v>1000</v>
          </cell>
          <cell r="I274">
            <v>0</v>
          </cell>
          <cell r="J274" t="str">
            <v>X</v>
          </cell>
          <cell r="K274" t="str">
            <v>X</v>
          </cell>
          <cell r="L274" t="str">
            <v>08:12:02</v>
          </cell>
          <cell r="M274">
            <v>45980</v>
          </cell>
          <cell r="N274">
            <v>44430</v>
          </cell>
          <cell r="O274" t="str">
            <v>X</v>
          </cell>
          <cell r="P274" t="str">
            <v>2025</v>
          </cell>
          <cell r="Q274">
            <v>1000</v>
          </cell>
          <cell r="R274" t="str">
            <v/>
          </cell>
        </row>
        <row r="275">
          <cell r="A275" t="str">
            <v>4001809</v>
          </cell>
          <cell r="B275" t="str">
            <v>3300</v>
          </cell>
          <cell r="C275" t="str">
            <v>3001</v>
          </cell>
          <cell r="D275" t="str">
            <v>L</v>
          </cell>
          <cell r="E275" t="str">
            <v/>
          </cell>
          <cell r="F275" t="str">
            <v>2026</v>
          </cell>
          <cell r="G275" t="str">
            <v>3</v>
          </cell>
          <cell r="H275">
            <v>2800</v>
          </cell>
          <cell r="I275">
            <v>0</v>
          </cell>
          <cell r="J275" t="str">
            <v>X</v>
          </cell>
          <cell r="K275" t="str">
            <v>X</v>
          </cell>
          <cell r="L275" t="str">
            <v>05:11:00</v>
          </cell>
          <cell r="M275">
            <v>45804</v>
          </cell>
          <cell r="N275">
            <v>44430</v>
          </cell>
          <cell r="O275" t="str">
            <v>X</v>
          </cell>
          <cell r="P275" t="str">
            <v>2025</v>
          </cell>
          <cell r="Q275">
            <v>2800</v>
          </cell>
          <cell r="R275" t="str">
            <v/>
          </cell>
        </row>
        <row r="276">
          <cell r="A276" t="str">
            <v>4001853</v>
          </cell>
          <cell r="B276" t="str">
            <v>3300</v>
          </cell>
          <cell r="C276" t="str">
            <v>3001</v>
          </cell>
          <cell r="D276" t="str">
            <v>L</v>
          </cell>
          <cell r="E276" t="str">
            <v/>
          </cell>
          <cell r="F276" t="str">
            <v>2026</v>
          </cell>
          <cell r="G276" t="str">
            <v>2</v>
          </cell>
          <cell r="H276">
            <v>52</v>
          </cell>
          <cell r="I276">
            <v>0</v>
          </cell>
          <cell r="J276" t="str">
            <v>X</v>
          </cell>
          <cell r="K276" t="str">
            <v>X</v>
          </cell>
          <cell r="L276" t="str">
            <v>02:03:01</v>
          </cell>
          <cell r="M276">
            <v>45796</v>
          </cell>
          <cell r="N276">
            <v>44430</v>
          </cell>
          <cell r="O276" t="str">
            <v>X</v>
          </cell>
          <cell r="P276" t="str">
            <v>2025</v>
          </cell>
          <cell r="Q276">
            <v>52</v>
          </cell>
          <cell r="R276" t="str">
            <v/>
          </cell>
        </row>
        <row r="277">
          <cell r="A277" t="str">
            <v>4001951</v>
          </cell>
          <cell r="B277" t="str">
            <v>3300</v>
          </cell>
          <cell r="C277" t="str">
            <v>3001</v>
          </cell>
          <cell r="D277" t="str">
            <v>DL</v>
          </cell>
          <cell r="E277" t="str">
            <v/>
          </cell>
          <cell r="F277" t="str">
            <v>2022</v>
          </cell>
          <cell r="G277" t="str">
            <v>1</v>
          </cell>
          <cell r="H277">
            <v>0</v>
          </cell>
          <cell r="I277">
            <v>0</v>
          </cell>
          <cell r="J277" t="str">
            <v/>
          </cell>
          <cell r="K277" t="str">
            <v/>
          </cell>
          <cell r="L277" t="str">
            <v>-</v>
          </cell>
          <cell r="M277" t="str">
            <v/>
          </cell>
          <cell r="N277">
            <v>44587</v>
          </cell>
          <cell r="O277" t="str">
            <v>X</v>
          </cell>
          <cell r="P277" t="str">
            <v>2022</v>
          </cell>
          <cell r="Q277">
            <v>0</v>
          </cell>
          <cell r="R277" t="str">
            <v>INAKTIV</v>
          </cell>
        </row>
        <row r="278">
          <cell r="A278" t="str">
            <v>4001953</v>
          </cell>
          <cell r="B278" t="str">
            <v>3300</v>
          </cell>
          <cell r="C278" t="str">
            <v>3001</v>
          </cell>
          <cell r="D278" t="str">
            <v>DL</v>
          </cell>
          <cell r="E278" t="str">
            <v/>
          </cell>
          <cell r="F278" t="str">
            <v>2022</v>
          </cell>
          <cell r="G278" t="str">
            <v>1</v>
          </cell>
          <cell r="H278">
            <v>0</v>
          </cell>
          <cell r="I278">
            <v>0</v>
          </cell>
          <cell r="J278" t="str">
            <v/>
          </cell>
          <cell r="K278" t="str">
            <v/>
          </cell>
          <cell r="L278" t="str">
            <v>-</v>
          </cell>
          <cell r="M278" t="str">
            <v/>
          </cell>
          <cell r="N278">
            <v>44587</v>
          </cell>
          <cell r="O278" t="str">
            <v>X</v>
          </cell>
          <cell r="P278" t="str">
            <v>2022</v>
          </cell>
          <cell r="Q278">
            <v>0</v>
          </cell>
          <cell r="R278" t="str">
            <v>INAKTIV</v>
          </cell>
        </row>
        <row r="279">
          <cell r="A279" t="str">
            <v>4001969</v>
          </cell>
          <cell r="B279" t="str">
            <v>3300</v>
          </cell>
          <cell r="C279" t="str">
            <v>3001</v>
          </cell>
          <cell r="D279" t="str">
            <v>L</v>
          </cell>
          <cell r="E279" t="str">
            <v/>
          </cell>
          <cell r="F279" t="str">
            <v>2026</v>
          </cell>
          <cell r="G279" t="str">
            <v>3</v>
          </cell>
          <cell r="H279">
            <v>25</v>
          </cell>
          <cell r="I279">
            <v>0</v>
          </cell>
          <cell r="J279" t="str">
            <v>X</v>
          </cell>
          <cell r="K279" t="str">
            <v>X</v>
          </cell>
          <cell r="L279" t="str">
            <v>04:11:01</v>
          </cell>
          <cell r="M279">
            <v>45800</v>
          </cell>
          <cell r="N279">
            <v>44430</v>
          </cell>
          <cell r="O279" t="str">
            <v>X</v>
          </cell>
          <cell r="P279" t="str">
            <v>2025</v>
          </cell>
          <cell r="Q279">
            <v>25</v>
          </cell>
          <cell r="R279" t="str">
            <v/>
          </cell>
        </row>
        <row r="280">
          <cell r="A280" t="str">
            <v>4002229</v>
          </cell>
          <cell r="B280" t="str">
            <v>3300</v>
          </cell>
          <cell r="C280" t="str">
            <v>3001</v>
          </cell>
          <cell r="D280" t="str">
            <v>L</v>
          </cell>
          <cell r="E280" t="str">
            <v/>
          </cell>
          <cell r="F280" t="str">
            <v>2021</v>
          </cell>
          <cell r="G280" t="str">
            <v>8</v>
          </cell>
          <cell r="H280">
            <v>0</v>
          </cell>
          <cell r="I280">
            <v>0</v>
          </cell>
          <cell r="J280" t="str">
            <v/>
          </cell>
          <cell r="K280" t="str">
            <v/>
          </cell>
          <cell r="L280" t="str">
            <v>SLETTET</v>
          </cell>
          <cell r="M280" t="str">
            <v/>
          </cell>
          <cell r="N280">
            <v>44430</v>
          </cell>
          <cell r="O280" t="str">
            <v>X</v>
          </cell>
          <cell r="P280" t="str">
            <v>2023</v>
          </cell>
          <cell r="Q280">
            <v>0</v>
          </cell>
          <cell r="R280" t="str">
            <v>INAKTIV</v>
          </cell>
        </row>
        <row r="281">
          <cell r="A281" t="str">
            <v>4002233</v>
          </cell>
          <cell r="B281" t="str">
            <v>3300</v>
          </cell>
          <cell r="C281" t="str">
            <v>3001</v>
          </cell>
          <cell r="D281" t="str">
            <v>L</v>
          </cell>
          <cell r="E281" t="str">
            <v/>
          </cell>
          <cell r="F281" t="str">
            <v>2026</v>
          </cell>
          <cell r="G281" t="str">
            <v>3</v>
          </cell>
          <cell r="H281">
            <v>184</v>
          </cell>
          <cell r="I281">
            <v>0</v>
          </cell>
          <cell r="J281" t="str">
            <v>X</v>
          </cell>
          <cell r="K281" t="str">
            <v>X</v>
          </cell>
          <cell r="L281" t="str">
            <v>05:05:01</v>
          </cell>
          <cell r="M281">
            <v>45803</v>
          </cell>
          <cell r="N281">
            <v>44430</v>
          </cell>
          <cell r="O281" t="str">
            <v>X</v>
          </cell>
          <cell r="P281" t="str">
            <v>2025</v>
          </cell>
          <cell r="Q281">
            <v>184</v>
          </cell>
          <cell r="R281" t="str">
            <v/>
          </cell>
        </row>
        <row r="282">
          <cell r="A282" t="str">
            <v>4002277</v>
          </cell>
          <cell r="B282" t="str">
            <v>3300</v>
          </cell>
          <cell r="C282" t="str">
            <v>3001</v>
          </cell>
          <cell r="D282" t="str">
            <v>L</v>
          </cell>
          <cell r="E282" t="str">
            <v/>
          </cell>
          <cell r="F282" t="str">
            <v>2026</v>
          </cell>
          <cell r="G282" t="str">
            <v>2</v>
          </cell>
          <cell r="H282">
            <v>90</v>
          </cell>
          <cell r="I282">
            <v>0</v>
          </cell>
          <cell r="J282" t="str">
            <v>X</v>
          </cell>
          <cell r="K282" t="str">
            <v>X</v>
          </cell>
          <cell r="L282" t="str">
            <v>06:07:01</v>
          </cell>
          <cell r="M282">
            <v>45819</v>
          </cell>
          <cell r="N282">
            <v>44430</v>
          </cell>
          <cell r="O282" t="str">
            <v>X</v>
          </cell>
          <cell r="P282" t="str">
            <v>2025</v>
          </cell>
          <cell r="Q282">
            <v>90</v>
          </cell>
          <cell r="R282" t="str">
            <v/>
          </cell>
        </row>
        <row r="283">
          <cell r="A283" t="str">
            <v>4002292</v>
          </cell>
          <cell r="B283" t="str">
            <v>3300</v>
          </cell>
          <cell r="C283" t="str">
            <v>3001</v>
          </cell>
          <cell r="D283" t="str">
            <v>L</v>
          </cell>
          <cell r="E283" t="str">
            <v/>
          </cell>
          <cell r="F283" t="str">
            <v>2026</v>
          </cell>
          <cell r="G283" t="str">
            <v>2</v>
          </cell>
          <cell r="H283">
            <v>895</v>
          </cell>
          <cell r="I283">
            <v>0</v>
          </cell>
          <cell r="J283" t="str">
            <v>X</v>
          </cell>
          <cell r="K283" t="str">
            <v>X</v>
          </cell>
          <cell r="L283" t="str">
            <v>11:09:02</v>
          </cell>
          <cell r="M283">
            <v>45994</v>
          </cell>
          <cell r="N283">
            <v>44430</v>
          </cell>
          <cell r="O283" t="str">
            <v>X</v>
          </cell>
          <cell r="P283" t="str">
            <v>2025</v>
          </cell>
          <cell r="Q283">
            <v>895</v>
          </cell>
          <cell r="R283" t="str">
            <v/>
          </cell>
        </row>
        <row r="284">
          <cell r="A284" t="str">
            <v>4002298</v>
          </cell>
          <cell r="B284" t="str">
            <v>3300</v>
          </cell>
          <cell r="C284" t="str">
            <v>3001</v>
          </cell>
          <cell r="D284" t="str">
            <v>L</v>
          </cell>
          <cell r="E284" t="str">
            <v/>
          </cell>
          <cell r="F284" t="str">
            <v>2026</v>
          </cell>
          <cell r="G284" t="str">
            <v>2</v>
          </cell>
          <cell r="H284">
            <v>230</v>
          </cell>
          <cell r="I284">
            <v>0</v>
          </cell>
          <cell r="J284" t="str">
            <v>X</v>
          </cell>
          <cell r="K284" t="str">
            <v>X</v>
          </cell>
          <cell r="L284" t="str">
            <v>04:11:03*</v>
          </cell>
          <cell r="M284">
            <v>45800</v>
          </cell>
          <cell r="N284">
            <v>44430</v>
          </cell>
          <cell r="O284" t="str">
            <v>X</v>
          </cell>
          <cell r="P284" t="str">
            <v>2025</v>
          </cell>
          <cell r="Q284">
            <v>230</v>
          </cell>
          <cell r="R284" t="str">
            <v/>
          </cell>
        </row>
        <row r="285">
          <cell r="A285" t="str">
            <v>4002302</v>
          </cell>
          <cell r="B285" t="str">
            <v>3300</v>
          </cell>
          <cell r="C285" t="str">
            <v>3001</v>
          </cell>
          <cell r="D285" t="str">
            <v>L</v>
          </cell>
          <cell r="E285" t="str">
            <v>X</v>
          </cell>
          <cell r="F285" t="str">
            <v>2021</v>
          </cell>
          <cell r="G285" t="str">
            <v>8</v>
          </cell>
          <cell r="H285">
            <v>0</v>
          </cell>
          <cell r="I285">
            <v>0</v>
          </cell>
          <cell r="J285" t="str">
            <v/>
          </cell>
          <cell r="K285" t="str">
            <v/>
          </cell>
          <cell r="L285" t="str">
            <v>SLETTET</v>
          </cell>
          <cell r="M285" t="str">
            <v/>
          </cell>
          <cell r="N285">
            <v>44430</v>
          </cell>
          <cell r="O285" t="str">
            <v>X</v>
          </cell>
          <cell r="P285" t="str">
            <v>2023</v>
          </cell>
          <cell r="Q285">
            <v>0</v>
          </cell>
          <cell r="R285" t="str">
            <v>INAKTIV</v>
          </cell>
        </row>
        <row r="286">
          <cell r="A286" t="str">
            <v>4002332</v>
          </cell>
          <cell r="B286" t="str">
            <v>3300</v>
          </cell>
          <cell r="C286" t="str">
            <v>3001</v>
          </cell>
          <cell r="D286" t="str">
            <v>L</v>
          </cell>
          <cell r="E286" t="str">
            <v>X</v>
          </cell>
          <cell r="F286" t="str">
            <v>2024</v>
          </cell>
          <cell r="G286" t="str">
            <v>5</v>
          </cell>
          <cell r="H286">
            <v>0</v>
          </cell>
          <cell r="I286">
            <v>0</v>
          </cell>
          <cell r="J286" t="str">
            <v/>
          </cell>
          <cell r="K286" t="str">
            <v/>
          </cell>
          <cell r="L286" t="str">
            <v>SLETTET</v>
          </cell>
          <cell r="M286">
            <v>45167</v>
          </cell>
          <cell r="N286">
            <v>44430</v>
          </cell>
          <cell r="O286" t="str">
            <v>X</v>
          </cell>
          <cell r="P286" t="str">
            <v>2025</v>
          </cell>
          <cell r="Q286">
            <v>0</v>
          </cell>
          <cell r="R286" t="str">
            <v>INAKTIV</v>
          </cell>
        </row>
        <row r="287">
          <cell r="A287" t="str">
            <v>4002333</v>
          </cell>
          <cell r="B287" t="str">
            <v>3300</v>
          </cell>
          <cell r="C287" t="str">
            <v>3001</v>
          </cell>
          <cell r="D287" t="str">
            <v>DL</v>
          </cell>
          <cell r="E287" t="str">
            <v/>
          </cell>
          <cell r="F287" t="str">
            <v>2026</v>
          </cell>
          <cell r="G287" t="str">
            <v>3</v>
          </cell>
          <cell r="H287">
            <v>7400</v>
          </cell>
          <cell r="I287">
            <v>0</v>
          </cell>
          <cell r="J287" t="str">
            <v>X</v>
          </cell>
          <cell r="K287" t="str">
            <v/>
          </cell>
          <cell r="L287" t="str">
            <v>14:12:02</v>
          </cell>
          <cell r="M287">
            <v>46030</v>
          </cell>
          <cell r="N287">
            <v>45393</v>
          </cell>
          <cell r="O287" t="str">
            <v>X</v>
          </cell>
          <cell r="P287" t="str">
            <v>2026</v>
          </cell>
          <cell r="Q287">
            <v>7400</v>
          </cell>
          <cell r="R287" t="str">
            <v/>
          </cell>
        </row>
        <row r="288">
          <cell r="A288" t="str">
            <v>4002335</v>
          </cell>
          <cell r="B288" t="str">
            <v>3300</v>
          </cell>
          <cell r="C288" t="str">
            <v>3001</v>
          </cell>
          <cell r="D288" t="str">
            <v>L</v>
          </cell>
          <cell r="E288" t="str">
            <v/>
          </cell>
          <cell r="F288" t="str">
            <v>2026</v>
          </cell>
          <cell r="G288" t="str">
            <v>3</v>
          </cell>
          <cell r="H288">
            <v>160</v>
          </cell>
          <cell r="I288">
            <v>0</v>
          </cell>
          <cell r="J288" t="str">
            <v>X</v>
          </cell>
          <cell r="K288" t="str">
            <v>X</v>
          </cell>
          <cell r="L288" t="str">
            <v>11:05:01</v>
          </cell>
          <cell r="M288">
            <v>45994</v>
          </cell>
          <cell r="N288">
            <v>44430</v>
          </cell>
          <cell r="O288" t="str">
            <v>X</v>
          </cell>
          <cell r="P288" t="str">
            <v>2025</v>
          </cell>
          <cell r="Q288">
            <v>160</v>
          </cell>
          <cell r="R288" t="str">
            <v/>
          </cell>
        </row>
        <row r="289">
          <cell r="A289" t="str">
            <v>4002344</v>
          </cell>
          <cell r="B289" t="str">
            <v>3300</v>
          </cell>
          <cell r="C289" t="str">
            <v>3001</v>
          </cell>
          <cell r="D289" t="str">
            <v>L</v>
          </cell>
          <cell r="E289" t="str">
            <v/>
          </cell>
          <cell r="F289" t="str">
            <v>2026</v>
          </cell>
          <cell r="G289" t="str">
            <v>2</v>
          </cell>
          <cell r="H289">
            <v>20</v>
          </cell>
          <cell r="I289">
            <v>0</v>
          </cell>
          <cell r="J289" t="str">
            <v>X</v>
          </cell>
          <cell r="K289" t="str">
            <v>X</v>
          </cell>
          <cell r="L289" t="str">
            <v>02:01:03</v>
          </cell>
          <cell r="M289">
            <v>45796</v>
          </cell>
          <cell r="N289">
            <v>44430</v>
          </cell>
          <cell r="O289" t="str">
            <v>X</v>
          </cell>
          <cell r="P289" t="str">
            <v>2025</v>
          </cell>
          <cell r="Q289">
            <v>20</v>
          </cell>
          <cell r="R289" t="str">
            <v/>
          </cell>
        </row>
        <row r="290">
          <cell r="A290" t="str">
            <v>4002345</v>
          </cell>
          <cell r="B290" t="str">
            <v>3300</v>
          </cell>
          <cell r="C290" t="str">
            <v>3001</v>
          </cell>
          <cell r="D290" t="str">
            <v>L</v>
          </cell>
          <cell r="E290" t="str">
            <v/>
          </cell>
          <cell r="F290" t="str">
            <v>2026</v>
          </cell>
          <cell r="G290" t="str">
            <v>3</v>
          </cell>
          <cell r="H290">
            <v>93</v>
          </cell>
          <cell r="I290">
            <v>0</v>
          </cell>
          <cell r="J290" t="str">
            <v>X</v>
          </cell>
          <cell r="K290" t="str">
            <v>X</v>
          </cell>
          <cell r="L290" t="str">
            <v>11:02:02</v>
          </cell>
          <cell r="M290">
            <v>45987</v>
          </cell>
          <cell r="N290">
            <v>44430</v>
          </cell>
          <cell r="O290" t="str">
            <v>X</v>
          </cell>
          <cell r="P290" t="str">
            <v>2025</v>
          </cell>
          <cell r="Q290">
            <v>93</v>
          </cell>
          <cell r="R290" t="str">
            <v/>
          </cell>
        </row>
        <row r="291">
          <cell r="A291" t="str">
            <v>4002349</v>
          </cell>
          <cell r="B291" t="str">
            <v>3300</v>
          </cell>
          <cell r="C291" t="str">
            <v>3001</v>
          </cell>
          <cell r="D291" t="str">
            <v>L</v>
          </cell>
          <cell r="E291" t="str">
            <v/>
          </cell>
          <cell r="F291" t="str">
            <v>2024</v>
          </cell>
          <cell r="G291" t="str">
            <v>6</v>
          </cell>
          <cell r="H291">
            <v>0</v>
          </cell>
          <cell r="I291">
            <v>0</v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>
            <v>45450</v>
          </cell>
          <cell r="O291" t="str">
            <v>X</v>
          </cell>
          <cell r="P291" t="str">
            <v>2024</v>
          </cell>
          <cell r="Q291">
            <v>0</v>
          </cell>
          <cell r="R291" t="str">
            <v>INAKTIV</v>
          </cell>
        </row>
        <row r="292">
          <cell r="A292" t="str">
            <v>4002416</v>
          </cell>
          <cell r="B292" t="str">
            <v>3300</v>
          </cell>
          <cell r="C292" t="str">
            <v>3001</v>
          </cell>
          <cell r="D292" t="str">
            <v>LD</v>
          </cell>
          <cell r="E292" t="str">
            <v/>
          </cell>
          <cell r="F292" t="str">
            <v>2023</v>
          </cell>
          <cell r="G292" t="str">
            <v>11</v>
          </cell>
          <cell r="H292">
            <v>0</v>
          </cell>
          <cell r="I292">
            <v>0</v>
          </cell>
          <cell r="J292" t="str">
            <v>X</v>
          </cell>
          <cell r="K292" t="str">
            <v/>
          </cell>
          <cell r="L292" t="str">
            <v>SLETTET</v>
          </cell>
          <cell r="M292">
            <v>44568</v>
          </cell>
          <cell r="N292">
            <v>44430</v>
          </cell>
          <cell r="O292" t="str">
            <v>X</v>
          </cell>
          <cell r="P292" t="str">
            <v>2022</v>
          </cell>
          <cell r="Q292">
            <v>0</v>
          </cell>
          <cell r="R292" t="str">
            <v>INAKTIV</v>
          </cell>
        </row>
        <row r="293">
          <cell r="A293" t="str">
            <v>4002446</v>
          </cell>
          <cell r="B293" t="str">
            <v>3300</v>
          </cell>
          <cell r="C293" t="str">
            <v>3001</v>
          </cell>
          <cell r="D293" t="str">
            <v>L</v>
          </cell>
          <cell r="E293" t="str">
            <v/>
          </cell>
          <cell r="F293" t="str">
            <v>2026</v>
          </cell>
          <cell r="G293" t="str">
            <v>3</v>
          </cell>
          <cell r="H293">
            <v>7760</v>
          </cell>
          <cell r="I293">
            <v>0</v>
          </cell>
          <cell r="J293" t="str">
            <v>X</v>
          </cell>
          <cell r="K293" t="str">
            <v>X</v>
          </cell>
          <cell r="L293" t="str">
            <v>14:15:04</v>
          </cell>
          <cell r="M293">
            <v>46001</v>
          </cell>
          <cell r="N293">
            <v>44430</v>
          </cell>
          <cell r="O293" t="str">
            <v>X</v>
          </cell>
          <cell r="P293" t="str">
            <v>2025</v>
          </cell>
          <cell r="Q293">
            <v>7760</v>
          </cell>
          <cell r="R293" t="str">
            <v/>
          </cell>
        </row>
        <row r="294">
          <cell r="A294" t="str">
            <v>4002462</v>
          </cell>
          <cell r="B294" t="str">
            <v>3300</v>
          </cell>
          <cell r="C294" t="str">
            <v>3001</v>
          </cell>
          <cell r="D294" t="str">
            <v>L</v>
          </cell>
          <cell r="E294" t="str">
            <v/>
          </cell>
          <cell r="F294" t="str">
            <v>2026</v>
          </cell>
          <cell r="G294" t="str">
            <v>3</v>
          </cell>
          <cell r="H294">
            <v>2950</v>
          </cell>
          <cell r="I294">
            <v>0</v>
          </cell>
          <cell r="J294" t="str">
            <v>X</v>
          </cell>
          <cell r="K294" t="str">
            <v>X</v>
          </cell>
          <cell r="L294" t="str">
            <v>05:08:01</v>
          </cell>
          <cell r="M294">
            <v>45803</v>
          </cell>
          <cell r="N294">
            <v>44430</v>
          </cell>
          <cell r="O294" t="str">
            <v>X</v>
          </cell>
          <cell r="P294" t="str">
            <v>2025</v>
          </cell>
          <cell r="Q294">
            <v>2950</v>
          </cell>
          <cell r="R294" t="str">
            <v/>
          </cell>
        </row>
        <row r="295">
          <cell r="A295" t="str">
            <v>4002465</v>
          </cell>
          <cell r="B295" t="str">
            <v>3300</v>
          </cell>
          <cell r="C295" t="str">
            <v>3001</v>
          </cell>
          <cell r="D295" t="str">
            <v>L</v>
          </cell>
          <cell r="E295" t="str">
            <v/>
          </cell>
          <cell r="F295" t="str">
            <v>2026</v>
          </cell>
          <cell r="G295" t="str">
            <v>2</v>
          </cell>
          <cell r="H295">
            <v>1000</v>
          </cell>
          <cell r="I295">
            <v>0</v>
          </cell>
          <cell r="J295" t="str">
            <v>X</v>
          </cell>
          <cell r="K295" t="str">
            <v>X</v>
          </cell>
          <cell r="L295" t="str">
            <v>13:01:02</v>
          </cell>
          <cell r="M295">
            <v>45994</v>
          </cell>
          <cell r="N295">
            <v>44430</v>
          </cell>
          <cell r="O295" t="str">
            <v>X</v>
          </cell>
          <cell r="P295" t="str">
            <v>2025</v>
          </cell>
          <cell r="Q295">
            <v>1000</v>
          </cell>
          <cell r="R295" t="str">
            <v/>
          </cell>
        </row>
        <row r="296">
          <cell r="A296" t="str">
            <v>4002466</v>
          </cell>
          <cell r="B296" t="str">
            <v>3300</v>
          </cell>
          <cell r="C296" t="str">
            <v>3001</v>
          </cell>
          <cell r="D296" t="str">
            <v>L</v>
          </cell>
          <cell r="E296" t="str">
            <v/>
          </cell>
          <cell r="F296" t="str">
            <v>2026</v>
          </cell>
          <cell r="G296" t="str">
            <v>3</v>
          </cell>
          <cell r="H296">
            <v>650</v>
          </cell>
          <cell r="I296">
            <v>0</v>
          </cell>
          <cell r="J296" t="str">
            <v>X</v>
          </cell>
          <cell r="K296" t="str">
            <v>X</v>
          </cell>
          <cell r="L296" t="str">
            <v>13:01:03</v>
          </cell>
          <cell r="M296">
            <v>45994</v>
          </cell>
          <cell r="N296">
            <v>44430</v>
          </cell>
          <cell r="O296" t="str">
            <v>X</v>
          </cell>
          <cell r="P296" t="str">
            <v>2025</v>
          </cell>
          <cell r="Q296">
            <v>650</v>
          </cell>
          <cell r="R296" t="str">
            <v/>
          </cell>
        </row>
        <row r="297">
          <cell r="A297" t="str">
            <v>4002467</v>
          </cell>
          <cell r="B297" t="str">
            <v>3300</v>
          </cell>
          <cell r="C297" t="str">
            <v>3001</v>
          </cell>
          <cell r="D297" t="str">
            <v>L</v>
          </cell>
          <cell r="E297" t="str">
            <v/>
          </cell>
          <cell r="F297" t="str">
            <v>2026</v>
          </cell>
          <cell r="G297" t="str">
            <v>3</v>
          </cell>
          <cell r="H297">
            <v>550</v>
          </cell>
          <cell r="I297">
            <v>0</v>
          </cell>
          <cell r="J297" t="str">
            <v>X</v>
          </cell>
          <cell r="K297" t="str">
            <v>X</v>
          </cell>
          <cell r="L297" t="str">
            <v>13:02:01</v>
          </cell>
          <cell r="M297">
            <v>45994</v>
          </cell>
          <cell r="N297">
            <v>44430</v>
          </cell>
          <cell r="O297" t="str">
            <v>X</v>
          </cell>
          <cell r="P297" t="str">
            <v>2025</v>
          </cell>
          <cell r="Q297">
            <v>550</v>
          </cell>
          <cell r="R297" t="str">
            <v/>
          </cell>
        </row>
        <row r="298">
          <cell r="A298" t="str">
            <v>4002468</v>
          </cell>
          <cell r="B298" t="str">
            <v>3300</v>
          </cell>
          <cell r="C298" t="str">
            <v>3001</v>
          </cell>
          <cell r="D298" t="str">
            <v>L</v>
          </cell>
          <cell r="E298" t="str">
            <v/>
          </cell>
          <cell r="F298" t="str">
            <v>2026</v>
          </cell>
          <cell r="G298" t="str">
            <v>2</v>
          </cell>
          <cell r="H298">
            <v>500</v>
          </cell>
          <cell r="I298">
            <v>0</v>
          </cell>
          <cell r="J298" t="str">
            <v>X</v>
          </cell>
          <cell r="K298" t="str">
            <v>X</v>
          </cell>
          <cell r="L298" t="str">
            <v>13:02:02</v>
          </cell>
          <cell r="M298">
            <v>45994</v>
          </cell>
          <cell r="N298">
            <v>44430</v>
          </cell>
          <cell r="O298" t="str">
            <v>X</v>
          </cell>
          <cell r="P298" t="str">
            <v>2025</v>
          </cell>
          <cell r="Q298">
            <v>500</v>
          </cell>
          <cell r="R298" t="str">
            <v/>
          </cell>
        </row>
        <row r="299">
          <cell r="A299" t="str">
            <v>4002472</v>
          </cell>
          <cell r="B299" t="str">
            <v>3300</v>
          </cell>
          <cell r="C299" t="str">
            <v>3001</v>
          </cell>
          <cell r="D299" t="str">
            <v>L</v>
          </cell>
          <cell r="E299" t="str">
            <v/>
          </cell>
          <cell r="F299" t="str">
            <v>2026</v>
          </cell>
          <cell r="G299" t="str">
            <v>3</v>
          </cell>
          <cell r="H299">
            <v>2954</v>
          </cell>
          <cell r="I299">
            <v>0</v>
          </cell>
          <cell r="J299" t="str">
            <v>X</v>
          </cell>
          <cell r="K299" t="str">
            <v>X</v>
          </cell>
          <cell r="L299" t="str">
            <v>15:06:00*</v>
          </cell>
          <cell r="M299">
            <v>46001</v>
          </cell>
          <cell r="N299">
            <v>44430</v>
          </cell>
          <cell r="O299" t="str">
            <v>X</v>
          </cell>
          <cell r="P299" t="str">
            <v>2025</v>
          </cell>
          <cell r="Q299">
            <v>2954</v>
          </cell>
          <cell r="R299" t="str">
            <v/>
          </cell>
        </row>
        <row r="300">
          <cell r="A300" t="str">
            <v>4002475</v>
          </cell>
          <cell r="B300" t="str">
            <v>3300</v>
          </cell>
          <cell r="C300" t="str">
            <v>3001</v>
          </cell>
          <cell r="D300" t="str">
            <v>L</v>
          </cell>
          <cell r="E300" t="str">
            <v/>
          </cell>
          <cell r="F300" t="str">
            <v>2026</v>
          </cell>
          <cell r="G300" t="str">
            <v>2</v>
          </cell>
          <cell r="H300">
            <v>55</v>
          </cell>
          <cell r="I300">
            <v>0</v>
          </cell>
          <cell r="J300" t="str">
            <v>X</v>
          </cell>
          <cell r="K300" t="str">
            <v>X</v>
          </cell>
          <cell r="L300" t="str">
            <v>02:04:03</v>
          </cell>
          <cell r="M300">
            <v>45796</v>
          </cell>
          <cell r="N300">
            <v>44430</v>
          </cell>
          <cell r="O300" t="str">
            <v>X</v>
          </cell>
          <cell r="P300" t="str">
            <v>2025</v>
          </cell>
          <cell r="Q300">
            <v>55</v>
          </cell>
          <cell r="R300" t="str">
            <v/>
          </cell>
        </row>
        <row r="301">
          <cell r="A301" t="str">
            <v>4002477</v>
          </cell>
          <cell r="B301" t="str">
            <v>3300</v>
          </cell>
          <cell r="C301" t="str">
            <v>3001</v>
          </cell>
          <cell r="D301" t="str">
            <v>DL</v>
          </cell>
          <cell r="E301" t="str">
            <v/>
          </cell>
          <cell r="F301" t="str">
            <v>2026</v>
          </cell>
          <cell r="G301" t="str">
            <v>2</v>
          </cell>
          <cell r="H301">
            <v>880</v>
          </cell>
          <cell r="I301">
            <v>0</v>
          </cell>
          <cell r="J301" t="str">
            <v>X</v>
          </cell>
          <cell r="K301" t="str">
            <v>X</v>
          </cell>
          <cell r="L301" t="str">
            <v>08:08:02</v>
          </cell>
          <cell r="M301">
            <v>45980</v>
          </cell>
          <cell r="N301">
            <v>44581</v>
          </cell>
          <cell r="O301" t="str">
            <v>X</v>
          </cell>
          <cell r="P301" t="str">
            <v>2025</v>
          </cell>
          <cell r="Q301">
            <v>880</v>
          </cell>
          <cell r="R301" t="str">
            <v/>
          </cell>
        </row>
        <row r="302">
          <cell r="A302" t="str">
            <v>4002481</v>
          </cell>
          <cell r="B302" t="str">
            <v>3300</v>
          </cell>
          <cell r="C302" t="str">
            <v>3001</v>
          </cell>
          <cell r="D302" t="str">
            <v>L</v>
          </cell>
          <cell r="E302" t="str">
            <v/>
          </cell>
          <cell r="F302" t="str">
            <v>2026</v>
          </cell>
          <cell r="G302" t="str">
            <v>3</v>
          </cell>
          <cell r="H302">
            <v>56</v>
          </cell>
          <cell r="I302">
            <v>0</v>
          </cell>
          <cell r="J302" t="str">
            <v>X</v>
          </cell>
          <cell r="K302" t="str">
            <v>X</v>
          </cell>
          <cell r="L302" t="str">
            <v>08:06:03</v>
          </cell>
          <cell r="M302">
            <v>45980</v>
          </cell>
          <cell r="N302">
            <v>44430</v>
          </cell>
          <cell r="O302" t="str">
            <v>X</v>
          </cell>
          <cell r="P302" t="str">
            <v>2025</v>
          </cell>
          <cell r="Q302">
            <v>56</v>
          </cell>
          <cell r="R302" t="str">
            <v/>
          </cell>
        </row>
        <row r="303">
          <cell r="A303" t="str">
            <v>4002482</v>
          </cell>
          <cell r="B303" t="str">
            <v>3300</v>
          </cell>
          <cell r="C303" t="str">
            <v>3001</v>
          </cell>
          <cell r="D303" t="str">
            <v>L</v>
          </cell>
          <cell r="E303" t="str">
            <v/>
          </cell>
          <cell r="F303" t="str">
            <v>2026</v>
          </cell>
          <cell r="G303" t="str">
            <v>3</v>
          </cell>
          <cell r="H303">
            <v>500</v>
          </cell>
          <cell r="I303">
            <v>0</v>
          </cell>
          <cell r="J303" t="str">
            <v>X</v>
          </cell>
          <cell r="K303" t="str">
            <v>X</v>
          </cell>
          <cell r="L303" t="str">
            <v>14:11:03</v>
          </cell>
          <cell r="M303">
            <v>46001</v>
          </cell>
          <cell r="N303">
            <v>44430</v>
          </cell>
          <cell r="O303" t="str">
            <v>X</v>
          </cell>
          <cell r="P303" t="str">
            <v>2025</v>
          </cell>
          <cell r="Q303">
            <v>500</v>
          </cell>
          <cell r="R303" t="str">
            <v/>
          </cell>
        </row>
        <row r="304">
          <cell r="A304" t="str">
            <v>4002490</v>
          </cell>
          <cell r="B304" t="str">
            <v>3300</v>
          </cell>
          <cell r="C304" t="str">
            <v>3001</v>
          </cell>
          <cell r="D304" t="str">
            <v>L</v>
          </cell>
          <cell r="E304" t="str">
            <v/>
          </cell>
          <cell r="F304" t="str">
            <v>2023</v>
          </cell>
          <cell r="G304" t="str">
            <v>4</v>
          </cell>
          <cell r="H304">
            <v>0</v>
          </cell>
          <cell r="I304">
            <v>0</v>
          </cell>
          <cell r="J304" t="str">
            <v>X</v>
          </cell>
          <cell r="K304" t="str">
            <v/>
          </cell>
          <cell r="L304" t="str">
            <v>SLETTET</v>
          </cell>
          <cell r="M304">
            <v>45799</v>
          </cell>
          <cell r="N304">
            <v>44430</v>
          </cell>
          <cell r="O304" t="str">
            <v>X</v>
          </cell>
          <cell r="P304" t="str">
            <v>2025</v>
          </cell>
          <cell r="Q304">
            <v>0</v>
          </cell>
          <cell r="R304" t="str">
            <v>INAKTIV</v>
          </cell>
        </row>
        <row r="305">
          <cell r="A305" t="str">
            <v>4002491</v>
          </cell>
          <cell r="B305" t="str">
            <v>3300</v>
          </cell>
          <cell r="C305" t="str">
            <v>3001</v>
          </cell>
          <cell r="D305" t="str">
            <v>L</v>
          </cell>
          <cell r="E305" t="str">
            <v/>
          </cell>
          <cell r="F305" t="str">
            <v>2026</v>
          </cell>
          <cell r="G305" t="str">
            <v>2</v>
          </cell>
          <cell r="H305">
            <v>253</v>
          </cell>
          <cell r="I305">
            <v>0</v>
          </cell>
          <cell r="J305" t="str">
            <v>X</v>
          </cell>
          <cell r="K305" t="str">
            <v>X</v>
          </cell>
          <cell r="L305" t="str">
            <v>04:02:03</v>
          </cell>
          <cell r="M305">
            <v>45798</v>
          </cell>
          <cell r="N305">
            <v>44430</v>
          </cell>
          <cell r="O305" t="str">
            <v>X</v>
          </cell>
          <cell r="P305" t="str">
            <v>2025</v>
          </cell>
          <cell r="Q305">
            <v>253</v>
          </cell>
          <cell r="R305" t="str">
            <v/>
          </cell>
        </row>
        <row r="306">
          <cell r="A306" t="str">
            <v>4002495</v>
          </cell>
          <cell r="B306" t="str">
            <v>3300</v>
          </cell>
          <cell r="C306" t="str">
            <v>3001</v>
          </cell>
          <cell r="D306" t="str">
            <v>L</v>
          </cell>
          <cell r="E306" t="str">
            <v>X</v>
          </cell>
          <cell r="F306" t="str">
            <v>2023</v>
          </cell>
          <cell r="G306" t="str">
            <v>3</v>
          </cell>
          <cell r="H306">
            <v>0</v>
          </cell>
          <cell r="I306">
            <v>0</v>
          </cell>
          <cell r="J306" t="str">
            <v/>
          </cell>
          <cell r="K306" t="str">
            <v/>
          </cell>
          <cell r="L306" t="str">
            <v>SLETTET</v>
          </cell>
          <cell r="M306">
            <v>44568</v>
          </cell>
          <cell r="N306">
            <v>44430</v>
          </cell>
          <cell r="O306" t="str">
            <v>X</v>
          </cell>
          <cell r="P306" t="str">
            <v>2025</v>
          </cell>
          <cell r="Q306">
            <v>0</v>
          </cell>
          <cell r="R306" t="str">
            <v>INAKTIV</v>
          </cell>
        </row>
        <row r="307">
          <cell r="A307" t="str">
            <v>4002545</v>
          </cell>
          <cell r="B307" t="str">
            <v>3300</v>
          </cell>
          <cell r="C307" t="str">
            <v>3001</v>
          </cell>
          <cell r="D307" t="str">
            <v>L</v>
          </cell>
          <cell r="E307" t="str">
            <v>X</v>
          </cell>
          <cell r="F307" t="str">
            <v>2022</v>
          </cell>
          <cell r="G307" t="str">
            <v>1</v>
          </cell>
          <cell r="H307">
            <v>0</v>
          </cell>
          <cell r="I307">
            <v>0</v>
          </cell>
          <cell r="J307" t="str">
            <v/>
          </cell>
          <cell r="K307" t="str">
            <v/>
          </cell>
          <cell r="L307" t="str">
            <v>SLETTET</v>
          </cell>
          <cell r="M307" t="str">
            <v/>
          </cell>
          <cell r="N307">
            <v>44430</v>
          </cell>
          <cell r="O307" t="str">
            <v>X</v>
          </cell>
          <cell r="P307" t="str">
            <v>2023</v>
          </cell>
          <cell r="Q307">
            <v>0</v>
          </cell>
          <cell r="R307" t="str">
            <v>INAKTIV</v>
          </cell>
        </row>
        <row r="308">
          <cell r="A308" t="str">
            <v>4002546</v>
          </cell>
          <cell r="B308" t="str">
            <v>3300</v>
          </cell>
          <cell r="C308" t="str">
            <v>3001</v>
          </cell>
          <cell r="D308" t="str">
            <v>L</v>
          </cell>
          <cell r="E308" t="str">
            <v/>
          </cell>
          <cell r="F308" t="str">
            <v>2026</v>
          </cell>
          <cell r="G308" t="str">
            <v>3</v>
          </cell>
          <cell r="H308">
            <v>850</v>
          </cell>
          <cell r="I308">
            <v>0</v>
          </cell>
          <cell r="J308" t="str">
            <v>X</v>
          </cell>
          <cell r="K308" t="str">
            <v>X</v>
          </cell>
          <cell r="L308" t="str">
            <v>12:12:01</v>
          </cell>
          <cell r="M308">
            <v>45994</v>
          </cell>
          <cell r="N308">
            <v>44430</v>
          </cell>
          <cell r="O308" t="str">
            <v>X</v>
          </cell>
          <cell r="P308" t="str">
            <v>2025</v>
          </cell>
          <cell r="Q308">
            <v>850</v>
          </cell>
          <cell r="R308" t="str">
            <v/>
          </cell>
        </row>
        <row r="309">
          <cell r="A309" t="str">
            <v>4002621</v>
          </cell>
          <cell r="B309" t="str">
            <v>3300</v>
          </cell>
          <cell r="C309" t="str">
            <v>3001</v>
          </cell>
          <cell r="D309" t="str">
            <v>L</v>
          </cell>
          <cell r="E309" t="str">
            <v/>
          </cell>
          <cell r="F309" t="str">
            <v>2026</v>
          </cell>
          <cell r="G309" t="str">
            <v>3</v>
          </cell>
          <cell r="H309">
            <v>71</v>
          </cell>
          <cell r="I309">
            <v>0</v>
          </cell>
          <cell r="J309" t="str">
            <v>X</v>
          </cell>
          <cell r="K309" t="str">
            <v>X</v>
          </cell>
          <cell r="L309" t="str">
            <v>03:02:02</v>
          </cell>
          <cell r="M309">
            <v>45798</v>
          </cell>
          <cell r="N309">
            <v>44430</v>
          </cell>
          <cell r="O309" t="str">
            <v>X</v>
          </cell>
          <cell r="P309" t="str">
            <v>2025</v>
          </cell>
          <cell r="Q309">
            <v>71</v>
          </cell>
          <cell r="R309" t="str">
            <v/>
          </cell>
        </row>
        <row r="310">
          <cell r="A310" t="str">
            <v>4002637</v>
          </cell>
          <cell r="B310" t="str">
            <v>3300</v>
          </cell>
          <cell r="C310" t="str">
            <v>3001</v>
          </cell>
          <cell r="D310" t="str">
            <v>DL</v>
          </cell>
          <cell r="E310" t="str">
            <v/>
          </cell>
          <cell r="F310" t="str">
            <v>2022</v>
          </cell>
          <cell r="G310" t="str">
            <v>1</v>
          </cell>
          <cell r="H310">
            <v>0</v>
          </cell>
          <cell r="I310">
            <v>0</v>
          </cell>
          <cell r="J310" t="str">
            <v/>
          </cell>
          <cell r="K310" t="str">
            <v/>
          </cell>
          <cell r="L310" t="str">
            <v>-</v>
          </cell>
          <cell r="M310" t="str">
            <v/>
          </cell>
          <cell r="N310">
            <v>44587</v>
          </cell>
          <cell r="O310" t="str">
            <v>X</v>
          </cell>
          <cell r="P310" t="str">
            <v>2022</v>
          </cell>
          <cell r="Q310">
            <v>0</v>
          </cell>
          <cell r="R310" t="str">
            <v>INAKTIV</v>
          </cell>
        </row>
        <row r="311">
          <cell r="A311" t="str">
            <v>4002667</v>
          </cell>
          <cell r="B311" t="str">
            <v>3300</v>
          </cell>
          <cell r="C311" t="str">
            <v>3001</v>
          </cell>
          <cell r="D311" t="str">
            <v>L</v>
          </cell>
          <cell r="E311" t="str">
            <v>X</v>
          </cell>
          <cell r="F311" t="str">
            <v>2023</v>
          </cell>
          <cell r="G311" t="str">
            <v>7</v>
          </cell>
          <cell r="H311">
            <v>0</v>
          </cell>
          <cell r="I311">
            <v>0</v>
          </cell>
          <cell r="J311" t="str">
            <v/>
          </cell>
          <cell r="K311" t="str">
            <v/>
          </cell>
          <cell r="L311" t="str">
            <v>SLETTET</v>
          </cell>
          <cell r="M311">
            <v>44568</v>
          </cell>
          <cell r="N311">
            <v>44430</v>
          </cell>
          <cell r="O311" t="str">
            <v>X</v>
          </cell>
          <cell r="P311" t="str">
            <v>2025</v>
          </cell>
          <cell r="Q311">
            <v>0</v>
          </cell>
          <cell r="R311" t="str">
            <v>INAKTIV</v>
          </cell>
        </row>
        <row r="312">
          <cell r="A312" t="str">
            <v>4002675</v>
          </cell>
          <cell r="B312" t="str">
            <v>3300</v>
          </cell>
          <cell r="C312" t="str">
            <v>3001</v>
          </cell>
          <cell r="D312" t="str">
            <v>L</v>
          </cell>
          <cell r="E312" t="str">
            <v/>
          </cell>
          <cell r="F312" t="str">
            <v>2026</v>
          </cell>
          <cell r="G312" t="str">
            <v>2</v>
          </cell>
          <cell r="H312">
            <v>35</v>
          </cell>
          <cell r="I312">
            <v>0</v>
          </cell>
          <cell r="J312" t="str">
            <v>X</v>
          </cell>
          <cell r="K312" t="str">
            <v>X</v>
          </cell>
          <cell r="L312" t="str">
            <v>03:02:02</v>
          </cell>
          <cell r="M312">
            <v>45798</v>
          </cell>
          <cell r="N312">
            <v>44430</v>
          </cell>
          <cell r="O312" t="str">
            <v>X</v>
          </cell>
          <cell r="P312" t="str">
            <v>2025</v>
          </cell>
          <cell r="Q312">
            <v>35</v>
          </cell>
          <cell r="R312" t="str">
            <v/>
          </cell>
        </row>
        <row r="313">
          <cell r="A313" t="str">
            <v>4002677</v>
          </cell>
          <cell r="B313" t="str">
            <v>3300</v>
          </cell>
          <cell r="C313" t="str">
            <v>3001</v>
          </cell>
          <cell r="D313" t="str">
            <v>L</v>
          </cell>
          <cell r="E313" t="str">
            <v/>
          </cell>
          <cell r="F313" t="str">
            <v>2026</v>
          </cell>
          <cell r="G313" t="str">
            <v>2</v>
          </cell>
          <cell r="H313">
            <v>200</v>
          </cell>
          <cell r="I313">
            <v>0</v>
          </cell>
          <cell r="J313" t="str">
            <v>X</v>
          </cell>
          <cell r="K313" t="str">
            <v>X</v>
          </cell>
          <cell r="L313" t="str">
            <v>06:06:03</v>
          </cell>
          <cell r="M313">
            <v>45819</v>
          </cell>
          <cell r="N313">
            <v>44430</v>
          </cell>
          <cell r="O313" t="str">
            <v>X</v>
          </cell>
          <cell r="P313" t="str">
            <v>2025</v>
          </cell>
          <cell r="Q313">
            <v>200</v>
          </cell>
          <cell r="R313" t="str">
            <v/>
          </cell>
        </row>
        <row r="314">
          <cell r="A314" t="str">
            <v>4002679</v>
          </cell>
          <cell r="B314" t="str">
            <v>3300</v>
          </cell>
          <cell r="C314" t="str">
            <v>3001</v>
          </cell>
          <cell r="D314" t="str">
            <v>L</v>
          </cell>
          <cell r="E314" t="str">
            <v/>
          </cell>
          <cell r="F314" t="str">
            <v>2026</v>
          </cell>
          <cell r="G314" t="str">
            <v>3</v>
          </cell>
          <cell r="H314">
            <v>850</v>
          </cell>
          <cell r="I314">
            <v>0</v>
          </cell>
          <cell r="J314" t="str">
            <v>X</v>
          </cell>
          <cell r="K314" t="str">
            <v>X</v>
          </cell>
          <cell r="L314" t="str">
            <v>04:10:02</v>
          </cell>
          <cell r="M314">
            <v>45800</v>
          </cell>
          <cell r="N314">
            <v>44430</v>
          </cell>
          <cell r="O314" t="str">
            <v>X</v>
          </cell>
          <cell r="P314" t="str">
            <v>2025</v>
          </cell>
          <cell r="Q314">
            <v>850</v>
          </cell>
          <cell r="R314" t="str">
            <v/>
          </cell>
        </row>
        <row r="315">
          <cell r="A315" t="str">
            <v>4002682</v>
          </cell>
          <cell r="B315" t="str">
            <v>3300</v>
          </cell>
          <cell r="C315" t="str">
            <v>3001</v>
          </cell>
          <cell r="D315" t="str">
            <v>L</v>
          </cell>
          <cell r="E315" t="str">
            <v>X</v>
          </cell>
          <cell r="F315" t="str">
            <v>2026</v>
          </cell>
          <cell r="G315" t="str">
            <v>1</v>
          </cell>
          <cell r="H315">
            <v>0</v>
          </cell>
          <cell r="I315">
            <v>0</v>
          </cell>
          <cell r="J315" t="str">
            <v>X</v>
          </cell>
          <cell r="K315" t="str">
            <v>X</v>
          </cell>
          <cell r="L315" t="str">
            <v>SLETTET</v>
          </cell>
          <cell r="M315">
            <v>45819</v>
          </cell>
          <cell r="N315">
            <v>44430</v>
          </cell>
          <cell r="O315" t="str">
            <v>X</v>
          </cell>
          <cell r="P315" t="str">
            <v>2025</v>
          </cell>
          <cell r="Q315">
            <v>0</v>
          </cell>
          <cell r="R315" t="str">
            <v>INAKTIV</v>
          </cell>
        </row>
        <row r="316">
          <cell r="A316" t="str">
            <v>4002684</v>
          </cell>
          <cell r="B316" t="str">
            <v>3300</v>
          </cell>
          <cell r="C316" t="str">
            <v>3001</v>
          </cell>
          <cell r="D316" t="str">
            <v>L</v>
          </cell>
          <cell r="E316" t="str">
            <v/>
          </cell>
          <cell r="F316" t="str">
            <v>2026</v>
          </cell>
          <cell r="G316" t="str">
            <v>3</v>
          </cell>
          <cell r="H316">
            <v>77</v>
          </cell>
          <cell r="I316">
            <v>0</v>
          </cell>
          <cell r="J316" t="str">
            <v>X</v>
          </cell>
          <cell r="K316" t="str">
            <v>X</v>
          </cell>
          <cell r="L316" t="str">
            <v>07:01:03</v>
          </cell>
          <cell r="M316">
            <v>45824</v>
          </cell>
          <cell r="N316">
            <v>44430</v>
          </cell>
          <cell r="O316" t="str">
            <v>X</v>
          </cell>
          <cell r="P316" t="str">
            <v>2025</v>
          </cell>
          <cell r="Q316">
            <v>77</v>
          </cell>
          <cell r="R316" t="str">
            <v/>
          </cell>
        </row>
        <row r="317">
          <cell r="A317" t="str">
            <v>4002685</v>
          </cell>
          <cell r="B317" t="str">
            <v>3300</v>
          </cell>
          <cell r="C317" t="str">
            <v>3001</v>
          </cell>
          <cell r="D317" t="str">
            <v>L</v>
          </cell>
          <cell r="E317" t="str">
            <v/>
          </cell>
          <cell r="F317" t="str">
            <v>2021</v>
          </cell>
          <cell r="G317" t="str">
            <v>10</v>
          </cell>
          <cell r="H317">
            <v>0</v>
          </cell>
          <cell r="I317">
            <v>0</v>
          </cell>
          <cell r="J317" t="str">
            <v/>
          </cell>
          <cell r="K317" t="str">
            <v>X</v>
          </cell>
          <cell r="L317" t="str">
            <v>SLETTET</v>
          </cell>
          <cell r="M317">
            <v>44568</v>
          </cell>
          <cell r="N317">
            <v>44430</v>
          </cell>
          <cell r="O317" t="str">
            <v>X</v>
          </cell>
          <cell r="P317" t="str">
            <v>2023</v>
          </cell>
          <cell r="Q317">
            <v>0</v>
          </cell>
          <cell r="R317" t="str">
            <v>INAKTIV</v>
          </cell>
        </row>
        <row r="318">
          <cell r="A318" t="str">
            <v>4002686</v>
          </cell>
          <cell r="B318" t="str">
            <v>3300</v>
          </cell>
          <cell r="C318" t="str">
            <v>3001</v>
          </cell>
          <cell r="D318" t="str">
            <v>L</v>
          </cell>
          <cell r="E318" t="str">
            <v>X</v>
          </cell>
          <cell r="F318" t="str">
            <v>2024</v>
          </cell>
          <cell r="G318" t="str">
            <v>9</v>
          </cell>
          <cell r="H318">
            <v>0</v>
          </cell>
          <cell r="I318">
            <v>0</v>
          </cell>
          <cell r="J318" t="str">
            <v>X</v>
          </cell>
          <cell r="K318" t="str">
            <v>X</v>
          </cell>
          <cell r="L318" t="str">
            <v>SLETTET</v>
          </cell>
          <cell r="M318">
            <v>45450</v>
          </cell>
          <cell r="N318">
            <v>44430</v>
          </cell>
          <cell r="O318" t="str">
            <v>X</v>
          </cell>
          <cell r="P318" t="str">
            <v>2024</v>
          </cell>
          <cell r="Q318">
            <v>0</v>
          </cell>
          <cell r="R318" t="str">
            <v>INAKTIV</v>
          </cell>
        </row>
        <row r="319">
          <cell r="A319" t="str">
            <v>4002688</v>
          </cell>
          <cell r="B319" t="str">
            <v>3300</v>
          </cell>
          <cell r="C319" t="str">
            <v>3001</v>
          </cell>
          <cell r="D319" t="str">
            <v>L</v>
          </cell>
          <cell r="E319" t="str">
            <v/>
          </cell>
          <cell r="F319" t="str">
            <v>2026</v>
          </cell>
          <cell r="G319" t="str">
            <v>3</v>
          </cell>
          <cell r="H319">
            <v>129</v>
          </cell>
          <cell r="I319">
            <v>0</v>
          </cell>
          <cell r="J319" t="str">
            <v>X</v>
          </cell>
          <cell r="K319" t="str">
            <v>X</v>
          </cell>
          <cell r="L319" t="str">
            <v>06:10:03</v>
          </cell>
          <cell r="M319">
            <v>45824</v>
          </cell>
          <cell r="N319">
            <v>44430</v>
          </cell>
          <cell r="O319" t="str">
            <v>X</v>
          </cell>
          <cell r="P319" t="str">
            <v>2025</v>
          </cell>
          <cell r="Q319">
            <v>129</v>
          </cell>
          <cell r="R319" t="str">
            <v/>
          </cell>
        </row>
        <row r="320">
          <cell r="A320" t="str">
            <v>4002709</v>
          </cell>
          <cell r="B320" t="str">
            <v>3300</v>
          </cell>
          <cell r="C320" t="str">
            <v>3001</v>
          </cell>
          <cell r="D320" t="str">
            <v>L</v>
          </cell>
          <cell r="E320" t="str">
            <v/>
          </cell>
          <cell r="F320" t="str">
            <v>2025</v>
          </cell>
          <cell r="G320" t="str">
            <v>11</v>
          </cell>
          <cell r="H320">
            <v>550</v>
          </cell>
          <cell r="I320">
            <v>0</v>
          </cell>
          <cell r="J320" t="str">
            <v>X</v>
          </cell>
          <cell r="K320" t="str">
            <v>X</v>
          </cell>
          <cell r="L320" t="str">
            <v>03:06:02</v>
          </cell>
          <cell r="M320">
            <v>45798</v>
          </cell>
          <cell r="N320">
            <v>44430</v>
          </cell>
          <cell r="O320" t="str">
            <v>X</v>
          </cell>
          <cell r="P320" t="str">
            <v>2025</v>
          </cell>
          <cell r="Q320">
            <v>550</v>
          </cell>
          <cell r="R320" t="str">
            <v/>
          </cell>
        </row>
        <row r="321">
          <cell r="A321" t="str">
            <v>4002737</v>
          </cell>
          <cell r="B321" t="str">
            <v>3300</v>
          </cell>
          <cell r="C321" t="str">
            <v>3001</v>
          </cell>
          <cell r="D321" t="str">
            <v>L</v>
          </cell>
          <cell r="E321" t="str">
            <v/>
          </cell>
          <cell r="F321" t="str">
            <v>2026</v>
          </cell>
          <cell r="G321" t="str">
            <v>3</v>
          </cell>
          <cell r="H321">
            <v>155</v>
          </cell>
          <cell r="I321">
            <v>0</v>
          </cell>
          <cell r="J321" t="str">
            <v>X</v>
          </cell>
          <cell r="K321" t="str">
            <v/>
          </cell>
          <cell r="L321" t="str">
            <v>09:05:03</v>
          </cell>
          <cell r="M321">
            <v>46030</v>
          </cell>
          <cell r="N321">
            <v>45363</v>
          </cell>
          <cell r="O321" t="str">
            <v>X</v>
          </cell>
          <cell r="P321" t="str">
            <v>2026</v>
          </cell>
          <cell r="Q321">
            <v>155</v>
          </cell>
          <cell r="R321" t="str">
            <v/>
          </cell>
        </row>
        <row r="322">
          <cell r="A322" t="str">
            <v>4002738</v>
          </cell>
          <cell r="B322" t="str">
            <v>3300</v>
          </cell>
          <cell r="C322" t="str">
            <v>3001</v>
          </cell>
          <cell r="D322" t="str">
            <v>L</v>
          </cell>
          <cell r="E322" t="str">
            <v/>
          </cell>
          <cell r="F322" t="str">
            <v>2026</v>
          </cell>
          <cell r="G322" t="str">
            <v>2</v>
          </cell>
          <cell r="H322">
            <v>135</v>
          </cell>
          <cell r="I322">
            <v>0</v>
          </cell>
          <cell r="J322" t="str">
            <v>X</v>
          </cell>
          <cell r="K322" t="str">
            <v/>
          </cell>
          <cell r="L322" t="str">
            <v>09:05:01</v>
          </cell>
          <cell r="M322">
            <v>46030</v>
          </cell>
          <cell r="N322">
            <v>45363</v>
          </cell>
          <cell r="O322" t="str">
            <v>X</v>
          </cell>
          <cell r="P322" t="str">
            <v>2026</v>
          </cell>
          <cell r="Q322">
            <v>135</v>
          </cell>
          <cell r="R322" t="str">
            <v/>
          </cell>
        </row>
        <row r="323">
          <cell r="A323" t="str">
            <v>4002739</v>
          </cell>
          <cell r="B323" t="str">
            <v>3300</v>
          </cell>
          <cell r="C323" t="str">
            <v>3001</v>
          </cell>
          <cell r="D323" t="str">
            <v>L</v>
          </cell>
          <cell r="E323" t="str">
            <v/>
          </cell>
          <cell r="F323" t="str">
            <v>2026</v>
          </cell>
          <cell r="G323" t="str">
            <v>3</v>
          </cell>
          <cell r="H323">
            <v>200</v>
          </cell>
          <cell r="I323">
            <v>0</v>
          </cell>
          <cell r="J323" t="str">
            <v>X</v>
          </cell>
          <cell r="K323" t="str">
            <v/>
          </cell>
          <cell r="L323" t="str">
            <v>09:07:02</v>
          </cell>
          <cell r="M323">
            <v>46030</v>
          </cell>
          <cell r="N323">
            <v>45363</v>
          </cell>
          <cell r="O323" t="str">
            <v>X</v>
          </cell>
          <cell r="P323" t="str">
            <v>2026</v>
          </cell>
          <cell r="Q323">
            <v>200</v>
          </cell>
          <cell r="R323" t="str">
            <v/>
          </cell>
        </row>
        <row r="324">
          <cell r="A324" t="str">
            <v>4002740</v>
          </cell>
          <cell r="B324" t="str">
            <v>3300</v>
          </cell>
          <cell r="C324" t="str">
            <v>3001</v>
          </cell>
          <cell r="D324" t="str">
            <v>L</v>
          </cell>
          <cell r="E324" t="str">
            <v/>
          </cell>
          <cell r="F324" t="str">
            <v>2026</v>
          </cell>
          <cell r="G324" t="str">
            <v>2</v>
          </cell>
          <cell r="H324">
            <v>310</v>
          </cell>
          <cell r="I324">
            <v>0</v>
          </cell>
          <cell r="J324" t="str">
            <v>X</v>
          </cell>
          <cell r="K324" t="str">
            <v/>
          </cell>
          <cell r="L324" t="str">
            <v>09:07:01</v>
          </cell>
          <cell r="M324">
            <v>46030</v>
          </cell>
          <cell r="N324">
            <v>45363</v>
          </cell>
          <cell r="O324" t="str">
            <v>X</v>
          </cell>
          <cell r="P324" t="str">
            <v>2026</v>
          </cell>
          <cell r="Q324">
            <v>310</v>
          </cell>
          <cell r="R324" t="str">
            <v/>
          </cell>
        </row>
        <row r="325">
          <cell r="A325" t="str">
            <v>4002741</v>
          </cell>
          <cell r="B325" t="str">
            <v>3300</v>
          </cell>
          <cell r="C325" t="str">
            <v>3001</v>
          </cell>
          <cell r="D325" t="str">
            <v>L</v>
          </cell>
          <cell r="E325" t="str">
            <v/>
          </cell>
          <cell r="F325" t="str">
            <v>2026</v>
          </cell>
          <cell r="G325" t="str">
            <v>2</v>
          </cell>
          <cell r="H325">
            <v>290</v>
          </cell>
          <cell r="I325">
            <v>0</v>
          </cell>
          <cell r="J325" t="str">
            <v>X</v>
          </cell>
          <cell r="K325" t="str">
            <v/>
          </cell>
          <cell r="L325" t="str">
            <v>09:10:02</v>
          </cell>
          <cell r="M325">
            <v>46030</v>
          </cell>
          <cell r="N325">
            <v>45363</v>
          </cell>
          <cell r="O325" t="str">
            <v>X</v>
          </cell>
          <cell r="P325" t="str">
            <v>2026</v>
          </cell>
          <cell r="Q325">
            <v>290</v>
          </cell>
          <cell r="R325" t="str">
            <v/>
          </cell>
        </row>
        <row r="326">
          <cell r="A326" t="str">
            <v>4002742</v>
          </cell>
          <cell r="B326" t="str">
            <v>3300</v>
          </cell>
          <cell r="C326" t="str">
            <v>3001</v>
          </cell>
          <cell r="D326" t="str">
            <v>L</v>
          </cell>
          <cell r="E326" t="str">
            <v/>
          </cell>
          <cell r="F326" t="str">
            <v>2026</v>
          </cell>
          <cell r="G326" t="str">
            <v>2</v>
          </cell>
          <cell r="H326">
            <v>410</v>
          </cell>
          <cell r="I326">
            <v>0</v>
          </cell>
          <cell r="J326" t="str">
            <v>X</v>
          </cell>
          <cell r="K326" t="str">
            <v/>
          </cell>
          <cell r="L326" t="str">
            <v>05:07:03*</v>
          </cell>
          <cell r="M326">
            <v>46029</v>
          </cell>
          <cell r="N326">
            <v>45363</v>
          </cell>
          <cell r="O326" t="str">
            <v>X</v>
          </cell>
          <cell r="P326" t="str">
            <v>2026</v>
          </cell>
          <cell r="Q326">
            <v>410</v>
          </cell>
          <cell r="R326" t="str">
            <v/>
          </cell>
        </row>
        <row r="327">
          <cell r="A327" t="str">
            <v>4002743</v>
          </cell>
          <cell r="B327" t="str">
            <v>3300</v>
          </cell>
          <cell r="C327" t="str">
            <v>3001</v>
          </cell>
          <cell r="D327" t="str">
            <v>L</v>
          </cell>
          <cell r="E327" t="str">
            <v/>
          </cell>
          <cell r="F327" t="str">
            <v>2026</v>
          </cell>
          <cell r="G327" t="str">
            <v>2</v>
          </cell>
          <cell r="H327">
            <v>200</v>
          </cell>
          <cell r="I327">
            <v>0</v>
          </cell>
          <cell r="J327" t="str">
            <v>X</v>
          </cell>
          <cell r="K327" t="str">
            <v/>
          </cell>
          <cell r="L327" t="str">
            <v>13:10:00</v>
          </cell>
          <cell r="M327">
            <v>46030</v>
          </cell>
          <cell r="N327">
            <v>45363</v>
          </cell>
          <cell r="O327" t="str">
            <v>X</v>
          </cell>
          <cell r="P327" t="str">
            <v>2026</v>
          </cell>
          <cell r="Q327">
            <v>200</v>
          </cell>
          <cell r="R327" t="str">
            <v/>
          </cell>
        </row>
        <row r="328">
          <cell r="A328" t="str">
            <v>4002745</v>
          </cell>
          <cell r="B328" t="str">
            <v>3300</v>
          </cell>
          <cell r="C328" t="str">
            <v>3001</v>
          </cell>
          <cell r="D328" t="str">
            <v>L</v>
          </cell>
          <cell r="E328" t="str">
            <v/>
          </cell>
          <cell r="F328" t="str">
            <v>2026</v>
          </cell>
          <cell r="G328" t="str">
            <v>2</v>
          </cell>
          <cell r="H328">
            <v>180</v>
          </cell>
          <cell r="I328">
            <v>0</v>
          </cell>
          <cell r="J328" t="str">
            <v>X</v>
          </cell>
          <cell r="K328" t="str">
            <v/>
          </cell>
          <cell r="L328" t="str">
            <v>12:13:00</v>
          </cell>
          <cell r="M328">
            <v>46030</v>
          </cell>
          <cell r="N328">
            <v>45363</v>
          </cell>
          <cell r="O328" t="str">
            <v>X</v>
          </cell>
          <cell r="P328" t="str">
            <v>2026</v>
          </cell>
          <cell r="Q328">
            <v>180</v>
          </cell>
          <cell r="R328" t="str">
            <v/>
          </cell>
        </row>
        <row r="329">
          <cell r="A329" t="str">
            <v>4002809</v>
          </cell>
          <cell r="B329" t="str">
            <v>3300</v>
          </cell>
          <cell r="C329" t="str">
            <v>3001</v>
          </cell>
          <cell r="D329" t="str">
            <v>L</v>
          </cell>
          <cell r="E329" t="str">
            <v/>
          </cell>
          <cell r="F329" t="str">
            <v>2026</v>
          </cell>
          <cell r="G329" t="str">
            <v>3</v>
          </cell>
          <cell r="H329">
            <v>5145</v>
          </cell>
          <cell r="I329">
            <v>0</v>
          </cell>
          <cell r="J329" t="str">
            <v>X</v>
          </cell>
          <cell r="K329" t="str">
            <v>X</v>
          </cell>
          <cell r="L329" t="str">
            <v>11:10:00</v>
          </cell>
          <cell r="M329">
            <v>45994</v>
          </cell>
          <cell r="N329">
            <v>44430</v>
          </cell>
          <cell r="O329" t="str">
            <v>X</v>
          </cell>
          <cell r="P329" t="str">
            <v>2025</v>
          </cell>
          <cell r="Q329">
            <v>5145</v>
          </cell>
          <cell r="R329" t="str">
            <v/>
          </cell>
        </row>
        <row r="330">
          <cell r="A330" t="str">
            <v>4002843</v>
          </cell>
          <cell r="B330" t="str">
            <v>3300</v>
          </cell>
          <cell r="C330" t="str">
            <v>3001</v>
          </cell>
          <cell r="D330" t="str">
            <v>DL</v>
          </cell>
          <cell r="E330" t="str">
            <v/>
          </cell>
          <cell r="F330" t="str">
            <v>2022</v>
          </cell>
          <cell r="G330" t="str">
            <v>2</v>
          </cell>
          <cell r="H330">
            <v>0</v>
          </cell>
          <cell r="I330">
            <v>0</v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>
            <v>44595</v>
          </cell>
          <cell r="O330" t="str">
            <v>X</v>
          </cell>
          <cell r="P330" t="str">
            <v>2022</v>
          </cell>
          <cell r="Q330">
            <v>0</v>
          </cell>
          <cell r="R330" t="str">
            <v>INAKTIV</v>
          </cell>
        </row>
        <row r="331">
          <cell r="A331" t="str">
            <v>4002847</v>
          </cell>
          <cell r="B331" t="str">
            <v>3300</v>
          </cell>
          <cell r="C331" t="str">
            <v>3001</v>
          </cell>
          <cell r="D331" t="str">
            <v>L</v>
          </cell>
          <cell r="E331" t="str">
            <v/>
          </cell>
          <cell r="F331" t="str">
            <v>2026</v>
          </cell>
          <cell r="G331" t="str">
            <v>2</v>
          </cell>
          <cell r="H331">
            <v>120</v>
          </cell>
          <cell r="I331">
            <v>0</v>
          </cell>
          <cell r="J331" t="str">
            <v>X</v>
          </cell>
          <cell r="K331" t="str">
            <v>X</v>
          </cell>
          <cell r="L331" t="str">
            <v>05:03:01</v>
          </cell>
          <cell r="M331">
            <v>45803</v>
          </cell>
          <cell r="N331">
            <v>44430</v>
          </cell>
          <cell r="O331" t="str">
            <v>X</v>
          </cell>
          <cell r="P331" t="str">
            <v>2025</v>
          </cell>
          <cell r="Q331">
            <v>120</v>
          </cell>
          <cell r="R331" t="str">
            <v/>
          </cell>
        </row>
        <row r="332">
          <cell r="A332" t="str">
            <v>4002874</v>
          </cell>
          <cell r="B332" t="str">
            <v>3300</v>
          </cell>
          <cell r="C332" t="str">
            <v>3001</v>
          </cell>
          <cell r="D332" t="str">
            <v>L</v>
          </cell>
          <cell r="E332" t="str">
            <v/>
          </cell>
          <cell r="F332" t="str">
            <v>2026</v>
          </cell>
          <cell r="G332" t="str">
            <v>3</v>
          </cell>
          <cell r="H332">
            <v>232</v>
          </cell>
          <cell r="I332">
            <v>0</v>
          </cell>
          <cell r="J332" t="str">
            <v>X</v>
          </cell>
          <cell r="K332" t="str">
            <v>X</v>
          </cell>
          <cell r="L332" t="str">
            <v>09:02:02*</v>
          </cell>
          <cell r="M332">
            <v>45980</v>
          </cell>
          <cell r="N332">
            <v>44430</v>
          </cell>
          <cell r="O332" t="str">
            <v>X</v>
          </cell>
          <cell r="P332" t="str">
            <v>2025</v>
          </cell>
          <cell r="Q332">
            <v>232</v>
          </cell>
          <cell r="R332" t="str">
            <v/>
          </cell>
        </row>
        <row r="333">
          <cell r="A333" t="str">
            <v>4002898</v>
          </cell>
          <cell r="B333" t="str">
            <v>3300</v>
          </cell>
          <cell r="C333" t="str">
            <v>3001</v>
          </cell>
          <cell r="D333" t="str">
            <v>L</v>
          </cell>
          <cell r="E333" t="str">
            <v/>
          </cell>
          <cell r="F333" t="str">
            <v>2026</v>
          </cell>
          <cell r="G333" t="str">
            <v>2</v>
          </cell>
          <cell r="H333">
            <v>300</v>
          </cell>
          <cell r="I333">
            <v>0</v>
          </cell>
          <cell r="J333" t="str">
            <v>X</v>
          </cell>
          <cell r="K333" t="str">
            <v>X</v>
          </cell>
          <cell r="L333" t="str">
            <v>10:06:02</v>
          </cell>
          <cell r="M333">
            <v>45987</v>
          </cell>
          <cell r="N333">
            <v>44430</v>
          </cell>
          <cell r="O333" t="str">
            <v>X</v>
          </cell>
          <cell r="P333" t="str">
            <v>2025</v>
          </cell>
          <cell r="Q333">
            <v>300</v>
          </cell>
          <cell r="R333" t="str">
            <v/>
          </cell>
        </row>
        <row r="334">
          <cell r="A334" t="str">
            <v>4002899</v>
          </cell>
          <cell r="B334" t="str">
            <v>3300</v>
          </cell>
          <cell r="C334" t="str">
            <v>3001</v>
          </cell>
          <cell r="D334" t="str">
            <v>L</v>
          </cell>
          <cell r="E334" t="str">
            <v/>
          </cell>
          <cell r="F334" t="str">
            <v>2021</v>
          </cell>
          <cell r="G334" t="str">
            <v>10</v>
          </cell>
          <cell r="H334">
            <v>0</v>
          </cell>
          <cell r="I334">
            <v>0</v>
          </cell>
          <cell r="J334" t="str">
            <v/>
          </cell>
          <cell r="K334" t="str">
            <v>X</v>
          </cell>
          <cell r="L334" t="str">
            <v>SLETTET</v>
          </cell>
          <cell r="M334">
            <v>44568</v>
          </cell>
          <cell r="N334">
            <v>44430</v>
          </cell>
          <cell r="O334" t="str">
            <v>X</v>
          </cell>
          <cell r="P334" t="str">
            <v>2023</v>
          </cell>
          <cell r="Q334">
            <v>0</v>
          </cell>
          <cell r="R334" t="str">
            <v>INAKTIV</v>
          </cell>
        </row>
        <row r="335">
          <cell r="A335" t="str">
            <v>4002985</v>
          </cell>
          <cell r="B335" t="str">
            <v>3300</v>
          </cell>
          <cell r="C335" t="str">
            <v>3001</v>
          </cell>
          <cell r="D335" t="str">
            <v>DL</v>
          </cell>
          <cell r="E335" t="str">
            <v/>
          </cell>
          <cell r="F335" t="str">
            <v>2026</v>
          </cell>
          <cell r="G335" t="str">
            <v>2</v>
          </cell>
          <cell r="H335">
            <v>78</v>
          </cell>
          <cell r="I335">
            <v>0</v>
          </cell>
          <cell r="J335" t="str">
            <v>X</v>
          </cell>
          <cell r="K335" t="str">
            <v>X</v>
          </cell>
          <cell r="L335" t="str">
            <v>15:08:03</v>
          </cell>
          <cell r="M335">
            <v>46006</v>
          </cell>
          <cell r="N335">
            <v>44582</v>
          </cell>
          <cell r="O335" t="str">
            <v>X</v>
          </cell>
          <cell r="P335" t="str">
            <v>2025</v>
          </cell>
          <cell r="Q335">
            <v>78</v>
          </cell>
          <cell r="R335" t="str">
            <v/>
          </cell>
        </row>
        <row r="336">
          <cell r="A336" t="str">
            <v>4003002</v>
          </cell>
          <cell r="B336" t="str">
            <v>3300</v>
          </cell>
          <cell r="C336" t="str">
            <v>3001</v>
          </cell>
          <cell r="D336" t="str">
            <v>L</v>
          </cell>
          <cell r="E336" t="str">
            <v/>
          </cell>
          <cell r="F336" t="str">
            <v>2026</v>
          </cell>
          <cell r="G336" t="str">
            <v>2</v>
          </cell>
          <cell r="H336">
            <v>68</v>
          </cell>
          <cell r="I336">
            <v>0</v>
          </cell>
          <cell r="J336" t="str">
            <v>X</v>
          </cell>
          <cell r="K336" t="str">
            <v>X</v>
          </cell>
          <cell r="L336" t="str">
            <v>13:07:01</v>
          </cell>
          <cell r="M336">
            <v>45994</v>
          </cell>
          <cell r="N336">
            <v>44430</v>
          </cell>
          <cell r="O336" t="str">
            <v>X</v>
          </cell>
          <cell r="P336" t="str">
            <v>2025</v>
          </cell>
          <cell r="Q336">
            <v>68</v>
          </cell>
          <cell r="R336" t="str">
            <v/>
          </cell>
        </row>
        <row r="337">
          <cell r="A337" t="str">
            <v>4003004</v>
          </cell>
          <cell r="B337" t="str">
            <v>3300</v>
          </cell>
          <cell r="C337" t="str">
            <v>3001</v>
          </cell>
          <cell r="D337" t="str">
            <v>L</v>
          </cell>
          <cell r="E337" t="str">
            <v/>
          </cell>
          <cell r="F337" t="str">
            <v>2026</v>
          </cell>
          <cell r="G337" t="str">
            <v>2</v>
          </cell>
          <cell r="H337">
            <v>25</v>
          </cell>
          <cell r="I337">
            <v>0</v>
          </cell>
          <cell r="J337" t="str">
            <v>X</v>
          </cell>
          <cell r="K337" t="str">
            <v>X</v>
          </cell>
          <cell r="L337" t="str">
            <v>11:06:03</v>
          </cell>
          <cell r="M337">
            <v>45994</v>
          </cell>
          <cell r="N337">
            <v>44430</v>
          </cell>
          <cell r="O337" t="str">
            <v>X</v>
          </cell>
          <cell r="P337" t="str">
            <v>2025</v>
          </cell>
          <cell r="Q337">
            <v>25</v>
          </cell>
          <cell r="R337" t="str">
            <v/>
          </cell>
        </row>
        <row r="338">
          <cell r="A338" t="str">
            <v>4003005</v>
          </cell>
          <cell r="B338" t="str">
            <v>3300</v>
          </cell>
          <cell r="C338" t="str">
            <v>3001</v>
          </cell>
          <cell r="D338" t="str">
            <v>L</v>
          </cell>
          <cell r="E338" t="str">
            <v/>
          </cell>
          <cell r="F338" t="str">
            <v>2026</v>
          </cell>
          <cell r="G338" t="str">
            <v>2</v>
          </cell>
          <cell r="H338">
            <v>30</v>
          </cell>
          <cell r="I338">
            <v>0</v>
          </cell>
          <cell r="J338" t="str">
            <v>X</v>
          </cell>
          <cell r="K338" t="str">
            <v>X</v>
          </cell>
          <cell r="L338" t="str">
            <v>12:07:03</v>
          </cell>
          <cell r="M338">
            <v>45994</v>
          </cell>
          <cell r="N338">
            <v>44430</v>
          </cell>
          <cell r="O338" t="str">
            <v>X</v>
          </cell>
          <cell r="P338" t="str">
            <v>2025</v>
          </cell>
          <cell r="Q338">
            <v>30</v>
          </cell>
          <cell r="R338" t="str">
            <v/>
          </cell>
        </row>
        <row r="339">
          <cell r="A339" t="str">
            <v>4003006</v>
          </cell>
          <cell r="B339" t="str">
            <v>3300</v>
          </cell>
          <cell r="C339" t="str">
            <v>3001</v>
          </cell>
          <cell r="D339" t="str">
            <v>L</v>
          </cell>
          <cell r="E339" t="str">
            <v/>
          </cell>
          <cell r="F339" t="str">
            <v>2026</v>
          </cell>
          <cell r="G339" t="str">
            <v>2</v>
          </cell>
          <cell r="H339">
            <v>33</v>
          </cell>
          <cell r="I339">
            <v>0</v>
          </cell>
          <cell r="J339" t="str">
            <v>X</v>
          </cell>
          <cell r="K339" t="str">
            <v>X</v>
          </cell>
          <cell r="L339" t="str">
            <v>11:04:02</v>
          </cell>
          <cell r="M339">
            <v>45994</v>
          </cell>
          <cell r="N339">
            <v>44430</v>
          </cell>
          <cell r="O339" t="str">
            <v>X</v>
          </cell>
          <cell r="P339" t="str">
            <v>2025</v>
          </cell>
          <cell r="Q339">
            <v>33</v>
          </cell>
          <cell r="R339" t="str">
            <v/>
          </cell>
        </row>
        <row r="340">
          <cell r="A340" t="str">
            <v>4003008</v>
          </cell>
          <cell r="B340" t="str">
            <v>3300</v>
          </cell>
          <cell r="C340" t="str">
            <v>3001</v>
          </cell>
          <cell r="D340" t="str">
            <v>L</v>
          </cell>
          <cell r="E340" t="str">
            <v/>
          </cell>
          <cell r="F340" t="str">
            <v>2026</v>
          </cell>
          <cell r="G340" t="str">
            <v>2</v>
          </cell>
          <cell r="H340">
            <v>160</v>
          </cell>
          <cell r="I340">
            <v>0</v>
          </cell>
          <cell r="J340" t="str">
            <v>X</v>
          </cell>
          <cell r="K340" t="str">
            <v>X</v>
          </cell>
          <cell r="L340" t="str">
            <v>12:13:03</v>
          </cell>
          <cell r="M340">
            <v>45994</v>
          </cell>
          <cell r="N340">
            <v>44430</v>
          </cell>
          <cell r="O340" t="str">
            <v>X</v>
          </cell>
          <cell r="P340" t="str">
            <v>2025</v>
          </cell>
          <cell r="Q340">
            <v>160</v>
          </cell>
          <cell r="R340" t="str">
            <v/>
          </cell>
        </row>
        <row r="341">
          <cell r="A341" t="str">
            <v>4003208</v>
          </cell>
          <cell r="B341" t="str">
            <v>3300</v>
          </cell>
          <cell r="C341" t="str">
            <v>3001</v>
          </cell>
          <cell r="D341" t="str">
            <v>DL</v>
          </cell>
          <cell r="E341" t="str">
            <v/>
          </cell>
          <cell r="F341" t="str">
            <v>2026</v>
          </cell>
          <cell r="G341" t="str">
            <v>2</v>
          </cell>
          <cell r="H341">
            <v>120</v>
          </cell>
          <cell r="I341">
            <v>0</v>
          </cell>
          <cell r="J341" t="str">
            <v>X</v>
          </cell>
          <cell r="K341" t="str">
            <v>X</v>
          </cell>
          <cell r="L341" t="str">
            <v>06:07:03</v>
          </cell>
          <cell r="M341">
            <v>45819</v>
          </cell>
          <cell r="N341">
            <v>45235</v>
          </cell>
          <cell r="O341" t="str">
            <v>X</v>
          </cell>
          <cell r="P341" t="str">
            <v>2025</v>
          </cell>
          <cell r="Q341">
            <v>120</v>
          </cell>
          <cell r="R341" t="str">
            <v/>
          </cell>
        </row>
        <row r="342">
          <cell r="A342" t="str">
            <v>4003238</v>
          </cell>
          <cell r="B342" t="str">
            <v>3300</v>
          </cell>
          <cell r="C342" t="str">
            <v>3001</v>
          </cell>
          <cell r="D342" t="str">
            <v>L</v>
          </cell>
          <cell r="E342" t="str">
            <v/>
          </cell>
          <cell r="F342" t="str">
            <v>2026</v>
          </cell>
          <cell r="G342" t="str">
            <v>2</v>
          </cell>
          <cell r="H342">
            <v>25</v>
          </cell>
          <cell r="I342">
            <v>0</v>
          </cell>
          <cell r="J342" t="str">
            <v>X</v>
          </cell>
          <cell r="K342" t="str">
            <v>X</v>
          </cell>
          <cell r="L342" t="str">
            <v>03:10:02</v>
          </cell>
          <cell r="M342">
            <v>45798</v>
          </cell>
          <cell r="N342">
            <v>44430</v>
          </cell>
          <cell r="O342" t="str">
            <v>X</v>
          </cell>
          <cell r="P342" t="str">
            <v>2025</v>
          </cell>
          <cell r="Q342">
            <v>25</v>
          </cell>
          <cell r="R342" t="str">
            <v/>
          </cell>
        </row>
        <row r="343">
          <cell r="A343" t="str">
            <v>4003241</v>
          </cell>
          <cell r="B343" t="str">
            <v>3300</v>
          </cell>
          <cell r="C343" t="str">
            <v>3001</v>
          </cell>
          <cell r="D343" t="str">
            <v>DL</v>
          </cell>
          <cell r="E343" t="str">
            <v/>
          </cell>
          <cell r="F343" t="str">
            <v>2025</v>
          </cell>
          <cell r="G343" t="str">
            <v>12</v>
          </cell>
          <cell r="H343">
            <v>260</v>
          </cell>
          <cell r="I343">
            <v>0</v>
          </cell>
          <cell r="J343" t="str">
            <v>X</v>
          </cell>
          <cell r="K343" t="str">
            <v>X</v>
          </cell>
          <cell r="L343" t="str">
            <v>04:07:02</v>
          </cell>
          <cell r="M343">
            <v>45799</v>
          </cell>
          <cell r="N343">
            <v>44979</v>
          </cell>
          <cell r="O343" t="str">
            <v>X</v>
          </cell>
          <cell r="P343" t="str">
            <v>2025</v>
          </cell>
          <cell r="Q343">
            <v>260</v>
          </cell>
          <cell r="R343" t="str">
            <v/>
          </cell>
        </row>
        <row r="344">
          <cell r="A344" t="str">
            <v>4003273</v>
          </cell>
          <cell r="B344" t="str">
            <v>3300</v>
          </cell>
          <cell r="C344" t="str">
            <v>3001</v>
          </cell>
          <cell r="D344" t="str">
            <v>L</v>
          </cell>
          <cell r="E344" t="str">
            <v/>
          </cell>
          <cell r="F344" t="str">
            <v>2023</v>
          </cell>
          <cell r="G344" t="str">
            <v>4</v>
          </cell>
          <cell r="H344">
            <v>0</v>
          </cell>
          <cell r="I344">
            <v>0</v>
          </cell>
          <cell r="J344" t="str">
            <v/>
          </cell>
          <cell r="K344" t="str">
            <v>X</v>
          </cell>
          <cell r="L344" t="str">
            <v>SLETTET</v>
          </cell>
          <cell r="M344">
            <v>44568</v>
          </cell>
          <cell r="N344">
            <v>44430</v>
          </cell>
          <cell r="O344" t="str">
            <v>X</v>
          </cell>
          <cell r="P344" t="str">
            <v>2023</v>
          </cell>
          <cell r="Q344">
            <v>0</v>
          </cell>
          <cell r="R344" t="str">
            <v>INAKTIV</v>
          </cell>
        </row>
        <row r="345">
          <cell r="A345" t="str">
            <v>4003308</v>
          </cell>
          <cell r="B345" t="str">
            <v>3300</v>
          </cell>
          <cell r="C345" t="str">
            <v>3001</v>
          </cell>
          <cell r="D345" t="str">
            <v>L</v>
          </cell>
          <cell r="E345" t="str">
            <v/>
          </cell>
          <cell r="F345" t="str">
            <v>2023</v>
          </cell>
          <cell r="G345" t="str">
            <v>10</v>
          </cell>
          <cell r="H345">
            <v>0</v>
          </cell>
          <cell r="I345">
            <v>0</v>
          </cell>
          <cell r="J345" t="str">
            <v/>
          </cell>
          <cell r="K345" t="str">
            <v/>
          </cell>
          <cell r="L345" t="str">
            <v>SLETTET</v>
          </cell>
          <cell r="M345">
            <v>45167</v>
          </cell>
          <cell r="N345">
            <v>44430</v>
          </cell>
          <cell r="O345" t="str">
            <v>X</v>
          </cell>
          <cell r="P345" t="str">
            <v>2025</v>
          </cell>
          <cell r="Q345">
            <v>0</v>
          </cell>
          <cell r="R345" t="str">
            <v>INAKTIV</v>
          </cell>
        </row>
        <row r="346">
          <cell r="A346" t="str">
            <v>4003346</v>
          </cell>
          <cell r="B346" t="str">
            <v>3300</v>
          </cell>
          <cell r="C346" t="str">
            <v>3001</v>
          </cell>
          <cell r="D346" t="str">
            <v>L</v>
          </cell>
          <cell r="E346" t="str">
            <v/>
          </cell>
          <cell r="F346" t="str">
            <v>2026</v>
          </cell>
          <cell r="G346" t="str">
            <v>3</v>
          </cell>
          <cell r="H346">
            <v>114</v>
          </cell>
          <cell r="I346">
            <v>0</v>
          </cell>
          <cell r="J346" t="str">
            <v>X</v>
          </cell>
          <cell r="K346" t="str">
            <v>X</v>
          </cell>
          <cell r="L346" t="str">
            <v>10:02:02</v>
          </cell>
          <cell r="M346">
            <v>45987</v>
          </cell>
          <cell r="N346">
            <v>44430</v>
          </cell>
          <cell r="O346" t="str">
            <v>X</v>
          </cell>
          <cell r="P346" t="str">
            <v>2025</v>
          </cell>
          <cell r="Q346">
            <v>114</v>
          </cell>
          <cell r="R346" t="str">
            <v/>
          </cell>
        </row>
        <row r="347">
          <cell r="A347" t="str">
            <v>4003357</v>
          </cell>
          <cell r="B347" t="str">
            <v>3300</v>
          </cell>
          <cell r="C347" t="str">
            <v>3001</v>
          </cell>
          <cell r="D347" t="str">
            <v>L</v>
          </cell>
          <cell r="E347" t="str">
            <v>X</v>
          </cell>
          <cell r="F347" t="str">
            <v>2021</v>
          </cell>
          <cell r="G347" t="str">
            <v>11</v>
          </cell>
          <cell r="H347">
            <v>0</v>
          </cell>
          <cell r="I347">
            <v>0</v>
          </cell>
          <cell r="J347" t="str">
            <v/>
          </cell>
          <cell r="K347" t="str">
            <v/>
          </cell>
          <cell r="L347" t="str">
            <v>SLETTET</v>
          </cell>
          <cell r="M347" t="str">
            <v/>
          </cell>
          <cell r="N347">
            <v>44430</v>
          </cell>
          <cell r="O347" t="str">
            <v>X</v>
          </cell>
          <cell r="P347" t="str">
            <v>2023</v>
          </cell>
          <cell r="Q347">
            <v>0</v>
          </cell>
          <cell r="R347" t="str">
            <v>INAKTIV</v>
          </cell>
        </row>
        <row r="348">
          <cell r="A348" t="str">
            <v>4003416</v>
          </cell>
          <cell r="B348" t="str">
            <v>3300</v>
          </cell>
          <cell r="C348" t="str">
            <v>3001</v>
          </cell>
          <cell r="D348" t="str">
            <v>L</v>
          </cell>
          <cell r="E348" t="str">
            <v>X</v>
          </cell>
          <cell r="F348" t="str">
            <v>2024</v>
          </cell>
          <cell r="G348" t="str">
            <v>9</v>
          </cell>
          <cell r="H348">
            <v>0</v>
          </cell>
          <cell r="I348">
            <v>0</v>
          </cell>
          <cell r="J348" t="str">
            <v>X</v>
          </cell>
          <cell r="K348" t="str">
            <v>X</v>
          </cell>
          <cell r="L348" t="str">
            <v>SLETTET</v>
          </cell>
          <cell r="M348">
            <v>45365</v>
          </cell>
          <cell r="N348">
            <v>44430</v>
          </cell>
          <cell r="O348" t="str">
            <v>X</v>
          </cell>
          <cell r="P348" t="str">
            <v>2024</v>
          </cell>
          <cell r="Q348">
            <v>0</v>
          </cell>
          <cell r="R348" t="str">
            <v>INAKTIV</v>
          </cell>
        </row>
        <row r="349">
          <cell r="A349" t="str">
            <v>4003529</v>
          </cell>
          <cell r="B349" t="str">
            <v>3300</v>
          </cell>
          <cell r="C349" t="str">
            <v>3001</v>
          </cell>
          <cell r="D349" t="str">
            <v>L</v>
          </cell>
          <cell r="E349" t="str">
            <v/>
          </cell>
          <cell r="F349" t="str">
            <v>2026</v>
          </cell>
          <cell r="G349" t="str">
            <v>2</v>
          </cell>
          <cell r="H349">
            <v>4200</v>
          </cell>
          <cell r="I349">
            <v>0</v>
          </cell>
          <cell r="J349" t="str">
            <v>X</v>
          </cell>
          <cell r="K349" t="str">
            <v>X</v>
          </cell>
          <cell r="L349" t="str">
            <v>13:11:01</v>
          </cell>
          <cell r="M349">
            <v>46001</v>
          </cell>
          <cell r="N349">
            <v>44430</v>
          </cell>
          <cell r="O349" t="str">
            <v>X</v>
          </cell>
          <cell r="P349" t="str">
            <v>2025</v>
          </cell>
          <cell r="Q349">
            <v>4200</v>
          </cell>
          <cell r="R349" t="str">
            <v/>
          </cell>
        </row>
        <row r="350">
          <cell r="A350" t="str">
            <v>4003611</v>
          </cell>
          <cell r="B350" t="str">
            <v>3300</v>
          </cell>
          <cell r="C350" t="str">
            <v>3001</v>
          </cell>
          <cell r="D350" t="str">
            <v>L</v>
          </cell>
          <cell r="E350" t="str">
            <v/>
          </cell>
          <cell r="F350" t="str">
            <v>2026</v>
          </cell>
          <cell r="G350" t="str">
            <v>2</v>
          </cell>
          <cell r="H350">
            <v>1400</v>
          </cell>
          <cell r="I350">
            <v>0</v>
          </cell>
          <cell r="J350" t="str">
            <v>X</v>
          </cell>
          <cell r="K350" t="str">
            <v>X</v>
          </cell>
          <cell r="L350" t="str">
            <v>13:08:02</v>
          </cell>
          <cell r="M350">
            <v>45994</v>
          </cell>
          <cell r="N350">
            <v>44430</v>
          </cell>
          <cell r="O350" t="str">
            <v>X</v>
          </cell>
          <cell r="P350" t="str">
            <v>2025</v>
          </cell>
          <cell r="Q350">
            <v>1400</v>
          </cell>
          <cell r="R350" t="str">
            <v/>
          </cell>
        </row>
        <row r="351">
          <cell r="A351" t="str">
            <v>4003836</v>
          </cell>
          <cell r="B351" t="str">
            <v>3300</v>
          </cell>
          <cell r="C351" t="str">
            <v>3001</v>
          </cell>
          <cell r="D351" t="str">
            <v>L</v>
          </cell>
          <cell r="E351" t="str">
            <v>X</v>
          </cell>
          <cell r="F351" t="str">
            <v>2022</v>
          </cell>
          <cell r="G351" t="str">
            <v>2</v>
          </cell>
          <cell r="H351">
            <v>0</v>
          </cell>
          <cell r="I351">
            <v>0</v>
          </cell>
          <cell r="J351" t="str">
            <v>X</v>
          </cell>
          <cell r="K351" t="str">
            <v/>
          </cell>
          <cell r="L351" t="str">
            <v>SLETTET</v>
          </cell>
          <cell r="M351">
            <v>44568</v>
          </cell>
          <cell r="N351">
            <v>44430</v>
          </cell>
          <cell r="O351" t="str">
            <v>X</v>
          </cell>
          <cell r="P351" t="str">
            <v>2022</v>
          </cell>
          <cell r="Q351">
            <v>0</v>
          </cell>
          <cell r="R351" t="str">
            <v>INAKTIV</v>
          </cell>
        </row>
        <row r="352">
          <cell r="A352" t="str">
            <v>4003844</v>
          </cell>
          <cell r="B352" t="str">
            <v>3300</v>
          </cell>
          <cell r="C352" t="str">
            <v>3001</v>
          </cell>
          <cell r="D352" t="str">
            <v>L</v>
          </cell>
          <cell r="E352" t="str">
            <v/>
          </cell>
          <cell r="F352" t="str">
            <v>2026</v>
          </cell>
          <cell r="G352" t="str">
            <v>2</v>
          </cell>
          <cell r="H352">
            <v>134</v>
          </cell>
          <cell r="I352">
            <v>0</v>
          </cell>
          <cell r="J352" t="str">
            <v>X</v>
          </cell>
          <cell r="K352" t="str">
            <v>X</v>
          </cell>
          <cell r="L352" t="str">
            <v>06:07:02</v>
          </cell>
          <cell r="M352">
            <v>45819</v>
          </cell>
          <cell r="N352">
            <v>44430</v>
          </cell>
          <cell r="O352" t="str">
            <v>X</v>
          </cell>
          <cell r="P352" t="str">
            <v>2025</v>
          </cell>
          <cell r="Q352">
            <v>134</v>
          </cell>
          <cell r="R352" t="str">
            <v/>
          </cell>
        </row>
        <row r="353">
          <cell r="A353" t="str">
            <v>4003854</v>
          </cell>
          <cell r="B353" t="str">
            <v>3300</v>
          </cell>
          <cell r="C353" t="str">
            <v>3001</v>
          </cell>
          <cell r="D353" t="str">
            <v>L</v>
          </cell>
          <cell r="E353" t="str">
            <v/>
          </cell>
          <cell r="F353" t="str">
            <v>2021</v>
          </cell>
          <cell r="G353" t="str">
            <v>11</v>
          </cell>
          <cell r="H353">
            <v>0</v>
          </cell>
          <cell r="I353">
            <v>0</v>
          </cell>
          <cell r="J353" t="str">
            <v>X</v>
          </cell>
          <cell r="K353" t="str">
            <v/>
          </cell>
          <cell r="L353" t="str">
            <v>SLETTET</v>
          </cell>
          <cell r="M353">
            <v>44568</v>
          </cell>
          <cell r="N353">
            <v>44430</v>
          </cell>
          <cell r="O353" t="str">
            <v>X</v>
          </cell>
          <cell r="P353" t="str">
            <v>2022</v>
          </cell>
          <cell r="Q353">
            <v>0</v>
          </cell>
          <cell r="R353" t="str">
            <v>INAKTIV</v>
          </cell>
        </row>
        <row r="354">
          <cell r="A354" t="str">
            <v>4003855</v>
          </cell>
          <cell r="B354" t="str">
            <v>3300</v>
          </cell>
          <cell r="C354" t="str">
            <v>3001</v>
          </cell>
          <cell r="D354" t="str">
            <v>L</v>
          </cell>
          <cell r="E354" t="str">
            <v/>
          </cell>
          <cell r="F354" t="str">
            <v>2021</v>
          </cell>
          <cell r="G354" t="str">
            <v>12</v>
          </cell>
          <cell r="H354">
            <v>0</v>
          </cell>
          <cell r="I354">
            <v>0</v>
          </cell>
          <cell r="J354" t="str">
            <v>X</v>
          </cell>
          <cell r="K354" t="str">
            <v/>
          </cell>
          <cell r="L354" t="str">
            <v>SLETTET</v>
          </cell>
          <cell r="M354">
            <v>44568</v>
          </cell>
          <cell r="N354">
            <v>44430</v>
          </cell>
          <cell r="O354" t="str">
            <v>X</v>
          </cell>
          <cell r="P354" t="str">
            <v>2022</v>
          </cell>
          <cell r="Q354">
            <v>0</v>
          </cell>
          <cell r="R354" t="str">
            <v>INAKTIV</v>
          </cell>
        </row>
        <row r="355">
          <cell r="A355" t="str">
            <v>4003857</v>
          </cell>
          <cell r="B355" t="str">
            <v>3300</v>
          </cell>
          <cell r="C355" t="str">
            <v>3001</v>
          </cell>
          <cell r="D355" t="str">
            <v>L</v>
          </cell>
          <cell r="E355" t="str">
            <v/>
          </cell>
          <cell r="F355" t="str">
            <v>2026</v>
          </cell>
          <cell r="G355" t="str">
            <v>2</v>
          </cell>
          <cell r="H355">
            <v>12250</v>
          </cell>
          <cell r="I355">
            <v>0</v>
          </cell>
          <cell r="J355" t="str">
            <v>X</v>
          </cell>
          <cell r="K355" t="str">
            <v>X</v>
          </cell>
          <cell r="L355" t="str">
            <v>14:07:02*</v>
          </cell>
          <cell r="M355">
            <v>46001</v>
          </cell>
          <cell r="N355">
            <v>44430</v>
          </cell>
          <cell r="O355" t="str">
            <v>X</v>
          </cell>
          <cell r="P355" t="str">
            <v>2025</v>
          </cell>
          <cell r="Q355">
            <v>12250</v>
          </cell>
          <cell r="R355" t="str">
            <v/>
          </cell>
        </row>
        <row r="356">
          <cell r="A356" t="str">
            <v>4003858</v>
          </cell>
          <cell r="B356" t="str">
            <v>3300</v>
          </cell>
          <cell r="C356" t="str">
            <v>3001</v>
          </cell>
          <cell r="D356" t="str">
            <v>L</v>
          </cell>
          <cell r="E356" t="str">
            <v/>
          </cell>
          <cell r="F356" t="str">
            <v>2026</v>
          </cell>
          <cell r="G356" t="str">
            <v>3</v>
          </cell>
          <cell r="H356">
            <v>12600</v>
          </cell>
          <cell r="I356">
            <v>0</v>
          </cell>
          <cell r="J356" t="str">
            <v>X</v>
          </cell>
          <cell r="K356" t="str">
            <v>X</v>
          </cell>
          <cell r="L356" t="str">
            <v>14:07:01*</v>
          </cell>
          <cell r="M356">
            <v>46001</v>
          </cell>
          <cell r="N356">
            <v>44430</v>
          </cell>
          <cell r="O356" t="str">
            <v>X</v>
          </cell>
          <cell r="P356" t="str">
            <v>2025</v>
          </cell>
          <cell r="Q356">
            <v>12600</v>
          </cell>
          <cell r="R356" t="str">
            <v/>
          </cell>
        </row>
        <row r="357">
          <cell r="A357" t="str">
            <v>4003859</v>
          </cell>
          <cell r="B357" t="str">
            <v>3300</v>
          </cell>
          <cell r="C357" t="str">
            <v>3001</v>
          </cell>
          <cell r="D357" t="str">
            <v>L</v>
          </cell>
          <cell r="E357" t="str">
            <v/>
          </cell>
          <cell r="F357" t="str">
            <v>2026</v>
          </cell>
          <cell r="G357" t="str">
            <v>2</v>
          </cell>
          <cell r="H357">
            <v>60</v>
          </cell>
          <cell r="I357">
            <v>0</v>
          </cell>
          <cell r="J357" t="str">
            <v>X</v>
          </cell>
          <cell r="K357" t="str">
            <v>X</v>
          </cell>
          <cell r="L357" t="str">
            <v>08:08:03</v>
          </cell>
          <cell r="M357">
            <v>45980</v>
          </cell>
          <cell r="N357">
            <v>44430</v>
          </cell>
          <cell r="O357" t="str">
            <v>X</v>
          </cell>
          <cell r="P357" t="str">
            <v>2025</v>
          </cell>
          <cell r="Q357">
            <v>60</v>
          </cell>
          <cell r="R357" t="str">
            <v/>
          </cell>
        </row>
        <row r="358">
          <cell r="A358" t="str">
            <v>4003860</v>
          </cell>
          <cell r="B358" t="str">
            <v>3300</v>
          </cell>
          <cell r="C358" t="str">
            <v>3001</v>
          </cell>
          <cell r="D358" t="str">
            <v>L</v>
          </cell>
          <cell r="E358" t="str">
            <v/>
          </cell>
          <cell r="F358" t="str">
            <v>2026</v>
          </cell>
          <cell r="G358" t="str">
            <v>2</v>
          </cell>
          <cell r="H358">
            <v>50</v>
          </cell>
          <cell r="I358">
            <v>0</v>
          </cell>
          <cell r="J358" t="str">
            <v>X</v>
          </cell>
          <cell r="K358" t="str">
            <v>X</v>
          </cell>
          <cell r="L358" t="str">
            <v>08:10:03</v>
          </cell>
          <cell r="M358">
            <v>45980</v>
          </cell>
          <cell r="N358">
            <v>44430</v>
          </cell>
          <cell r="O358" t="str">
            <v>X</v>
          </cell>
          <cell r="P358" t="str">
            <v>2025</v>
          </cell>
          <cell r="Q358">
            <v>50</v>
          </cell>
          <cell r="R358" t="str">
            <v/>
          </cell>
        </row>
        <row r="359">
          <cell r="A359" t="str">
            <v>4003862</v>
          </cell>
          <cell r="B359" t="str">
            <v>3300</v>
          </cell>
          <cell r="C359" t="str">
            <v>3001</v>
          </cell>
          <cell r="D359" t="str">
            <v>L</v>
          </cell>
          <cell r="E359" t="str">
            <v/>
          </cell>
          <cell r="F359" t="str">
            <v>2021</v>
          </cell>
          <cell r="G359" t="str">
            <v>10</v>
          </cell>
          <cell r="H359">
            <v>0</v>
          </cell>
          <cell r="I359">
            <v>0</v>
          </cell>
          <cell r="J359" t="str">
            <v/>
          </cell>
          <cell r="K359" t="str">
            <v>X</v>
          </cell>
          <cell r="L359" t="str">
            <v>SLETTET</v>
          </cell>
          <cell r="M359">
            <v>44568</v>
          </cell>
          <cell r="N359">
            <v>44430</v>
          </cell>
          <cell r="O359" t="str">
            <v>X</v>
          </cell>
          <cell r="P359" t="str">
            <v>2023</v>
          </cell>
          <cell r="Q359">
            <v>0</v>
          </cell>
          <cell r="R359" t="str">
            <v>INAKTIV</v>
          </cell>
        </row>
        <row r="360">
          <cell r="A360" t="str">
            <v>4003864</v>
          </cell>
          <cell r="B360" t="str">
            <v>3300</v>
          </cell>
          <cell r="C360" t="str">
            <v>3001</v>
          </cell>
          <cell r="D360" t="str">
            <v>L</v>
          </cell>
          <cell r="E360" t="str">
            <v/>
          </cell>
          <cell r="F360" t="str">
            <v>2026</v>
          </cell>
          <cell r="G360" t="str">
            <v>3</v>
          </cell>
          <cell r="H360">
            <v>1000</v>
          </cell>
          <cell r="I360">
            <v>0</v>
          </cell>
          <cell r="J360" t="str">
            <v>X</v>
          </cell>
          <cell r="K360" t="str">
            <v>X</v>
          </cell>
          <cell r="L360" t="str">
            <v>14:05:02</v>
          </cell>
          <cell r="M360">
            <v>46001</v>
          </cell>
          <cell r="N360">
            <v>44430</v>
          </cell>
          <cell r="O360" t="str">
            <v>X</v>
          </cell>
          <cell r="P360" t="str">
            <v>2025</v>
          </cell>
          <cell r="Q360">
            <v>1000</v>
          </cell>
          <cell r="R360" t="str">
            <v/>
          </cell>
        </row>
        <row r="361">
          <cell r="A361" t="str">
            <v>4003887</v>
          </cell>
          <cell r="B361" t="str">
            <v>3300</v>
          </cell>
          <cell r="C361" t="str">
            <v>3001</v>
          </cell>
          <cell r="D361" t="str">
            <v>L</v>
          </cell>
          <cell r="E361" t="str">
            <v/>
          </cell>
          <cell r="F361" t="str">
            <v>2026</v>
          </cell>
          <cell r="G361" t="str">
            <v>3</v>
          </cell>
          <cell r="H361">
            <v>63500</v>
          </cell>
          <cell r="I361">
            <v>0</v>
          </cell>
          <cell r="J361" t="str">
            <v>X</v>
          </cell>
          <cell r="K361" t="str">
            <v>X</v>
          </cell>
          <cell r="L361" t="str">
            <v>05:02:03</v>
          </cell>
          <cell r="M361">
            <v>45803</v>
          </cell>
          <cell r="N361">
            <v>44430</v>
          </cell>
          <cell r="O361" t="str">
            <v>X</v>
          </cell>
          <cell r="P361" t="str">
            <v>2025</v>
          </cell>
          <cell r="Q361">
            <v>63500</v>
          </cell>
          <cell r="R361" t="str">
            <v/>
          </cell>
        </row>
        <row r="362">
          <cell r="A362" t="str">
            <v>4003889</v>
          </cell>
          <cell r="B362" t="str">
            <v>3300</v>
          </cell>
          <cell r="C362" t="str">
            <v>3001</v>
          </cell>
          <cell r="D362" t="str">
            <v>L</v>
          </cell>
          <cell r="E362" t="str">
            <v>X</v>
          </cell>
          <cell r="F362" t="str">
            <v>2023</v>
          </cell>
          <cell r="G362" t="str">
            <v>9</v>
          </cell>
          <cell r="H362">
            <v>0</v>
          </cell>
          <cell r="I362">
            <v>0</v>
          </cell>
          <cell r="J362" t="str">
            <v/>
          </cell>
          <cell r="K362" t="str">
            <v/>
          </cell>
          <cell r="L362" t="str">
            <v>SLETTET</v>
          </cell>
          <cell r="M362">
            <v>45162</v>
          </cell>
          <cell r="N362">
            <v>44430</v>
          </cell>
          <cell r="O362" t="str">
            <v>X</v>
          </cell>
          <cell r="P362" t="str">
            <v>2025</v>
          </cell>
          <cell r="Q362">
            <v>0</v>
          </cell>
          <cell r="R362" t="str">
            <v>INAKTIV</v>
          </cell>
        </row>
        <row r="363">
          <cell r="A363" t="str">
            <v>4003897</v>
          </cell>
          <cell r="B363" t="str">
            <v>3300</v>
          </cell>
          <cell r="C363" t="str">
            <v>3001</v>
          </cell>
          <cell r="D363" t="str">
            <v>DL</v>
          </cell>
          <cell r="E363" t="str">
            <v/>
          </cell>
          <cell r="F363" t="str">
            <v>2022</v>
          </cell>
          <cell r="G363" t="str">
            <v>2</v>
          </cell>
          <cell r="H363">
            <v>0</v>
          </cell>
          <cell r="I363">
            <v>0</v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>
            <v>44594</v>
          </cell>
          <cell r="O363" t="str">
            <v>X</v>
          </cell>
          <cell r="P363" t="str">
            <v>2022</v>
          </cell>
          <cell r="Q363">
            <v>0</v>
          </cell>
          <cell r="R363" t="str">
            <v>INAKTIV</v>
          </cell>
        </row>
        <row r="364">
          <cell r="A364" t="str">
            <v>4003906</v>
          </cell>
          <cell r="B364" t="str">
            <v>3300</v>
          </cell>
          <cell r="C364" t="str">
            <v>3001</v>
          </cell>
          <cell r="D364" t="str">
            <v>L</v>
          </cell>
          <cell r="E364" t="str">
            <v>X</v>
          </cell>
          <cell r="F364" t="str">
            <v>2026</v>
          </cell>
          <cell r="G364" t="str">
            <v>2</v>
          </cell>
          <cell r="H364">
            <v>0</v>
          </cell>
          <cell r="I364">
            <v>0</v>
          </cell>
          <cell r="J364" t="str">
            <v>X</v>
          </cell>
          <cell r="K364" t="str">
            <v>X</v>
          </cell>
          <cell r="L364" t="str">
            <v>SLETTET</v>
          </cell>
          <cell r="M364">
            <v>45819</v>
          </cell>
          <cell r="N364">
            <v>44430</v>
          </cell>
          <cell r="O364" t="str">
            <v>X</v>
          </cell>
          <cell r="P364" t="str">
            <v>2025</v>
          </cell>
          <cell r="Q364">
            <v>0</v>
          </cell>
          <cell r="R364" t="str">
            <v>INAKTIV</v>
          </cell>
        </row>
        <row r="365">
          <cell r="A365" t="str">
            <v>4003911</v>
          </cell>
          <cell r="B365" t="str">
            <v>3300</v>
          </cell>
          <cell r="C365" t="str">
            <v>3001</v>
          </cell>
          <cell r="D365" t="str">
            <v>L</v>
          </cell>
          <cell r="E365" t="str">
            <v/>
          </cell>
          <cell r="F365" t="str">
            <v>2026</v>
          </cell>
          <cell r="G365" t="str">
            <v>2</v>
          </cell>
          <cell r="H365">
            <v>175</v>
          </cell>
          <cell r="I365">
            <v>0</v>
          </cell>
          <cell r="J365" t="str">
            <v>X</v>
          </cell>
          <cell r="K365" t="str">
            <v>X</v>
          </cell>
          <cell r="L365" t="str">
            <v>09:10:01</v>
          </cell>
          <cell r="M365">
            <v>45987</v>
          </cell>
          <cell r="N365">
            <v>44430</v>
          </cell>
          <cell r="O365" t="str">
            <v>X</v>
          </cell>
          <cell r="P365" t="str">
            <v>2025</v>
          </cell>
          <cell r="Q365">
            <v>175</v>
          </cell>
          <cell r="R365" t="str">
            <v/>
          </cell>
        </row>
        <row r="366">
          <cell r="A366" t="str">
            <v>4003915</v>
          </cell>
          <cell r="B366" t="str">
            <v>3300</v>
          </cell>
          <cell r="C366" t="str">
            <v>3001</v>
          </cell>
          <cell r="D366" t="str">
            <v>L</v>
          </cell>
          <cell r="E366" t="str">
            <v/>
          </cell>
          <cell r="F366" t="str">
            <v>2026</v>
          </cell>
          <cell r="G366" t="str">
            <v>3</v>
          </cell>
          <cell r="H366">
            <v>280</v>
          </cell>
          <cell r="I366">
            <v>0</v>
          </cell>
          <cell r="J366" t="str">
            <v>X</v>
          </cell>
          <cell r="K366" t="str">
            <v>X</v>
          </cell>
          <cell r="L366" t="str">
            <v>08:01:02</v>
          </cell>
          <cell r="M366">
            <v>45825</v>
          </cell>
          <cell r="N366">
            <v>44430</v>
          </cell>
          <cell r="O366" t="str">
            <v>X</v>
          </cell>
          <cell r="P366" t="str">
            <v>2025</v>
          </cell>
          <cell r="Q366">
            <v>280</v>
          </cell>
          <cell r="R366" t="str">
            <v/>
          </cell>
        </row>
        <row r="367">
          <cell r="A367" t="str">
            <v>4003916</v>
          </cell>
          <cell r="B367" t="str">
            <v>3300</v>
          </cell>
          <cell r="C367" t="str">
            <v>3001</v>
          </cell>
          <cell r="D367" t="str">
            <v>L</v>
          </cell>
          <cell r="E367" t="str">
            <v/>
          </cell>
          <cell r="F367" t="str">
            <v>2026</v>
          </cell>
          <cell r="G367" t="str">
            <v>2</v>
          </cell>
          <cell r="H367">
            <v>260</v>
          </cell>
          <cell r="I367">
            <v>0</v>
          </cell>
          <cell r="J367" t="str">
            <v>X</v>
          </cell>
          <cell r="K367" t="str">
            <v>X</v>
          </cell>
          <cell r="L367" t="str">
            <v>07:01:01</v>
          </cell>
          <cell r="M367">
            <v>45824</v>
          </cell>
          <cell r="N367">
            <v>44430</v>
          </cell>
          <cell r="O367" t="str">
            <v>X</v>
          </cell>
          <cell r="P367" t="str">
            <v>2025</v>
          </cell>
          <cell r="Q367">
            <v>260</v>
          </cell>
          <cell r="R367" t="str">
            <v/>
          </cell>
        </row>
        <row r="368">
          <cell r="A368" t="str">
            <v>4003922</v>
          </cell>
          <cell r="B368" t="str">
            <v>3300</v>
          </cell>
          <cell r="C368" t="str">
            <v>3001</v>
          </cell>
          <cell r="D368" t="str">
            <v>DL</v>
          </cell>
          <cell r="E368" t="str">
            <v/>
          </cell>
          <cell r="F368" t="str">
            <v>2024</v>
          </cell>
          <cell r="G368" t="str">
            <v>1</v>
          </cell>
          <cell r="H368">
            <v>0</v>
          </cell>
          <cell r="I368">
            <v>0</v>
          </cell>
          <cell r="J368" t="str">
            <v/>
          </cell>
          <cell r="K368" t="str">
            <v/>
          </cell>
          <cell r="L368" t="str">
            <v>SLETTET</v>
          </cell>
          <cell r="M368" t="str">
            <v/>
          </cell>
          <cell r="N368">
            <v>45210</v>
          </cell>
          <cell r="O368" t="str">
            <v>X</v>
          </cell>
          <cell r="P368" t="str">
            <v>2023</v>
          </cell>
          <cell r="Q368">
            <v>0</v>
          </cell>
          <cell r="R368" t="str">
            <v>INAKTIV</v>
          </cell>
        </row>
        <row r="369">
          <cell r="A369" t="str">
            <v>4004010</v>
          </cell>
          <cell r="B369" t="str">
            <v>3300</v>
          </cell>
          <cell r="C369" t="str">
            <v>3001</v>
          </cell>
          <cell r="D369" t="str">
            <v>L</v>
          </cell>
          <cell r="E369" t="str">
            <v>X</v>
          </cell>
          <cell r="F369" t="str">
            <v>2021</v>
          </cell>
          <cell r="G369" t="str">
            <v>8</v>
          </cell>
          <cell r="H369">
            <v>0</v>
          </cell>
          <cell r="I369">
            <v>0</v>
          </cell>
          <cell r="J369" t="str">
            <v/>
          </cell>
          <cell r="K369" t="str">
            <v/>
          </cell>
          <cell r="L369" t="str">
            <v>SLETTET</v>
          </cell>
          <cell r="M369" t="str">
            <v/>
          </cell>
          <cell r="N369">
            <v>44430</v>
          </cell>
          <cell r="O369" t="str">
            <v>X</v>
          </cell>
          <cell r="P369" t="str">
            <v>2023</v>
          </cell>
          <cell r="Q369">
            <v>0</v>
          </cell>
          <cell r="R369" t="str">
            <v>INAKTIV</v>
          </cell>
        </row>
        <row r="370">
          <cell r="A370" t="str">
            <v>4004015</v>
          </cell>
          <cell r="B370" t="str">
            <v>3300</v>
          </cell>
          <cell r="C370" t="str">
            <v>3001</v>
          </cell>
          <cell r="D370" t="str">
            <v>L</v>
          </cell>
          <cell r="E370" t="str">
            <v/>
          </cell>
          <cell r="F370" t="str">
            <v>2026</v>
          </cell>
          <cell r="G370" t="str">
            <v>3</v>
          </cell>
          <cell r="H370">
            <v>1000</v>
          </cell>
          <cell r="I370">
            <v>0</v>
          </cell>
          <cell r="J370" t="str">
            <v>X</v>
          </cell>
          <cell r="K370" t="str">
            <v>X</v>
          </cell>
          <cell r="L370" t="str">
            <v>04:13:02</v>
          </cell>
          <cell r="M370">
            <v>45800</v>
          </cell>
          <cell r="N370">
            <v>44430</v>
          </cell>
          <cell r="O370" t="str">
            <v>X</v>
          </cell>
          <cell r="P370" t="str">
            <v>2025</v>
          </cell>
          <cell r="Q370">
            <v>1000</v>
          </cell>
          <cell r="R370" t="str">
            <v/>
          </cell>
        </row>
        <row r="371">
          <cell r="A371" t="str">
            <v>4004018</v>
          </cell>
          <cell r="B371" t="str">
            <v>3300</v>
          </cell>
          <cell r="C371" t="str">
            <v>3001</v>
          </cell>
          <cell r="D371" t="str">
            <v>L</v>
          </cell>
          <cell r="E371" t="str">
            <v>X</v>
          </cell>
          <cell r="F371" t="str">
            <v>2022</v>
          </cell>
          <cell r="G371" t="str">
            <v>2</v>
          </cell>
          <cell r="H371">
            <v>0</v>
          </cell>
          <cell r="I371">
            <v>0</v>
          </cell>
          <cell r="J371" t="str">
            <v/>
          </cell>
          <cell r="K371" t="str">
            <v>X</v>
          </cell>
          <cell r="L371" t="str">
            <v>SLETTET</v>
          </cell>
          <cell r="M371">
            <v>44565</v>
          </cell>
          <cell r="N371">
            <v>44430</v>
          </cell>
          <cell r="O371" t="str">
            <v>X</v>
          </cell>
          <cell r="P371" t="str">
            <v>2023</v>
          </cell>
          <cell r="Q371">
            <v>0</v>
          </cell>
          <cell r="R371" t="str">
            <v>INAKTIV</v>
          </cell>
        </row>
        <row r="372">
          <cell r="A372" t="str">
            <v>4004037</v>
          </cell>
          <cell r="B372" t="str">
            <v>3300</v>
          </cell>
          <cell r="C372" t="str">
            <v>3001</v>
          </cell>
          <cell r="D372" t="str">
            <v>L</v>
          </cell>
          <cell r="E372" t="str">
            <v/>
          </cell>
          <cell r="F372" t="str">
            <v>2026</v>
          </cell>
          <cell r="G372" t="str">
            <v>3</v>
          </cell>
          <cell r="H372">
            <v>90</v>
          </cell>
          <cell r="I372">
            <v>0</v>
          </cell>
          <cell r="J372" t="str">
            <v>X</v>
          </cell>
          <cell r="K372" t="str">
            <v>X</v>
          </cell>
          <cell r="L372" t="str">
            <v>11:01:03</v>
          </cell>
          <cell r="M372">
            <v>45987</v>
          </cell>
          <cell r="N372">
            <v>44430</v>
          </cell>
          <cell r="O372" t="str">
            <v>X</v>
          </cell>
          <cell r="P372" t="str">
            <v>2025</v>
          </cell>
          <cell r="Q372">
            <v>90</v>
          </cell>
          <cell r="R372" t="str">
            <v/>
          </cell>
        </row>
        <row r="373">
          <cell r="A373" t="str">
            <v>4004039</v>
          </cell>
          <cell r="B373" t="str">
            <v>3300</v>
          </cell>
          <cell r="C373" t="str">
            <v>3001</v>
          </cell>
          <cell r="D373" t="str">
            <v>L</v>
          </cell>
          <cell r="E373" t="str">
            <v/>
          </cell>
          <cell r="F373" t="str">
            <v>2026</v>
          </cell>
          <cell r="G373" t="str">
            <v>2</v>
          </cell>
          <cell r="H373">
            <v>3900</v>
          </cell>
          <cell r="I373">
            <v>0</v>
          </cell>
          <cell r="J373" t="str">
            <v>X</v>
          </cell>
          <cell r="K373" t="str">
            <v/>
          </cell>
          <cell r="L373" t="str">
            <v>K3:I</v>
          </cell>
          <cell r="M373">
            <v>46029</v>
          </cell>
          <cell r="N373">
            <v>44430</v>
          </cell>
          <cell r="O373" t="str">
            <v>X</v>
          </cell>
          <cell r="P373" t="str">
            <v>2026</v>
          </cell>
          <cell r="Q373">
            <v>3900</v>
          </cell>
          <cell r="R373" t="str">
            <v/>
          </cell>
        </row>
        <row r="374">
          <cell r="A374" t="str">
            <v>4004041</v>
          </cell>
          <cell r="B374" t="str">
            <v>3300</v>
          </cell>
          <cell r="C374" t="str">
            <v>3001</v>
          </cell>
          <cell r="D374" t="str">
            <v>L</v>
          </cell>
          <cell r="E374" t="str">
            <v/>
          </cell>
          <cell r="F374" t="str">
            <v>2026</v>
          </cell>
          <cell r="G374" t="str">
            <v>3</v>
          </cell>
          <cell r="H374">
            <v>800</v>
          </cell>
          <cell r="I374">
            <v>0</v>
          </cell>
          <cell r="J374" t="str">
            <v>X</v>
          </cell>
          <cell r="K374" t="str">
            <v>X</v>
          </cell>
          <cell r="L374" t="str">
            <v>08:13:01</v>
          </cell>
          <cell r="M374">
            <v>45980</v>
          </cell>
          <cell r="N374">
            <v>44430</v>
          </cell>
          <cell r="O374" t="str">
            <v>X</v>
          </cell>
          <cell r="P374" t="str">
            <v>2025</v>
          </cell>
          <cell r="Q374">
            <v>800</v>
          </cell>
          <cell r="R374" t="str">
            <v/>
          </cell>
        </row>
        <row r="375">
          <cell r="A375" t="str">
            <v>4004049</v>
          </cell>
          <cell r="B375" t="str">
            <v>3300</v>
          </cell>
          <cell r="C375" t="str">
            <v>3001</v>
          </cell>
          <cell r="D375" t="str">
            <v>L</v>
          </cell>
          <cell r="E375" t="str">
            <v/>
          </cell>
          <cell r="F375" t="str">
            <v>2026</v>
          </cell>
          <cell r="G375" t="str">
            <v>2</v>
          </cell>
          <cell r="H375">
            <v>900</v>
          </cell>
          <cell r="I375">
            <v>0</v>
          </cell>
          <cell r="J375" t="str">
            <v>X</v>
          </cell>
          <cell r="K375" t="str">
            <v>X</v>
          </cell>
          <cell r="L375" t="str">
            <v>17:01:01</v>
          </cell>
          <cell r="M375">
            <v>46006</v>
          </cell>
          <cell r="N375">
            <v>44430</v>
          </cell>
          <cell r="O375" t="str">
            <v>X</v>
          </cell>
          <cell r="P375" t="str">
            <v>2025</v>
          </cell>
          <cell r="Q375">
            <v>900</v>
          </cell>
          <cell r="R375" t="str">
            <v/>
          </cell>
        </row>
        <row r="376">
          <cell r="A376" t="str">
            <v>4004054</v>
          </cell>
          <cell r="B376" t="str">
            <v>3300</v>
          </cell>
          <cell r="C376" t="str">
            <v>3001</v>
          </cell>
          <cell r="D376" t="str">
            <v>L</v>
          </cell>
          <cell r="E376" t="str">
            <v/>
          </cell>
          <cell r="F376" t="str">
            <v>2026</v>
          </cell>
          <cell r="G376" t="str">
            <v>2</v>
          </cell>
          <cell r="H376">
            <v>308</v>
          </cell>
          <cell r="I376">
            <v>0</v>
          </cell>
          <cell r="J376" t="str">
            <v>X</v>
          </cell>
          <cell r="K376" t="str">
            <v>X</v>
          </cell>
          <cell r="L376" t="str">
            <v>12:03:03</v>
          </cell>
          <cell r="M376">
            <v>45994</v>
          </cell>
          <cell r="N376">
            <v>44430</v>
          </cell>
          <cell r="O376" t="str">
            <v>X</v>
          </cell>
          <cell r="P376" t="str">
            <v>2025</v>
          </cell>
          <cell r="Q376">
            <v>308</v>
          </cell>
          <cell r="R376" t="str">
            <v/>
          </cell>
        </row>
        <row r="377">
          <cell r="A377" t="str">
            <v>4004060</v>
          </cell>
          <cell r="B377" t="str">
            <v>3300</v>
          </cell>
          <cell r="C377" t="str">
            <v>3001</v>
          </cell>
          <cell r="D377" t="str">
            <v>DL</v>
          </cell>
          <cell r="E377" t="str">
            <v/>
          </cell>
          <cell r="F377" t="str">
            <v>2024</v>
          </cell>
          <cell r="G377" t="str">
            <v>2</v>
          </cell>
          <cell r="H377">
            <v>0</v>
          </cell>
          <cell r="I377">
            <v>0</v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>
            <v>45345</v>
          </cell>
          <cell r="O377" t="str">
            <v>X</v>
          </cell>
          <cell r="P377" t="str">
            <v>2024</v>
          </cell>
          <cell r="Q377">
            <v>0</v>
          </cell>
          <cell r="R377" t="str">
            <v>INAKTIV</v>
          </cell>
        </row>
        <row r="378">
          <cell r="A378" t="str">
            <v>4004061</v>
          </cell>
          <cell r="B378" t="str">
            <v>3300</v>
          </cell>
          <cell r="C378" t="str">
            <v>3001</v>
          </cell>
          <cell r="D378" t="str">
            <v>DL</v>
          </cell>
          <cell r="E378" t="str">
            <v/>
          </cell>
          <cell r="F378" t="str">
            <v>2024</v>
          </cell>
          <cell r="G378" t="str">
            <v>2</v>
          </cell>
          <cell r="H378">
            <v>0</v>
          </cell>
          <cell r="I378">
            <v>0</v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>
            <v>45345</v>
          </cell>
          <cell r="O378" t="str">
            <v>X</v>
          </cell>
          <cell r="P378" t="str">
            <v>2024</v>
          </cell>
          <cell r="Q378">
            <v>0</v>
          </cell>
          <cell r="R378" t="str">
            <v>INAKTIV</v>
          </cell>
        </row>
        <row r="379">
          <cell r="A379" t="str">
            <v>4004067</v>
          </cell>
          <cell r="B379" t="str">
            <v>3300</v>
          </cell>
          <cell r="C379" t="str">
            <v>3001</v>
          </cell>
          <cell r="D379" t="str">
            <v>L</v>
          </cell>
          <cell r="E379" t="str">
            <v>X</v>
          </cell>
          <cell r="F379" t="str">
            <v>2022</v>
          </cell>
          <cell r="G379" t="str">
            <v>2</v>
          </cell>
          <cell r="H379">
            <v>0</v>
          </cell>
          <cell r="I379">
            <v>0</v>
          </cell>
          <cell r="J379" t="str">
            <v/>
          </cell>
          <cell r="K379" t="str">
            <v>X</v>
          </cell>
          <cell r="L379" t="str">
            <v>SLETTET</v>
          </cell>
          <cell r="M379">
            <v>44568</v>
          </cell>
          <cell r="N379">
            <v>44430</v>
          </cell>
          <cell r="O379" t="str">
            <v>X</v>
          </cell>
          <cell r="P379" t="str">
            <v>2023</v>
          </cell>
          <cell r="Q379">
            <v>0</v>
          </cell>
          <cell r="R379" t="str">
            <v>INAKTIV</v>
          </cell>
        </row>
        <row r="380">
          <cell r="A380" t="str">
            <v>4004068</v>
          </cell>
          <cell r="B380" t="str">
            <v>3300</v>
          </cell>
          <cell r="C380" t="str">
            <v>3001</v>
          </cell>
          <cell r="D380" t="str">
            <v>L</v>
          </cell>
          <cell r="E380" t="str">
            <v>X</v>
          </cell>
          <cell r="F380" t="str">
            <v>2022</v>
          </cell>
          <cell r="G380" t="str">
            <v>2</v>
          </cell>
          <cell r="H380">
            <v>0</v>
          </cell>
          <cell r="I380">
            <v>0</v>
          </cell>
          <cell r="J380" t="str">
            <v>X</v>
          </cell>
          <cell r="K380" t="str">
            <v/>
          </cell>
          <cell r="L380" t="str">
            <v>SLETTET</v>
          </cell>
          <cell r="M380">
            <v>44568</v>
          </cell>
          <cell r="N380">
            <v>44430</v>
          </cell>
          <cell r="O380" t="str">
            <v>X</v>
          </cell>
          <cell r="P380" t="str">
            <v>2022</v>
          </cell>
          <cell r="Q380">
            <v>0</v>
          </cell>
          <cell r="R380" t="str">
            <v>INAKTIV</v>
          </cell>
        </row>
        <row r="381">
          <cell r="A381" t="str">
            <v>4004070</v>
          </cell>
          <cell r="B381" t="str">
            <v>3300</v>
          </cell>
          <cell r="C381" t="str">
            <v>3001</v>
          </cell>
          <cell r="D381" t="str">
            <v>L</v>
          </cell>
          <cell r="E381" t="str">
            <v/>
          </cell>
          <cell r="F381" t="str">
            <v>2026</v>
          </cell>
          <cell r="G381" t="str">
            <v>2</v>
          </cell>
          <cell r="H381">
            <v>74</v>
          </cell>
          <cell r="I381">
            <v>0</v>
          </cell>
          <cell r="J381" t="str">
            <v>X</v>
          </cell>
          <cell r="K381" t="str">
            <v>X</v>
          </cell>
          <cell r="L381" t="str">
            <v>09:08:03</v>
          </cell>
          <cell r="M381">
            <v>45910</v>
          </cell>
          <cell r="N381">
            <v>44430</v>
          </cell>
          <cell r="O381" t="str">
            <v>X</v>
          </cell>
          <cell r="P381" t="str">
            <v>2025</v>
          </cell>
          <cell r="Q381">
            <v>74</v>
          </cell>
          <cell r="R381" t="str">
            <v/>
          </cell>
        </row>
        <row r="382">
          <cell r="A382" t="str">
            <v>4004071</v>
          </cell>
          <cell r="B382" t="str">
            <v>3300</v>
          </cell>
          <cell r="C382" t="str">
            <v>3001</v>
          </cell>
          <cell r="D382" t="str">
            <v>L</v>
          </cell>
          <cell r="E382" t="str">
            <v/>
          </cell>
          <cell r="F382" t="str">
            <v>2026</v>
          </cell>
          <cell r="G382" t="str">
            <v>3</v>
          </cell>
          <cell r="H382">
            <v>94</v>
          </cell>
          <cell r="I382">
            <v>0</v>
          </cell>
          <cell r="J382" t="str">
            <v>X</v>
          </cell>
          <cell r="K382" t="str">
            <v>X</v>
          </cell>
          <cell r="L382" t="str">
            <v>09:08:01*</v>
          </cell>
          <cell r="M382">
            <v>45980</v>
          </cell>
          <cell r="N382">
            <v>44430</v>
          </cell>
          <cell r="O382" t="str">
            <v>X</v>
          </cell>
          <cell r="P382" t="str">
            <v>2025</v>
          </cell>
          <cell r="Q382">
            <v>94</v>
          </cell>
          <cell r="R382" t="str">
            <v/>
          </cell>
        </row>
        <row r="383">
          <cell r="A383" t="str">
            <v>4004074</v>
          </cell>
          <cell r="B383" t="str">
            <v>3300</v>
          </cell>
          <cell r="C383" t="str">
            <v>3001</v>
          </cell>
          <cell r="D383" t="str">
            <v>L</v>
          </cell>
          <cell r="E383" t="str">
            <v/>
          </cell>
          <cell r="F383" t="str">
            <v>2026</v>
          </cell>
          <cell r="G383" t="str">
            <v>1</v>
          </cell>
          <cell r="H383">
            <v>240</v>
          </cell>
          <cell r="I383">
            <v>0</v>
          </cell>
          <cell r="J383" t="str">
            <v>X</v>
          </cell>
          <cell r="K383" t="str">
            <v>X</v>
          </cell>
          <cell r="L383" t="str">
            <v>06:10:02</v>
          </cell>
          <cell r="M383">
            <v>45824</v>
          </cell>
          <cell r="N383">
            <v>44430</v>
          </cell>
          <cell r="O383" t="str">
            <v>X</v>
          </cell>
          <cell r="P383" t="str">
            <v>2025</v>
          </cell>
          <cell r="Q383">
            <v>240</v>
          </cell>
          <cell r="R383" t="str">
            <v/>
          </cell>
        </row>
        <row r="384">
          <cell r="A384" t="str">
            <v>4004098</v>
          </cell>
          <cell r="B384" t="str">
            <v>3300</v>
          </cell>
          <cell r="C384" t="str">
            <v>3001</v>
          </cell>
          <cell r="D384" t="str">
            <v>L</v>
          </cell>
          <cell r="E384" t="str">
            <v/>
          </cell>
          <cell r="F384" t="str">
            <v>2026</v>
          </cell>
          <cell r="G384" t="str">
            <v>2</v>
          </cell>
          <cell r="H384">
            <v>75</v>
          </cell>
          <cell r="I384">
            <v>0</v>
          </cell>
          <cell r="J384" t="str">
            <v>X</v>
          </cell>
          <cell r="K384" t="str">
            <v>X</v>
          </cell>
          <cell r="L384" t="str">
            <v>03:10:02</v>
          </cell>
          <cell r="M384">
            <v>45798</v>
          </cell>
          <cell r="N384">
            <v>44430</v>
          </cell>
          <cell r="O384" t="str">
            <v>X</v>
          </cell>
          <cell r="P384" t="str">
            <v>2025</v>
          </cell>
          <cell r="Q384">
            <v>75</v>
          </cell>
          <cell r="R384" t="str">
            <v/>
          </cell>
        </row>
        <row r="385">
          <cell r="A385" t="str">
            <v>4004107</v>
          </cell>
          <cell r="B385" t="str">
            <v>3300</v>
          </cell>
          <cell r="C385" t="str">
            <v>3001</v>
          </cell>
          <cell r="D385" t="str">
            <v>L</v>
          </cell>
          <cell r="E385" t="str">
            <v/>
          </cell>
          <cell r="F385" t="str">
            <v>2021</v>
          </cell>
          <cell r="G385" t="str">
            <v>10</v>
          </cell>
          <cell r="H385">
            <v>0</v>
          </cell>
          <cell r="I385">
            <v>0</v>
          </cell>
          <cell r="J385" t="str">
            <v/>
          </cell>
          <cell r="K385" t="str">
            <v>X</v>
          </cell>
          <cell r="L385" t="str">
            <v>SLETTET</v>
          </cell>
          <cell r="M385">
            <v>44568</v>
          </cell>
          <cell r="N385">
            <v>44430</v>
          </cell>
          <cell r="O385" t="str">
            <v>X</v>
          </cell>
          <cell r="P385" t="str">
            <v>2023</v>
          </cell>
          <cell r="Q385">
            <v>0</v>
          </cell>
          <cell r="R385" t="str">
            <v>INAKTIV</v>
          </cell>
        </row>
        <row r="386">
          <cell r="A386" t="str">
            <v>4004110</v>
          </cell>
          <cell r="B386" t="str">
            <v>3300</v>
          </cell>
          <cell r="C386" t="str">
            <v>3001</v>
          </cell>
          <cell r="D386" t="str">
            <v>L</v>
          </cell>
          <cell r="E386" t="str">
            <v/>
          </cell>
          <cell r="F386" t="str">
            <v>2026</v>
          </cell>
          <cell r="G386" t="str">
            <v>3</v>
          </cell>
          <cell r="H386">
            <v>1120</v>
          </cell>
          <cell r="I386">
            <v>0</v>
          </cell>
          <cell r="J386" t="str">
            <v>X</v>
          </cell>
          <cell r="K386" t="str">
            <v>X</v>
          </cell>
          <cell r="L386" t="str">
            <v>14:17:03</v>
          </cell>
          <cell r="M386">
            <v>46001</v>
          </cell>
          <cell r="N386">
            <v>44430</v>
          </cell>
          <cell r="O386" t="str">
            <v>X</v>
          </cell>
          <cell r="P386" t="str">
            <v>2025</v>
          </cell>
          <cell r="Q386">
            <v>1120</v>
          </cell>
          <cell r="R386" t="str">
            <v/>
          </cell>
        </row>
        <row r="387">
          <cell r="A387" t="str">
            <v>4004111</v>
          </cell>
          <cell r="B387" t="str">
            <v>3300</v>
          </cell>
          <cell r="C387" t="str">
            <v>3001</v>
          </cell>
          <cell r="D387" t="str">
            <v>L</v>
          </cell>
          <cell r="E387" t="str">
            <v>X</v>
          </cell>
          <cell r="F387" t="str">
            <v>2021</v>
          </cell>
          <cell r="G387" t="str">
            <v>10</v>
          </cell>
          <cell r="H387">
            <v>0</v>
          </cell>
          <cell r="I387">
            <v>0</v>
          </cell>
          <cell r="J387" t="str">
            <v>X</v>
          </cell>
          <cell r="K387" t="str">
            <v/>
          </cell>
          <cell r="L387" t="str">
            <v>SLETTET</v>
          </cell>
          <cell r="M387">
            <v>44568</v>
          </cell>
          <cell r="N387">
            <v>44430</v>
          </cell>
          <cell r="O387" t="str">
            <v>X</v>
          </cell>
          <cell r="P387" t="str">
            <v>2022</v>
          </cell>
          <cell r="Q387">
            <v>0</v>
          </cell>
          <cell r="R387" t="str">
            <v>INAKTIV</v>
          </cell>
        </row>
        <row r="388">
          <cell r="A388" t="str">
            <v>4004114</v>
          </cell>
          <cell r="B388" t="str">
            <v>3300</v>
          </cell>
          <cell r="C388" t="str">
            <v>3001</v>
          </cell>
          <cell r="D388" t="str">
            <v>L</v>
          </cell>
          <cell r="E388" t="str">
            <v/>
          </cell>
          <cell r="F388" t="str">
            <v>2026</v>
          </cell>
          <cell r="G388" t="str">
            <v>2</v>
          </cell>
          <cell r="H388">
            <v>100</v>
          </cell>
          <cell r="I388">
            <v>0</v>
          </cell>
          <cell r="J388" t="str">
            <v>X</v>
          </cell>
          <cell r="K388" t="str">
            <v>X</v>
          </cell>
          <cell r="L388" t="str">
            <v>04:05:03</v>
          </cell>
          <cell r="M388">
            <v>45798</v>
          </cell>
          <cell r="N388">
            <v>44430</v>
          </cell>
          <cell r="O388" t="str">
            <v>X</v>
          </cell>
          <cell r="P388" t="str">
            <v>2025</v>
          </cell>
          <cell r="Q388">
            <v>100</v>
          </cell>
          <cell r="R388" t="str">
            <v/>
          </cell>
        </row>
        <row r="389">
          <cell r="A389" t="str">
            <v>4004121</v>
          </cell>
          <cell r="B389" t="str">
            <v>3300</v>
          </cell>
          <cell r="C389" t="str">
            <v>3001</v>
          </cell>
          <cell r="D389" t="str">
            <v>L</v>
          </cell>
          <cell r="E389" t="str">
            <v/>
          </cell>
          <cell r="F389" t="str">
            <v>2026</v>
          </cell>
          <cell r="G389" t="str">
            <v>2</v>
          </cell>
          <cell r="H389">
            <v>320</v>
          </cell>
          <cell r="I389">
            <v>0</v>
          </cell>
          <cell r="J389" t="str">
            <v>X</v>
          </cell>
          <cell r="K389" t="str">
            <v>X</v>
          </cell>
          <cell r="L389" t="str">
            <v>06:01:03</v>
          </cell>
          <cell r="M389">
            <v>45804</v>
          </cell>
          <cell r="N389">
            <v>44430</v>
          </cell>
          <cell r="O389" t="str">
            <v>X</v>
          </cell>
          <cell r="P389" t="str">
            <v>2025</v>
          </cell>
          <cell r="Q389">
            <v>320</v>
          </cell>
          <cell r="R389" t="str">
            <v/>
          </cell>
        </row>
        <row r="390">
          <cell r="A390" t="str">
            <v>4004123</v>
          </cell>
          <cell r="B390" t="str">
            <v>3300</v>
          </cell>
          <cell r="C390" t="str">
            <v>3001</v>
          </cell>
          <cell r="D390" t="str">
            <v>L</v>
          </cell>
          <cell r="E390" t="str">
            <v/>
          </cell>
          <cell r="F390" t="str">
            <v>2026</v>
          </cell>
          <cell r="G390" t="str">
            <v>2</v>
          </cell>
          <cell r="H390">
            <v>320</v>
          </cell>
          <cell r="I390">
            <v>0</v>
          </cell>
          <cell r="J390" t="str">
            <v>X</v>
          </cell>
          <cell r="K390" t="str">
            <v>X</v>
          </cell>
          <cell r="L390" t="str">
            <v>15:02:05</v>
          </cell>
          <cell r="M390">
            <v>46001</v>
          </cell>
          <cell r="N390">
            <v>44430</v>
          </cell>
          <cell r="O390" t="str">
            <v>X</v>
          </cell>
          <cell r="P390" t="str">
            <v>2025</v>
          </cell>
          <cell r="Q390">
            <v>320</v>
          </cell>
          <cell r="R390" t="str">
            <v/>
          </cell>
        </row>
        <row r="391">
          <cell r="A391" t="str">
            <v>4004124</v>
          </cell>
          <cell r="B391" t="str">
            <v>3300</v>
          </cell>
          <cell r="C391" t="str">
            <v>3001</v>
          </cell>
          <cell r="D391" t="str">
            <v>L</v>
          </cell>
          <cell r="E391" t="str">
            <v/>
          </cell>
          <cell r="F391" t="str">
            <v>2026</v>
          </cell>
          <cell r="G391" t="str">
            <v>2</v>
          </cell>
          <cell r="H391">
            <v>513</v>
          </cell>
          <cell r="I391">
            <v>0</v>
          </cell>
          <cell r="J391" t="str">
            <v>X</v>
          </cell>
          <cell r="K391" t="str">
            <v>X</v>
          </cell>
          <cell r="L391" t="str">
            <v>13:13:01</v>
          </cell>
          <cell r="M391">
            <v>46001</v>
          </cell>
          <cell r="N391">
            <v>44430</v>
          </cell>
          <cell r="O391" t="str">
            <v>X</v>
          </cell>
          <cell r="P391" t="str">
            <v>2025</v>
          </cell>
          <cell r="Q391">
            <v>513</v>
          </cell>
          <cell r="R391" t="str">
            <v/>
          </cell>
        </row>
        <row r="392">
          <cell r="A392" t="str">
            <v>4004137</v>
          </cell>
          <cell r="B392" t="str">
            <v>3300</v>
          </cell>
          <cell r="C392" t="str">
            <v>3001</v>
          </cell>
          <cell r="D392" t="str">
            <v>L</v>
          </cell>
          <cell r="E392" t="str">
            <v/>
          </cell>
          <cell r="F392" t="str">
            <v>2026</v>
          </cell>
          <cell r="G392" t="str">
            <v>3</v>
          </cell>
          <cell r="H392">
            <v>222</v>
          </cell>
          <cell r="I392">
            <v>0</v>
          </cell>
          <cell r="J392" t="str">
            <v>X</v>
          </cell>
          <cell r="K392" t="str">
            <v>X</v>
          </cell>
          <cell r="L392" t="str">
            <v>07:05:01</v>
          </cell>
          <cell r="M392">
            <v>45824</v>
          </cell>
          <cell r="N392">
            <v>44430</v>
          </cell>
          <cell r="O392" t="str">
            <v>X</v>
          </cell>
          <cell r="P392" t="str">
            <v>2025</v>
          </cell>
          <cell r="Q392">
            <v>222</v>
          </cell>
          <cell r="R392" t="str">
            <v/>
          </cell>
        </row>
        <row r="393">
          <cell r="A393" t="str">
            <v>4004147</v>
          </cell>
          <cell r="B393" t="str">
            <v>3300</v>
          </cell>
          <cell r="C393" t="str">
            <v>3001</v>
          </cell>
          <cell r="D393" t="str">
            <v>DL</v>
          </cell>
          <cell r="E393" t="str">
            <v/>
          </cell>
          <cell r="F393" t="str">
            <v>2026</v>
          </cell>
          <cell r="G393" t="str">
            <v>2</v>
          </cell>
          <cell r="H393">
            <v>594</v>
          </cell>
          <cell r="I393">
            <v>0</v>
          </cell>
          <cell r="J393" t="str">
            <v>X</v>
          </cell>
          <cell r="K393" t="str">
            <v>X</v>
          </cell>
          <cell r="L393" t="str">
            <v>08:08:01</v>
          </cell>
          <cell r="M393">
            <v>45980</v>
          </cell>
          <cell r="N393">
            <v>44581</v>
          </cell>
          <cell r="O393" t="str">
            <v>X</v>
          </cell>
          <cell r="P393" t="str">
            <v>2025</v>
          </cell>
          <cell r="Q393">
            <v>594</v>
          </cell>
          <cell r="R393" t="str">
            <v/>
          </cell>
        </row>
        <row r="394">
          <cell r="A394" t="str">
            <v>4004149</v>
          </cell>
          <cell r="B394" t="str">
            <v>3300</v>
          </cell>
          <cell r="C394" t="str">
            <v>3001</v>
          </cell>
          <cell r="D394" t="str">
            <v>L</v>
          </cell>
          <cell r="E394" t="str">
            <v>X</v>
          </cell>
          <cell r="F394" t="str">
            <v>2021</v>
          </cell>
          <cell r="G394" t="str">
            <v>8</v>
          </cell>
          <cell r="H394">
            <v>0</v>
          </cell>
          <cell r="I394">
            <v>0</v>
          </cell>
          <cell r="J394" t="str">
            <v>X</v>
          </cell>
          <cell r="K394" t="str">
            <v/>
          </cell>
          <cell r="L394" t="str">
            <v>SLETTET</v>
          </cell>
          <cell r="M394">
            <v>44568</v>
          </cell>
          <cell r="N394">
            <v>44430</v>
          </cell>
          <cell r="O394" t="str">
            <v>X</v>
          </cell>
          <cell r="P394" t="str">
            <v>2022</v>
          </cell>
          <cell r="Q394">
            <v>0</v>
          </cell>
          <cell r="R394" t="str">
            <v>INAKTIV</v>
          </cell>
        </row>
        <row r="395">
          <cell r="A395" t="str">
            <v>4004150</v>
          </cell>
          <cell r="B395" t="str">
            <v>3300</v>
          </cell>
          <cell r="C395" t="str">
            <v>3001</v>
          </cell>
          <cell r="D395" t="str">
            <v>L</v>
          </cell>
          <cell r="E395" t="str">
            <v/>
          </cell>
          <cell r="F395" t="str">
            <v>2026</v>
          </cell>
          <cell r="G395" t="str">
            <v>3</v>
          </cell>
          <cell r="H395">
            <v>608</v>
          </cell>
          <cell r="I395">
            <v>0</v>
          </cell>
          <cell r="J395" t="str">
            <v>X</v>
          </cell>
          <cell r="K395" t="str">
            <v>X</v>
          </cell>
          <cell r="L395" t="str">
            <v>03:05:03</v>
          </cell>
          <cell r="M395">
            <v>45798</v>
          </cell>
          <cell r="N395">
            <v>44430</v>
          </cell>
          <cell r="O395" t="str">
            <v>X</v>
          </cell>
          <cell r="P395" t="str">
            <v>2025</v>
          </cell>
          <cell r="Q395">
            <v>608</v>
          </cell>
          <cell r="R395" t="str">
            <v/>
          </cell>
        </row>
        <row r="396">
          <cell r="A396" t="str">
            <v>4004152</v>
          </cell>
          <cell r="B396" t="str">
            <v>3300</v>
          </cell>
          <cell r="C396" t="str">
            <v>3001</v>
          </cell>
          <cell r="D396" t="str">
            <v>L</v>
          </cell>
          <cell r="E396" t="str">
            <v>X</v>
          </cell>
          <cell r="F396" t="str">
            <v>2021</v>
          </cell>
          <cell r="G396" t="str">
            <v>8</v>
          </cell>
          <cell r="H396">
            <v>0</v>
          </cell>
          <cell r="I396">
            <v>0</v>
          </cell>
          <cell r="J396" t="str">
            <v/>
          </cell>
          <cell r="K396" t="str">
            <v/>
          </cell>
          <cell r="L396" t="str">
            <v>SLETTET</v>
          </cell>
          <cell r="M396" t="str">
            <v/>
          </cell>
          <cell r="N396">
            <v>44430</v>
          </cell>
          <cell r="O396" t="str">
            <v>X</v>
          </cell>
          <cell r="P396" t="str">
            <v>2023</v>
          </cell>
          <cell r="Q396">
            <v>0</v>
          </cell>
          <cell r="R396" t="str">
            <v>INAKTIV</v>
          </cell>
        </row>
        <row r="397">
          <cell r="A397" t="str">
            <v>4004157</v>
          </cell>
          <cell r="B397" t="str">
            <v>3300</v>
          </cell>
          <cell r="C397" t="str">
            <v>3001</v>
          </cell>
          <cell r="D397" t="str">
            <v>L</v>
          </cell>
          <cell r="E397" t="str">
            <v/>
          </cell>
          <cell r="F397" t="str">
            <v>2026</v>
          </cell>
          <cell r="G397" t="str">
            <v>2</v>
          </cell>
          <cell r="H397">
            <v>40</v>
          </cell>
          <cell r="I397">
            <v>0</v>
          </cell>
          <cell r="J397" t="str">
            <v>X</v>
          </cell>
          <cell r="K397" t="str">
            <v>X</v>
          </cell>
          <cell r="L397" t="str">
            <v>04:01:03</v>
          </cell>
          <cell r="M397">
            <v>45798</v>
          </cell>
          <cell r="N397">
            <v>44430</v>
          </cell>
          <cell r="O397" t="str">
            <v>X</v>
          </cell>
          <cell r="P397" t="str">
            <v>2025</v>
          </cell>
          <cell r="Q397">
            <v>40</v>
          </cell>
          <cell r="R397" t="str">
            <v/>
          </cell>
        </row>
        <row r="398">
          <cell r="A398" t="str">
            <v>4004166</v>
          </cell>
          <cell r="B398" t="str">
            <v>3300</v>
          </cell>
          <cell r="C398" t="str">
            <v>3001</v>
          </cell>
          <cell r="D398" t="str">
            <v>L</v>
          </cell>
          <cell r="E398" t="str">
            <v/>
          </cell>
          <cell r="F398" t="str">
            <v>2026</v>
          </cell>
          <cell r="G398" t="str">
            <v>3</v>
          </cell>
          <cell r="H398">
            <v>128</v>
          </cell>
          <cell r="I398">
            <v>0</v>
          </cell>
          <cell r="J398" t="str">
            <v>X</v>
          </cell>
          <cell r="K398" t="str">
            <v>X</v>
          </cell>
          <cell r="L398" t="str">
            <v>05:13:02</v>
          </cell>
          <cell r="M398">
            <v>45804</v>
          </cell>
          <cell r="N398">
            <v>44430</v>
          </cell>
          <cell r="O398" t="str">
            <v>X</v>
          </cell>
          <cell r="P398" t="str">
            <v>2025</v>
          </cell>
          <cell r="Q398">
            <v>128</v>
          </cell>
          <cell r="R398" t="str">
            <v/>
          </cell>
        </row>
        <row r="399">
          <cell r="A399" t="str">
            <v>4004168</v>
          </cell>
          <cell r="B399" t="str">
            <v>3300</v>
          </cell>
          <cell r="C399" t="str">
            <v>3001</v>
          </cell>
          <cell r="D399" t="str">
            <v>L</v>
          </cell>
          <cell r="E399" t="str">
            <v/>
          </cell>
          <cell r="F399" t="str">
            <v>2026</v>
          </cell>
          <cell r="G399" t="str">
            <v>2</v>
          </cell>
          <cell r="H399">
            <v>53</v>
          </cell>
          <cell r="I399">
            <v>0</v>
          </cell>
          <cell r="J399" t="str">
            <v>X</v>
          </cell>
          <cell r="K399" t="str">
            <v>X</v>
          </cell>
          <cell r="L399" t="str">
            <v>03:01:03</v>
          </cell>
          <cell r="M399">
            <v>45798</v>
          </cell>
          <cell r="N399">
            <v>44430</v>
          </cell>
          <cell r="O399" t="str">
            <v>X</v>
          </cell>
          <cell r="P399" t="str">
            <v>2025</v>
          </cell>
          <cell r="Q399">
            <v>53</v>
          </cell>
          <cell r="R399" t="str">
            <v/>
          </cell>
        </row>
        <row r="400">
          <cell r="A400" t="str">
            <v>4004171</v>
          </cell>
          <cell r="B400" t="str">
            <v>3300</v>
          </cell>
          <cell r="C400" t="str">
            <v>3001</v>
          </cell>
          <cell r="D400" t="str">
            <v>L</v>
          </cell>
          <cell r="E400" t="str">
            <v/>
          </cell>
          <cell r="F400" t="str">
            <v>2022</v>
          </cell>
          <cell r="G400" t="str">
            <v>5</v>
          </cell>
          <cell r="H400">
            <v>0</v>
          </cell>
          <cell r="I400">
            <v>0</v>
          </cell>
          <cell r="J400" t="str">
            <v>X</v>
          </cell>
          <cell r="K400" t="str">
            <v/>
          </cell>
          <cell r="L400" t="str">
            <v>SLETTET</v>
          </cell>
          <cell r="M400">
            <v>44568</v>
          </cell>
          <cell r="N400">
            <v>44430</v>
          </cell>
          <cell r="O400" t="str">
            <v>X</v>
          </cell>
          <cell r="P400" t="str">
            <v>2022</v>
          </cell>
          <cell r="Q400">
            <v>0</v>
          </cell>
          <cell r="R400" t="str">
            <v>INAKTIV</v>
          </cell>
        </row>
        <row r="401">
          <cell r="A401" t="str">
            <v>4004200</v>
          </cell>
          <cell r="B401" t="str">
            <v>3300</v>
          </cell>
          <cell r="C401" t="str">
            <v>3001</v>
          </cell>
          <cell r="D401" t="str">
            <v>L</v>
          </cell>
          <cell r="E401" t="str">
            <v/>
          </cell>
          <cell r="F401" t="str">
            <v>2026</v>
          </cell>
          <cell r="G401" t="str">
            <v>2</v>
          </cell>
          <cell r="H401">
            <v>180</v>
          </cell>
          <cell r="I401">
            <v>0</v>
          </cell>
          <cell r="J401" t="str">
            <v>X</v>
          </cell>
          <cell r="K401" t="str">
            <v>X</v>
          </cell>
          <cell r="L401" t="str">
            <v>02:10:03</v>
          </cell>
          <cell r="M401">
            <v>45797</v>
          </cell>
          <cell r="N401">
            <v>44430</v>
          </cell>
          <cell r="O401" t="str">
            <v>X</v>
          </cell>
          <cell r="P401" t="str">
            <v>2025</v>
          </cell>
          <cell r="Q401">
            <v>180</v>
          </cell>
          <cell r="R401" t="str">
            <v/>
          </cell>
        </row>
        <row r="402">
          <cell r="A402" t="str">
            <v>4004201</v>
          </cell>
          <cell r="B402" t="str">
            <v>3300</v>
          </cell>
          <cell r="C402" t="str">
            <v>3001</v>
          </cell>
          <cell r="D402" t="str">
            <v>L</v>
          </cell>
          <cell r="E402" t="str">
            <v/>
          </cell>
          <cell r="F402" t="str">
            <v>2026</v>
          </cell>
          <cell r="G402" t="str">
            <v>3</v>
          </cell>
          <cell r="H402">
            <v>180</v>
          </cell>
          <cell r="I402">
            <v>0</v>
          </cell>
          <cell r="J402" t="str">
            <v>X</v>
          </cell>
          <cell r="K402" t="str">
            <v>X</v>
          </cell>
          <cell r="L402" t="str">
            <v>02:12:02</v>
          </cell>
          <cell r="M402">
            <v>45797</v>
          </cell>
          <cell r="N402">
            <v>44430</v>
          </cell>
          <cell r="O402" t="str">
            <v>X</v>
          </cell>
          <cell r="P402" t="str">
            <v>2025</v>
          </cell>
          <cell r="Q402">
            <v>180</v>
          </cell>
          <cell r="R402" t="str">
            <v/>
          </cell>
        </row>
        <row r="403">
          <cell r="A403" t="str">
            <v>4004203</v>
          </cell>
          <cell r="B403" t="str">
            <v>3300</v>
          </cell>
          <cell r="C403" t="str">
            <v>3001</v>
          </cell>
          <cell r="D403" t="str">
            <v>L</v>
          </cell>
          <cell r="E403" t="str">
            <v/>
          </cell>
          <cell r="F403" t="str">
            <v>2026</v>
          </cell>
          <cell r="G403" t="str">
            <v>2</v>
          </cell>
          <cell r="H403">
            <v>3500</v>
          </cell>
          <cell r="I403">
            <v>0</v>
          </cell>
          <cell r="J403" t="str">
            <v>X</v>
          </cell>
          <cell r="K403" t="str">
            <v>X</v>
          </cell>
          <cell r="L403" t="str">
            <v>13:10:03</v>
          </cell>
          <cell r="M403">
            <v>45994</v>
          </cell>
          <cell r="N403">
            <v>44430</v>
          </cell>
          <cell r="O403" t="str">
            <v>X</v>
          </cell>
          <cell r="P403" t="str">
            <v>2025</v>
          </cell>
          <cell r="Q403">
            <v>3500</v>
          </cell>
          <cell r="R403" t="str">
            <v/>
          </cell>
        </row>
        <row r="404">
          <cell r="A404" t="str">
            <v>4004205</v>
          </cell>
          <cell r="B404" t="str">
            <v>3300</v>
          </cell>
          <cell r="C404" t="str">
            <v>3001</v>
          </cell>
          <cell r="D404" t="str">
            <v>L</v>
          </cell>
          <cell r="E404" t="str">
            <v/>
          </cell>
          <cell r="F404" t="str">
            <v>2026</v>
          </cell>
          <cell r="G404" t="str">
            <v>3</v>
          </cell>
          <cell r="H404">
            <v>560</v>
          </cell>
          <cell r="I404">
            <v>0</v>
          </cell>
          <cell r="J404" t="str">
            <v>X</v>
          </cell>
          <cell r="K404" t="str">
            <v>X</v>
          </cell>
          <cell r="L404" t="str">
            <v>10:07:02</v>
          </cell>
          <cell r="M404">
            <v>45987</v>
          </cell>
          <cell r="N404">
            <v>44430</v>
          </cell>
          <cell r="O404" t="str">
            <v>X</v>
          </cell>
          <cell r="P404" t="str">
            <v>2025</v>
          </cell>
          <cell r="Q404">
            <v>560</v>
          </cell>
          <cell r="R404" t="str">
            <v/>
          </cell>
        </row>
        <row r="405">
          <cell r="A405" t="str">
            <v>4004236</v>
          </cell>
          <cell r="B405" t="str">
            <v>3300</v>
          </cell>
          <cell r="C405" t="str">
            <v>3001</v>
          </cell>
          <cell r="D405" t="str">
            <v>L</v>
          </cell>
          <cell r="E405" t="str">
            <v/>
          </cell>
          <cell r="F405" t="str">
            <v>2026</v>
          </cell>
          <cell r="G405" t="str">
            <v>2</v>
          </cell>
          <cell r="H405">
            <v>130</v>
          </cell>
          <cell r="I405">
            <v>0</v>
          </cell>
          <cell r="J405" t="str">
            <v>X</v>
          </cell>
          <cell r="K405" t="str">
            <v>X</v>
          </cell>
          <cell r="L405" t="str">
            <v>12:12:03</v>
          </cell>
          <cell r="M405">
            <v>45994</v>
          </cell>
          <cell r="N405">
            <v>44430</v>
          </cell>
          <cell r="O405" t="str">
            <v>X</v>
          </cell>
          <cell r="P405" t="str">
            <v>2025</v>
          </cell>
          <cell r="Q405">
            <v>130</v>
          </cell>
          <cell r="R405" t="str">
            <v/>
          </cell>
        </row>
        <row r="406">
          <cell r="A406" t="str">
            <v>4004237</v>
          </cell>
          <cell r="B406" t="str">
            <v>3300</v>
          </cell>
          <cell r="C406" t="str">
            <v>3001</v>
          </cell>
          <cell r="D406" t="str">
            <v>L</v>
          </cell>
          <cell r="E406" t="str">
            <v/>
          </cell>
          <cell r="F406" t="str">
            <v>2026</v>
          </cell>
          <cell r="G406" t="str">
            <v>3</v>
          </cell>
          <cell r="H406">
            <v>1200</v>
          </cell>
          <cell r="I406">
            <v>0</v>
          </cell>
          <cell r="J406" t="str">
            <v>X</v>
          </cell>
          <cell r="K406" t="str">
            <v>X</v>
          </cell>
          <cell r="L406" t="str">
            <v>13:08:02</v>
          </cell>
          <cell r="M406">
            <v>45994</v>
          </cell>
          <cell r="N406">
            <v>44430</v>
          </cell>
          <cell r="O406" t="str">
            <v>X</v>
          </cell>
          <cell r="P406" t="str">
            <v>2025</v>
          </cell>
          <cell r="Q406">
            <v>1200</v>
          </cell>
          <cell r="R406" t="str">
            <v/>
          </cell>
        </row>
        <row r="407">
          <cell r="A407" t="str">
            <v>4004238</v>
          </cell>
          <cell r="B407" t="str">
            <v>3300</v>
          </cell>
          <cell r="C407" t="str">
            <v>3001</v>
          </cell>
          <cell r="D407" t="str">
            <v>LD</v>
          </cell>
          <cell r="E407" t="str">
            <v/>
          </cell>
          <cell r="F407" t="str">
            <v>2026</v>
          </cell>
          <cell r="G407" t="str">
            <v>2</v>
          </cell>
          <cell r="H407">
            <v>130</v>
          </cell>
          <cell r="I407">
            <v>0</v>
          </cell>
          <cell r="J407" t="str">
            <v>X</v>
          </cell>
          <cell r="K407" t="str">
            <v>X</v>
          </cell>
          <cell r="L407" t="str">
            <v>04:08:01</v>
          </cell>
          <cell r="M407">
            <v>45799</v>
          </cell>
          <cell r="N407">
            <v>44430</v>
          </cell>
          <cell r="O407" t="str">
            <v>X</v>
          </cell>
          <cell r="P407" t="str">
            <v>2025</v>
          </cell>
          <cell r="Q407">
            <v>130</v>
          </cell>
          <cell r="R407" t="str">
            <v/>
          </cell>
        </row>
        <row r="408">
          <cell r="A408" t="str">
            <v>4004240</v>
          </cell>
          <cell r="B408" t="str">
            <v>3300</v>
          </cell>
          <cell r="C408" t="str">
            <v>3001</v>
          </cell>
          <cell r="D408" t="str">
            <v>L</v>
          </cell>
          <cell r="E408" t="str">
            <v/>
          </cell>
          <cell r="F408" t="str">
            <v>2026</v>
          </cell>
          <cell r="G408" t="str">
            <v>3</v>
          </cell>
          <cell r="H408">
            <v>1200</v>
          </cell>
          <cell r="I408">
            <v>0</v>
          </cell>
          <cell r="J408" t="str">
            <v>X</v>
          </cell>
          <cell r="K408" t="str">
            <v>X</v>
          </cell>
          <cell r="L408" t="str">
            <v>12:13:01</v>
          </cell>
          <cell r="M408">
            <v>45994</v>
          </cell>
          <cell r="N408">
            <v>44430</v>
          </cell>
          <cell r="O408" t="str">
            <v>X</v>
          </cell>
          <cell r="P408" t="str">
            <v>2025</v>
          </cell>
          <cell r="Q408">
            <v>1200</v>
          </cell>
          <cell r="R408" t="str">
            <v/>
          </cell>
        </row>
        <row r="409">
          <cell r="A409" t="str">
            <v>4004241</v>
          </cell>
          <cell r="B409" t="str">
            <v>3300</v>
          </cell>
          <cell r="C409" t="str">
            <v>3001</v>
          </cell>
          <cell r="D409" t="str">
            <v>L</v>
          </cell>
          <cell r="E409" t="str">
            <v/>
          </cell>
          <cell r="F409" t="str">
            <v>2026</v>
          </cell>
          <cell r="G409" t="str">
            <v>2</v>
          </cell>
          <cell r="H409">
            <v>500</v>
          </cell>
          <cell r="I409">
            <v>0</v>
          </cell>
          <cell r="J409" t="str">
            <v>X</v>
          </cell>
          <cell r="K409" t="str">
            <v>X</v>
          </cell>
          <cell r="L409" t="str">
            <v>12:13:01</v>
          </cell>
          <cell r="M409">
            <v>45994</v>
          </cell>
          <cell r="N409">
            <v>44430</v>
          </cell>
          <cell r="O409" t="str">
            <v>X</v>
          </cell>
          <cell r="P409" t="str">
            <v>2025</v>
          </cell>
          <cell r="Q409">
            <v>500</v>
          </cell>
          <cell r="R409" t="str">
            <v/>
          </cell>
        </row>
        <row r="410">
          <cell r="A410" t="str">
            <v>4004246</v>
          </cell>
          <cell r="B410" t="str">
            <v>3300</v>
          </cell>
          <cell r="C410" t="str">
            <v>3001</v>
          </cell>
          <cell r="D410" t="str">
            <v>DL</v>
          </cell>
          <cell r="E410" t="str">
            <v/>
          </cell>
          <cell r="F410" t="str">
            <v>2026</v>
          </cell>
          <cell r="G410" t="str">
            <v>2</v>
          </cell>
          <cell r="H410">
            <v>1400</v>
          </cell>
          <cell r="I410">
            <v>0</v>
          </cell>
          <cell r="J410" t="str">
            <v>X</v>
          </cell>
          <cell r="K410" t="str">
            <v>X</v>
          </cell>
          <cell r="L410" t="str">
            <v>02:06:03</v>
          </cell>
          <cell r="M410">
            <v>45796</v>
          </cell>
          <cell r="N410">
            <v>44587</v>
          </cell>
          <cell r="O410" t="str">
            <v>X</v>
          </cell>
          <cell r="P410" t="str">
            <v>2025</v>
          </cell>
          <cell r="Q410">
            <v>1400</v>
          </cell>
          <cell r="R410" t="str">
            <v/>
          </cell>
        </row>
        <row r="411">
          <cell r="A411" t="str">
            <v>4004247</v>
          </cell>
          <cell r="B411" t="str">
            <v>3300</v>
          </cell>
          <cell r="C411" t="str">
            <v>3001</v>
          </cell>
          <cell r="D411" t="str">
            <v>DL</v>
          </cell>
          <cell r="E411" t="str">
            <v/>
          </cell>
          <cell r="F411" t="str">
            <v>2025</v>
          </cell>
          <cell r="G411" t="str">
            <v>6</v>
          </cell>
          <cell r="H411">
            <v>1090</v>
          </cell>
          <cell r="I411">
            <v>0</v>
          </cell>
          <cell r="J411" t="str">
            <v>X</v>
          </cell>
          <cell r="K411" t="str">
            <v/>
          </cell>
          <cell r="L411" t="str">
            <v>8,75347222</v>
          </cell>
          <cell r="M411">
            <v>46029</v>
          </cell>
          <cell r="N411">
            <v>44587</v>
          </cell>
          <cell r="O411" t="str">
            <v>X</v>
          </cell>
          <cell r="P411" t="str">
            <v>2026</v>
          </cell>
          <cell r="Q411">
            <v>1090</v>
          </cell>
          <cell r="R411" t="str">
            <v/>
          </cell>
        </row>
        <row r="412">
          <cell r="A412" t="str">
            <v>4004248</v>
          </cell>
          <cell r="B412" t="str">
            <v>3300</v>
          </cell>
          <cell r="C412" t="str">
            <v>3001</v>
          </cell>
          <cell r="D412" t="str">
            <v>DL</v>
          </cell>
          <cell r="E412" t="str">
            <v/>
          </cell>
          <cell r="F412" t="str">
            <v>2025</v>
          </cell>
          <cell r="G412" t="str">
            <v>6</v>
          </cell>
          <cell r="H412">
            <v>2070</v>
          </cell>
          <cell r="I412">
            <v>0</v>
          </cell>
          <cell r="J412" t="str">
            <v>X</v>
          </cell>
          <cell r="K412" t="str">
            <v>X</v>
          </cell>
          <cell r="L412" t="str">
            <v>02:06:03</v>
          </cell>
          <cell r="M412">
            <v>45796</v>
          </cell>
          <cell r="N412">
            <v>44587</v>
          </cell>
          <cell r="O412" t="str">
            <v>X</v>
          </cell>
          <cell r="P412" t="str">
            <v>2025</v>
          </cell>
          <cell r="Q412">
            <v>2070</v>
          </cell>
          <cell r="R412" t="str">
            <v/>
          </cell>
        </row>
        <row r="413">
          <cell r="A413" t="str">
            <v>4004250</v>
          </cell>
          <cell r="B413" t="str">
            <v>3300</v>
          </cell>
          <cell r="C413" t="str">
            <v>3001</v>
          </cell>
          <cell r="D413" t="str">
            <v>DL</v>
          </cell>
          <cell r="E413" t="str">
            <v/>
          </cell>
          <cell r="F413" t="str">
            <v>2026</v>
          </cell>
          <cell r="G413" t="str">
            <v>2</v>
          </cell>
          <cell r="H413">
            <v>1439</v>
          </cell>
          <cell r="I413">
            <v>0</v>
          </cell>
          <cell r="J413" t="str">
            <v>X</v>
          </cell>
          <cell r="K413" t="str">
            <v>X</v>
          </cell>
          <cell r="L413" t="str">
            <v>01:06:03</v>
          </cell>
          <cell r="M413">
            <v>45796</v>
          </cell>
          <cell r="N413">
            <v>44587</v>
          </cell>
          <cell r="O413" t="str">
            <v>X</v>
          </cell>
          <cell r="P413" t="str">
            <v>2025</v>
          </cell>
          <cell r="Q413">
            <v>1439</v>
          </cell>
          <cell r="R413" t="str">
            <v/>
          </cell>
        </row>
        <row r="414">
          <cell r="A414" t="str">
            <v>4004259</v>
          </cell>
          <cell r="B414" t="str">
            <v>3300</v>
          </cell>
          <cell r="C414" t="str">
            <v>3001</v>
          </cell>
          <cell r="D414" t="str">
            <v>L</v>
          </cell>
          <cell r="E414" t="str">
            <v/>
          </cell>
          <cell r="F414" t="str">
            <v>2026</v>
          </cell>
          <cell r="G414" t="str">
            <v>1</v>
          </cell>
          <cell r="H414">
            <v>71</v>
          </cell>
          <cell r="I414">
            <v>0</v>
          </cell>
          <cell r="J414" t="str">
            <v>X</v>
          </cell>
          <cell r="K414" t="str">
            <v>X</v>
          </cell>
          <cell r="L414" t="str">
            <v>11:03:03</v>
          </cell>
          <cell r="M414">
            <v>45994</v>
          </cell>
          <cell r="N414">
            <v>44430</v>
          </cell>
          <cell r="O414" t="str">
            <v>X</v>
          </cell>
          <cell r="P414" t="str">
            <v>2025</v>
          </cell>
          <cell r="Q414">
            <v>71</v>
          </cell>
          <cell r="R414" t="str">
            <v/>
          </cell>
        </row>
        <row r="415">
          <cell r="A415" t="str">
            <v>4004262</v>
          </cell>
          <cell r="B415" t="str">
            <v>3300</v>
          </cell>
          <cell r="C415" t="str">
            <v>3001</v>
          </cell>
          <cell r="D415" t="str">
            <v>L</v>
          </cell>
          <cell r="E415" t="str">
            <v/>
          </cell>
          <cell r="F415" t="str">
            <v>2026</v>
          </cell>
          <cell r="G415" t="str">
            <v>3</v>
          </cell>
          <cell r="H415">
            <v>40</v>
          </cell>
          <cell r="I415">
            <v>0</v>
          </cell>
          <cell r="J415" t="str">
            <v>X</v>
          </cell>
          <cell r="K415" t="str">
            <v>X</v>
          </cell>
          <cell r="L415" t="str">
            <v>10:06:03</v>
          </cell>
          <cell r="M415">
            <v>45987</v>
          </cell>
          <cell r="N415">
            <v>44430</v>
          </cell>
          <cell r="O415" t="str">
            <v>X</v>
          </cell>
          <cell r="P415" t="str">
            <v>2025</v>
          </cell>
          <cell r="Q415">
            <v>40</v>
          </cell>
          <cell r="R415" t="str">
            <v/>
          </cell>
        </row>
        <row r="416">
          <cell r="A416" t="str">
            <v>4004269</v>
          </cell>
          <cell r="B416" t="str">
            <v>3300</v>
          </cell>
          <cell r="C416" t="str">
            <v>3001</v>
          </cell>
          <cell r="D416" t="str">
            <v>L</v>
          </cell>
          <cell r="E416" t="str">
            <v/>
          </cell>
          <cell r="F416" t="str">
            <v>2025</v>
          </cell>
          <cell r="G416" t="str">
            <v>12</v>
          </cell>
          <cell r="H416">
            <v>2310</v>
          </cell>
          <cell r="I416">
            <v>0</v>
          </cell>
          <cell r="J416" t="str">
            <v>X</v>
          </cell>
          <cell r="K416" t="str">
            <v>X</v>
          </cell>
          <cell r="L416" t="str">
            <v>08:12:02</v>
          </cell>
          <cell r="M416">
            <v>45980</v>
          </cell>
          <cell r="N416">
            <v>44430</v>
          </cell>
          <cell r="O416" t="str">
            <v>X</v>
          </cell>
          <cell r="P416" t="str">
            <v>2025</v>
          </cell>
          <cell r="Q416">
            <v>2310</v>
          </cell>
          <cell r="R416" t="str">
            <v/>
          </cell>
        </row>
        <row r="417">
          <cell r="A417" t="str">
            <v>4004272</v>
          </cell>
          <cell r="B417" t="str">
            <v>3300</v>
          </cell>
          <cell r="C417" t="str">
            <v>3001</v>
          </cell>
          <cell r="D417" t="str">
            <v>L</v>
          </cell>
          <cell r="E417" t="str">
            <v>X</v>
          </cell>
          <cell r="F417" t="str">
            <v>2021</v>
          </cell>
          <cell r="G417" t="str">
            <v>8</v>
          </cell>
          <cell r="H417">
            <v>0</v>
          </cell>
          <cell r="I417">
            <v>0</v>
          </cell>
          <cell r="J417" t="str">
            <v/>
          </cell>
          <cell r="K417" t="str">
            <v/>
          </cell>
          <cell r="L417" t="str">
            <v>SLETTET</v>
          </cell>
          <cell r="M417" t="str">
            <v/>
          </cell>
          <cell r="N417">
            <v>44430</v>
          </cell>
          <cell r="O417" t="str">
            <v>X</v>
          </cell>
          <cell r="P417" t="str">
            <v>2023</v>
          </cell>
          <cell r="Q417">
            <v>0</v>
          </cell>
          <cell r="R417" t="str">
            <v>INAKTIV</v>
          </cell>
        </row>
        <row r="418">
          <cell r="A418" t="str">
            <v>4004276</v>
          </cell>
          <cell r="B418" t="str">
            <v>3300</v>
          </cell>
          <cell r="C418" t="str">
            <v>3001</v>
          </cell>
          <cell r="D418" t="str">
            <v>L</v>
          </cell>
          <cell r="E418" t="str">
            <v/>
          </cell>
          <cell r="F418" t="str">
            <v>2026</v>
          </cell>
          <cell r="G418" t="str">
            <v>3</v>
          </cell>
          <cell r="H418">
            <v>110</v>
          </cell>
          <cell r="I418">
            <v>0</v>
          </cell>
          <cell r="J418" t="str">
            <v>X</v>
          </cell>
          <cell r="K418" t="str">
            <v>X</v>
          </cell>
          <cell r="L418" t="str">
            <v>11:07:01</v>
          </cell>
          <cell r="M418">
            <v>45994</v>
          </cell>
          <cell r="N418">
            <v>44430</v>
          </cell>
          <cell r="O418" t="str">
            <v>X</v>
          </cell>
          <cell r="P418" t="str">
            <v>2025</v>
          </cell>
          <cell r="Q418">
            <v>110</v>
          </cell>
          <cell r="R418" t="str">
            <v/>
          </cell>
        </row>
        <row r="419">
          <cell r="A419" t="str">
            <v>4004280</v>
          </cell>
          <cell r="B419" t="str">
            <v>3300</v>
          </cell>
          <cell r="C419" t="str">
            <v>3001</v>
          </cell>
          <cell r="D419" t="str">
            <v>L</v>
          </cell>
          <cell r="E419" t="str">
            <v/>
          </cell>
          <cell r="F419" t="str">
            <v>2026</v>
          </cell>
          <cell r="G419" t="str">
            <v>2</v>
          </cell>
          <cell r="H419">
            <v>970</v>
          </cell>
          <cell r="I419">
            <v>0</v>
          </cell>
          <cell r="J419" t="str">
            <v>X</v>
          </cell>
          <cell r="K419" t="str">
            <v>X</v>
          </cell>
          <cell r="L419" t="str">
            <v>06:06:01</v>
          </cell>
          <cell r="M419">
            <v>45819</v>
          </cell>
          <cell r="N419">
            <v>44430</v>
          </cell>
          <cell r="O419" t="str">
            <v>X</v>
          </cell>
          <cell r="P419" t="str">
            <v>2025</v>
          </cell>
          <cell r="Q419">
            <v>970</v>
          </cell>
          <cell r="R419" t="str">
            <v/>
          </cell>
        </row>
        <row r="420">
          <cell r="A420" t="str">
            <v>4004281</v>
          </cell>
          <cell r="B420" t="str">
            <v>3300</v>
          </cell>
          <cell r="C420" t="str">
            <v>3001</v>
          </cell>
          <cell r="D420" t="str">
            <v>L</v>
          </cell>
          <cell r="E420" t="str">
            <v/>
          </cell>
          <cell r="F420" t="str">
            <v>2026</v>
          </cell>
          <cell r="G420" t="str">
            <v>2</v>
          </cell>
          <cell r="H420">
            <v>500</v>
          </cell>
          <cell r="I420">
            <v>0</v>
          </cell>
          <cell r="J420" t="str">
            <v>X</v>
          </cell>
          <cell r="K420" t="str">
            <v>X</v>
          </cell>
          <cell r="L420" t="str">
            <v>06:02:03</v>
          </cell>
          <cell r="M420">
            <v>45819</v>
          </cell>
          <cell r="N420">
            <v>44430</v>
          </cell>
          <cell r="O420" t="str">
            <v>X</v>
          </cell>
          <cell r="P420" t="str">
            <v>2025</v>
          </cell>
          <cell r="Q420">
            <v>500</v>
          </cell>
          <cell r="R420" t="str">
            <v/>
          </cell>
        </row>
        <row r="421">
          <cell r="A421" t="str">
            <v>4004319</v>
          </cell>
          <cell r="B421" t="str">
            <v>3300</v>
          </cell>
          <cell r="C421" t="str">
            <v>3001</v>
          </cell>
          <cell r="D421" t="str">
            <v>L</v>
          </cell>
          <cell r="E421" t="str">
            <v/>
          </cell>
          <cell r="F421" t="str">
            <v>2026</v>
          </cell>
          <cell r="G421" t="str">
            <v>3</v>
          </cell>
          <cell r="H421">
            <v>90</v>
          </cell>
          <cell r="I421">
            <v>0</v>
          </cell>
          <cell r="J421" t="str">
            <v>X</v>
          </cell>
          <cell r="K421" t="str">
            <v>X</v>
          </cell>
          <cell r="L421" t="str">
            <v>14:18:00</v>
          </cell>
          <cell r="M421">
            <v>46001</v>
          </cell>
          <cell r="N421">
            <v>44430</v>
          </cell>
          <cell r="O421" t="str">
            <v>X</v>
          </cell>
          <cell r="P421" t="str">
            <v>2025</v>
          </cell>
          <cell r="Q421">
            <v>90</v>
          </cell>
          <cell r="R421" t="str">
            <v/>
          </cell>
        </row>
        <row r="422">
          <cell r="A422" t="str">
            <v>4004351</v>
          </cell>
          <cell r="B422" t="str">
            <v>3300</v>
          </cell>
          <cell r="C422" t="str">
            <v>3001</v>
          </cell>
          <cell r="D422" t="str">
            <v>DL</v>
          </cell>
          <cell r="E422" t="str">
            <v/>
          </cell>
          <cell r="F422" t="str">
            <v>2022</v>
          </cell>
          <cell r="G422" t="str">
            <v>12</v>
          </cell>
          <cell r="H422">
            <v>0</v>
          </cell>
          <cell r="I422">
            <v>0</v>
          </cell>
          <cell r="J422" t="str">
            <v/>
          </cell>
          <cell r="K422" t="str">
            <v/>
          </cell>
          <cell r="L422" t="str">
            <v>SLETTET</v>
          </cell>
          <cell r="M422" t="str">
            <v/>
          </cell>
          <cell r="N422">
            <v>44865</v>
          </cell>
          <cell r="O422" t="str">
            <v>X</v>
          </cell>
          <cell r="P422" t="str">
            <v>2025</v>
          </cell>
          <cell r="Q422">
            <v>0</v>
          </cell>
          <cell r="R422" t="str">
            <v>INAKTIV</v>
          </cell>
        </row>
        <row r="423">
          <cell r="A423" t="str">
            <v>4004352</v>
          </cell>
          <cell r="B423" t="str">
            <v>3300</v>
          </cell>
          <cell r="C423" t="str">
            <v>3001</v>
          </cell>
          <cell r="D423" t="str">
            <v>L</v>
          </cell>
          <cell r="E423" t="str">
            <v/>
          </cell>
          <cell r="F423" t="str">
            <v>2022</v>
          </cell>
          <cell r="G423" t="str">
            <v>5</v>
          </cell>
          <cell r="H423">
            <v>0</v>
          </cell>
          <cell r="I423">
            <v>0</v>
          </cell>
          <cell r="J423" t="str">
            <v>X</v>
          </cell>
          <cell r="K423" t="str">
            <v/>
          </cell>
          <cell r="L423" t="str">
            <v>SLETTET</v>
          </cell>
          <cell r="M423">
            <v>44568</v>
          </cell>
          <cell r="N423">
            <v>44430</v>
          </cell>
          <cell r="O423" t="str">
            <v>X</v>
          </cell>
          <cell r="P423" t="str">
            <v>2022</v>
          </cell>
          <cell r="Q423">
            <v>0</v>
          </cell>
          <cell r="R423" t="str">
            <v>INAKTIV</v>
          </cell>
        </row>
        <row r="424">
          <cell r="A424" t="str">
            <v>4004353</v>
          </cell>
          <cell r="B424" t="str">
            <v>3300</v>
          </cell>
          <cell r="C424" t="str">
            <v>3001</v>
          </cell>
          <cell r="D424" t="str">
            <v>L</v>
          </cell>
          <cell r="E424" t="str">
            <v/>
          </cell>
          <cell r="F424" t="str">
            <v>2026</v>
          </cell>
          <cell r="G424" t="str">
            <v>3</v>
          </cell>
          <cell r="H424">
            <v>345</v>
          </cell>
          <cell r="I424">
            <v>0</v>
          </cell>
          <cell r="J424" t="str">
            <v>X</v>
          </cell>
          <cell r="K424" t="str">
            <v>X</v>
          </cell>
          <cell r="L424" t="str">
            <v>08:13:02</v>
          </cell>
          <cell r="M424">
            <v>45980</v>
          </cell>
          <cell r="N424">
            <v>44430</v>
          </cell>
          <cell r="O424" t="str">
            <v>X</v>
          </cell>
          <cell r="P424" t="str">
            <v>2025</v>
          </cell>
          <cell r="Q424">
            <v>345</v>
          </cell>
          <cell r="R424" t="str">
            <v/>
          </cell>
        </row>
        <row r="425">
          <cell r="A425" t="str">
            <v>4004354</v>
          </cell>
          <cell r="B425" t="str">
            <v>3300</v>
          </cell>
          <cell r="C425" t="str">
            <v>3001</v>
          </cell>
          <cell r="D425" t="str">
            <v>L</v>
          </cell>
          <cell r="E425" t="str">
            <v/>
          </cell>
          <cell r="F425" t="str">
            <v>2026</v>
          </cell>
          <cell r="G425" t="str">
            <v>3</v>
          </cell>
          <cell r="H425">
            <v>225</v>
          </cell>
          <cell r="I425">
            <v>0</v>
          </cell>
          <cell r="J425" t="str">
            <v>X</v>
          </cell>
          <cell r="K425" t="str">
            <v>X</v>
          </cell>
          <cell r="L425" t="str">
            <v>08:13:02</v>
          </cell>
          <cell r="M425">
            <v>45980</v>
          </cell>
          <cell r="N425">
            <v>44430</v>
          </cell>
          <cell r="O425" t="str">
            <v>X</v>
          </cell>
          <cell r="P425" t="str">
            <v>2025</v>
          </cell>
          <cell r="Q425">
            <v>225</v>
          </cell>
          <cell r="R425" t="str">
            <v/>
          </cell>
        </row>
        <row r="426">
          <cell r="A426" t="str">
            <v>4004355</v>
          </cell>
          <cell r="B426" t="str">
            <v>3300</v>
          </cell>
          <cell r="C426" t="str">
            <v>3001</v>
          </cell>
          <cell r="D426" t="str">
            <v>L</v>
          </cell>
          <cell r="E426" t="str">
            <v/>
          </cell>
          <cell r="F426" t="str">
            <v>2026</v>
          </cell>
          <cell r="G426" t="str">
            <v>2</v>
          </cell>
          <cell r="H426">
            <v>250</v>
          </cell>
          <cell r="I426">
            <v>0</v>
          </cell>
          <cell r="J426" t="str">
            <v>X</v>
          </cell>
          <cell r="K426" t="str">
            <v>X</v>
          </cell>
          <cell r="L426" t="str">
            <v>08:13:02</v>
          </cell>
          <cell r="M426">
            <v>45980</v>
          </cell>
          <cell r="N426">
            <v>44430</v>
          </cell>
          <cell r="O426" t="str">
            <v>X</v>
          </cell>
          <cell r="P426" t="str">
            <v>2025</v>
          </cell>
          <cell r="Q426">
            <v>250</v>
          </cell>
          <cell r="R426" t="str">
            <v/>
          </cell>
        </row>
        <row r="427">
          <cell r="A427" t="str">
            <v>4004359</v>
          </cell>
          <cell r="B427" t="str">
            <v>3300</v>
          </cell>
          <cell r="C427" t="str">
            <v>3001</v>
          </cell>
          <cell r="D427" t="str">
            <v>L</v>
          </cell>
          <cell r="E427" t="str">
            <v/>
          </cell>
          <cell r="F427" t="str">
            <v>2026</v>
          </cell>
          <cell r="G427" t="str">
            <v>3</v>
          </cell>
          <cell r="H427">
            <v>33</v>
          </cell>
          <cell r="I427">
            <v>0</v>
          </cell>
          <cell r="J427" t="str">
            <v>X</v>
          </cell>
          <cell r="K427" t="str">
            <v>X</v>
          </cell>
          <cell r="L427" t="str">
            <v>02:09:03</v>
          </cell>
          <cell r="M427">
            <v>45797</v>
          </cell>
          <cell r="N427">
            <v>44430</v>
          </cell>
          <cell r="O427" t="str">
            <v>X</v>
          </cell>
          <cell r="P427" t="str">
            <v>2025</v>
          </cell>
          <cell r="Q427">
            <v>33</v>
          </cell>
          <cell r="R427" t="str">
            <v/>
          </cell>
        </row>
        <row r="428">
          <cell r="A428" t="str">
            <v>4004360</v>
          </cell>
          <cell r="B428" t="str">
            <v>3300</v>
          </cell>
          <cell r="C428" t="str">
            <v>3001</v>
          </cell>
          <cell r="D428" t="str">
            <v>L</v>
          </cell>
          <cell r="E428" t="str">
            <v/>
          </cell>
          <cell r="F428" t="str">
            <v>2026</v>
          </cell>
          <cell r="G428" t="str">
            <v>2</v>
          </cell>
          <cell r="H428">
            <v>1000</v>
          </cell>
          <cell r="I428">
            <v>0</v>
          </cell>
          <cell r="J428" t="str">
            <v>X</v>
          </cell>
          <cell r="K428" t="str">
            <v>X</v>
          </cell>
          <cell r="L428" t="str">
            <v>10:08:01</v>
          </cell>
          <cell r="M428">
            <v>45987</v>
          </cell>
          <cell r="N428">
            <v>44430</v>
          </cell>
          <cell r="O428" t="str">
            <v>X</v>
          </cell>
          <cell r="P428" t="str">
            <v>2025</v>
          </cell>
          <cell r="Q428">
            <v>1000</v>
          </cell>
          <cell r="R428" t="str">
            <v/>
          </cell>
        </row>
        <row r="429">
          <cell r="A429" t="str">
            <v>4004377</v>
          </cell>
          <cell r="B429" t="str">
            <v>3300</v>
          </cell>
          <cell r="C429" t="str">
            <v>3001</v>
          </cell>
          <cell r="D429" t="str">
            <v>L</v>
          </cell>
          <cell r="E429" t="str">
            <v/>
          </cell>
          <cell r="F429" t="str">
            <v>2026</v>
          </cell>
          <cell r="G429" t="str">
            <v>2</v>
          </cell>
          <cell r="H429">
            <v>40</v>
          </cell>
          <cell r="I429">
            <v>0</v>
          </cell>
          <cell r="J429" t="str">
            <v>X</v>
          </cell>
          <cell r="K429" t="str">
            <v>X</v>
          </cell>
          <cell r="L429" t="str">
            <v>07:09:03</v>
          </cell>
          <cell r="M429">
            <v>45824</v>
          </cell>
          <cell r="N429">
            <v>44430</v>
          </cell>
          <cell r="O429" t="str">
            <v>X</v>
          </cell>
          <cell r="P429" t="str">
            <v>2025</v>
          </cell>
          <cell r="Q429">
            <v>40</v>
          </cell>
          <cell r="R429" t="str">
            <v/>
          </cell>
        </row>
        <row r="430">
          <cell r="A430" t="str">
            <v>4004385</v>
          </cell>
          <cell r="B430" t="str">
            <v>3300</v>
          </cell>
          <cell r="C430" t="str">
            <v>3001</v>
          </cell>
          <cell r="D430" t="str">
            <v>L</v>
          </cell>
          <cell r="E430" t="str">
            <v/>
          </cell>
          <cell r="F430" t="str">
            <v>2026</v>
          </cell>
          <cell r="G430" t="str">
            <v>3</v>
          </cell>
          <cell r="H430">
            <v>1770</v>
          </cell>
          <cell r="I430">
            <v>0</v>
          </cell>
          <cell r="J430" t="str">
            <v>X</v>
          </cell>
          <cell r="K430" t="str">
            <v>X</v>
          </cell>
          <cell r="L430" t="str">
            <v>11:08:02</v>
          </cell>
          <cell r="M430">
            <v>45994</v>
          </cell>
          <cell r="N430">
            <v>44430</v>
          </cell>
          <cell r="O430" t="str">
            <v>X</v>
          </cell>
          <cell r="P430" t="str">
            <v>2025</v>
          </cell>
          <cell r="Q430">
            <v>1770</v>
          </cell>
          <cell r="R430" t="str">
            <v/>
          </cell>
        </row>
        <row r="431">
          <cell r="A431" t="str">
            <v>4004390</v>
          </cell>
          <cell r="B431" t="str">
            <v>3300</v>
          </cell>
          <cell r="C431" t="str">
            <v>3001</v>
          </cell>
          <cell r="D431" t="str">
            <v>DL</v>
          </cell>
          <cell r="E431" t="str">
            <v/>
          </cell>
          <cell r="F431" t="str">
            <v>2024</v>
          </cell>
          <cell r="G431" t="str">
            <v>5</v>
          </cell>
          <cell r="H431">
            <v>0</v>
          </cell>
          <cell r="I431">
            <v>0</v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>
            <v>45436</v>
          </cell>
          <cell r="O431" t="str">
            <v>X</v>
          </cell>
          <cell r="P431" t="str">
            <v>2024</v>
          </cell>
          <cell r="Q431">
            <v>0</v>
          </cell>
          <cell r="R431" t="str">
            <v>INAKTIV</v>
          </cell>
        </row>
        <row r="432">
          <cell r="A432" t="str">
            <v>4004397</v>
          </cell>
          <cell r="B432" t="str">
            <v>3300</v>
          </cell>
          <cell r="C432" t="str">
            <v>3001</v>
          </cell>
          <cell r="D432" t="str">
            <v>L</v>
          </cell>
          <cell r="E432" t="str">
            <v/>
          </cell>
          <cell r="F432" t="str">
            <v>2026</v>
          </cell>
          <cell r="G432" t="str">
            <v>2</v>
          </cell>
          <cell r="H432">
            <v>420</v>
          </cell>
          <cell r="I432">
            <v>0</v>
          </cell>
          <cell r="J432" t="str">
            <v>X</v>
          </cell>
          <cell r="K432" t="str">
            <v>X</v>
          </cell>
          <cell r="L432" t="str">
            <v>05:12:03</v>
          </cell>
          <cell r="M432">
            <v>45804</v>
          </cell>
          <cell r="N432">
            <v>44430</v>
          </cell>
          <cell r="O432" t="str">
            <v>X</v>
          </cell>
          <cell r="P432" t="str">
            <v>2025</v>
          </cell>
          <cell r="Q432">
            <v>420</v>
          </cell>
          <cell r="R432" t="str">
            <v/>
          </cell>
        </row>
        <row r="433">
          <cell r="A433" t="str">
            <v>4004401</v>
          </cell>
          <cell r="B433" t="str">
            <v>3300</v>
          </cell>
          <cell r="C433" t="str">
            <v>3001</v>
          </cell>
          <cell r="D433" t="str">
            <v>L</v>
          </cell>
          <cell r="E433" t="str">
            <v/>
          </cell>
          <cell r="F433" t="str">
            <v>2026</v>
          </cell>
          <cell r="G433" t="str">
            <v>2</v>
          </cell>
          <cell r="H433">
            <v>327</v>
          </cell>
          <cell r="I433">
            <v>0</v>
          </cell>
          <cell r="J433" t="str">
            <v>X</v>
          </cell>
          <cell r="K433" t="str">
            <v>X</v>
          </cell>
          <cell r="L433" t="str">
            <v>08:07:01</v>
          </cell>
          <cell r="M433">
            <v>45980</v>
          </cell>
          <cell r="N433">
            <v>44430</v>
          </cell>
          <cell r="O433" t="str">
            <v>X</v>
          </cell>
          <cell r="P433" t="str">
            <v>2025</v>
          </cell>
          <cell r="Q433">
            <v>327</v>
          </cell>
          <cell r="R433" t="str">
            <v/>
          </cell>
        </row>
        <row r="434">
          <cell r="A434" t="str">
            <v>4004408</v>
          </cell>
          <cell r="B434" t="str">
            <v>3300</v>
          </cell>
          <cell r="C434" t="str">
            <v>3001</v>
          </cell>
          <cell r="D434" t="str">
            <v>L</v>
          </cell>
          <cell r="E434" t="str">
            <v/>
          </cell>
          <cell r="F434" t="str">
            <v>2026</v>
          </cell>
          <cell r="G434" t="str">
            <v>2</v>
          </cell>
          <cell r="H434">
            <v>155</v>
          </cell>
          <cell r="I434">
            <v>0</v>
          </cell>
          <cell r="J434" t="str">
            <v>X</v>
          </cell>
          <cell r="K434" t="str">
            <v>X</v>
          </cell>
          <cell r="L434" t="str">
            <v>06:05:03</v>
          </cell>
          <cell r="M434">
            <v>45819</v>
          </cell>
          <cell r="N434">
            <v>44430</v>
          </cell>
          <cell r="O434" t="str">
            <v>X</v>
          </cell>
          <cell r="P434" t="str">
            <v>2025</v>
          </cell>
          <cell r="Q434">
            <v>155</v>
          </cell>
          <cell r="R434" t="str">
            <v/>
          </cell>
        </row>
        <row r="435">
          <cell r="A435" t="str">
            <v>4004410</v>
          </cell>
          <cell r="B435" t="str">
            <v>3300</v>
          </cell>
          <cell r="C435" t="str">
            <v>3001</v>
          </cell>
          <cell r="D435" t="str">
            <v>L</v>
          </cell>
          <cell r="E435" t="str">
            <v/>
          </cell>
          <cell r="F435" t="str">
            <v>2026</v>
          </cell>
          <cell r="G435" t="str">
            <v>3</v>
          </cell>
          <cell r="H435">
            <v>528</v>
          </cell>
          <cell r="I435">
            <v>0</v>
          </cell>
          <cell r="J435" t="str">
            <v>X</v>
          </cell>
          <cell r="K435" t="str">
            <v>X</v>
          </cell>
          <cell r="L435" t="str">
            <v>08:11:02</v>
          </cell>
          <cell r="M435">
            <v>45980</v>
          </cell>
          <cell r="N435">
            <v>44430</v>
          </cell>
          <cell r="O435" t="str">
            <v>X</v>
          </cell>
          <cell r="P435" t="str">
            <v>2025</v>
          </cell>
          <cell r="Q435">
            <v>528</v>
          </cell>
          <cell r="R435" t="str">
            <v/>
          </cell>
        </row>
        <row r="436">
          <cell r="A436" t="str">
            <v>4004428</v>
          </cell>
          <cell r="B436" t="str">
            <v>3300</v>
          </cell>
          <cell r="C436" t="str">
            <v>3001</v>
          </cell>
          <cell r="D436" t="str">
            <v>L</v>
          </cell>
          <cell r="E436" t="str">
            <v>X</v>
          </cell>
          <cell r="F436" t="str">
            <v>2021</v>
          </cell>
          <cell r="G436" t="str">
            <v>8</v>
          </cell>
          <cell r="H436">
            <v>0</v>
          </cell>
          <cell r="I436">
            <v>0</v>
          </cell>
          <cell r="J436" t="str">
            <v/>
          </cell>
          <cell r="K436" t="str">
            <v/>
          </cell>
          <cell r="L436" t="str">
            <v>SLETTET</v>
          </cell>
          <cell r="M436" t="str">
            <v/>
          </cell>
          <cell r="N436">
            <v>44430</v>
          </cell>
          <cell r="O436" t="str">
            <v>X</v>
          </cell>
          <cell r="P436" t="str">
            <v>2023</v>
          </cell>
          <cell r="Q436">
            <v>0</v>
          </cell>
          <cell r="R436" t="str">
            <v>INAKTIV</v>
          </cell>
        </row>
        <row r="437">
          <cell r="A437" t="str">
            <v>4004437</v>
          </cell>
          <cell r="B437" t="str">
            <v>3300</v>
          </cell>
          <cell r="C437" t="str">
            <v>3001</v>
          </cell>
          <cell r="D437" t="str">
            <v>L</v>
          </cell>
          <cell r="E437" t="str">
            <v/>
          </cell>
          <cell r="F437" t="str">
            <v>2026</v>
          </cell>
          <cell r="G437" t="str">
            <v>3</v>
          </cell>
          <cell r="H437">
            <v>170</v>
          </cell>
          <cell r="I437">
            <v>0</v>
          </cell>
          <cell r="J437" t="str">
            <v>X</v>
          </cell>
          <cell r="K437" t="str">
            <v>X</v>
          </cell>
          <cell r="L437" t="str">
            <v>03:09:01</v>
          </cell>
          <cell r="M437">
            <v>45798</v>
          </cell>
          <cell r="N437">
            <v>44430</v>
          </cell>
          <cell r="O437" t="str">
            <v>X</v>
          </cell>
          <cell r="P437" t="str">
            <v>2025</v>
          </cell>
          <cell r="Q437">
            <v>170</v>
          </cell>
          <cell r="R437" t="str">
            <v/>
          </cell>
        </row>
        <row r="438">
          <cell r="A438" t="str">
            <v>4004438</v>
          </cell>
          <cell r="B438" t="str">
            <v>3300</v>
          </cell>
          <cell r="C438" t="str">
            <v>3001</v>
          </cell>
          <cell r="D438" t="str">
            <v>L</v>
          </cell>
          <cell r="E438" t="str">
            <v/>
          </cell>
          <cell r="F438" t="str">
            <v>2026</v>
          </cell>
          <cell r="G438" t="str">
            <v>3</v>
          </cell>
          <cell r="H438">
            <v>190</v>
          </cell>
          <cell r="I438">
            <v>0</v>
          </cell>
          <cell r="J438" t="str">
            <v>X</v>
          </cell>
          <cell r="K438" t="str">
            <v>X</v>
          </cell>
          <cell r="L438" t="str">
            <v>03:09:02</v>
          </cell>
          <cell r="M438">
            <v>45798</v>
          </cell>
          <cell r="N438">
            <v>44430</v>
          </cell>
          <cell r="O438" t="str">
            <v>X</v>
          </cell>
          <cell r="P438" t="str">
            <v>2025</v>
          </cell>
          <cell r="Q438">
            <v>190</v>
          </cell>
          <cell r="R438" t="str">
            <v/>
          </cell>
        </row>
        <row r="439">
          <cell r="A439" t="str">
            <v>4004439</v>
          </cell>
          <cell r="B439" t="str">
            <v>3300</v>
          </cell>
          <cell r="C439" t="str">
            <v>3001</v>
          </cell>
          <cell r="D439" t="str">
            <v>L</v>
          </cell>
          <cell r="E439" t="str">
            <v/>
          </cell>
          <cell r="F439" t="str">
            <v>2026</v>
          </cell>
          <cell r="G439" t="str">
            <v>3</v>
          </cell>
          <cell r="H439">
            <v>75</v>
          </cell>
          <cell r="I439">
            <v>0</v>
          </cell>
          <cell r="J439" t="str">
            <v>X</v>
          </cell>
          <cell r="K439" t="str">
            <v>X</v>
          </cell>
          <cell r="L439" t="str">
            <v>03:09:03</v>
          </cell>
          <cell r="M439">
            <v>45798</v>
          </cell>
          <cell r="N439">
            <v>44430</v>
          </cell>
          <cell r="O439" t="str">
            <v>X</v>
          </cell>
          <cell r="P439" t="str">
            <v>2025</v>
          </cell>
          <cell r="Q439">
            <v>75</v>
          </cell>
          <cell r="R439" t="str">
            <v/>
          </cell>
        </row>
        <row r="440">
          <cell r="A440" t="str">
            <v>4004440</v>
          </cell>
          <cell r="B440" t="str">
            <v>3300</v>
          </cell>
          <cell r="C440" t="str">
            <v>3001</v>
          </cell>
          <cell r="D440" t="str">
            <v>L</v>
          </cell>
          <cell r="E440" t="str">
            <v/>
          </cell>
          <cell r="F440" t="str">
            <v>2026</v>
          </cell>
          <cell r="G440" t="str">
            <v>2</v>
          </cell>
          <cell r="H440">
            <v>75</v>
          </cell>
          <cell r="I440">
            <v>0</v>
          </cell>
          <cell r="J440" t="str">
            <v>X</v>
          </cell>
          <cell r="K440" t="str">
            <v>X</v>
          </cell>
          <cell r="L440" t="str">
            <v>03:10:01</v>
          </cell>
          <cell r="M440">
            <v>45798</v>
          </cell>
          <cell r="N440">
            <v>44430</v>
          </cell>
          <cell r="O440" t="str">
            <v>X</v>
          </cell>
          <cell r="P440" t="str">
            <v>2025</v>
          </cell>
          <cell r="Q440">
            <v>75</v>
          </cell>
          <cell r="R440" t="str">
            <v/>
          </cell>
        </row>
        <row r="441">
          <cell r="A441" t="str">
            <v>4004441</v>
          </cell>
          <cell r="B441" t="str">
            <v>3300</v>
          </cell>
          <cell r="C441" t="str">
            <v>3001</v>
          </cell>
          <cell r="D441" t="str">
            <v>L</v>
          </cell>
          <cell r="E441" t="str">
            <v/>
          </cell>
          <cell r="F441" t="str">
            <v>2025</v>
          </cell>
          <cell r="G441" t="str">
            <v>12</v>
          </cell>
          <cell r="H441">
            <v>75</v>
          </cell>
          <cell r="I441">
            <v>0</v>
          </cell>
          <cell r="J441" t="str">
            <v>X</v>
          </cell>
          <cell r="K441" t="str">
            <v>X</v>
          </cell>
          <cell r="L441" t="str">
            <v>03:10:01</v>
          </cell>
          <cell r="M441">
            <v>45798</v>
          </cell>
          <cell r="N441">
            <v>44430</v>
          </cell>
          <cell r="O441" t="str">
            <v>X</v>
          </cell>
          <cell r="P441" t="str">
            <v>2025</v>
          </cell>
          <cell r="Q441">
            <v>75</v>
          </cell>
          <cell r="R441" t="str">
            <v/>
          </cell>
        </row>
        <row r="442">
          <cell r="A442" t="str">
            <v>4004447</v>
          </cell>
          <cell r="B442" t="str">
            <v>3300</v>
          </cell>
          <cell r="C442" t="str">
            <v>3001</v>
          </cell>
          <cell r="D442" t="str">
            <v>DL</v>
          </cell>
          <cell r="E442" t="str">
            <v/>
          </cell>
          <cell r="F442" t="str">
            <v>2026</v>
          </cell>
          <cell r="G442" t="str">
            <v>2</v>
          </cell>
          <cell r="H442">
            <v>605</v>
          </cell>
          <cell r="I442">
            <v>0</v>
          </cell>
          <cell r="J442" t="str">
            <v>X</v>
          </cell>
          <cell r="K442" t="str">
            <v>X</v>
          </cell>
          <cell r="L442" t="str">
            <v>07:04:01</v>
          </cell>
          <cell r="M442">
            <v>45824</v>
          </cell>
          <cell r="N442">
            <v>44581</v>
          </cell>
          <cell r="O442" t="str">
            <v>X</v>
          </cell>
          <cell r="P442" t="str">
            <v>2025</v>
          </cell>
          <cell r="Q442">
            <v>605</v>
          </cell>
          <cell r="R442" t="str">
            <v/>
          </cell>
        </row>
        <row r="443">
          <cell r="A443" t="str">
            <v>4004450</v>
          </cell>
          <cell r="B443" t="str">
            <v>3300</v>
          </cell>
          <cell r="C443" t="str">
            <v>3001</v>
          </cell>
          <cell r="D443" t="str">
            <v>L</v>
          </cell>
          <cell r="E443" t="str">
            <v/>
          </cell>
          <cell r="F443" t="str">
            <v>2026</v>
          </cell>
          <cell r="G443" t="str">
            <v>2</v>
          </cell>
          <cell r="H443">
            <v>435</v>
          </cell>
          <cell r="I443">
            <v>0</v>
          </cell>
          <cell r="J443" t="str">
            <v>X</v>
          </cell>
          <cell r="K443" t="str">
            <v>X</v>
          </cell>
          <cell r="L443" t="str">
            <v>06:06:01</v>
          </cell>
          <cell r="M443">
            <v>45819</v>
          </cell>
          <cell r="N443">
            <v>44430</v>
          </cell>
          <cell r="O443" t="str">
            <v>X</v>
          </cell>
          <cell r="P443" t="str">
            <v>2025</v>
          </cell>
          <cell r="Q443">
            <v>435</v>
          </cell>
          <cell r="R443" t="str">
            <v/>
          </cell>
        </row>
        <row r="444">
          <cell r="A444" t="str">
            <v>4004451</v>
          </cell>
          <cell r="B444" t="str">
            <v>3300</v>
          </cell>
          <cell r="C444" t="str">
            <v>3001</v>
          </cell>
          <cell r="D444" t="str">
            <v>L</v>
          </cell>
          <cell r="E444" t="str">
            <v/>
          </cell>
          <cell r="F444" t="str">
            <v>2026</v>
          </cell>
          <cell r="G444" t="str">
            <v>3</v>
          </cell>
          <cell r="H444">
            <v>70</v>
          </cell>
          <cell r="I444">
            <v>0</v>
          </cell>
          <cell r="J444" t="str">
            <v>X</v>
          </cell>
          <cell r="K444" t="str">
            <v>X</v>
          </cell>
          <cell r="L444" t="str">
            <v>06:06:01</v>
          </cell>
          <cell r="M444">
            <v>45819</v>
          </cell>
          <cell r="N444">
            <v>44430</v>
          </cell>
          <cell r="O444" t="str">
            <v>X</v>
          </cell>
          <cell r="P444" t="str">
            <v>2025</v>
          </cell>
          <cell r="Q444">
            <v>70</v>
          </cell>
          <cell r="R444" t="str">
            <v/>
          </cell>
        </row>
        <row r="445">
          <cell r="A445" t="str">
            <v>4004453</v>
          </cell>
          <cell r="B445" t="str">
            <v>3300</v>
          </cell>
          <cell r="C445" t="str">
            <v>3001</v>
          </cell>
          <cell r="D445" t="str">
            <v>L</v>
          </cell>
          <cell r="E445" t="str">
            <v/>
          </cell>
          <cell r="F445" t="str">
            <v>2026</v>
          </cell>
          <cell r="G445" t="str">
            <v>3</v>
          </cell>
          <cell r="H445">
            <v>500</v>
          </cell>
          <cell r="I445">
            <v>0</v>
          </cell>
          <cell r="J445" t="str">
            <v>X</v>
          </cell>
          <cell r="K445" t="str">
            <v>X</v>
          </cell>
          <cell r="L445" t="str">
            <v>12:12:01</v>
          </cell>
          <cell r="M445">
            <v>45994</v>
          </cell>
          <cell r="N445">
            <v>44430</v>
          </cell>
          <cell r="O445" t="str">
            <v>X</v>
          </cell>
          <cell r="P445" t="str">
            <v>2025</v>
          </cell>
          <cell r="Q445">
            <v>500</v>
          </cell>
          <cell r="R445" t="str">
            <v/>
          </cell>
        </row>
        <row r="446">
          <cell r="A446" t="str">
            <v>4004670</v>
          </cell>
          <cell r="B446" t="str">
            <v>3300</v>
          </cell>
          <cell r="C446" t="str">
            <v>3001</v>
          </cell>
          <cell r="D446" t="str">
            <v>L</v>
          </cell>
          <cell r="E446" t="str">
            <v>X</v>
          </cell>
          <cell r="F446" t="str">
            <v>2021</v>
          </cell>
          <cell r="G446" t="str">
            <v>10</v>
          </cell>
          <cell r="H446">
            <v>0</v>
          </cell>
          <cell r="I446">
            <v>0</v>
          </cell>
          <cell r="J446" t="str">
            <v>X</v>
          </cell>
          <cell r="K446" t="str">
            <v/>
          </cell>
          <cell r="L446" t="str">
            <v>SLETTET</v>
          </cell>
          <cell r="M446">
            <v>44568</v>
          </cell>
          <cell r="N446">
            <v>44430</v>
          </cell>
          <cell r="O446" t="str">
            <v>X</v>
          </cell>
          <cell r="P446" t="str">
            <v>2022</v>
          </cell>
          <cell r="Q446">
            <v>0</v>
          </cell>
          <cell r="R446" t="str">
            <v>INAKTIV</v>
          </cell>
        </row>
        <row r="447">
          <cell r="A447" t="str">
            <v>4004674</v>
          </cell>
          <cell r="B447" t="str">
            <v>3300</v>
          </cell>
          <cell r="C447" t="str">
            <v>3001</v>
          </cell>
          <cell r="D447" t="str">
            <v>L</v>
          </cell>
          <cell r="E447" t="str">
            <v/>
          </cell>
          <cell r="F447" t="str">
            <v>2026</v>
          </cell>
          <cell r="G447" t="str">
            <v>3</v>
          </cell>
          <cell r="H447">
            <v>230</v>
          </cell>
          <cell r="I447">
            <v>0</v>
          </cell>
          <cell r="J447" t="str">
            <v>X</v>
          </cell>
          <cell r="K447" t="str">
            <v>X</v>
          </cell>
          <cell r="L447" t="str">
            <v>02:06:02</v>
          </cell>
          <cell r="M447">
            <v>45796</v>
          </cell>
          <cell r="N447">
            <v>44430</v>
          </cell>
          <cell r="O447" t="str">
            <v>X</v>
          </cell>
          <cell r="P447" t="str">
            <v>2025</v>
          </cell>
          <cell r="Q447">
            <v>230</v>
          </cell>
          <cell r="R447" t="str">
            <v/>
          </cell>
        </row>
        <row r="448">
          <cell r="A448" t="str">
            <v>4004679</v>
          </cell>
          <cell r="B448" t="str">
            <v>3300</v>
          </cell>
          <cell r="C448" t="str">
            <v>3001</v>
          </cell>
          <cell r="D448" t="str">
            <v>DL</v>
          </cell>
          <cell r="E448" t="str">
            <v/>
          </cell>
          <cell r="F448" t="str">
            <v>2026</v>
          </cell>
          <cell r="G448" t="str">
            <v>1</v>
          </cell>
          <cell r="H448">
            <v>220</v>
          </cell>
          <cell r="I448">
            <v>0</v>
          </cell>
          <cell r="J448" t="str">
            <v>X</v>
          </cell>
          <cell r="K448" t="str">
            <v>X</v>
          </cell>
          <cell r="L448" t="str">
            <v>03:07:01</v>
          </cell>
          <cell r="M448">
            <v>45798</v>
          </cell>
          <cell r="N448">
            <v>44792</v>
          </cell>
          <cell r="O448" t="str">
            <v>X</v>
          </cell>
          <cell r="P448" t="str">
            <v>2025</v>
          </cell>
          <cell r="Q448">
            <v>220</v>
          </cell>
          <cell r="R448" t="str">
            <v/>
          </cell>
        </row>
        <row r="449">
          <cell r="A449" t="str">
            <v>4004696</v>
          </cell>
          <cell r="B449" t="str">
            <v>3300</v>
          </cell>
          <cell r="C449" t="str">
            <v>3001</v>
          </cell>
          <cell r="D449" t="str">
            <v>DL</v>
          </cell>
          <cell r="E449" t="str">
            <v/>
          </cell>
          <cell r="F449" t="str">
            <v>2024</v>
          </cell>
          <cell r="G449" t="str">
            <v>6</v>
          </cell>
          <cell r="H449">
            <v>0</v>
          </cell>
          <cell r="I449">
            <v>0</v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>
            <v>45462</v>
          </cell>
          <cell r="O449" t="str">
            <v>X</v>
          </cell>
          <cell r="P449" t="str">
            <v>2024</v>
          </cell>
          <cell r="Q449">
            <v>0</v>
          </cell>
          <cell r="R449" t="str">
            <v>INAKTIV</v>
          </cell>
        </row>
        <row r="450">
          <cell r="A450" t="str">
            <v>4004700</v>
          </cell>
          <cell r="B450" t="str">
            <v>3300</v>
          </cell>
          <cell r="C450" t="str">
            <v>3001</v>
          </cell>
          <cell r="D450" t="str">
            <v>DL</v>
          </cell>
          <cell r="E450" t="str">
            <v/>
          </cell>
          <cell r="F450" t="str">
            <v>2026</v>
          </cell>
          <cell r="G450" t="str">
            <v>2</v>
          </cell>
          <cell r="H450">
            <v>0</v>
          </cell>
          <cell r="I450">
            <v>0</v>
          </cell>
          <cell r="J450" t="str">
            <v>X</v>
          </cell>
          <cell r="K450" t="str">
            <v/>
          </cell>
          <cell r="L450" t="str">
            <v>05:01:03</v>
          </cell>
          <cell r="M450">
            <v>46029</v>
          </cell>
          <cell r="N450">
            <v>45568</v>
          </cell>
          <cell r="O450" t="str">
            <v>X</v>
          </cell>
          <cell r="P450" t="str">
            <v>2026</v>
          </cell>
          <cell r="Q450">
            <v>0</v>
          </cell>
          <cell r="R450" t="str">
            <v>INAKTIV</v>
          </cell>
        </row>
        <row r="451">
          <cell r="A451" t="str">
            <v>4004809</v>
          </cell>
          <cell r="B451" t="str">
            <v>3300</v>
          </cell>
          <cell r="C451" t="str">
            <v>3001</v>
          </cell>
          <cell r="D451" t="str">
            <v>L</v>
          </cell>
          <cell r="E451" t="str">
            <v/>
          </cell>
          <cell r="F451" t="str">
            <v>2026</v>
          </cell>
          <cell r="G451" t="str">
            <v>3</v>
          </cell>
          <cell r="H451">
            <v>210</v>
          </cell>
          <cell r="I451">
            <v>0</v>
          </cell>
          <cell r="J451" t="str">
            <v>X</v>
          </cell>
          <cell r="K451" t="str">
            <v>X</v>
          </cell>
          <cell r="L451" t="str">
            <v>05:11:03</v>
          </cell>
          <cell r="M451">
            <v>45804</v>
          </cell>
          <cell r="N451">
            <v>44430</v>
          </cell>
          <cell r="O451" t="str">
            <v>X</v>
          </cell>
          <cell r="P451" t="str">
            <v>2025</v>
          </cell>
          <cell r="Q451">
            <v>210</v>
          </cell>
          <cell r="R451" t="str">
            <v/>
          </cell>
        </row>
        <row r="452">
          <cell r="A452" t="str">
            <v>4004810</v>
          </cell>
          <cell r="B452" t="str">
            <v>3300</v>
          </cell>
          <cell r="C452" t="str">
            <v>3001</v>
          </cell>
          <cell r="D452" t="str">
            <v>L</v>
          </cell>
          <cell r="E452" t="str">
            <v>X</v>
          </cell>
          <cell r="F452" t="str">
            <v>2024</v>
          </cell>
          <cell r="G452" t="str">
            <v>7</v>
          </cell>
          <cell r="H452">
            <v>0</v>
          </cell>
          <cell r="I452">
            <v>0</v>
          </cell>
          <cell r="J452" t="str">
            <v>X</v>
          </cell>
          <cell r="K452" t="str">
            <v>X</v>
          </cell>
          <cell r="L452" t="str">
            <v>SLETTET</v>
          </cell>
          <cell r="M452">
            <v>45804</v>
          </cell>
          <cell r="N452">
            <v>44430</v>
          </cell>
          <cell r="O452" t="str">
            <v>X</v>
          </cell>
          <cell r="P452" t="str">
            <v>2025</v>
          </cell>
          <cell r="Q452">
            <v>0</v>
          </cell>
          <cell r="R452" t="str">
            <v>INAKTIV</v>
          </cell>
        </row>
        <row r="453">
          <cell r="A453" t="str">
            <v>4004825</v>
          </cell>
          <cell r="B453" t="str">
            <v>3300</v>
          </cell>
          <cell r="C453" t="str">
            <v>3001</v>
          </cell>
          <cell r="D453" t="str">
            <v>L</v>
          </cell>
          <cell r="E453" t="str">
            <v/>
          </cell>
          <cell r="F453" t="str">
            <v>2026</v>
          </cell>
          <cell r="G453" t="str">
            <v>2</v>
          </cell>
          <cell r="H453">
            <v>2200</v>
          </cell>
          <cell r="I453">
            <v>0</v>
          </cell>
          <cell r="J453" t="str">
            <v>X</v>
          </cell>
          <cell r="K453" t="str">
            <v>X</v>
          </cell>
          <cell r="L453" t="str">
            <v>10:10:02</v>
          </cell>
          <cell r="M453">
            <v>45987</v>
          </cell>
          <cell r="N453">
            <v>44430</v>
          </cell>
          <cell r="O453" t="str">
            <v>X</v>
          </cell>
          <cell r="P453" t="str">
            <v>2025</v>
          </cell>
          <cell r="Q453">
            <v>2200</v>
          </cell>
          <cell r="R453" t="str">
            <v/>
          </cell>
        </row>
        <row r="454">
          <cell r="A454" t="str">
            <v>4004843</v>
          </cell>
          <cell r="B454" t="str">
            <v>3300</v>
          </cell>
          <cell r="C454" t="str">
            <v>3001</v>
          </cell>
          <cell r="D454" t="str">
            <v>L</v>
          </cell>
          <cell r="E454" t="str">
            <v/>
          </cell>
          <cell r="F454" t="str">
            <v>2026</v>
          </cell>
          <cell r="G454" t="str">
            <v>2</v>
          </cell>
          <cell r="H454">
            <v>165</v>
          </cell>
          <cell r="I454">
            <v>0</v>
          </cell>
          <cell r="J454" t="str">
            <v>X</v>
          </cell>
          <cell r="K454" t="str">
            <v>X</v>
          </cell>
          <cell r="L454" t="str">
            <v>15:03:07</v>
          </cell>
          <cell r="M454">
            <v>46001</v>
          </cell>
          <cell r="N454">
            <v>44430</v>
          </cell>
          <cell r="O454" t="str">
            <v>X</v>
          </cell>
          <cell r="P454" t="str">
            <v>2025</v>
          </cell>
          <cell r="Q454">
            <v>165</v>
          </cell>
          <cell r="R454" t="str">
            <v/>
          </cell>
        </row>
        <row r="455">
          <cell r="A455" t="str">
            <v>4004889</v>
          </cell>
          <cell r="B455" t="str">
            <v>3300</v>
          </cell>
          <cell r="C455" t="str">
            <v>3001</v>
          </cell>
          <cell r="D455" t="str">
            <v>DL</v>
          </cell>
          <cell r="E455" t="str">
            <v/>
          </cell>
          <cell r="F455" t="str">
            <v>2026</v>
          </cell>
          <cell r="G455" t="str">
            <v>2</v>
          </cell>
          <cell r="H455">
            <v>70</v>
          </cell>
          <cell r="I455">
            <v>0</v>
          </cell>
          <cell r="J455" t="str">
            <v>X</v>
          </cell>
          <cell r="K455" t="str">
            <v>X</v>
          </cell>
          <cell r="L455" t="str">
            <v>06:09:01</v>
          </cell>
          <cell r="M455">
            <v>45819</v>
          </cell>
          <cell r="N455">
            <v>45235</v>
          </cell>
          <cell r="O455" t="str">
            <v>X</v>
          </cell>
          <cell r="P455" t="str">
            <v>2025</v>
          </cell>
          <cell r="Q455">
            <v>70</v>
          </cell>
          <cell r="R455" t="str">
            <v/>
          </cell>
        </row>
        <row r="456">
          <cell r="A456" t="str">
            <v>4004891</v>
          </cell>
          <cell r="B456" t="str">
            <v>3300</v>
          </cell>
          <cell r="C456" t="str">
            <v>3001</v>
          </cell>
          <cell r="D456" t="str">
            <v>DL</v>
          </cell>
          <cell r="E456" t="str">
            <v/>
          </cell>
          <cell r="F456" t="str">
            <v>2026</v>
          </cell>
          <cell r="G456" t="str">
            <v>2</v>
          </cell>
          <cell r="H456">
            <v>139</v>
          </cell>
          <cell r="I456">
            <v>0</v>
          </cell>
          <cell r="J456" t="str">
            <v>X</v>
          </cell>
          <cell r="K456" t="str">
            <v>X</v>
          </cell>
          <cell r="L456" t="str">
            <v>06:08:01</v>
          </cell>
          <cell r="M456">
            <v>45819</v>
          </cell>
          <cell r="N456">
            <v>45235</v>
          </cell>
          <cell r="O456" t="str">
            <v>X</v>
          </cell>
          <cell r="P456" t="str">
            <v>2025</v>
          </cell>
          <cell r="Q456">
            <v>139</v>
          </cell>
          <cell r="R456" t="str">
            <v/>
          </cell>
        </row>
        <row r="457">
          <cell r="A457" t="str">
            <v>4004920</v>
          </cell>
          <cell r="B457" t="str">
            <v>3300</v>
          </cell>
          <cell r="C457" t="str">
            <v>3001</v>
          </cell>
          <cell r="D457" t="str">
            <v>DL</v>
          </cell>
          <cell r="E457" t="str">
            <v/>
          </cell>
          <cell r="F457" t="str">
            <v>2026</v>
          </cell>
          <cell r="G457" t="str">
            <v>2</v>
          </cell>
          <cell r="H457">
            <v>170</v>
          </cell>
          <cell r="I457">
            <v>0</v>
          </cell>
          <cell r="J457" t="str">
            <v>X</v>
          </cell>
          <cell r="K457" t="str">
            <v>X</v>
          </cell>
          <cell r="L457" t="str">
            <v>05:02:01</v>
          </cell>
          <cell r="M457">
            <v>45800</v>
          </cell>
          <cell r="N457">
            <v>45287</v>
          </cell>
          <cell r="O457" t="str">
            <v>X</v>
          </cell>
          <cell r="P457" t="str">
            <v>2025</v>
          </cell>
          <cell r="Q457">
            <v>170</v>
          </cell>
          <cell r="R457" t="str">
            <v/>
          </cell>
        </row>
        <row r="458">
          <cell r="A458" t="str">
            <v>4004963</v>
          </cell>
          <cell r="B458" t="str">
            <v>3300</v>
          </cell>
          <cell r="C458" t="str">
            <v>3001</v>
          </cell>
          <cell r="D458" t="str">
            <v>DL</v>
          </cell>
          <cell r="E458" t="str">
            <v/>
          </cell>
          <cell r="F458" t="str">
            <v>2026</v>
          </cell>
          <cell r="G458" t="str">
            <v>3</v>
          </cell>
          <cell r="H458">
            <v>96</v>
          </cell>
          <cell r="I458">
            <v>0</v>
          </cell>
          <cell r="J458" t="str">
            <v>X</v>
          </cell>
          <cell r="K458" t="str">
            <v/>
          </cell>
          <cell r="L458" t="str">
            <v>09:03:00</v>
          </cell>
          <cell r="M458">
            <v>46030</v>
          </cell>
          <cell r="N458">
            <v>45810</v>
          </cell>
          <cell r="O458" t="str">
            <v>X</v>
          </cell>
          <cell r="P458" t="str">
            <v>2026</v>
          </cell>
          <cell r="Q458">
            <v>96</v>
          </cell>
          <cell r="R458" t="str">
            <v/>
          </cell>
        </row>
        <row r="459">
          <cell r="A459" t="str">
            <v>4004967</v>
          </cell>
          <cell r="B459" t="str">
            <v>3300</v>
          </cell>
          <cell r="C459" t="str">
            <v>3001</v>
          </cell>
          <cell r="D459" t="str">
            <v>L</v>
          </cell>
          <cell r="E459" t="str">
            <v>X</v>
          </cell>
          <cell r="F459" t="str">
            <v>2022</v>
          </cell>
          <cell r="G459" t="str">
            <v>1</v>
          </cell>
          <cell r="H459">
            <v>0</v>
          </cell>
          <cell r="I459">
            <v>0</v>
          </cell>
          <cell r="J459" t="str">
            <v>X</v>
          </cell>
          <cell r="K459" t="str">
            <v/>
          </cell>
          <cell r="L459" t="str">
            <v>SLETTET</v>
          </cell>
          <cell r="M459">
            <v>44568</v>
          </cell>
          <cell r="N459">
            <v>44430</v>
          </cell>
          <cell r="O459" t="str">
            <v>X</v>
          </cell>
          <cell r="P459" t="str">
            <v>2022</v>
          </cell>
          <cell r="Q459">
            <v>0</v>
          </cell>
          <cell r="R459" t="str">
            <v>INAKTIV</v>
          </cell>
        </row>
        <row r="460">
          <cell r="A460" t="str">
            <v>4004969</v>
          </cell>
          <cell r="B460" t="str">
            <v>3300</v>
          </cell>
          <cell r="C460" t="str">
            <v>3001</v>
          </cell>
          <cell r="D460" t="str">
            <v>L</v>
          </cell>
          <cell r="E460" t="str">
            <v/>
          </cell>
          <cell r="F460" t="str">
            <v>2023</v>
          </cell>
          <cell r="G460" t="str">
            <v>3</v>
          </cell>
          <cell r="H460">
            <v>0</v>
          </cell>
          <cell r="I460">
            <v>0</v>
          </cell>
          <cell r="J460" t="str">
            <v>X</v>
          </cell>
          <cell r="K460" t="str">
            <v/>
          </cell>
          <cell r="L460" t="str">
            <v>SLETTET</v>
          </cell>
          <cell r="M460">
            <v>45799</v>
          </cell>
          <cell r="N460">
            <v>44430</v>
          </cell>
          <cell r="O460" t="str">
            <v>X</v>
          </cell>
          <cell r="P460" t="str">
            <v>2025</v>
          </cell>
          <cell r="Q460">
            <v>0</v>
          </cell>
          <cell r="R460" t="str">
            <v>INAKTIV</v>
          </cell>
        </row>
        <row r="461">
          <cell r="A461" t="str">
            <v>4004972</v>
          </cell>
          <cell r="B461" t="str">
            <v>3300</v>
          </cell>
          <cell r="C461" t="str">
            <v>3001</v>
          </cell>
          <cell r="D461" t="str">
            <v>L</v>
          </cell>
          <cell r="E461" t="str">
            <v/>
          </cell>
          <cell r="F461" t="str">
            <v>2026</v>
          </cell>
          <cell r="G461" t="str">
            <v>3</v>
          </cell>
          <cell r="H461">
            <v>150</v>
          </cell>
          <cell r="I461">
            <v>0</v>
          </cell>
          <cell r="J461" t="str">
            <v>X</v>
          </cell>
          <cell r="K461" t="str">
            <v>X</v>
          </cell>
          <cell r="L461" t="str">
            <v>05:04:01</v>
          </cell>
          <cell r="M461">
            <v>45803</v>
          </cell>
          <cell r="N461">
            <v>44430</v>
          </cell>
          <cell r="O461" t="str">
            <v>X</v>
          </cell>
          <cell r="P461" t="str">
            <v>2025</v>
          </cell>
          <cell r="Q461">
            <v>150</v>
          </cell>
          <cell r="R461" t="str">
            <v/>
          </cell>
        </row>
        <row r="462">
          <cell r="A462" t="str">
            <v>4004973</v>
          </cell>
          <cell r="B462" t="str">
            <v>3300</v>
          </cell>
          <cell r="C462" t="str">
            <v>3001</v>
          </cell>
          <cell r="D462" t="str">
            <v>L</v>
          </cell>
          <cell r="E462" t="str">
            <v/>
          </cell>
          <cell r="F462" t="str">
            <v>2026</v>
          </cell>
          <cell r="G462" t="str">
            <v>3</v>
          </cell>
          <cell r="H462">
            <v>90</v>
          </cell>
          <cell r="I462">
            <v>0</v>
          </cell>
          <cell r="J462" t="str">
            <v>X</v>
          </cell>
          <cell r="K462" t="str">
            <v>X</v>
          </cell>
          <cell r="L462" t="str">
            <v>07:09:01</v>
          </cell>
          <cell r="M462">
            <v>45824</v>
          </cell>
          <cell r="N462">
            <v>44430</v>
          </cell>
          <cell r="O462" t="str">
            <v>X</v>
          </cell>
          <cell r="P462" t="str">
            <v>2025</v>
          </cell>
          <cell r="Q462">
            <v>90</v>
          </cell>
          <cell r="R462" t="str">
            <v/>
          </cell>
        </row>
        <row r="463">
          <cell r="A463" t="str">
            <v>4005020</v>
          </cell>
          <cell r="B463" t="str">
            <v>3300</v>
          </cell>
          <cell r="C463" t="str">
            <v>3001</v>
          </cell>
          <cell r="D463" t="str">
            <v>DL</v>
          </cell>
          <cell r="E463" t="str">
            <v/>
          </cell>
          <cell r="F463" t="str">
            <v>2026</v>
          </cell>
          <cell r="G463" t="str">
            <v>3</v>
          </cell>
          <cell r="H463">
            <v>110</v>
          </cell>
          <cell r="I463">
            <v>0</v>
          </cell>
          <cell r="J463" t="str">
            <v>X</v>
          </cell>
          <cell r="K463" t="str">
            <v>X</v>
          </cell>
          <cell r="L463" t="str">
            <v>05:10:03</v>
          </cell>
          <cell r="M463">
            <v>45804</v>
          </cell>
          <cell r="N463">
            <v>44883</v>
          </cell>
          <cell r="O463" t="str">
            <v>X</v>
          </cell>
          <cell r="P463" t="str">
            <v>2025</v>
          </cell>
          <cell r="Q463">
            <v>110</v>
          </cell>
          <cell r="R463" t="str">
            <v/>
          </cell>
        </row>
        <row r="464">
          <cell r="A464" t="str">
            <v>4005032</v>
          </cell>
          <cell r="B464" t="str">
            <v>3300</v>
          </cell>
          <cell r="C464" t="str">
            <v>3001</v>
          </cell>
          <cell r="D464" t="str">
            <v>L</v>
          </cell>
          <cell r="E464" t="str">
            <v/>
          </cell>
          <cell r="F464" t="str">
            <v>2026</v>
          </cell>
          <cell r="G464" t="str">
            <v>2</v>
          </cell>
          <cell r="H464">
            <v>56</v>
          </cell>
          <cell r="I464">
            <v>0</v>
          </cell>
          <cell r="J464" t="str">
            <v>X</v>
          </cell>
          <cell r="K464" t="str">
            <v>X</v>
          </cell>
          <cell r="L464" t="str">
            <v>06:02:03</v>
          </cell>
          <cell r="M464">
            <v>45819</v>
          </cell>
          <cell r="N464">
            <v>44430</v>
          </cell>
          <cell r="O464" t="str">
            <v>X</v>
          </cell>
          <cell r="P464" t="str">
            <v>2025</v>
          </cell>
          <cell r="Q464">
            <v>56</v>
          </cell>
          <cell r="R464" t="str">
            <v/>
          </cell>
        </row>
        <row r="465">
          <cell r="A465" t="str">
            <v>4005052</v>
          </cell>
          <cell r="B465" t="str">
            <v>3300</v>
          </cell>
          <cell r="C465" t="str">
            <v>3001</v>
          </cell>
          <cell r="D465" t="str">
            <v>DL</v>
          </cell>
          <cell r="E465" t="str">
            <v/>
          </cell>
          <cell r="F465" t="str">
            <v>2026</v>
          </cell>
          <cell r="G465" t="str">
            <v>2</v>
          </cell>
          <cell r="H465">
            <v>88</v>
          </cell>
          <cell r="I465">
            <v>0</v>
          </cell>
          <cell r="J465" t="str">
            <v>X</v>
          </cell>
          <cell r="K465" t="str">
            <v/>
          </cell>
          <cell r="L465" t="str">
            <v>09:01:00</v>
          </cell>
          <cell r="M465">
            <v>46030</v>
          </cell>
          <cell r="N465">
            <v>45810</v>
          </cell>
          <cell r="O465" t="str">
            <v>X</v>
          </cell>
          <cell r="P465" t="str">
            <v>2026</v>
          </cell>
          <cell r="Q465">
            <v>88</v>
          </cell>
          <cell r="R465" t="str">
            <v/>
          </cell>
        </row>
        <row r="466">
          <cell r="A466" t="str">
            <v>4005446</v>
          </cell>
          <cell r="B466" t="str">
            <v>3300</v>
          </cell>
          <cell r="C466" t="str">
            <v>3001</v>
          </cell>
          <cell r="D466" t="str">
            <v>DL</v>
          </cell>
          <cell r="E466" t="str">
            <v/>
          </cell>
          <cell r="F466" t="str">
            <v>2026</v>
          </cell>
          <cell r="G466" t="str">
            <v>2</v>
          </cell>
          <cell r="H466">
            <v>120</v>
          </cell>
          <cell r="I466">
            <v>0</v>
          </cell>
          <cell r="J466" t="str">
            <v>X</v>
          </cell>
          <cell r="K466" t="str">
            <v>X</v>
          </cell>
          <cell r="L466" t="str">
            <v>10:05:02</v>
          </cell>
          <cell r="M466">
            <v>45987</v>
          </cell>
          <cell r="N466">
            <v>44595</v>
          </cell>
          <cell r="O466" t="str">
            <v>X</v>
          </cell>
          <cell r="P466" t="str">
            <v>2025</v>
          </cell>
          <cell r="Q466">
            <v>120</v>
          </cell>
          <cell r="R466" t="str">
            <v/>
          </cell>
        </row>
        <row r="467">
          <cell r="A467" t="str">
            <v>4005449</v>
          </cell>
          <cell r="B467" t="str">
            <v>3300</v>
          </cell>
          <cell r="C467" t="str">
            <v>3001</v>
          </cell>
          <cell r="D467" t="str">
            <v>DL</v>
          </cell>
          <cell r="E467" t="str">
            <v/>
          </cell>
          <cell r="F467" t="str">
            <v>2025</v>
          </cell>
          <cell r="G467" t="str">
            <v>12</v>
          </cell>
          <cell r="H467">
            <v>165</v>
          </cell>
          <cell r="I467">
            <v>0</v>
          </cell>
          <cell r="J467" t="str">
            <v>X</v>
          </cell>
          <cell r="K467" t="str">
            <v>X</v>
          </cell>
          <cell r="L467" t="str">
            <v>03:13:01</v>
          </cell>
          <cell r="M467">
            <v>45798</v>
          </cell>
          <cell r="N467">
            <v>44908</v>
          </cell>
          <cell r="O467" t="str">
            <v>X</v>
          </cell>
          <cell r="P467" t="str">
            <v>2025</v>
          </cell>
          <cell r="Q467">
            <v>165</v>
          </cell>
          <cell r="R467" t="str">
            <v/>
          </cell>
        </row>
        <row r="468">
          <cell r="A468" t="str">
            <v>4005454</v>
          </cell>
          <cell r="B468" t="str">
            <v>3300</v>
          </cell>
          <cell r="C468" t="str">
            <v>3001</v>
          </cell>
          <cell r="D468" t="str">
            <v>DL</v>
          </cell>
          <cell r="E468" t="str">
            <v>X</v>
          </cell>
          <cell r="F468" t="str">
            <v>2025</v>
          </cell>
          <cell r="G468" t="str">
            <v>5</v>
          </cell>
          <cell r="H468">
            <v>0</v>
          </cell>
          <cell r="I468">
            <v>0</v>
          </cell>
          <cell r="J468" t="str">
            <v>X</v>
          </cell>
          <cell r="K468" t="str">
            <v>X</v>
          </cell>
          <cell r="L468" t="str">
            <v>SLETTET</v>
          </cell>
          <cell r="M468">
            <v>45450</v>
          </cell>
          <cell r="N468">
            <v>44908</v>
          </cell>
          <cell r="O468" t="str">
            <v>X</v>
          </cell>
          <cell r="P468" t="str">
            <v>2024</v>
          </cell>
          <cell r="Q468">
            <v>0</v>
          </cell>
          <cell r="R468" t="str">
            <v>INAKTIV</v>
          </cell>
        </row>
        <row r="469">
          <cell r="A469" t="str">
            <v>4005458</v>
          </cell>
          <cell r="B469" t="str">
            <v>3300</v>
          </cell>
          <cell r="C469" t="str">
            <v>3001</v>
          </cell>
          <cell r="D469" t="str">
            <v>L</v>
          </cell>
          <cell r="E469" t="str">
            <v/>
          </cell>
          <cell r="F469" t="str">
            <v>2022</v>
          </cell>
          <cell r="G469" t="str">
            <v>3</v>
          </cell>
          <cell r="H469">
            <v>0</v>
          </cell>
          <cell r="I469">
            <v>0</v>
          </cell>
          <cell r="J469" t="str">
            <v/>
          </cell>
          <cell r="K469" t="str">
            <v>X</v>
          </cell>
          <cell r="L469" t="str">
            <v>SLETTET</v>
          </cell>
          <cell r="M469">
            <v>44568</v>
          </cell>
          <cell r="N469">
            <v>44430</v>
          </cell>
          <cell r="O469" t="str">
            <v>X</v>
          </cell>
          <cell r="P469" t="str">
            <v>2023</v>
          </cell>
          <cell r="Q469">
            <v>0</v>
          </cell>
          <cell r="R469" t="str">
            <v>INAKTIV</v>
          </cell>
        </row>
        <row r="470">
          <cell r="A470" t="str">
            <v>4005459</v>
          </cell>
          <cell r="B470" t="str">
            <v>3300</v>
          </cell>
          <cell r="C470" t="str">
            <v>3001</v>
          </cell>
          <cell r="D470" t="str">
            <v>L</v>
          </cell>
          <cell r="E470" t="str">
            <v/>
          </cell>
          <cell r="F470" t="str">
            <v>2022</v>
          </cell>
          <cell r="G470" t="str">
            <v>3</v>
          </cell>
          <cell r="H470">
            <v>0</v>
          </cell>
          <cell r="I470">
            <v>0</v>
          </cell>
          <cell r="J470" t="str">
            <v>X</v>
          </cell>
          <cell r="K470" t="str">
            <v/>
          </cell>
          <cell r="L470" t="str">
            <v>SLETTET</v>
          </cell>
          <cell r="M470">
            <v>44568</v>
          </cell>
          <cell r="N470">
            <v>44430</v>
          </cell>
          <cell r="O470" t="str">
            <v>X</v>
          </cell>
          <cell r="P470" t="str">
            <v>2022</v>
          </cell>
          <cell r="Q470">
            <v>0</v>
          </cell>
          <cell r="R470" t="str">
            <v>INAKTIV</v>
          </cell>
        </row>
        <row r="471">
          <cell r="A471" t="str">
            <v>4005503</v>
          </cell>
          <cell r="B471" t="str">
            <v>3300</v>
          </cell>
          <cell r="C471" t="str">
            <v>3001</v>
          </cell>
          <cell r="D471" t="str">
            <v>DL</v>
          </cell>
          <cell r="E471" t="str">
            <v/>
          </cell>
          <cell r="F471" t="str">
            <v>2026</v>
          </cell>
          <cell r="G471" t="str">
            <v>3</v>
          </cell>
          <cell r="H471">
            <v>4020</v>
          </cell>
          <cell r="I471">
            <v>0</v>
          </cell>
          <cell r="J471" t="str">
            <v>X</v>
          </cell>
          <cell r="K471" t="str">
            <v>X</v>
          </cell>
          <cell r="L471" t="str">
            <v>10:11:01*</v>
          </cell>
          <cell r="M471">
            <v>45987</v>
          </cell>
          <cell r="N471">
            <v>44615</v>
          </cell>
          <cell r="O471" t="str">
            <v>X</v>
          </cell>
          <cell r="P471" t="str">
            <v>2025</v>
          </cell>
          <cell r="Q471">
            <v>4020</v>
          </cell>
          <cell r="R471" t="str">
            <v/>
          </cell>
        </row>
        <row r="472">
          <cell r="A472" t="str">
            <v>4005583</v>
          </cell>
          <cell r="B472" t="str">
            <v>3300</v>
          </cell>
          <cell r="C472" t="str">
            <v>3001</v>
          </cell>
          <cell r="D472" t="str">
            <v>L</v>
          </cell>
          <cell r="E472" t="str">
            <v/>
          </cell>
          <cell r="F472" t="str">
            <v>2026</v>
          </cell>
          <cell r="G472" t="str">
            <v>2</v>
          </cell>
          <cell r="H472">
            <v>28080</v>
          </cell>
          <cell r="I472">
            <v>0</v>
          </cell>
          <cell r="J472" t="str">
            <v>X</v>
          </cell>
          <cell r="K472" t="str">
            <v>X</v>
          </cell>
          <cell r="L472" t="str">
            <v>14:04:01*</v>
          </cell>
          <cell r="M472">
            <v>46001</v>
          </cell>
          <cell r="N472">
            <v>44430</v>
          </cell>
          <cell r="O472" t="str">
            <v>X</v>
          </cell>
          <cell r="P472" t="str">
            <v>2025</v>
          </cell>
          <cell r="Q472">
            <v>28080</v>
          </cell>
          <cell r="R472" t="str">
            <v/>
          </cell>
        </row>
        <row r="473">
          <cell r="A473" t="str">
            <v>4005584</v>
          </cell>
          <cell r="B473" t="str">
            <v>3300</v>
          </cell>
          <cell r="C473" t="str">
            <v>3001</v>
          </cell>
          <cell r="D473" t="str">
            <v>L</v>
          </cell>
          <cell r="E473" t="str">
            <v/>
          </cell>
          <cell r="F473" t="str">
            <v>2026</v>
          </cell>
          <cell r="G473" t="str">
            <v>3</v>
          </cell>
          <cell r="H473">
            <v>14760</v>
          </cell>
          <cell r="I473">
            <v>0</v>
          </cell>
          <cell r="J473" t="str">
            <v>X</v>
          </cell>
          <cell r="K473" t="str">
            <v>X</v>
          </cell>
          <cell r="L473" t="str">
            <v>14:05:02*</v>
          </cell>
          <cell r="M473">
            <v>46001</v>
          </cell>
          <cell r="N473">
            <v>44430</v>
          </cell>
          <cell r="O473" t="str">
            <v>X</v>
          </cell>
          <cell r="P473" t="str">
            <v>2025</v>
          </cell>
          <cell r="Q473">
            <v>14760</v>
          </cell>
          <cell r="R473" t="str">
            <v/>
          </cell>
        </row>
        <row r="474">
          <cell r="A474" t="str">
            <v>4005783</v>
          </cell>
          <cell r="B474" t="str">
            <v>3300</v>
          </cell>
          <cell r="C474" t="str">
            <v>3001</v>
          </cell>
          <cell r="D474" t="str">
            <v>DL</v>
          </cell>
          <cell r="E474" t="str">
            <v/>
          </cell>
          <cell r="F474" t="str">
            <v>2025</v>
          </cell>
          <cell r="G474" t="str">
            <v>12</v>
          </cell>
          <cell r="H474">
            <v>98</v>
          </cell>
          <cell r="I474">
            <v>0</v>
          </cell>
          <cell r="J474" t="str">
            <v>X</v>
          </cell>
          <cell r="K474" t="str">
            <v>X</v>
          </cell>
          <cell r="L474" t="str">
            <v>05:10:01</v>
          </cell>
          <cell r="M474">
            <v>45804</v>
          </cell>
          <cell r="N474">
            <v>44594</v>
          </cell>
          <cell r="O474" t="str">
            <v>X</v>
          </cell>
          <cell r="P474" t="str">
            <v>2025</v>
          </cell>
          <cell r="Q474">
            <v>98</v>
          </cell>
          <cell r="R474" t="str">
            <v/>
          </cell>
        </row>
        <row r="475">
          <cell r="A475" t="str">
            <v>4005791</v>
          </cell>
          <cell r="B475" t="str">
            <v>3300</v>
          </cell>
          <cell r="C475" t="str">
            <v>3001</v>
          </cell>
          <cell r="D475" t="str">
            <v>DL</v>
          </cell>
          <cell r="E475" t="str">
            <v/>
          </cell>
          <cell r="F475" t="str">
            <v>2026</v>
          </cell>
          <cell r="G475" t="str">
            <v>3</v>
          </cell>
          <cell r="H475">
            <v>11000</v>
          </cell>
          <cell r="I475">
            <v>0</v>
          </cell>
          <cell r="J475" t="str">
            <v>X</v>
          </cell>
          <cell r="K475" t="str">
            <v>X</v>
          </cell>
          <cell r="L475" t="str">
            <v>14:04:01</v>
          </cell>
          <cell r="M475">
            <v>46001</v>
          </cell>
          <cell r="N475">
            <v>44494</v>
          </cell>
          <cell r="O475" t="str">
            <v>X</v>
          </cell>
          <cell r="P475" t="str">
            <v>2025</v>
          </cell>
          <cell r="Q475">
            <v>11000</v>
          </cell>
          <cell r="R475" t="str">
            <v/>
          </cell>
        </row>
        <row r="476">
          <cell r="A476" t="str">
            <v>4005792</v>
          </cell>
          <cell r="B476" t="str">
            <v>3300</v>
          </cell>
          <cell r="C476" t="str">
            <v>3001</v>
          </cell>
          <cell r="D476" t="str">
            <v>DL</v>
          </cell>
          <cell r="E476" t="str">
            <v/>
          </cell>
          <cell r="F476" t="str">
            <v>2026</v>
          </cell>
          <cell r="G476" t="str">
            <v>2</v>
          </cell>
          <cell r="H476">
            <v>100</v>
          </cell>
          <cell r="I476">
            <v>0</v>
          </cell>
          <cell r="J476" t="str">
            <v>X</v>
          </cell>
          <cell r="K476" t="str">
            <v>X</v>
          </cell>
          <cell r="L476" t="str">
            <v>02:07:03</v>
          </cell>
          <cell r="M476">
            <v>45796</v>
          </cell>
          <cell r="N476">
            <v>44497</v>
          </cell>
          <cell r="O476" t="str">
            <v>X</v>
          </cell>
          <cell r="P476" t="str">
            <v>2025</v>
          </cell>
          <cell r="Q476">
            <v>100</v>
          </cell>
          <cell r="R476" t="str">
            <v/>
          </cell>
        </row>
        <row r="477">
          <cell r="A477" t="str">
            <v>4005868</v>
          </cell>
          <cell r="B477" t="str">
            <v>3300</v>
          </cell>
          <cell r="C477" t="str">
            <v>3001</v>
          </cell>
          <cell r="D477" t="str">
            <v>L</v>
          </cell>
          <cell r="E477" t="str">
            <v/>
          </cell>
          <cell r="F477" t="str">
            <v>2026</v>
          </cell>
          <cell r="G477" t="str">
            <v>2</v>
          </cell>
          <cell r="H477">
            <v>324</v>
          </cell>
          <cell r="I477">
            <v>0</v>
          </cell>
          <cell r="J477" t="str">
            <v>X</v>
          </cell>
          <cell r="K477" t="str">
            <v>X</v>
          </cell>
          <cell r="L477" t="str">
            <v>01:02:01</v>
          </cell>
          <cell r="M477">
            <v>45793</v>
          </cell>
          <cell r="N477">
            <v>44430</v>
          </cell>
          <cell r="O477" t="str">
            <v>X</v>
          </cell>
          <cell r="P477" t="str">
            <v>2025</v>
          </cell>
          <cell r="Q477">
            <v>324</v>
          </cell>
          <cell r="R477" t="str">
            <v/>
          </cell>
        </row>
        <row r="478">
          <cell r="A478" t="str">
            <v>4005876</v>
          </cell>
          <cell r="B478" t="str">
            <v>3300</v>
          </cell>
          <cell r="C478" t="str">
            <v>3001</v>
          </cell>
          <cell r="D478" t="str">
            <v>DL</v>
          </cell>
          <cell r="E478" t="str">
            <v/>
          </cell>
          <cell r="F478" t="str">
            <v>2026</v>
          </cell>
          <cell r="G478" t="str">
            <v>2</v>
          </cell>
          <cell r="H478">
            <v>936</v>
          </cell>
          <cell r="I478">
            <v>0</v>
          </cell>
          <cell r="J478" t="str">
            <v>X</v>
          </cell>
          <cell r="K478" t="str">
            <v/>
          </cell>
          <cell r="L478" t="str">
            <v>01:01:00</v>
          </cell>
          <cell r="M478">
            <v>45792</v>
          </cell>
          <cell r="N478">
            <v>45345</v>
          </cell>
          <cell r="O478" t="str">
            <v>X</v>
          </cell>
          <cell r="P478" t="str">
            <v>2025</v>
          </cell>
          <cell r="Q478">
            <v>936</v>
          </cell>
          <cell r="R478" t="str">
            <v/>
          </cell>
        </row>
        <row r="479">
          <cell r="A479" t="str">
            <v>4005880</v>
          </cell>
          <cell r="B479" t="str">
            <v>3300</v>
          </cell>
          <cell r="C479" t="str">
            <v>3001</v>
          </cell>
          <cell r="D479" t="str">
            <v>L</v>
          </cell>
          <cell r="E479" t="str">
            <v/>
          </cell>
          <cell r="F479" t="str">
            <v>2026</v>
          </cell>
          <cell r="G479" t="str">
            <v>2</v>
          </cell>
          <cell r="H479">
            <v>432</v>
          </cell>
          <cell r="I479">
            <v>0</v>
          </cell>
          <cell r="J479" t="str">
            <v>X</v>
          </cell>
          <cell r="K479" t="str">
            <v>X</v>
          </cell>
          <cell r="L479" t="str">
            <v>01:04:03</v>
          </cell>
          <cell r="M479">
            <v>45793</v>
          </cell>
          <cell r="N479">
            <v>44430</v>
          </cell>
          <cell r="O479" t="str">
            <v>X</v>
          </cell>
          <cell r="P479" t="str">
            <v>2025</v>
          </cell>
          <cell r="Q479">
            <v>432</v>
          </cell>
          <cell r="R479" t="str">
            <v/>
          </cell>
        </row>
        <row r="480">
          <cell r="A480" t="str">
            <v>4005881</v>
          </cell>
          <cell r="B480" t="str">
            <v>3300</v>
          </cell>
          <cell r="C480" t="str">
            <v>3001</v>
          </cell>
          <cell r="D480" t="str">
            <v>L</v>
          </cell>
          <cell r="E480" t="str">
            <v/>
          </cell>
          <cell r="F480" t="str">
            <v>2026</v>
          </cell>
          <cell r="G480" t="str">
            <v>3</v>
          </cell>
          <cell r="H480">
            <v>324</v>
          </cell>
          <cell r="I480">
            <v>0</v>
          </cell>
          <cell r="J480" t="str">
            <v>X</v>
          </cell>
          <cell r="K480" t="str">
            <v>X</v>
          </cell>
          <cell r="L480" t="str">
            <v>01:03:01</v>
          </cell>
          <cell r="M480">
            <v>45793</v>
          </cell>
          <cell r="N480">
            <v>44430</v>
          </cell>
          <cell r="O480" t="str">
            <v>X</v>
          </cell>
          <cell r="P480" t="str">
            <v>2025</v>
          </cell>
          <cell r="Q480">
            <v>324</v>
          </cell>
          <cell r="R480" t="str">
            <v/>
          </cell>
        </row>
        <row r="481">
          <cell r="A481" t="str">
            <v>4005883</v>
          </cell>
          <cell r="B481" t="str">
            <v>3300</v>
          </cell>
          <cell r="C481" t="str">
            <v>3001</v>
          </cell>
          <cell r="D481" t="str">
            <v>L</v>
          </cell>
          <cell r="E481" t="str">
            <v/>
          </cell>
          <cell r="F481" t="str">
            <v>2026</v>
          </cell>
          <cell r="G481" t="str">
            <v>2</v>
          </cell>
          <cell r="H481">
            <v>408</v>
          </cell>
          <cell r="I481">
            <v>0</v>
          </cell>
          <cell r="J481" t="str">
            <v>X</v>
          </cell>
          <cell r="K481" t="str">
            <v>X</v>
          </cell>
          <cell r="L481" t="str">
            <v>01:03:03</v>
          </cell>
          <cell r="M481">
            <v>45793</v>
          </cell>
          <cell r="N481">
            <v>44430</v>
          </cell>
          <cell r="O481" t="str">
            <v>X</v>
          </cell>
          <cell r="P481" t="str">
            <v>2025</v>
          </cell>
          <cell r="Q481">
            <v>408</v>
          </cell>
          <cell r="R481" t="str">
            <v/>
          </cell>
        </row>
        <row r="482">
          <cell r="A482" t="str">
            <v>4005885</v>
          </cell>
          <cell r="B482" t="str">
            <v>3300</v>
          </cell>
          <cell r="C482" t="str">
            <v>3001</v>
          </cell>
          <cell r="D482" t="str">
            <v>L</v>
          </cell>
          <cell r="E482" t="str">
            <v/>
          </cell>
          <cell r="F482" t="str">
            <v>2026</v>
          </cell>
          <cell r="G482" t="str">
            <v>2</v>
          </cell>
          <cell r="H482">
            <v>432</v>
          </cell>
          <cell r="I482">
            <v>0</v>
          </cell>
          <cell r="J482" t="str">
            <v>X</v>
          </cell>
          <cell r="K482" t="str">
            <v>X</v>
          </cell>
          <cell r="L482" t="str">
            <v>01:01:02</v>
          </cell>
          <cell r="M482">
            <v>45792</v>
          </cell>
          <cell r="N482">
            <v>44430</v>
          </cell>
          <cell r="O482" t="str">
            <v>X</v>
          </cell>
          <cell r="P482" t="str">
            <v>2025</v>
          </cell>
          <cell r="Q482">
            <v>432</v>
          </cell>
          <cell r="R482" t="str">
            <v/>
          </cell>
        </row>
        <row r="483">
          <cell r="A483" t="str">
            <v>4005925</v>
          </cell>
          <cell r="B483" t="str">
            <v>3300</v>
          </cell>
          <cell r="C483" t="str">
            <v>3001</v>
          </cell>
          <cell r="D483" t="str">
            <v>DL</v>
          </cell>
          <cell r="E483" t="str">
            <v/>
          </cell>
          <cell r="F483" t="str">
            <v>2026</v>
          </cell>
          <cell r="G483" t="str">
            <v>2</v>
          </cell>
          <cell r="H483">
            <v>336</v>
          </cell>
          <cell r="I483">
            <v>0</v>
          </cell>
          <cell r="J483" t="str">
            <v>X</v>
          </cell>
          <cell r="K483" t="str">
            <v/>
          </cell>
          <cell r="L483" t="str">
            <v>07:11:01</v>
          </cell>
          <cell r="M483">
            <v>46030</v>
          </cell>
          <cell r="N483">
            <v>45436</v>
          </cell>
          <cell r="O483" t="str">
            <v>X</v>
          </cell>
          <cell r="P483" t="str">
            <v>2026</v>
          </cell>
          <cell r="Q483">
            <v>336</v>
          </cell>
          <cell r="R483" t="str">
            <v/>
          </cell>
        </row>
        <row r="484">
          <cell r="A484" t="str">
            <v>4005949</v>
          </cell>
          <cell r="B484" t="str">
            <v>3300</v>
          </cell>
          <cell r="C484" t="str">
            <v>3001</v>
          </cell>
          <cell r="D484" t="str">
            <v>DL</v>
          </cell>
          <cell r="E484" t="str">
            <v/>
          </cell>
          <cell r="F484" t="str">
            <v>2026</v>
          </cell>
          <cell r="G484" t="str">
            <v>2</v>
          </cell>
          <cell r="H484">
            <v>150</v>
          </cell>
          <cell r="I484">
            <v>0</v>
          </cell>
          <cell r="J484" t="str">
            <v>X</v>
          </cell>
          <cell r="K484" t="str">
            <v>X</v>
          </cell>
          <cell r="L484" t="str">
            <v>09:08:00</v>
          </cell>
          <cell r="M484">
            <v>45980</v>
          </cell>
          <cell r="N484">
            <v>44735</v>
          </cell>
          <cell r="O484" t="str">
            <v>X</v>
          </cell>
          <cell r="P484" t="str">
            <v>2025</v>
          </cell>
          <cell r="Q484">
            <v>150</v>
          </cell>
          <cell r="R484" t="str">
            <v/>
          </cell>
        </row>
        <row r="485">
          <cell r="A485" t="str">
            <v>4005955</v>
          </cell>
          <cell r="B485" t="str">
            <v>3300</v>
          </cell>
          <cell r="C485" t="str">
            <v>3001</v>
          </cell>
          <cell r="D485" t="str">
            <v>L</v>
          </cell>
          <cell r="E485" t="str">
            <v/>
          </cell>
          <cell r="F485" t="str">
            <v>2026</v>
          </cell>
          <cell r="G485" t="str">
            <v>2</v>
          </cell>
          <cell r="H485">
            <v>750</v>
          </cell>
          <cell r="I485">
            <v>0</v>
          </cell>
          <cell r="J485" t="str">
            <v>X</v>
          </cell>
          <cell r="K485" t="str">
            <v>X</v>
          </cell>
          <cell r="L485" t="str">
            <v>05:01:01</v>
          </cell>
          <cell r="M485">
            <v>45800</v>
          </cell>
          <cell r="N485">
            <v>44430</v>
          </cell>
          <cell r="O485" t="str">
            <v>X</v>
          </cell>
          <cell r="P485" t="str">
            <v>2025</v>
          </cell>
          <cell r="Q485">
            <v>750</v>
          </cell>
          <cell r="R485" t="str">
            <v/>
          </cell>
        </row>
        <row r="486">
          <cell r="A486" t="str">
            <v>4005962</v>
          </cell>
          <cell r="B486" t="str">
            <v>3300</v>
          </cell>
          <cell r="C486" t="str">
            <v>3001</v>
          </cell>
          <cell r="D486" t="str">
            <v>L</v>
          </cell>
          <cell r="E486" t="str">
            <v>X</v>
          </cell>
          <cell r="F486" t="str">
            <v>2022</v>
          </cell>
          <cell r="G486" t="str">
            <v>11</v>
          </cell>
          <cell r="H486">
            <v>0</v>
          </cell>
          <cell r="I486">
            <v>0</v>
          </cell>
          <cell r="J486" t="str">
            <v/>
          </cell>
          <cell r="K486" t="str">
            <v/>
          </cell>
          <cell r="L486" t="str">
            <v>SLETTET</v>
          </cell>
          <cell r="M486">
            <v>44568</v>
          </cell>
          <cell r="N486">
            <v>44430</v>
          </cell>
          <cell r="O486" t="str">
            <v>X</v>
          </cell>
          <cell r="P486" t="str">
            <v>2025</v>
          </cell>
          <cell r="Q486">
            <v>0</v>
          </cell>
          <cell r="R486" t="str">
            <v>INAKTIV</v>
          </cell>
        </row>
        <row r="487">
          <cell r="A487" t="str">
            <v>4005997</v>
          </cell>
          <cell r="B487" t="str">
            <v>3300</v>
          </cell>
          <cell r="C487" t="str">
            <v>3001</v>
          </cell>
          <cell r="D487" t="str">
            <v>L</v>
          </cell>
          <cell r="E487" t="str">
            <v>X</v>
          </cell>
          <cell r="F487" t="str">
            <v>2021</v>
          </cell>
          <cell r="G487" t="str">
            <v>8</v>
          </cell>
          <cell r="H487">
            <v>0</v>
          </cell>
          <cell r="I487">
            <v>0</v>
          </cell>
          <cell r="J487" t="str">
            <v/>
          </cell>
          <cell r="K487" t="str">
            <v/>
          </cell>
          <cell r="L487" t="str">
            <v>SLETTET</v>
          </cell>
          <cell r="M487" t="str">
            <v/>
          </cell>
          <cell r="N487">
            <v>44430</v>
          </cell>
          <cell r="O487" t="str">
            <v>X</v>
          </cell>
          <cell r="P487" t="str">
            <v>2022</v>
          </cell>
          <cell r="Q487">
            <v>0</v>
          </cell>
          <cell r="R487" t="str">
            <v>INAKTIV</v>
          </cell>
        </row>
        <row r="488">
          <cell r="A488" t="str">
            <v>4006009</v>
          </cell>
          <cell r="B488" t="str">
            <v>3300</v>
          </cell>
          <cell r="C488" t="str">
            <v>3001</v>
          </cell>
          <cell r="D488" t="str">
            <v>DL</v>
          </cell>
          <cell r="E488" t="str">
            <v/>
          </cell>
          <cell r="F488" t="str">
            <v>2026</v>
          </cell>
          <cell r="G488" t="str">
            <v>2</v>
          </cell>
          <cell r="H488">
            <v>216</v>
          </cell>
          <cell r="I488">
            <v>0</v>
          </cell>
          <cell r="J488" t="str">
            <v>X</v>
          </cell>
          <cell r="K488" t="str">
            <v/>
          </cell>
          <cell r="L488" t="str">
            <v>01:03:00</v>
          </cell>
          <cell r="M488">
            <v>46029</v>
          </cell>
          <cell r="N488">
            <v>45345</v>
          </cell>
          <cell r="O488" t="str">
            <v>X</v>
          </cell>
          <cell r="P488" t="str">
            <v>2026</v>
          </cell>
          <cell r="Q488">
            <v>216</v>
          </cell>
          <cell r="R488" t="str">
            <v/>
          </cell>
        </row>
        <row r="489">
          <cell r="A489" t="str">
            <v>4006012</v>
          </cell>
          <cell r="B489" t="str">
            <v>3300</v>
          </cell>
          <cell r="C489" t="str">
            <v>3001</v>
          </cell>
          <cell r="D489" t="str">
            <v>L</v>
          </cell>
          <cell r="E489" t="str">
            <v/>
          </cell>
          <cell r="F489" t="str">
            <v>2026</v>
          </cell>
          <cell r="G489" t="str">
            <v>2</v>
          </cell>
          <cell r="H489">
            <v>684</v>
          </cell>
          <cell r="I489">
            <v>0</v>
          </cell>
          <cell r="J489" t="str">
            <v>X</v>
          </cell>
          <cell r="K489" t="str">
            <v>X</v>
          </cell>
          <cell r="L489" t="str">
            <v>03:08:01</v>
          </cell>
          <cell r="M489">
            <v>45798</v>
          </cell>
          <cell r="N489">
            <v>44430</v>
          </cell>
          <cell r="O489" t="str">
            <v>X</v>
          </cell>
          <cell r="P489" t="str">
            <v>2025</v>
          </cell>
          <cell r="Q489">
            <v>684</v>
          </cell>
          <cell r="R489" t="str">
            <v/>
          </cell>
        </row>
        <row r="490">
          <cell r="A490" t="str">
            <v>4006014</v>
          </cell>
          <cell r="B490" t="str">
            <v>3300</v>
          </cell>
          <cell r="C490" t="str">
            <v>3001</v>
          </cell>
          <cell r="D490" t="str">
            <v>L</v>
          </cell>
          <cell r="E490" t="str">
            <v/>
          </cell>
          <cell r="F490" t="str">
            <v>2026</v>
          </cell>
          <cell r="G490" t="str">
            <v>2</v>
          </cell>
          <cell r="H490">
            <v>504</v>
          </cell>
          <cell r="I490">
            <v>0</v>
          </cell>
          <cell r="J490" t="str">
            <v>X</v>
          </cell>
          <cell r="K490" t="str">
            <v>X</v>
          </cell>
          <cell r="L490" t="str">
            <v>01:02:02</v>
          </cell>
          <cell r="M490">
            <v>45793</v>
          </cell>
          <cell r="N490">
            <v>44430</v>
          </cell>
          <cell r="O490" t="str">
            <v>X</v>
          </cell>
          <cell r="P490" t="str">
            <v>2025</v>
          </cell>
          <cell r="Q490">
            <v>504</v>
          </cell>
          <cell r="R490" t="str">
            <v/>
          </cell>
        </row>
        <row r="491">
          <cell r="A491" t="str">
            <v>4006023</v>
          </cell>
          <cell r="B491" t="str">
            <v>3300</v>
          </cell>
          <cell r="C491" t="str">
            <v>3001</v>
          </cell>
          <cell r="D491" t="str">
            <v>L</v>
          </cell>
          <cell r="E491" t="str">
            <v/>
          </cell>
          <cell r="F491" t="str">
            <v>2026</v>
          </cell>
          <cell r="G491" t="str">
            <v>2</v>
          </cell>
          <cell r="H491">
            <v>288</v>
          </cell>
          <cell r="I491">
            <v>0</v>
          </cell>
          <cell r="J491" t="str">
            <v>X</v>
          </cell>
          <cell r="K491" t="str">
            <v>X</v>
          </cell>
          <cell r="L491" t="str">
            <v>01:04:02</v>
          </cell>
          <cell r="M491">
            <v>45793</v>
          </cell>
          <cell r="N491">
            <v>44430</v>
          </cell>
          <cell r="O491" t="str">
            <v>X</v>
          </cell>
          <cell r="P491" t="str">
            <v>2025</v>
          </cell>
          <cell r="Q491">
            <v>288</v>
          </cell>
          <cell r="R491" t="str">
            <v/>
          </cell>
        </row>
        <row r="492">
          <cell r="A492" t="str">
            <v>4006025</v>
          </cell>
          <cell r="B492" t="str">
            <v>3300</v>
          </cell>
          <cell r="C492" t="str">
            <v>3001</v>
          </cell>
          <cell r="D492" t="str">
            <v>DL</v>
          </cell>
          <cell r="E492" t="str">
            <v/>
          </cell>
          <cell r="F492" t="str">
            <v>2024</v>
          </cell>
          <cell r="G492" t="str">
            <v>4</v>
          </cell>
          <cell r="H492">
            <v>0</v>
          </cell>
          <cell r="I492">
            <v>0</v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>
            <v>45393</v>
          </cell>
          <cell r="O492" t="str">
            <v>X</v>
          </cell>
          <cell r="P492" t="str">
            <v>2024</v>
          </cell>
          <cell r="Q492">
            <v>0</v>
          </cell>
          <cell r="R492" t="str">
            <v>INAKTIV</v>
          </cell>
        </row>
        <row r="493">
          <cell r="A493" t="str">
            <v>4006027</v>
          </cell>
          <cell r="B493" t="str">
            <v>3300</v>
          </cell>
          <cell r="C493" t="str">
            <v>3001</v>
          </cell>
          <cell r="D493" t="str">
            <v>L</v>
          </cell>
          <cell r="E493" t="str">
            <v/>
          </cell>
          <cell r="F493" t="str">
            <v>2026</v>
          </cell>
          <cell r="G493" t="str">
            <v>2</v>
          </cell>
          <cell r="H493">
            <v>1404</v>
          </cell>
          <cell r="I493">
            <v>0</v>
          </cell>
          <cell r="J493" t="str">
            <v>X</v>
          </cell>
          <cell r="K493" t="str">
            <v>X</v>
          </cell>
          <cell r="L493" t="str">
            <v>01:01:02</v>
          </cell>
          <cell r="M493">
            <v>45792</v>
          </cell>
          <cell r="N493">
            <v>44430</v>
          </cell>
          <cell r="O493" t="str">
            <v>X</v>
          </cell>
          <cell r="P493" t="str">
            <v>2025</v>
          </cell>
          <cell r="Q493">
            <v>1404</v>
          </cell>
          <cell r="R493" t="str">
            <v/>
          </cell>
        </row>
        <row r="494">
          <cell r="A494" t="str">
            <v>4006037</v>
          </cell>
          <cell r="B494" t="str">
            <v>3300</v>
          </cell>
          <cell r="C494" t="str">
            <v>3001</v>
          </cell>
          <cell r="D494" t="str">
            <v>L</v>
          </cell>
          <cell r="E494" t="str">
            <v/>
          </cell>
          <cell r="F494" t="str">
            <v>2026</v>
          </cell>
          <cell r="G494" t="str">
            <v>2</v>
          </cell>
          <cell r="H494">
            <v>216</v>
          </cell>
          <cell r="I494">
            <v>0</v>
          </cell>
          <cell r="J494" t="str">
            <v>X</v>
          </cell>
          <cell r="K494" t="str">
            <v>X</v>
          </cell>
          <cell r="L494" t="str">
            <v>01:02:02</v>
          </cell>
          <cell r="M494">
            <v>45793</v>
          </cell>
          <cell r="N494">
            <v>44430</v>
          </cell>
          <cell r="O494" t="str">
            <v>X</v>
          </cell>
          <cell r="P494" t="str">
            <v>2025</v>
          </cell>
          <cell r="Q494">
            <v>216</v>
          </cell>
          <cell r="R494" t="str">
            <v/>
          </cell>
        </row>
        <row r="495">
          <cell r="A495" t="str">
            <v>4006043</v>
          </cell>
          <cell r="B495" t="str">
            <v>3300</v>
          </cell>
          <cell r="C495" t="str">
            <v>3001</v>
          </cell>
          <cell r="D495" t="str">
            <v>L</v>
          </cell>
          <cell r="E495" t="str">
            <v/>
          </cell>
          <cell r="F495" t="str">
            <v>2026</v>
          </cell>
          <cell r="G495" t="str">
            <v>3</v>
          </cell>
          <cell r="H495">
            <v>2900</v>
          </cell>
          <cell r="I495">
            <v>0</v>
          </cell>
          <cell r="J495" t="str">
            <v>X</v>
          </cell>
          <cell r="K495" t="str">
            <v>X</v>
          </cell>
          <cell r="L495" t="str">
            <v>10:01:00</v>
          </cell>
          <cell r="M495">
            <v>45987</v>
          </cell>
          <cell r="N495">
            <v>44430</v>
          </cell>
          <cell r="O495" t="str">
            <v>X</v>
          </cell>
          <cell r="P495" t="str">
            <v>2025</v>
          </cell>
          <cell r="Q495">
            <v>2900</v>
          </cell>
          <cell r="R495" t="str">
            <v/>
          </cell>
        </row>
        <row r="496">
          <cell r="A496" t="str">
            <v>4006059</v>
          </cell>
          <cell r="B496" t="str">
            <v>3300</v>
          </cell>
          <cell r="C496" t="str">
            <v>3001</v>
          </cell>
          <cell r="D496" t="str">
            <v>DL</v>
          </cell>
          <cell r="E496" t="str">
            <v/>
          </cell>
          <cell r="F496" t="str">
            <v>2024</v>
          </cell>
          <cell r="G496" t="str">
            <v>2</v>
          </cell>
          <cell r="H496">
            <v>0</v>
          </cell>
          <cell r="I496">
            <v>0</v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>
            <v>45345</v>
          </cell>
          <cell r="O496" t="str">
            <v>X</v>
          </cell>
          <cell r="P496" t="str">
            <v>2024</v>
          </cell>
          <cell r="Q496">
            <v>0</v>
          </cell>
          <cell r="R496" t="str">
            <v>INAKTIV</v>
          </cell>
        </row>
        <row r="497">
          <cell r="A497" t="str">
            <v>4006062</v>
          </cell>
          <cell r="B497" t="str">
            <v>3300</v>
          </cell>
          <cell r="C497" t="str">
            <v>3001</v>
          </cell>
          <cell r="D497" t="str">
            <v>L</v>
          </cell>
          <cell r="E497" t="str">
            <v/>
          </cell>
          <cell r="F497" t="str">
            <v>2026</v>
          </cell>
          <cell r="G497" t="str">
            <v>1</v>
          </cell>
          <cell r="H497">
            <v>144</v>
          </cell>
          <cell r="I497">
            <v>0</v>
          </cell>
          <cell r="J497" t="str">
            <v>X</v>
          </cell>
          <cell r="K497" t="str">
            <v>X</v>
          </cell>
          <cell r="L497" t="str">
            <v>01:03:02</v>
          </cell>
          <cell r="M497">
            <v>45793</v>
          </cell>
          <cell r="N497">
            <v>44430</v>
          </cell>
          <cell r="O497" t="str">
            <v>X</v>
          </cell>
          <cell r="P497" t="str">
            <v>2025</v>
          </cell>
          <cell r="Q497">
            <v>144</v>
          </cell>
          <cell r="R497" t="str">
            <v/>
          </cell>
        </row>
        <row r="498">
          <cell r="A498" t="str">
            <v>4006066</v>
          </cell>
          <cell r="B498" t="str">
            <v>3300</v>
          </cell>
          <cell r="C498" t="str">
            <v>3001</v>
          </cell>
          <cell r="D498" t="str">
            <v>L</v>
          </cell>
          <cell r="E498" t="str">
            <v/>
          </cell>
          <cell r="F498" t="str">
            <v>2026</v>
          </cell>
          <cell r="G498" t="str">
            <v>3</v>
          </cell>
          <cell r="H498">
            <v>288</v>
          </cell>
          <cell r="I498">
            <v>0</v>
          </cell>
          <cell r="J498" t="str">
            <v>X</v>
          </cell>
          <cell r="K498" t="str">
            <v>X</v>
          </cell>
          <cell r="L498" t="str">
            <v>01:01:03</v>
          </cell>
          <cell r="M498">
            <v>45792</v>
          </cell>
          <cell r="N498">
            <v>44430</v>
          </cell>
          <cell r="O498" t="str">
            <v>X</v>
          </cell>
          <cell r="P498" t="str">
            <v>2025</v>
          </cell>
          <cell r="Q498">
            <v>288</v>
          </cell>
          <cell r="R498" t="str">
            <v/>
          </cell>
        </row>
        <row r="499">
          <cell r="A499" t="str">
            <v>4006072</v>
          </cell>
          <cell r="B499" t="str">
            <v>3300</v>
          </cell>
          <cell r="C499" t="str">
            <v>3001</v>
          </cell>
          <cell r="D499" t="str">
            <v>DL</v>
          </cell>
          <cell r="E499" t="str">
            <v/>
          </cell>
          <cell r="F499" t="str">
            <v>2026</v>
          </cell>
          <cell r="G499" t="str">
            <v>2</v>
          </cell>
          <cell r="H499">
            <v>144</v>
          </cell>
          <cell r="I499">
            <v>0</v>
          </cell>
          <cell r="J499" t="str">
            <v>X</v>
          </cell>
          <cell r="K499" t="str">
            <v/>
          </cell>
          <cell r="L499" t="str">
            <v>01:05:00</v>
          </cell>
          <cell r="M499">
            <v>46029</v>
          </cell>
          <cell r="N499">
            <v>45345</v>
          </cell>
          <cell r="O499" t="str">
            <v>X</v>
          </cell>
          <cell r="P499" t="str">
            <v>2026</v>
          </cell>
          <cell r="Q499">
            <v>144</v>
          </cell>
          <cell r="R499" t="str">
            <v/>
          </cell>
        </row>
        <row r="500">
          <cell r="A500" t="str">
            <v>4006088</v>
          </cell>
          <cell r="B500" t="str">
            <v>3300</v>
          </cell>
          <cell r="C500" t="str">
            <v>3001</v>
          </cell>
          <cell r="D500" t="str">
            <v>L</v>
          </cell>
          <cell r="E500" t="str">
            <v/>
          </cell>
          <cell r="F500" t="str">
            <v>2026</v>
          </cell>
          <cell r="G500" t="str">
            <v>2</v>
          </cell>
          <cell r="H500">
            <v>732</v>
          </cell>
          <cell r="I500">
            <v>0</v>
          </cell>
          <cell r="J500" t="str">
            <v>X</v>
          </cell>
          <cell r="K500" t="str">
            <v>X</v>
          </cell>
          <cell r="L500" t="str">
            <v>01:01:03</v>
          </cell>
          <cell r="M500">
            <v>45792</v>
          </cell>
          <cell r="N500">
            <v>44430</v>
          </cell>
          <cell r="O500" t="str">
            <v>X</v>
          </cell>
          <cell r="P500" t="str">
            <v>2025</v>
          </cell>
          <cell r="Q500">
            <v>732</v>
          </cell>
          <cell r="R500" t="str">
            <v/>
          </cell>
        </row>
        <row r="501">
          <cell r="A501" t="str">
            <v>4006094</v>
          </cell>
          <cell r="B501" t="str">
            <v>3300</v>
          </cell>
          <cell r="C501" t="str">
            <v>3001</v>
          </cell>
          <cell r="D501" t="str">
            <v>L</v>
          </cell>
          <cell r="E501" t="str">
            <v/>
          </cell>
          <cell r="F501" t="str">
            <v>2026</v>
          </cell>
          <cell r="G501" t="str">
            <v>2</v>
          </cell>
          <cell r="H501">
            <v>396</v>
          </cell>
          <cell r="I501">
            <v>0</v>
          </cell>
          <cell r="J501" t="str">
            <v>X</v>
          </cell>
          <cell r="K501" t="str">
            <v>X</v>
          </cell>
          <cell r="L501" t="str">
            <v>01:05:02</v>
          </cell>
          <cell r="M501">
            <v>45793</v>
          </cell>
          <cell r="N501">
            <v>44430</v>
          </cell>
          <cell r="O501" t="str">
            <v>X</v>
          </cell>
          <cell r="P501" t="str">
            <v>2025</v>
          </cell>
          <cell r="Q501">
            <v>396</v>
          </cell>
          <cell r="R501" t="str">
            <v/>
          </cell>
        </row>
        <row r="502">
          <cell r="A502" t="str">
            <v>4006098</v>
          </cell>
          <cell r="B502" t="str">
            <v>3300</v>
          </cell>
          <cell r="C502" t="str">
            <v>3001</v>
          </cell>
          <cell r="D502" t="str">
            <v>L</v>
          </cell>
          <cell r="E502" t="str">
            <v/>
          </cell>
          <cell r="F502" t="str">
            <v>2026</v>
          </cell>
          <cell r="G502" t="str">
            <v>2</v>
          </cell>
          <cell r="H502">
            <v>612</v>
          </cell>
          <cell r="I502">
            <v>0</v>
          </cell>
          <cell r="J502" t="str">
            <v>X</v>
          </cell>
          <cell r="K502" t="str">
            <v>X</v>
          </cell>
          <cell r="L502" t="str">
            <v>01:01:01</v>
          </cell>
          <cell r="M502">
            <v>45792</v>
          </cell>
          <cell r="N502">
            <v>44430</v>
          </cell>
          <cell r="O502" t="str">
            <v>X</v>
          </cell>
          <cell r="P502" t="str">
            <v>2025</v>
          </cell>
          <cell r="Q502">
            <v>612</v>
          </cell>
          <cell r="R502" t="str">
            <v/>
          </cell>
        </row>
        <row r="503">
          <cell r="A503" t="str">
            <v>4006104</v>
          </cell>
          <cell r="B503" t="str">
            <v>3300</v>
          </cell>
          <cell r="C503" t="str">
            <v>3001</v>
          </cell>
          <cell r="D503" t="str">
            <v>DL</v>
          </cell>
          <cell r="E503" t="str">
            <v/>
          </cell>
          <cell r="F503" t="str">
            <v>2024</v>
          </cell>
          <cell r="G503" t="str">
            <v>4</v>
          </cell>
          <cell r="H503">
            <v>0</v>
          </cell>
          <cell r="I503">
            <v>0</v>
          </cell>
          <cell r="J503" t="str">
            <v/>
          </cell>
          <cell r="K503" t="str">
            <v/>
          </cell>
          <cell r="L503" t="str">
            <v/>
          </cell>
          <cell r="M503" t="str">
            <v/>
          </cell>
          <cell r="N503">
            <v>45393</v>
          </cell>
          <cell r="O503" t="str">
            <v>X</v>
          </cell>
          <cell r="P503" t="str">
            <v>2024</v>
          </cell>
          <cell r="Q503">
            <v>0</v>
          </cell>
          <cell r="R503" t="str">
            <v>INAKTIV</v>
          </cell>
        </row>
        <row r="504">
          <cell r="A504" t="str">
            <v>4006114</v>
          </cell>
          <cell r="B504" t="str">
            <v>3300</v>
          </cell>
          <cell r="C504" t="str">
            <v>3001</v>
          </cell>
          <cell r="D504" t="str">
            <v>L</v>
          </cell>
          <cell r="E504" t="str">
            <v>X</v>
          </cell>
          <cell r="F504" t="str">
            <v>2022</v>
          </cell>
          <cell r="G504" t="str">
            <v>6</v>
          </cell>
          <cell r="H504">
            <v>0</v>
          </cell>
          <cell r="I504">
            <v>0</v>
          </cell>
          <cell r="J504" t="str">
            <v>X</v>
          </cell>
          <cell r="K504" t="str">
            <v/>
          </cell>
          <cell r="L504" t="str">
            <v>SLETTET</v>
          </cell>
          <cell r="M504">
            <v>44587</v>
          </cell>
          <cell r="N504">
            <v>44430</v>
          </cell>
          <cell r="O504" t="str">
            <v>X</v>
          </cell>
          <cell r="P504" t="str">
            <v>2022</v>
          </cell>
          <cell r="Q504">
            <v>0</v>
          </cell>
          <cell r="R504" t="str">
            <v>INAKTIV</v>
          </cell>
        </row>
        <row r="505">
          <cell r="A505" t="str">
            <v>4006157</v>
          </cell>
          <cell r="B505" t="str">
            <v>3300</v>
          </cell>
          <cell r="C505" t="str">
            <v>3001</v>
          </cell>
          <cell r="D505" t="str">
            <v>DL</v>
          </cell>
          <cell r="E505" t="str">
            <v/>
          </cell>
          <cell r="F505" t="str">
            <v>2026</v>
          </cell>
          <cell r="G505" t="str">
            <v>2</v>
          </cell>
          <cell r="H505">
            <v>75</v>
          </cell>
          <cell r="I505">
            <v>0</v>
          </cell>
          <cell r="J505" t="str">
            <v>X</v>
          </cell>
          <cell r="K505" t="str">
            <v>X</v>
          </cell>
          <cell r="L505" t="str">
            <v>03:07.01</v>
          </cell>
          <cell r="M505">
            <v>45798</v>
          </cell>
          <cell r="N505">
            <v>44792</v>
          </cell>
          <cell r="O505" t="str">
            <v>X</v>
          </cell>
          <cell r="P505" t="str">
            <v>2025</v>
          </cell>
          <cell r="Q505">
            <v>75</v>
          </cell>
          <cell r="R505" t="str">
            <v/>
          </cell>
        </row>
        <row r="506">
          <cell r="A506" t="str">
            <v>4006159</v>
          </cell>
          <cell r="B506" t="str">
            <v>3300</v>
          </cell>
          <cell r="C506" t="str">
            <v>3001</v>
          </cell>
          <cell r="D506" t="str">
            <v>L</v>
          </cell>
          <cell r="E506" t="str">
            <v/>
          </cell>
          <cell r="F506" t="str">
            <v>2026</v>
          </cell>
          <cell r="G506" t="str">
            <v>2</v>
          </cell>
          <cell r="H506">
            <v>2800</v>
          </cell>
          <cell r="I506">
            <v>0</v>
          </cell>
          <cell r="J506" t="str">
            <v>X</v>
          </cell>
          <cell r="K506" t="str">
            <v>X</v>
          </cell>
          <cell r="L506" t="str">
            <v>05:02:02</v>
          </cell>
          <cell r="M506">
            <v>45800</v>
          </cell>
          <cell r="N506">
            <v>44430</v>
          </cell>
          <cell r="O506" t="str">
            <v>X</v>
          </cell>
          <cell r="P506" t="str">
            <v>2025</v>
          </cell>
          <cell r="Q506">
            <v>2800</v>
          </cell>
          <cell r="R506" t="str">
            <v/>
          </cell>
        </row>
        <row r="507">
          <cell r="A507" t="str">
            <v>4006161</v>
          </cell>
          <cell r="B507" t="str">
            <v>3300</v>
          </cell>
          <cell r="C507" t="str">
            <v>3001</v>
          </cell>
          <cell r="D507" t="str">
            <v>L</v>
          </cell>
          <cell r="E507" t="str">
            <v/>
          </cell>
          <cell r="F507" t="str">
            <v>2026</v>
          </cell>
          <cell r="G507" t="str">
            <v>3</v>
          </cell>
          <cell r="H507">
            <v>604</v>
          </cell>
          <cell r="I507">
            <v>0</v>
          </cell>
          <cell r="J507" t="str">
            <v>X</v>
          </cell>
          <cell r="K507" t="str">
            <v>X</v>
          </cell>
          <cell r="L507" t="str">
            <v>15:10:00*</v>
          </cell>
          <cell r="M507">
            <v>46006</v>
          </cell>
          <cell r="N507">
            <v>44430</v>
          </cell>
          <cell r="O507" t="str">
            <v>X</v>
          </cell>
          <cell r="P507" t="str">
            <v>2025</v>
          </cell>
          <cell r="Q507">
            <v>604</v>
          </cell>
          <cell r="R507" t="str">
            <v/>
          </cell>
        </row>
        <row r="508">
          <cell r="A508" t="str">
            <v>4006163</v>
          </cell>
          <cell r="B508" t="str">
            <v>3300</v>
          </cell>
          <cell r="C508" t="str">
            <v>3001</v>
          </cell>
          <cell r="D508" t="str">
            <v>L</v>
          </cell>
          <cell r="E508" t="str">
            <v>X</v>
          </cell>
          <cell r="F508" t="str">
            <v>2022</v>
          </cell>
          <cell r="G508" t="str">
            <v>2</v>
          </cell>
          <cell r="H508">
            <v>0</v>
          </cell>
          <cell r="I508">
            <v>0</v>
          </cell>
          <cell r="J508" t="str">
            <v>X</v>
          </cell>
          <cell r="K508" t="str">
            <v/>
          </cell>
          <cell r="L508" t="str">
            <v>SLETTET</v>
          </cell>
          <cell r="M508">
            <v>44568</v>
          </cell>
          <cell r="N508">
            <v>44430</v>
          </cell>
          <cell r="O508" t="str">
            <v>X</v>
          </cell>
          <cell r="P508" t="str">
            <v>2022</v>
          </cell>
          <cell r="Q508">
            <v>0</v>
          </cell>
          <cell r="R508" t="str">
            <v>INAKTIV</v>
          </cell>
        </row>
        <row r="509">
          <cell r="A509" t="str">
            <v>4006164</v>
          </cell>
          <cell r="B509" t="str">
            <v>3300</v>
          </cell>
          <cell r="C509" t="str">
            <v>3001</v>
          </cell>
          <cell r="D509" t="str">
            <v>L</v>
          </cell>
          <cell r="E509" t="str">
            <v>X</v>
          </cell>
          <cell r="F509" t="str">
            <v>2022</v>
          </cell>
          <cell r="G509" t="str">
            <v>2</v>
          </cell>
          <cell r="H509">
            <v>0</v>
          </cell>
          <cell r="I509">
            <v>0</v>
          </cell>
          <cell r="J509" t="str">
            <v>X</v>
          </cell>
          <cell r="K509" t="str">
            <v/>
          </cell>
          <cell r="L509" t="str">
            <v>SLETTET</v>
          </cell>
          <cell r="M509">
            <v>44568</v>
          </cell>
          <cell r="N509">
            <v>44430</v>
          </cell>
          <cell r="O509" t="str">
            <v>X</v>
          </cell>
          <cell r="P509" t="str">
            <v>2022</v>
          </cell>
          <cell r="Q509">
            <v>0</v>
          </cell>
          <cell r="R509" t="str">
            <v>INAKTIV</v>
          </cell>
        </row>
        <row r="510">
          <cell r="A510" t="str">
            <v>4006167</v>
          </cell>
          <cell r="B510" t="str">
            <v>3300</v>
          </cell>
          <cell r="C510" t="str">
            <v>3001</v>
          </cell>
          <cell r="D510" t="str">
            <v>L</v>
          </cell>
          <cell r="E510" t="str">
            <v>X</v>
          </cell>
          <cell r="F510" t="str">
            <v>2022</v>
          </cell>
          <cell r="G510" t="str">
            <v>10</v>
          </cell>
          <cell r="H510">
            <v>0</v>
          </cell>
          <cell r="I510">
            <v>0</v>
          </cell>
          <cell r="J510" t="str">
            <v>X</v>
          </cell>
          <cell r="K510" t="str">
            <v/>
          </cell>
          <cell r="L510" t="str">
            <v>SLETTET</v>
          </cell>
          <cell r="M510">
            <v>44568</v>
          </cell>
          <cell r="N510">
            <v>44430</v>
          </cell>
          <cell r="O510" t="str">
            <v>X</v>
          </cell>
          <cell r="P510" t="str">
            <v>2022</v>
          </cell>
          <cell r="Q510">
            <v>0</v>
          </cell>
          <cell r="R510" t="str">
            <v>INAKTIV</v>
          </cell>
        </row>
        <row r="511">
          <cell r="A511" t="str">
            <v>4006168</v>
          </cell>
          <cell r="B511" t="str">
            <v>3300</v>
          </cell>
          <cell r="C511" t="str">
            <v>3001</v>
          </cell>
          <cell r="D511" t="str">
            <v>L</v>
          </cell>
          <cell r="E511" t="str">
            <v/>
          </cell>
          <cell r="F511" t="str">
            <v>2026</v>
          </cell>
          <cell r="G511" t="str">
            <v>2</v>
          </cell>
          <cell r="H511">
            <v>145</v>
          </cell>
          <cell r="I511">
            <v>0</v>
          </cell>
          <cell r="J511" t="str">
            <v>X</v>
          </cell>
          <cell r="K511" t="str">
            <v>X</v>
          </cell>
          <cell r="L511" t="str">
            <v>02:11:01</v>
          </cell>
          <cell r="M511">
            <v>45797</v>
          </cell>
          <cell r="N511">
            <v>44430</v>
          </cell>
          <cell r="O511" t="str">
            <v>X</v>
          </cell>
          <cell r="P511" t="str">
            <v>2025</v>
          </cell>
          <cell r="Q511">
            <v>145</v>
          </cell>
          <cell r="R511" t="str">
            <v/>
          </cell>
        </row>
        <row r="512">
          <cell r="A512" t="str">
            <v>4006169</v>
          </cell>
          <cell r="B512" t="str">
            <v>3300</v>
          </cell>
          <cell r="C512" t="str">
            <v>3001</v>
          </cell>
          <cell r="D512" t="str">
            <v>L</v>
          </cell>
          <cell r="E512" t="str">
            <v/>
          </cell>
          <cell r="F512" t="str">
            <v>2026</v>
          </cell>
          <cell r="G512" t="str">
            <v>2</v>
          </cell>
          <cell r="H512">
            <v>125</v>
          </cell>
          <cell r="I512">
            <v>0</v>
          </cell>
          <cell r="J512" t="str">
            <v>X</v>
          </cell>
          <cell r="K512" t="str">
            <v>X</v>
          </cell>
          <cell r="L512" t="str">
            <v>02:11:01</v>
          </cell>
          <cell r="M512">
            <v>45797</v>
          </cell>
          <cell r="N512">
            <v>44430</v>
          </cell>
          <cell r="O512" t="str">
            <v>X</v>
          </cell>
          <cell r="P512" t="str">
            <v>2025</v>
          </cell>
          <cell r="Q512">
            <v>125</v>
          </cell>
          <cell r="R512" t="str">
            <v/>
          </cell>
        </row>
        <row r="513">
          <cell r="A513" t="str">
            <v>4006170</v>
          </cell>
          <cell r="B513" t="str">
            <v>3300</v>
          </cell>
          <cell r="C513" t="str">
            <v>3001</v>
          </cell>
          <cell r="D513" t="str">
            <v>DL</v>
          </cell>
          <cell r="E513" t="str">
            <v/>
          </cell>
          <cell r="F513" t="str">
            <v>2026</v>
          </cell>
          <cell r="G513" t="str">
            <v>1</v>
          </cell>
          <cell r="H513">
            <v>150</v>
          </cell>
          <cell r="I513">
            <v>0</v>
          </cell>
          <cell r="J513" t="str">
            <v>X</v>
          </cell>
          <cell r="K513" t="str">
            <v>X</v>
          </cell>
          <cell r="L513" t="str">
            <v>05:12:01</v>
          </cell>
          <cell r="M513">
            <v>45804</v>
          </cell>
          <cell r="N513">
            <v>44908</v>
          </cell>
          <cell r="O513" t="str">
            <v>X</v>
          </cell>
          <cell r="P513" t="str">
            <v>2025</v>
          </cell>
          <cell r="Q513">
            <v>150</v>
          </cell>
          <cell r="R513" t="str">
            <v/>
          </cell>
        </row>
        <row r="514">
          <cell r="A514" t="str">
            <v>4006171</v>
          </cell>
          <cell r="B514" t="str">
            <v>3300</v>
          </cell>
          <cell r="C514" t="str">
            <v>3001</v>
          </cell>
          <cell r="D514" t="str">
            <v>DL</v>
          </cell>
          <cell r="E514" t="str">
            <v/>
          </cell>
          <cell r="F514" t="str">
            <v>2026</v>
          </cell>
          <cell r="G514" t="str">
            <v>2</v>
          </cell>
          <cell r="H514">
            <v>270</v>
          </cell>
          <cell r="I514">
            <v>0</v>
          </cell>
          <cell r="J514" t="str">
            <v>X</v>
          </cell>
          <cell r="K514" t="str">
            <v>X</v>
          </cell>
          <cell r="L514" t="str">
            <v>04:12:00</v>
          </cell>
          <cell r="M514">
            <v>45800</v>
          </cell>
          <cell r="N514">
            <v>44908</v>
          </cell>
          <cell r="O514" t="str">
            <v>X</v>
          </cell>
          <cell r="P514" t="str">
            <v>2025</v>
          </cell>
          <cell r="Q514">
            <v>270</v>
          </cell>
          <cell r="R514" t="str">
            <v/>
          </cell>
        </row>
        <row r="515">
          <cell r="A515" t="str">
            <v>4006172</v>
          </cell>
          <cell r="B515" t="str">
            <v>3300</v>
          </cell>
          <cell r="C515" t="str">
            <v>3001</v>
          </cell>
          <cell r="D515" t="str">
            <v>L</v>
          </cell>
          <cell r="E515" t="str">
            <v>X</v>
          </cell>
          <cell r="F515" t="str">
            <v>2026</v>
          </cell>
          <cell r="G515" t="str">
            <v>2</v>
          </cell>
          <cell r="H515">
            <v>0</v>
          </cell>
          <cell r="I515">
            <v>0</v>
          </cell>
          <cell r="J515" t="str">
            <v>X</v>
          </cell>
          <cell r="K515" t="str">
            <v>X</v>
          </cell>
          <cell r="L515" t="str">
            <v>11:08:00</v>
          </cell>
          <cell r="M515">
            <v>45994</v>
          </cell>
          <cell r="N515">
            <v>44430</v>
          </cell>
          <cell r="O515" t="str">
            <v>X</v>
          </cell>
          <cell r="P515" t="str">
            <v>2025</v>
          </cell>
          <cell r="Q515">
            <v>0</v>
          </cell>
          <cell r="R515" t="str">
            <v>INAKTIV</v>
          </cell>
        </row>
        <row r="516">
          <cell r="A516" t="str">
            <v>4006174</v>
          </cell>
          <cell r="B516" t="str">
            <v>3300</v>
          </cell>
          <cell r="C516" t="str">
            <v>3001</v>
          </cell>
          <cell r="D516" t="str">
            <v>L</v>
          </cell>
          <cell r="E516" t="str">
            <v/>
          </cell>
          <cell r="F516" t="str">
            <v>2026</v>
          </cell>
          <cell r="G516" t="str">
            <v>3</v>
          </cell>
          <cell r="H516">
            <v>1600</v>
          </cell>
          <cell r="I516">
            <v>0</v>
          </cell>
          <cell r="J516" t="str">
            <v>X</v>
          </cell>
          <cell r="K516" t="str">
            <v>X</v>
          </cell>
          <cell r="L516" t="str">
            <v>10:04:01</v>
          </cell>
          <cell r="M516">
            <v>45987</v>
          </cell>
          <cell r="N516">
            <v>44430</v>
          </cell>
          <cell r="O516" t="str">
            <v>X</v>
          </cell>
          <cell r="P516" t="str">
            <v>2025</v>
          </cell>
          <cell r="Q516">
            <v>1600</v>
          </cell>
          <cell r="R516" t="str">
            <v/>
          </cell>
        </row>
        <row r="517">
          <cell r="A517" t="str">
            <v>4006175</v>
          </cell>
          <cell r="B517" t="str">
            <v>3300</v>
          </cell>
          <cell r="C517" t="str">
            <v>3001</v>
          </cell>
          <cell r="D517" t="str">
            <v>DL</v>
          </cell>
          <cell r="E517" t="str">
            <v/>
          </cell>
          <cell r="F517" t="str">
            <v>2024</v>
          </cell>
          <cell r="G517" t="str">
            <v>5</v>
          </cell>
          <cell r="H517">
            <v>0</v>
          </cell>
          <cell r="I517">
            <v>0</v>
          </cell>
          <cell r="J517" t="str">
            <v/>
          </cell>
          <cell r="K517" t="str">
            <v/>
          </cell>
          <cell r="L517" t="str">
            <v/>
          </cell>
          <cell r="M517" t="str">
            <v/>
          </cell>
          <cell r="N517">
            <v>45436</v>
          </cell>
          <cell r="O517" t="str">
            <v>X</v>
          </cell>
          <cell r="P517" t="str">
            <v>2024</v>
          </cell>
          <cell r="Q517">
            <v>0</v>
          </cell>
          <cell r="R517" t="str">
            <v>INAKTIV</v>
          </cell>
        </row>
        <row r="518">
          <cell r="A518" t="str">
            <v>4006176</v>
          </cell>
          <cell r="B518" t="str">
            <v>3300</v>
          </cell>
          <cell r="C518" t="str">
            <v>3001</v>
          </cell>
          <cell r="D518" t="str">
            <v>L</v>
          </cell>
          <cell r="E518" t="str">
            <v/>
          </cell>
          <cell r="F518" t="str">
            <v>2026</v>
          </cell>
          <cell r="G518" t="str">
            <v>3</v>
          </cell>
          <cell r="H518">
            <v>7715</v>
          </cell>
          <cell r="I518">
            <v>0</v>
          </cell>
          <cell r="J518" t="str">
            <v>X</v>
          </cell>
          <cell r="K518" t="str">
            <v>X</v>
          </cell>
          <cell r="L518" t="str">
            <v>11:13:01</v>
          </cell>
          <cell r="M518">
            <v>45994</v>
          </cell>
          <cell r="N518">
            <v>44430</v>
          </cell>
          <cell r="O518" t="str">
            <v>X</v>
          </cell>
          <cell r="P518" t="str">
            <v>2025</v>
          </cell>
          <cell r="Q518">
            <v>7715</v>
          </cell>
          <cell r="R518" t="str">
            <v/>
          </cell>
        </row>
        <row r="519">
          <cell r="A519" t="str">
            <v>4006177</v>
          </cell>
          <cell r="B519" t="str">
            <v>3300</v>
          </cell>
          <cell r="C519" t="str">
            <v>3001</v>
          </cell>
          <cell r="D519" t="str">
            <v>L</v>
          </cell>
          <cell r="E519" t="str">
            <v/>
          </cell>
          <cell r="F519" t="str">
            <v>2026</v>
          </cell>
          <cell r="G519" t="str">
            <v>3</v>
          </cell>
          <cell r="H519">
            <v>230</v>
          </cell>
          <cell r="I519">
            <v>0</v>
          </cell>
          <cell r="J519" t="str">
            <v>X</v>
          </cell>
          <cell r="K519" t="str">
            <v>X</v>
          </cell>
          <cell r="L519" t="str">
            <v>06:06:02</v>
          </cell>
          <cell r="M519">
            <v>45819</v>
          </cell>
          <cell r="N519">
            <v>44430</v>
          </cell>
          <cell r="O519" t="str">
            <v>X</v>
          </cell>
          <cell r="P519" t="str">
            <v>2025</v>
          </cell>
          <cell r="Q519">
            <v>230</v>
          </cell>
          <cell r="R519" t="str">
            <v/>
          </cell>
        </row>
        <row r="520">
          <cell r="A520" t="str">
            <v>4006181</v>
          </cell>
          <cell r="B520" t="str">
            <v>3300</v>
          </cell>
          <cell r="C520" t="str">
            <v>3001</v>
          </cell>
          <cell r="D520" t="str">
            <v>L</v>
          </cell>
          <cell r="E520" t="str">
            <v>X</v>
          </cell>
          <cell r="F520" t="str">
            <v>2021</v>
          </cell>
          <cell r="G520" t="str">
            <v>8</v>
          </cell>
          <cell r="H520">
            <v>0</v>
          </cell>
          <cell r="I520">
            <v>0</v>
          </cell>
          <cell r="J520" t="str">
            <v/>
          </cell>
          <cell r="K520" t="str">
            <v/>
          </cell>
          <cell r="L520" t="str">
            <v>SLETTET</v>
          </cell>
          <cell r="M520" t="str">
            <v/>
          </cell>
          <cell r="N520">
            <v>44430</v>
          </cell>
          <cell r="O520" t="str">
            <v>X</v>
          </cell>
          <cell r="P520" t="str">
            <v>2023</v>
          </cell>
          <cell r="Q520">
            <v>0</v>
          </cell>
          <cell r="R520" t="str">
            <v>INAKTIV</v>
          </cell>
        </row>
        <row r="521">
          <cell r="A521" t="str">
            <v>4006185</v>
          </cell>
          <cell r="B521" t="str">
            <v>3300</v>
          </cell>
          <cell r="C521" t="str">
            <v>3001</v>
          </cell>
          <cell r="D521" t="str">
            <v>L</v>
          </cell>
          <cell r="E521" t="str">
            <v/>
          </cell>
          <cell r="F521" t="str">
            <v>2026</v>
          </cell>
          <cell r="G521" t="str">
            <v>2</v>
          </cell>
          <cell r="H521">
            <v>160</v>
          </cell>
          <cell r="I521">
            <v>0</v>
          </cell>
          <cell r="J521" t="str">
            <v>X</v>
          </cell>
          <cell r="K521" t="str">
            <v>X</v>
          </cell>
          <cell r="L521" t="str">
            <v>02:10:03</v>
          </cell>
          <cell r="M521">
            <v>45797</v>
          </cell>
          <cell r="N521">
            <v>44430</v>
          </cell>
          <cell r="O521" t="str">
            <v>X</v>
          </cell>
          <cell r="P521" t="str">
            <v>2025</v>
          </cell>
          <cell r="Q521">
            <v>160</v>
          </cell>
          <cell r="R521" t="str">
            <v/>
          </cell>
        </row>
        <row r="522">
          <cell r="A522" t="str">
            <v>4006187</v>
          </cell>
          <cell r="B522" t="str">
            <v>3300</v>
          </cell>
          <cell r="C522" t="str">
            <v>3001</v>
          </cell>
          <cell r="D522" t="str">
            <v>L</v>
          </cell>
          <cell r="E522" t="str">
            <v/>
          </cell>
          <cell r="F522" t="str">
            <v>2026</v>
          </cell>
          <cell r="G522" t="str">
            <v>2</v>
          </cell>
          <cell r="H522">
            <v>280</v>
          </cell>
          <cell r="I522">
            <v>0</v>
          </cell>
          <cell r="J522" t="str">
            <v>X</v>
          </cell>
          <cell r="K522" t="str">
            <v>X</v>
          </cell>
          <cell r="L522" t="str">
            <v>07:01:02</v>
          </cell>
          <cell r="M522">
            <v>45824</v>
          </cell>
          <cell r="N522">
            <v>44430</v>
          </cell>
          <cell r="O522" t="str">
            <v>X</v>
          </cell>
          <cell r="P522" t="str">
            <v>2025</v>
          </cell>
          <cell r="Q522">
            <v>280</v>
          </cell>
          <cell r="R522" t="str">
            <v/>
          </cell>
        </row>
        <row r="523">
          <cell r="A523" t="str">
            <v>4006188</v>
          </cell>
          <cell r="B523" t="str">
            <v>3300</v>
          </cell>
          <cell r="C523" t="str">
            <v>3001</v>
          </cell>
          <cell r="D523" t="str">
            <v>L</v>
          </cell>
          <cell r="E523" t="str">
            <v/>
          </cell>
          <cell r="F523" t="str">
            <v>2026</v>
          </cell>
          <cell r="G523" t="str">
            <v>2</v>
          </cell>
          <cell r="H523">
            <v>390</v>
          </cell>
          <cell r="I523">
            <v>0</v>
          </cell>
          <cell r="J523" t="str">
            <v>X</v>
          </cell>
          <cell r="K523" t="str">
            <v>X</v>
          </cell>
          <cell r="L523" t="str">
            <v>07:04:01</v>
          </cell>
          <cell r="M523">
            <v>45824</v>
          </cell>
          <cell r="N523">
            <v>44430</v>
          </cell>
          <cell r="O523" t="str">
            <v>X</v>
          </cell>
          <cell r="P523" t="str">
            <v>2025</v>
          </cell>
          <cell r="Q523">
            <v>390</v>
          </cell>
          <cell r="R523" t="str">
            <v/>
          </cell>
        </row>
        <row r="524">
          <cell r="A524" t="str">
            <v>4006193</v>
          </cell>
          <cell r="B524" t="str">
            <v>3300</v>
          </cell>
          <cell r="C524" t="str">
            <v>3001</v>
          </cell>
          <cell r="D524" t="str">
            <v>DL</v>
          </cell>
          <cell r="E524" t="str">
            <v/>
          </cell>
          <cell r="F524" t="str">
            <v>2026</v>
          </cell>
          <cell r="G524" t="str">
            <v>1</v>
          </cell>
          <cell r="H524">
            <v>290</v>
          </cell>
          <cell r="I524">
            <v>0</v>
          </cell>
          <cell r="J524" t="str">
            <v>X</v>
          </cell>
          <cell r="K524" t="str">
            <v>X</v>
          </cell>
          <cell r="L524" t="str">
            <v>03:07:02</v>
          </cell>
          <cell r="M524">
            <v>45798</v>
          </cell>
          <cell r="N524">
            <v>44792</v>
          </cell>
          <cell r="O524" t="str">
            <v>X</v>
          </cell>
          <cell r="P524" t="str">
            <v>2025</v>
          </cell>
          <cell r="Q524">
            <v>290</v>
          </cell>
          <cell r="R524" t="str">
            <v/>
          </cell>
        </row>
        <row r="525">
          <cell r="A525" t="str">
            <v>4006210</v>
          </cell>
          <cell r="B525" t="str">
            <v>3300</v>
          </cell>
          <cell r="C525" t="str">
            <v>3001</v>
          </cell>
          <cell r="D525" t="str">
            <v>L</v>
          </cell>
          <cell r="E525" t="str">
            <v/>
          </cell>
          <cell r="F525" t="str">
            <v>2026</v>
          </cell>
          <cell r="G525" t="str">
            <v>2</v>
          </cell>
          <cell r="H525">
            <v>90</v>
          </cell>
          <cell r="I525">
            <v>0</v>
          </cell>
          <cell r="J525" t="str">
            <v>X</v>
          </cell>
          <cell r="K525" t="str">
            <v>X</v>
          </cell>
          <cell r="L525" t="str">
            <v>04:06:03</v>
          </cell>
          <cell r="M525">
            <v>45799</v>
          </cell>
          <cell r="N525">
            <v>44430</v>
          </cell>
          <cell r="O525" t="str">
            <v>X</v>
          </cell>
          <cell r="P525" t="str">
            <v>2025</v>
          </cell>
          <cell r="Q525">
            <v>90</v>
          </cell>
          <cell r="R525" t="str">
            <v/>
          </cell>
        </row>
        <row r="526">
          <cell r="A526" t="str">
            <v>4006235</v>
          </cell>
          <cell r="B526" t="str">
            <v>3300</v>
          </cell>
          <cell r="C526" t="str">
            <v>3001</v>
          </cell>
          <cell r="D526" t="str">
            <v>DL</v>
          </cell>
          <cell r="E526" t="str">
            <v/>
          </cell>
          <cell r="F526" t="str">
            <v>2026</v>
          </cell>
          <cell r="G526" t="str">
            <v>2</v>
          </cell>
          <cell r="H526">
            <v>222</v>
          </cell>
          <cell r="I526">
            <v>0</v>
          </cell>
          <cell r="J526" t="str">
            <v>X</v>
          </cell>
          <cell r="K526" t="str">
            <v/>
          </cell>
          <cell r="L526" t="str">
            <v>11:11:02</v>
          </cell>
          <cell r="M526">
            <v>46030</v>
          </cell>
          <cell r="N526">
            <v>45345</v>
          </cell>
          <cell r="O526" t="str">
            <v>X</v>
          </cell>
          <cell r="P526" t="str">
            <v>2026</v>
          </cell>
          <cell r="Q526">
            <v>222</v>
          </cell>
          <cell r="R526" t="str">
            <v/>
          </cell>
        </row>
        <row r="527">
          <cell r="A527" t="str">
            <v>4006236</v>
          </cell>
          <cell r="B527" t="str">
            <v>3300</v>
          </cell>
          <cell r="C527" t="str">
            <v>3001</v>
          </cell>
          <cell r="D527" t="str">
            <v>DL</v>
          </cell>
          <cell r="E527" t="str">
            <v/>
          </cell>
          <cell r="F527" t="str">
            <v>2026</v>
          </cell>
          <cell r="G527" t="str">
            <v>2</v>
          </cell>
          <cell r="H527">
            <v>15</v>
          </cell>
          <cell r="I527">
            <v>0</v>
          </cell>
          <cell r="J527" t="str">
            <v>X</v>
          </cell>
          <cell r="K527" t="str">
            <v/>
          </cell>
          <cell r="L527" t="str">
            <v>12:05:03</v>
          </cell>
          <cell r="M527">
            <v>46030</v>
          </cell>
          <cell r="N527">
            <v>45345</v>
          </cell>
          <cell r="O527" t="str">
            <v>X</v>
          </cell>
          <cell r="P527" t="str">
            <v>2026</v>
          </cell>
          <cell r="Q527">
            <v>15</v>
          </cell>
          <cell r="R527" t="str">
            <v/>
          </cell>
        </row>
        <row r="528">
          <cell r="A528" t="str">
            <v>4006332</v>
          </cell>
          <cell r="B528" t="str">
            <v>3300</v>
          </cell>
          <cell r="C528" t="str">
            <v>3001</v>
          </cell>
          <cell r="D528" t="str">
            <v>L</v>
          </cell>
          <cell r="E528" t="str">
            <v/>
          </cell>
          <cell r="F528" t="str">
            <v>2026</v>
          </cell>
          <cell r="G528" t="str">
            <v>1</v>
          </cell>
          <cell r="H528">
            <v>230</v>
          </cell>
          <cell r="I528">
            <v>0</v>
          </cell>
          <cell r="J528" t="str">
            <v>X</v>
          </cell>
          <cell r="K528" t="str">
            <v>X</v>
          </cell>
          <cell r="L528" t="str">
            <v>02:13:03</v>
          </cell>
          <cell r="M528">
            <v>45797</v>
          </cell>
          <cell r="N528">
            <v>44430</v>
          </cell>
          <cell r="O528" t="str">
            <v>X</v>
          </cell>
          <cell r="P528" t="str">
            <v>2025</v>
          </cell>
          <cell r="Q528">
            <v>230</v>
          </cell>
          <cell r="R528" t="str">
            <v/>
          </cell>
        </row>
        <row r="529">
          <cell r="A529" t="str">
            <v>4006333</v>
          </cell>
          <cell r="B529" t="str">
            <v>3300</v>
          </cell>
          <cell r="C529" t="str">
            <v>3001</v>
          </cell>
          <cell r="D529" t="str">
            <v>L</v>
          </cell>
          <cell r="E529" t="str">
            <v/>
          </cell>
          <cell r="F529" t="str">
            <v>2026</v>
          </cell>
          <cell r="G529" t="str">
            <v>3</v>
          </cell>
          <cell r="H529">
            <v>120</v>
          </cell>
          <cell r="I529">
            <v>0</v>
          </cell>
          <cell r="J529" t="str">
            <v>X</v>
          </cell>
          <cell r="K529" t="str">
            <v>X</v>
          </cell>
          <cell r="L529" t="str">
            <v>02:13:03</v>
          </cell>
          <cell r="M529">
            <v>45797</v>
          </cell>
          <cell r="N529">
            <v>44430</v>
          </cell>
          <cell r="O529" t="str">
            <v>X</v>
          </cell>
          <cell r="P529" t="str">
            <v>2025</v>
          </cell>
          <cell r="Q529">
            <v>120</v>
          </cell>
          <cell r="R529" t="str">
            <v/>
          </cell>
        </row>
        <row r="530">
          <cell r="A530" t="str">
            <v>4006334</v>
          </cell>
          <cell r="B530" t="str">
            <v>3300</v>
          </cell>
          <cell r="C530" t="str">
            <v>3001</v>
          </cell>
          <cell r="D530" t="str">
            <v>L</v>
          </cell>
          <cell r="E530" t="str">
            <v/>
          </cell>
          <cell r="F530" t="str">
            <v>2024</v>
          </cell>
          <cell r="G530" t="str">
            <v>6</v>
          </cell>
          <cell r="H530">
            <v>0</v>
          </cell>
          <cell r="I530">
            <v>0</v>
          </cell>
          <cell r="J530" t="str">
            <v/>
          </cell>
          <cell r="K530" t="str">
            <v/>
          </cell>
          <cell r="L530" t="str">
            <v/>
          </cell>
          <cell r="M530" t="str">
            <v/>
          </cell>
          <cell r="N530">
            <v>45450</v>
          </cell>
          <cell r="O530" t="str">
            <v>X</v>
          </cell>
          <cell r="P530" t="str">
            <v>2024</v>
          </cell>
          <cell r="Q530">
            <v>0</v>
          </cell>
          <cell r="R530" t="str">
            <v>INAKTIV</v>
          </cell>
        </row>
        <row r="531">
          <cell r="A531" t="str">
            <v>4006340</v>
          </cell>
          <cell r="B531" t="str">
            <v>3300</v>
          </cell>
          <cell r="C531" t="str">
            <v>3001</v>
          </cell>
          <cell r="D531" t="str">
            <v>DL</v>
          </cell>
          <cell r="E531" t="str">
            <v/>
          </cell>
          <cell r="F531" t="str">
            <v>2024</v>
          </cell>
          <cell r="G531" t="str">
            <v>6</v>
          </cell>
          <cell r="H531">
            <v>0</v>
          </cell>
          <cell r="I531">
            <v>0</v>
          </cell>
          <cell r="J531" t="str">
            <v/>
          </cell>
          <cell r="K531" t="str">
            <v/>
          </cell>
          <cell r="L531" t="str">
            <v/>
          </cell>
          <cell r="M531" t="str">
            <v/>
          </cell>
          <cell r="N531">
            <v>45462</v>
          </cell>
          <cell r="O531" t="str">
            <v>X</v>
          </cell>
          <cell r="P531" t="str">
            <v>2024</v>
          </cell>
          <cell r="Q531">
            <v>0</v>
          </cell>
          <cell r="R531" t="str">
            <v>INAKTIV</v>
          </cell>
        </row>
        <row r="532">
          <cell r="A532" t="str">
            <v>4006341</v>
          </cell>
          <cell r="B532" t="str">
            <v>3300</v>
          </cell>
          <cell r="C532" t="str">
            <v>3001</v>
          </cell>
          <cell r="D532" t="str">
            <v>DL</v>
          </cell>
          <cell r="E532" t="str">
            <v/>
          </cell>
          <cell r="F532" t="str">
            <v>2026</v>
          </cell>
          <cell r="G532" t="str">
            <v>2</v>
          </cell>
          <cell r="H532">
            <v>350</v>
          </cell>
          <cell r="I532">
            <v>0</v>
          </cell>
          <cell r="J532" t="str">
            <v>X</v>
          </cell>
          <cell r="K532" t="str">
            <v/>
          </cell>
          <cell r="L532" t="str">
            <v>09:02:00</v>
          </cell>
          <cell r="M532">
            <v>46030</v>
          </cell>
          <cell r="N532">
            <v>45462</v>
          </cell>
          <cell r="O532" t="str">
            <v>X</v>
          </cell>
          <cell r="P532" t="str">
            <v>2026</v>
          </cell>
          <cell r="Q532">
            <v>350</v>
          </cell>
          <cell r="R532" t="str">
            <v/>
          </cell>
        </row>
        <row r="533">
          <cell r="A533" t="str">
            <v>4006367</v>
          </cell>
          <cell r="B533" t="str">
            <v>3300</v>
          </cell>
          <cell r="C533" t="str">
            <v>3001</v>
          </cell>
          <cell r="D533" t="str">
            <v>L</v>
          </cell>
          <cell r="E533" t="str">
            <v/>
          </cell>
          <cell r="F533" t="str">
            <v>2026</v>
          </cell>
          <cell r="G533" t="str">
            <v>2</v>
          </cell>
          <cell r="H533">
            <v>1500</v>
          </cell>
          <cell r="I533">
            <v>0</v>
          </cell>
          <cell r="J533" t="str">
            <v>X</v>
          </cell>
          <cell r="K533" t="str">
            <v/>
          </cell>
          <cell r="L533" t="str">
            <v>K3:A</v>
          </cell>
          <cell r="M533">
            <v>46029</v>
          </cell>
          <cell r="N533">
            <v>44430</v>
          </cell>
          <cell r="O533" t="str">
            <v>X</v>
          </cell>
          <cell r="P533" t="str">
            <v>2026</v>
          </cell>
          <cell r="Q533">
            <v>1500</v>
          </cell>
          <cell r="R533" t="str">
            <v/>
          </cell>
        </row>
        <row r="534">
          <cell r="A534" t="str">
            <v>4006368</v>
          </cell>
          <cell r="B534" t="str">
            <v>3300</v>
          </cell>
          <cell r="C534" t="str">
            <v>3001</v>
          </cell>
          <cell r="D534" t="str">
            <v>L</v>
          </cell>
          <cell r="E534" t="str">
            <v/>
          </cell>
          <cell r="F534" t="str">
            <v>2026</v>
          </cell>
          <cell r="G534" t="str">
            <v>2</v>
          </cell>
          <cell r="H534">
            <v>1900</v>
          </cell>
          <cell r="I534">
            <v>0</v>
          </cell>
          <cell r="J534" t="str">
            <v>X</v>
          </cell>
          <cell r="K534" t="str">
            <v/>
          </cell>
          <cell r="L534" t="str">
            <v>K3:I:01</v>
          </cell>
          <cell r="M534">
            <v>46029</v>
          </cell>
          <cell r="N534">
            <v>44430</v>
          </cell>
          <cell r="O534" t="str">
            <v>X</v>
          </cell>
          <cell r="P534" t="str">
            <v>2026</v>
          </cell>
          <cell r="Q534">
            <v>1900</v>
          </cell>
          <cell r="R534" t="str">
            <v/>
          </cell>
        </row>
        <row r="535">
          <cell r="A535" t="str">
            <v>4006370</v>
          </cell>
          <cell r="B535" t="str">
            <v>3300</v>
          </cell>
          <cell r="C535" t="str">
            <v>3001</v>
          </cell>
          <cell r="D535" t="str">
            <v>L</v>
          </cell>
          <cell r="E535" t="str">
            <v/>
          </cell>
          <cell r="F535" t="str">
            <v>2026</v>
          </cell>
          <cell r="G535" t="str">
            <v>2</v>
          </cell>
          <cell r="H535">
            <v>5000</v>
          </cell>
          <cell r="I535">
            <v>0</v>
          </cell>
          <cell r="J535" t="str">
            <v>X</v>
          </cell>
          <cell r="K535" t="str">
            <v>X</v>
          </cell>
          <cell r="L535" t="str">
            <v>13:10:01</v>
          </cell>
          <cell r="M535">
            <v>45994</v>
          </cell>
          <cell r="N535">
            <v>44430</v>
          </cell>
          <cell r="O535" t="str">
            <v>X</v>
          </cell>
          <cell r="P535" t="str">
            <v>2025</v>
          </cell>
          <cell r="Q535">
            <v>5000</v>
          </cell>
          <cell r="R535" t="str">
            <v/>
          </cell>
        </row>
        <row r="536">
          <cell r="A536" t="str">
            <v>4006372</v>
          </cell>
          <cell r="B536" t="str">
            <v>3300</v>
          </cell>
          <cell r="C536" t="str">
            <v>3001</v>
          </cell>
          <cell r="D536" t="str">
            <v>L</v>
          </cell>
          <cell r="E536" t="str">
            <v/>
          </cell>
          <cell r="F536" t="str">
            <v>2026</v>
          </cell>
          <cell r="G536" t="str">
            <v>1</v>
          </cell>
          <cell r="H536">
            <v>700</v>
          </cell>
          <cell r="I536">
            <v>0</v>
          </cell>
          <cell r="J536" t="str">
            <v>X</v>
          </cell>
          <cell r="K536" t="str">
            <v>X</v>
          </cell>
          <cell r="L536" t="str">
            <v>13:10:02</v>
          </cell>
          <cell r="M536">
            <v>45994</v>
          </cell>
          <cell r="N536">
            <v>44430</v>
          </cell>
          <cell r="O536" t="str">
            <v>X</v>
          </cell>
          <cell r="P536" t="str">
            <v>2025</v>
          </cell>
          <cell r="Q536">
            <v>700</v>
          </cell>
          <cell r="R536" t="str">
            <v/>
          </cell>
        </row>
        <row r="537">
          <cell r="A537" t="str">
            <v>4006375</v>
          </cell>
          <cell r="B537" t="str">
            <v>3300</v>
          </cell>
          <cell r="C537" t="str">
            <v>3001</v>
          </cell>
          <cell r="D537" t="str">
            <v>L</v>
          </cell>
          <cell r="E537" t="str">
            <v/>
          </cell>
          <cell r="F537" t="str">
            <v>2026</v>
          </cell>
          <cell r="G537" t="str">
            <v>2</v>
          </cell>
          <cell r="H537">
            <v>1300</v>
          </cell>
          <cell r="I537">
            <v>0</v>
          </cell>
          <cell r="J537" t="str">
            <v>X</v>
          </cell>
          <cell r="K537" t="str">
            <v>X</v>
          </cell>
          <cell r="L537" t="str">
            <v>13:11:02</v>
          </cell>
          <cell r="M537">
            <v>46001</v>
          </cell>
          <cell r="N537">
            <v>44430</v>
          </cell>
          <cell r="O537" t="str">
            <v>X</v>
          </cell>
          <cell r="P537" t="str">
            <v>2025</v>
          </cell>
          <cell r="Q537">
            <v>1300</v>
          </cell>
          <cell r="R537" t="str">
            <v/>
          </cell>
        </row>
        <row r="538">
          <cell r="A538" t="str">
            <v>4006377</v>
          </cell>
          <cell r="B538" t="str">
            <v>3300</v>
          </cell>
          <cell r="C538" t="str">
            <v>3001</v>
          </cell>
          <cell r="D538" t="str">
            <v>L</v>
          </cell>
          <cell r="E538" t="str">
            <v/>
          </cell>
          <cell r="F538" t="str">
            <v>2026</v>
          </cell>
          <cell r="G538" t="str">
            <v>2</v>
          </cell>
          <cell r="H538">
            <v>4000</v>
          </cell>
          <cell r="I538">
            <v>0</v>
          </cell>
          <cell r="J538" t="str">
            <v>X</v>
          </cell>
          <cell r="K538" t="str">
            <v>X</v>
          </cell>
          <cell r="L538" t="str">
            <v>13:11:01</v>
          </cell>
          <cell r="M538">
            <v>46001</v>
          </cell>
          <cell r="N538">
            <v>44430</v>
          </cell>
          <cell r="O538" t="str">
            <v>X</v>
          </cell>
          <cell r="P538" t="str">
            <v>2025</v>
          </cell>
          <cell r="Q538">
            <v>4000</v>
          </cell>
          <cell r="R538" t="str">
            <v/>
          </cell>
        </row>
        <row r="539">
          <cell r="A539" t="str">
            <v>4006378</v>
          </cell>
          <cell r="B539" t="str">
            <v>3300</v>
          </cell>
          <cell r="C539" t="str">
            <v>3001</v>
          </cell>
          <cell r="D539" t="str">
            <v>L</v>
          </cell>
          <cell r="E539" t="str">
            <v/>
          </cell>
          <cell r="F539" t="str">
            <v>2026</v>
          </cell>
          <cell r="G539" t="str">
            <v>2</v>
          </cell>
          <cell r="H539">
            <v>1700</v>
          </cell>
          <cell r="I539">
            <v>0</v>
          </cell>
          <cell r="J539" t="str">
            <v>X</v>
          </cell>
          <cell r="K539" t="str">
            <v>X</v>
          </cell>
          <cell r="L539" t="str">
            <v>13:10:01</v>
          </cell>
          <cell r="M539">
            <v>45994</v>
          </cell>
          <cell r="N539">
            <v>44430</v>
          </cell>
          <cell r="O539" t="str">
            <v>X</v>
          </cell>
          <cell r="P539" t="str">
            <v>2025</v>
          </cell>
          <cell r="Q539">
            <v>1700</v>
          </cell>
          <cell r="R539" t="str">
            <v/>
          </cell>
        </row>
        <row r="540">
          <cell r="A540" t="str">
            <v>4006380</v>
          </cell>
          <cell r="B540" t="str">
            <v>3300</v>
          </cell>
          <cell r="C540" t="str">
            <v>3001</v>
          </cell>
          <cell r="D540" t="str">
            <v>L</v>
          </cell>
          <cell r="E540" t="str">
            <v/>
          </cell>
          <cell r="F540" t="str">
            <v>2026</v>
          </cell>
          <cell r="G540" t="str">
            <v>2</v>
          </cell>
          <cell r="H540">
            <v>3900</v>
          </cell>
          <cell r="I540">
            <v>0</v>
          </cell>
          <cell r="J540" t="str">
            <v>X</v>
          </cell>
          <cell r="K540" t="str">
            <v>X</v>
          </cell>
          <cell r="L540" t="str">
            <v>13:11:03</v>
          </cell>
          <cell r="M540">
            <v>46001</v>
          </cell>
          <cell r="N540">
            <v>44430</v>
          </cell>
          <cell r="O540" t="str">
            <v>X</v>
          </cell>
          <cell r="P540" t="str">
            <v>2025</v>
          </cell>
          <cell r="Q540">
            <v>3900</v>
          </cell>
          <cell r="R540" t="str">
            <v/>
          </cell>
        </row>
        <row r="541">
          <cell r="A541" t="str">
            <v>4006381</v>
          </cell>
          <cell r="B541" t="str">
            <v>3300</v>
          </cell>
          <cell r="C541" t="str">
            <v>3001</v>
          </cell>
          <cell r="D541" t="str">
            <v>L</v>
          </cell>
          <cell r="E541" t="str">
            <v/>
          </cell>
          <cell r="F541" t="str">
            <v>2026</v>
          </cell>
          <cell r="G541" t="str">
            <v>2</v>
          </cell>
          <cell r="H541">
            <v>1300</v>
          </cell>
          <cell r="I541">
            <v>0</v>
          </cell>
          <cell r="J541" t="str">
            <v>X</v>
          </cell>
          <cell r="K541" t="str">
            <v>X</v>
          </cell>
          <cell r="L541" t="str">
            <v>13:12:01</v>
          </cell>
          <cell r="M541">
            <v>46001</v>
          </cell>
          <cell r="N541">
            <v>44430</v>
          </cell>
          <cell r="O541" t="str">
            <v>X</v>
          </cell>
          <cell r="P541" t="str">
            <v>2025</v>
          </cell>
          <cell r="Q541">
            <v>1300</v>
          </cell>
          <cell r="R541" t="str">
            <v/>
          </cell>
        </row>
        <row r="542">
          <cell r="A542" t="str">
            <v>4006387</v>
          </cell>
          <cell r="B542" t="str">
            <v>3300</v>
          </cell>
          <cell r="C542" t="str">
            <v>3001</v>
          </cell>
          <cell r="D542" t="str">
            <v>L</v>
          </cell>
          <cell r="E542" t="str">
            <v>X</v>
          </cell>
          <cell r="F542" t="str">
            <v>2023</v>
          </cell>
          <cell r="G542" t="str">
            <v>2</v>
          </cell>
          <cell r="H542">
            <v>0</v>
          </cell>
          <cell r="I542">
            <v>0</v>
          </cell>
          <cell r="J542" t="str">
            <v>X</v>
          </cell>
          <cell r="K542" t="str">
            <v/>
          </cell>
          <cell r="L542" t="str">
            <v>SLETTET</v>
          </cell>
          <cell r="M542">
            <v>44568</v>
          </cell>
          <cell r="N542">
            <v>44430</v>
          </cell>
          <cell r="O542" t="str">
            <v>X</v>
          </cell>
          <cell r="P542" t="str">
            <v>2022</v>
          </cell>
          <cell r="Q542">
            <v>0</v>
          </cell>
          <cell r="R542" t="str">
            <v>INAKTIV</v>
          </cell>
        </row>
        <row r="543">
          <cell r="A543" t="str">
            <v>4006406</v>
          </cell>
          <cell r="B543" t="str">
            <v>3300</v>
          </cell>
          <cell r="C543" t="str">
            <v>3001</v>
          </cell>
          <cell r="D543" t="str">
            <v>L</v>
          </cell>
          <cell r="E543" t="str">
            <v/>
          </cell>
          <cell r="F543" t="str">
            <v>2026</v>
          </cell>
          <cell r="G543" t="str">
            <v>3</v>
          </cell>
          <cell r="H543">
            <v>3400</v>
          </cell>
          <cell r="I543">
            <v>0</v>
          </cell>
          <cell r="J543" t="str">
            <v>X</v>
          </cell>
          <cell r="K543" t="str">
            <v>X</v>
          </cell>
          <cell r="L543" t="str">
            <v>10:11:03</v>
          </cell>
          <cell r="M543">
            <v>45987</v>
          </cell>
          <cell r="N543">
            <v>44430</v>
          </cell>
          <cell r="O543" t="str">
            <v>X</v>
          </cell>
          <cell r="P543" t="str">
            <v>2025</v>
          </cell>
          <cell r="Q543">
            <v>3400</v>
          </cell>
          <cell r="R543" t="str">
            <v/>
          </cell>
        </row>
        <row r="544">
          <cell r="A544" t="str">
            <v>4006407</v>
          </cell>
          <cell r="B544" t="str">
            <v>3300</v>
          </cell>
          <cell r="C544" t="str">
            <v>3001</v>
          </cell>
          <cell r="D544" t="str">
            <v>L</v>
          </cell>
          <cell r="E544" t="str">
            <v/>
          </cell>
          <cell r="F544" t="str">
            <v>2024</v>
          </cell>
          <cell r="G544" t="str">
            <v>6</v>
          </cell>
          <cell r="H544">
            <v>0</v>
          </cell>
          <cell r="I544">
            <v>0</v>
          </cell>
          <cell r="J544" t="str">
            <v/>
          </cell>
          <cell r="K544" t="str">
            <v/>
          </cell>
          <cell r="L544" t="str">
            <v/>
          </cell>
          <cell r="M544" t="str">
            <v/>
          </cell>
          <cell r="N544">
            <v>45450</v>
          </cell>
          <cell r="O544" t="str">
            <v>X</v>
          </cell>
          <cell r="P544" t="str">
            <v>2024</v>
          </cell>
          <cell r="Q544">
            <v>0</v>
          </cell>
          <cell r="R544" t="str">
            <v>INAKTIV</v>
          </cell>
        </row>
        <row r="545">
          <cell r="A545" t="str">
            <v>4006417</v>
          </cell>
          <cell r="B545" t="str">
            <v>3300</v>
          </cell>
          <cell r="C545" t="str">
            <v>3001</v>
          </cell>
          <cell r="D545" t="str">
            <v>L</v>
          </cell>
          <cell r="E545" t="str">
            <v>X</v>
          </cell>
          <cell r="F545" t="str">
            <v>2021</v>
          </cell>
          <cell r="G545" t="str">
            <v>10</v>
          </cell>
          <cell r="H545">
            <v>0</v>
          </cell>
          <cell r="I545">
            <v>0</v>
          </cell>
          <cell r="J545" t="str">
            <v>X</v>
          </cell>
          <cell r="K545" t="str">
            <v/>
          </cell>
          <cell r="L545" t="str">
            <v>SLETTET</v>
          </cell>
          <cell r="M545">
            <v>44568</v>
          </cell>
          <cell r="N545">
            <v>44430</v>
          </cell>
          <cell r="O545" t="str">
            <v>X</v>
          </cell>
          <cell r="P545" t="str">
            <v>2022</v>
          </cell>
          <cell r="Q545">
            <v>0</v>
          </cell>
          <cell r="R545" t="str">
            <v>INAKTIV</v>
          </cell>
        </row>
        <row r="546">
          <cell r="A546" t="str">
            <v>4006431</v>
          </cell>
          <cell r="B546" t="str">
            <v>3300</v>
          </cell>
          <cell r="C546" t="str">
            <v>3001</v>
          </cell>
          <cell r="D546" t="str">
            <v>L</v>
          </cell>
          <cell r="E546" t="str">
            <v/>
          </cell>
          <cell r="F546" t="str">
            <v>2026</v>
          </cell>
          <cell r="G546" t="str">
            <v>3</v>
          </cell>
          <cell r="H546">
            <v>300</v>
          </cell>
          <cell r="I546">
            <v>0</v>
          </cell>
          <cell r="J546" t="str">
            <v>X</v>
          </cell>
          <cell r="K546" t="str">
            <v>X</v>
          </cell>
          <cell r="L546" t="str">
            <v>13:06:01</v>
          </cell>
          <cell r="M546">
            <v>45994</v>
          </cell>
          <cell r="N546">
            <v>44430</v>
          </cell>
          <cell r="O546" t="str">
            <v>X</v>
          </cell>
          <cell r="P546" t="str">
            <v>2025</v>
          </cell>
          <cell r="Q546">
            <v>300</v>
          </cell>
          <cell r="R546" t="str">
            <v/>
          </cell>
        </row>
        <row r="547">
          <cell r="A547" t="str">
            <v>4006432</v>
          </cell>
          <cell r="B547" t="str">
            <v>3300</v>
          </cell>
          <cell r="C547" t="str">
            <v>3001</v>
          </cell>
          <cell r="D547" t="str">
            <v>L</v>
          </cell>
          <cell r="E547" t="str">
            <v/>
          </cell>
          <cell r="F547" t="str">
            <v>2026</v>
          </cell>
          <cell r="G547" t="str">
            <v>2</v>
          </cell>
          <cell r="H547">
            <v>375</v>
          </cell>
          <cell r="I547">
            <v>0</v>
          </cell>
          <cell r="J547" t="str">
            <v>X</v>
          </cell>
          <cell r="K547" t="str">
            <v>X</v>
          </cell>
          <cell r="L547" t="str">
            <v>13:06:03</v>
          </cell>
          <cell r="M547">
            <v>45994</v>
          </cell>
          <cell r="N547">
            <v>44430</v>
          </cell>
          <cell r="O547" t="str">
            <v>X</v>
          </cell>
          <cell r="P547" t="str">
            <v>2025</v>
          </cell>
          <cell r="Q547">
            <v>375</v>
          </cell>
          <cell r="R547" t="str">
            <v/>
          </cell>
        </row>
        <row r="548">
          <cell r="A548" t="str">
            <v>4006450</v>
          </cell>
          <cell r="B548" t="str">
            <v>3300</v>
          </cell>
          <cell r="C548" t="str">
            <v>3001</v>
          </cell>
          <cell r="D548" t="str">
            <v>DL</v>
          </cell>
          <cell r="E548" t="str">
            <v>X</v>
          </cell>
          <cell r="F548" t="str">
            <v>2025</v>
          </cell>
          <cell r="G548" t="str">
            <v>9</v>
          </cell>
          <cell r="H548">
            <v>0</v>
          </cell>
          <cell r="I548">
            <v>0</v>
          </cell>
          <cell r="J548" t="str">
            <v>X</v>
          </cell>
          <cell r="K548" t="str">
            <v>X</v>
          </cell>
          <cell r="L548" t="str">
            <v>SLETTET</v>
          </cell>
          <cell r="M548">
            <v>45994</v>
          </cell>
          <cell r="N548">
            <v>44883</v>
          </cell>
          <cell r="O548" t="str">
            <v>X</v>
          </cell>
          <cell r="P548" t="str">
            <v>2025</v>
          </cell>
          <cell r="Q548">
            <v>0</v>
          </cell>
          <cell r="R548" t="str">
            <v>INAKTIV</v>
          </cell>
        </row>
        <row r="549">
          <cell r="A549" t="str">
            <v>4006451</v>
          </cell>
          <cell r="B549" t="str">
            <v>3300</v>
          </cell>
          <cell r="C549" t="str">
            <v>3001</v>
          </cell>
          <cell r="D549" t="str">
            <v>DL</v>
          </cell>
          <cell r="E549" t="str">
            <v>X</v>
          </cell>
          <cell r="F549" t="str">
            <v>2025</v>
          </cell>
          <cell r="G549" t="str">
            <v>12</v>
          </cell>
          <cell r="H549">
            <v>0</v>
          </cell>
          <cell r="I549">
            <v>0</v>
          </cell>
          <cell r="J549" t="str">
            <v>X</v>
          </cell>
          <cell r="K549" t="str">
            <v>X</v>
          </cell>
          <cell r="L549" t="str">
            <v>SLETTET</v>
          </cell>
          <cell r="M549">
            <v>45994</v>
          </cell>
          <cell r="N549">
            <v>44883</v>
          </cell>
          <cell r="O549" t="str">
            <v>X</v>
          </cell>
          <cell r="P549" t="str">
            <v>2025</v>
          </cell>
          <cell r="Q549">
            <v>0</v>
          </cell>
          <cell r="R549" t="str">
            <v>INAKTIV</v>
          </cell>
        </row>
        <row r="550">
          <cell r="A550" t="str">
            <v>4006464</v>
          </cell>
          <cell r="B550" t="str">
            <v>3300</v>
          </cell>
          <cell r="C550" t="str">
            <v>3001</v>
          </cell>
          <cell r="D550" t="str">
            <v>L</v>
          </cell>
          <cell r="E550" t="str">
            <v/>
          </cell>
          <cell r="F550" t="str">
            <v>2026</v>
          </cell>
          <cell r="G550" t="str">
            <v>2</v>
          </cell>
          <cell r="H550">
            <v>337</v>
          </cell>
          <cell r="I550">
            <v>0</v>
          </cell>
          <cell r="J550" t="str">
            <v>X</v>
          </cell>
          <cell r="K550" t="str">
            <v>X</v>
          </cell>
          <cell r="L550" t="str">
            <v>04:07:01</v>
          </cell>
          <cell r="M550">
            <v>45799</v>
          </cell>
          <cell r="N550">
            <v>44430</v>
          </cell>
          <cell r="O550" t="str">
            <v>X</v>
          </cell>
          <cell r="P550" t="str">
            <v>2025</v>
          </cell>
          <cell r="Q550">
            <v>337</v>
          </cell>
          <cell r="R550" t="str">
            <v/>
          </cell>
        </row>
        <row r="551">
          <cell r="A551" t="str">
            <v>4006497</v>
          </cell>
          <cell r="B551" t="str">
            <v>3300</v>
          </cell>
          <cell r="C551" t="str">
            <v>3001</v>
          </cell>
          <cell r="D551" t="str">
            <v>L</v>
          </cell>
          <cell r="E551" t="str">
            <v/>
          </cell>
          <cell r="F551" t="str">
            <v>2021</v>
          </cell>
          <cell r="G551" t="str">
            <v>10</v>
          </cell>
          <cell r="H551">
            <v>0</v>
          </cell>
          <cell r="I551">
            <v>0</v>
          </cell>
          <cell r="J551" t="str">
            <v>X</v>
          </cell>
          <cell r="K551" t="str">
            <v/>
          </cell>
          <cell r="L551" t="str">
            <v>SLETTET</v>
          </cell>
          <cell r="M551">
            <v>44568</v>
          </cell>
          <cell r="N551">
            <v>44430</v>
          </cell>
          <cell r="O551" t="str">
            <v>X</v>
          </cell>
          <cell r="P551" t="str">
            <v>2022</v>
          </cell>
          <cell r="Q551">
            <v>0</v>
          </cell>
          <cell r="R551" t="str">
            <v>INAKTIV</v>
          </cell>
        </row>
        <row r="552">
          <cell r="A552" t="str">
            <v>4006498</v>
          </cell>
          <cell r="B552" t="str">
            <v>3300</v>
          </cell>
          <cell r="C552" t="str">
            <v>3001</v>
          </cell>
          <cell r="D552" t="str">
            <v>DL</v>
          </cell>
          <cell r="E552" t="str">
            <v/>
          </cell>
          <cell r="F552" t="str">
            <v>2022</v>
          </cell>
          <cell r="G552" t="str">
            <v>1</v>
          </cell>
          <cell r="H552">
            <v>0</v>
          </cell>
          <cell r="I552">
            <v>0</v>
          </cell>
          <cell r="J552" t="str">
            <v/>
          </cell>
          <cell r="K552" t="str">
            <v/>
          </cell>
          <cell r="L552" t="str">
            <v>-</v>
          </cell>
          <cell r="M552" t="str">
            <v/>
          </cell>
          <cell r="N552">
            <v>44587</v>
          </cell>
          <cell r="O552" t="str">
            <v>X</v>
          </cell>
          <cell r="P552" t="str">
            <v>2022</v>
          </cell>
          <cell r="Q552">
            <v>0</v>
          </cell>
          <cell r="R552" t="str">
            <v>INAKTIV</v>
          </cell>
        </row>
        <row r="553">
          <cell r="A553" t="str">
            <v>4006499</v>
          </cell>
          <cell r="B553" t="str">
            <v>3300</v>
          </cell>
          <cell r="C553" t="str">
            <v>3001</v>
          </cell>
          <cell r="D553" t="str">
            <v>L</v>
          </cell>
          <cell r="E553" t="str">
            <v/>
          </cell>
          <cell r="F553" t="str">
            <v>2022</v>
          </cell>
          <cell r="G553" t="str">
            <v>3</v>
          </cell>
          <cell r="H553">
            <v>0</v>
          </cell>
          <cell r="I553">
            <v>0</v>
          </cell>
          <cell r="J553" t="str">
            <v>X</v>
          </cell>
          <cell r="K553" t="str">
            <v/>
          </cell>
          <cell r="L553" t="str">
            <v>SLETTET</v>
          </cell>
          <cell r="M553">
            <v>44568</v>
          </cell>
          <cell r="N553">
            <v>44430</v>
          </cell>
          <cell r="O553" t="str">
            <v>X</v>
          </cell>
          <cell r="P553" t="str">
            <v>2022</v>
          </cell>
          <cell r="Q553">
            <v>0</v>
          </cell>
          <cell r="R553" t="str">
            <v>INAKTIV</v>
          </cell>
        </row>
        <row r="554">
          <cell r="A554" t="str">
            <v>4006501</v>
          </cell>
          <cell r="B554" t="str">
            <v>3300</v>
          </cell>
          <cell r="C554" t="str">
            <v>3001</v>
          </cell>
          <cell r="D554" t="str">
            <v>L</v>
          </cell>
          <cell r="E554" t="str">
            <v/>
          </cell>
          <cell r="F554" t="str">
            <v>2026</v>
          </cell>
          <cell r="G554" t="str">
            <v>3</v>
          </cell>
          <cell r="H554">
            <v>4800</v>
          </cell>
          <cell r="I554">
            <v>0</v>
          </cell>
          <cell r="J554" t="str">
            <v>X</v>
          </cell>
          <cell r="K554" t="str">
            <v>X</v>
          </cell>
          <cell r="L554" t="str">
            <v>14:16:03</v>
          </cell>
          <cell r="M554">
            <v>46001</v>
          </cell>
          <cell r="N554">
            <v>44430</v>
          </cell>
          <cell r="O554" t="str">
            <v>X</v>
          </cell>
          <cell r="P554" t="str">
            <v>2025</v>
          </cell>
          <cell r="Q554">
            <v>4800</v>
          </cell>
          <cell r="R554" t="str">
            <v/>
          </cell>
        </row>
        <row r="555">
          <cell r="A555" t="str">
            <v>4006502</v>
          </cell>
          <cell r="B555" t="str">
            <v>3300</v>
          </cell>
          <cell r="C555" t="str">
            <v>3001</v>
          </cell>
          <cell r="D555" t="str">
            <v>L</v>
          </cell>
          <cell r="E555" t="str">
            <v/>
          </cell>
          <cell r="F555" t="str">
            <v>2026</v>
          </cell>
          <cell r="G555" t="str">
            <v>2</v>
          </cell>
          <cell r="H555">
            <v>20</v>
          </cell>
          <cell r="I555">
            <v>0</v>
          </cell>
          <cell r="J555" t="str">
            <v>X</v>
          </cell>
          <cell r="K555" t="str">
            <v>X</v>
          </cell>
          <cell r="L555" t="str">
            <v>08:12:03</v>
          </cell>
          <cell r="M555">
            <v>45980</v>
          </cell>
          <cell r="N555">
            <v>44430</v>
          </cell>
          <cell r="O555" t="str">
            <v>X</v>
          </cell>
          <cell r="P555" t="str">
            <v>2025</v>
          </cell>
          <cell r="Q555">
            <v>20</v>
          </cell>
          <cell r="R555" t="str">
            <v/>
          </cell>
        </row>
        <row r="556">
          <cell r="A556" t="str">
            <v>4006504</v>
          </cell>
          <cell r="B556" t="str">
            <v>3300</v>
          </cell>
          <cell r="C556" t="str">
            <v>3001</v>
          </cell>
          <cell r="D556" t="str">
            <v>L</v>
          </cell>
          <cell r="E556" t="str">
            <v/>
          </cell>
          <cell r="F556" t="str">
            <v>2026</v>
          </cell>
          <cell r="G556" t="str">
            <v>3</v>
          </cell>
          <cell r="H556">
            <v>2100</v>
          </cell>
          <cell r="I556">
            <v>0</v>
          </cell>
          <cell r="J556" t="str">
            <v>X</v>
          </cell>
          <cell r="K556" t="str">
            <v>X</v>
          </cell>
          <cell r="L556" t="str">
            <v>15:11:03</v>
          </cell>
          <cell r="M556">
            <v>46006</v>
          </cell>
          <cell r="N556">
            <v>44430</v>
          </cell>
          <cell r="O556" t="str">
            <v>X</v>
          </cell>
          <cell r="P556" t="str">
            <v>2025</v>
          </cell>
          <cell r="Q556">
            <v>2100</v>
          </cell>
          <cell r="R556" t="str">
            <v/>
          </cell>
        </row>
        <row r="557">
          <cell r="A557" t="str">
            <v>4006529</v>
          </cell>
          <cell r="B557" t="str">
            <v>3300</v>
          </cell>
          <cell r="C557" t="str">
            <v>3001</v>
          </cell>
          <cell r="D557" t="str">
            <v>DL</v>
          </cell>
          <cell r="E557" t="str">
            <v/>
          </cell>
          <cell r="F557" t="str">
            <v>2025</v>
          </cell>
          <cell r="G557" t="str">
            <v>12</v>
          </cell>
          <cell r="H557">
            <v>270</v>
          </cell>
          <cell r="I557">
            <v>0</v>
          </cell>
          <cell r="J557" t="str">
            <v>X</v>
          </cell>
          <cell r="K557" t="str">
            <v>X</v>
          </cell>
          <cell r="L557" t="str">
            <v>03:07;02</v>
          </cell>
          <cell r="M557">
            <v>45798</v>
          </cell>
          <cell r="N557">
            <v>44903</v>
          </cell>
          <cell r="O557" t="str">
            <v>X</v>
          </cell>
          <cell r="P557" t="str">
            <v>2025</v>
          </cell>
          <cell r="Q557">
            <v>270</v>
          </cell>
          <cell r="R557" t="str">
            <v/>
          </cell>
        </row>
        <row r="558">
          <cell r="A558" t="str">
            <v>4006543</v>
          </cell>
          <cell r="B558" t="str">
            <v>3300</v>
          </cell>
          <cell r="C558" t="str">
            <v>3001</v>
          </cell>
          <cell r="D558" t="str">
            <v>L</v>
          </cell>
          <cell r="E558" t="str">
            <v/>
          </cell>
          <cell r="F558" t="str">
            <v>2026</v>
          </cell>
          <cell r="G558" t="str">
            <v>3</v>
          </cell>
          <cell r="H558">
            <v>17400</v>
          </cell>
          <cell r="I558">
            <v>0</v>
          </cell>
          <cell r="J558" t="str">
            <v>X</v>
          </cell>
          <cell r="K558" t="str">
            <v>X</v>
          </cell>
          <cell r="L558" t="str">
            <v>12:02:01</v>
          </cell>
          <cell r="M558">
            <v>45994</v>
          </cell>
          <cell r="N558">
            <v>44430</v>
          </cell>
          <cell r="O558" t="str">
            <v>X</v>
          </cell>
          <cell r="P558" t="str">
            <v>2025</v>
          </cell>
          <cell r="Q558">
            <v>17400</v>
          </cell>
          <cell r="R558" t="str">
            <v/>
          </cell>
        </row>
        <row r="559">
          <cell r="A559" t="str">
            <v>4006545</v>
          </cell>
          <cell r="B559" t="str">
            <v>3300</v>
          </cell>
          <cell r="C559" t="str">
            <v>3001</v>
          </cell>
          <cell r="D559" t="str">
            <v>L</v>
          </cell>
          <cell r="E559" t="str">
            <v/>
          </cell>
          <cell r="F559" t="str">
            <v>2026</v>
          </cell>
          <cell r="G559" t="str">
            <v>2</v>
          </cell>
          <cell r="H559">
            <v>12700</v>
          </cell>
          <cell r="I559">
            <v>0</v>
          </cell>
          <cell r="J559" t="str">
            <v>X</v>
          </cell>
          <cell r="K559" t="str">
            <v>X</v>
          </cell>
          <cell r="L559" t="str">
            <v>09:11:01</v>
          </cell>
          <cell r="M559">
            <v>45987</v>
          </cell>
          <cell r="N559">
            <v>44430</v>
          </cell>
          <cell r="O559" t="str">
            <v>X</v>
          </cell>
          <cell r="P559" t="str">
            <v>2025</v>
          </cell>
          <cell r="Q559">
            <v>12700</v>
          </cell>
          <cell r="R559" t="str">
            <v/>
          </cell>
        </row>
        <row r="560">
          <cell r="A560" t="str">
            <v>4006546</v>
          </cell>
          <cell r="B560" t="str">
            <v>3300</v>
          </cell>
          <cell r="C560" t="str">
            <v>3001</v>
          </cell>
          <cell r="D560" t="str">
            <v>DL</v>
          </cell>
          <cell r="E560" t="str">
            <v/>
          </cell>
          <cell r="F560" t="str">
            <v>2026</v>
          </cell>
          <cell r="G560" t="str">
            <v>2</v>
          </cell>
          <cell r="H560">
            <v>180</v>
          </cell>
          <cell r="I560">
            <v>0</v>
          </cell>
          <cell r="J560" t="str">
            <v>X</v>
          </cell>
          <cell r="K560" t="str">
            <v>X</v>
          </cell>
          <cell r="L560" t="str">
            <v>07:01;01</v>
          </cell>
          <cell r="M560">
            <v>45824</v>
          </cell>
          <cell r="N560">
            <v>44903</v>
          </cell>
          <cell r="O560" t="str">
            <v>X</v>
          </cell>
          <cell r="P560" t="str">
            <v>2025</v>
          </cell>
          <cell r="Q560">
            <v>180</v>
          </cell>
          <cell r="R560" t="str">
            <v/>
          </cell>
        </row>
        <row r="561">
          <cell r="A561" t="str">
            <v>4006560</v>
          </cell>
          <cell r="B561" t="str">
            <v>3300</v>
          </cell>
          <cell r="C561" t="str">
            <v>3001</v>
          </cell>
          <cell r="D561" t="str">
            <v>DL</v>
          </cell>
          <cell r="E561" t="str">
            <v/>
          </cell>
          <cell r="F561" t="str">
            <v>2026</v>
          </cell>
          <cell r="G561" t="str">
            <v>3</v>
          </cell>
          <cell r="H561">
            <v>42</v>
          </cell>
          <cell r="I561">
            <v>0</v>
          </cell>
          <cell r="J561" t="str">
            <v>X</v>
          </cell>
          <cell r="K561" t="str">
            <v>X</v>
          </cell>
          <cell r="L561" t="str">
            <v>06:05:00</v>
          </cell>
          <cell r="M561">
            <v>45819</v>
          </cell>
          <cell r="N561">
            <v>45096</v>
          </cell>
          <cell r="O561" t="str">
            <v>X</v>
          </cell>
          <cell r="P561" t="str">
            <v>2025</v>
          </cell>
          <cell r="Q561">
            <v>42</v>
          </cell>
          <cell r="R561" t="str">
            <v/>
          </cell>
        </row>
        <row r="562">
          <cell r="A562" t="str">
            <v>4006561</v>
          </cell>
          <cell r="B562" t="str">
            <v>3300</v>
          </cell>
          <cell r="C562" t="str">
            <v>3001</v>
          </cell>
          <cell r="D562" t="str">
            <v>DL</v>
          </cell>
          <cell r="E562" t="str">
            <v/>
          </cell>
          <cell r="F562" t="str">
            <v>2026</v>
          </cell>
          <cell r="G562" t="str">
            <v>3</v>
          </cell>
          <cell r="H562">
            <v>140</v>
          </cell>
          <cell r="I562">
            <v>0</v>
          </cell>
          <cell r="J562" t="str">
            <v>X</v>
          </cell>
          <cell r="K562" t="str">
            <v>X</v>
          </cell>
          <cell r="L562" t="str">
            <v>05:07:01</v>
          </cell>
          <cell r="M562">
            <v>45803</v>
          </cell>
          <cell r="N562">
            <v>45096</v>
          </cell>
          <cell r="O562" t="str">
            <v>X</v>
          </cell>
          <cell r="P562" t="str">
            <v>2025</v>
          </cell>
          <cell r="Q562">
            <v>140</v>
          </cell>
          <cell r="R562" t="str">
            <v/>
          </cell>
        </row>
        <row r="563">
          <cell r="A563" t="str">
            <v>4006565</v>
          </cell>
          <cell r="B563" t="str">
            <v>3300</v>
          </cell>
          <cell r="C563" t="str">
            <v>3001</v>
          </cell>
          <cell r="D563" t="str">
            <v>DL</v>
          </cell>
          <cell r="E563" t="str">
            <v/>
          </cell>
          <cell r="F563" t="str">
            <v>2026</v>
          </cell>
          <cell r="G563" t="str">
            <v>2</v>
          </cell>
          <cell r="H563">
            <v>324</v>
          </cell>
          <cell r="I563">
            <v>0</v>
          </cell>
          <cell r="J563" t="str">
            <v>X</v>
          </cell>
          <cell r="K563" t="str">
            <v>X</v>
          </cell>
          <cell r="L563" t="str">
            <v>01:04:01</v>
          </cell>
          <cell r="M563">
            <v>45800</v>
          </cell>
          <cell r="N563">
            <v>45247</v>
          </cell>
          <cell r="O563" t="str">
            <v>X</v>
          </cell>
          <cell r="P563" t="str">
            <v>2025</v>
          </cell>
          <cell r="Q563">
            <v>324</v>
          </cell>
          <cell r="R563" t="str">
            <v/>
          </cell>
        </row>
        <row r="564">
          <cell r="A564" t="str">
            <v>4006590</v>
          </cell>
          <cell r="B564" t="str">
            <v>3300</v>
          </cell>
          <cell r="C564" t="str">
            <v>3001</v>
          </cell>
          <cell r="D564" t="str">
            <v>L</v>
          </cell>
          <cell r="E564" t="str">
            <v/>
          </cell>
          <cell r="F564" t="str">
            <v>2026</v>
          </cell>
          <cell r="G564" t="str">
            <v>3</v>
          </cell>
          <cell r="H564">
            <v>97</v>
          </cell>
          <cell r="I564">
            <v>0</v>
          </cell>
          <cell r="J564" t="str">
            <v>X</v>
          </cell>
          <cell r="K564" t="str">
            <v>X</v>
          </cell>
          <cell r="L564" t="str">
            <v>07:06:03</v>
          </cell>
          <cell r="M564">
            <v>45824</v>
          </cell>
          <cell r="N564">
            <v>44465</v>
          </cell>
          <cell r="O564" t="str">
            <v>X</v>
          </cell>
          <cell r="P564" t="str">
            <v>2025</v>
          </cell>
          <cell r="Q564">
            <v>97</v>
          </cell>
          <cell r="R564" t="str">
            <v/>
          </cell>
        </row>
        <row r="565">
          <cell r="A565" t="str">
            <v>4006599</v>
          </cell>
          <cell r="B565" t="str">
            <v>3300</v>
          </cell>
          <cell r="C565" t="str">
            <v>3001</v>
          </cell>
          <cell r="D565" t="str">
            <v>DL</v>
          </cell>
          <cell r="E565" t="str">
            <v/>
          </cell>
          <cell r="F565" t="str">
            <v>2022</v>
          </cell>
          <cell r="G565" t="str">
            <v>1</v>
          </cell>
          <cell r="H565">
            <v>0</v>
          </cell>
          <cell r="I565">
            <v>0</v>
          </cell>
          <cell r="J565" t="str">
            <v/>
          </cell>
          <cell r="K565" t="str">
            <v/>
          </cell>
          <cell r="L565" t="str">
            <v>SLETTET</v>
          </cell>
          <cell r="M565" t="str">
            <v/>
          </cell>
          <cell r="N565">
            <v>44578</v>
          </cell>
          <cell r="O565" t="str">
            <v>X</v>
          </cell>
          <cell r="P565" t="str">
            <v>2022</v>
          </cell>
          <cell r="Q565">
            <v>0</v>
          </cell>
          <cell r="R565" t="str">
            <v>INAKTIV</v>
          </cell>
        </row>
        <row r="566">
          <cell r="A566" t="str">
            <v>4006600</v>
          </cell>
          <cell r="B566" t="str">
            <v>3300</v>
          </cell>
          <cell r="C566" t="str">
            <v>3001</v>
          </cell>
          <cell r="D566" t="str">
            <v>DL</v>
          </cell>
          <cell r="E566" t="str">
            <v/>
          </cell>
          <cell r="F566" t="str">
            <v>2022</v>
          </cell>
          <cell r="G566" t="str">
            <v>1</v>
          </cell>
          <cell r="H566">
            <v>0</v>
          </cell>
          <cell r="I566">
            <v>0</v>
          </cell>
          <cell r="J566" t="str">
            <v/>
          </cell>
          <cell r="K566" t="str">
            <v/>
          </cell>
          <cell r="L566" t="str">
            <v/>
          </cell>
          <cell r="M566" t="str">
            <v/>
          </cell>
          <cell r="N566">
            <v>44582</v>
          </cell>
          <cell r="O566" t="str">
            <v>X</v>
          </cell>
          <cell r="P566" t="str">
            <v>2022</v>
          </cell>
          <cell r="Q566">
            <v>0</v>
          </cell>
          <cell r="R566" t="str">
            <v>INAKTIV</v>
          </cell>
        </row>
        <row r="567">
          <cell r="A567" t="str">
            <v>4006665</v>
          </cell>
          <cell r="B567" t="str">
            <v>3300</v>
          </cell>
          <cell r="C567" t="str">
            <v>3001</v>
          </cell>
          <cell r="D567" t="str">
            <v>DL</v>
          </cell>
          <cell r="E567" t="str">
            <v/>
          </cell>
          <cell r="F567" t="str">
            <v>2025</v>
          </cell>
          <cell r="G567" t="str">
            <v>12</v>
          </cell>
          <cell r="H567">
            <v>3200</v>
          </cell>
          <cell r="I567">
            <v>0</v>
          </cell>
          <cell r="J567" t="str">
            <v>X</v>
          </cell>
          <cell r="K567" t="str">
            <v/>
          </cell>
          <cell r="L567" t="str">
            <v>12:01:00</v>
          </cell>
          <cell r="M567">
            <v>46030</v>
          </cell>
          <cell r="N567">
            <v>45811</v>
          </cell>
          <cell r="O567" t="str">
            <v>X</v>
          </cell>
          <cell r="P567" t="str">
            <v>2026</v>
          </cell>
          <cell r="Q567">
            <v>3200</v>
          </cell>
          <cell r="R567" t="str">
            <v/>
          </cell>
        </row>
        <row r="568">
          <cell r="A568" t="str">
            <v>4006678</v>
          </cell>
          <cell r="B568" t="str">
            <v>3300</v>
          </cell>
          <cell r="C568" t="str">
            <v>3001</v>
          </cell>
          <cell r="D568" t="str">
            <v>L</v>
          </cell>
          <cell r="E568" t="str">
            <v/>
          </cell>
          <cell r="F568" t="str">
            <v>2026</v>
          </cell>
          <cell r="G568" t="str">
            <v>3</v>
          </cell>
          <cell r="H568">
            <v>145</v>
          </cell>
          <cell r="I568">
            <v>0</v>
          </cell>
          <cell r="J568" t="str">
            <v>X</v>
          </cell>
          <cell r="K568" t="str">
            <v>X</v>
          </cell>
          <cell r="L568" t="str">
            <v>07:11:03</v>
          </cell>
          <cell r="M568">
            <v>45825</v>
          </cell>
          <cell r="N568">
            <v>44430</v>
          </cell>
          <cell r="O568" t="str">
            <v>X</v>
          </cell>
          <cell r="P568" t="str">
            <v>2025</v>
          </cell>
          <cell r="Q568">
            <v>145</v>
          </cell>
          <cell r="R568" t="str">
            <v/>
          </cell>
        </row>
        <row r="569">
          <cell r="A569" t="str">
            <v>4006755</v>
          </cell>
          <cell r="B569" t="str">
            <v>3300</v>
          </cell>
          <cell r="C569" t="str">
            <v>3001</v>
          </cell>
          <cell r="D569" t="str">
            <v>L</v>
          </cell>
          <cell r="E569" t="str">
            <v/>
          </cell>
          <cell r="F569" t="str">
            <v>2026</v>
          </cell>
          <cell r="G569" t="str">
            <v>2</v>
          </cell>
          <cell r="H569">
            <v>464</v>
          </cell>
          <cell r="I569">
            <v>0</v>
          </cell>
          <cell r="J569" t="str">
            <v>X</v>
          </cell>
          <cell r="K569" t="str">
            <v>X</v>
          </cell>
          <cell r="L569" t="str">
            <v>14:08:03</v>
          </cell>
          <cell r="M569">
            <v>46001</v>
          </cell>
          <cell r="N569">
            <v>44430</v>
          </cell>
          <cell r="O569" t="str">
            <v>X</v>
          </cell>
          <cell r="P569" t="str">
            <v>2025</v>
          </cell>
          <cell r="Q569">
            <v>464</v>
          </cell>
          <cell r="R569" t="str">
            <v/>
          </cell>
        </row>
        <row r="570">
          <cell r="A570" t="str">
            <v>4006758</v>
          </cell>
          <cell r="B570" t="str">
            <v>3300</v>
          </cell>
          <cell r="C570" t="str">
            <v>3001</v>
          </cell>
          <cell r="D570" t="str">
            <v>DL</v>
          </cell>
          <cell r="E570" t="str">
            <v/>
          </cell>
          <cell r="F570" t="str">
            <v>2026</v>
          </cell>
          <cell r="G570" t="str">
            <v>3</v>
          </cell>
          <cell r="H570">
            <v>304</v>
          </cell>
          <cell r="I570">
            <v>0</v>
          </cell>
          <cell r="J570" t="str">
            <v>X</v>
          </cell>
          <cell r="K570" t="str">
            <v>X</v>
          </cell>
          <cell r="L570" t="str">
            <v>05:06:03</v>
          </cell>
          <cell r="M570">
            <v>45803</v>
          </cell>
          <cell r="N570">
            <v>45096</v>
          </cell>
          <cell r="O570" t="str">
            <v>X</v>
          </cell>
          <cell r="P570" t="str">
            <v>2025</v>
          </cell>
          <cell r="Q570">
            <v>304</v>
          </cell>
          <cell r="R570" t="str">
            <v/>
          </cell>
        </row>
        <row r="571">
          <cell r="A571" t="str">
            <v>4006770</v>
          </cell>
          <cell r="B571" t="str">
            <v>3300</v>
          </cell>
          <cell r="C571" t="str">
            <v>3001</v>
          </cell>
          <cell r="D571" t="str">
            <v>L</v>
          </cell>
          <cell r="E571" t="str">
            <v/>
          </cell>
          <cell r="F571" t="str">
            <v>2026</v>
          </cell>
          <cell r="G571" t="str">
            <v>3</v>
          </cell>
          <cell r="H571">
            <v>576</v>
          </cell>
          <cell r="I571">
            <v>0</v>
          </cell>
          <cell r="J571" t="str">
            <v>X</v>
          </cell>
          <cell r="K571" t="str">
            <v>X</v>
          </cell>
          <cell r="L571" t="str">
            <v>01:02:02</v>
          </cell>
          <cell r="M571">
            <v>45793</v>
          </cell>
          <cell r="N571">
            <v>44430</v>
          </cell>
          <cell r="O571" t="str">
            <v>X</v>
          </cell>
          <cell r="P571" t="str">
            <v>2025</v>
          </cell>
          <cell r="Q571">
            <v>576</v>
          </cell>
          <cell r="R571" t="str">
            <v/>
          </cell>
        </row>
        <row r="572">
          <cell r="A572" t="str">
            <v>4006771</v>
          </cell>
          <cell r="B572" t="str">
            <v>3300</v>
          </cell>
          <cell r="C572" t="str">
            <v>3001</v>
          </cell>
          <cell r="D572" t="str">
            <v>L</v>
          </cell>
          <cell r="E572" t="str">
            <v/>
          </cell>
          <cell r="F572" t="str">
            <v>2026</v>
          </cell>
          <cell r="G572" t="str">
            <v>2</v>
          </cell>
          <cell r="H572">
            <v>827</v>
          </cell>
          <cell r="I572">
            <v>0</v>
          </cell>
          <cell r="J572" t="str">
            <v>X</v>
          </cell>
          <cell r="K572" t="str">
            <v>X</v>
          </cell>
          <cell r="L572" t="str">
            <v>01:01:02</v>
          </cell>
          <cell r="M572">
            <v>45792</v>
          </cell>
          <cell r="N572">
            <v>44430</v>
          </cell>
          <cell r="O572" t="str">
            <v>X</v>
          </cell>
          <cell r="P572" t="str">
            <v>2025</v>
          </cell>
          <cell r="Q572">
            <v>827</v>
          </cell>
          <cell r="R572" t="str">
            <v/>
          </cell>
        </row>
        <row r="573">
          <cell r="A573" t="str">
            <v>4006775</v>
          </cell>
          <cell r="B573" t="str">
            <v>3300</v>
          </cell>
          <cell r="C573" t="str">
            <v>3001</v>
          </cell>
          <cell r="D573" t="str">
            <v>L</v>
          </cell>
          <cell r="E573" t="str">
            <v/>
          </cell>
          <cell r="F573" t="str">
            <v>2026</v>
          </cell>
          <cell r="G573" t="str">
            <v>2</v>
          </cell>
          <cell r="H573">
            <v>396</v>
          </cell>
          <cell r="I573">
            <v>0</v>
          </cell>
          <cell r="J573" t="str">
            <v>X</v>
          </cell>
          <cell r="K573" t="str">
            <v>X</v>
          </cell>
          <cell r="L573" t="str">
            <v>01:03:02</v>
          </cell>
          <cell r="M573">
            <v>45793</v>
          </cell>
          <cell r="N573">
            <v>44430</v>
          </cell>
          <cell r="O573" t="str">
            <v>X</v>
          </cell>
          <cell r="P573" t="str">
            <v>2025</v>
          </cell>
          <cell r="Q573">
            <v>396</v>
          </cell>
          <cell r="R573" t="str">
            <v/>
          </cell>
        </row>
        <row r="574">
          <cell r="A574" t="str">
            <v>4006778</v>
          </cell>
          <cell r="B574" t="str">
            <v>3300</v>
          </cell>
          <cell r="C574" t="str">
            <v>3001</v>
          </cell>
          <cell r="D574" t="str">
            <v>L</v>
          </cell>
          <cell r="E574" t="str">
            <v/>
          </cell>
          <cell r="F574" t="str">
            <v>2026</v>
          </cell>
          <cell r="G574" t="str">
            <v>2</v>
          </cell>
          <cell r="H574">
            <v>648</v>
          </cell>
          <cell r="I574">
            <v>0</v>
          </cell>
          <cell r="J574" t="str">
            <v>X</v>
          </cell>
          <cell r="K574" t="str">
            <v>X</v>
          </cell>
          <cell r="L574" t="str">
            <v>01:03:03</v>
          </cell>
          <cell r="M574">
            <v>45793</v>
          </cell>
          <cell r="N574">
            <v>44430</v>
          </cell>
          <cell r="O574" t="str">
            <v>X</v>
          </cell>
          <cell r="P574" t="str">
            <v>2025</v>
          </cell>
          <cell r="Q574">
            <v>648</v>
          </cell>
          <cell r="R574" t="str">
            <v/>
          </cell>
        </row>
        <row r="575">
          <cell r="A575" t="str">
            <v>4006780</v>
          </cell>
          <cell r="B575" t="str">
            <v>3300</v>
          </cell>
          <cell r="C575" t="str">
            <v>3001</v>
          </cell>
          <cell r="D575" t="str">
            <v>L</v>
          </cell>
          <cell r="E575" t="str">
            <v/>
          </cell>
          <cell r="F575" t="str">
            <v>2026</v>
          </cell>
          <cell r="G575" t="str">
            <v>2</v>
          </cell>
          <cell r="H575">
            <v>168</v>
          </cell>
          <cell r="I575">
            <v>0</v>
          </cell>
          <cell r="J575" t="str">
            <v>X</v>
          </cell>
          <cell r="K575" t="str">
            <v>X</v>
          </cell>
          <cell r="L575" t="str">
            <v>01:03:01</v>
          </cell>
          <cell r="M575">
            <v>45793</v>
          </cell>
          <cell r="N575">
            <v>44430</v>
          </cell>
          <cell r="O575" t="str">
            <v>X</v>
          </cell>
          <cell r="P575" t="str">
            <v>2025</v>
          </cell>
          <cell r="Q575">
            <v>168</v>
          </cell>
          <cell r="R575" t="str">
            <v/>
          </cell>
        </row>
        <row r="576">
          <cell r="A576" t="str">
            <v>4006795</v>
          </cell>
          <cell r="B576" t="str">
            <v>3300</v>
          </cell>
          <cell r="C576" t="str">
            <v>3001</v>
          </cell>
          <cell r="D576" t="str">
            <v>L</v>
          </cell>
          <cell r="E576" t="str">
            <v/>
          </cell>
          <cell r="F576" t="str">
            <v>2026</v>
          </cell>
          <cell r="G576" t="str">
            <v>3</v>
          </cell>
          <cell r="H576">
            <v>92</v>
          </cell>
          <cell r="I576">
            <v>0</v>
          </cell>
          <cell r="J576" t="str">
            <v>X</v>
          </cell>
          <cell r="K576" t="str">
            <v>X</v>
          </cell>
          <cell r="L576" t="str">
            <v>03:02:01</v>
          </cell>
          <cell r="M576">
            <v>45798</v>
          </cell>
          <cell r="N576">
            <v>44430</v>
          </cell>
          <cell r="O576" t="str">
            <v>X</v>
          </cell>
          <cell r="P576" t="str">
            <v>2025</v>
          </cell>
          <cell r="Q576">
            <v>92</v>
          </cell>
          <cell r="R576" t="str">
            <v/>
          </cell>
        </row>
        <row r="577">
          <cell r="A577" t="str">
            <v>4007769</v>
          </cell>
          <cell r="B577" t="str">
            <v>3300</v>
          </cell>
          <cell r="C577" t="str">
            <v>3001</v>
          </cell>
          <cell r="D577" t="str">
            <v>DL</v>
          </cell>
          <cell r="E577" t="str">
            <v/>
          </cell>
          <cell r="F577" t="str">
            <v>2026</v>
          </cell>
          <cell r="G577" t="str">
            <v>2</v>
          </cell>
          <cell r="H577">
            <v>648</v>
          </cell>
          <cell r="I577">
            <v>0</v>
          </cell>
          <cell r="J577" t="str">
            <v>X</v>
          </cell>
          <cell r="K577" t="str">
            <v/>
          </cell>
          <cell r="L577" t="str">
            <v>01:02:00</v>
          </cell>
          <cell r="M577">
            <v>45792</v>
          </cell>
          <cell r="N577">
            <v>45345</v>
          </cell>
          <cell r="O577" t="str">
            <v>X</v>
          </cell>
          <cell r="P577" t="str">
            <v>2025</v>
          </cell>
          <cell r="Q577">
            <v>648</v>
          </cell>
          <cell r="R577" t="str">
            <v/>
          </cell>
        </row>
        <row r="578">
          <cell r="A578" t="str">
            <v>4007774</v>
          </cell>
          <cell r="B578" t="str">
            <v>3300</v>
          </cell>
          <cell r="C578" t="str">
            <v>3001</v>
          </cell>
          <cell r="D578" t="str">
            <v>DL</v>
          </cell>
          <cell r="E578" t="str">
            <v/>
          </cell>
          <cell r="F578" t="str">
            <v>2026</v>
          </cell>
          <cell r="G578" t="str">
            <v>2</v>
          </cell>
          <cell r="H578">
            <v>1606</v>
          </cell>
          <cell r="I578">
            <v>0</v>
          </cell>
          <cell r="J578" t="str">
            <v>X</v>
          </cell>
          <cell r="K578" t="str">
            <v/>
          </cell>
          <cell r="L578" t="str">
            <v>01;04:00</v>
          </cell>
          <cell r="M578">
            <v>45792</v>
          </cell>
          <cell r="N578">
            <v>45393</v>
          </cell>
          <cell r="O578" t="str">
            <v>X</v>
          </cell>
          <cell r="P578" t="str">
            <v>2025</v>
          </cell>
          <cell r="Q578">
            <v>1606</v>
          </cell>
          <cell r="R578" t="str">
            <v/>
          </cell>
        </row>
        <row r="579">
          <cell r="A579" t="str">
            <v>4007802</v>
          </cell>
          <cell r="B579" t="str">
            <v>3300</v>
          </cell>
          <cell r="C579" t="str">
            <v>3001</v>
          </cell>
          <cell r="D579" t="str">
            <v>L</v>
          </cell>
          <cell r="E579" t="str">
            <v/>
          </cell>
          <cell r="F579" t="str">
            <v>2022</v>
          </cell>
          <cell r="G579" t="str">
            <v>3</v>
          </cell>
          <cell r="H579">
            <v>0</v>
          </cell>
          <cell r="I579">
            <v>0</v>
          </cell>
          <cell r="J579" t="str">
            <v>X</v>
          </cell>
          <cell r="K579" t="str">
            <v/>
          </cell>
          <cell r="L579" t="str">
            <v>SLETTET</v>
          </cell>
          <cell r="M579">
            <v>44568</v>
          </cell>
          <cell r="N579">
            <v>44430</v>
          </cell>
          <cell r="O579" t="str">
            <v>X</v>
          </cell>
          <cell r="P579" t="str">
            <v>2022</v>
          </cell>
          <cell r="Q579">
            <v>0</v>
          </cell>
          <cell r="R579" t="str">
            <v>INAKTIV</v>
          </cell>
        </row>
        <row r="580">
          <cell r="A580" t="str">
            <v>4007817</v>
          </cell>
          <cell r="B580" t="str">
            <v>3300</v>
          </cell>
          <cell r="C580" t="str">
            <v>3001</v>
          </cell>
          <cell r="D580" t="str">
            <v>L</v>
          </cell>
          <cell r="E580" t="str">
            <v/>
          </cell>
          <cell r="F580" t="str">
            <v>2026</v>
          </cell>
          <cell r="G580" t="str">
            <v>2</v>
          </cell>
          <cell r="H580">
            <v>120</v>
          </cell>
          <cell r="I580">
            <v>0</v>
          </cell>
          <cell r="J580" t="str">
            <v>X</v>
          </cell>
          <cell r="K580" t="str">
            <v>X</v>
          </cell>
          <cell r="L580" t="str">
            <v>02:11:03</v>
          </cell>
          <cell r="M580">
            <v>45797</v>
          </cell>
          <cell r="N580">
            <v>44430</v>
          </cell>
          <cell r="O580" t="str">
            <v>X</v>
          </cell>
          <cell r="P580" t="str">
            <v>2025</v>
          </cell>
          <cell r="Q580">
            <v>120</v>
          </cell>
          <cell r="R580" t="str">
            <v/>
          </cell>
        </row>
        <row r="581">
          <cell r="A581" t="str">
            <v>4007818</v>
          </cell>
          <cell r="B581" t="str">
            <v>3300</v>
          </cell>
          <cell r="C581" t="str">
            <v>3001</v>
          </cell>
          <cell r="D581" t="str">
            <v>L</v>
          </cell>
          <cell r="E581" t="str">
            <v/>
          </cell>
          <cell r="F581" t="str">
            <v>2026</v>
          </cell>
          <cell r="G581" t="str">
            <v>3</v>
          </cell>
          <cell r="H581">
            <v>210</v>
          </cell>
          <cell r="I581">
            <v>0</v>
          </cell>
          <cell r="J581" t="str">
            <v>X</v>
          </cell>
          <cell r="K581" t="str">
            <v>X</v>
          </cell>
          <cell r="L581" t="str">
            <v>02:11:03</v>
          </cell>
          <cell r="M581">
            <v>45797</v>
          </cell>
          <cell r="N581">
            <v>44430</v>
          </cell>
          <cell r="O581" t="str">
            <v>X</v>
          </cell>
          <cell r="P581" t="str">
            <v>2025</v>
          </cell>
          <cell r="Q581">
            <v>210</v>
          </cell>
          <cell r="R581" t="str">
            <v/>
          </cell>
        </row>
        <row r="582">
          <cell r="A582" t="str">
            <v>4007825</v>
          </cell>
          <cell r="B582" t="str">
            <v>3300</v>
          </cell>
          <cell r="C582" t="str">
            <v>3001</v>
          </cell>
          <cell r="D582" t="str">
            <v>L</v>
          </cell>
          <cell r="E582" t="str">
            <v/>
          </cell>
          <cell r="F582" t="str">
            <v>2026</v>
          </cell>
          <cell r="G582" t="str">
            <v>2</v>
          </cell>
          <cell r="H582">
            <v>499</v>
          </cell>
          <cell r="I582">
            <v>0</v>
          </cell>
          <cell r="J582" t="str">
            <v>X</v>
          </cell>
          <cell r="K582" t="str">
            <v>X</v>
          </cell>
          <cell r="L582" t="str">
            <v>02:09:01</v>
          </cell>
          <cell r="M582">
            <v>45797</v>
          </cell>
          <cell r="N582">
            <v>44430</v>
          </cell>
          <cell r="O582" t="str">
            <v>X</v>
          </cell>
          <cell r="P582" t="str">
            <v>2025</v>
          </cell>
          <cell r="Q582">
            <v>499</v>
          </cell>
          <cell r="R582" t="str">
            <v/>
          </cell>
        </row>
        <row r="583">
          <cell r="A583" t="str">
            <v>4007843</v>
          </cell>
          <cell r="B583" t="str">
            <v>3300</v>
          </cell>
          <cell r="C583" t="str">
            <v>3001</v>
          </cell>
          <cell r="D583" t="str">
            <v>L</v>
          </cell>
          <cell r="E583" t="str">
            <v/>
          </cell>
          <cell r="F583" t="str">
            <v>2026</v>
          </cell>
          <cell r="G583" t="str">
            <v>2</v>
          </cell>
          <cell r="H583">
            <v>1390</v>
          </cell>
          <cell r="I583">
            <v>0</v>
          </cell>
          <cell r="J583" t="str">
            <v>X</v>
          </cell>
          <cell r="K583" t="str">
            <v>X</v>
          </cell>
          <cell r="L583" t="str">
            <v>10:03:01</v>
          </cell>
          <cell r="M583">
            <v>45987</v>
          </cell>
          <cell r="N583">
            <v>44430</v>
          </cell>
          <cell r="O583" t="str">
            <v>X</v>
          </cell>
          <cell r="P583" t="str">
            <v>2025</v>
          </cell>
          <cell r="Q583">
            <v>1390</v>
          </cell>
          <cell r="R583" t="str">
            <v/>
          </cell>
        </row>
        <row r="584">
          <cell r="A584" t="str">
            <v>4007851</v>
          </cell>
          <cell r="B584" t="str">
            <v>3300</v>
          </cell>
          <cell r="C584" t="str">
            <v>3001</v>
          </cell>
          <cell r="D584" t="str">
            <v>DL</v>
          </cell>
          <cell r="E584" t="str">
            <v/>
          </cell>
          <cell r="F584" t="str">
            <v>2024</v>
          </cell>
          <cell r="G584" t="str">
            <v>6</v>
          </cell>
          <cell r="H584">
            <v>0</v>
          </cell>
          <cell r="I584">
            <v>0</v>
          </cell>
          <cell r="J584" t="str">
            <v/>
          </cell>
          <cell r="K584" t="str">
            <v/>
          </cell>
          <cell r="L584" t="str">
            <v/>
          </cell>
          <cell r="M584" t="str">
            <v/>
          </cell>
          <cell r="N584">
            <v>45462</v>
          </cell>
          <cell r="O584" t="str">
            <v>X</v>
          </cell>
          <cell r="P584" t="str">
            <v>2024</v>
          </cell>
          <cell r="Q584">
            <v>0</v>
          </cell>
          <cell r="R584" t="str">
            <v>INAKTIV</v>
          </cell>
        </row>
        <row r="585">
          <cell r="A585" t="str">
            <v>4007872</v>
          </cell>
          <cell r="B585" t="str">
            <v>3300</v>
          </cell>
          <cell r="C585" t="str">
            <v>3001</v>
          </cell>
          <cell r="D585" t="str">
            <v>DL</v>
          </cell>
          <cell r="E585" t="str">
            <v/>
          </cell>
          <cell r="F585" t="str">
            <v>2024</v>
          </cell>
          <cell r="G585" t="str">
            <v>12</v>
          </cell>
          <cell r="H585">
            <v>0</v>
          </cell>
          <cell r="I585">
            <v>0</v>
          </cell>
          <cell r="J585" t="str">
            <v/>
          </cell>
          <cell r="K585" t="str">
            <v/>
          </cell>
          <cell r="L585" t="str">
            <v/>
          </cell>
          <cell r="M585" t="str">
            <v/>
          </cell>
          <cell r="N585">
            <v>45630</v>
          </cell>
          <cell r="O585" t="str">
            <v>X</v>
          </cell>
          <cell r="P585" t="str">
            <v>2024</v>
          </cell>
          <cell r="Q585">
            <v>0</v>
          </cell>
          <cell r="R585" t="str">
            <v>INAKTIV</v>
          </cell>
        </row>
        <row r="586">
          <cell r="A586" t="str">
            <v>4008002</v>
          </cell>
          <cell r="B586" t="str">
            <v>3300</v>
          </cell>
          <cell r="C586" t="str">
            <v>3001</v>
          </cell>
          <cell r="D586" t="str">
            <v>DL</v>
          </cell>
          <cell r="E586" t="str">
            <v/>
          </cell>
          <cell r="F586" t="str">
            <v>2026</v>
          </cell>
          <cell r="G586" t="str">
            <v>1</v>
          </cell>
          <cell r="H586">
            <v>93</v>
          </cell>
          <cell r="I586">
            <v>0</v>
          </cell>
          <cell r="J586" t="str">
            <v>X</v>
          </cell>
          <cell r="K586" t="str">
            <v>X</v>
          </cell>
          <cell r="L586" t="str">
            <v>05:13:01</v>
          </cell>
          <cell r="M586">
            <v>45804</v>
          </cell>
          <cell r="N586">
            <v>44578</v>
          </cell>
          <cell r="O586" t="str">
            <v>X</v>
          </cell>
          <cell r="P586" t="str">
            <v>2025</v>
          </cell>
          <cell r="Q586">
            <v>93</v>
          </cell>
          <cell r="R586" t="str">
            <v/>
          </cell>
        </row>
        <row r="587">
          <cell r="A587" t="str">
            <v>4008010</v>
          </cell>
          <cell r="B587" t="str">
            <v>3300</v>
          </cell>
          <cell r="C587" t="str">
            <v>3001</v>
          </cell>
          <cell r="D587" t="str">
            <v>L</v>
          </cell>
          <cell r="E587" t="str">
            <v/>
          </cell>
          <cell r="F587" t="str">
            <v>2026</v>
          </cell>
          <cell r="G587" t="str">
            <v>2</v>
          </cell>
          <cell r="H587">
            <v>249</v>
          </cell>
          <cell r="I587">
            <v>0</v>
          </cell>
          <cell r="J587" t="str">
            <v>X</v>
          </cell>
          <cell r="K587" t="str">
            <v>X</v>
          </cell>
          <cell r="L587" t="str">
            <v>09:09:00</v>
          </cell>
          <cell r="M587">
            <v>45987</v>
          </cell>
          <cell r="N587">
            <v>44430</v>
          </cell>
          <cell r="O587" t="str">
            <v>X</v>
          </cell>
          <cell r="P587" t="str">
            <v>2025</v>
          </cell>
          <cell r="Q587">
            <v>249</v>
          </cell>
          <cell r="R587" t="str">
            <v/>
          </cell>
        </row>
        <row r="588">
          <cell r="A588" t="str">
            <v>4008022</v>
          </cell>
          <cell r="B588" t="str">
            <v>3300</v>
          </cell>
          <cell r="C588" t="str">
            <v>3001</v>
          </cell>
          <cell r="D588" t="str">
            <v>L</v>
          </cell>
          <cell r="E588" t="str">
            <v/>
          </cell>
          <cell r="F588" t="str">
            <v>2026</v>
          </cell>
          <cell r="G588" t="str">
            <v>3</v>
          </cell>
          <cell r="H588">
            <v>40</v>
          </cell>
          <cell r="I588">
            <v>0</v>
          </cell>
          <cell r="J588" t="str">
            <v>X</v>
          </cell>
          <cell r="K588" t="str">
            <v>X</v>
          </cell>
          <cell r="L588" t="str">
            <v>07:11:01</v>
          </cell>
          <cell r="M588">
            <v>45825</v>
          </cell>
          <cell r="N588">
            <v>44430</v>
          </cell>
          <cell r="O588" t="str">
            <v>X</v>
          </cell>
          <cell r="P588" t="str">
            <v>2025</v>
          </cell>
          <cell r="Q588">
            <v>40</v>
          </cell>
          <cell r="R588" t="str">
            <v/>
          </cell>
        </row>
        <row r="589">
          <cell r="A589" t="str">
            <v>4008023</v>
          </cell>
          <cell r="B589" t="str">
            <v>3300</v>
          </cell>
          <cell r="C589" t="str">
            <v>3001</v>
          </cell>
          <cell r="D589" t="str">
            <v>L</v>
          </cell>
          <cell r="E589" t="str">
            <v/>
          </cell>
          <cell r="F589" t="str">
            <v>2026</v>
          </cell>
          <cell r="G589" t="str">
            <v>2</v>
          </cell>
          <cell r="H589">
            <v>300</v>
          </cell>
          <cell r="I589">
            <v>0</v>
          </cell>
          <cell r="J589" t="str">
            <v>X</v>
          </cell>
          <cell r="K589" t="str">
            <v>X</v>
          </cell>
          <cell r="L589" t="str">
            <v>09:11:00</v>
          </cell>
          <cell r="M589">
            <v>45987</v>
          </cell>
          <cell r="N589">
            <v>44430</v>
          </cell>
          <cell r="O589" t="str">
            <v>X</v>
          </cell>
          <cell r="P589" t="str">
            <v>2025</v>
          </cell>
          <cell r="Q589">
            <v>300</v>
          </cell>
          <cell r="R589" t="str">
            <v/>
          </cell>
        </row>
        <row r="590">
          <cell r="A590" t="str">
            <v>4008024</v>
          </cell>
          <cell r="B590" t="str">
            <v>3300</v>
          </cell>
          <cell r="C590" t="str">
            <v>3001</v>
          </cell>
          <cell r="D590" t="str">
            <v>L</v>
          </cell>
          <cell r="E590" t="str">
            <v/>
          </cell>
          <cell r="F590" t="str">
            <v>2022</v>
          </cell>
          <cell r="G590" t="str">
            <v>6</v>
          </cell>
          <cell r="H590">
            <v>0</v>
          </cell>
          <cell r="I590">
            <v>0</v>
          </cell>
          <cell r="J590" t="str">
            <v>X</v>
          </cell>
          <cell r="K590" t="str">
            <v/>
          </cell>
          <cell r="L590" t="str">
            <v>SLETTET</v>
          </cell>
          <cell r="M590">
            <v>44568</v>
          </cell>
          <cell r="N590">
            <v>44430</v>
          </cell>
          <cell r="O590" t="str">
            <v>X</v>
          </cell>
          <cell r="P590" t="str">
            <v>2022</v>
          </cell>
          <cell r="Q590">
            <v>0</v>
          </cell>
          <cell r="R590" t="str">
            <v>INAKTIV</v>
          </cell>
        </row>
        <row r="591">
          <cell r="A591" t="str">
            <v>4008026</v>
          </cell>
          <cell r="B591" t="str">
            <v>3300</v>
          </cell>
          <cell r="C591" t="str">
            <v>3001</v>
          </cell>
          <cell r="D591" t="str">
            <v>L</v>
          </cell>
          <cell r="E591" t="str">
            <v/>
          </cell>
          <cell r="F591" t="str">
            <v>2022</v>
          </cell>
          <cell r="G591" t="str">
            <v>5</v>
          </cell>
          <cell r="H591">
            <v>0</v>
          </cell>
          <cell r="I591">
            <v>0</v>
          </cell>
          <cell r="J591" t="str">
            <v>X</v>
          </cell>
          <cell r="K591" t="str">
            <v/>
          </cell>
          <cell r="L591" t="str">
            <v>SLETTET</v>
          </cell>
          <cell r="M591">
            <v>44568</v>
          </cell>
          <cell r="N591">
            <v>44430</v>
          </cell>
          <cell r="O591" t="str">
            <v>X</v>
          </cell>
          <cell r="P591" t="str">
            <v>2022</v>
          </cell>
          <cell r="Q591">
            <v>0</v>
          </cell>
          <cell r="R591" t="str">
            <v>INAKTIV</v>
          </cell>
        </row>
        <row r="592">
          <cell r="A592" t="str">
            <v>4008027</v>
          </cell>
          <cell r="B592" t="str">
            <v>3300</v>
          </cell>
          <cell r="C592" t="str">
            <v>3001</v>
          </cell>
          <cell r="D592" t="str">
            <v>L</v>
          </cell>
          <cell r="E592" t="str">
            <v>X</v>
          </cell>
          <cell r="F592" t="str">
            <v>2021</v>
          </cell>
          <cell r="G592" t="str">
            <v>8</v>
          </cell>
          <cell r="H592">
            <v>0</v>
          </cell>
          <cell r="I592">
            <v>0</v>
          </cell>
          <cell r="J592" t="str">
            <v/>
          </cell>
          <cell r="K592" t="str">
            <v/>
          </cell>
          <cell r="L592" t="str">
            <v>SLETTET</v>
          </cell>
          <cell r="M592" t="str">
            <v/>
          </cell>
          <cell r="N592">
            <v>44430</v>
          </cell>
          <cell r="O592" t="str">
            <v>X</v>
          </cell>
          <cell r="P592" t="str">
            <v>2022</v>
          </cell>
          <cell r="Q592">
            <v>0</v>
          </cell>
          <cell r="R592" t="str">
            <v>INAKTIV</v>
          </cell>
        </row>
        <row r="593">
          <cell r="A593" t="str">
            <v>4008033</v>
          </cell>
          <cell r="B593" t="str">
            <v>3300</v>
          </cell>
          <cell r="C593" t="str">
            <v>3001</v>
          </cell>
          <cell r="D593" t="str">
            <v>L</v>
          </cell>
          <cell r="E593" t="str">
            <v/>
          </cell>
          <cell r="F593" t="str">
            <v>2026</v>
          </cell>
          <cell r="G593" t="str">
            <v>2</v>
          </cell>
          <cell r="H593">
            <v>38</v>
          </cell>
          <cell r="I593">
            <v>0</v>
          </cell>
          <cell r="J593" t="str">
            <v>X</v>
          </cell>
          <cell r="K593" t="str">
            <v>X</v>
          </cell>
          <cell r="L593" t="str">
            <v>08:10:01</v>
          </cell>
          <cell r="M593">
            <v>45980</v>
          </cell>
          <cell r="N593">
            <v>44430</v>
          </cell>
          <cell r="O593" t="str">
            <v>X</v>
          </cell>
          <cell r="P593" t="str">
            <v>2025</v>
          </cell>
          <cell r="Q593">
            <v>38</v>
          </cell>
          <cell r="R593" t="str">
            <v/>
          </cell>
        </row>
        <row r="594">
          <cell r="A594" t="str">
            <v>4008034</v>
          </cell>
          <cell r="B594" t="str">
            <v>3300</v>
          </cell>
          <cell r="C594" t="str">
            <v>3001</v>
          </cell>
          <cell r="D594" t="str">
            <v>L</v>
          </cell>
          <cell r="E594" t="str">
            <v/>
          </cell>
          <cell r="F594" t="str">
            <v>2026</v>
          </cell>
          <cell r="G594" t="str">
            <v>3</v>
          </cell>
          <cell r="H594">
            <v>180</v>
          </cell>
          <cell r="I594">
            <v>0</v>
          </cell>
          <cell r="J594" t="str">
            <v>X</v>
          </cell>
          <cell r="K594" t="str">
            <v>X</v>
          </cell>
          <cell r="L594" t="str">
            <v>07:05:00</v>
          </cell>
          <cell r="M594">
            <v>45824</v>
          </cell>
          <cell r="N594">
            <v>44430</v>
          </cell>
          <cell r="O594" t="str">
            <v>X</v>
          </cell>
          <cell r="P594" t="str">
            <v>2025</v>
          </cell>
          <cell r="Q594">
            <v>180</v>
          </cell>
          <cell r="R594" t="str">
            <v/>
          </cell>
        </row>
        <row r="595">
          <cell r="A595" t="str">
            <v>4008035</v>
          </cell>
          <cell r="B595" t="str">
            <v>3300</v>
          </cell>
          <cell r="C595" t="str">
            <v>3001</v>
          </cell>
          <cell r="D595" t="str">
            <v>L</v>
          </cell>
          <cell r="E595" t="str">
            <v/>
          </cell>
          <cell r="F595" t="str">
            <v>2025</v>
          </cell>
          <cell r="G595" t="str">
            <v>6</v>
          </cell>
          <cell r="H595">
            <v>0</v>
          </cell>
          <cell r="I595">
            <v>0</v>
          </cell>
          <cell r="J595" t="str">
            <v/>
          </cell>
          <cell r="K595" t="str">
            <v>X</v>
          </cell>
          <cell r="L595" t="str">
            <v>SLETTET</v>
          </cell>
          <cell r="M595">
            <v>44568</v>
          </cell>
          <cell r="N595">
            <v>44430</v>
          </cell>
          <cell r="O595" t="str">
            <v>X</v>
          </cell>
          <cell r="P595" t="str">
            <v>2023</v>
          </cell>
          <cell r="Q595">
            <v>0</v>
          </cell>
          <cell r="R595" t="str">
            <v>INAKTIV</v>
          </cell>
        </row>
        <row r="596">
          <cell r="A596" t="str">
            <v>4008075</v>
          </cell>
          <cell r="B596" t="str">
            <v>3300</v>
          </cell>
          <cell r="C596" t="str">
            <v>3001</v>
          </cell>
          <cell r="D596" t="str">
            <v>L</v>
          </cell>
          <cell r="E596" t="str">
            <v/>
          </cell>
          <cell r="F596" t="str">
            <v>2024</v>
          </cell>
          <cell r="G596" t="str">
            <v>4</v>
          </cell>
          <cell r="H596">
            <v>0</v>
          </cell>
          <cell r="I596">
            <v>0</v>
          </cell>
          <cell r="J596" t="str">
            <v>X</v>
          </cell>
          <cell r="K596" t="str">
            <v>X</v>
          </cell>
          <cell r="L596" t="str">
            <v>SLETTET</v>
          </cell>
          <cell r="M596">
            <v>45797</v>
          </cell>
          <cell r="N596">
            <v>44430</v>
          </cell>
          <cell r="O596" t="str">
            <v>X</v>
          </cell>
          <cell r="P596" t="str">
            <v>2025</v>
          </cell>
          <cell r="Q596">
            <v>0</v>
          </cell>
          <cell r="R596" t="str">
            <v>INAKTIV</v>
          </cell>
        </row>
        <row r="597">
          <cell r="A597" t="str">
            <v>4008076</v>
          </cell>
          <cell r="B597" t="str">
            <v>3300</v>
          </cell>
          <cell r="C597" t="str">
            <v>3001</v>
          </cell>
          <cell r="D597" t="str">
            <v>L</v>
          </cell>
          <cell r="E597" t="str">
            <v/>
          </cell>
          <cell r="F597" t="str">
            <v>2026</v>
          </cell>
          <cell r="G597" t="str">
            <v>1</v>
          </cell>
          <cell r="H597">
            <v>135</v>
          </cell>
          <cell r="I597">
            <v>0</v>
          </cell>
          <cell r="J597" t="str">
            <v>X</v>
          </cell>
          <cell r="K597" t="str">
            <v>X</v>
          </cell>
          <cell r="L597" t="str">
            <v>03:11:03</v>
          </cell>
          <cell r="M597">
            <v>45798</v>
          </cell>
          <cell r="N597">
            <v>44430</v>
          </cell>
          <cell r="O597" t="str">
            <v>X</v>
          </cell>
          <cell r="P597" t="str">
            <v>2025</v>
          </cell>
          <cell r="Q597">
            <v>135</v>
          </cell>
          <cell r="R597" t="str">
            <v/>
          </cell>
        </row>
        <row r="598">
          <cell r="A598" t="str">
            <v>4008077</v>
          </cell>
          <cell r="B598" t="str">
            <v>3300</v>
          </cell>
          <cell r="C598" t="str">
            <v>3001</v>
          </cell>
          <cell r="D598" t="str">
            <v>L</v>
          </cell>
          <cell r="E598" t="str">
            <v/>
          </cell>
          <cell r="F598" t="str">
            <v>2026</v>
          </cell>
          <cell r="G598" t="str">
            <v>2</v>
          </cell>
          <cell r="H598">
            <v>135</v>
          </cell>
          <cell r="I598">
            <v>0</v>
          </cell>
          <cell r="J598" t="str">
            <v>X</v>
          </cell>
          <cell r="K598" t="str">
            <v>X</v>
          </cell>
          <cell r="L598" t="str">
            <v>03:11:01</v>
          </cell>
          <cell r="M598">
            <v>45798</v>
          </cell>
          <cell r="N598">
            <v>44430</v>
          </cell>
          <cell r="O598" t="str">
            <v>X</v>
          </cell>
          <cell r="P598" t="str">
            <v>2025</v>
          </cell>
          <cell r="Q598">
            <v>135</v>
          </cell>
          <cell r="R598" t="str">
            <v/>
          </cell>
        </row>
        <row r="599">
          <cell r="A599" t="str">
            <v>4008079</v>
          </cell>
          <cell r="B599" t="str">
            <v>3300</v>
          </cell>
          <cell r="C599" t="str">
            <v>3001</v>
          </cell>
          <cell r="D599" t="str">
            <v>L</v>
          </cell>
          <cell r="E599" t="str">
            <v/>
          </cell>
          <cell r="F599" t="str">
            <v>2026</v>
          </cell>
          <cell r="G599" t="str">
            <v>2</v>
          </cell>
          <cell r="H599">
            <v>850</v>
          </cell>
          <cell r="I599">
            <v>0</v>
          </cell>
          <cell r="J599" t="str">
            <v>X</v>
          </cell>
          <cell r="K599" t="str">
            <v>X</v>
          </cell>
          <cell r="L599" t="str">
            <v>04:07:03</v>
          </cell>
          <cell r="M599">
            <v>45799</v>
          </cell>
          <cell r="N599">
            <v>44430</v>
          </cell>
          <cell r="O599" t="str">
            <v>X</v>
          </cell>
          <cell r="P599" t="str">
            <v>2025</v>
          </cell>
          <cell r="Q599">
            <v>850</v>
          </cell>
          <cell r="R599" t="str">
            <v/>
          </cell>
        </row>
        <row r="600">
          <cell r="A600" t="str">
            <v>4008095</v>
          </cell>
          <cell r="B600" t="str">
            <v>3300</v>
          </cell>
          <cell r="C600" t="str">
            <v>3001</v>
          </cell>
          <cell r="D600" t="str">
            <v>L</v>
          </cell>
          <cell r="E600" t="str">
            <v/>
          </cell>
          <cell r="F600" t="str">
            <v>2026</v>
          </cell>
          <cell r="G600" t="str">
            <v>2</v>
          </cell>
          <cell r="H600">
            <v>1600</v>
          </cell>
          <cell r="I600">
            <v>0</v>
          </cell>
          <cell r="J600" t="str">
            <v>X</v>
          </cell>
          <cell r="K600" t="str">
            <v/>
          </cell>
          <cell r="L600" t="str">
            <v>K3:I</v>
          </cell>
          <cell r="M600">
            <v>46029</v>
          </cell>
          <cell r="N600">
            <v>44430</v>
          </cell>
          <cell r="O600" t="str">
            <v>X</v>
          </cell>
          <cell r="P600" t="str">
            <v>2026</v>
          </cell>
          <cell r="Q600">
            <v>1600</v>
          </cell>
          <cell r="R600" t="str">
            <v/>
          </cell>
        </row>
        <row r="601">
          <cell r="A601" t="str">
            <v>4008096</v>
          </cell>
          <cell r="B601" t="str">
            <v>3300</v>
          </cell>
          <cell r="C601" t="str">
            <v>3001</v>
          </cell>
          <cell r="D601" t="str">
            <v>L</v>
          </cell>
          <cell r="E601" t="str">
            <v/>
          </cell>
          <cell r="F601" t="str">
            <v>2026</v>
          </cell>
          <cell r="G601" t="str">
            <v>3</v>
          </cell>
          <cell r="H601">
            <v>5166</v>
          </cell>
          <cell r="I601">
            <v>0</v>
          </cell>
          <cell r="J601" t="str">
            <v>X</v>
          </cell>
          <cell r="K601" t="str">
            <v/>
          </cell>
          <cell r="L601" t="str">
            <v>K3:I:02</v>
          </cell>
          <cell r="M601">
            <v>46029</v>
          </cell>
          <cell r="N601">
            <v>44430</v>
          </cell>
          <cell r="O601" t="str">
            <v>X</v>
          </cell>
          <cell r="P601" t="str">
            <v>2026</v>
          </cell>
          <cell r="Q601">
            <v>5166</v>
          </cell>
          <cell r="R601" t="str">
            <v/>
          </cell>
        </row>
        <row r="602">
          <cell r="A602" t="str">
            <v>4008099</v>
          </cell>
          <cell r="B602" t="str">
            <v>3300</v>
          </cell>
          <cell r="C602" t="str">
            <v>3001</v>
          </cell>
          <cell r="D602" t="str">
            <v>L</v>
          </cell>
          <cell r="E602" t="str">
            <v/>
          </cell>
          <cell r="F602" t="str">
            <v>2026</v>
          </cell>
          <cell r="G602" t="str">
            <v>2</v>
          </cell>
          <cell r="H602">
            <v>500</v>
          </cell>
          <cell r="I602">
            <v>0</v>
          </cell>
          <cell r="J602" t="str">
            <v>X</v>
          </cell>
          <cell r="K602" t="str">
            <v/>
          </cell>
          <cell r="L602" t="str">
            <v>K3:I:03</v>
          </cell>
          <cell r="M602">
            <v>46029</v>
          </cell>
          <cell r="N602">
            <v>44430</v>
          </cell>
          <cell r="O602" t="str">
            <v>X</v>
          </cell>
          <cell r="P602" t="str">
            <v>2026</v>
          </cell>
          <cell r="Q602">
            <v>500</v>
          </cell>
          <cell r="R602" t="str">
            <v/>
          </cell>
        </row>
        <row r="603">
          <cell r="A603" t="str">
            <v>4008100</v>
          </cell>
          <cell r="B603" t="str">
            <v>3300</v>
          </cell>
          <cell r="C603" t="str">
            <v>3001</v>
          </cell>
          <cell r="D603" t="str">
            <v>L</v>
          </cell>
          <cell r="E603" t="str">
            <v/>
          </cell>
          <cell r="F603" t="str">
            <v>2026</v>
          </cell>
          <cell r="G603" t="str">
            <v>2</v>
          </cell>
          <cell r="H603">
            <v>12</v>
          </cell>
          <cell r="I603">
            <v>0</v>
          </cell>
          <cell r="J603" t="str">
            <v>X</v>
          </cell>
          <cell r="K603" t="str">
            <v>X</v>
          </cell>
          <cell r="L603" t="str">
            <v>13:12:00</v>
          </cell>
          <cell r="M603">
            <v>46001</v>
          </cell>
          <cell r="N603">
            <v>44430</v>
          </cell>
          <cell r="O603" t="str">
            <v>X</v>
          </cell>
          <cell r="P603" t="str">
            <v>2025</v>
          </cell>
          <cell r="Q603">
            <v>12</v>
          </cell>
          <cell r="R603" t="str">
            <v/>
          </cell>
        </row>
        <row r="604">
          <cell r="A604" t="str">
            <v>4008106</v>
          </cell>
          <cell r="B604" t="str">
            <v>3300</v>
          </cell>
          <cell r="C604" t="str">
            <v>3001</v>
          </cell>
          <cell r="D604" t="str">
            <v>L</v>
          </cell>
          <cell r="E604" t="str">
            <v/>
          </cell>
          <cell r="F604" t="str">
            <v>2026</v>
          </cell>
          <cell r="G604" t="str">
            <v>2</v>
          </cell>
          <cell r="H604">
            <v>1300</v>
          </cell>
          <cell r="I604">
            <v>0</v>
          </cell>
          <cell r="J604" t="str">
            <v>X</v>
          </cell>
          <cell r="K604" t="str">
            <v>X</v>
          </cell>
          <cell r="L604" t="str">
            <v>17:01:01</v>
          </cell>
          <cell r="M604">
            <v>46006</v>
          </cell>
          <cell r="N604">
            <v>44430</v>
          </cell>
          <cell r="O604" t="str">
            <v>X</v>
          </cell>
          <cell r="P604" t="str">
            <v>2025</v>
          </cell>
          <cell r="Q604">
            <v>1300</v>
          </cell>
          <cell r="R604" t="str">
            <v/>
          </cell>
        </row>
        <row r="605">
          <cell r="A605" t="str">
            <v>4008108</v>
          </cell>
          <cell r="B605" t="str">
            <v>3300</v>
          </cell>
          <cell r="C605" t="str">
            <v>3001</v>
          </cell>
          <cell r="D605" t="str">
            <v>L</v>
          </cell>
          <cell r="E605" t="str">
            <v/>
          </cell>
          <cell r="F605" t="str">
            <v>2026</v>
          </cell>
          <cell r="G605" t="str">
            <v>2</v>
          </cell>
          <cell r="H605">
            <v>54</v>
          </cell>
          <cell r="I605">
            <v>0</v>
          </cell>
          <cell r="J605" t="str">
            <v>X</v>
          </cell>
          <cell r="K605" t="str">
            <v>X</v>
          </cell>
          <cell r="L605" t="str">
            <v>05:08:02</v>
          </cell>
          <cell r="M605">
            <v>45803</v>
          </cell>
          <cell r="N605">
            <v>44430</v>
          </cell>
          <cell r="O605" t="str">
            <v>X</v>
          </cell>
          <cell r="P605" t="str">
            <v>2025</v>
          </cell>
          <cell r="Q605">
            <v>54</v>
          </cell>
          <cell r="R605" t="str">
            <v/>
          </cell>
        </row>
        <row r="606">
          <cell r="A606" t="str">
            <v>4008109</v>
          </cell>
          <cell r="B606" t="str">
            <v>3300</v>
          </cell>
          <cell r="C606" t="str">
            <v>3001</v>
          </cell>
          <cell r="D606" t="str">
            <v>L</v>
          </cell>
          <cell r="E606" t="str">
            <v/>
          </cell>
          <cell r="F606" t="str">
            <v>2026</v>
          </cell>
          <cell r="G606" t="str">
            <v>2</v>
          </cell>
          <cell r="H606">
            <v>250</v>
          </cell>
          <cell r="I606">
            <v>0</v>
          </cell>
          <cell r="J606" t="str">
            <v>X</v>
          </cell>
          <cell r="K606" t="str">
            <v>X</v>
          </cell>
          <cell r="L606" t="str">
            <v>13:08:01</v>
          </cell>
          <cell r="M606">
            <v>45994</v>
          </cell>
          <cell r="N606">
            <v>44430</v>
          </cell>
          <cell r="O606" t="str">
            <v>X</v>
          </cell>
          <cell r="P606" t="str">
            <v>2025</v>
          </cell>
          <cell r="Q606">
            <v>250</v>
          </cell>
          <cell r="R606" t="str">
            <v/>
          </cell>
        </row>
        <row r="607">
          <cell r="A607" t="str">
            <v>4008110</v>
          </cell>
          <cell r="B607" t="str">
            <v>3300</v>
          </cell>
          <cell r="C607" t="str">
            <v>3001</v>
          </cell>
          <cell r="D607" t="str">
            <v>L</v>
          </cell>
          <cell r="E607" t="str">
            <v/>
          </cell>
          <cell r="F607" t="str">
            <v>2026</v>
          </cell>
          <cell r="G607" t="str">
            <v>2</v>
          </cell>
          <cell r="H607">
            <v>350</v>
          </cell>
          <cell r="I607">
            <v>0</v>
          </cell>
          <cell r="J607" t="str">
            <v>X</v>
          </cell>
          <cell r="K607" t="str">
            <v>X</v>
          </cell>
          <cell r="L607" t="str">
            <v>09:10:00</v>
          </cell>
          <cell r="M607">
            <v>45987</v>
          </cell>
          <cell r="N607">
            <v>44430</v>
          </cell>
          <cell r="O607" t="str">
            <v>X</v>
          </cell>
          <cell r="P607" t="str">
            <v>2025</v>
          </cell>
          <cell r="Q607">
            <v>350</v>
          </cell>
          <cell r="R607" t="str">
            <v/>
          </cell>
        </row>
        <row r="608">
          <cell r="A608" t="str">
            <v>4008121</v>
          </cell>
          <cell r="B608" t="str">
            <v>3300</v>
          </cell>
          <cell r="C608" t="str">
            <v>3001</v>
          </cell>
          <cell r="D608" t="str">
            <v>L</v>
          </cell>
          <cell r="E608" t="str">
            <v/>
          </cell>
          <cell r="F608" t="str">
            <v>2026</v>
          </cell>
          <cell r="G608" t="str">
            <v>2</v>
          </cell>
          <cell r="H608">
            <v>80</v>
          </cell>
          <cell r="I608">
            <v>0</v>
          </cell>
          <cell r="J608" t="str">
            <v>X</v>
          </cell>
          <cell r="K608" t="str">
            <v>X</v>
          </cell>
          <cell r="L608" t="str">
            <v>08:01:01</v>
          </cell>
          <cell r="M608">
            <v>45825</v>
          </cell>
          <cell r="N608">
            <v>44430</v>
          </cell>
          <cell r="O608" t="str">
            <v>X</v>
          </cell>
          <cell r="P608" t="str">
            <v>2025</v>
          </cell>
          <cell r="Q608">
            <v>80</v>
          </cell>
          <cell r="R608" t="str">
            <v/>
          </cell>
        </row>
        <row r="609">
          <cell r="A609" t="str">
            <v>4008122</v>
          </cell>
          <cell r="B609" t="str">
            <v>3300</v>
          </cell>
          <cell r="C609" t="str">
            <v>3001</v>
          </cell>
          <cell r="D609" t="str">
            <v>L</v>
          </cell>
          <cell r="E609" t="str">
            <v/>
          </cell>
          <cell r="F609" t="str">
            <v>2026</v>
          </cell>
          <cell r="G609" t="str">
            <v>2</v>
          </cell>
          <cell r="H609">
            <v>100</v>
          </cell>
          <cell r="I609">
            <v>0</v>
          </cell>
          <cell r="J609" t="str">
            <v>X</v>
          </cell>
          <cell r="K609" t="str">
            <v>X</v>
          </cell>
          <cell r="L609" t="str">
            <v>02:12:01</v>
          </cell>
          <cell r="M609">
            <v>45797</v>
          </cell>
          <cell r="N609">
            <v>44430</v>
          </cell>
          <cell r="O609" t="str">
            <v>X</v>
          </cell>
          <cell r="P609" t="str">
            <v>2025</v>
          </cell>
          <cell r="Q609">
            <v>100</v>
          </cell>
          <cell r="R609" t="str">
            <v/>
          </cell>
        </row>
        <row r="610">
          <cell r="A610" t="str">
            <v>4008123</v>
          </cell>
          <cell r="B610" t="str">
            <v>3300</v>
          </cell>
          <cell r="C610" t="str">
            <v>3001</v>
          </cell>
          <cell r="D610" t="str">
            <v>L</v>
          </cell>
          <cell r="E610" t="str">
            <v/>
          </cell>
          <cell r="F610" t="str">
            <v>2026</v>
          </cell>
          <cell r="G610" t="str">
            <v>3</v>
          </cell>
          <cell r="H610">
            <v>67</v>
          </cell>
          <cell r="I610">
            <v>0</v>
          </cell>
          <cell r="J610" t="str">
            <v>X</v>
          </cell>
          <cell r="K610" t="str">
            <v>X</v>
          </cell>
          <cell r="L610" t="str">
            <v>02:07:03</v>
          </cell>
          <cell r="M610">
            <v>45796</v>
          </cell>
          <cell r="N610">
            <v>44430</v>
          </cell>
          <cell r="O610" t="str">
            <v>X</v>
          </cell>
          <cell r="P610" t="str">
            <v>2025</v>
          </cell>
          <cell r="Q610">
            <v>67</v>
          </cell>
          <cell r="R610" t="str">
            <v/>
          </cell>
        </row>
        <row r="611">
          <cell r="A611" t="str">
            <v>4008124</v>
          </cell>
          <cell r="B611" t="str">
            <v>3300</v>
          </cell>
          <cell r="C611" t="str">
            <v>3001</v>
          </cell>
          <cell r="D611" t="str">
            <v>L</v>
          </cell>
          <cell r="E611" t="str">
            <v>X</v>
          </cell>
          <cell r="F611" t="str">
            <v>2025</v>
          </cell>
          <cell r="G611" t="str">
            <v>11</v>
          </cell>
          <cell r="H611">
            <v>0</v>
          </cell>
          <cell r="I611">
            <v>0</v>
          </cell>
          <cell r="J611" t="str">
            <v>X</v>
          </cell>
          <cell r="K611" t="str">
            <v>X</v>
          </cell>
          <cell r="L611" t="str">
            <v>SLETTET</v>
          </cell>
          <cell r="M611">
            <v>45793</v>
          </cell>
          <cell r="N611">
            <v>44430</v>
          </cell>
          <cell r="O611" t="str">
            <v>X</v>
          </cell>
          <cell r="P611" t="str">
            <v>2025</v>
          </cell>
          <cell r="Q611">
            <v>0</v>
          </cell>
          <cell r="R611" t="str">
            <v>INAKTIV</v>
          </cell>
        </row>
        <row r="612">
          <cell r="A612" t="str">
            <v>4008133</v>
          </cell>
          <cell r="B612" t="str">
            <v>3300</v>
          </cell>
          <cell r="C612" t="str">
            <v>3001</v>
          </cell>
          <cell r="D612" t="str">
            <v>L</v>
          </cell>
          <cell r="E612" t="str">
            <v/>
          </cell>
          <cell r="F612" t="str">
            <v>2026</v>
          </cell>
          <cell r="G612" t="str">
            <v>1</v>
          </cell>
          <cell r="H612">
            <v>84</v>
          </cell>
          <cell r="I612">
            <v>0</v>
          </cell>
          <cell r="J612" t="str">
            <v>X</v>
          </cell>
          <cell r="K612" t="str">
            <v>X</v>
          </cell>
          <cell r="L612" t="str">
            <v>09:12:01</v>
          </cell>
          <cell r="M612">
            <v>45987</v>
          </cell>
          <cell r="N612">
            <v>44430</v>
          </cell>
          <cell r="O612" t="str">
            <v>X</v>
          </cell>
          <cell r="P612" t="str">
            <v>2025</v>
          </cell>
          <cell r="Q612">
            <v>84</v>
          </cell>
          <cell r="R612" t="str">
            <v/>
          </cell>
        </row>
        <row r="613">
          <cell r="A613" t="str">
            <v>4008142</v>
          </cell>
          <cell r="B613" t="str">
            <v>3300</v>
          </cell>
          <cell r="C613" t="str">
            <v>3001</v>
          </cell>
          <cell r="D613" t="str">
            <v>L</v>
          </cell>
          <cell r="E613" t="str">
            <v/>
          </cell>
          <cell r="F613" t="str">
            <v>2026</v>
          </cell>
          <cell r="G613" t="str">
            <v>2</v>
          </cell>
          <cell r="H613">
            <v>110</v>
          </cell>
          <cell r="I613">
            <v>0</v>
          </cell>
          <cell r="J613" t="str">
            <v>X</v>
          </cell>
          <cell r="K613" t="str">
            <v>X</v>
          </cell>
          <cell r="L613" t="str">
            <v>06:10:01</v>
          </cell>
          <cell r="M613">
            <v>45824</v>
          </cell>
          <cell r="N613">
            <v>44430</v>
          </cell>
          <cell r="O613" t="str">
            <v>X</v>
          </cell>
          <cell r="P613" t="str">
            <v>2025</v>
          </cell>
          <cell r="Q613">
            <v>110</v>
          </cell>
          <cell r="R613" t="str">
            <v/>
          </cell>
        </row>
        <row r="614">
          <cell r="A614" t="str">
            <v>4008143</v>
          </cell>
          <cell r="B614" t="str">
            <v>3300</v>
          </cell>
          <cell r="C614" t="str">
            <v>3001</v>
          </cell>
          <cell r="D614" t="str">
            <v>L</v>
          </cell>
          <cell r="E614" t="str">
            <v/>
          </cell>
          <cell r="F614" t="str">
            <v>2026</v>
          </cell>
          <cell r="G614" t="str">
            <v>1</v>
          </cell>
          <cell r="H614">
            <v>80</v>
          </cell>
          <cell r="I614">
            <v>0</v>
          </cell>
          <cell r="J614" t="str">
            <v>X</v>
          </cell>
          <cell r="K614" t="str">
            <v>X</v>
          </cell>
          <cell r="L614" t="str">
            <v>06:10:01</v>
          </cell>
          <cell r="M614">
            <v>45824</v>
          </cell>
          <cell r="N614">
            <v>44430</v>
          </cell>
          <cell r="O614" t="str">
            <v>X</v>
          </cell>
          <cell r="P614" t="str">
            <v>2025</v>
          </cell>
          <cell r="Q614">
            <v>80</v>
          </cell>
          <cell r="R614" t="str">
            <v/>
          </cell>
        </row>
        <row r="615">
          <cell r="A615" t="str">
            <v>4008145</v>
          </cell>
          <cell r="B615" t="str">
            <v>3300</v>
          </cell>
          <cell r="C615" t="str">
            <v>3001</v>
          </cell>
          <cell r="D615" t="str">
            <v>L</v>
          </cell>
          <cell r="E615" t="str">
            <v/>
          </cell>
          <cell r="F615" t="str">
            <v>2026</v>
          </cell>
          <cell r="G615" t="str">
            <v>2</v>
          </cell>
          <cell r="H615">
            <v>2100</v>
          </cell>
          <cell r="I615">
            <v>0</v>
          </cell>
          <cell r="J615" t="str">
            <v>X</v>
          </cell>
          <cell r="K615" t="str">
            <v/>
          </cell>
          <cell r="L615" t="str">
            <v>K4:C:5*</v>
          </cell>
          <cell r="M615">
            <v>46029</v>
          </cell>
          <cell r="N615">
            <v>44430</v>
          </cell>
          <cell r="O615" t="str">
            <v>X</v>
          </cell>
          <cell r="P615" t="str">
            <v>2026</v>
          </cell>
          <cell r="Q615">
            <v>2100</v>
          </cell>
          <cell r="R615" t="str">
            <v/>
          </cell>
        </row>
        <row r="616">
          <cell r="A616" t="str">
            <v>4008148</v>
          </cell>
          <cell r="B616" t="str">
            <v>3300</v>
          </cell>
          <cell r="C616" t="str">
            <v>3001</v>
          </cell>
          <cell r="D616" t="str">
            <v>L</v>
          </cell>
          <cell r="E616" t="str">
            <v/>
          </cell>
          <cell r="F616" t="str">
            <v>2026</v>
          </cell>
          <cell r="G616" t="str">
            <v>3</v>
          </cell>
          <cell r="H616">
            <v>2360</v>
          </cell>
          <cell r="I616">
            <v>0</v>
          </cell>
          <cell r="J616" t="str">
            <v>X</v>
          </cell>
          <cell r="K616" t="str">
            <v>X</v>
          </cell>
          <cell r="L616" t="str">
            <v>07:04:02</v>
          </cell>
          <cell r="M616">
            <v>45824</v>
          </cell>
          <cell r="N616">
            <v>44430</v>
          </cell>
          <cell r="O616" t="str">
            <v>X</v>
          </cell>
          <cell r="P616" t="str">
            <v>2025</v>
          </cell>
          <cell r="Q616">
            <v>2360</v>
          </cell>
          <cell r="R616" t="str">
            <v/>
          </cell>
        </row>
        <row r="617">
          <cell r="A617" t="str">
            <v>4008152</v>
          </cell>
          <cell r="B617" t="str">
            <v>3300</v>
          </cell>
          <cell r="C617" t="str">
            <v>3001</v>
          </cell>
          <cell r="D617" t="str">
            <v>L</v>
          </cell>
          <cell r="E617" t="str">
            <v/>
          </cell>
          <cell r="F617" t="str">
            <v>2026</v>
          </cell>
          <cell r="G617" t="str">
            <v>2</v>
          </cell>
          <cell r="H617">
            <v>50</v>
          </cell>
          <cell r="I617">
            <v>0</v>
          </cell>
          <cell r="J617" t="str">
            <v>X</v>
          </cell>
          <cell r="K617" t="str">
            <v>X</v>
          </cell>
          <cell r="L617" t="str">
            <v>15:07:02</v>
          </cell>
          <cell r="M617">
            <v>46001</v>
          </cell>
          <cell r="N617">
            <v>44430</v>
          </cell>
          <cell r="O617" t="str">
            <v>X</v>
          </cell>
          <cell r="P617" t="str">
            <v>2025</v>
          </cell>
          <cell r="Q617">
            <v>50</v>
          </cell>
          <cell r="R617" t="str">
            <v/>
          </cell>
        </row>
        <row r="618">
          <cell r="A618" t="str">
            <v>4008157</v>
          </cell>
          <cell r="B618" t="str">
            <v>3300</v>
          </cell>
          <cell r="C618" t="str">
            <v>3001</v>
          </cell>
          <cell r="D618" t="str">
            <v>L</v>
          </cell>
          <cell r="E618" t="str">
            <v/>
          </cell>
          <cell r="F618" t="str">
            <v>2026</v>
          </cell>
          <cell r="G618" t="str">
            <v>3</v>
          </cell>
          <cell r="H618">
            <v>229</v>
          </cell>
          <cell r="I618">
            <v>0</v>
          </cell>
          <cell r="J618" t="str">
            <v>X</v>
          </cell>
          <cell r="K618" t="str">
            <v>X</v>
          </cell>
          <cell r="L618" t="str">
            <v>02:08:03</v>
          </cell>
          <cell r="M618">
            <v>45797</v>
          </cell>
          <cell r="N618">
            <v>44430</v>
          </cell>
          <cell r="O618" t="str">
            <v>X</v>
          </cell>
          <cell r="P618" t="str">
            <v>2025</v>
          </cell>
          <cell r="Q618">
            <v>229</v>
          </cell>
          <cell r="R618" t="str">
            <v/>
          </cell>
        </row>
        <row r="619">
          <cell r="A619" t="str">
            <v>4008159</v>
          </cell>
          <cell r="B619" t="str">
            <v>3300</v>
          </cell>
          <cell r="C619" t="str">
            <v>3001</v>
          </cell>
          <cell r="D619" t="str">
            <v>L</v>
          </cell>
          <cell r="E619" t="str">
            <v/>
          </cell>
          <cell r="F619" t="str">
            <v>2023</v>
          </cell>
          <cell r="G619" t="str">
            <v>9</v>
          </cell>
          <cell r="H619">
            <v>0</v>
          </cell>
          <cell r="I619">
            <v>0</v>
          </cell>
          <cell r="J619" t="str">
            <v>X</v>
          </cell>
          <cell r="K619" t="str">
            <v/>
          </cell>
          <cell r="L619" t="str">
            <v>SLETTET</v>
          </cell>
          <cell r="M619">
            <v>45799</v>
          </cell>
          <cell r="N619">
            <v>44430</v>
          </cell>
          <cell r="O619" t="str">
            <v>X</v>
          </cell>
          <cell r="P619" t="str">
            <v>2025</v>
          </cell>
          <cell r="Q619">
            <v>0</v>
          </cell>
          <cell r="R619" t="str">
            <v>INAKTIV</v>
          </cell>
        </row>
        <row r="620">
          <cell r="A620" t="str">
            <v>4008161</v>
          </cell>
          <cell r="B620" t="str">
            <v>3300</v>
          </cell>
          <cell r="C620" t="str">
            <v>3001</v>
          </cell>
          <cell r="D620" t="str">
            <v>L</v>
          </cell>
          <cell r="E620" t="str">
            <v/>
          </cell>
          <cell r="F620" t="str">
            <v>2026</v>
          </cell>
          <cell r="G620" t="str">
            <v>3</v>
          </cell>
          <cell r="H620">
            <v>365</v>
          </cell>
          <cell r="I620">
            <v>0</v>
          </cell>
          <cell r="J620" t="str">
            <v>X</v>
          </cell>
          <cell r="K620" t="str">
            <v>X</v>
          </cell>
          <cell r="L620" t="str">
            <v>04:02:02</v>
          </cell>
          <cell r="M620">
            <v>45798</v>
          </cell>
          <cell r="N620">
            <v>44430</v>
          </cell>
          <cell r="O620" t="str">
            <v>X</v>
          </cell>
          <cell r="P620" t="str">
            <v>2025</v>
          </cell>
          <cell r="Q620">
            <v>365</v>
          </cell>
          <cell r="R620" t="str">
            <v/>
          </cell>
        </row>
        <row r="621">
          <cell r="A621" t="str">
            <v>4008184</v>
          </cell>
          <cell r="B621" t="str">
            <v>3300</v>
          </cell>
          <cell r="C621" t="str">
            <v>3001</v>
          </cell>
          <cell r="D621" t="str">
            <v>L</v>
          </cell>
          <cell r="E621" t="str">
            <v/>
          </cell>
          <cell r="F621" t="str">
            <v>2026</v>
          </cell>
          <cell r="G621" t="str">
            <v>3</v>
          </cell>
          <cell r="H621">
            <v>85</v>
          </cell>
          <cell r="I621">
            <v>0</v>
          </cell>
          <cell r="J621" t="str">
            <v>X</v>
          </cell>
          <cell r="K621" t="str">
            <v>X</v>
          </cell>
          <cell r="L621" t="str">
            <v>02:07:02</v>
          </cell>
          <cell r="M621">
            <v>45796</v>
          </cell>
          <cell r="N621">
            <v>44430</v>
          </cell>
          <cell r="O621" t="str">
            <v>X</v>
          </cell>
          <cell r="P621" t="str">
            <v>2025</v>
          </cell>
          <cell r="Q621">
            <v>85</v>
          </cell>
          <cell r="R621" t="str">
            <v/>
          </cell>
        </row>
        <row r="622">
          <cell r="A622" t="str">
            <v>4008194</v>
          </cell>
          <cell r="B622" t="str">
            <v>3300</v>
          </cell>
          <cell r="C622" t="str">
            <v>3001</v>
          </cell>
          <cell r="D622" t="str">
            <v>L</v>
          </cell>
          <cell r="E622" t="str">
            <v/>
          </cell>
          <cell r="F622" t="str">
            <v>2026</v>
          </cell>
          <cell r="G622" t="str">
            <v>2</v>
          </cell>
          <cell r="H622">
            <v>158</v>
          </cell>
          <cell r="I622">
            <v>0</v>
          </cell>
          <cell r="J622" t="str">
            <v>X</v>
          </cell>
          <cell r="K622" t="str">
            <v>X</v>
          </cell>
          <cell r="L622" t="str">
            <v>06:08:03</v>
          </cell>
          <cell r="M622">
            <v>45819</v>
          </cell>
          <cell r="N622">
            <v>44430</v>
          </cell>
          <cell r="O622" t="str">
            <v>X</v>
          </cell>
          <cell r="P622" t="str">
            <v>2025</v>
          </cell>
          <cell r="Q622">
            <v>158</v>
          </cell>
          <cell r="R622" t="str">
            <v/>
          </cell>
        </row>
        <row r="623">
          <cell r="A623" t="str">
            <v>4008197</v>
          </cell>
          <cell r="B623" t="str">
            <v>3300</v>
          </cell>
          <cell r="C623" t="str">
            <v>3001</v>
          </cell>
          <cell r="D623" t="str">
            <v>L</v>
          </cell>
          <cell r="E623" t="str">
            <v/>
          </cell>
          <cell r="F623" t="str">
            <v>2026</v>
          </cell>
          <cell r="G623" t="str">
            <v>3</v>
          </cell>
          <cell r="H623">
            <v>36</v>
          </cell>
          <cell r="I623">
            <v>0</v>
          </cell>
          <cell r="J623" t="str">
            <v>X</v>
          </cell>
          <cell r="K623" t="str">
            <v>X</v>
          </cell>
          <cell r="L623" t="str">
            <v>06:07:03</v>
          </cell>
          <cell r="M623">
            <v>45819</v>
          </cell>
          <cell r="N623">
            <v>44430</v>
          </cell>
          <cell r="O623" t="str">
            <v>X</v>
          </cell>
          <cell r="P623" t="str">
            <v>2025</v>
          </cell>
          <cell r="Q623">
            <v>36</v>
          </cell>
          <cell r="R623" t="str">
            <v/>
          </cell>
        </row>
        <row r="624">
          <cell r="A624" t="str">
            <v>4008198</v>
          </cell>
          <cell r="B624" t="str">
            <v>3300</v>
          </cell>
          <cell r="C624" t="str">
            <v>3001</v>
          </cell>
          <cell r="D624" t="str">
            <v>L</v>
          </cell>
          <cell r="E624" t="str">
            <v/>
          </cell>
          <cell r="F624" t="str">
            <v>2026</v>
          </cell>
          <cell r="G624" t="str">
            <v>2</v>
          </cell>
          <cell r="H624">
            <v>222</v>
          </cell>
          <cell r="I624">
            <v>0</v>
          </cell>
          <cell r="J624" t="str">
            <v>X</v>
          </cell>
          <cell r="K624" t="str">
            <v>X</v>
          </cell>
          <cell r="L624" t="str">
            <v>06:08:03</v>
          </cell>
          <cell r="M624">
            <v>45819</v>
          </cell>
          <cell r="N624">
            <v>44430</v>
          </cell>
          <cell r="O624" t="str">
            <v>X</v>
          </cell>
          <cell r="P624" t="str">
            <v>2025</v>
          </cell>
          <cell r="Q624">
            <v>222</v>
          </cell>
          <cell r="R624" t="str">
            <v/>
          </cell>
        </row>
        <row r="625">
          <cell r="A625" t="str">
            <v>4008201</v>
          </cell>
          <cell r="B625" t="str">
            <v>3300</v>
          </cell>
          <cell r="C625" t="str">
            <v>3001</v>
          </cell>
          <cell r="D625" t="str">
            <v>L</v>
          </cell>
          <cell r="E625" t="str">
            <v/>
          </cell>
          <cell r="F625" t="str">
            <v>2026</v>
          </cell>
          <cell r="G625" t="str">
            <v>3</v>
          </cell>
          <cell r="H625">
            <v>646</v>
          </cell>
          <cell r="I625">
            <v>0</v>
          </cell>
          <cell r="J625" t="str">
            <v>X</v>
          </cell>
          <cell r="K625" t="str">
            <v>X</v>
          </cell>
          <cell r="L625" t="str">
            <v>07:06:00</v>
          </cell>
          <cell r="M625">
            <v>45824</v>
          </cell>
          <cell r="N625">
            <v>44430</v>
          </cell>
          <cell r="O625" t="str">
            <v>X</v>
          </cell>
          <cell r="P625" t="str">
            <v>2025</v>
          </cell>
          <cell r="Q625">
            <v>646</v>
          </cell>
          <cell r="R625" t="str">
            <v/>
          </cell>
        </row>
        <row r="626">
          <cell r="A626" t="str">
            <v>4008203</v>
          </cell>
          <cell r="B626" t="str">
            <v>3300</v>
          </cell>
          <cell r="C626" t="str">
            <v>3001</v>
          </cell>
          <cell r="D626" t="str">
            <v>L</v>
          </cell>
          <cell r="E626" t="str">
            <v>X</v>
          </cell>
          <cell r="F626" t="str">
            <v>2022</v>
          </cell>
          <cell r="G626" t="str">
            <v>11</v>
          </cell>
          <cell r="H626">
            <v>0</v>
          </cell>
          <cell r="I626">
            <v>0</v>
          </cell>
          <cell r="J626" t="str">
            <v/>
          </cell>
          <cell r="K626" t="str">
            <v/>
          </cell>
          <cell r="L626" t="str">
            <v>SLETTET</v>
          </cell>
          <cell r="M626">
            <v>44568</v>
          </cell>
          <cell r="N626">
            <v>44430</v>
          </cell>
          <cell r="O626" t="str">
            <v>X</v>
          </cell>
          <cell r="P626" t="str">
            <v>2025</v>
          </cell>
          <cell r="Q626">
            <v>0</v>
          </cell>
          <cell r="R626" t="str">
            <v>INAKTIV</v>
          </cell>
        </row>
        <row r="627">
          <cell r="A627" t="str">
            <v>4008204</v>
          </cell>
          <cell r="B627" t="str">
            <v>3300</v>
          </cell>
          <cell r="C627" t="str">
            <v>3001</v>
          </cell>
          <cell r="D627" t="str">
            <v>L</v>
          </cell>
          <cell r="E627" t="str">
            <v/>
          </cell>
          <cell r="F627" t="str">
            <v>2025</v>
          </cell>
          <cell r="G627" t="str">
            <v>10</v>
          </cell>
          <cell r="H627">
            <v>60</v>
          </cell>
          <cell r="I627">
            <v>0</v>
          </cell>
          <cell r="J627" t="str">
            <v>X</v>
          </cell>
          <cell r="K627" t="str">
            <v>X</v>
          </cell>
          <cell r="L627" t="str">
            <v>02:13:01</v>
          </cell>
          <cell r="M627">
            <v>45797</v>
          </cell>
          <cell r="N627">
            <v>44430</v>
          </cell>
          <cell r="O627" t="str">
            <v>X</v>
          </cell>
          <cell r="P627" t="str">
            <v>2025</v>
          </cell>
          <cell r="Q627">
            <v>60</v>
          </cell>
          <cell r="R627" t="str">
            <v/>
          </cell>
        </row>
        <row r="628">
          <cell r="A628" t="str">
            <v>4008206</v>
          </cell>
          <cell r="B628" t="str">
            <v>3300</v>
          </cell>
          <cell r="C628" t="str">
            <v>3001</v>
          </cell>
          <cell r="D628" t="str">
            <v>L</v>
          </cell>
          <cell r="E628" t="str">
            <v/>
          </cell>
          <cell r="F628" t="str">
            <v>2026</v>
          </cell>
          <cell r="G628" t="str">
            <v>2</v>
          </cell>
          <cell r="H628">
            <v>90</v>
          </cell>
          <cell r="I628">
            <v>0</v>
          </cell>
          <cell r="J628" t="str">
            <v>X</v>
          </cell>
          <cell r="K628" t="str">
            <v>X</v>
          </cell>
          <cell r="L628" t="str">
            <v>03:10:02</v>
          </cell>
          <cell r="M628">
            <v>45798</v>
          </cell>
          <cell r="N628">
            <v>44430</v>
          </cell>
          <cell r="O628" t="str">
            <v>X</v>
          </cell>
          <cell r="P628" t="str">
            <v>2025</v>
          </cell>
          <cell r="Q628">
            <v>90</v>
          </cell>
          <cell r="R628" t="str">
            <v/>
          </cell>
        </row>
        <row r="629">
          <cell r="A629" t="str">
            <v>4008209</v>
          </cell>
          <cell r="B629" t="str">
            <v>3300</v>
          </cell>
          <cell r="C629" t="str">
            <v>3001</v>
          </cell>
          <cell r="D629" t="str">
            <v>L</v>
          </cell>
          <cell r="E629" t="str">
            <v/>
          </cell>
          <cell r="F629" t="str">
            <v>2024</v>
          </cell>
          <cell r="G629" t="str">
            <v>4</v>
          </cell>
          <cell r="H629">
            <v>0</v>
          </cell>
          <cell r="I629">
            <v>0</v>
          </cell>
          <cell r="J629" t="str">
            <v>X</v>
          </cell>
          <cell r="K629" t="str">
            <v>X</v>
          </cell>
          <cell r="L629" t="str">
            <v>SLETTET</v>
          </cell>
          <cell r="M629">
            <v>45797</v>
          </cell>
          <cell r="N629">
            <v>44430</v>
          </cell>
          <cell r="O629" t="str">
            <v>X</v>
          </cell>
          <cell r="P629" t="str">
            <v>2025</v>
          </cell>
          <cell r="Q629">
            <v>0</v>
          </cell>
          <cell r="R629" t="str">
            <v>INAKTIV</v>
          </cell>
        </row>
        <row r="630">
          <cell r="A630" t="str">
            <v>4008211</v>
          </cell>
          <cell r="B630" t="str">
            <v>3300</v>
          </cell>
          <cell r="C630" t="str">
            <v>3001</v>
          </cell>
          <cell r="D630" t="str">
            <v>DL</v>
          </cell>
          <cell r="E630" t="str">
            <v/>
          </cell>
          <cell r="F630" t="str">
            <v>2026</v>
          </cell>
          <cell r="G630" t="str">
            <v>2</v>
          </cell>
          <cell r="H630">
            <v>90</v>
          </cell>
          <cell r="I630">
            <v>0</v>
          </cell>
          <cell r="J630" t="str">
            <v>X</v>
          </cell>
          <cell r="K630" t="str">
            <v>X</v>
          </cell>
          <cell r="L630" t="str">
            <v>04:05:01</v>
          </cell>
          <cell r="M630">
            <v>45798</v>
          </cell>
          <cell r="N630">
            <v>45235</v>
          </cell>
          <cell r="O630" t="str">
            <v>X</v>
          </cell>
          <cell r="P630" t="str">
            <v>2025</v>
          </cell>
          <cell r="Q630">
            <v>90</v>
          </cell>
          <cell r="R630" t="str">
            <v/>
          </cell>
        </row>
        <row r="631">
          <cell r="A631" t="str">
            <v>4008212</v>
          </cell>
          <cell r="B631" t="str">
            <v>3300</v>
          </cell>
          <cell r="C631" t="str">
            <v>3001</v>
          </cell>
          <cell r="D631" t="str">
            <v>DL</v>
          </cell>
          <cell r="E631" t="str">
            <v/>
          </cell>
          <cell r="F631" t="str">
            <v>2026</v>
          </cell>
          <cell r="G631" t="str">
            <v>2</v>
          </cell>
          <cell r="H631">
            <v>50</v>
          </cell>
          <cell r="I631">
            <v>0</v>
          </cell>
          <cell r="J631" t="str">
            <v>X</v>
          </cell>
          <cell r="K631" t="str">
            <v>X</v>
          </cell>
          <cell r="L631" t="str">
            <v>03:10:03</v>
          </cell>
          <cell r="M631">
            <v>45798</v>
          </cell>
          <cell r="N631">
            <v>45235</v>
          </cell>
          <cell r="O631" t="str">
            <v>X</v>
          </cell>
          <cell r="P631" t="str">
            <v>2025</v>
          </cell>
          <cell r="Q631">
            <v>50</v>
          </cell>
          <cell r="R631" t="str">
            <v/>
          </cell>
        </row>
        <row r="632">
          <cell r="A632" t="str">
            <v>4008213</v>
          </cell>
          <cell r="B632" t="str">
            <v>3300</v>
          </cell>
          <cell r="C632" t="str">
            <v>3001</v>
          </cell>
          <cell r="D632" t="str">
            <v>DL</v>
          </cell>
          <cell r="E632" t="str">
            <v/>
          </cell>
          <cell r="F632" t="str">
            <v>2026</v>
          </cell>
          <cell r="G632" t="str">
            <v>2</v>
          </cell>
          <cell r="H632">
            <v>75</v>
          </cell>
          <cell r="I632">
            <v>0</v>
          </cell>
          <cell r="J632" t="str">
            <v>X</v>
          </cell>
          <cell r="K632" t="str">
            <v>X</v>
          </cell>
          <cell r="L632" t="str">
            <v>03:10:03</v>
          </cell>
          <cell r="M632">
            <v>45798</v>
          </cell>
          <cell r="N632">
            <v>45235</v>
          </cell>
          <cell r="O632" t="str">
            <v>X</v>
          </cell>
          <cell r="P632" t="str">
            <v>2025</v>
          </cell>
          <cell r="Q632">
            <v>75</v>
          </cell>
          <cell r="R632" t="str">
            <v/>
          </cell>
        </row>
        <row r="633">
          <cell r="A633" t="str">
            <v>4008214</v>
          </cell>
          <cell r="B633" t="str">
            <v>3300</v>
          </cell>
          <cell r="C633" t="str">
            <v>3001</v>
          </cell>
          <cell r="D633" t="str">
            <v>DL</v>
          </cell>
          <cell r="E633" t="str">
            <v/>
          </cell>
          <cell r="F633" t="str">
            <v>2026</v>
          </cell>
          <cell r="G633" t="str">
            <v>2</v>
          </cell>
          <cell r="H633">
            <v>110</v>
          </cell>
          <cell r="I633">
            <v>0</v>
          </cell>
          <cell r="J633" t="str">
            <v>X</v>
          </cell>
          <cell r="K633" t="str">
            <v>X</v>
          </cell>
          <cell r="L633" t="str">
            <v>03:05:01</v>
          </cell>
          <cell r="M633">
            <v>45798</v>
          </cell>
          <cell r="N633">
            <v>45235</v>
          </cell>
          <cell r="O633" t="str">
            <v>X</v>
          </cell>
          <cell r="P633" t="str">
            <v>2025</v>
          </cell>
          <cell r="Q633">
            <v>110</v>
          </cell>
          <cell r="R633" t="str">
            <v/>
          </cell>
        </row>
        <row r="634">
          <cell r="A634" t="str">
            <v>4008217</v>
          </cell>
          <cell r="B634" t="str">
            <v>3300</v>
          </cell>
          <cell r="C634" t="str">
            <v>3001</v>
          </cell>
          <cell r="D634" t="str">
            <v>L</v>
          </cell>
          <cell r="E634" t="str">
            <v/>
          </cell>
          <cell r="F634" t="str">
            <v>2021</v>
          </cell>
          <cell r="G634" t="str">
            <v>10</v>
          </cell>
          <cell r="H634">
            <v>0</v>
          </cell>
          <cell r="I634">
            <v>0</v>
          </cell>
          <cell r="J634" t="str">
            <v/>
          </cell>
          <cell r="K634" t="str">
            <v/>
          </cell>
          <cell r="L634" t="str">
            <v>SLETTET</v>
          </cell>
          <cell r="M634">
            <v>44568</v>
          </cell>
          <cell r="N634">
            <v>44430</v>
          </cell>
          <cell r="O634" t="str">
            <v>X</v>
          </cell>
          <cell r="P634" t="str">
            <v>2025</v>
          </cell>
          <cell r="Q634">
            <v>0</v>
          </cell>
          <cell r="R634" t="str">
            <v>INAKTIV</v>
          </cell>
        </row>
        <row r="635">
          <cell r="A635" t="str">
            <v>4008222</v>
          </cell>
          <cell r="B635" t="str">
            <v>3300</v>
          </cell>
          <cell r="C635" t="str">
            <v>3001</v>
          </cell>
          <cell r="D635" t="str">
            <v>L</v>
          </cell>
          <cell r="E635" t="str">
            <v/>
          </cell>
          <cell r="F635" t="str">
            <v>2022</v>
          </cell>
          <cell r="G635" t="str">
            <v>3</v>
          </cell>
          <cell r="H635">
            <v>0</v>
          </cell>
          <cell r="I635">
            <v>0</v>
          </cell>
          <cell r="J635" t="str">
            <v/>
          </cell>
          <cell r="K635" t="str">
            <v/>
          </cell>
          <cell r="L635" t="str">
            <v>SLETTET</v>
          </cell>
          <cell r="M635">
            <v>44568</v>
          </cell>
          <cell r="N635">
            <v>44430</v>
          </cell>
          <cell r="O635" t="str">
            <v>X</v>
          </cell>
          <cell r="P635" t="str">
            <v>2025</v>
          </cell>
          <cell r="Q635">
            <v>0</v>
          </cell>
          <cell r="R635" t="str">
            <v>INAKTIV</v>
          </cell>
        </row>
        <row r="636">
          <cell r="A636" t="str">
            <v>4008223</v>
          </cell>
          <cell r="B636" t="str">
            <v>3300</v>
          </cell>
          <cell r="C636" t="str">
            <v>3001</v>
          </cell>
          <cell r="D636" t="str">
            <v>L</v>
          </cell>
          <cell r="E636" t="str">
            <v>X</v>
          </cell>
          <cell r="F636" t="str">
            <v>2022</v>
          </cell>
          <cell r="G636" t="str">
            <v>10</v>
          </cell>
          <cell r="H636">
            <v>0</v>
          </cell>
          <cell r="I636">
            <v>0</v>
          </cell>
          <cell r="J636" t="str">
            <v/>
          </cell>
          <cell r="K636" t="str">
            <v>X</v>
          </cell>
          <cell r="L636" t="str">
            <v>SLETTET</v>
          </cell>
          <cell r="M636">
            <v>44568</v>
          </cell>
          <cell r="N636">
            <v>44430</v>
          </cell>
          <cell r="O636" t="str">
            <v>X</v>
          </cell>
          <cell r="P636" t="str">
            <v>2023</v>
          </cell>
          <cell r="Q636">
            <v>0</v>
          </cell>
          <cell r="R636" t="str">
            <v>INAKTIV</v>
          </cell>
        </row>
        <row r="637">
          <cell r="A637" t="str">
            <v>4008239</v>
          </cell>
          <cell r="B637" t="str">
            <v>3300</v>
          </cell>
          <cell r="C637" t="str">
            <v>3001</v>
          </cell>
          <cell r="D637" t="str">
            <v>L</v>
          </cell>
          <cell r="E637" t="str">
            <v/>
          </cell>
          <cell r="F637" t="str">
            <v>2026</v>
          </cell>
          <cell r="G637" t="str">
            <v>2</v>
          </cell>
          <cell r="H637">
            <v>91</v>
          </cell>
          <cell r="I637">
            <v>0</v>
          </cell>
          <cell r="J637" t="str">
            <v>X</v>
          </cell>
          <cell r="K637" t="str">
            <v>X</v>
          </cell>
          <cell r="L637" t="str">
            <v>12:13:02</v>
          </cell>
          <cell r="M637">
            <v>45994</v>
          </cell>
          <cell r="N637">
            <v>44430</v>
          </cell>
          <cell r="O637" t="str">
            <v>X</v>
          </cell>
          <cell r="P637" t="str">
            <v>2025</v>
          </cell>
          <cell r="Q637">
            <v>91</v>
          </cell>
          <cell r="R637" t="str">
            <v/>
          </cell>
        </row>
        <row r="638">
          <cell r="A638" t="str">
            <v>4008245</v>
          </cell>
          <cell r="B638" t="str">
            <v>3300</v>
          </cell>
          <cell r="C638" t="str">
            <v>3001</v>
          </cell>
          <cell r="D638" t="str">
            <v>L</v>
          </cell>
          <cell r="E638" t="str">
            <v>X</v>
          </cell>
          <cell r="F638" t="str">
            <v>2023</v>
          </cell>
          <cell r="G638" t="str">
            <v>2</v>
          </cell>
          <cell r="H638">
            <v>0</v>
          </cell>
          <cell r="I638">
            <v>0</v>
          </cell>
          <cell r="J638" t="str">
            <v/>
          </cell>
          <cell r="K638" t="str">
            <v>X</v>
          </cell>
          <cell r="L638" t="str">
            <v>SLETTET</v>
          </cell>
          <cell r="M638">
            <v>44568</v>
          </cell>
          <cell r="N638">
            <v>44430</v>
          </cell>
          <cell r="O638" t="str">
            <v>X</v>
          </cell>
          <cell r="P638" t="str">
            <v>2023</v>
          </cell>
          <cell r="Q638">
            <v>0</v>
          </cell>
          <cell r="R638" t="str">
            <v>INAKTIV</v>
          </cell>
        </row>
        <row r="639">
          <cell r="A639" t="str">
            <v>4008247</v>
          </cell>
          <cell r="B639" t="str">
            <v>3300</v>
          </cell>
          <cell r="C639" t="str">
            <v>3001</v>
          </cell>
          <cell r="D639" t="str">
            <v>L</v>
          </cell>
          <cell r="E639" t="str">
            <v/>
          </cell>
          <cell r="F639" t="str">
            <v>2026</v>
          </cell>
          <cell r="G639" t="str">
            <v>2</v>
          </cell>
          <cell r="H639">
            <v>1350</v>
          </cell>
          <cell r="I639">
            <v>0</v>
          </cell>
          <cell r="J639" t="str">
            <v>X</v>
          </cell>
          <cell r="K639" t="str">
            <v>X</v>
          </cell>
          <cell r="L639" t="str">
            <v>03:06:01</v>
          </cell>
          <cell r="M639">
            <v>45798</v>
          </cell>
          <cell r="N639">
            <v>44430</v>
          </cell>
          <cell r="O639" t="str">
            <v>X</v>
          </cell>
          <cell r="P639" t="str">
            <v>2025</v>
          </cell>
          <cell r="Q639">
            <v>1350</v>
          </cell>
          <cell r="R639" t="str">
            <v/>
          </cell>
        </row>
        <row r="640">
          <cell r="A640" t="str">
            <v>4008248</v>
          </cell>
          <cell r="B640" t="str">
            <v>3300</v>
          </cell>
          <cell r="C640" t="str">
            <v>3001</v>
          </cell>
          <cell r="D640" t="str">
            <v>L</v>
          </cell>
          <cell r="E640" t="str">
            <v/>
          </cell>
          <cell r="F640" t="str">
            <v>2021</v>
          </cell>
          <cell r="G640" t="str">
            <v>10</v>
          </cell>
          <cell r="H640">
            <v>0</v>
          </cell>
          <cell r="I640">
            <v>0</v>
          </cell>
          <cell r="J640" t="str">
            <v>X</v>
          </cell>
          <cell r="K640" t="str">
            <v/>
          </cell>
          <cell r="L640" t="str">
            <v>SLETTET</v>
          </cell>
          <cell r="M640">
            <v>44568</v>
          </cell>
          <cell r="N640">
            <v>44430</v>
          </cell>
          <cell r="O640" t="str">
            <v>X</v>
          </cell>
          <cell r="P640" t="str">
            <v>2022</v>
          </cell>
          <cell r="Q640">
            <v>0</v>
          </cell>
          <cell r="R640" t="str">
            <v>INAKTIV</v>
          </cell>
        </row>
        <row r="641">
          <cell r="A641" t="str">
            <v>4008253</v>
          </cell>
          <cell r="B641" t="str">
            <v>3300</v>
          </cell>
          <cell r="C641" t="str">
            <v>3001</v>
          </cell>
          <cell r="D641" t="str">
            <v>L</v>
          </cell>
          <cell r="E641" t="str">
            <v>X</v>
          </cell>
          <cell r="F641" t="str">
            <v>2024</v>
          </cell>
          <cell r="G641" t="str">
            <v>9</v>
          </cell>
          <cell r="H641">
            <v>0</v>
          </cell>
          <cell r="I641">
            <v>0</v>
          </cell>
          <cell r="J641" t="str">
            <v>X</v>
          </cell>
          <cell r="K641" t="str">
            <v>X</v>
          </cell>
          <cell r="L641" t="str">
            <v>SLETTET</v>
          </cell>
          <cell r="M641">
            <v>45365</v>
          </cell>
          <cell r="N641">
            <v>44430</v>
          </cell>
          <cell r="O641" t="str">
            <v>X</v>
          </cell>
          <cell r="P641" t="str">
            <v>2024</v>
          </cell>
          <cell r="Q641">
            <v>0</v>
          </cell>
          <cell r="R641" t="str">
            <v>INAKTIV</v>
          </cell>
        </row>
        <row r="642">
          <cell r="A642" t="str">
            <v>4008254</v>
          </cell>
          <cell r="B642" t="str">
            <v>3300</v>
          </cell>
          <cell r="C642" t="str">
            <v>3001</v>
          </cell>
          <cell r="D642" t="str">
            <v>L</v>
          </cell>
          <cell r="E642" t="str">
            <v/>
          </cell>
          <cell r="F642" t="str">
            <v>2026</v>
          </cell>
          <cell r="G642" t="str">
            <v>2</v>
          </cell>
          <cell r="H642">
            <v>123</v>
          </cell>
          <cell r="I642">
            <v>0</v>
          </cell>
          <cell r="J642" t="str">
            <v>X</v>
          </cell>
          <cell r="K642" t="str">
            <v>X</v>
          </cell>
          <cell r="L642" t="str">
            <v>04:01:02</v>
          </cell>
          <cell r="M642">
            <v>45798</v>
          </cell>
          <cell r="N642">
            <v>44430</v>
          </cell>
          <cell r="O642" t="str">
            <v>X</v>
          </cell>
          <cell r="P642" t="str">
            <v>2025</v>
          </cell>
          <cell r="Q642">
            <v>123</v>
          </cell>
          <cell r="R642" t="str">
            <v/>
          </cell>
        </row>
        <row r="643">
          <cell r="A643" t="str">
            <v>4008258</v>
          </cell>
          <cell r="B643" t="str">
            <v>3300</v>
          </cell>
          <cell r="C643" t="str">
            <v>3001</v>
          </cell>
          <cell r="D643" t="str">
            <v>L</v>
          </cell>
          <cell r="E643" t="str">
            <v/>
          </cell>
          <cell r="F643" t="str">
            <v>2026</v>
          </cell>
          <cell r="G643" t="str">
            <v>2</v>
          </cell>
          <cell r="H643">
            <v>410</v>
          </cell>
          <cell r="I643">
            <v>0</v>
          </cell>
          <cell r="J643" t="str">
            <v>X</v>
          </cell>
          <cell r="K643" t="str">
            <v>X</v>
          </cell>
          <cell r="L643" t="str">
            <v>08:13:03</v>
          </cell>
          <cell r="M643">
            <v>45980</v>
          </cell>
          <cell r="N643">
            <v>44430</v>
          </cell>
          <cell r="O643" t="str">
            <v>X</v>
          </cell>
          <cell r="P643" t="str">
            <v>2025</v>
          </cell>
          <cell r="Q643">
            <v>410</v>
          </cell>
          <cell r="R643" t="str">
            <v/>
          </cell>
        </row>
        <row r="644">
          <cell r="A644" t="str">
            <v>4008259</v>
          </cell>
          <cell r="B644" t="str">
            <v>3300</v>
          </cell>
          <cell r="C644" t="str">
            <v>3001</v>
          </cell>
          <cell r="D644" t="str">
            <v>L</v>
          </cell>
          <cell r="E644" t="str">
            <v/>
          </cell>
          <cell r="F644" t="str">
            <v>2026</v>
          </cell>
          <cell r="G644" t="str">
            <v>2</v>
          </cell>
          <cell r="H644">
            <v>180</v>
          </cell>
          <cell r="I644">
            <v>0</v>
          </cell>
          <cell r="J644" t="str">
            <v>X</v>
          </cell>
          <cell r="K644" t="str">
            <v>X</v>
          </cell>
          <cell r="L644" t="str">
            <v>04:13:03</v>
          </cell>
          <cell r="M644">
            <v>45800</v>
          </cell>
          <cell r="N644">
            <v>44430</v>
          </cell>
          <cell r="O644" t="str">
            <v>X</v>
          </cell>
          <cell r="P644" t="str">
            <v>2025</v>
          </cell>
          <cell r="Q644">
            <v>180</v>
          </cell>
          <cell r="R644" t="str">
            <v/>
          </cell>
        </row>
        <row r="645">
          <cell r="A645" t="str">
            <v>4008263</v>
          </cell>
          <cell r="B645" t="str">
            <v>3300</v>
          </cell>
          <cell r="C645" t="str">
            <v>3001</v>
          </cell>
          <cell r="D645" t="str">
            <v>L</v>
          </cell>
          <cell r="E645" t="str">
            <v/>
          </cell>
          <cell r="F645" t="str">
            <v>2025</v>
          </cell>
          <cell r="G645" t="str">
            <v>12</v>
          </cell>
          <cell r="H645">
            <v>150</v>
          </cell>
          <cell r="I645">
            <v>0</v>
          </cell>
          <cell r="J645" t="str">
            <v>X</v>
          </cell>
          <cell r="K645" t="str">
            <v>X</v>
          </cell>
          <cell r="L645" t="str">
            <v>02:09:03</v>
          </cell>
          <cell r="M645">
            <v>45797</v>
          </cell>
          <cell r="N645">
            <v>44430</v>
          </cell>
          <cell r="O645" t="str">
            <v>X</v>
          </cell>
          <cell r="P645" t="str">
            <v>2025</v>
          </cell>
          <cell r="Q645">
            <v>150</v>
          </cell>
          <cell r="R645" t="str">
            <v/>
          </cell>
        </row>
        <row r="646">
          <cell r="A646" t="str">
            <v>4008265</v>
          </cell>
          <cell r="B646" t="str">
            <v>3300</v>
          </cell>
          <cell r="C646" t="str">
            <v>3001</v>
          </cell>
          <cell r="D646" t="str">
            <v>L</v>
          </cell>
          <cell r="E646" t="str">
            <v/>
          </cell>
          <cell r="F646" t="str">
            <v>2026</v>
          </cell>
          <cell r="G646" t="str">
            <v>2</v>
          </cell>
          <cell r="H646">
            <v>193</v>
          </cell>
          <cell r="I646">
            <v>0</v>
          </cell>
          <cell r="J646" t="str">
            <v>X</v>
          </cell>
          <cell r="K646" t="str">
            <v>X</v>
          </cell>
          <cell r="L646" t="str">
            <v>15:07:03</v>
          </cell>
          <cell r="M646">
            <v>46001</v>
          </cell>
          <cell r="N646">
            <v>44430</v>
          </cell>
          <cell r="O646" t="str">
            <v>X</v>
          </cell>
          <cell r="P646" t="str">
            <v>2025</v>
          </cell>
          <cell r="Q646">
            <v>193</v>
          </cell>
          <cell r="R646" t="str">
            <v/>
          </cell>
        </row>
        <row r="647">
          <cell r="A647" t="str">
            <v>4008266</v>
          </cell>
          <cell r="B647" t="str">
            <v>3300</v>
          </cell>
          <cell r="C647" t="str">
            <v>3001</v>
          </cell>
          <cell r="D647" t="str">
            <v>L</v>
          </cell>
          <cell r="E647" t="str">
            <v/>
          </cell>
          <cell r="F647" t="str">
            <v>2026</v>
          </cell>
          <cell r="G647" t="str">
            <v>3</v>
          </cell>
          <cell r="H647">
            <v>60</v>
          </cell>
          <cell r="I647">
            <v>0</v>
          </cell>
          <cell r="J647" t="str">
            <v>X</v>
          </cell>
          <cell r="K647" t="str">
            <v>X</v>
          </cell>
          <cell r="L647" t="str">
            <v>15:02:05</v>
          </cell>
          <cell r="M647">
            <v>46001</v>
          </cell>
          <cell r="N647">
            <v>44430</v>
          </cell>
          <cell r="O647" t="str">
            <v>X</v>
          </cell>
          <cell r="P647" t="str">
            <v>2025</v>
          </cell>
          <cell r="Q647">
            <v>60</v>
          </cell>
          <cell r="R647" t="str">
            <v/>
          </cell>
        </row>
        <row r="648">
          <cell r="A648" t="str">
            <v>4008267</v>
          </cell>
          <cell r="B648" t="str">
            <v>3300</v>
          </cell>
          <cell r="C648" t="str">
            <v>3001</v>
          </cell>
          <cell r="D648" t="str">
            <v>L</v>
          </cell>
          <cell r="E648" t="str">
            <v/>
          </cell>
          <cell r="F648" t="str">
            <v>2026</v>
          </cell>
          <cell r="G648" t="str">
            <v>3</v>
          </cell>
          <cell r="H648">
            <v>590</v>
          </cell>
          <cell r="I648">
            <v>0</v>
          </cell>
          <cell r="J648" t="str">
            <v>X</v>
          </cell>
          <cell r="K648" t="str">
            <v>X</v>
          </cell>
          <cell r="L648" t="str">
            <v>16:01:01*</v>
          </cell>
          <cell r="M648">
            <v>46006</v>
          </cell>
          <cell r="N648">
            <v>44430</v>
          </cell>
          <cell r="O648" t="str">
            <v>X</v>
          </cell>
          <cell r="P648" t="str">
            <v>2025</v>
          </cell>
          <cell r="Q648">
            <v>590</v>
          </cell>
          <cell r="R648" t="str">
            <v/>
          </cell>
        </row>
        <row r="649">
          <cell r="A649" t="str">
            <v>4008272</v>
          </cell>
          <cell r="B649" t="str">
            <v>3300</v>
          </cell>
          <cell r="C649" t="str">
            <v>3001</v>
          </cell>
          <cell r="D649" t="str">
            <v>L</v>
          </cell>
          <cell r="E649" t="str">
            <v/>
          </cell>
          <cell r="F649" t="str">
            <v>2026</v>
          </cell>
          <cell r="G649" t="str">
            <v>3</v>
          </cell>
          <cell r="H649">
            <v>175</v>
          </cell>
          <cell r="I649">
            <v>0</v>
          </cell>
          <cell r="J649" t="str">
            <v>X</v>
          </cell>
          <cell r="K649" t="str">
            <v>X</v>
          </cell>
          <cell r="L649" t="str">
            <v>14:02:01</v>
          </cell>
          <cell r="M649">
            <v>46001</v>
          </cell>
          <cell r="N649">
            <v>44430</v>
          </cell>
          <cell r="O649" t="str">
            <v>X</v>
          </cell>
          <cell r="P649" t="str">
            <v>2025</v>
          </cell>
          <cell r="Q649">
            <v>175</v>
          </cell>
          <cell r="R649" t="str">
            <v/>
          </cell>
        </row>
        <row r="650">
          <cell r="A650" t="str">
            <v>4008274</v>
          </cell>
          <cell r="B650" t="str">
            <v>3300</v>
          </cell>
          <cell r="C650" t="str">
            <v>3001</v>
          </cell>
          <cell r="D650" t="str">
            <v>L</v>
          </cell>
          <cell r="E650" t="str">
            <v/>
          </cell>
          <cell r="F650" t="str">
            <v>2026</v>
          </cell>
          <cell r="G650" t="str">
            <v>2</v>
          </cell>
          <cell r="H650">
            <v>39</v>
          </cell>
          <cell r="I650">
            <v>0</v>
          </cell>
          <cell r="J650" t="str">
            <v>X</v>
          </cell>
          <cell r="K650" t="str">
            <v>X</v>
          </cell>
          <cell r="L650" t="str">
            <v>10:04:03</v>
          </cell>
          <cell r="M650">
            <v>45987</v>
          </cell>
          <cell r="N650">
            <v>44430</v>
          </cell>
          <cell r="O650" t="str">
            <v>X</v>
          </cell>
          <cell r="P650" t="str">
            <v>2025</v>
          </cell>
          <cell r="Q650">
            <v>39</v>
          </cell>
          <cell r="R650" t="str">
            <v/>
          </cell>
        </row>
        <row r="651">
          <cell r="A651" t="str">
            <v>4008276</v>
          </cell>
          <cell r="B651" t="str">
            <v>3300</v>
          </cell>
          <cell r="C651" t="str">
            <v>3001</v>
          </cell>
          <cell r="D651" t="str">
            <v>LD</v>
          </cell>
          <cell r="E651" t="str">
            <v/>
          </cell>
          <cell r="F651" t="str">
            <v>2026</v>
          </cell>
          <cell r="G651" t="str">
            <v>2</v>
          </cell>
          <cell r="H651">
            <v>130</v>
          </cell>
          <cell r="I651">
            <v>33</v>
          </cell>
          <cell r="J651" t="str">
            <v>X</v>
          </cell>
          <cell r="K651" t="str">
            <v>X</v>
          </cell>
          <cell r="L651" t="str">
            <v>06:02:02</v>
          </cell>
          <cell r="M651">
            <v>45819</v>
          </cell>
          <cell r="N651">
            <v>44430</v>
          </cell>
          <cell r="O651" t="str">
            <v>X</v>
          </cell>
          <cell r="P651" t="str">
            <v>2025</v>
          </cell>
          <cell r="Q651">
            <v>163</v>
          </cell>
          <cell r="R651" t="str">
            <v/>
          </cell>
        </row>
        <row r="652">
          <cell r="A652" t="str">
            <v>4008277</v>
          </cell>
          <cell r="B652" t="str">
            <v>3300</v>
          </cell>
          <cell r="C652" t="str">
            <v>3001</v>
          </cell>
          <cell r="D652" t="str">
            <v>L</v>
          </cell>
          <cell r="E652" t="str">
            <v/>
          </cell>
          <cell r="F652" t="str">
            <v>2025</v>
          </cell>
          <cell r="G652" t="str">
            <v>11</v>
          </cell>
          <cell r="H652">
            <v>0</v>
          </cell>
          <cell r="I652">
            <v>169</v>
          </cell>
          <cell r="J652" t="str">
            <v>X</v>
          </cell>
          <cell r="K652" t="str">
            <v>X</v>
          </cell>
          <cell r="L652" t="str">
            <v>SLETTET</v>
          </cell>
          <cell r="M652">
            <v>46001</v>
          </cell>
          <cell r="N652">
            <v>44430</v>
          </cell>
          <cell r="O652" t="str">
            <v>X</v>
          </cell>
          <cell r="P652" t="str">
            <v>2025</v>
          </cell>
          <cell r="Q652">
            <v>169</v>
          </cell>
          <cell r="R652" t="str">
            <v/>
          </cell>
        </row>
        <row r="653">
          <cell r="A653" t="str">
            <v>4008278</v>
          </cell>
          <cell r="B653" t="str">
            <v>3300</v>
          </cell>
          <cell r="C653" t="str">
            <v>3001</v>
          </cell>
          <cell r="D653" t="str">
            <v>L</v>
          </cell>
          <cell r="E653" t="str">
            <v>X</v>
          </cell>
          <cell r="F653" t="str">
            <v>2025</v>
          </cell>
          <cell r="G653" t="str">
            <v>11</v>
          </cell>
          <cell r="H653">
            <v>0</v>
          </cell>
          <cell r="I653">
            <v>160</v>
          </cell>
          <cell r="J653" t="str">
            <v>X</v>
          </cell>
          <cell r="K653" t="str">
            <v>X</v>
          </cell>
          <cell r="L653" t="str">
            <v>SLETTET</v>
          </cell>
          <cell r="M653">
            <v>45819</v>
          </cell>
          <cell r="N653">
            <v>44430</v>
          </cell>
          <cell r="O653" t="str">
            <v>X</v>
          </cell>
          <cell r="P653" t="str">
            <v>2025</v>
          </cell>
          <cell r="Q653">
            <v>160</v>
          </cell>
          <cell r="R653" t="str">
            <v/>
          </cell>
        </row>
        <row r="654">
          <cell r="A654" t="str">
            <v>4008279</v>
          </cell>
          <cell r="B654" t="str">
            <v>3300</v>
          </cell>
          <cell r="C654" t="str">
            <v>3001</v>
          </cell>
          <cell r="D654" t="str">
            <v>L</v>
          </cell>
          <cell r="E654" t="str">
            <v/>
          </cell>
          <cell r="F654" t="str">
            <v>2026</v>
          </cell>
          <cell r="G654" t="str">
            <v>2</v>
          </cell>
          <cell r="H654">
            <v>71</v>
          </cell>
          <cell r="I654">
            <v>60</v>
          </cell>
          <cell r="J654" t="str">
            <v>X</v>
          </cell>
          <cell r="K654" t="str">
            <v>X</v>
          </cell>
          <cell r="L654" t="str">
            <v>06:03:00</v>
          </cell>
          <cell r="M654">
            <v>45819</v>
          </cell>
          <cell r="N654">
            <v>44430</v>
          </cell>
          <cell r="O654" t="str">
            <v>X</v>
          </cell>
          <cell r="P654" t="str">
            <v>2025</v>
          </cell>
          <cell r="Q654">
            <v>131</v>
          </cell>
          <cell r="R654" t="str">
            <v/>
          </cell>
        </row>
        <row r="655">
          <cell r="A655" t="str">
            <v>4008280</v>
          </cell>
          <cell r="B655" t="str">
            <v>3300</v>
          </cell>
          <cell r="C655" t="str">
            <v>3001</v>
          </cell>
          <cell r="D655" t="str">
            <v>DL</v>
          </cell>
          <cell r="E655" t="str">
            <v/>
          </cell>
          <cell r="F655" t="str">
            <v>2026</v>
          </cell>
          <cell r="G655" t="str">
            <v>2</v>
          </cell>
          <cell r="H655">
            <v>56</v>
          </cell>
          <cell r="I655">
            <v>0</v>
          </cell>
          <cell r="J655" t="str">
            <v>X</v>
          </cell>
          <cell r="K655" t="str">
            <v>X</v>
          </cell>
          <cell r="L655" t="str">
            <v>08:03:03</v>
          </cell>
          <cell r="M655">
            <v>45825</v>
          </cell>
          <cell r="N655">
            <v>45295</v>
          </cell>
          <cell r="O655" t="str">
            <v>X</v>
          </cell>
          <cell r="P655" t="str">
            <v>2025</v>
          </cell>
          <cell r="Q655">
            <v>56</v>
          </cell>
          <cell r="R655" t="str">
            <v/>
          </cell>
        </row>
        <row r="656">
          <cell r="A656" t="str">
            <v>4008289</v>
          </cell>
          <cell r="B656" t="str">
            <v>3300</v>
          </cell>
          <cell r="C656" t="str">
            <v>3001</v>
          </cell>
          <cell r="D656" t="str">
            <v>L</v>
          </cell>
          <cell r="E656" t="str">
            <v/>
          </cell>
          <cell r="F656" t="str">
            <v>2026</v>
          </cell>
          <cell r="G656" t="str">
            <v>2</v>
          </cell>
          <cell r="H656">
            <v>288</v>
          </cell>
          <cell r="I656">
            <v>0</v>
          </cell>
          <cell r="J656" t="str">
            <v>X</v>
          </cell>
          <cell r="K656" t="str">
            <v>X</v>
          </cell>
          <cell r="L656" t="str">
            <v>01:05:02</v>
          </cell>
          <cell r="M656">
            <v>45793</v>
          </cell>
          <cell r="N656">
            <v>44430</v>
          </cell>
          <cell r="O656" t="str">
            <v>X</v>
          </cell>
          <cell r="P656" t="str">
            <v>2025</v>
          </cell>
          <cell r="Q656">
            <v>288</v>
          </cell>
          <cell r="R656" t="str">
            <v/>
          </cell>
        </row>
        <row r="657">
          <cell r="A657" t="str">
            <v>4008290</v>
          </cell>
          <cell r="B657" t="str">
            <v>3300</v>
          </cell>
          <cell r="C657" t="str">
            <v>3001</v>
          </cell>
          <cell r="D657" t="str">
            <v>L</v>
          </cell>
          <cell r="E657" t="str">
            <v>X</v>
          </cell>
          <cell r="F657" t="str">
            <v>2021</v>
          </cell>
          <cell r="G657" t="str">
            <v>8</v>
          </cell>
          <cell r="H657">
            <v>0</v>
          </cell>
          <cell r="I657">
            <v>0</v>
          </cell>
          <cell r="J657" t="str">
            <v/>
          </cell>
          <cell r="K657" t="str">
            <v/>
          </cell>
          <cell r="L657" t="str">
            <v>SLETTET</v>
          </cell>
          <cell r="M657" t="str">
            <v/>
          </cell>
          <cell r="N657">
            <v>44430</v>
          </cell>
          <cell r="O657" t="str">
            <v>X</v>
          </cell>
          <cell r="P657" t="str">
            <v>2022</v>
          </cell>
          <cell r="Q657">
            <v>0</v>
          </cell>
          <cell r="R657" t="str">
            <v>INAKTIV</v>
          </cell>
        </row>
        <row r="658">
          <cell r="A658" t="str">
            <v>4008291</v>
          </cell>
          <cell r="B658" t="str">
            <v>3300</v>
          </cell>
          <cell r="C658" t="str">
            <v>3001</v>
          </cell>
          <cell r="D658" t="str">
            <v>L</v>
          </cell>
          <cell r="E658" t="str">
            <v/>
          </cell>
          <cell r="F658" t="str">
            <v>2026</v>
          </cell>
          <cell r="G658" t="str">
            <v>2</v>
          </cell>
          <cell r="H658">
            <v>504</v>
          </cell>
          <cell r="I658">
            <v>0</v>
          </cell>
          <cell r="J658" t="str">
            <v>X</v>
          </cell>
          <cell r="K658" t="str">
            <v>X</v>
          </cell>
          <cell r="L658" t="str">
            <v>01:01:01</v>
          </cell>
          <cell r="M658">
            <v>45792</v>
          </cell>
          <cell r="N658">
            <v>44430</v>
          </cell>
          <cell r="O658" t="str">
            <v>X</v>
          </cell>
          <cell r="P658" t="str">
            <v>2025</v>
          </cell>
          <cell r="Q658">
            <v>504</v>
          </cell>
          <cell r="R658" t="str">
            <v/>
          </cell>
        </row>
        <row r="659">
          <cell r="A659" t="str">
            <v>4008292</v>
          </cell>
          <cell r="B659" t="str">
            <v>3300</v>
          </cell>
          <cell r="C659" t="str">
            <v>3001</v>
          </cell>
          <cell r="D659" t="str">
            <v>L</v>
          </cell>
          <cell r="E659" t="str">
            <v/>
          </cell>
          <cell r="F659" t="str">
            <v>2026</v>
          </cell>
          <cell r="G659" t="str">
            <v>1</v>
          </cell>
          <cell r="H659">
            <v>216</v>
          </cell>
          <cell r="I659">
            <v>0</v>
          </cell>
          <cell r="J659" t="str">
            <v>X</v>
          </cell>
          <cell r="K659" t="str">
            <v>X</v>
          </cell>
          <cell r="L659" t="str">
            <v>01:03:02</v>
          </cell>
          <cell r="M659">
            <v>45793</v>
          </cell>
          <cell r="N659">
            <v>44430</v>
          </cell>
          <cell r="O659" t="str">
            <v>X</v>
          </cell>
          <cell r="P659" t="str">
            <v>2025</v>
          </cell>
          <cell r="Q659">
            <v>216</v>
          </cell>
          <cell r="R659" t="str">
            <v/>
          </cell>
        </row>
        <row r="660">
          <cell r="A660" t="str">
            <v>4008295</v>
          </cell>
          <cell r="B660" t="str">
            <v>3300</v>
          </cell>
          <cell r="C660" t="str">
            <v>3001</v>
          </cell>
          <cell r="D660" t="str">
            <v>DL</v>
          </cell>
          <cell r="E660" t="str">
            <v/>
          </cell>
          <cell r="F660" t="str">
            <v>2026</v>
          </cell>
          <cell r="G660" t="str">
            <v>2</v>
          </cell>
          <cell r="H660">
            <v>1800</v>
          </cell>
          <cell r="I660">
            <v>0</v>
          </cell>
          <cell r="J660" t="str">
            <v>X</v>
          </cell>
          <cell r="K660" t="str">
            <v/>
          </cell>
          <cell r="L660" t="str">
            <v>12:01:00</v>
          </cell>
          <cell r="M660">
            <v>46030</v>
          </cell>
          <cell r="N660">
            <v>45811</v>
          </cell>
          <cell r="O660" t="str">
            <v>X</v>
          </cell>
          <cell r="P660" t="str">
            <v>2026</v>
          </cell>
          <cell r="Q660">
            <v>1800</v>
          </cell>
          <cell r="R660" t="str">
            <v/>
          </cell>
        </row>
        <row r="661">
          <cell r="A661" t="str">
            <v>4008296</v>
          </cell>
          <cell r="B661" t="str">
            <v>3300</v>
          </cell>
          <cell r="C661" t="str">
            <v>3001</v>
          </cell>
          <cell r="D661" t="str">
            <v>L</v>
          </cell>
          <cell r="E661" t="str">
            <v/>
          </cell>
          <cell r="F661" t="str">
            <v>2026</v>
          </cell>
          <cell r="G661" t="str">
            <v>2</v>
          </cell>
          <cell r="H661">
            <v>449</v>
          </cell>
          <cell r="I661">
            <v>0</v>
          </cell>
          <cell r="J661" t="str">
            <v>X</v>
          </cell>
          <cell r="K661" t="str">
            <v>X</v>
          </cell>
          <cell r="L661" t="str">
            <v>08:08:02</v>
          </cell>
          <cell r="M661">
            <v>45980</v>
          </cell>
          <cell r="N661">
            <v>44430</v>
          </cell>
          <cell r="O661" t="str">
            <v>X</v>
          </cell>
          <cell r="P661" t="str">
            <v>2025</v>
          </cell>
          <cell r="Q661">
            <v>449</v>
          </cell>
          <cell r="R661" t="str">
            <v/>
          </cell>
        </row>
        <row r="662">
          <cell r="A662" t="str">
            <v>4008297</v>
          </cell>
          <cell r="B662" t="str">
            <v>3300</v>
          </cell>
          <cell r="C662" t="str">
            <v>3001</v>
          </cell>
          <cell r="D662" t="str">
            <v>L</v>
          </cell>
          <cell r="E662" t="str">
            <v>X</v>
          </cell>
          <cell r="F662" t="str">
            <v>2022</v>
          </cell>
          <cell r="G662" t="str">
            <v>3</v>
          </cell>
          <cell r="H662">
            <v>0</v>
          </cell>
          <cell r="I662">
            <v>0</v>
          </cell>
          <cell r="J662" t="str">
            <v>X</v>
          </cell>
          <cell r="K662" t="str">
            <v>X</v>
          </cell>
          <cell r="L662" t="str">
            <v>SLETTET</v>
          </cell>
          <cell r="M662">
            <v>45796</v>
          </cell>
          <cell r="N662">
            <v>44430</v>
          </cell>
          <cell r="O662" t="str">
            <v>X</v>
          </cell>
          <cell r="P662" t="str">
            <v>2025</v>
          </cell>
          <cell r="Q662">
            <v>0</v>
          </cell>
          <cell r="R662" t="str">
            <v>INAKTIV</v>
          </cell>
        </row>
        <row r="663">
          <cell r="A663" t="str">
            <v>4008299</v>
          </cell>
          <cell r="B663" t="str">
            <v>3300</v>
          </cell>
          <cell r="C663" t="str">
            <v>3001</v>
          </cell>
          <cell r="D663" t="str">
            <v>L</v>
          </cell>
          <cell r="E663" t="str">
            <v>X</v>
          </cell>
          <cell r="F663" t="str">
            <v>2021</v>
          </cell>
          <cell r="G663" t="str">
            <v>8</v>
          </cell>
          <cell r="H663">
            <v>0</v>
          </cell>
          <cell r="I663">
            <v>0</v>
          </cell>
          <cell r="J663" t="str">
            <v>X</v>
          </cell>
          <cell r="K663" t="str">
            <v/>
          </cell>
          <cell r="L663" t="str">
            <v>SLETTET</v>
          </cell>
          <cell r="M663">
            <v>44568</v>
          </cell>
          <cell r="N663">
            <v>44430</v>
          </cell>
          <cell r="O663" t="str">
            <v>X</v>
          </cell>
          <cell r="P663" t="str">
            <v>2022</v>
          </cell>
          <cell r="Q663">
            <v>0</v>
          </cell>
          <cell r="R663" t="str">
            <v>INAKTIV</v>
          </cell>
        </row>
        <row r="664">
          <cell r="A664" t="str">
            <v>4008307</v>
          </cell>
          <cell r="B664" t="str">
            <v>3300</v>
          </cell>
          <cell r="C664" t="str">
            <v>3001</v>
          </cell>
          <cell r="D664" t="str">
            <v>L</v>
          </cell>
          <cell r="E664" t="str">
            <v/>
          </cell>
          <cell r="F664" t="str">
            <v>2022</v>
          </cell>
          <cell r="G664" t="str">
            <v>3</v>
          </cell>
          <cell r="H664">
            <v>0</v>
          </cell>
          <cell r="I664">
            <v>0</v>
          </cell>
          <cell r="J664" t="str">
            <v>X</v>
          </cell>
          <cell r="K664" t="str">
            <v/>
          </cell>
          <cell r="L664" t="str">
            <v>SLETTET</v>
          </cell>
          <cell r="M664">
            <v>44568</v>
          </cell>
          <cell r="N664">
            <v>44430</v>
          </cell>
          <cell r="O664" t="str">
            <v>X</v>
          </cell>
          <cell r="P664" t="str">
            <v>2022</v>
          </cell>
          <cell r="Q664">
            <v>0</v>
          </cell>
          <cell r="R664" t="str">
            <v>INAKTIV</v>
          </cell>
        </row>
        <row r="665">
          <cell r="A665" t="str">
            <v>4008308</v>
          </cell>
          <cell r="B665" t="str">
            <v>3300</v>
          </cell>
          <cell r="C665" t="str">
            <v>3001</v>
          </cell>
          <cell r="D665" t="str">
            <v>L</v>
          </cell>
          <cell r="E665" t="str">
            <v/>
          </cell>
          <cell r="F665" t="str">
            <v>2026</v>
          </cell>
          <cell r="G665" t="str">
            <v>2</v>
          </cell>
          <cell r="H665">
            <v>25</v>
          </cell>
          <cell r="I665">
            <v>0</v>
          </cell>
          <cell r="J665" t="str">
            <v>X</v>
          </cell>
          <cell r="K665" t="str">
            <v>X</v>
          </cell>
          <cell r="L665" t="str">
            <v>03:13:02</v>
          </cell>
          <cell r="M665">
            <v>45798</v>
          </cell>
          <cell r="N665">
            <v>44430</v>
          </cell>
          <cell r="O665" t="str">
            <v>X</v>
          </cell>
          <cell r="P665" t="str">
            <v>2025</v>
          </cell>
          <cell r="Q665">
            <v>25</v>
          </cell>
          <cell r="R665" t="str">
            <v/>
          </cell>
        </row>
        <row r="666">
          <cell r="A666" t="str">
            <v>4008314</v>
          </cell>
          <cell r="B666" t="str">
            <v>3300</v>
          </cell>
          <cell r="C666" t="str">
            <v>3001</v>
          </cell>
          <cell r="D666" t="str">
            <v>L</v>
          </cell>
          <cell r="E666" t="str">
            <v/>
          </cell>
          <cell r="F666" t="str">
            <v>2026</v>
          </cell>
          <cell r="G666" t="str">
            <v>2</v>
          </cell>
          <cell r="H666">
            <v>119</v>
          </cell>
          <cell r="I666">
            <v>0</v>
          </cell>
          <cell r="J666" t="str">
            <v>X</v>
          </cell>
          <cell r="K666" t="str">
            <v>X</v>
          </cell>
          <cell r="L666" t="str">
            <v>06:05:02</v>
          </cell>
          <cell r="M666">
            <v>45819</v>
          </cell>
          <cell r="N666">
            <v>44430</v>
          </cell>
          <cell r="O666" t="str">
            <v>X</v>
          </cell>
          <cell r="P666" t="str">
            <v>2025</v>
          </cell>
          <cell r="Q666">
            <v>119</v>
          </cell>
          <cell r="R666" t="str">
            <v/>
          </cell>
        </row>
        <row r="667">
          <cell r="A667" t="str">
            <v>4008327</v>
          </cell>
          <cell r="B667" t="str">
            <v>3300</v>
          </cell>
          <cell r="C667" t="str">
            <v>3001</v>
          </cell>
          <cell r="D667" t="str">
            <v>L</v>
          </cell>
          <cell r="E667" t="str">
            <v/>
          </cell>
          <cell r="F667" t="str">
            <v>2026</v>
          </cell>
          <cell r="G667" t="str">
            <v>2</v>
          </cell>
          <cell r="H667">
            <v>70</v>
          </cell>
          <cell r="I667">
            <v>0</v>
          </cell>
          <cell r="J667" t="str">
            <v>X</v>
          </cell>
          <cell r="K667" t="str">
            <v>X</v>
          </cell>
          <cell r="L667" t="str">
            <v>08:06:02</v>
          </cell>
          <cell r="M667">
            <v>45980</v>
          </cell>
          <cell r="N667">
            <v>44430</v>
          </cell>
          <cell r="O667" t="str">
            <v>X</v>
          </cell>
          <cell r="P667" t="str">
            <v>2025</v>
          </cell>
          <cell r="Q667">
            <v>70</v>
          </cell>
          <cell r="R667" t="str">
            <v/>
          </cell>
        </row>
        <row r="668">
          <cell r="A668" t="str">
            <v>4008328</v>
          </cell>
          <cell r="B668" t="str">
            <v>3300</v>
          </cell>
          <cell r="C668" t="str">
            <v>3001</v>
          </cell>
          <cell r="D668" t="str">
            <v>L</v>
          </cell>
          <cell r="E668" t="str">
            <v/>
          </cell>
          <cell r="F668" t="str">
            <v>2026</v>
          </cell>
          <cell r="G668" t="str">
            <v>3</v>
          </cell>
          <cell r="H668">
            <v>13980</v>
          </cell>
          <cell r="I668">
            <v>0</v>
          </cell>
          <cell r="J668" t="str">
            <v>X</v>
          </cell>
          <cell r="K668" t="str">
            <v>X</v>
          </cell>
          <cell r="L668" t="str">
            <v>12:01:01</v>
          </cell>
          <cell r="M668">
            <v>45994</v>
          </cell>
          <cell r="N668">
            <v>44430</v>
          </cell>
          <cell r="O668" t="str">
            <v>X</v>
          </cell>
          <cell r="P668" t="str">
            <v>2025</v>
          </cell>
          <cell r="Q668">
            <v>13980</v>
          </cell>
          <cell r="R668" t="str">
            <v/>
          </cell>
        </row>
        <row r="669">
          <cell r="A669" t="str">
            <v>4008329</v>
          </cell>
          <cell r="B669" t="str">
            <v>3300</v>
          </cell>
          <cell r="C669" t="str">
            <v>3001</v>
          </cell>
          <cell r="D669" t="str">
            <v>DL</v>
          </cell>
          <cell r="E669" t="str">
            <v/>
          </cell>
          <cell r="F669" t="str">
            <v>2024</v>
          </cell>
          <cell r="G669" t="str">
            <v>6</v>
          </cell>
          <cell r="H669">
            <v>0</v>
          </cell>
          <cell r="I669">
            <v>0</v>
          </cell>
          <cell r="J669" t="str">
            <v/>
          </cell>
          <cell r="K669" t="str">
            <v/>
          </cell>
          <cell r="L669" t="str">
            <v/>
          </cell>
          <cell r="M669" t="str">
            <v/>
          </cell>
          <cell r="N669">
            <v>45462</v>
          </cell>
          <cell r="O669" t="str">
            <v>X</v>
          </cell>
          <cell r="P669" t="str">
            <v>2024</v>
          </cell>
          <cell r="Q669">
            <v>0</v>
          </cell>
          <cell r="R669" t="str">
            <v>INAKTIV</v>
          </cell>
        </row>
        <row r="670">
          <cell r="A670" t="str">
            <v>4008330</v>
          </cell>
          <cell r="B670" t="str">
            <v>3300</v>
          </cell>
          <cell r="C670" t="str">
            <v>3001</v>
          </cell>
          <cell r="D670" t="str">
            <v>DL</v>
          </cell>
          <cell r="E670" t="str">
            <v/>
          </cell>
          <cell r="F670" t="str">
            <v>2024</v>
          </cell>
          <cell r="G670" t="str">
            <v>6</v>
          </cell>
          <cell r="H670">
            <v>0</v>
          </cell>
          <cell r="I670">
            <v>0</v>
          </cell>
          <cell r="J670" t="str">
            <v/>
          </cell>
          <cell r="K670" t="str">
            <v/>
          </cell>
          <cell r="L670" t="str">
            <v/>
          </cell>
          <cell r="M670" t="str">
            <v/>
          </cell>
          <cell r="N670">
            <v>45462</v>
          </cell>
          <cell r="O670" t="str">
            <v>X</v>
          </cell>
          <cell r="P670" t="str">
            <v>2024</v>
          </cell>
          <cell r="Q670">
            <v>0</v>
          </cell>
          <cell r="R670" t="str">
            <v>INAKTIV</v>
          </cell>
        </row>
        <row r="671">
          <cell r="A671" t="str">
            <v>4008333</v>
          </cell>
          <cell r="B671" t="str">
            <v>3300</v>
          </cell>
          <cell r="C671" t="str">
            <v>3001</v>
          </cell>
          <cell r="D671" t="str">
            <v>L</v>
          </cell>
          <cell r="E671" t="str">
            <v/>
          </cell>
          <cell r="F671" t="str">
            <v>2022</v>
          </cell>
          <cell r="G671" t="str">
            <v>1</v>
          </cell>
          <cell r="H671">
            <v>0</v>
          </cell>
          <cell r="I671">
            <v>0</v>
          </cell>
          <cell r="J671" t="str">
            <v/>
          </cell>
          <cell r="K671" t="str">
            <v>X</v>
          </cell>
          <cell r="L671" t="str">
            <v>SLETTET</v>
          </cell>
          <cell r="M671">
            <v>44568</v>
          </cell>
          <cell r="N671">
            <v>44430</v>
          </cell>
          <cell r="O671" t="str">
            <v>X</v>
          </cell>
          <cell r="P671" t="str">
            <v>2023</v>
          </cell>
          <cell r="Q671">
            <v>0</v>
          </cell>
          <cell r="R671" t="str">
            <v>INAKTIV</v>
          </cell>
        </row>
        <row r="672">
          <cell r="A672" t="str">
            <v>4008334</v>
          </cell>
          <cell r="B672" t="str">
            <v>3300</v>
          </cell>
          <cell r="C672" t="str">
            <v>3001</v>
          </cell>
          <cell r="D672" t="str">
            <v>L</v>
          </cell>
          <cell r="E672" t="str">
            <v/>
          </cell>
          <cell r="F672" t="str">
            <v>2026</v>
          </cell>
          <cell r="G672" t="str">
            <v>1</v>
          </cell>
          <cell r="H672">
            <v>179</v>
          </cell>
          <cell r="I672">
            <v>0</v>
          </cell>
          <cell r="J672" t="str">
            <v>X</v>
          </cell>
          <cell r="K672" t="str">
            <v>X</v>
          </cell>
          <cell r="L672" t="str">
            <v>05:12:02</v>
          </cell>
          <cell r="M672">
            <v>45804</v>
          </cell>
          <cell r="N672">
            <v>44430</v>
          </cell>
          <cell r="O672" t="str">
            <v>X</v>
          </cell>
          <cell r="P672" t="str">
            <v>2025</v>
          </cell>
          <cell r="Q672">
            <v>179</v>
          </cell>
          <cell r="R672" t="str">
            <v/>
          </cell>
        </row>
        <row r="673">
          <cell r="A673" t="str">
            <v>4008335</v>
          </cell>
          <cell r="B673" t="str">
            <v>3300</v>
          </cell>
          <cell r="C673" t="str">
            <v>3001</v>
          </cell>
          <cell r="D673" t="str">
            <v>L</v>
          </cell>
          <cell r="E673" t="str">
            <v/>
          </cell>
          <cell r="F673" t="str">
            <v>2026</v>
          </cell>
          <cell r="G673" t="str">
            <v>3</v>
          </cell>
          <cell r="H673">
            <v>13760</v>
          </cell>
          <cell r="I673">
            <v>0</v>
          </cell>
          <cell r="J673" t="str">
            <v>X</v>
          </cell>
          <cell r="K673" t="str">
            <v>X</v>
          </cell>
          <cell r="L673" t="str">
            <v>11:03:01</v>
          </cell>
          <cell r="M673">
            <v>45994</v>
          </cell>
          <cell r="N673">
            <v>44430</v>
          </cell>
          <cell r="O673" t="str">
            <v>X</v>
          </cell>
          <cell r="P673" t="str">
            <v>2025</v>
          </cell>
          <cell r="Q673">
            <v>13760</v>
          </cell>
          <cell r="R673" t="str">
            <v/>
          </cell>
        </row>
        <row r="674">
          <cell r="A674" t="str">
            <v>4008336</v>
          </cell>
          <cell r="B674" t="str">
            <v>3300</v>
          </cell>
          <cell r="C674" t="str">
            <v>3001</v>
          </cell>
          <cell r="D674" t="str">
            <v>L</v>
          </cell>
          <cell r="E674" t="str">
            <v/>
          </cell>
          <cell r="F674" t="str">
            <v>2026</v>
          </cell>
          <cell r="G674" t="str">
            <v>3</v>
          </cell>
          <cell r="H674">
            <v>14160</v>
          </cell>
          <cell r="I674">
            <v>0</v>
          </cell>
          <cell r="J674" t="str">
            <v>X</v>
          </cell>
          <cell r="K674" t="str">
            <v>X</v>
          </cell>
          <cell r="L674" t="str">
            <v>11:06:01</v>
          </cell>
          <cell r="M674">
            <v>45994</v>
          </cell>
          <cell r="N674">
            <v>44430</v>
          </cell>
          <cell r="O674" t="str">
            <v>X</v>
          </cell>
          <cell r="P674" t="str">
            <v>2025</v>
          </cell>
          <cell r="Q674">
            <v>14160</v>
          </cell>
          <cell r="R674" t="str">
            <v/>
          </cell>
        </row>
        <row r="675">
          <cell r="A675" t="str">
            <v>4008337</v>
          </cell>
          <cell r="B675" t="str">
            <v>3300</v>
          </cell>
          <cell r="C675" t="str">
            <v>3001</v>
          </cell>
          <cell r="D675" t="str">
            <v>L</v>
          </cell>
          <cell r="E675" t="str">
            <v/>
          </cell>
          <cell r="F675" t="str">
            <v>2026</v>
          </cell>
          <cell r="G675" t="str">
            <v>3</v>
          </cell>
          <cell r="H675">
            <v>5105</v>
          </cell>
          <cell r="I675">
            <v>0</v>
          </cell>
          <cell r="J675" t="str">
            <v>X</v>
          </cell>
          <cell r="K675" t="str">
            <v>X</v>
          </cell>
          <cell r="L675" t="str">
            <v>12:04:00*</v>
          </cell>
          <cell r="M675">
            <v>45994</v>
          </cell>
          <cell r="N675">
            <v>44430</v>
          </cell>
          <cell r="O675" t="str">
            <v>X</v>
          </cell>
          <cell r="P675" t="str">
            <v>2025</v>
          </cell>
          <cell r="Q675">
            <v>5105</v>
          </cell>
          <cell r="R675" t="str">
            <v/>
          </cell>
        </row>
        <row r="676">
          <cell r="A676" t="str">
            <v>4008338</v>
          </cell>
          <cell r="B676" t="str">
            <v>3300</v>
          </cell>
          <cell r="C676" t="str">
            <v>3001</v>
          </cell>
          <cell r="D676" t="str">
            <v>L</v>
          </cell>
          <cell r="E676" t="str">
            <v/>
          </cell>
          <cell r="F676" t="str">
            <v>2026</v>
          </cell>
          <cell r="G676" t="str">
            <v>2</v>
          </cell>
          <cell r="H676">
            <v>50</v>
          </cell>
          <cell r="I676">
            <v>0</v>
          </cell>
          <cell r="J676" t="str">
            <v>X</v>
          </cell>
          <cell r="K676" t="str">
            <v>X</v>
          </cell>
          <cell r="L676" t="str">
            <v>07:05:03</v>
          </cell>
          <cell r="M676">
            <v>45824</v>
          </cell>
          <cell r="N676">
            <v>44430</v>
          </cell>
          <cell r="O676" t="str">
            <v>X</v>
          </cell>
          <cell r="P676" t="str">
            <v>2025</v>
          </cell>
          <cell r="Q676">
            <v>50</v>
          </cell>
          <cell r="R676" t="str">
            <v/>
          </cell>
        </row>
        <row r="677">
          <cell r="A677" t="str">
            <v>4008339</v>
          </cell>
          <cell r="B677" t="str">
            <v>3300</v>
          </cell>
          <cell r="C677" t="str">
            <v>3001</v>
          </cell>
          <cell r="D677" t="str">
            <v>L</v>
          </cell>
          <cell r="E677" t="str">
            <v/>
          </cell>
          <cell r="F677" t="str">
            <v>2026</v>
          </cell>
          <cell r="G677" t="str">
            <v>2</v>
          </cell>
          <cell r="H677">
            <v>2800</v>
          </cell>
          <cell r="I677">
            <v>0</v>
          </cell>
          <cell r="J677" t="str">
            <v>X</v>
          </cell>
          <cell r="K677" t="str">
            <v>X</v>
          </cell>
          <cell r="L677" t="str">
            <v>12:06:03</v>
          </cell>
          <cell r="M677">
            <v>45994</v>
          </cell>
          <cell r="N677">
            <v>44430</v>
          </cell>
          <cell r="O677" t="str">
            <v>X</v>
          </cell>
          <cell r="P677" t="str">
            <v>2025</v>
          </cell>
          <cell r="Q677">
            <v>2800</v>
          </cell>
          <cell r="R677" t="str">
            <v/>
          </cell>
        </row>
        <row r="678">
          <cell r="A678" t="str">
            <v>4008340</v>
          </cell>
          <cell r="B678" t="str">
            <v>3300</v>
          </cell>
          <cell r="C678" t="str">
            <v>3001</v>
          </cell>
          <cell r="D678" t="str">
            <v>L</v>
          </cell>
          <cell r="E678" t="str">
            <v/>
          </cell>
          <cell r="F678" t="str">
            <v>2026</v>
          </cell>
          <cell r="G678" t="str">
            <v>3</v>
          </cell>
          <cell r="H678">
            <v>10200</v>
          </cell>
          <cell r="I678">
            <v>0</v>
          </cell>
          <cell r="J678" t="str">
            <v>X</v>
          </cell>
          <cell r="K678" t="str">
            <v>X</v>
          </cell>
          <cell r="L678" t="str">
            <v>12:03:01</v>
          </cell>
          <cell r="M678">
            <v>45994</v>
          </cell>
          <cell r="N678">
            <v>44430</v>
          </cell>
          <cell r="O678" t="str">
            <v>X</v>
          </cell>
          <cell r="P678" t="str">
            <v>2025</v>
          </cell>
          <cell r="Q678">
            <v>10200</v>
          </cell>
          <cell r="R678" t="str">
            <v/>
          </cell>
        </row>
        <row r="679">
          <cell r="A679" t="str">
            <v>4008342</v>
          </cell>
          <cell r="B679" t="str">
            <v>3300</v>
          </cell>
          <cell r="C679" t="str">
            <v>3001</v>
          </cell>
          <cell r="D679" t="str">
            <v>L</v>
          </cell>
          <cell r="E679" t="str">
            <v/>
          </cell>
          <cell r="F679" t="str">
            <v>2021</v>
          </cell>
          <cell r="G679" t="str">
            <v>10</v>
          </cell>
          <cell r="H679">
            <v>0</v>
          </cell>
          <cell r="I679">
            <v>0</v>
          </cell>
          <cell r="J679" t="str">
            <v>X</v>
          </cell>
          <cell r="K679" t="str">
            <v/>
          </cell>
          <cell r="L679" t="str">
            <v>SLETTET</v>
          </cell>
          <cell r="M679">
            <v>44568</v>
          </cell>
          <cell r="N679">
            <v>44430</v>
          </cell>
          <cell r="O679" t="str">
            <v>X</v>
          </cell>
          <cell r="P679" t="str">
            <v>2022</v>
          </cell>
          <cell r="Q679">
            <v>0</v>
          </cell>
          <cell r="R679" t="str">
            <v>INAKTIV</v>
          </cell>
        </row>
        <row r="680">
          <cell r="A680" t="str">
            <v>4008343</v>
          </cell>
          <cell r="B680" t="str">
            <v>3300</v>
          </cell>
          <cell r="C680" t="str">
            <v>3001</v>
          </cell>
          <cell r="D680" t="str">
            <v>L</v>
          </cell>
          <cell r="E680" t="str">
            <v/>
          </cell>
          <cell r="F680" t="str">
            <v>2026</v>
          </cell>
          <cell r="G680" t="str">
            <v>2</v>
          </cell>
          <cell r="H680">
            <v>480</v>
          </cell>
          <cell r="I680">
            <v>0</v>
          </cell>
          <cell r="J680" t="str">
            <v>X</v>
          </cell>
          <cell r="K680" t="str">
            <v>X</v>
          </cell>
          <cell r="L680" t="str">
            <v>12:10:01</v>
          </cell>
          <cell r="M680">
            <v>45994</v>
          </cell>
          <cell r="N680">
            <v>44430</v>
          </cell>
          <cell r="O680" t="str">
            <v>X</v>
          </cell>
          <cell r="P680" t="str">
            <v>2025</v>
          </cell>
          <cell r="Q680">
            <v>480</v>
          </cell>
          <cell r="R680" t="str">
            <v/>
          </cell>
        </row>
        <row r="681">
          <cell r="A681" t="str">
            <v>4008345</v>
          </cell>
          <cell r="B681" t="str">
            <v>3300</v>
          </cell>
          <cell r="C681" t="str">
            <v>3001</v>
          </cell>
          <cell r="D681" t="str">
            <v>L</v>
          </cell>
          <cell r="E681" t="str">
            <v/>
          </cell>
          <cell r="F681" t="str">
            <v>2026</v>
          </cell>
          <cell r="G681" t="str">
            <v>2</v>
          </cell>
          <cell r="H681">
            <v>120</v>
          </cell>
          <cell r="I681">
            <v>0</v>
          </cell>
          <cell r="J681" t="str">
            <v>X</v>
          </cell>
          <cell r="K681" t="str">
            <v>X</v>
          </cell>
          <cell r="L681" t="str">
            <v>10:05:03</v>
          </cell>
          <cell r="M681">
            <v>45987</v>
          </cell>
          <cell r="N681">
            <v>44430</v>
          </cell>
          <cell r="O681" t="str">
            <v>X</v>
          </cell>
          <cell r="P681" t="str">
            <v>2025</v>
          </cell>
          <cell r="Q681">
            <v>120</v>
          </cell>
          <cell r="R681" t="str">
            <v/>
          </cell>
        </row>
        <row r="682">
          <cell r="A682" t="str">
            <v>4008346</v>
          </cell>
          <cell r="B682" t="str">
            <v>3300</v>
          </cell>
          <cell r="C682" t="str">
            <v>3001</v>
          </cell>
          <cell r="D682" t="str">
            <v>L</v>
          </cell>
          <cell r="E682" t="str">
            <v/>
          </cell>
          <cell r="F682" t="str">
            <v>2026</v>
          </cell>
          <cell r="G682" t="str">
            <v>2</v>
          </cell>
          <cell r="H682">
            <v>8450</v>
          </cell>
          <cell r="I682">
            <v>0</v>
          </cell>
          <cell r="J682" t="str">
            <v>X</v>
          </cell>
          <cell r="K682" t="str">
            <v>X</v>
          </cell>
          <cell r="L682" t="str">
            <v>10:07:03</v>
          </cell>
          <cell r="M682">
            <v>45987</v>
          </cell>
          <cell r="N682">
            <v>44430</v>
          </cell>
          <cell r="O682" t="str">
            <v>X</v>
          </cell>
          <cell r="P682" t="str">
            <v>2025</v>
          </cell>
          <cell r="Q682">
            <v>8450</v>
          </cell>
          <cell r="R682" t="str">
            <v/>
          </cell>
        </row>
        <row r="683">
          <cell r="A683" t="str">
            <v>4008347</v>
          </cell>
          <cell r="B683" t="str">
            <v>3300</v>
          </cell>
          <cell r="C683" t="str">
            <v>3001</v>
          </cell>
          <cell r="D683" t="str">
            <v>L</v>
          </cell>
          <cell r="E683" t="str">
            <v/>
          </cell>
          <cell r="F683" t="str">
            <v>2025</v>
          </cell>
          <cell r="G683" t="str">
            <v>11</v>
          </cell>
          <cell r="H683">
            <v>3400</v>
          </cell>
          <cell r="I683">
            <v>0</v>
          </cell>
          <cell r="J683" t="str">
            <v>X</v>
          </cell>
          <cell r="K683" t="str">
            <v>X</v>
          </cell>
          <cell r="L683" t="str">
            <v>09:11:02</v>
          </cell>
          <cell r="M683">
            <v>45987</v>
          </cell>
          <cell r="N683">
            <v>44430</v>
          </cell>
          <cell r="O683" t="str">
            <v>X</v>
          </cell>
          <cell r="P683" t="str">
            <v>2025</v>
          </cell>
          <cell r="Q683">
            <v>3400</v>
          </cell>
          <cell r="R683" t="str">
            <v/>
          </cell>
        </row>
        <row r="684">
          <cell r="A684" t="str">
            <v>4008354</v>
          </cell>
          <cell r="B684" t="str">
            <v>3300</v>
          </cell>
          <cell r="C684" t="str">
            <v>3001</v>
          </cell>
          <cell r="D684" t="str">
            <v>L</v>
          </cell>
          <cell r="E684" t="str">
            <v/>
          </cell>
          <cell r="F684" t="str">
            <v>2026</v>
          </cell>
          <cell r="G684" t="str">
            <v>1</v>
          </cell>
          <cell r="H684">
            <v>90</v>
          </cell>
          <cell r="I684">
            <v>0</v>
          </cell>
          <cell r="J684" t="str">
            <v>X</v>
          </cell>
          <cell r="K684" t="str">
            <v>X</v>
          </cell>
          <cell r="L684" t="str">
            <v>04:02:01</v>
          </cell>
          <cell r="M684">
            <v>45798</v>
          </cell>
          <cell r="N684">
            <v>44430</v>
          </cell>
          <cell r="O684" t="str">
            <v>X</v>
          </cell>
          <cell r="P684" t="str">
            <v>2025</v>
          </cell>
          <cell r="Q684">
            <v>90</v>
          </cell>
          <cell r="R684" t="str">
            <v/>
          </cell>
        </row>
        <row r="685">
          <cell r="A685" t="str">
            <v>4008377</v>
          </cell>
          <cell r="B685" t="str">
            <v>3300</v>
          </cell>
          <cell r="C685" t="str">
            <v>3001</v>
          </cell>
          <cell r="D685" t="str">
            <v>L</v>
          </cell>
          <cell r="E685" t="str">
            <v/>
          </cell>
          <cell r="F685" t="str">
            <v>2026</v>
          </cell>
          <cell r="G685" t="str">
            <v>3</v>
          </cell>
          <cell r="H685">
            <v>72</v>
          </cell>
          <cell r="I685">
            <v>0</v>
          </cell>
          <cell r="J685" t="str">
            <v>X</v>
          </cell>
          <cell r="K685" t="str">
            <v>X</v>
          </cell>
          <cell r="L685" t="str">
            <v>07:10:02</v>
          </cell>
          <cell r="M685">
            <v>45825</v>
          </cell>
          <cell r="N685">
            <v>44430</v>
          </cell>
          <cell r="O685" t="str">
            <v>X</v>
          </cell>
          <cell r="P685" t="str">
            <v>2025</v>
          </cell>
          <cell r="Q685">
            <v>72</v>
          </cell>
          <cell r="R685" t="str">
            <v/>
          </cell>
        </row>
        <row r="686">
          <cell r="A686" t="str">
            <v>4008378</v>
          </cell>
          <cell r="B686" t="str">
            <v>3300</v>
          </cell>
          <cell r="C686" t="str">
            <v>3001</v>
          </cell>
          <cell r="D686" t="str">
            <v>L</v>
          </cell>
          <cell r="E686" t="str">
            <v/>
          </cell>
          <cell r="F686" t="str">
            <v>2026</v>
          </cell>
          <cell r="G686" t="str">
            <v>2</v>
          </cell>
          <cell r="H686">
            <v>240</v>
          </cell>
          <cell r="I686">
            <v>0</v>
          </cell>
          <cell r="J686" t="str">
            <v>X</v>
          </cell>
          <cell r="K686" t="str">
            <v>X</v>
          </cell>
          <cell r="L686" t="str">
            <v>07:10:01</v>
          </cell>
          <cell r="M686">
            <v>45824</v>
          </cell>
          <cell r="N686">
            <v>44430</v>
          </cell>
          <cell r="O686" t="str">
            <v>X</v>
          </cell>
          <cell r="P686" t="str">
            <v>2025</v>
          </cell>
          <cell r="Q686">
            <v>240</v>
          </cell>
          <cell r="R686" t="str">
            <v/>
          </cell>
        </row>
        <row r="687">
          <cell r="A687" t="str">
            <v>4008379</v>
          </cell>
          <cell r="B687" t="str">
            <v>3300</v>
          </cell>
          <cell r="C687" t="str">
            <v>3001</v>
          </cell>
          <cell r="D687" t="str">
            <v>L</v>
          </cell>
          <cell r="E687" t="str">
            <v/>
          </cell>
          <cell r="F687" t="str">
            <v>2026</v>
          </cell>
          <cell r="G687" t="str">
            <v>3</v>
          </cell>
          <cell r="H687">
            <v>120</v>
          </cell>
          <cell r="I687">
            <v>0</v>
          </cell>
          <cell r="J687" t="str">
            <v>X</v>
          </cell>
          <cell r="K687" t="str">
            <v>X</v>
          </cell>
          <cell r="L687" t="str">
            <v>07:10:01</v>
          </cell>
          <cell r="M687">
            <v>45825</v>
          </cell>
          <cell r="N687">
            <v>44430</v>
          </cell>
          <cell r="O687" t="str">
            <v>X</v>
          </cell>
          <cell r="P687" t="str">
            <v>2025</v>
          </cell>
          <cell r="Q687">
            <v>120</v>
          </cell>
          <cell r="R687" t="str">
            <v/>
          </cell>
        </row>
        <row r="688">
          <cell r="A688" t="str">
            <v>4008380</v>
          </cell>
          <cell r="B688" t="str">
            <v>3300</v>
          </cell>
          <cell r="C688" t="str">
            <v>3001</v>
          </cell>
          <cell r="D688" t="str">
            <v>L</v>
          </cell>
          <cell r="E688" t="str">
            <v/>
          </cell>
          <cell r="F688" t="str">
            <v>2026</v>
          </cell>
          <cell r="G688" t="str">
            <v>3</v>
          </cell>
          <cell r="H688">
            <v>156</v>
          </cell>
          <cell r="I688">
            <v>0</v>
          </cell>
          <cell r="J688" t="str">
            <v>X</v>
          </cell>
          <cell r="K688" t="str">
            <v>X</v>
          </cell>
          <cell r="L688" t="str">
            <v>07:08:01</v>
          </cell>
          <cell r="M688">
            <v>45824</v>
          </cell>
          <cell r="N688">
            <v>44430</v>
          </cell>
          <cell r="O688" t="str">
            <v>X</v>
          </cell>
          <cell r="P688" t="str">
            <v>2025</v>
          </cell>
          <cell r="Q688">
            <v>156</v>
          </cell>
          <cell r="R688" t="str">
            <v/>
          </cell>
        </row>
        <row r="689">
          <cell r="A689" t="str">
            <v>4008387</v>
          </cell>
          <cell r="B689" t="str">
            <v>3300</v>
          </cell>
          <cell r="C689" t="str">
            <v>3001</v>
          </cell>
          <cell r="D689" t="str">
            <v>L</v>
          </cell>
          <cell r="E689" t="str">
            <v/>
          </cell>
          <cell r="F689" t="str">
            <v>2026</v>
          </cell>
          <cell r="G689" t="str">
            <v>2</v>
          </cell>
          <cell r="H689">
            <v>30</v>
          </cell>
          <cell r="I689">
            <v>0</v>
          </cell>
          <cell r="J689" t="str">
            <v>X</v>
          </cell>
          <cell r="K689" t="str">
            <v>X</v>
          </cell>
          <cell r="L689" t="str">
            <v>05:03:03</v>
          </cell>
          <cell r="M689">
            <v>45803</v>
          </cell>
          <cell r="N689">
            <v>44430</v>
          </cell>
          <cell r="O689" t="str">
            <v>X</v>
          </cell>
          <cell r="P689" t="str">
            <v>2025</v>
          </cell>
          <cell r="Q689">
            <v>30</v>
          </cell>
          <cell r="R689" t="str">
            <v/>
          </cell>
        </row>
        <row r="690">
          <cell r="A690" t="str">
            <v>4008388</v>
          </cell>
          <cell r="B690" t="str">
            <v>3300</v>
          </cell>
          <cell r="C690" t="str">
            <v>3001</v>
          </cell>
          <cell r="D690" t="str">
            <v>L</v>
          </cell>
          <cell r="E690" t="str">
            <v/>
          </cell>
          <cell r="F690" t="str">
            <v>2026</v>
          </cell>
          <cell r="G690" t="str">
            <v>3</v>
          </cell>
          <cell r="H690">
            <v>700</v>
          </cell>
          <cell r="I690">
            <v>0</v>
          </cell>
          <cell r="J690" t="str">
            <v>X</v>
          </cell>
          <cell r="K690" t="str">
            <v>X</v>
          </cell>
          <cell r="L690" t="str">
            <v>07:06:02</v>
          </cell>
          <cell r="M690">
            <v>45824</v>
          </cell>
          <cell r="N690">
            <v>44430</v>
          </cell>
          <cell r="O690" t="str">
            <v>X</v>
          </cell>
          <cell r="P690" t="str">
            <v>2025</v>
          </cell>
          <cell r="Q690">
            <v>700</v>
          </cell>
          <cell r="R690" t="str">
            <v/>
          </cell>
        </row>
        <row r="691">
          <cell r="A691" t="str">
            <v>4008411</v>
          </cell>
          <cell r="B691" t="str">
            <v>3300</v>
          </cell>
          <cell r="C691" t="str">
            <v>3001</v>
          </cell>
          <cell r="D691" t="str">
            <v>L</v>
          </cell>
          <cell r="E691" t="str">
            <v/>
          </cell>
          <cell r="F691" t="str">
            <v>2026</v>
          </cell>
          <cell r="G691" t="str">
            <v>2</v>
          </cell>
          <cell r="H691">
            <v>57</v>
          </cell>
          <cell r="I691">
            <v>0</v>
          </cell>
          <cell r="J691" t="str">
            <v>X</v>
          </cell>
          <cell r="K691" t="str">
            <v>X</v>
          </cell>
          <cell r="L691" t="str">
            <v>11:09:03</v>
          </cell>
          <cell r="M691">
            <v>45994</v>
          </cell>
          <cell r="N691">
            <v>44430</v>
          </cell>
          <cell r="O691" t="str">
            <v>X</v>
          </cell>
          <cell r="P691" t="str">
            <v>2025</v>
          </cell>
          <cell r="Q691">
            <v>57</v>
          </cell>
          <cell r="R691" t="str">
            <v/>
          </cell>
        </row>
        <row r="692">
          <cell r="A692" t="str">
            <v>4008412</v>
          </cell>
          <cell r="B692" t="str">
            <v>3300</v>
          </cell>
          <cell r="C692" t="str">
            <v>3001</v>
          </cell>
          <cell r="D692" t="str">
            <v>L</v>
          </cell>
          <cell r="E692" t="str">
            <v/>
          </cell>
          <cell r="F692" t="str">
            <v>2026</v>
          </cell>
          <cell r="G692" t="str">
            <v>2</v>
          </cell>
          <cell r="H692">
            <v>2050</v>
          </cell>
          <cell r="I692">
            <v>0</v>
          </cell>
          <cell r="J692" t="str">
            <v>X</v>
          </cell>
          <cell r="K692" t="str">
            <v/>
          </cell>
          <cell r="L692" t="str">
            <v>17:03:02</v>
          </cell>
          <cell r="M692">
            <v>46029</v>
          </cell>
          <cell r="N692">
            <v>44430</v>
          </cell>
          <cell r="O692" t="str">
            <v>X</v>
          </cell>
          <cell r="P692" t="str">
            <v>2026</v>
          </cell>
          <cell r="Q692">
            <v>2050</v>
          </cell>
          <cell r="R692" t="str">
            <v/>
          </cell>
        </row>
        <row r="693">
          <cell r="A693" t="str">
            <v>4008413</v>
          </cell>
          <cell r="B693" t="str">
            <v>3300</v>
          </cell>
          <cell r="C693" t="str">
            <v>3001</v>
          </cell>
          <cell r="D693" t="str">
            <v>L</v>
          </cell>
          <cell r="E693" t="str">
            <v/>
          </cell>
          <cell r="F693" t="str">
            <v>2026</v>
          </cell>
          <cell r="G693" t="str">
            <v>2</v>
          </cell>
          <cell r="H693">
            <v>160</v>
          </cell>
          <cell r="I693">
            <v>0</v>
          </cell>
          <cell r="J693" t="str">
            <v>X</v>
          </cell>
          <cell r="K693" t="str">
            <v>X</v>
          </cell>
          <cell r="L693" t="str">
            <v>03:03:02</v>
          </cell>
          <cell r="M693">
            <v>45798</v>
          </cell>
          <cell r="N693">
            <v>44430</v>
          </cell>
          <cell r="O693" t="str">
            <v>X</v>
          </cell>
          <cell r="P693" t="str">
            <v>2025</v>
          </cell>
          <cell r="Q693">
            <v>160</v>
          </cell>
          <cell r="R693" t="str">
            <v/>
          </cell>
        </row>
        <row r="694">
          <cell r="A694" t="str">
            <v>4008414</v>
          </cell>
          <cell r="B694" t="str">
            <v>3300</v>
          </cell>
          <cell r="C694" t="str">
            <v>3001</v>
          </cell>
          <cell r="D694" t="str">
            <v>L</v>
          </cell>
          <cell r="E694" t="str">
            <v/>
          </cell>
          <cell r="F694" t="str">
            <v>2021</v>
          </cell>
          <cell r="G694" t="str">
            <v>10</v>
          </cell>
          <cell r="H694">
            <v>0</v>
          </cell>
          <cell r="I694">
            <v>0</v>
          </cell>
          <cell r="J694" t="str">
            <v/>
          </cell>
          <cell r="K694" t="str">
            <v>X</v>
          </cell>
          <cell r="L694" t="str">
            <v>SLETTET</v>
          </cell>
          <cell r="M694">
            <v>44568</v>
          </cell>
          <cell r="N694">
            <v>44430</v>
          </cell>
          <cell r="O694" t="str">
            <v>X</v>
          </cell>
          <cell r="P694" t="str">
            <v>2023</v>
          </cell>
          <cell r="Q694">
            <v>0</v>
          </cell>
          <cell r="R694" t="str">
            <v>INAKTIV</v>
          </cell>
        </row>
        <row r="695">
          <cell r="A695" t="str">
            <v>4008419</v>
          </cell>
          <cell r="B695" t="str">
            <v>3300</v>
          </cell>
          <cell r="C695" t="str">
            <v>3001</v>
          </cell>
          <cell r="D695" t="str">
            <v>L</v>
          </cell>
          <cell r="E695" t="str">
            <v/>
          </cell>
          <cell r="F695" t="str">
            <v>2026</v>
          </cell>
          <cell r="G695" t="str">
            <v>3</v>
          </cell>
          <cell r="H695">
            <v>852</v>
          </cell>
          <cell r="I695">
            <v>0</v>
          </cell>
          <cell r="J695" t="str">
            <v>X</v>
          </cell>
          <cell r="K695" t="str">
            <v>X</v>
          </cell>
          <cell r="L695" t="str">
            <v>14:05:03</v>
          </cell>
          <cell r="M695">
            <v>46001</v>
          </cell>
          <cell r="N695">
            <v>44430</v>
          </cell>
          <cell r="O695" t="str">
            <v>X</v>
          </cell>
          <cell r="P695" t="str">
            <v>2025</v>
          </cell>
          <cell r="Q695">
            <v>852</v>
          </cell>
          <cell r="R695" t="str">
            <v/>
          </cell>
        </row>
        <row r="696">
          <cell r="A696" t="str">
            <v>4008431</v>
          </cell>
          <cell r="B696" t="str">
            <v>3300</v>
          </cell>
          <cell r="C696" t="str">
            <v>3001</v>
          </cell>
          <cell r="D696" t="str">
            <v>L</v>
          </cell>
          <cell r="E696" t="str">
            <v/>
          </cell>
          <cell r="F696" t="str">
            <v>2025</v>
          </cell>
          <cell r="G696" t="str">
            <v>11</v>
          </cell>
          <cell r="H696">
            <v>435</v>
          </cell>
          <cell r="I696">
            <v>0</v>
          </cell>
          <cell r="J696" t="str">
            <v>X</v>
          </cell>
          <cell r="K696" t="str">
            <v>X</v>
          </cell>
          <cell r="L696" t="str">
            <v>05:13:03</v>
          </cell>
          <cell r="M696">
            <v>45804</v>
          </cell>
          <cell r="N696">
            <v>44430</v>
          </cell>
          <cell r="O696" t="str">
            <v>X</v>
          </cell>
          <cell r="P696" t="str">
            <v>2025</v>
          </cell>
          <cell r="Q696">
            <v>435</v>
          </cell>
          <cell r="R696" t="str">
            <v/>
          </cell>
        </row>
        <row r="697">
          <cell r="A697" t="str">
            <v>4008432</v>
          </cell>
          <cell r="B697" t="str">
            <v>3300</v>
          </cell>
          <cell r="C697" t="str">
            <v>3001</v>
          </cell>
          <cell r="D697" t="str">
            <v>L</v>
          </cell>
          <cell r="E697" t="str">
            <v>X</v>
          </cell>
          <cell r="F697" t="str">
            <v>2021</v>
          </cell>
          <cell r="G697" t="str">
            <v>8</v>
          </cell>
          <cell r="H697">
            <v>0</v>
          </cell>
          <cell r="I697">
            <v>0</v>
          </cell>
          <cell r="J697" t="str">
            <v/>
          </cell>
          <cell r="K697" t="str">
            <v/>
          </cell>
          <cell r="L697" t="str">
            <v>SLETTET</v>
          </cell>
          <cell r="M697" t="str">
            <v/>
          </cell>
          <cell r="N697">
            <v>44430</v>
          </cell>
          <cell r="O697" t="str">
            <v>X</v>
          </cell>
          <cell r="P697" t="str">
            <v>2023</v>
          </cell>
          <cell r="Q697">
            <v>0</v>
          </cell>
          <cell r="R697" t="str">
            <v>INAKTIV</v>
          </cell>
        </row>
        <row r="698">
          <cell r="A698" t="str">
            <v>4008436</v>
          </cell>
          <cell r="B698" t="str">
            <v>3300</v>
          </cell>
          <cell r="C698" t="str">
            <v>3001</v>
          </cell>
          <cell r="D698" t="str">
            <v>L</v>
          </cell>
          <cell r="E698" t="str">
            <v/>
          </cell>
          <cell r="F698" t="str">
            <v>2026</v>
          </cell>
          <cell r="G698" t="str">
            <v>2</v>
          </cell>
          <cell r="H698">
            <v>886</v>
          </cell>
          <cell r="I698">
            <v>0</v>
          </cell>
          <cell r="J698" t="str">
            <v>X</v>
          </cell>
          <cell r="K698" t="str">
            <v>X</v>
          </cell>
          <cell r="L698" t="str">
            <v>05:09:01*</v>
          </cell>
          <cell r="M698">
            <v>45803</v>
          </cell>
          <cell r="N698">
            <v>44430</v>
          </cell>
          <cell r="O698" t="str">
            <v>X</v>
          </cell>
          <cell r="P698" t="str">
            <v>2025</v>
          </cell>
          <cell r="Q698">
            <v>886</v>
          </cell>
          <cell r="R698" t="str">
            <v/>
          </cell>
        </row>
        <row r="699">
          <cell r="A699" t="str">
            <v>4008438</v>
          </cell>
          <cell r="B699" t="str">
            <v>3300</v>
          </cell>
          <cell r="C699" t="str">
            <v>3001</v>
          </cell>
          <cell r="D699" t="str">
            <v>L</v>
          </cell>
          <cell r="E699" t="str">
            <v/>
          </cell>
          <cell r="F699" t="str">
            <v>2026</v>
          </cell>
          <cell r="G699" t="str">
            <v>2</v>
          </cell>
          <cell r="H699">
            <v>8200</v>
          </cell>
          <cell r="I699">
            <v>0</v>
          </cell>
          <cell r="J699" t="str">
            <v>X</v>
          </cell>
          <cell r="K699" t="str">
            <v>X</v>
          </cell>
          <cell r="L699" t="str">
            <v>05:02:02</v>
          </cell>
          <cell r="M699">
            <v>45803</v>
          </cell>
          <cell r="N699">
            <v>44430</v>
          </cell>
          <cell r="O699" t="str">
            <v>X</v>
          </cell>
          <cell r="P699" t="str">
            <v>2025</v>
          </cell>
          <cell r="Q699">
            <v>8200</v>
          </cell>
          <cell r="R699" t="str">
            <v/>
          </cell>
        </row>
        <row r="700">
          <cell r="A700" t="str">
            <v>4008439</v>
          </cell>
          <cell r="B700" t="str">
            <v>3300</v>
          </cell>
          <cell r="C700" t="str">
            <v>3001</v>
          </cell>
          <cell r="D700" t="str">
            <v>L</v>
          </cell>
          <cell r="E700" t="str">
            <v/>
          </cell>
          <cell r="F700" t="str">
            <v>2026</v>
          </cell>
          <cell r="G700" t="str">
            <v>2</v>
          </cell>
          <cell r="H700">
            <v>2000</v>
          </cell>
          <cell r="I700">
            <v>0</v>
          </cell>
          <cell r="J700" t="str">
            <v>X</v>
          </cell>
          <cell r="K700" t="str">
            <v>X</v>
          </cell>
          <cell r="L700" t="str">
            <v>05:02:02</v>
          </cell>
          <cell r="M700">
            <v>45803</v>
          </cell>
          <cell r="N700">
            <v>44430</v>
          </cell>
          <cell r="O700" t="str">
            <v>X</v>
          </cell>
          <cell r="P700" t="str">
            <v>2025</v>
          </cell>
          <cell r="Q700">
            <v>2000</v>
          </cell>
          <cell r="R700" t="str">
            <v/>
          </cell>
        </row>
        <row r="701">
          <cell r="A701" t="str">
            <v>4008440</v>
          </cell>
          <cell r="B701" t="str">
            <v>3300</v>
          </cell>
          <cell r="C701" t="str">
            <v>3001</v>
          </cell>
          <cell r="D701" t="str">
            <v>L</v>
          </cell>
          <cell r="E701" t="str">
            <v/>
          </cell>
          <cell r="F701" t="str">
            <v>2024</v>
          </cell>
          <cell r="G701" t="str">
            <v>3</v>
          </cell>
          <cell r="H701">
            <v>0</v>
          </cell>
          <cell r="I701">
            <v>0</v>
          </cell>
          <cell r="J701" t="str">
            <v>X</v>
          </cell>
          <cell r="K701" t="str">
            <v/>
          </cell>
          <cell r="L701" t="str">
            <v>SLETTET</v>
          </cell>
          <cell r="M701">
            <v>44568</v>
          </cell>
          <cell r="N701">
            <v>44430</v>
          </cell>
          <cell r="O701" t="str">
            <v>X</v>
          </cell>
          <cell r="P701" t="str">
            <v>2022</v>
          </cell>
          <cell r="Q701">
            <v>0</v>
          </cell>
          <cell r="R701" t="str">
            <v>INAKTIV</v>
          </cell>
        </row>
        <row r="702">
          <cell r="A702" t="str">
            <v>4008441</v>
          </cell>
          <cell r="B702" t="str">
            <v>3300</v>
          </cell>
          <cell r="C702" t="str">
            <v>3001</v>
          </cell>
          <cell r="D702" t="str">
            <v>L</v>
          </cell>
          <cell r="E702" t="str">
            <v/>
          </cell>
          <cell r="F702" t="str">
            <v>2026</v>
          </cell>
          <cell r="G702" t="str">
            <v>2</v>
          </cell>
          <cell r="H702">
            <v>370</v>
          </cell>
          <cell r="I702">
            <v>0</v>
          </cell>
          <cell r="J702" t="str">
            <v>X</v>
          </cell>
          <cell r="K702" t="str">
            <v>X</v>
          </cell>
          <cell r="L702" t="str">
            <v>09:08:03</v>
          </cell>
          <cell r="M702">
            <v>45980</v>
          </cell>
          <cell r="N702">
            <v>44430</v>
          </cell>
          <cell r="O702" t="str">
            <v>X</v>
          </cell>
          <cell r="P702" t="str">
            <v>2025</v>
          </cell>
          <cell r="Q702">
            <v>370</v>
          </cell>
          <cell r="R702" t="str">
            <v/>
          </cell>
        </row>
        <row r="703">
          <cell r="A703" t="str">
            <v>4008446</v>
          </cell>
          <cell r="B703" t="str">
            <v>3300</v>
          </cell>
          <cell r="C703" t="str">
            <v>3001</v>
          </cell>
          <cell r="D703" t="str">
            <v>L</v>
          </cell>
          <cell r="E703" t="str">
            <v/>
          </cell>
          <cell r="F703" t="str">
            <v>2026</v>
          </cell>
          <cell r="G703" t="str">
            <v>1</v>
          </cell>
          <cell r="H703">
            <v>30</v>
          </cell>
          <cell r="I703">
            <v>0</v>
          </cell>
          <cell r="J703" t="str">
            <v>X</v>
          </cell>
          <cell r="K703" t="str">
            <v>X</v>
          </cell>
          <cell r="L703" t="str">
            <v>10:02:03</v>
          </cell>
          <cell r="M703">
            <v>45987</v>
          </cell>
          <cell r="N703">
            <v>44430</v>
          </cell>
          <cell r="O703" t="str">
            <v>X</v>
          </cell>
          <cell r="P703" t="str">
            <v>2025</v>
          </cell>
          <cell r="Q703">
            <v>30</v>
          </cell>
          <cell r="R703" t="str">
            <v/>
          </cell>
        </row>
        <row r="704">
          <cell r="A704" t="str">
            <v>4008447</v>
          </cell>
          <cell r="B704" t="str">
            <v>3300</v>
          </cell>
          <cell r="C704" t="str">
            <v>3001</v>
          </cell>
          <cell r="D704" t="str">
            <v>L</v>
          </cell>
          <cell r="E704" t="str">
            <v/>
          </cell>
          <cell r="F704" t="str">
            <v>2026</v>
          </cell>
          <cell r="G704" t="str">
            <v>2</v>
          </cell>
          <cell r="H704">
            <v>396</v>
          </cell>
          <cell r="I704">
            <v>0</v>
          </cell>
          <cell r="J704" t="str">
            <v>X</v>
          </cell>
          <cell r="K704" t="str">
            <v>X</v>
          </cell>
          <cell r="L704" t="str">
            <v>01:04:03</v>
          </cell>
          <cell r="M704">
            <v>45793</v>
          </cell>
          <cell r="N704">
            <v>44430</v>
          </cell>
          <cell r="O704" t="str">
            <v>X</v>
          </cell>
          <cell r="P704" t="str">
            <v>2025</v>
          </cell>
          <cell r="Q704">
            <v>396</v>
          </cell>
          <cell r="R704" t="str">
            <v/>
          </cell>
        </row>
        <row r="705">
          <cell r="A705" t="str">
            <v>4008448</v>
          </cell>
          <cell r="B705" t="str">
            <v>3300</v>
          </cell>
          <cell r="C705" t="str">
            <v>3001</v>
          </cell>
          <cell r="D705" t="str">
            <v>L</v>
          </cell>
          <cell r="E705" t="str">
            <v/>
          </cell>
          <cell r="F705" t="str">
            <v>2026</v>
          </cell>
          <cell r="G705" t="str">
            <v>2</v>
          </cell>
          <cell r="H705">
            <v>612</v>
          </cell>
          <cell r="I705">
            <v>0</v>
          </cell>
          <cell r="J705" t="str">
            <v>X</v>
          </cell>
          <cell r="K705" t="str">
            <v>X</v>
          </cell>
          <cell r="L705" t="str">
            <v>01:02:03</v>
          </cell>
          <cell r="M705">
            <v>45793</v>
          </cell>
          <cell r="N705">
            <v>44430</v>
          </cell>
          <cell r="O705" t="str">
            <v>X</v>
          </cell>
          <cell r="P705" t="str">
            <v>2025</v>
          </cell>
          <cell r="Q705">
            <v>612</v>
          </cell>
          <cell r="R705" t="str">
            <v/>
          </cell>
        </row>
        <row r="706">
          <cell r="A706" t="str">
            <v>4008449</v>
          </cell>
          <cell r="B706" t="str">
            <v>3300</v>
          </cell>
          <cell r="C706" t="str">
            <v>3001</v>
          </cell>
          <cell r="D706" t="str">
            <v>L</v>
          </cell>
          <cell r="E706" t="str">
            <v/>
          </cell>
          <cell r="F706" t="str">
            <v>2026</v>
          </cell>
          <cell r="G706" t="str">
            <v>1</v>
          </cell>
          <cell r="H706">
            <v>288</v>
          </cell>
          <cell r="I706">
            <v>0</v>
          </cell>
          <cell r="J706" t="str">
            <v>X</v>
          </cell>
          <cell r="K706" t="str">
            <v>X</v>
          </cell>
          <cell r="L706" t="str">
            <v>01:04:02</v>
          </cell>
          <cell r="M706">
            <v>45793</v>
          </cell>
          <cell r="N706">
            <v>44430</v>
          </cell>
          <cell r="O706" t="str">
            <v>X</v>
          </cell>
          <cell r="P706" t="str">
            <v>2025</v>
          </cell>
          <cell r="Q706">
            <v>288</v>
          </cell>
          <cell r="R706" t="str">
            <v/>
          </cell>
        </row>
        <row r="707">
          <cell r="A707" t="str">
            <v>4008450</v>
          </cell>
          <cell r="B707" t="str">
            <v>3300</v>
          </cell>
          <cell r="C707" t="str">
            <v>3001</v>
          </cell>
          <cell r="D707" t="str">
            <v>L</v>
          </cell>
          <cell r="E707" t="str">
            <v>X</v>
          </cell>
          <cell r="F707" t="str">
            <v>2021</v>
          </cell>
          <cell r="G707" t="str">
            <v>8</v>
          </cell>
          <cell r="H707">
            <v>0</v>
          </cell>
          <cell r="I707">
            <v>0</v>
          </cell>
          <cell r="J707" t="str">
            <v>X</v>
          </cell>
          <cell r="K707" t="str">
            <v/>
          </cell>
          <cell r="L707" t="str">
            <v>SLETTET</v>
          </cell>
          <cell r="M707">
            <v>44568</v>
          </cell>
          <cell r="N707">
            <v>44430</v>
          </cell>
          <cell r="O707" t="str">
            <v>X</v>
          </cell>
          <cell r="P707" t="str">
            <v>2022</v>
          </cell>
          <cell r="Q707">
            <v>0</v>
          </cell>
          <cell r="R707" t="str">
            <v>INAKTIV</v>
          </cell>
        </row>
        <row r="708">
          <cell r="A708" t="str">
            <v>4008451</v>
          </cell>
          <cell r="B708" t="str">
            <v>3300</v>
          </cell>
          <cell r="C708" t="str">
            <v>3001</v>
          </cell>
          <cell r="D708" t="str">
            <v>L</v>
          </cell>
          <cell r="E708" t="str">
            <v/>
          </cell>
          <cell r="F708" t="str">
            <v>2026</v>
          </cell>
          <cell r="G708" t="str">
            <v>2</v>
          </cell>
          <cell r="H708">
            <v>216</v>
          </cell>
          <cell r="I708">
            <v>0</v>
          </cell>
          <cell r="J708" t="str">
            <v>X</v>
          </cell>
          <cell r="K708" t="str">
            <v>X</v>
          </cell>
          <cell r="L708" t="str">
            <v>01:05:01</v>
          </cell>
          <cell r="M708">
            <v>45793</v>
          </cell>
          <cell r="N708">
            <v>44430</v>
          </cell>
          <cell r="O708" t="str">
            <v>X</v>
          </cell>
          <cell r="P708" t="str">
            <v>2025</v>
          </cell>
          <cell r="Q708">
            <v>216</v>
          </cell>
          <cell r="R708" t="str">
            <v/>
          </cell>
        </row>
        <row r="709">
          <cell r="A709" t="str">
            <v>4008452</v>
          </cell>
          <cell r="B709" t="str">
            <v>3300</v>
          </cell>
          <cell r="C709" t="str">
            <v>3001</v>
          </cell>
          <cell r="D709" t="str">
            <v>L</v>
          </cell>
          <cell r="E709" t="str">
            <v>X</v>
          </cell>
          <cell r="F709" t="str">
            <v>2021</v>
          </cell>
          <cell r="G709" t="str">
            <v>8</v>
          </cell>
          <cell r="H709">
            <v>0</v>
          </cell>
          <cell r="I709">
            <v>0</v>
          </cell>
          <cell r="J709" t="str">
            <v>X</v>
          </cell>
          <cell r="K709" t="str">
            <v/>
          </cell>
          <cell r="L709" t="str">
            <v>SLETTET</v>
          </cell>
          <cell r="M709">
            <v>44568</v>
          </cell>
          <cell r="N709">
            <v>44430</v>
          </cell>
          <cell r="O709" t="str">
            <v>X</v>
          </cell>
          <cell r="P709" t="str">
            <v>2022</v>
          </cell>
          <cell r="Q709">
            <v>0</v>
          </cell>
          <cell r="R709" t="str">
            <v>INAKTIV</v>
          </cell>
        </row>
        <row r="710">
          <cell r="A710" t="str">
            <v>4008453</v>
          </cell>
          <cell r="B710" t="str">
            <v>3300</v>
          </cell>
          <cell r="C710" t="str">
            <v>3001</v>
          </cell>
          <cell r="D710" t="str">
            <v>L</v>
          </cell>
          <cell r="E710" t="str">
            <v/>
          </cell>
          <cell r="F710" t="str">
            <v>2026</v>
          </cell>
          <cell r="G710" t="str">
            <v>2</v>
          </cell>
          <cell r="H710">
            <v>504</v>
          </cell>
          <cell r="I710">
            <v>0</v>
          </cell>
          <cell r="J710" t="str">
            <v>X</v>
          </cell>
          <cell r="K710" t="str">
            <v>X</v>
          </cell>
          <cell r="L710" t="str">
            <v>01:01:03</v>
          </cell>
          <cell r="M710">
            <v>45792</v>
          </cell>
          <cell r="N710">
            <v>44430</v>
          </cell>
          <cell r="O710" t="str">
            <v>X</v>
          </cell>
          <cell r="P710" t="str">
            <v>2025</v>
          </cell>
          <cell r="Q710">
            <v>504</v>
          </cell>
          <cell r="R710" t="str">
            <v/>
          </cell>
        </row>
        <row r="711">
          <cell r="A711" t="str">
            <v>4008454</v>
          </cell>
          <cell r="B711" t="str">
            <v>3300</v>
          </cell>
          <cell r="C711" t="str">
            <v>3001</v>
          </cell>
          <cell r="D711" t="str">
            <v>L</v>
          </cell>
          <cell r="E711" t="str">
            <v/>
          </cell>
          <cell r="F711" t="str">
            <v>2026</v>
          </cell>
          <cell r="G711" t="str">
            <v>2</v>
          </cell>
          <cell r="H711">
            <v>432</v>
          </cell>
          <cell r="I711">
            <v>0</v>
          </cell>
          <cell r="J711" t="str">
            <v>X</v>
          </cell>
          <cell r="K711" t="str">
            <v>X</v>
          </cell>
          <cell r="L711" t="str">
            <v>01:04:02</v>
          </cell>
          <cell r="M711">
            <v>45793</v>
          </cell>
          <cell r="N711">
            <v>44430</v>
          </cell>
          <cell r="O711" t="str">
            <v>X</v>
          </cell>
          <cell r="P711" t="str">
            <v>2025</v>
          </cell>
          <cell r="Q711">
            <v>432</v>
          </cell>
          <cell r="R711" t="str">
            <v/>
          </cell>
        </row>
        <row r="712">
          <cell r="A712" t="str">
            <v>4008455</v>
          </cell>
          <cell r="B712" t="str">
            <v>3300</v>
          </cell>
          <cell r="C712" t="str">
            <v>3001</v>
          </cell>
          <cell r="D712" t="str">
            <v>L</v>
          </cell>
          <cell r="E712" t="str">
            <v/>
          </cell>
          <cell r="F712" t="str">
            <v>2026</v>
          </cell>
          <cell r="G712" t="str">
            <v>2</v>
          </cell>
          <cell r="H712">
            <v>288</v>
          </cell>
          <cell r="I712">
            <v>0</v>
          </cell>
          <cell r="J712" t="str">
            <v>X</v>
          </cell>
          <cell r="K712" t="str">
            <v>X</v>
          </cell>
          <cell r="L712" t="str">
            <v>01:05:01</v>
          </cell>
          <cell r="M712">
            <v>45793</v>
          </cell>
          <cell r="N712">
            <v>44430</v>
          </cell>
          <cell r="O712" t="str">
            <v>X</v>
          </cell>
          <cell r="P712" t="str">
            <v>2025</v>
          </cell>
          <cell r="Q712">
            <v>288</v>
          </cell>
          <cell r="R712" t="str">
            <v/>
          </cell>
        </row>
        <row r="713">
          <cell r="A713" t="str">
            <v>4008456</v>
          </cell>
          <cell r="B713" t="str">
            <v>3300</v>
          </cell>
          <cell r="C713" t="str">
            <v>3001</v>
          </cell>
          <cell r="D713" t="str">
            <v>L</v>
          </cell>
          <cell r="E713" t="str">
            <v/>
          </cell>
          <cell r="F713" t="str">
            <v>2025</v>
          </cell>
          <cell r="G713" t="str">
            <v>7</v>
          </cell>
          <cell r="H713">
            <v>252</v>
          </cell>
          <cell r="I713">
            <v>0</v>
          </cell>
          <cell r="J713" t="str">
            <v>X</v>
          </cell>
          <cell r="K713" t="str">
            <v>X</v>
          </cell>
          <cell r="L713" t="str">
            <v>01:02:03</v>
          </cell>
          <cell r="M713">
            <v>45793</v>
          </cell>
          <cell r="N713">
            <v>44430</v>
          </cell>
          <cell r="O713" t="str">
            <v>X</v>
          </cell>
          <cell r="P713" t="str">
            <v>2025</v>
          </cell>
          <cell r="Q713">
            <v>252</v>
          </cell>
          <cell r="R713" t="str">
            <v/>
          </cell>
        </row>
        <row r="714">
          <cell r="A714" t="str">
            <v>4008457</v>
          </cell>
          <cell r="B714" t="str">
            <v>3300</v>
          </cell>
          <cell r="C714" t="str">
            <v>3001</v>
          </cell>
          <cell r="D714" t="str">
            <v>L</v>
          </cell>
          <cell r="E714" t="str">
            <v/>
          </cell>
          <cell r="F714" t="str">
            <v>2026</v>
          </cell>
          <cell r="G714" t="str">
            <v>2</v>
          </cell>
          <cell r="H714">
            <v>432</v>
          </cell>
          <cell r="I714">
            <v>0</v>
          </cell>
          <cell r="J714" t="str">
            <v>X</v>
          </cell>
          <cell r="K714" t="str">
            <v>X</v>
          </cell>
          <cell r="L714" t="str">
            <v>01:03:03</v>
          </cell>
          <cell r="M714">
            <v>45793</v>
          </cell>
          <cell r="N714">
            <v>44430</v>
          </cell>
          <cell r="O714" t="str">
            <v>X</v>
          </cell>
          <cell r="P714" t="str">
            <v>2025</v>
          </cell>
          <cell r="Q714">
            <v>432</v>
          </cell>
          <cell r="R714" t="str">
            <v/>
          </cell>
        </row>
        <row r="715">
          <cell r="A715" t="str">
            <v>4008458</v>
          </cell>
          <cell r="B715" t="str">
            <v>3300</v>
          </cell>
          <cell r="C715" t="str">
            <v>3001</v>
          </cell>
          <cell r="D715" t="str">
            <v>L</v>
          </cell>
          <cell r="E715" t="str">
            <v/>
          </cell>
          <cell r="F715" t="str">
            <v>2026</v>
          </cell>
          <cell r="G715" t="str">
            <v>2</v>
          </cell>
          <cell r="H715">
            <v>180</v>
          </cell>
          <cell r="I715">
            <v>0</v>
          </cell>
          <cell r="J715" t="str">
            <v>X</v>
          </cell>
          <cell r="K715" t="str">
            <v/>
          </cell>
          <cell r="L715" t="str">
            <v>01:02:03</v>
          </cell>
          <cell r="M715">
            <v>45793</v>
          </cell>
          <cell r="N715">
            <v>44430</v>
          </cell>
          <cell r="O715" t="str">
            <v>X</v>
          </cell>
          <cell r="P715" t="str">
            <v>2025</v>
          </cell>
          <cell r="Q715">
            <v>180</v>
          </cell>
          <cell r="R715" t="str">
            <v/>
          </cell>
        </row>
        <row r="716">
          <cell r="A716" t="str">
            <v>4008459</v>
          </cell>
          <cell r="B716" t="str">
            <v>3300</v>
          </cell>
          <cell r="C716" t="str">
            <v>3001</v>
          </cell>
          <cell r="D716" t="str">
            <v>L</v>
          </cell>
          <cell r="E716" t="str">
            <v/>
          </cell>
          <cell r="F716" t="str">
            <v>2021</v>
          </cell>
          <cell r="G716" t="str">
            <v>8</v>
          </cell>
          <cell r="H716">
            <v>0</v>
          </cell>
          <cell r="I716">
            <v>0</v>
          </cell>
          <cell r="J716" t="str">
            <v>X</v>
          </cell>
          <cell r="K716" t="str">
            <v/>
          </cell>
          <cell r="L716" t="str">
            <v>SLETTET</v>
          </cell>
          <cell r="M716">
            <v>44568</v>
          </cell>
          <cell r="N716">
            <v>44430</v>
          </cell>
          <cell r="O716" t="str">
            <v>X</v>
          </cell>
          <cell r="P716" t="str">
            <v>2022</v>
          </cell>
          <cell r="Q716">
            <v>0</v>
          </cell>
          <cell r="R716" t="str">
            <v>INAKTIV</v>
          </cell>
        </row>
        <row r="717">
          <cell r="A717" t="str">
            <v>4008460</v>
          </cell>
          <cell r="B717" t="str">
            <v>3300</v>
          </cell>
          <cell r="C717" t="str">
            <v>3001</v>
          </cell>
          <cell r="D717" t="str">
            <v>L</v>
          </cell>
          <cell r="E717" t="str">
            <v/>
          </cell>
          <cell r="F717" t="str">
            <v>2025</v>
          </cell>
          <cell r="G717" t="str">
            <v>11</v>
          </cell>
          <cell r="H717">
            <v>180</v>
          </cell>
          <cell r="I717">
            <v>0</v>
          </cell>
          <cell r="J717" t="str">
            <v>X</v>
          </cell>
          <cell r="K717" t="str">
            <v>X</v>
          </cell>
          <cell r="L717" t="str">
            <v>01:02:00</v>
          </cell>
          <cell r="M717">
            <v>45792</v>
          </cell>
          <cell r="N717">
            <v>44430</v>
          </cell>
          <cell r="O717" t="str">
            <v>X</v>
          </cell>
          <cell r="P717" t="str">
            <v>2025</v>
          </cell>
          <cell r="Q717">
            <v>180</v>
          </cell>
          <cell r="R717" t="str">
            <v/>
          </cell>
        </row>
        <row r="718">
          <cell r="A718" t="str">
            <v>4008461</v>
          </cell>
          <cell r="B718" t="str">
            <v>3300</v>
          </cell>
          <cell r="C718" t="str">
            <v>3001</v>
          </cell>
          <cell r="D718" t="str">
            <v>L</v>
          </cell>
          <cell r="E718" t="str">
            <v/>
          </cell>
          <cell r="F718" t="str">
            <v>2025</v>
          </cell>
          <cell r="G718" t="str">
            <v>12</v>
          </cell>
          <cell r="H718">
            <v>180</v>
          </cell>
          <cell r="I718">
            <v>0</v>
          </cell>
          <cell r="J718" t="str">
            <v>X</v>
          </cell>
          <cell r="K718" t="str">
            <v>X</v>
          </cell>
          <cell r="L718" t="str">
            <v>01:02:01</v>
          </cell>
          <cell r="M718">
            <v>45793</v>
          </cell>
          <cell r="N718">
            <v>44430</v>
          </cell>
          <cell r="O718" t="str">
            <v>X</v>
          </cell>
          <cell r="P718" t="str">
            <v>2025</v>
          </cell>
          <cell r="Q718">
            <v>180</v>
          </cell>
          <cell r="R718" t="str">
            <v/>
          </cell>
        </row>
        <row r="719">
          <cell r="A719" t="str">
            <v>4008462</v>
          </cell>
          <cell r="B719" t="str">
            <v>3300</v>
          </cell>
          <cell r="C719" t="str">
            <v>3001</v>
          </cell>
          <cell r="D719" t="str">
            <v>L</v>
          </cell>
          <cell r="E719" t="str">
            <v/>
          </cell>
          <cell r="F719" t="str">
            <v>2026</v>
          </cell>
          <cell r="G719" t="str">
            <v>2</v>
          </cell>
          <cell r="H719">
            <v>431</v>
          </cell>
          <cell r="I719">
            <v>0</v>
          </cell>
          <cell r="J719" t="str">
            <v>X</v>
          </cell>
          <cell r="K719" t="str">
            <v>X</v>
          </cell>
          <cell r="L719" t="str">
            <v>01:04:01</v>
          </cell>
          <cell r="M719">
            <v>45793</v>
          </cell>
          <cell r="N719">
            <v>44430</v>
          </cell>
          <cell r="O719" t="str">
            <v>X</v>
          </cell>
          <cell r="P719" t="str">
            <v>2025</v>
          </cell>
          <cell r="Q719">
            <v>431</v>
          </cell>
          <cell r="R719" t="str">
            <v/>
          </cell>
        </row>
        <row r="720">
          <cell r="A720" t="str">
            <v>4008463</v>
          </cell>
          <cell r="B720" t="str">
            <v>3300</v>
          </cell>
          <cell r="C720" t="str">
            <v>3001</v>
          </cell>
          <cell r="D720" t="str">
            <v>L</v>
          </cell>
          <cell r="E720" t="str">
            <v/>
          </cell>
          <cell r="F720" t="str">
            <v>2026</v>
          </cell>
          <cell r="G720" t="str">
            <v>2</v>
          </cell>
          <cell r="H720">
            <v>324</v>
          </cell>
          <cell r="I720">
            <v>0</v>
          </cell>
          <cell r="J720" t="str">
            <v>X</v>
          </cell>
          <cell r="K720" t="str">
            <v>X</v>
          </cell>
          <cell r="L720" t="str">
            <v>01:04:01</v>
          </cell>
          <cell r="M720">
            <v>45800</v>
          </cell>
          <cell r="N720">
            <v>44430</v>
          </cell>
          <cell r="O720" t="str">
            <v>X</v>
          </cell>
          <cell r="P720" t="str">
            <v>2025</v>
          </cell>
          <cell r="Q720">
            <v>324</v>
          </cell>
          <cell r="R720" t="str">
            <v/>
          </cell>
        </row>
        <row r="721">
          <cell r="A721" t="str">
            <v>4008464</v>
          </cell>
          <cell r="B721" t="str">
            <v>3300</v>
          </cell>
          <cell r="C721" t="str">
            <v>3001</v>
          </cell>
          <cell r="D721" t="str">
            <v>L</v>
          </cell>
          <cell r="E721" t="str">
            <v/>
          </cell>
          <cell r="F721" t="str">
            <v>2026</v>
          </cell>
          <cell r="G721" t="str">
            <v>2</v>
          </cell>
          <cell r="H721">
            <v>156</v>
          </cell>
          <cell r="I721">
            <v>0</v>
          </cell>
          <cell r="J721" t="str">
            <v>X</v>
          </cell>
          <cell r="K721" t="str">
            <v>X</v>
          </cell>
          <cell r="L721" t="str">
            <v>01:01:01</v>
          </cell>
          <cell r="M721">
            <v>45792</v>
          </cell>
          <cell r="N721">
            <v>44430</v>
          </cell>
          <cell r="O721" t="str">
            <v>X</v>
          </cell>
          <cell r="P721" t="str">
            <v>2025</v>
          </cell>
          <cell r="Q721">
            <v>156</v>
          </cell>
          <cell r="R721" t="str">
            <v/>
          </cell>
        </row>
        <row r="722">
          <cell r="A722" t="str">
            <v>4008465</v>
          </cell>
          <cell r="B722" t="str">
            <v>3300</v>
          </cell>
          <cell r="C722" t="str">
            <v>3001</v>
          </cell>
          <cell r="D722" t="str">
            <v>L</v>
          </cell>
          <cell r="E722" t="str">
            <v/>
          </cell>
          <cell r="F722" t="str">
            <v>2026</v>
          </cell>
          <cell r="G722" t="str">
            <v>3</v>
          </cell>
          <cell r="H722">
            <v>12500</v>
          </cell>
          <cell r="I722">
            <v>0</v>
          </cell>
          <cell r="J722" t="str">
            <v>X</v>
          </cell>
          <cell r="K722" t="str">
            <v/>
          </cell>
          <cell r="L722" t="str">
            <v>03:01:01*</v>
          </cell>
          <cell r="M722">
            <v>45798</v>
          </cell>
          <cell r="N722">
            <v>44430</v>
          </cell>
          <cell r="O722" t="str">
            <v>X</v>
          </cell>
          <cell r="P722" t="str">
            <v>2025</v>
          </cell>
          <cell r="Q722">
            <v>12500</v>
          </cell>
          <cell r="R722" t="str">
            <v/>
          </cell>
        </row>
        <row r="723">
          <cell r="A723" t="str">
            <v>4008466</v>
          </cell>
          <cell r="B723" t="str">
            <v>3300</v>
          </cell>
          <cell r="C723" t="str">
            <v>3001</v>
          </cell>
          <cell r="D723" t="str">
            <v>L</v>
          </cell>
          <cell r="E723" t="str">
            <v/>
          </cell>
          <cell r="F723" t="str">
            <v>2026</v>
          </cell>
          <cell r="G723" t="str">
            <v>2</v>
          </cell>
          <cell r="H723">
            <v>12350</v>
          </cell>
          <cell r="I723">
            <v>0</v>
          </cell>
          <cell r="J723" t="str">
            <v>X</v>
          </cell>
          <cell r="K723" t="str">
            <v>X</v>
          </cell>
          <cell r="L723" t="str">
            <v>04:10:01*</v>
          </cell>
          <cell r="M723">
            <v>45800</v>
          </cell>
          <cell r="N723">
            <v>44430</v>
          </cell>
          <cell r="O723" t="str">
            <v>X</v>
          </cell>
          <cell r="P723" t="str">
            <v>2025</v>
          </cell>
          <cell r="Q723">
            <v>12350</v>
          </cell>
          <cell r="R723" t="str">
            <v/>
          </cell>
        </row>
        <row r="724">
          <cell r="A724" t="str">
            <v>4008467</v>
          </cell>
          <cell r="B724" t="str">
            <v>3300</v>
          </cell>
          <cell r="C724" t="str">
            <v>3001</v>
          </cell>
          <cell r="D724" t="str">
            <v>L</v>
          </cell>
          <cell r="E724" t="str">
            <v/>
          </cell>
          <cell r="F724" t="str">
            <v>2022</v>
          </cell>
          <cell r="G724" t="str">
            <v>2</v>
          </cell>
          <cell r="H724">
            <v>0</v>
          </cell>
          <cell r="I724">
            <v>0</v>
          </cell>
          <cell r="J724" t="str">
            <v/>
          </cell>
          <cell r="K724" t="str">
            <v>X</v>
          </cell>
          <cell r="L724" t="str">
            <v>SLETTET</v>
          </cell>
          <cell r="M724">
            <v>44568</v>
          </cell>
          <cell r="N724">
            <v>44430</v>
          </cell>
          <cell r="O724" t="str">
            <v>X</v>
          </cell>
          <cell r="P724" t="str">
            <v>2023</v>
          </cell>
          <cell r="Q724">
            <v>0</v>
          </cell>
          <cell r="R724" t="str">
            <v>INAKTIV</v>
          </cell>
        </row>
        <row r="725">
          <cell r="A725" t="str">
            <v>4008468</v>
          </cell>
          <cell r="B725" t="str">
            <v>3300</v>
          </cell>
          <cell r="C725" t="str">
            <v>3001</v>
          </cell>
          <cell r="D725" t="str">
            <v>L</v>
          </cell>
          <cell r="E725" t="str">
            <v/>
          </cell>
          <cell r="F725" t="str">
            <v>2021</v>
          </cell>
          <cell r="G725" t="str">
            <v>11</v>
          </cell>
          <cell r="H725">
            <v>0</v>
          </cell>
          <cell r="I725">
            <v>0</v>
          </cell>
          <cell r="J725" t="str">
            <v>X</v>
          </cell>
          <cell r="K725" t="str">
            <v/>
          </cell>
          <cell r="L725" t="str">
            <v>SLETTET</v>
          </cell>
          <cell r="M725">
            <v>44568</v>
          </cell>
          <cell r="N725">
            <v>44430</v>
          </cell>
          <cell r="O725" t="str">
            <v>X</v>
          </cell>
          <cell r="P725" t="str">
            <v>2022</v>
          </cell>
          <cell r="Q725">
            <v>0</v>
          </cell>
          <cell r="R725" t="str">
            <v>INAKTIV</v>
          </cell>
        </row>
        <row r="726">
          <cell r="A726" t="str">
            <v>4008469</v>
          </cell>
          <cell r="B726" t="str">
            <v>3300</v>
          </cell>
          <cell r="C726" t="str">
            <v>3001</v>
          </cell>
          <cell r="D726" t="str">
            <v>L</v>
          </cell>
          <cell r="E726" t="str">
            <v/>
          </cell>
          <cell r="F726" t="str">
            <v>2021</v>
          </cell>
          <cell r="G726" t="str">
            <v>12</v>
          </cell>
          <cell r="H726">
            <v>0</v>
          </cell>
          <cell r="I726">
            <v>0</v>
          </cell>
          <cell r="J726" t="str">
            <v/>
          </cell>
          <cell r="K726" t="str">
            <v>X</v>
          </cell>
          <cell r="L726" t="str">
            <v>SLETTET</v>
          </cell>
          <cell r="M726">
            <v>44568</v>
          </cell>
          <cell r="N726">
            <v>44430</v>
          </cell>
          <cell r="O726" t="str">
            <v>X</v>
          </cell>
          <cell r="P726" t="str">
            <v>2023</v>
          </cell>
          <cell r="Q726">
            <v>0</v>
          </cell>
          <cell r="R726" t="str">
            <v>INAKTIV</v>
          </cell>
        </row>
        <row r="727">
          <cell r="A727" t="str">
            <v>4008470</v>
          </cell>
          <cell r="B727" t="str">
            <v>3300</v>
          </cell>
          <cell r="C727" t="str">
            <v>3001</v>
          </cell>
          <cell r="D727" t="str">
            <v>L</v>
          </cell>
          <cell r="E727" t="str">
            <v>X</v>
          </cell>
          <cell r="F727" t="str">
            <v>2021</v>
          </cell>
          <cell r="G727" t="str">
            <v>8</v>
          </cell>
          <cell r="H727">
            <v>0</v>
          </cell>
          <cell r="I727">
            <v>0</v>
          </cell>
          <cell r="J727" t="str">
            <v>X</v>
          </cell>
          <cell r="K727" t="str">
            <v/>
          </cell>
          <cell r="L727" t="str">
            <v>SLETTET</v>
          </cell>
          <cell r="M727">
            <v>44568</v>
          </cell>
          <cell r="N727">
            <v>44430</v>
          </cell>
          <cell r="O727" t="str">
            <v>X</v>
          </cell>
          <cell r="P727" t="str">
            <v>2022</v>
          </cell>
          <cell r="Q727">
            <v>0</v>
          </cell>
          <cell r="R727" t="str">
            <v>INAKTIV</v>
          </cell>
        </row>
        <row r="728">
          <cell r="A728" t="str">
            <v>4008471</v>
          </cell>
          <cell r="B728" t="str">
            <v>3300</v>
          </cell>
          <cell r="C728" t="str">
            <v>3001</v>
          </cell>
          <cell r="D728" t="str">
            <v>L</v>
          </cell>
          <cell r="E728" t="str">
            <v/>
          </cell>
          <cell r="F728" t="str">
            <v>2026</v>
          </cell>
          <cell r="G728" t="str">
            <v>2</v>
          </cell>
          <cell r="H728">
            <v>230</v>
          </cell>
          <cell r="I728">
            <v>0</v>
          </cell>
          <cell r="J728" t="str">
            <v>X</v>
          </cell>
          <cell r="K728" t="str">
            <v>X</v>
          </cell>
          <cell r="L728" t="str">
            <v>03:02:03</v>
          </cell>
          <cell r="M728">
            <v>45798</v>
          </cell>
          <cell r="N728">
            <v>44430</v>
          </cell>
          <cell r="O728" t="str">
            <v>X</v>
          </cell>
          <cell r="P728" t="str">
            <v>2025</v>
          </cell>
          <cell r="Q728">
            <v>230</v>
          </cell>
          <cell r="R728" t="str">
            <v/>
          </cell>
        </row>
        <row r="729">
          <cell r="A729" t="str">
            <v>4008472</v>
          </cell>
          <cell r="B729" t="str">
            <v>3300</v>
          </cell>
          <cell r="C729" t="str">
            <v>3001</v>
          </cell>
          <cell r="D729" t="str">
            <v>L</v>
          </cell>
          <cell r="E729" t="str">
            <v/>
          </cell>
          <cell r="F729" t="str">
            <v>2022</v>
          </cell>
          <cell r="G729" t="str">
            <v>3</v>
          </cell>
          <cell r="H729">
            <v>0</v>
          </cell>
          <cell r="I729">
            <v>0</v>
          </cell>
          <cell r="J729" t="str">
            <v/>
          </cell>
          <cell r="K729" t="str">
            <v>X</v>
          </cell>
          <cell r="L729" t="str">
            <v>SLETTET</v>
          </cell>
          <cell r="M729">
            <v>44568</v>
          </cell>
          <cell r="N729">
            <v>44430</v>
          </cell>
          <cell r="O729" t="str">
            <v>X</v>
          </cell>
          <cell r="P729" t="str">
            <v>2023</v>
          </cell>
          <cell r="Q729">
            <v>0</v>
          </cell>
          <cell r="R729" t="str">
            <v>INAKTIV</v>
          </cell>
        </row>
        <row r="730">
          <cell r="A730" t="str">
            <v>4008473</v>
          </cell>
          <cell r="B730" t="str">
            <v>3300</v>
          </cell>
          <cell r="C730" t="str">
            <v>3001</v>
          </cell>
          <cell r="D730" t="str">
            <v>L</v>
          </cell>
          <cell r="E730" t="str">
            <v/>
          </cell>
          <cell r="F730" t="str">
            <v>2026</v>
          </cell>
          <cell r="G730" t="str">
            <v>1</v>
          </cell>
          <cell r="H730">
            <v>100</v>
          </cell>
          <cell r="I730">
            <v>0</v>
          </cell>
          <cell r="J730" t="str">
            <v>X</v>
          </cell>
          <cell r="K730" t="str">
            <v>X</v>
          </cell>
          <cell r="L730" t="str">
            <v>02:11:02</v>
          </cell>
          <cell r="M730">
            <v>45797</v>
          </cell>
          <cell r="N730">
            <v>44430</v>
          </cell>
          <cell r="O730" t="str">
            <v>X</v>
          </cell>
          <cell r="P730" t="str">
            <v>2025</v>
          </cell>
          <cell r="Q730">
            <v>100</v>
          </cell>
          <cell r="R730" t="str">
            <v/>
          </cell>
        </row>
        <row r="731">
          <cell r="A731" t="str">
            <v>4008474</v>
          </cell>
          <cell r="B731" t="str">
            <v>3300</v>
          </cell>
          <cell r="C731" t="str">
            <v>3001</v>
          </cell>
          <cell r="D731" t="str">
            <v>L</v>
          </cell>
          <cell r="E731" t="str">
            <v>X</v>
          </cell>
          <cell r="F731" t="str">
            <v>2024</v>
          </cell>
          <cell r="G731" t="str">
            <v>10</v>
          </cell>
          <cell r="H731">
            <v>0</v>
          </cell>
          <cell r="I731">
            <v>0</v>
          </cell>
          <cell r="J731" t="str">
            <v>X</v>
          </cell>
          <cell r="K731" t="str">
            <v>X</v>
          </cell>
          <cell r="L731" t="str">
            <v>SLETTET</v>
          </cell>
          <cell r="M731">
            <v>45365</v>
          </cell>
          <cell r="N731">
            <v>44430</v>
          </cell>
          <cell r="O731" t="str">
            <v>X</v>
          </cell>
          <cell r="P731" t="str">
            <v>2024</v>
          </cell>
          <cell r="Q731">
            <v>0</v>
          </cell>
          <cell r="R731" t="str">
            <v>INAKTIV</v>
          </cell>
        </row>
        <row r="732">
          <cell r="A732" t="str">
            <v>4008475</v>
          </cell>
          <cell r="B732" t="str">
            <v>3300</v>
          </cell>
          <cell r="C732" t="str">
            <v>3001</v>
          </cell>
          <cell r="D732" t="str">
            <v>L</v>
          </cell>
          <cell r="E732" t="str">
            <v/>
          </cell>
          <cell r="F732" t="str">
            <v>2025</v>
          </cell>
          <cell r="G732" t="str">
            <v>8</v>
          </cell>
          <cell r="H732">
            <v>140</v>
          </cell>
          <cell r="I732">
            <v>0</v>
          </cell>
          <cell r="J732" t="str">
            <v>X</v>
          </cell>
          <cell r="K732" t="str">
            <v>X</v>
          </cell>
          <cell r="L732" t="str">
            <v>02:11:02</v>
          </cell>
          <cell r="M732">
            <v>45797</v>
          </cell>
          <cell r="N732">
            <v>44430</v>
          </cell>
          <cell r="O732" t="str">
            <v>X</v>
          </cell>
          <cell r="P732" t="str">
            <v>2025</v>
          </cell>
          <cell r="Q732">
            <v>140</v>
          </cell>
          <cell r="R732" t="str">
            <v/>
          </cell>
        </row>
        <row r="733">
          <cell r="A733" t="str">
            <v>4008476</v>
          </cell>
          <cell r="B733" t="str">
            <v>3300</v>
          </cell>
          <cell r="C733" t="str">
            <v>3001</v>
          </cell>
          <cell r="D733" t="str">
            <v>L</v>
          </cell>
          <cell r="E733" t="str">
            <v/>
          </cell>
          <cell r="F733" t="str">
            <v>2025</v>
          </cell>
          <cell r="G733" t="str">
            <v>10</v>
          </cell>
          <cell r="H733">
            <v>120</v>
          </cell>
          <cell r="I733">
            <v>0</v>
          </cell>
          <cell r="J733" t="str">
            <v>X</v>
          </cell>
          <cell r="K733" t="str">
            <v>X</v>
          </cell>
          <cell r="L733" t="str">
            <v>02:10:02</v>
          </cell>
          <cell r="M733">
            <v>45797</v>
          </cell>
          <cell r="N733">
            <v>44430</v>
          </cell>
          <cell r="O733" t="str">
            <v>X</v>
          </cell>
          <cell r="P733" t="str">
            <v>2025</v>
          </cell>
          <cell r="Q733">
            <v>120</v>
          </cell>
          <cell r="R733" t="str">
            <v/>
          </cell>
        </row>
        <row r="734">
          <cell r="A734" t="str">
            <v>4008477</v>
          </cell>
          <cell r="B734" t="str">
            <v>3300</v>
          </cell>
          <cell r="C734" t="str">
            <v>3001</v>
          </cell>
          <cell r="D734" t="str">
            <v>L</v>
          </cell>
          <cell r="E734" t="str">
            <v/>
          </cell>
          <cell r="F734" t="str">
            <v>2022</v>
          </cell>
          <cell r="G734" t="str">
            <v>10</v>
          </cell>
          <cell r="H734">
            <v>0</v>
          </cell>
          <cell r="I734">
            <v>0</v>
          </cell>
          <cell r="J734" t="str">
            <v/>
          </cell>
          <cell r="K734" t="str">
            <v/>
          </cell>
          <cell r="L734" t="str">
            <v>SLETTET</v>
          </cell>
          <cell r="M734">
            <v>44568</v>
          </cell>
          <cell r="N734">
            <v>44430</v>
          </cell>
          <cell r="O734" t="str">
            <v>X</v>
          </cell>
          <cell r="P734" t="str">
            <v>2025</v>
          </cell>
          <cell r="Q734">
            <v>0</v>
          </cell>
          <cell r="R734" t="str">
            <v>INAKTIV</v>
          </cell>
        </row>
        <row r="735">
          <cell r="A735" t="str">
            <v>4008481</v>
          </cell>
          <cell r="B735" t="str">
            <v>3300</v>
          </cell>
          <cell r="C735" t="str">
            <v>3001</v>
          </cell>
          <cell r="D735" t="str">
            <v>L</v>
          </cell>
          <cell r="E735" t="str">
            <v/>
          </cell>
          <cell r="F735" t="str">
            <v>2025</v>
          </cell>
          <cell r="G735" t="str">
            <v>5</v>
          </cell>
          <cell r="H735">
            <v>228</v>
          </cell>
          <cell r="I735">
            <v>0</v>
          </cell>
          <cell r="J735" t="str">
            <v>X</v>
          </cell>
          <cell r="K735" t="str">
            <v>X</v>
          </cell>
          <cell r="L735" t="str">
            <v>07:11:02</v>
          </cell>
          <cell r="M735">
            <v>45825</v>
          </cell>
          <cell r="N735">
            <v>44430</v>
          </cell>
          <cell r="O735" t="str">
            <v>X</v>
          </cell>
          <cell r="P735" t="str">
            <v>2025</v>
          </cell>
          <cell r="Q735">
            <v>228</v>
          </cell>
          <cell r="R735" t="str">
            <v/>
          </cell>
        </row>
        <row r="736">
          <cell r="A736" t="str">
            <v>4008483</v>
          </cell>
          <cell r="B736" t="str">
            <v>3300</v>
          </cell>
          <cell r="C736" t="str">
            <v>3001</v>
          </cell>
          <cell r="D736" t="str">
            <v>L</v>
          </cell>
          <cell r="E736" t="str">
            <v>X</v>
          </cell>
          <cell r="F736" t="str">
            <v>2021</v>
          </cell>
          <cell r="G736" t="str">
            <v>8</v>
          </cell>
          <cell r="H736">
            <v>0</v>
          </cell>
          <cell r="I736">
            <v>0</v>
          </cell>
          <cell r="J736" t="str">
            <v/>
          </cell>
          <cell r="K736" t="str">
            <v/>
          </cell>
          <cell r="L736" t="str">
            <v>SLETTET</v>
          </cell>
          <cell r="M736" t="str">
            <v/>
          </cell>
          <cell r="N736">
            <v>44432</v>
          </cell>
          <cell r="O736" t="str">
            <v>X</v>
          </cell>
          <cell r="P736" t="str">
            <v>2022</v>
          </cell>
          <cell r="Q736">
            <v>0</v>
          </cell>
          <cell r="R736" t="str">
            <v>INAKTIV</v>
          </cell>
        </row>
        <row r="737">
          <cell r="A737" t="str">
            <v>4008484</v>
          </cell>
          <cell r="B737" t="str">
            <v>3300</v>
          </cell>
          <cell r="C737" t="str">
            <v>3001</v>
          </cell>
          <cell r="D737" t="str">
            <v>L</v>
          </cell>
          <cell r="E737" t="str">
            <v>X</v>
          </cell>
          <cell r="F737" t="str">
            <v>2021</v>
          </cell>
          <cell r="G737" t="str">
            <v>8</v>
          </cell>
          <cell r="H737">
            <v>0</v>
          </cell>
          <cell r="I737">
            <v>0</v>
          </cell>
          <cell r="J737" t="str">
            <v/>
          </cell>
          <cell r="K737" t="str">
            <v/>
          </cell>
          <cell r="L737" t="str">
            <v>SLETTET</v>
          </cell>
          <cell r="M737" t="str">
            <v/>
          </cell>
          <cell r="N737">
            <v>44432</v>
          </cell>
          <cell r="O737" t="str">
            <v>X</v>
          </cell>
          <cell r="P737" t="str">
            <v>2022</v>
          </cell>
          <cell r="Q737">
            <v>0</v>
          </cell>
          <cell r="R737" t="str">
            <v>INAKTIV</v>
          </cell>
        </row>
        <row r="738">
          <cell r="A738" t="str">
            <v>4008490</v>
          </cell>
          <cell r="B738" t="str">
            <v>3300</v>
          </cell>
          <cell r="C738" t="str">
            <v>3001</v>
          </cell>
          <cell r="D738" t="str">
            <v>L</v>
          </cell>
          <cell r="E738" t="str">
            <v/>
          </cell>
          <cell r="F738" t="str">
            <v>2026</v>
          </cell>
          <cell r="G738" t="str">
            <v>2</v>
          </cell>
          <cell r="H738">
            <v>20</v>
          </cell>
          <cell r="I738">
            <v>0</v>
          </cell>
          <cell r="J738" t="str">
            <v>X</v>
          </cell>
          <cell r="K738" t="str">
            <v>X</v>
          </cell>
          <cell r="L738" t="str">
            <v>05:10:02</v>
          </cell>
          <cell r="M738">
            <v>45804</v>
          </cell>
          <cell r="N738">
            <v>44432</v>
          </cell>
          <cell r="O738" t="str">
            <v>X</v>
          </cell>
          <cell r="P738" t="str">
            <v>2025</v>
          </cell>
          <cell r="Q738">
            <v>20</v>
          </cell>
          <cell r="R738" t="str">
            <v/>
          </cell>
        </row>
        <row r="739">
          <cell r="A739" t="str">
            <v>4008494</v>
          </cell>
          <cell r="B739" t="str">
            <v>3300</v>
          </cell>
          <cell r="C739" t="str">
            <v>3001</v>
          </cell>
          <cell r="D739" t="str">
            <v>L</v>
          </cell>
          <cell r="E739" t="str">
            <v>X</v>
          </cell>
          <cell r="F739" t="str">
            <v>2022</v>
          </cell>
          <cell r="G739" t="str">
            <v>11</v>
          </cell>
          <cell r="H739">
            <v>0</v>
          </cell>
          <cell r="I739">
            <v>0</v>
          </cell>
          <cell r="J739" t="str">
            <v/>
          </cell>
          <cell r="K739" t="str">
            <v/>
          </cell>
          <cell r="L739" t="str">
            <v>SLETTET</v>
          </cell>
          <cell r="M739">
            <v>44568</v>
          </cell>
          <cell r="N739">
            <v>44432</v>
          </cell>
          <cell r="O739" t="str">
            <v>X</v>
          </cell>
          <cell r="P739" t="str">
            <v>2025</v>
          </cell>
          <cell r="Q739">
            <v>0</v>
          </cell>
          <cell r="R739" t="str">
            <v>INAKTIV</v>
          </cell>
        </row>
        <row r="740">
          <cell r="A740" t="str">
            <v>4008506</v>
          </cell>
          <cell r="B740" t="str">
            <v>3300</v>
          </cell>
          <cell r="C740" t="str">
            <v>3001</v>
          </cell>
          <cell r="D740" t="str">
            <v>DL</v>
          </cell>
          <cell r="E740" t="str">
            <v/>
          </cell>
          <cell r="F740" t="str">
            <v>2026</v>
          </cell>
          <cell r="G740" t="str">
            <v>3</v>
          </cell>
          <cell r="H740">
            <v>750</v>
          </cell>
          <cell r="I740">
            <v>0</v>
          </cell>
          <cell r="J740" t="str">
            <v>X</v>
          </cell>
          <cell r="K740" t="str">
            <v/>
          </cell>
          <cell r="L740" t="str">
            <v>14:04:03</v>
          </cell>
          <cell r="M740">
            <v>46030</v>
          </cell>
          <cell r="N740">
            <v>45294</v>
          </cell>
          <cell r="O740" t="str">
            <v>X</v>
          </cell>
          <cell r="P740" t="str">
            <v>2026</v>
          </cell>
          <cell r="Q740">
            <v>750</v>
          </cell>
          <cell r="R740" t="str">
            <v/>
          </cell>
        </row>
        <row r="741">
          <cell r="A741" t="str">
            <v>4008507</v>
          </cell>
          <cell r="B741" t="str">
            <v>3300</v>
          </cell>
          <cell r="C741" t="str">
            <v>3001</v>
          </cell>
          <cell r="D741" t="str">
            <v>DL</v>
          </cell>
          <cell r="E741" t="str">
            <v/>
          </cell>
          <cell r="F741" t="str">
            <v>2026</v>
          </cell>
          <cell r="G741" t="str">
            <v>3</v>
          </cell>
          <cell r="H741">
            <v>1500</v>
          </cell>
          <cell r="I741">
            <v>0</v>
          </cell>
          <cell r="J741" t="str">
            <v>X</v>
          </cell>
          <cell r="K741" t="str">
            <v>X</v>
          </cell>
          <cell r="L741" t="str">
            <v>14:03:02</v>
          </cell>
          <cell r="M741">
            <v>46001</v>
          </cell>
          <cell r="N741">
            <v>45294</v>
          </cell>
          <cell r="O741" t="str">
            <v>X</v>
          </cell>
          <cell r="P741" t="str">
            <v>2025</v>
          </cell>
          <cell r="Q741">
            <v>1500</v>
          </cell>
          <cell r="R741" t="str">
            <v/>
          </cell>
        </row>
        <row r="742">
          <cell r="A742" t="str">
            <v>4008508</v>
          </cell>
          <cell r="B742" t="str">
            <v>3300</v>
          </cell>
          <cell r="C742" t="str">
            <v>3001</v>
          </cell>
          <cell r="D742" t="str">
            <v>DL</v>
          </cell>
          <cell r="E742" t="str">
            <v/>
          </cell>
          <cell r="F742" t="str">
            <v>2026</v>
          </cell>
          <cell r="G742" t="str">
            <v>3</v>
          </cell>
          <cell r="H742">
            <v>1250</v>
          </cell>
          <cell r="I742">
            <v>0</v>
          </cell>
          <cell r="J742" t="str">
            <v>X</v>
          </cell>
          <cell r="K742" t="str">
            <v>X</v>
          </cell>
          <cell r="L742" t="str">
            <v>14:04:02</v>
          </cell>
          <cell r="M742">
            <v>46001</v>
          </cell>
          <cell r="N742">
            <v>45294</v>
          </cell>
          <cell r="O742" t="str">
            <v>X</v>
          </cell>
          <cell r="P742" t="str">
            <v>2025</v>
          </cell>
          <cell r="Q742">
            <v>1250</v>
          </cell>
          <cell r="R742" t="str">
            <v/>
          </cell>
        </row>
        <row r="743">
          <cell r="A743" t="str">
            <v>4008509</v>
          </cell>
          <cell r="B743" t="str">
            <v>3300</v>
          </cell>
          <cell r="C743" t="str">
            <v>3001</v>
          </cell>
          <cell r="D743" t="str">
            <v>DL</v>
          </cell>
          <cell r="E743" t="str">
            <v>X</v>
          </cell>
          <cell r="F743" t="str">
            <v>2024</v>
          </cell>
          <cell r="G743" t="str">
            <v>1</v>
          </cell>
          <cell r="H743">
            <v>0</v>
          </cell>
          <cell r="I743">
            <v>0</v>
          </cell>
          <cell r="J743" t="str">
            <v/>
          </cell>
          <cell r="K743" t="str">
            <v/>
          </cell>
          <cell r="L743" t="str">
            <v>SLETTET</v>
          </cell>
          <cell r="M743" t="str">
            <v/>
          </cell>
          <cell r="N743">
            <v>45294</v>
          </cell>
          <cell r="O743" t="str">
            <v>X</v>
          </cell>
          <cell r="P743" t="str">
            <v>2024</v>
          </cell>
          <cell r="Q743">
            <v>0</v>
          </cell>
          <cell r="R743" t="str">
            <v>INAKTIV</v>
          </cell>
        </row>
        <row r="744">
          <cell r="A744" t="str">
            <v>4008511</v>
          </cell>
          <cell r="B744" t="str">
            <v>3300</v>
          </cell>
          <cell r="C744" t="str">
            <v>3001</v>
          </cell>
          <cell r="D744" t="str">
            <v>DL</v>
          </cell>
          <cell r="E744" t="str">
            <v/>
          </cell>
          <cell r="F744" t="str">
            <v>2026</v>
          </cell>
          <cell r="G744" t="str">
            <v>1</v>
          </cell>
          <cell r="H744">
            <v>22</v>
          </cell>
          <cell r="I744">
            <v>0</v>
          </cell>
          <cell r="J744" t="str">
            <v>X</v>
          </cell>
          <cell r="K744" t="str">
            <v/>
          </cell>
          <cell r="L744" t="str">
            <v>09:01:03</v>
          </cell>
          <cell r="M744">
            <v>46030</v>
          </cell>
          <cell r="N744">
            <v>45810</v>
          </cell>
          <cell r="O744" t="str">
            <v>X</v>
          </cell>
          <cell r="P744" t="str">
            <v>2026</v>
          </cell>
          <cell r="Q744">
            <v>22</v>
          </cell>
          <cell r="R744" t="str">
            <v/>
          </cell>
        </row>
        <row r="745">
          <cell r="A745" t="str">
            <v>4008530</v>
          </cell>
          <cell r="B745" t="str">
            <v>3300</v>
          </cell>
          <cell r="C745" t="str">
            <v>3001</v>
          </cell>
          <cell r="D745" t="str">
            <v>DL</v>
          </cell>
          <cell r="E745" t="str">
            <v/>
          </cell>
          <cell r="F745" t="str">
            <v>2026</v>
          </cell>
          <cell r="G745" t="str">
            <v>3</v>
          </cell>
          <cell r="H745">
            <v>85</v>
          </cell>
          <cell r="I745">
            <v>0</v>
          </cell>
          <cell r="J745" t="str">
            <v>X</v>
          </cell>
          <cell r="K745" t="str">
            <v/>
          </cell>
          <cell r="L745" t="str">
            <v>14:03:03</v>
          </cell>
          <cell r="M745">
            <v>46030</v>
          </cell>
          <cell r="N745">
            <v>44587</v>
          </cell>
          <cell r="O745" t="str">
            <v>X</v>
          </cell>
          <cell r="P745" t="str">
            <v>2026</v>
          </cell>
          <cell r="Q745">
            <v>85</v>
          </cell>
          <cell r="R745" t="str">
            <v/>
          </cell>
        </row>
        <row r="746">
          <cell r="A746" t="str">
            <v>4008555</v>
          </cell>
          <cell r="B746" t="str">
            <v>3300</v>
          </cell>
          <cell r="C746" t="str">
            <v>3001</v>
          </cell>
          <cell r="D746" t="str">
            <v>DL</v>
          </cell>
          <cell r="E746" t="str">
            <v/>
          </cell>
          <cell r="F746" t="str">
            <v>2022</v>
          </cell>
          <cell r="G746" t="str">
            <v>12</v>
          </cell>
          <cell r="H746">
            <v>0</v>
          </cell>
          <cell r="I746">
            <v>0</v>
          </cell>
          <cell r="J746" t="str">
            <v/>
          </cell>
          <cell r="K746" t="str">
            <v/>
          </cell>
          <cell r="L746" t="str">
            <v/>
          </cell>
          <cell r="M746" t="str">
            <v/>
          </cell>
          <cell r="N746">
            <v>44903</v>
          </cell>
          <cell r="O746" t="str">
            <v>X</v>
          </cell>
          <cell r="P746" t="str">
            <v>2022</v>
          </cell>
          <cell r="Q746">
            <v>0</v>
          </cell>
          <cell r="R746" t="str">
            <v>INAKTIV</v>
          </cell>
        </row>
        <row r="747">
          <cell r="A747" t="str">
            <v>4008556</v>
          </cell>
          <cell r="B747" t="str">
            <v>3300</v>
          </cell>
          <cell r="C747" t="str">
            <v>3001</v>
          </cell>
          <cell r="D747" t="str">
            <v>L</v>
          </cell>
          <cell r="E747" t="str">
            <v/>
          </cell>
          <cell r="F747" t="str">
            <v>2024</v>
          </cell>
          <cell r="G747" t="str">
            <v>6</v>
          </cell>
          <cell r="H747">
            <v>0</v>
          </cell>
          <cell r="I747">
            <v>0</v>
          </cell>
          <cell r="J747" t="str">
            <v/>
          </cell>
          <cell r="K747" t="str">
            <v/>
          </cell>
          <cell r="L747" t="str">
            <v/>
          </cell>
          <cell r="M747" t="str">
            <v/>
          </cell>
          <cell r="N747">
            <v>45450</v>
          </cell>
          <cell r="O747" t="str">
            <v>X</v>
          </cell>
          <cell r="P747" t="str">
            <v>2024</v>
          </cell>
          <cell r="Q747">
            <v>0</v>
          </cell>
          <cell r="R747" t="str">
            <v>INAKTIV</v>
          </cell>
        </row>
        <row r="748">
          <cell r="A748" t="str">
            <v>4008559</v>
          </cell>
          <cell r="B748" t="str">
            <v>3300</v>
          </cell>
          <cell r="C748" t="str">
            <v>3001</v>
          </cell>
          <cell r="D748" t="str">
            <v>DL</v>
          </cell>
          <cell r="E748" t="str">
            <v/>
          </cell>
          <cell r="F748" t="str">
            <v>2026</v>
          </cell>
          <cell r="G748" t="str">
            <v>2</v>
          </cell>
          <cell r="H748">
            <v>100</v>
          </cell>
          <cell r="I748">
            <v>0</v>
          </cell>
          <cell r="J748" t="str">
            <v>X</v>
          </cell>
          <cell r="K748" t="str">
            <v>X</v>
          </cell>
          <cell r="L748" t="str">
            <v>08:11:01</v>
          </cell>
          <cell r="M748">
            <v>45980</v>
          </cell>
          <cell r="N748">
            <v>44910</v>
          </cell>
          <cell r="O748" t="str">
            <v>X</v>
          </cell>
          <cell r="P748" t="str">
            <v>2025</v>
          </cell>
          <cell r="Q748">
            <v>100</v>
          </cell>
          <cell r="R748" t="str">
            <v/>
          </cell>
        </row>
        <row r="749">
          <cell r="A749" t="str">
            <v>4008583</v>
          </cell>
          <cell r="B749" t="str">
            <v>3300</v>
          </cell>
          <cell r="C749" t="str">
            <v>3001</v>
          </cell>
          <cell r="D749" t="str">
            <v>DL</v>
          </cell>
          <cell r="E749" t="str">
            <v>X</v>
          </cell>
          <cell r="F749" t="str">
            <v>2026</v>
          </cell>
          <cell r="G749" t="str">
            <v>1</v>
          </cell>
          <cell r="H749">
            <v>0</v>
          </cell>
          <cell r="I749">
            <v>0</v>
          </cell>
          <cell r="J749" t="str">
            <v>X</v>
          </cell>
          <cell r="K749" t="str">
            <v>X</v>
          </cell>
          <cell r="L749" t="str">
            <v>SLETTET</v>
          </cell>
          <cell r="M749">
            <v>45825</v>
          </cell>
          <cell r="N749">
            <v>45148</v>
          </cell>
          <cell r="O749" t="str">
            <v>X</v>
          </cell>
          <cell r="P749" t="str">
            <v>2025</v>
          </cell>
          <cell r="Q749">
            <v>0</v>
          </cell>
          <cell r="R749" t="str">
            <v>INAKTIV</v>
          </cell>
        </row>
        <row r="750">
          <cell r="A750" t="str">
            <v>4008589</v>
          </cell>
          <cell r="B750" t="str">
            <v>3300</v>
          </cell>
          <cell r="C750" t="str">
            <v>3001</v>
          </cell>
          <cell r="D750" t="str">
            <v>DL</v>
          </cell>
          <cell r="E750" t="str">
            <v/>
          </cell>
          <cell r="F750" t="str">
            <v>2026</v>
          </cell>
          <cell r="G750" t="str">
            <v>3</v>
          </cell>
          <cell r="H750">
            <v>60</v>
          </cell>
          <cell r="I750">
            <v>0</v>
          </cell>
          <cell r="J750" t="str">
            <v>X</v>
          </cell>
          <cell r="K750" t="str">
            <v>X</v>
          </cell>
          <cell r="L750" t="str">
            <v>08:07:03</v>
          </cell>
          <cell r="M750">
            <v>45980</v>
          </cell>
          <cell r="N750">
            <v>44903</v>
          </cell>
          <cell r="O750" t="str">
            <v>X</v>
          </cell>
          <cell r="P750" t="str">
            <v>2025</v>
          </cell>
          <cell r="Q750">
            <v>60</v>
          </cell>
          <cell r="R750" t="str">
            <v/>
          </cell>
        </row>
        <row r="751">
          <cell r="A751" t="str">
            <v>4008609</v>
          </cell>
          <cell r="B751" t="str">
            <v>3300</v>
          </cell>
          <cell r="C751" t="str">
            <v>3001</v>
          </cell>
          <cell r="D751" t="str">
            <v>L</v>
          </cell>
          <cell r="E751" t="str">
            <v/>
          </cell>
          <cell r="F751" t="str">
            <v>2025</v>
          </cell>
          <cell r="G751" t="str">
            <v>12</v>
          </cell>
          <cell r="H751">
            <v>144</v>
          </cell>
          <cell r="I751">
            <v>0</v>
          </cell>
          <cell r="J751" t="str">
            <v>X</v>
          </cell>
          <cell r="K751" t="str">
            <v>X</v>
          </cell>
          <cell r="L751" t="str">
            <v>01:02:01</v>
          </cell>
          <cell r="M751">
            <v>45793</v>
          </cell>
          <cell r="N751">
            <v>44432</v>
          </cell>
          <cell r="O751" t="str">
            <v>X</v>
          </cell>
          <cell r="P751" t="str">
            <v>2025</v>
          </cell>
          <cell r="Q751">
            <v>144</v>
          </cell>
          <cell r="R751" t="str">
            <v/>
          </cell>
        </row>
        <row r="752">
          <cell r="A752" t="str">
            <v>4008615</v>
          </cell>
          <cell r="B752" t="str">
            <v>3300</v>
          </cell>
          <cell r="C752" t="str">
            <v>3001</v>
          </cell>
          <cell r="D752" t="str">
            <v>DL</v>
          </cell>
          <cell r="E752" t="str">
            <v>X</v>
          </cell>
          <cell r="F752" t="str">
            <v>2024</v>
          </cell>
          <cell r="G752" t="str">
            <v>1</v>
          </cell>
          <cell r="H752">
            <v>0</v>
          </cell>
          <cell r="I752">
            <v>0</v>
          </cell>
          <cell r="J752" t="str">
            <v/>
          </cell>
          <cell r="K752" t="str">
            <v/>
          </cell>
          <cell r="L752" t="str">
            <v>SLETTET</v>
          </cell>
          <cell r="M752">
            <v>45162</v>
          </cell>
          <cell r="N752">
            <v>44903</v>
          </cell>
          <cell r="O752" t="str">
            <v>X</v>
          </cell>
          <cell r="P752" t="str">
            <v>2025</v>
          </cell>
          <cell r="Q752">
            <v>0</v>
          </cell>
          <cell r="R752" t="str">
            <v>INAKTIV</v>
          </cell>
        </row>
        <row r="753">
          <cell r="A753" t="str">
            <v>4009078</v>
          </cell>
          <cell r="B753" t="str">
            <v>3300</v>
          </cell>
          <cell r="C753" t="str">
            <v>3001</v>
          </cell>
          <cell r="D753" t="str">
            <v>L</v>
          </cell>
          <cell r="E753" t="str">
            <v/>
          </cell>
          <cell r="F753" t="str">
            <v>2026</v>
          </cell>
          <cell r="G753" t="str">
            <v>3</v>
          </cell>
          <cell r="H753">
            <v>638</v>
          </cell>
          <cell r="I753">
            <v>0</v>
          </cell>
          <cell r="J753" t="str">
            <v>X</v>
          </cell>
          <cell r="K753" t="str">
            <v>X</v>
          </cell>
          <cell r="L753" t="str">
            <v>09:02:03</v>
          </cell>
          <cell r="M753">
            <v>45980</v>
          </cell>
          <cell r="N753">
            <v>44465</v>
          </cell>
          <cell r="O753" t="str">
            <v>X</v>
          </cell>
          <cell r="P753" t="str">
            <v>2025</v>
          </cell>
          <cell r="Q753">
            <v>638</v>
          </cell>
          <cell r="R753" t="str">
            <v/>
          </cell>
        </row>
        <row r="754">
          <cell r="A754" t="str">
            <v>4009081</v>
          </cell>
          <cell r="B754" t="str">
            <v>3300</v>
          </cell>
          <cell r="C754" t="str">
            <v>3001</v>
          </cell>
          <cell r="D754" t="str">
            <v>L</v>
          </cell>
          <cell r="E754" t="str">
            <v/>
          </cell>
          <cell r="F754" t="str">
            <v>2026</v>
          </cell>
          <cell r="G754" t="str">
            <v>2</v>
          </cell>
          <cell r="H754">
            <v>180</v>
          </cell>
          <cell r="I754">
            <v>0</v>
          </cell>
          <cell r="J754" t="str">
            <v>X</v>
          </cell>
          <cell r="K754" t="str">
            <v/>
          </cell>
          <cell r="L754" t="str">
            <v>K3:G:04:01</v>
          </cell>
          <cell r="M754">
            <v>46029</v>
          </cell>
          <cell r="N754">
            <v>44469</v>
          </cell>
          <cell r="O754" t="str">
            <v>X</v>
          </cell>
          <cell r="P754" t="str">
            <v>2026</v>
          </cell>
          <cell r="Q754">
            <v>180</v>
          </cell>
          <cell r="R754" t="str">
            <v/>
          </cell>
        </row>
        <row r="755">
          <cell r="A755" t="str">
            <v>4009082</v>
          </cell>
          <cell r="B755" t="str">
            <v>3300</v>
          </cell>
          <cell r="C755" t="str">
            <v>3001</v>
          </cell>
          <cell r="D755" t="str">
            <v>L</v>
          </cell>
          <cell r="E755" t="str">
            <v/>
          </cell>
          <cell r="F755" t="str">
            <v>2025</v>
          </cell>
          <cell r="G755" t="str">
            <v>2</v>
          </cell>
          <cell r="H755">
            <v>0</v>
          </cell>
          <cell r="I755">
            <v>0</v>
          </cell>
          <cell r="J755" t="str">
            <v>X</v>
          </cell>
          <cell r="K755" t="str">
            <v>X</v>
          </cell>
          <cell r="L755" t="str">
            <v>SLETTET</v>
          </cell>
          <cell r="M755">
            <v>45454</v>
          </cell>
          <cell r="N755">
            <v>44476</v>
          </cell>
          <cell r="O755" t="str">
            <v>X</v>
          </cell>
          <cell r="P755" t="str">
            <v>2024</v>
          </cell>
          <cell r="Q755">
            <v>0</v>
          </cell>
          <cell r="R755" t="str">
            <v>INAKTIV</v>
          </cell>
        </row>
        <row r="756">
          <cell r="A756" t="str">
            <v>4009084</v>
          </cell>
          <cell r="B756" t="str">
            <v>3300</v>
          </cell>
          <cell r="C756" t="str">
            <v>3001</v>
          </cell>
          <cell r="D756" t="str">
            <v>L</v>
          </cell>
          <cell r="E756" t="str">
            <v/>
          </cell>
          <cell r="F756" t="str">
            <v>2026</v>
          </cell>
          <cell r="G756" t="str">
            <v>3</v>
          </cell>
          <cell r="H756">
            <v>270</v>
          </cell>
          <cell r="I756">
            <v>0</v>
          </cell>
          <cell r="J756" t="str">
            <v>X</v>
          </cell>
          <cell r="K756" t="str">
            <v>X</v>
          </cell>
          <cell r="L756" t="str">
            <v>14:17:02</v>
          </cell>
          <cell r="M756">
            <v>46001</v>
          </cell>
          <cell r="N756">
            <v>44476</v>
          </cell>
          <cell r="O756" t="str">
            <v>X</v>
          </cell>
          <cell r="P756" t="str">
            <v>2025</v>
          </cell>
          <cell r="Q756">
            <v>270</v>
          </cell>
          <cell r="R756" t="str">
            <v/>
          </cell>
        </row>
        <row r="757">
          <cell r="A757" t="str">
            <v>4009085</v>
          </cell>
          <cell r="B757" t="str">
            <v>3300</v>
          </cell>
          <cell r="C757" t="str">
            <v>3001</v>
          </cell>
          <cell r="D757" t="str">
            <v>L</v>
          </cell>
          <cell r="E757" t="str">
            <v/>
          </cell>
          <cell r="F757" t="str">
            <v>2022</v>
          </cell>
          <cell r="G757" t="str">
            <v>9</v>
          </cell>
          <cell r="H757">
            <v>0</v>
          </cell>
          <cell r="I757">
            <v>0</v>
          </cell>
          <cell r="J757" t="str">
            <v/>
          </cell>
          <cell r="K757" t="str">
            <v>X</v>
          </cell>
          <cell r="L757" t="str">
            <v>SLETTET</v>
          </cell>
          <cell r="M757">
            <v>44568</v>
          </cell>
          <cell r="N757">
            <v>44476</v>
          </cell>
          <cell r="O757" t="str">
            <v>X</v>
          </cell>
          <cell r="P757" t="str">
            <v>2023</v>
          </cell>
          <cell r="Q757">
            <v>0</v>
          </cell>
          <cell r="R757" t="str">
            <v>INAKTIV</v>
          </cell>
        </row>
        <row r="758">
          <cell r="A758" t="str">
            <v>4009086</v>
          </cell>
          <cell r="B758" t="str">
            <v>3300</v>
          </cell>
          <cell r="C758" t="str">
            <v>3001</v>
          </cell>
          <cell r="D758" t="str">
            <v>L</v>
          </cell>
          <cell r="E758" t="str">
            <v>X</v>
          </cell>
          <cell r="F758" t="str">
            <v>2022</v>
          </cell>
          <cell r="G758" t="str">
            <v>10</v>
          </cell>
          <cell r="H758">
            <v>0</v>
          </cell>
          <cell r="I758">
            <v>0</v>
          </cell>
          <cell r="J758" t="str">
            <v>X</v>
          </cell>
          <cell r="K758" t="str">
            <v/>
          </cell>
          <cell r="L758" t="str">
            <v>SLETTET</v>
          </cell>
          <cell r="M758">
            <v>44568</v>
          </cell>
          <cell r="N758">
            <v>44476</v>
          </cell>
          <cell r="O758" t="str">
            <v>X</v>
          </cell>
          <cell r="P758" t="str">
            <v>2022</v>
          </cell>
          <cell r="Q758">
            <v>0</v>
          </cell>
          <cell r="R758" t="str">
            <v>INAKTIV</v>
          </cell>
        </row>
        <row r="759">
          <cell r="A759" t="str">
            <v>4009089</v>
          </cell>
          <cell r="B759" t="str">
            <v>3300</v>
          </cell>
          <cell r="C759" t="str">
            <v>3001</v>
          </cell>
          <cell r="D759" t="str">
            <v>L</v>
          </cell>
          <cell r="E759" t="str">
            <v>X</v>
          </cell>
          <cell r="F759" t="str">
            <v>2025</v>
          </cell>
          <cell r="G759" t="str">
            <v>3</v>
          </cell>
          <cell r="H759">
            <v>0</v>
          </cell>
          <cell r="I759">
            <v>0</v>
          </cell>
          <cell r="J759" t="str">
            <v>X</v>
          </cell>
          <cell r="K759" t="str">
            <v>X</v>
          </cell>
          <cell r="L759" t="str">
            <v>SLETTET</v>
          </cell>
          <cell r="M759">
            <v>45449</v>
          </cell>
          <cell r="N759">
            <v>44476</v>
          </cell>
          <cell r="O759" t="str">
            <v>X</v>
          </cell>
          <cell r="P759" t="str">
            <v>2024</v>
          </cell>
          <cell r="Q759">
            <v>0</v>
          </cell>
          <cell r="R759" t="str">
            <v>INAKTIV</v>
          </cell>
        </row>
        <row r="760">
          <cell r="A760" t="str">
            <v>4009091</v>
          </cell>
          <cell r="B760" t="str">
            <v>3300</v>
          </cell>
          <cell r="C760" t="str">
            <v>3001</v>
          </cell>
          <cell r="D760" t="str">
            <v>L</v>
          </cell>
          <cell r="E760" t="str">
            <v/>
          </cell>
          <cell r="F760" t="str">
            <v>2023</v>
          </cell>
          <cell r="G760" t="str">
            <v>1</v>
          </cell>
          <cell r="H760">
            <v>0</v>
          </cell>
          <cell r="I760">
            <v>0</v>
          </cell>
          <cell r="J760" t="str">
            <v>X</v>
          </cell>
          <cell r="K760" t="str">
            <v/>
          </cell>
          <cell r="L760" t="str">
            <v>SLETTET</v>
          </cell>
          <cell r="M760">
            <v>45448</v>
          </cell>
          <cell r="N760">
            <v>44476</v>
          </cell>
          <cell r="O760" t="str">
            <v>X</v>
          </cell>
          <cell r="P760" t="str">
            <v>2024</v>
          </cell>
          <cell r="Q760">
            <v>0</v>
          </cell>
          <cell r="R760" t="str">
            <v>INAKTIV</v>
          </cell>
        </row>
        <row r="761">
          <cell r="A761" t="str">
            <v>4009092</v>
          </cell>
          <cell r="B761" t="str">
            <v>3300</v>
          </cell>
          <cell r="C761" t="str">
            <v>3001</v>
          </cell>
          <cell r="D761" t="str">
            <v>DL</v>
          </cell>
          <cell r="E761" t="str">
            <v/>
          </cell>
          <cell r="F761" t="str">
            <v>2026</v>
          </cell>
          <cell r="G761" t="str">
            <v>2</v>
          </cell>
          <cell r="H761">
            <v>65</v>
          </cell>
          <cell r="I761">
            <v>0</v>
          </cell>
          <cell r="J761" t="str">
            <v>X</v>
          </cell>
          <cell r="K761" t="str">
            <v>X</v>
          </cell>
          <cell r="L761" t="str">
            <v>05:01:02</v>
          </cell>
          <cell r="M761">
            <v>45800</v>
          </cell>
          <cell r="N761">
            <v>44510</v>
          </cell>
          <cell r="O761" t="str">
            <v>X</v>
          </cell>
          <cell r="P761" t="str">
            <v>2025</v>
          </cell>
          <cell r="Q761">
            <v>65</v>
          </cell>
          <cell r="R761" t="str">
            <v/>
          </cell>
        </row>
        <row r="762">
          <cell r="A762" t="str">
            <v>4009221</v>
          </cell>
          <cell r="B762" t="str">
            <v>3300</v>
          </cell>
          <cell r="C762" t="str">
            <v>3001</v>
          </cell>
          <cell r="D762" t="str">
            <v>DL</v>
          </cell>
          <cell r="E762" t="str">
            <v/>
          </cell>
          <cell r="F762" t="str">
            <v>2026</v>
          </cell>
          <cell r="G762" t="str">
            <v>2</v>
          </cell>
          <cell r="H762">
            <v>115</v>
          </cell>
          <cell r="I762">
            <v>0</v>
          </cell>
          <cell r="J762" t="str">
            <v>X</v>
          </cell>
          <cell r="K762" t="str">
            <v>X</v>
          </cell>
          <cell r="L762" t="str">
            <v>02:08:01</v>
          </cell>
          <cell r="M762">
            <v>45797</v>
          </cell>
          <cell r="N762">
            <v>44589</v>
          </cell>
          <cell r="O762" t="str">
            <v>X</v>
          </cell>
          <cell r="P762" t="str">
            <v>2025</v>
          </cell>
          <cell r="Q762">
            <v>115</v>
          </cell>
          <cell r="R762" t="str">
            <v/>
          </cell>
        </row>
        <row r="763">
          <cell r="A763" t="str">
            <v>4009223</v>
          </cell>
          <cell r="B763" t="str">
            <v>3300</v>
          </cell>
          <cell r="C763" t="str">
            <v>3001</v>
          </cell>
          <cell r="D763" t="str">
            <v>DL</v>
          </cell>
          <cell r="E763" t="str">
            <v/>
          </cell>
          <cell r="F763" t="str">
            <v>2026</v>
          </cell>
          <cell r="G763" t="str">
            <v>2</v>
          </cell>
          <cell r="H763">
            <v>26</v>
          </cell>
          <cell r="I763">
            <v>0</v>
          </cell>
          <cell r="J763" t="str">
            <v>X</v>
          </cell>
          <cell r="K763" t="str">
            <v>X</v>
          </cell>
          <cell r="L763" t="str">
            <v>01:06:01</v>
          </cell>
          <cell r="M763">
            <v>45793</v>
          </cell>
          <cell r="N763">
            <v>44589</v>
          </cell>
          <cell r="O763" t="str">
            <v>X</v>
          </cell>
          <cell r="P763" t="str">
            <v>2025</v>
          </cell>
          <cell r="Q763">
            <v>26</v>
          </cell>
          <cell r="R763" t="str">
            <v/>
          </cell>
        </row>
        <row r="764">
          <cell r="A764" t="str">
            <v>4009225</v>
          </cell>
          <cell r="B764" t="str">
            <v>3300</v>
          </cell>
          <cell r="C764" t="str">
            <v>3001</v>
          </cell>
          <cell r="D764" t="str">
            <v>DL</v>
          </cell>
          <cell r="E764" t="str">
            <v/>
          </cell>
          <cell r="F764" t="str">
            <v>2026</v>
          </cell>
          <cell r="G764" t="str">
            <v>2</v>
          </cell>
          <cell r="H764">
            <v>60</v>
          </cell>
          <cell r="I764">
            <v>0</v>
          </cell>
          <cell r="J764" t="str">
            <v>X</v>
          </cell>
          <cell r="K764" t="str">
            <v>X</v>
          </cell>
          <cell r="L764" t="str">
            <v>01:06:02</v>
          </cell>
          <cell r="M764">
            <v>45793</v>
          </cell>
          <cell r="N764">
            <v>44589</v>
          </cell>
          <cell r="O764" t="str">
            <v>X</v>
          </cell>
          <cell r="P764" t="str">
            <v>2025</v>
          </cell>
          <cell r="Q764">
            <v>60</v>
          </cell>
          <cell r="R764" t="str">
            <v/>
          </cell>
        </row>
        <row r="765">
          <cell r="A765" t="str">
            <v>4009232</v>
          </cell>
          <cell r="B765" t="str">
            <v>3300</v>
          </cell>
          <cell r="C765" t="str">
            <v>3001</v>
          </cell>
          <cell r="D765" t="str">
            <v>DL</v>
          </cell>
          <cell r="E765" t="str">
            <v/>
          </cell>
          <cell r="F765" t="str">
            <v>2022</v>
          </cell>
          <cell r="G765" t="str">
            <v>1</v>
          </cell>
          <cell r="H765">
            <v>0</v>
          </cell>
          <cell r="I765">
            <v>0</v>
          </cell>
          <cell r="J765" t="str">
            <v/>
          </cell>
          <cell r="K765" t="str">
            <v/>
          </cell>
          <cell r="L765" t="str">
            <v>-</v>
          </cell>
          <cell r="M765" t="str">
            <v/>
          </cell>
          <cell r="N765">
            <v>44587</v>
          </cell>
          <cell r="O765" t="str">
            <v>X</v>
          </cell>
          <cell r="P765" t="str">
            <v>2022</v>
          </cell>
          <cell r="Q765">
            <v>0</v>
          </cell>
          <cell r="R765" t="str">
            <v>INAKTIV</v>
          </cell>
        </row>
        <row r="766">
          <cell r="A766" t="str">
            <v>4009249</v>
          </cell>
          <cell r="B766" t="str">
            <v>3300</v>
          </cell>
          <cell r="C766" t="str">
            <v>3001</v>
          </cell>
          <cell r="D766" t="str">
            <v>DL</v>
          </cell>
          <cell r="E766" t="str">
            <v/>
          </cell>
          <cell r="F766" t="str">
            <v>2024</v>
          </cell>
          <cell r="G766" t="str">
            <v>11</v>
          </cell>
          <cell r="H766">
            <v>0</v>
          </cell>
          <cell r="I766">
            <v>0</v>
          </cell>
          <cell r="J766" t="str">
            <v>X</v>
          </cell>
          <cell r="K766" t="str">
            <v>X</v>
          </cell>
          <cell r="L766" t="str">
            <v>SLETTET</v>
          </cell>
          <cell r="M766">
            <v>45799</v>
          </cell>
          <cell r="N766">
            <v>44595</v>
          </cell>
          <cell r="O766" t="str">
            <v>X</v>
          </cell>
          <cell r="P766" t="str">
            <v>2025</v>
          </cell>
          <cell r="Q766">
            <v>0</v>
          </cell>
          <cell r="R766" t="str">
            <v>INAKTIV</v>
          </cell>
        </row>
        <row r="767">
          <cell r="A767" t="str">
            <v>4009250</v>
          </cell>
          <cell r="B767" t="str">
            <v>3300</v>
          </cell>
          <cell r="C767" t="str">
            <v>3001</v>
          </cell>
          <cell r="D767" t="str">
            <v>DL</v>
          </cell>
          <cell r="E767" t="str">
            <v/>
          </cell>
          <cell r="F767" t="str">
            <v>2026</v>
          </cell>
          <cell r="G767" t="str">
            <v>3</v>
          </cell>
          <cell r="H767">
            <v>192</v>
          </cell>
          <cell r="I767">
            <v>0</v>
          </cell>
          <cell r="J767" t="str">
            <v>X</v>
          </cell>
          <cell r="K767" t="str">
            <v>X</v>
          </cell>
          <cell r="L767" t="str">
            <v>09:12:02</v>
          </cell>
          <cell r="M767">
            <v>45987</v>
          </cell>
          <cell r="N767">
            <v>44600</v>
          </cell>
          <cell r="O767" t="str">
            <v>X</v>
          </cell>
          <cell r="P767" t="str">
            <v>2025</v>
          </cell>
          <cell r="Q767">
            <v>192</v>
          </cell>
          <cell r="R767" t="str">
            <v/>
          </cell>
        </row>
        <row r="768">
          <cell r="A768" t="str">
            <v>4009251</v>
          </cell>
          <cell r="B768" t="str">
            <v>3300</v>
          </cell>
          <cell r="C768" t="str">
            <v>3001</v>
          </cell>
          <cell r="D768" t="str">
            <v>DL</v>
          </cell>
          <cell r="E768" t="str">
            <v/>
          </cell>
          <cell r="F768" t="str">
            <v>2026</v>
          </cell>
          <cell r="G768" t="str">
            <v>2</v>
          </cell>
          <cell r="H768">
            <v>100</v>
          </cell>
          <cell r="I768">
            <v>0</v>
          </cell>
          <cell r="J768" t="str">
            <v>X</v>
          </cell>
          <cell r="K768" t="str">
            <v>X</v>
          </cell>
          <cell r="L768" t="str">
            <v>09:11:03</v>
          </cell>
          <cell r="M768">
            <v>45987</v>
          </cell>
          <cell r="N768">
            <v>44595</v>
          </cell>
          <cell r="O768" t="str">
            <v>X</v>
          </cell>
          <cell r="P768" t="str">
            <v>2025</v>
          </cell>
          <cell r="Q768">
            <v>100</v>
          </cell>
          <cell r="R768" t="str">
            <v/>
          </cell>
        </row>
        <row r="769">
          <cell r="A769" t="str">
            <v>4009254</v>
          </cell>
          <cell r="B769" t="str">
            <v>3300</v>
          </cell>
          <cell r="C769" t="str">
            <v>3001</v>
          </cell>
          <cell r="D769" t="str">
            <v>DL</v>
          </cell>
          <cell r="E769" t="str">
            <v/>
          </cell>
          <cell r="F769" t="str">
            <v>2026</v>
          </cell>
          <cell r="G769" t="str">
            <v>2</v>
          </cell>
          <cell r="H769">
            <v>22</v>
          </cell>
          <cell r="I769">
            <v>0</v>
          </cell>
          <cell r="J769" t="str">
            <v>X</v>
          </cell>
          <cell r="K769" t="str">
            <v>X</v>
          </cell>
          <cell r="L769" t="str">
            <v>08:07:03</v>
          </cell>
          <cell r="M769">
            <v>45980</v>
          </cell>
          <cell r="N769">
            <v>44595</v>
          </cell>
          <cell r="O769" t="str">
            <v>X</v>
          </cell>
          <cell r="P769" t="str">
            <v>2025</v>
          </cell>
          <cell r="Q769">
            <v>22</v>
          </cell>
          <cell r="R769" t="str">
            <v/>
          </cell>
        </row>
        <row r="770">
          <cell r="A770" t="str">
            <v>4009255</v>
          </cell>
          <cell r="B770" t="str">
            <v>3300</v>
          </cell>
          <cell r="C770" t="str">
            <v>3001</v>
          </cell>
          <cell r="D770" t="str">
            <v>DL</v>
          </cell>
          <cell r="E770" t="str">
            <v>X</v>
          </cell>
          <cell r="F770" t="str">
            <v>2022</v>
          </cell>
          <cell r="G770" t="str">
            <v>2</v>
          </cell>
          <cell r="H770">
            <v>0</v>
          </cell>
          <cell r="I770">
            <v>0</v>
          </cell>
          <cell r="J770" t="str">
            <v/>
          </cell>
          <cell r="K770" t="str">
            <v/>
          </cell>
          <cell r="L770" t="str">
            <v/>
          </cell>
          <cell r="M770" t="str">
            <v/>
          </cell>
          <cell r="N770">
            <v>44595</v>
          </cell>
          <cell r="O770" t="str">
            <v>X</v>
          </cell>
          <cell r="P770" t="str">
            <v>2022</v>
          </cell>
          <cell r="Q770">
            <v>0</v>
          </cell>
          <cell r="R770" t="str">
            <v>INAKTIV</v>
          </cell>
        </row>
        <row r="771">
          <cell r="A771" t="str">
            <v>4009256</v>
          </cell>
          <cell r="B771" t="str">
            <v>3300</v>
          </cell>
          <cell r="C771" t="str">
            <v>3001</v>
          </cell>
          <cell r="D771" t="str">
            <v>DL</v>
          </cell>
          <cell r="E771" t="str">
            <v/>
          </cell>
          <cell r="F771" t="str">
            <v>2026</v>
          </cell>
          <cell r="G771" t="str">
            <v>3</v>
          </cell>
          <cell r="H771">
            <v>96</v>
          </cell>
          <cell r="I771">
            <v>0</v>
          </cell>
          <cell r="J771" t="str">
            <v>X</v>
          </cell>
          <cell r="K771" t="str">
            <v>X</v>
          </cell>
          <cell r="L771" t="str">
            <v>08:02:02</v>
          </cell>
          <cell r="M771">
            <v>45825</v>
          </cell>
          <cell r="N771">
            <v>44600</v>
          </cell>
          <cell r="O771" t="str">
            <v>X</v>
          </cell>
          <cell r="P771" t="str">
            <v>2025</v>
          </cell>
          <cell r="Q771">
            <v>96</v>
          </cell>
          <cell r="R771" t="str">
            <v/>
          </cell>
        </row>
        <row r="772">
          <cell r="A772" t="str">
            <v>4009257</v>
          </cell>
          <cell r="B772" t="str">
            <v>3300</v>
          </cell>
          <cell r="C772" t="str">
            <v>3001</v>
          </cell>
          <cell r="D772" t="str">
            <v>DL</v>
          </cell>
          <cell r="E772" t="str">
            <v/>
          </cell>
          <cell r="F772" t="str">
            <v>2026</v>
          </cell>
          <cell r="G772" t="str">
            <v>2</v>
          </cell>
          <cell r="H772">
            <v>210</v>
          </cell>
          <cell r="I772">
            <v>0</v>
          </cell>
          <cell r="J772" t="str">
            <v>X</v>
          </cell>
          <cell r="K772" t="str">
            <v>X</v>
          </cell>
          <cell r="L772" t="str">
            <v>09:12:03</v>
          </cell>
          <cell r="M772">
            <v>45987</v>
          </cell>
          <cell r="N772">
            <v>44600</v>
          </cell>
          <cell r="O772" t="str">
            <v>X</v>
          </cell>
          <cell r="P772" t="str">
            <v>2025</v>
          </cell>
          <cell r="Q772">
            <v>210</v>
          </cell>
          <cell r="R772" t="str">
            <v/>
          </cell>
        </row>
        <row r="773">
          <cell r="A773" t="str">
            <v>4009261</v>
          </cell>
          <cell r="B773" t="str">
            <v>3300</v>
          </cell>
          <cell r="C773" t="str">
            <v>3001</v>
          </cell>
          <cell r="D773" t="str">
            <v>DL</v>
          </cell>
          <cell r="E773" t="str">
            <v/>
          </cell>
          <cell r="F773" t="str">
            <v>2026</v>
          </cell>
          <cell r="G773" t="str">
            <v>2</v>
          </cell>
          <cell r="H773">
            <v>204</v>
          </cell>
          <cell r="I773">
            <v>0</v>
          </cell>
          <cell r="J773" t="str">
            <v>X</v>
          </cell>
          <cell r="K773" t="str">
            <v>X</v>
          </cell>
          <cell r="L773" t="str">
            <v>09:13:01</v>
          </cell>
          <cell r="M773">
            <v>45987</v>
          </cell>
          <cell r="N773">
            <v>44600</v>
          </cell>
          <cell r="O773" t="str">
            <v>X</v>
          </cell>
          <cell r="P773" t="str">
            <v>2025</v>
          </cell>
          <cell r="Q773">
            <v>204</v>
          </cell>
          <cell r="R773" t="str">
            <v/>
          </cell>
        </row>
        <row r="774">
          <cell r="A774" t="str">
            <v>4009476</v>
          </cell>
          <cell r="B774" t="str">
            <v>3300</v>
          </cell>
          <cell r="C774" t="str">
            <v>3001</v>
          </cell>
          <cell r="D774" t="str">
            <v>DL</v>
          </cell>
          <cell r="E774" t="str">
            <v/>
          </cell>
          <cell r="F774" t="str">
            <v>2026</v>
          </cell>
          <cell r="G774" t="str">
            <v>2</v>
          </cell>
          <cell r="H774">
            <v>180</v>
          </cell>
          <cell r="I774">
            <v>0</v>
          </cell>
          <cell r="J774" t="str">
            <v>X</v>
          </cell>
          <cell r="K774" t="str">
            <v>X</v>
          </cell>
          <cell r="L774" t="str">
            <v>14:03:01</v>
          </cell>
          <cell r="M774">
            <v>46001</v>
          </cell>
          <cell r="N774">
            <v>44782</v>
          </cell>
          <cell r="O774" t="str">
            <v>X</v>
          </cell>
          <cell r="P774" t="str">
            <v>2025</v>
          </cell>
          <cell r="Q774">
            <v>180</v>
          </cell>
          <cell r="R774" t="str">
            <v/>
          </cell>
        </row>
        <row r="775">
          <cell r="A775" t="str">
            <v>4009658</v>
          </cell>
          <cell r="B775" t="str">
            <v>3300</v>
          </cell>
          <cell r="C775" t="str">
            <v>3001</v>
          </cell>
          <cell r="D775" t="str">
            <v>DL</v>
          </cell>
          <cell r="E775" t="str">
            <v/>
          </cell>
          <cell r="F775" t="str">
            <v>2024</v>
          </cell>
          <cell r="G775" t="str">
            <v>5</v>
          </cell>
          <cell r="H775">
            <v>0</v>
          </cell>
          <cell r="I775">
            <v>0</v>
          </cell>
          <cell r="J775" t="str">
            <v/>
          </cell>
          <cell r="K775" t="str">
            <v/>
          </cell>
          <cell r="L775" t="str">
            <v/>
          </cell>
          <cell r="M775" t="str">
            <v/>
          </cell>
          <cell r="N775">
            <v>45436</v>
          </cell>
          <cell r="O775" t="str">
            <v>X</v>
          </cell>
          <cell r="P775" t="str">
            <v>2024</v>
          </cell>
          <cell r="Q775">
            <v>0</v>
          </cell>
          <cell r="R775" t="str">
            <v>INAKTIV</v>
          </cell>
        </row>
        <row r="776">
          <cell r="A776" t="str">
            <v>4009675</v>
          </cell>
          <cell r="B776" t="str">
            <v>3300</v>
          </cell>
          <cell r="C776" t="str">
            <v>3001</v>
          </cell>
          <cell r="D776" t="str">
            <v>DL</v>
          </cell>
          <cell r="E776" t="str">
            <v>X</v>
          </cell>
          <cell r="F776" t="str">
            <v>2024</v>
          </cell>
          <cell r="G776" t="str">
            <v>2</v>
          </cell>
          <cell r="H776">
            <v>0</v>
          </cell>
          <cell r="I776">
            <v>0</v>
          </cell>
          <cell r="J776" t="str">
            <v/>
          </cell>
          <cell r="K776" t="str">
            <v/>
          </cell>
          <cell r="L776" t="str">
            <v>SLETTET</v>
          </cell>
          <cell r="M776" t="str">
            <v/>
          </cell>
          <cell r="N776">
            <v>45345</v>
          </cell>
          <cell r="O776" t="str">
            <v>X</v>
          </cell>
          <cell r="P776" t="str">
            <v>2024</v>
          </cell>
          <cell r="Q776">
            <v>0</v>
          </cell>
          <cell r="R776" t="str">
            <v>INAKTIV</v>
          </cell>
        </row>
        <row r="777">
          <cell r="A777" t="str">
            <v>4009677</v>
          </cell>
          <cell r="B777" t="str">
            <v>3300</v>
          </cell>
          <cell r="C777" t="str">
            <v>3001</v>
          </cell>
          <cell r="D777" t="str">
            <v>DL</v>
          </cell>
          <cell r="E777" t="str">
            <v>X</v>
          </cell>
          <cell r="F777" t="str">
            <v>2024</v>
          </cell>
          <cell r="G777" t="str">
            <v>2</v>
          </cell>
          <cell r="H777">
            <v>0</v>
          </cell>
          <cell r="I777">
            <v>0</v>
          </cell>
          <cell r="J777" t="str">
            <v/>
          </cell>
          <cell r="K777" t="str">
            <v/>
          </cell>
          <cell r="L777" t="str">
            <v>SLETTET</v>
          </cell>
          <cell r="M777" t="str">
            <v/>
          </cell>
          <cell r="N777">
            <v>45345</v>
          </cell>
          <cell r="O777" t="str">
            <v>X</v>
          </cell>
          <cell r="P777" t="str">
            <v>2024</v>
          </cell>
          <cell r="Q777">
            <v>0</v>
          </cell>
          <cell r="R777" t="str">
            <v>INAKTIV</v>
          </cell>
        </row>
        <row r="778">
          <cell r="A778" t="str">
            <v>4009686</v>
          </cell>
          <cell r="B778" t="str">
            <v>3300</v>
          </cell>
          <cell r="C778" t="str">
            <v>3001</v>
          </cell>
          <cell r="D778" t="str">
            <v>DL</v>
          </cell>
          <cell r="E778" t="str">
            <v>X</v>
          </cell>
          <cell r="F778" t="str">
            <v>2024</v>
          </cell>
          <cell r="G778" t="str">
            <v>5</v>
          </cell>
          <cell r="H778">
            <v>0</v>
          </cell>
          <cell r="I778">
            <v>0</v>
          </cell>
          <cell r="J778" t="str">
            <v/>
          </cell>
          <cell r="K778" t="str">
            <v/>
          </cell>
          <cell r="L778" t="str">
            <v>SLETTET</v>
          </cell>
          <cell r="M778" t="str">
            <v/>
          </cell>
          <cell r="N778">
            <v>44841</v>
          </cell>
          <cell r="O778" t="str">
            <v>X</v>
          </cell>
          <cell r="P778" t="str">
            <v>2025</v>
          </cell>
          <cell r="Q778">
            <v>0</v>
          </cell>
          <cell r="R778" t="str">
            <v>INAKTIV</v>
          </cell>
        </row>
        <row r="779">
          <cell r="A779" t="str">
            <v>4009745</v>
          </cell>
          <cell r="B779" t="str">
            <v>3300</v>
          </cell>
          <cell r="C779" t="str">
            <v>3001</v>
          </cell>
          <cell r="D779" t="str">
            <v>DL</v>
          </cell>
          <cell r="E779" t="str">
            <v/>
          </cell>
          <cell r="F779" t="str">
            <v>2026</v>
          </cell>
          <cell r="G779" t="str">
            <v>2</v>
          </cell>
          <cell r="H779">
            <v>380</v>
          </cell>
          <cell r="I779">
            <v>0</v>
          </cell>
          <cell r="J779" t="str">
            <v>X</v>
          </cell>
          <cell r="K779" t="str">
            <v>X</v>
          </cell>
          <cell r="L779" t="str">
            <v>09:13:03</v>
          </cell>
          <cell r="M779">
            <v>45987</v>
          </cell>
          <cell r="N779">
            <v>44855</v>
          </cell>
          <cell r="O779" t="str">
            <v>X</v>
          </cell>
          <cell r="P779" t="str">
            <v>2025</v>
          </cell>
          <cell r="Q779">
            <v>380</v>
          </cell>
          <cell r="R779" t="str">
            <v/>
          </cell>
        </row>
        <row r="780">
          <cell r="A780" t="str">
            <v>4009890</v>
          </cell>
          <cell r="B780" t="str">
            <v>3300</v>
          </cell>
          <cell r="C780" t="str">
            <v>3001</v>
          </cell>
          <cell r="D780" t="str">
            <v>DL</v>
          </cell>
          <cell r="E780" t="str">
            <v/>
          </cell>
          <cell r="F780" t="str">
            <v>2022</v>
          </cell>
          <cell r="G780" t="str">
            <v>12</v>
          </cell>
          <cell r="H780">
            <v>0</v>
          </cell>
          <cell r="I780">
            <v>0</v>
          </cell>
          <cell r="J780" t="str">
            <v/>
          </cell>
          <cell r="K780" t="str">
            <v/>
          </cell>
          <cell r="L780" t="str">
            <v/>
          </cell>
          <cell r="M780" t="str">
            <v/>
          </cell>
          <cell r="N780">
            <v>44901</v>
          </cell>
          <cell r="O780" t="str">
            <v>X</v>
          </cell>
          <cell r="P780" t="str">
            <v>2022</v>
          </cell>
          <cell r="Q780">
            <v>0</v>
          </cell>
          <cell r="R780" t="str">
            <v>INAKTIV</v>
          </cell>
        </row>
        <row r="781">
          <cell r="A781" t="str">
            <v>4009893</v>
          </cell>
          <cell r="B781" t="str">
            <v>3300</v>
          </cell>
          <cell r="C781" t="str">
            <v>3001</v>
          </cell>
          <cell r="D781" t="str">
            <v>DL</v>
          </cell>
          <cell r="E781" t="str">
            <v/>
          </cell>
          <cell r="F781" t="str">
            <v>2023</v>
          </cell>
          <cell r="G781" t="str">
            <v>1</v>
          </cell>
          <cell r="H781">
            <v>0</v>
          </cell>
          <cell r="I781">
            <v>0</v>
          </cell>
          <cell r="J781" t="str">
            <v/>
          </cell>
          <cell r="K781" t="str">
            <v/>
          </cell>
          <cell r="L781" t="str">
            <v>SLETTET</v>
          </cell>
          <cell r="M781" t="str">
            <v/>
          </cell>
          <cell r="N781">
            <v>44900</v>
          </cell>
          <cell r="O781" t="str">
            <v>X</v>
          </cell>
          <cell r="P781" t="str">
            <v>2022</v>
          </cell>
          <cell r="Q781">
            <v>0</v>
          </cell>
          <cell r="R781" t="str">
            <v>INAKTIV</v>
          </cell>
        </row>
        <row r="782">
          <cell r="A782" t="str">
            <v>4009895</v>
          </cell>
          <cell r="B782" t="str">
            <v>3300</v>
          </cell>
          <cell r="C782" t="str">
            <v>3001</v>
          </cell>
          <cell r="D782" t="str">
            <v>DL</v>
          </cell>
          <cell r="E782" t="str">
            <v/>
          </cell>
          <cell r="F782" t="str">
            <v>2025</v>
          </cell>
          <cell r="G782" t="str">
            <v>11</v>
          </cell>
          <cell r="H782">
            <v>100</v>
          </cell>
          <cell r="I782">
            <v>0</v>
          </cell>
          <cell r="J782" t="str">
            <v>X</v>
          </cell>
          <cell r="K782" t="str">
            <v>X</v>
          </cell>
          <cell r="L782" t="str">
            <v>09:09:00</v>
          </cell>
          <cell r="M782">
            <v>45987</v>
          </cell>
          <cell r="N782">
            <v>44903</v>
          </cell>
          <cell r="O782" t="str">
            <v>X</v>
          </cell>
          <cell r="P782" t="str">
            <v>2025</v>
          </cell>
          <cell r="Q782">
            <v>100</v>
          </cell>
          <cell r="R782" t="str">
            <v/>
          </cell>
        </row>
        <row r="783">
          <cell r="A783" t="str">
            <v>4009896</v>
          </cell>
          <cell r="B783" t="str">
            <v>3300</v>
          </cell>
          <cell r="C783" t="str">
            <v>3001</v>
          </cell>
          <cell r="D783" t="str">
            <v>DL</v>
          </cell>
          <cell r="E783" t="str">
            <v>X</v>
          </cell>
          <cell r="F783" t="str">
            <v>2025</v>
          </cell>
          <cell r="G783" t="str">
            <v>8</v>
          </cell>
          <cell r="H783">
            <v>0</v>
          </cell>
          <cell r="I783">
            <v>0</v>
          </cell>
          <cell r="J783" t="str">
            <v>X</v>
          </cell>
          <cell r="K783" t="str">
            <v>X</v>
          </cell>
          <cell r="L783" t="str">
            <v>SLETTET</v>
          </cell>
          <cell r="M783">
            <v>45455</v>
          </cell>
          <cell r="N783">
            <v>44903</v>
          </cell>
          <cell r="O783" t="str">
            <v>X</v>
          </cell>
          <cell r="P783" t="str">
            <v>2024</v>
          </cell>
          <cell r="Q783">
            <v>0</v>
          </cell>
          <cell r="R783" t="str">
            <v>INAKTIV</v>
          </cell>
        </row>
        <row r="784">
          <cell r="A784" t="str">
            <v>4009897</v>
          </cell>
          <cell r="B784" t="str">
            <v>3300</v>
          </cell>
          <cell r="C784" t="str">
            <v>3001</v>
          </cell>
          <cell r="D784" t="str">
            <v>DL</v>
          </cell>
          <cell r="E784" t="str">
            <v/>
          </cell>
          <cell r="F784" t="str">
            <v>2022</v>
          </cell>
          <cell r="G784" t="str">
            <v>12</v>
          </cell>
          <cell r="H784">
            <v>0</v>
          </cell>
          <cell r="I784">
            <v>0</v>
          </cell>
          <cell r="J784" t="str">
            <v/>
          </cell>
          <cell r="K784" t="str">
            <v/>
          </cell>
          <cell r="L784" t="str">
            <v>SLETTET</v>
          </cell>
          <cell r="M784" t="str">
            <v/>
          </cell>
          <cell r="N784">
            <v>44903</v>
          </cell>
          <cell r="O784" t="str">
            <v>X</v>
          </cell>
          <cell r="P784" t="str">
            <v>2025</v>
          </cell>
          <cell r="Q784">
            <v>0</v>
          </cell>
          <cell r="R784" t="str">
            <v>INAKTIV</v>
          </cell>
        </row>
        <row r="785">
          <cell r="A785" t="str">
            <v>4009898</v>
          </cell>
          <cell r="B785" t="str">
            <v>3300</v>
          </cell>
          <cell r="C785" t="str">
            <v>3001</v>
          </cell>
          <cell r="D785" t="str">
            <v>DL</v>
          </cell>
          <cell r="E785" t="str">
            <v/>
          </cell>
          <cell r="F785" t="str">
            <v>2026</v>
          </cell>
          <cell r="G785" t="str">
            <v>2</v>
          </cell>
          <cell r="H785">
            <v>270</v>
          </cell>
          <cell r="I785">
            <v>0</v>
          </cell>
          <cell r="J785" t="str">
            <v>X</v>
          </cell>
          <cell r="K785" t="str">
            <v>X</v>
          </cell>
          <cell r="L785" t="str">
            <v>07:04:03</v>
          </cell>
          <cell r="M785">
            <v>45824</v>
          </cell>
          <cell r="N785">
            <v>44903</v>
          </cell>
          <cell r="O785" t="str">
            <v>X</v>
          </cell>
          <cell r="P785" t="str">
            <v>2025</v>
          </cell>
          <cell r="Q785">
            <v>270</v>
          </cell>
          <cell r="R785" t="str">
            <v/>
          </cell>
        </row>
        <row r="786">
          <cell r="A786" t="str">
            <v>4009899</v>
          </cell>
          <cell r="B786" t="str">
            <v>3300</v>
          </cell>
          <cell r="C786" t="str">
            <v>3001</v>
          </cell>
          <cell r="D786" t="str">
            <v>DL</v>
          </cell>
          <cell r="E786" t="str">
            <v/>
          </cell>
          <cell r="F786" t="str">
            <v>2026</v>
          </cell>
          <cell r="G786" t="str">
            <v>3</v>
          </cell>
          <cell r="H786">
            <v>290</v>
          </cell>
          <cell r="I786">
            <v>0</v>
          </cell>
          <cell r="J786" t="str">
            <v>X</v>
          </cell>
          <cell r="K786" t="str">
            <v>X</v>
          </cell>
          <cell r="L786" t="str">
            <v>08:07:02</v>
          </cell>
          <cell r="M786">
            <v>45980</v>
          </cell>
          <cell r="N786">
            <v>44903</v>
          </cell>
          <cell r="O786" t="str">
            <v>X</v>
          </cell>
          <cell r="P786" t="str">
            <v>2025</v>
          </cell>
          <cell r="Q786">
            <v>290</v>
          </cell>
          <cell r="R786" t="str">
            <v/>
          </cell>
        </row>
        <row r="787">
          <cell r="A787" t="str">
            <v>4009901</v>
          </cell>
          <cell r="B787" t="str">
            <v>3300</v>
          </cell>
          <cell r="C787" t="str">
            <v>3001</v>
          </cell>
          <cell r="D787" t="str">
            <v>DL</v>
          </cell>
          <cell r="E787" t="str">
            <v/>
          </cell>
          <cell r="F787" t="str">
            <v>2022</v>
          </cell>
          <cell r="G787" t="str">
            <v>12</v>
          </cell>
          <cell r="H787">
            <v>0</v>
          </cell>
          <cell r="I787">
            <v>0</v>
          </cell>
          <cell r="J787" t="str">
            <v/>
          </cell>
          <cell r="K787" t="str">
            <v/>
          </cell>
          <cell r="L787" t="str">
            <v/>
          </cell>
          <cell r="M787" t="str">
            <v/>
          </cell>
          <cell r="N787">
            <v>44901</v>
          </cell>
          <cell r="O787" t="str">
            <v>X</v>
          </cell>
          <cell r="P787" t="str">
            <v>2022</v>
          </cell>
          <cell r="Q787">
            <v>0</v>
          </cell>
          <cell r="R787" t="str">
            <v>INAKTIV</v>
          </cell>
        </row>
        <row r="788">
          <cell r="A788" t="str">
            <v>4009902</v>
          </cell>
          <cell r="B788" t="str">
            <v>3300</v>
          </cell>
          <cell r="C788" t="str">
            <v>3001</v>
          </cell>
          <cell r="D788" t="str">
            <v>DL</v>
          </cell>
          <cell r="E788" t="str">
            <v/>
          </cell>
          <cell r="F788" t="str">
            <v>2022</v>
          </cell>
          <cell r="G788" t="str">
            <v>12</v>
          </cell>
          <cell r="H788">
            <v>0</v>
          </cell>
          <cell r="I788">
            <v>0</v>
          </cell>
          <cell r="J788" t="str">
            <v/>
          </cell>
          <cell r="K788" t="str">
            <v/>
          </cell>
          <cell r="L788" t="str">
            <v/>
          </cell>
          <cell r="M788" t="str">
            <v/>
          </cell>
          <cell r="N788">
            <v>44901</v>
          </cell>
          <cell r="O788" t="str">
            <v>X</v>
          </cell>
          <cell r="P788" t="str">
            <v>2022</v>
          </cell>
          <cell r="Q788">
            <v>0</v>
          </cell>
          <cell r="R788" t="str">
            <v>INAKTIV</v>
          </cell>
        </row>
        <row r="789">
          <cell r="A789" t="str">
            <v>4009903</v>
          </cell>
          <cell r="B789" t="str">
            <v>3300</v>
          </cell>
          <cell r="C789" t="str">
            <v>3001</v>
          </cell>
          <cell r="D789" t="str">
            <v>DL</v>
          </cell>
          <cell r="E789" t="str">
            <v/>
          </cell>
          <cell r="F789" t="str">
            <v>2022</v>
          </cell>
          <cell r="G789" t="str">
            <v>12</v>
          </cell>
          <cell r="H789">
            <v>0</v>
          </cell>
          <cell r="I789">
            <v>0</v>
          </cell>
          <cell r="J789" t="str">
            <v/>
          </cell>
          <cell r="K789" t="str">
            <v/>
          </cell>
          <cell r="L789" t="str">
            <v/>
          </cell>
          <cell r="M789" t="str">
            <v/>
          </cell>
          <cell r="N789">
            <v>44901</v>
          </cell>
          <cell r="O789" t="str">
            <v>X</v>
          </cell>
          <cell r="P789" t="str">
            <v>2022</v>
          </cell>
          <cell r="Q789">
            <v>0</v>
          </cell>
          <cell r="R789" t="str">
            <v>INAKTIV</v>
          </cell>
        </row>
        <row r="790">
          <cell r="A790" t="str">
            <v>4009908</v>
          </cell>
          <cell r="B790" t="str">
            <v>3300</v>
          </cell>
          <cell r="C790" t="str">
            <v>3001</v>
          </cell>
          <cell r="D790" t="str">
            <v>DL</v>
          </cell>
          <cell r="E790" t="str">
            <v/>
          </cell>
          <cell r="F790" t="str">
            <v>2023</v>
          </cell>
          <cell r="G790" t="str">
            <v>1</v>
          </cell>
          <cell r="H790">
            <v>0</v>
          </cell>
          <cell r="I790">
            <v>0</v>
          </cell>
          <cell r="J790" t="str">
            <v/>
          </cell>
          <cell r="K790" t="str">
            <v/>
          </cell>
          <cell r="L790" t="str">
            <v>SLETTET</v>
          </cell>
          <cell r="M790" t="str">
            <v/>
          </cell>
          <cell r="N790">
            <v>44904</v>
          </cell>
          <cell r="O790" t="str">
            <v>X</v>
          </cell>
          <cell r="P790" t="str">
            <v>2025</v>
          </cell>
          <cell r="Q790">
            <v>0</v>
          </cell>
          <cell r="R790" t="str">
            <v>INAKTIV</v>
          </cell>
        </row>
        <row r="791">
          <cell r="A791" t="str">
            <v>4009909</v>
          </cell>
          <cell r="B791" t="str">
            <v>3300</v>
          </cell>
          <cell r="C791" t="str">
            <v>3001</v>
          </cell>
          <cell r="D791" t="str">
            <v>DL</v>
          </cell>
          <cell r="E791" t="str">
            <v/>
          </cell>
          <cell r="F791" t="str">
            <v>2026</v>
          </cell>
          <cell r="G791" t="str">
            <v>2</v>
          </cell>
          <cell r="H791">
            <v>264</v>
          </cell>
          <cell r="I791">
            <v>0</v>
          </cell>
          <cell r="J791" t="str">
            <v>X</v>
          </cell>
          <cell r="K791" t="str">
            <v>X</v>
          </cell>
          <cell r="L791" t="str">
            <v>05:04:03</v>
          </cell>
          <cell r="M791">
            <v>45803</v>
          </cell>
          <cell r="N791">
            <v>44904</v>
          </cell>
          <cell r="O791" t="str">
            <v>X</v>
          </cell>
          <cell r="P791" t="str">
            <v>2025</v>
          </cell>
          <cell r="Q791">
            <v>264</v>
          </cell>
          <cell r="R791" t="str">
            <v/>
          </cell>
        </row>
        <row r="792">
          <cell r="A792" t="str">
            <v>4009910</v>
          </cell>
          <cell r="B792" t="str">
            <v>3300</v>
          </cell>
          <cell r="C792" t="str">
            <v>3001</v>
          </cell>
          <cell r="D792" t="str">
            <v>DL</v>
          </cell>
          <cell r="E792" t="str">
            <v/>
          </cell>
          <cell r="F792" t="str">
            <v>2026</v>
          </cell>
          <cell r="G792" t="str">
            <v>2</v>
          </cell>
          <cell r="H792">
            <v>275</v>
          </cell>
          <cell r="I792">
            <v>0</v>
          </cell>
          <cell r="J792" t="str">
            <v>X</v>
          </cell>
          <cell r="K792" t="str">
            <v>X</v>
          </cell>
          <cell r="L792" t="str">
            <v>03;13:01</v>
          </cell>
          <cell r="M792">
            <v>45798</v>
          </cell>
          <cell r="N792">
            <v>44904</v>
          </cell>
          <cell r="O792" t="str">
            <v>X</v>
          </cell>
          <cell r="P792" t="str">
            <v>2025</v>
          </cell>
          <cell r="Q792">
            <v>275</v>
          </cell>
          <cell r="R792" t="str">
            <v/>
          </cell>
        </row>
        <row r="793">
          <cell r="A793" t="str">
            <v>4009911</v>
          </cell>
          <cell r="B793" t="str">
            <v>3300</v>
          </cell>
          <cell r="C793" t="str">
            <v>3001</v>
          </cell>
          <cell r="D793" t="str">
            <v>DL</v>
          </cell>
          <cell r="E793" t="str">
            <v/>
          </cell>
          <cell r="F793" t="str">
            <v>2026</v>
          </cell>
          <cell r="G793" t="str">
            <v>2</v>
          </cell>
          <cell r="H793">
            <v>75</v>
          </cell>
          <cell r="I793">
            <v>0</v>
          </cell>
          <cell r="J793" t="str">
            <v>X</v>
          </cell>
          <cell r="K793" t="str">
            <v>X</v>
          </cell>
          <cell r="L793" t="str">
            <v>09:10:00</v>
          </cell>
          <cell r="M793">
            <v>45987</v>
          </cell>
          <cell r="N793">
            <v>44904</v>
          </cell>
          <cell r="O793" t="str">
            <v>X</v>
          </cell>
          <cell r="P793" t="str">
            <v>2025</v>
          </cell>
          <cell r="Q793">
            <v>75</v>
          </cell>
          <cell r="R793" t="str">
            <v/>
          </cell>
        </row>
        <row r="794">
          <cell r="A794" t="str">
            <v>4009912</v>
          </cell>
          <cell r="B794" t="str">
            <v>3300</v>
          </cell>
          <cell r="C794" t="str">
            <v>3001</v>
          </cell>
          <cell r="D794" t="str">
            <v>DL</v>
          </cell>
          <cell r="E794" t="str">
            <v/>
          </cell>
          <cell r="F794" t="str">
            <v>2026</v>
          </cell>
          <cell r="G794" t="str">
            <v>2</v>
          </cell>
          <cell r="H794">
            <v>450</v>
          </cell>
          <cell r="I794">
            <v>0</v>
          </cell>
          <cell r="J794" t="str">
            <v>X</v>
          </cell>
          <cell r="K794" t="str">
            <v>X</v>
          </cell>
          <cell r="L794" t="str">
            <v>09:11:00</v>
          </cell>
          <cell r="M794">
            <v>45987</v>
          </cell>
          <cell r="N794">
            <v>44904</v>
          </cell>
          <cell r="O794" t="str">
            <v>X</v>
          </cell>
          <cell r="P794" t="str">
            <v>2025</v>
          </cell>
          <cell r="Q794">
            <v>450</v>
          </cell>
          <cell r="R794" t="str">
            <v/>
          </cell>
        </row>
        <row r="795">
          <cell r="A795" t="str">
            <v>4009913</v>
          </cell>
          <cell r="B795" t="str">
            <v>3300</v>
          </cell>
          <cell r="C795" t="str">
            <v>3001</v>
          </cell>
          <cell r="D795" t="str">
            <v>DL</v>
          </cell>
          <cell r="E795" t="str">
            <v/>
          </cell>
          <cell r="F795" t="str">
            <v>2026</v>
          </cell>
          <cell r="G795" t="str">
            <v>2</v>
          </cell>
          <cell r="H795">
            <v>400</v>
          </cell>
          <cell r="I795">
            <v>0</v>
          </cell>
          <cell r="J795" t="str">
            <v>X</v>
          </cell>
          <cell r="K795" t="str">
            <v>X</v>
          </cell>
          <cell r="L795" t="str">
            <v>09:11:00</v>
          </cell>
          <cell r="M795">
            <v>45987</v>
          </cell>
          <cell r="N795">
            <v>44904</v>
          </cell>
          <cell r="O795" t="str">
            <v>X</v>
          </cell>
          <cell r="P795" t="str">
            <v>2025</v>
          </cell>
          <cell r="Q795">
            <v>400</v>
          </cell>
          <cell r="R795" t="str">
            <v/>
          </cell>
        </row>
        <row r="796">
          <cell r="A796" t="str">
            <v>4009914</v>
          </cell>
          <cell r="B796" t="str">
            <v>3300</v>
          </cell>
          <cell r="C796" t="str">
            <v>3001</v>
          </cell>
          <cell r="D796" t="str">
            <v>DL</v>
          </cell>
          <cell r="E796" t="str">
            <v/>
          </cell>
          <cell r="F796" t="str">
            <v>2023</v>
          </cell>
          <cell r="G796" t="str">
            <v>2</v>
          </cell>
          <cell r="H796">
            <v>0</v>
          </cell>
          <cell r="I796">
            <v>0</v>
          </cell>
          <cell r="J796" t="str">
            <v/>
          </cell>
          <cell r="K796" t="str">
            <v/>
          </cell>
          <cell r="L796" t="str">
            <v>SLETTET</v>
          </cell>
          <cell r="M796" t="str">
            <v/>
          </cell>
          <cell r="N796">
            <v>44908</v>
          </cell>
          <cell r="O796" t="str">
            <v>X</v>
          </cell>
          <cell r="P796" t="str">
            <v>2025</v>
          </cell>
          <cell r="Q796">
            <v>0</v>
          </cell>
          <cell r="R796" t="str">
            <v>INAKTIV</v>
          </cell>
        </row>
        <row r="797">
          <cell r="A797" t="str">
            <v>4009916</v>
          </cell>
          <cell r="B797" t="str">
            <v>3300</v>
          </cell>
          <cell r="C797" t="str">
            <v>3001</v>
          </cell>
          <cell r="D797" t="str">
            <v>DL</v>
          </cell>
          <cell r="E797" t="str">
            <v/>
          </cell>
          <cell r="F797" t="str">
            <v>2023</v>
          </cell>
          <cell r="G797" t="str">
            <v>7</v>
          </cell>
          <cell r="H797">
            <v>0</v>
          </cell>
          <cell r="I797">
            <v>0</v>
          </cell>
          <cell r="J797" t="str">
            <v/>
          </cell>
          <cell r="K797" t="str">
            <v/>
          </cell>
          <cell r="L797" t="str">
            <v>SLETTET</v>
          </cell>
          <cell r="M797" t="str">
            <v/>
          </cell>
          <cell r="N797">
            <v>44908</v>
          </cell>
          <cell r="O797" t="str">
            <v>X</v>
          </cell>
          <cell r="P797" t="str">
            <v>2024</v>
          </cell>
          <cell r="Q797">
            <v>0</v>
          </cell>
          <cell r="R797" t="str">
            <v>INAKTIV</v>
          </cell>
        </row>
        <row r="798">
          <cell r="A798" t="str">
            <v>4015482</v>
          </cell>
          <cell r="B798" t="str">
            <v>3300</v>
          </cell>
          <cell r="C798" t="str">
            <v>3001</v>
          </cell>
          <cell r="D798" t="str">
            <v>DL</v>
          </cell>
          <cell r="E798" t="str">
            <v/>
          </cell>
          <cell r="F798" t="str">
            <v>2026</v>
          </cell>
          <cell r="G798" t="str">
            <v>3</v>
          </cell>
          <cell r="H798">
            <v>440</v>
          </cell>
          <cell r="I798">
            <v>0</v>
          </cell>
          <cell r="J798" t="str">
            <v>X</v>
          </cell>
          <cell r="K798" t="str">
            <v>X</v>
          </cell>
          <cell r="L798" t="str">
            <v>03:12:03</v>
          </cell>
          <cell r="M798">
            <v>45798</v>
          </cell>
          <cell r="N798">
            <v>44918</v>
          </cell>
          <cell r="O798" t="str">
            <v>X</v>
          </cell>
          <cell r="P798" t="str">
            <v>2025</v>
          </cell>
          <cell r="Q798">
            <v>440</v>
          </cell>
          <cell r="R798" t="str">
            <v/>
          </cell>
        </row>
        <row r="799">
          <cell r="A799" t="str">
            <v>4015483</v>
          </cell>
          <cell r="B799" t="str">
            <v>3300</v>
          </cell>
          <cell r="C799" t="str">
            <v>3001</v>
          </cell>
          <cell r="D799" t="str">
            <v>DL</v>
          </cell>
          <cell r="E799" t="str">
            <v/>
          </cell>
          <cell r="F799" t="str">
            <v>2026</v>
          </cell>
          <cell r="G799" t="str">
            <v>3</v>
          </cell>
          <cell r="H799">
            <v>455</v>
          </cell>
          <cell r="I799">
            <v>0</v>
          </cell>
          <cell r="J799" t="str">
            <v>X</v>
          </cell>
          <cell r="K799" t="str">
            <v>X</v>
          </cell>
          <cell r="L799" t="str">
            <v>02:03:02</v>
          </cell>
          <cell r="M799">
            <v>45796</v>
          </cell>
          <cell r="N799">
            <v>44918</v>
          </cell>
          <cell r="O799" t="str">
            <v>X</v>
          </cell>
          <cell r="P799" t="str">
            <v>2025</v>
          </cell>
          <cell r="Q799">
            <v>455</v>
          </cell>
          <cell r="R799" t="str">
            <v/>
          </cell>
        </row>
        <row r="800">
          <cell r="A800" t="str">
            <v>4024865</v>
          </cell>
          <cell r="B800" t="str">
            <v>3300</v>
          </cell>
          <cell r="C800" t="str">
            <v>3001</v>
          </cell>
          <cell r="D800" t="str">
            <v>L</v>
          </cell>
          <cell r="E800" t="str">
            <v/>
          </cell>
          <cell r="F800" t="str">
            <v>2024</v>
          </cell>
          <cell r="G800" t="str">
            <v>6</v>
          </cell>
          <cell r="H800">
            <v>0</v>
          </cell>
          <cell r="I800">
            <v>0</v>
          </cell>
          <cell r="J800" t="str">
            <v/>
          </cell>
          <cell r="K800" t="str">
            <v/>
          </cell>
          <cell r="L800" t="str">
            <v/>
          </cell>
          <cell r="M800" t="str">
            <v/>
          </cell>
          <cell r="N800">
            <v>45450</v>
          </cell>
          <cell r="O800" t="str">
            <v>X</v>
          </cell>
          <cell r="P800" t="str">
            <v>2024</v>
          </cell>
          <cell r="Q800">
            <v>0</v>
          </cell>
          <cell r="R800" t="str">
            <v>INAKTIV</v>
          </cell>
        </row>
        <row r="801">
          <cell r="A801" t="str">
            <v>4024878</v>
          </cell>
          <cell r="B801" t="str">
            <v>3300</v>
          </cell>
          <cell r="C801" t="str">
            <v>3001</v>
          </cell>
          <cell r="D801" t="str">
            <v>DL</v>
          </cell>
          <cell r="E801" t="str">
            <v>X</v>
          </cell>
          <cell r="F801" t="str">
            <v>2024</v>
          </cell>
          <cell r="G801" t="str">
            <v>3</v>
          </cell>
          <cell r="H801">
            <v>0</v>
          </cell>
          <cell r="I801">
            <v>0</v>
          </cell>
          <cell r="J801" t="str">
            <v>X</v>
          </cell>
          <cell r="K801" t="str">
            <v>X</v>
          </cell>
          <cell r="L801" t="str">
            <v>SLETTET</v>
          </cell>
          <cell r="M801">
            <v>45330</v>
          </cell>
          <cell r="N801">
            <v>45036</v>
          </cell>
          <cell r="O801" t="str">
            <v>X</v>
          </cell>
          <cell r="P801" t="str">
            <v>2024</v>
          </cell>
          <cell r="Q801">
            <v>0</v>
          </cell>
          <cell r="R801" t="str">
            <v>INAKTIV</v>
          </cell>
        </row>
        <row r="802">
          <cell r="A802" t="str">
            <v>4030741</v>
          </cell>
          <cell r="B802" t="str">
            <v>3300</v>
          </cell>
          <cell r="C802" t="str">
            <v>3001</v>
          </cell>
          <cell r="D802" t="str">
            <v>L</v>
          </cell>
          <cell r="E802" t="str">
            <v/>
          </cell>
          <cell r="F802" t="str">
            <v>2024</v>
          </cell>
          <cell r="G802" t="str">
            <v>6</v>
          </cell>
          <cell r="H802">
            <v>0</v>
          </cell>
          <cell r="I802">
            <v>0</v>
          </cell>
          <cell r="J802" t="str">
            <v/>
          </cell>
          <cell r="K802" t="str">
            <v/>
          </cell>
          <cell r="L802" t="str">
            <v/>
          </cell>
          <cell r="M802" t="str">
            <v/>
          </cell>
          <cell r="N802">
            <v>45450</v>
          </cell>
          <cell r="O802" t="str">
            <v>X</v>
          </cell>
          <cell r="P802" t="str">
            <v>2024</v>
          </cell>
          <cell r="Q802">
            <v>0</v>
          </cell>
          <cell r="R802" t="str">
            <v>INAKTIV</v>
          </cell>
        </row>
        <row r="803">
          <cell r="A803" t="str">
            <v>4030746</v>
          </cell>
          <cell r="B803" t="str">
            <v>3300</v>
          </cell>
          <cell r="C803" t="str">
            <v>3001</v>
          </cell>
          <cell r="D803" t="str">
            <v>L</v>
          </cell>
          <cell r="E803" t="str">
            <v/>
          </cell>
          <cell r="F803" t="str">
            <v>2024</v>
          </cell>
          <cell r="G803" t="str">
            <v>6</v>
          </cell>
          <cell r="H803">
            <v>0</v>
          </cell>
          <cell r="I803">
            <v>0</v>
          </cell>
          <cell r="J803" t="str">
            <v/>
          </cell>
          <cell r="K803" t="str">
            <v/>
          </cell>
          <cell r="L803" t="str">
            <v/>
          </cell>
          <cell r="M803" t="str">
            <v/>
          </cell>
          <cell r="N803">
            <v>45450</v>
          </cell>
          <cell r="O803" t="str">
            <v>X</v>
          </cell>
          <cell r="P803" t="str">
            <v>2024</v>
          </cell>
          <cell r="Q803">
            <v>0</v>
          </cell>
          <cell r="R803" t="str">
            <v>INAKTIV</v>
          </cell>
        </row>
        <row r="804">
          <cell r="A804" t="str">
            <v>4030760</v>
          </cell>
          <cell r="B804" t="str">
            <v>3300</v>
          </cell>
          <cell r="C804" t="str">
            <v>3001</v>
          </cell>
          <cell r="D804" t="str">
            <v>DL</v>
          </cell>
          <cell r="E804" t="str">
            <v/>
          </cell>
          <cell r="F804" t="str">
            <v>2025</v>
          </cell>
          <cell r="G804" t="str">
            <v>9</v>
          </cell>
          <cell r="H804">
            <v>144</v>
          </cell>
          <cell r="I804">
            <v>0</v>
          </cell>
          <cell r="J804" t="str">
            <v>X</v>
          </cell>
          <cell r="K804" t="str">
            <v/>
          </cell>
          <cell r="L804" t="str">
            <v>01:05:03</v>
          </cell>
          <cell r="M804">
            <v>46029</v>
          </cell>
          <cell r="N804">
            <v>45345</v>
          </cell>
          <cell r="O804" t="str">
            <v>X</v>
          </cell>
          <cell r="P804" t="str">
            <v>2026</v>
          </cell>
          <cell r="Q804">
            <v>144</v>
          </cell>
          <cell r="R804" t="str">
            <v/>
          </cell>
        </row>
        <row r="805">
          <cell r="A805" t="str">
            <v>4032343</v>
          </cell>
          <cell r="B805" t="str">
            <v>3300</v>
          </cell>
          <cell r="C805" t="str">
            <v>3001</v>
          </cell>
          <cell r="D805" t="str">
            <v>DL</v>
          </cell>
          <cell r="E805" t="str">
            <v/>
          </cell>
          <cell r="F805" t="str">
            <v>2026</v>
          </cell>
          <cell r="G805" t="str">
            <v>2</v>
          </cell>
          <cell r="H805">
            <v>90</v>
          </cell>
          <cell r="I805">
            <v>0</v>
          </cell>
          <cell r="J805" t="str">
            <v>X</v>
          </cell>
          <cell r="K805" t="str">
            <v>X</v>
          </cell>
          <cell r="L805" t="str">
            <v>16:02:01</v>
          </cell>
          <cell r="M805">
            <v>46006</v>
          </cell>
          <cell r="N805">
            <v>45096</v>
          </cell>
          <cell r="O805" t="str">
            <v>X</v>
          </cell>
          <cell r="P805" t="str">
            <v>2025</v>
          </cell>
          <cell r="Q805">
            <v>90</v>
          </cell>
          <cell r="R805" t="str">
            <v/>
          </cell>
        </row>
        <row r="806">
          <cell r="A806" t="str">
            <v>4032344</v>
          </cell>
          <cell r="B806" t="str">
            <v>3300</v>
          </cell>
          <cell r="C806" t="str">
            <v>3001</v>
          </cell>
          <cell r="D806" t="str">
            <v>DL</v>
          </cell>
          <cell r="E806" t="str">
            <v/>
          </cell>
          <cell r="F806" t="str">
            <v>2026</v>
          </cell>
          <cell r="G806" t="str">
            <v>2</v>
          </cell>
          <cell r="H806">
            <v>10</v>
          </cell>
          <cell r="I806">
            <v>0</v>
          </cell>
          <cell r="J806" t="str">
            <v>X</v>
          </cell>
          <cell r="K806" t="str">
            <v>X</v>
          </cell>
          <cell r="L806" t="str">
            <v>08:05:01</v>
          </cell>
          <cell r="M806">
            <v>45980</v>
          </cell>
          <cell r="N806">
            <v>45096</v>
          </cell>
          <cell r="O806" t="str">
            <v>X</v>
          </cell>
          <cell r="P806" t="str">
            <v>2025</v>
          </cell>
          <cell r="Q806">
            <v>10</v>
          </cell>
          <cell r="R806" t="str">
            <v/>
          </cell>
        </row>
        <row r="807">
          <cell r="A807" t="str">
            <v>4032345</v>
          </cell>
          <cell r="B807" t="str">
            <v>3300</v>
          </cell>
          <cell r="C807" t="str">
            <v>3001</v>
          </cell>
          <cell r="D807" t="str">
            <v>DL</v>
          </cell>
          <cell r="E807" t="str">
            <v>X</v>
          </cell>
          <cell r="F807" t="str">
            <v>2023</v>
          </cell>
          <cell r="G807" t="str">
            <v>6</v>
          </cell>
          <cell r="H807">
            <v>0</v>
          </cell>
          <cell r="I807">
            <v>0</v>
          </cell>
          <cell r="J807" t="str">
            <v/>
          </cell>
          <cell r="K807" t="str">
            <v/>
          </cell>
          <cell r="L807" t="str">
            <v/>
          </cell>
          <cell r="M807" t="str">
            <v/>
          </cell>
          <cell r="N807">
            <v>45096</v>
          </cell>
          <cell r="O807" t="str">
            <v>X</v>
          </cell>
          <cell r="P807" t="str">
            <v>2023</v>
          </cell>
          <cell r="Q807">
            <v>0</v>
          </cell>
          <cell r="R807" t="str">
            <v>INAKTIV</v>
          </cell>
        </row>
        <row r="808">
          <cell r="A808" t="str">
            <v>4032346</v>
          </cell>
          <cell r="B808" t="str">
            <v>3300</v>
          </cell>
          <cell r="C808" t="str">
            <v>3001</v>
          </cell>
          <cell r="D808" t="str">
            <v>DL</v>
          </cell>
          <cell r="E808" t="str">
            <v>X</v>
          </cell>
          <cell r="F808" t="str">
            <v>2023</v>
          </cell>
          <cell r="G808" t="str">
            <v>6</v>
          </cell>
          <cell r="H808">
            <v>0</v>
          </cell>
          <cell r="I808">
            <v>0</v>
          </cell>
          <cell r="J808" t="str">
            <v/>
          </cell>
          <cell r="K808" t="str">
            <v/>
          </cell>
          <cell r="L808" t="str">
            <v/>
          </cell>
          <cell r="M808" t="str">
            <v/>
          </cell>
          <cell r="N808">
            <v>45096</v>
          </cell>
          <cell r="O808" t="str">
            <v>X</v>
          </cell>
          <cell r="P808" t="str">
            <v>2023</v>
          </cell>
          <cell r="Q808">
            <v>0</v>
          </cell>
          <cell r="R808" t="str">
            <v>INAKTIV</v>
          </cell>
        </row>
        <row r="809">
          <cell r="A809" t="str">
            <v>4032347</v>
          </cell>
          <cell r="B809" t="str">
            <v>3300</v>
          </cell>
          <cell r="C809" t="str">
            <v>3001</v>
          </cell>
          <cell r="D809" t="str">
            <v>DL</v>
          </cell>
          <cell r="E809" t="str">
            <v>X</v>
          </cell>
          <cell r="F809" t="str">
            <v>2023</v>
          </cell>
          <cell r="G809" t="str">
            <v>6</v>
          </cell>
          <cell r="H809">
            <v>0</v>
          </cell>
          <cell r="I809">
            <v>0</v>
          </cell>
          <cell r="J809" t="str">
            <v/>
          </cell>
          <cell r="K809" t="str">
            <v/>
          </cell>
          <cell r="L809" t="str">
            <v/>
          </cell>
          <cell r="M809" t="str">
            <v/>
          </cell>
          <cell r="N809">
            <v>45096</v>
          </cell>
          <cell r="O809" t="str">
            <v>X</v>
          </cell>
          <cell r="P809" t="str">
            <v>2023</v>
          </cell>
          <cell r="Q809">
            <v>0</v>
          </cell>
          <cell r="R809" t="str">
            <v>INAKTIV</v>
          </cell>
        </row>
        <row r="810">
          <cell r="A810" t="str">
            <v>4032348</v>
          </cell>
          <cell r="B810" t="str">
            <v>3300</v>
          </cell>
          <cell r="C810" t="str">
            <v>3001</v>
          </cell>
          <cell r="D810" t="str">
            <v>DL</v>
          </cell>
          <cell r="E810" t="str">
            <v>X</v>
          </cell>
          <cell r="F810" t="str">
            <v>2023</v>
          </cell>
          <cell r="G810" t="str">
            <v>6</v>
          </cell>
          <cell r="H810">
            <v>0</v>
          </cell>
          <cell r="I810">
            <v>0</v>
          </cell>
          <cell r="J810" t="str">
            <v/>
          </cell>
          <cell r="K810" t="str">
            <v/>
          </cell>
          <cell r="L810" t="str">
            <v/>
          </cell>
          <cell r="M810" t="str">
            <v/>
          </cell>
          <cell r="N810">
            <v>45096</v>
          </cell>
          <cell r="O810" t="str">
            <v>X</v>
          </cell>
          <cell r="P810" t="str">
            <v>2023</v>
          </cell>
          <cell r="Q810">
            <v>0</v>
          </cell>
          <cell r="R810" t="str">
            <v>INAKTIV</v>
          </cell>
        </row>
        <row r="811">
          <cell r="A811" t="str">
            <v>4032349</v>
          </cell>
          <cell r="B811" t="str">
            <v>3300</v>
          </cell>
          <cell r="C811" t="str">
            <v>3001</v>
          </cell>
          <cell r="D811" t="str">
            <v>DL</v>
          </cell>
          <cell r="E811" t="str">
            <v>X</v>
          </cell>
          <cell r="F811" t="str">
            <v>2023</v>
          </cell>
          <cell r="G811" t="str">
            <v>6</v>
          </cell>
          <cell r="H811">
            <v>0</v>
          </cell>
          <cell r="I811">
            <v>0</v>
          </cell>
          <cell r="J811" t="str">
            <v/>
          </cell>
          <cell r="K811" t="str">
            <v/>
          </cell>
          <cell r="L811" t="str">
            <v/>
          </cell>
          <cell r="M811" t="str">
            <v/>
          </cell>
          <cell r="N811">
            <v>45096</v>
          </cell>
          <cell r="O811" t="str">
            <v>X</v>
          </cell>
          <cell r="P811" t="str">
            <v>2023</v>
          </cell>
          <cell r="Q811">
            <v>0</v>
          </cell>
          <cell r="R811" t="str">
            <v>INAKTIV</v>
          </cell>
        </row>
        <row r="812">
          <cell r="A812" t="str">
            <v>4033645</v>
          </cell>
          <cell r="B812" t="str">
            <v>3300</v>
          </cell>
          <cell r="C812" t="str">
            <v>3001</v>
          </cell>
          <cell r="D812" t="str">
            <v>DL</v>
          </cell>
          <cell r="E812" t="str">
            <v/>
          </cell>
          <cell r="F812" t="str">
            <v>2026</v>
          </cell>
          <cell r="G812" t="str">
            <v>2</v>
          </cell>
          <cell r="H812">
            <v>114</v>
          </cell>
          <cell r="I812">
            <v>0</v>
          </cell>
          <cell r="J812" t="str">
            <v>X</v>
          </cell>
          <cell r="K812" t="str">
            <v/>
          </cell>
          <cell r="L812" t="str">
            <v>11:12:02</v>
          </cell>
          <cell r="M812">
            <v>46030</v>
          </cell>
          <cell r="N812">
            <v>45345</v>
          </cell>
          <cell r="O812" t="str">
            <v>X</v>
          </cell>
          <cell r="P812" t="str">
            <v>2026</v>
          </cell>
          <cell r="Q812">
            <v>114</v>
          </cell>
          <cell r="R812" t="str">
            <v/>
          </cell>
        </row>
        <row r="813">
          <cell r="A813" t="str">
            <v>4033646</v>
          </cell>
          <cell r="B813" t="str">
            <v>3300</v>
          </cell>
          <cell r="C813" t="str">
            <v>3001</v>
          </cell>
          <cell r="D813" t="str">
            <v>DL</v>
          </cell>
          <cell r="E813" t="str">
            <v/>
          </cell>
          <cell r="F813" t="str">
            <v>2026</v>
          </cell>
          <cell r="G813" t="str">
            <v>2</v>
          </cell>
          <cell r="H813">
            <v>132</v>
          </cell>
          <cell r="I813">
            <v>0</v>
          </cell>
          <cell r="J813" t="str">
            <v>X</v>
          </cell>
          <cell r="K813" t="str">
            <v/>
          </cell>
          <cell r="L813" t="str">
            <v>12:04:02</v>
          </cell>
          <cell r="M813">
            <v>46030</v>
          </cell>
          <cell r="N813">
            <v>45345</v>
          </cell>
          <cell r="O813" t="str">
            <v>X</v>
          </cell>
          <cell r="P813" t="str">
            <v>2026</v>
          </cell>
          <cell r="Q813">
            <v>132</v>
          </cell>
          <cell r="R813" t="str">
            <v/>
          </cell>
        </row>
        <row r="814">
          <cell r="A814" t="str">
            <v>4033654</v>
          </cell>
          <cell r="B814" t="str">
            <v>3300</v>
          </cell>
          <cell r="C814" t="str">
            <v>3001</v>
          </cell>
          <cell r="D814" t="str">
            <v>DL</v>
          </cell>
          <cell r="E814" t="str">
            <v/>
          </cell>
          <cell r="F814" t="str">
            <v>2024</v>
          </cell>
          <cell r="G814" t="str">
            <v>5</v>
          </cell>
          <cell r="H814">
            <v>0</v>
          </cell>
          <cell r="I814">
            <v>0</v>
          </cell>
          <cell r="J814" t="str">
            <v/>
          </cell>
          <cell r="K814" t="str">
            <v/>
          </cell>
          <cell r="L814" t="str">
            <v/>
          </cell>
          <cell r="M814" t="str">
            <v/>
          </cell>
          <cell r="N814">
            <v>45436</v>
          </cell>
          <cell r="O814" t="str">
            <v>X</v>
          </cell>
          <cell r="P814" t="str">
            <v>2024</v>
          </cell>
          <cell r="Q814">
            <v>0</v>
          </cell>
          <cell r="R814" t="str">
            <v>INAKTIV</v>
          </cell>
        </row>
        <row r="815">
          <cell r="A815" t="str">
            <v>4033674</v>
          </cell>
          <cell r="B815" t="str">
            <v>3300</v>
          </cell>
          <cell r="C815" t="str">
            <v>3001</v>
          </cell>
          <cell r="D815" t="str">
            <v>DL</v>
          </cell>
          <cell r="E815" t="str">
            <v/>
          </cell>
          <cell r="F815" t="str">
            <v>2026</v>
          </cell>
          <cell r="G815" t="str">
            <v>3</v>
          </cell>
          <cell r="H815">
            <v>195</v>
          </cell>
          <cell r="I815">
            <v>0</v>
          </cell>
          <cell r="J815" t="str">
            <v>X</v>
          </cell>
          <cell r="K815" t="str">
            <v>X</v>
          </cell>
          <cell r="L815" t="str">
            <v>07:11:04</v>
          </cell>
          <cell r="M815">
            <v>45825</v>
          </cell>
          <cell r="N815">
            <v>45187</v>
          </cell>
          <cell r="O815" t="str">
            <v>X</v>
          </cell>
          <cell r="P815" t="str">
            <v>2025</v>
          </cell>
          <cell r="Q815">
            <v>195</v>
          </cell>
          <cell r="R815" t="str">
            <v/>
          </cell>
        </row>
        <row r="816">
          <cell r="A816" t="str">
            <v>4033704</v>
          </cell>
          <cell r="B816" t="str">
            <v>3300</v>
          </cell>
          <cell r="C816" t="str">
            <v>3001</v>
          </cell>
          <cell r="D816" t="str">
            <v>DL</v>
          </cell>
          <cell r="E816" t="str">
            <v/>
          </cell>
          <cell r="F816" t="str">
            <v>2026</v>
          </cell>
          <cell r="G816" t="str">
            <v>3</v>
          </cell>
          <cell r="H816">
            <v>12</v>
          </cell>
          <cell r="I816">
            <v>0</v>
          </cell>
          <cell r="J816" t="str">
            <v>X</v>
          </cell>
          <cell r="K816" t="str">
            <v>X</v>
          </cell>
          <cell r="L816" t="str">
            <v>03:03:03</v>
          </cell>
          <cell r="M816">
            <v>45798</v>
          </cell>
          <cell r="N816">
            <v>45197</v>
          </cell>
          <cell r="O816" t="str">
            <v>X</v>
          </cell>
          <cell r="P816" t="str">
            <v>2025</v>
          </cell>
          <cell r="Q816">
            <v>12</v>
          </cell>
          <cell r="R816" t="str">
            <v/>
          </cell>
        </row>
        <row r="817">
          <cell r="A817" t="str">
            <v>4033705</v>
          </cell>
          <cell r="B817" t="str">
            <v>3300</v>
          </cell>
          <cell r="C817" t="str">
            <v>3001</v>
          </cell>
          <cell r="D817" t="str">
            <v>DL</v>
          </cell>
          <cell r="E817" t="str">
            <v/>
          </cell>
          <cell r="F817" t="str">
            <v>2023</v>
          </cell>
          <cell r="G817" t="str">
            <v>9</v>
          </cell>
          <cell r="H817">
            <v>0</v>
          </cell>
          <cell r="I817">
            <v>0</v>
          </cell>
          <cell r="J817" t="str">
            <v/>
          </cell>
          <cell r="K817" t="str">
            <v/>
          </cell>
          <cell r="L817" t="str">
            <v/>
          </cell>
          <cell r="M817" t="str">
            <v/>
          </cell>
          <cell r="N817">
            <v>45197</v>
          </cell>
          <cell r="O817" t="str">
            <v>X</v>
          </cell>
          <cell r="P817" t="str">
            <v>2023</v>
          </cell>
          <cell r="Q817">
            <v>0</v>
          </cell>
          <cell r="R817" t="str">
            <v>INAKTIV</v>
          </cell>
        </row>
        <row r="818">
          <cell r="A818" t="str">
            <v>4033706</v>
          </cell>
          <cell r="B818" t="str">
            <v>3300</v>
          </cell>
          <cell r="C818" t="str">
            <v>3001</v>
          </cell>
          <cell r="D818" t="str">
            <v>DL</v>
          </cell>
          <cell r="E818" t="str">
            <v/>
          </cell>
          <cell r="F818" t="str">
            <v>2026</v>
          </cell>
          <cell r="G818" t="str">
            <v>2</v>
          </cell>
          <cell r="H818">
            <v>0</v>
          </cell>
          <cell r="I818">
            <v>0</v>
          </cell>
          <cell r="J818" t="str">
            <v>X</v>
          </cell>
          <cell r="K818" t="str">
            <v>X</v>
          </cell>
          <cell r="L818" t="str">
            <v>03:01:02</v>
          </cell>
          <cell r="M818">
            <v>45798</v>
          </cell>
          <cell r="N818">
            <v>45197</v>
          </cell>
          <cell r="O818" t="str">
            <v>X</v>
          </cell>
          <cell r="P818" t="str">
            <v>2025</v>
          </cell>
          <cell r="Q818">
            <v>0</v>
          </cell>
          <cell r="R818" t="str">
            <v>INAKTIV</v>
          </cell>
        </row>
        <row r="819">
          <cell r="A819" t="str">
            <v>4035929</v>
          </cell>
          <cell r="B819" t="str">
            <v>3300</v>
          </cell>
          <cell r="C819" t="str">
            <v>3001</v>
          </cell>
          <cell r="D819" t="str">
            <v>DL</v>
          </cell>
          <cell r="E819" t="str">
            <v/>
          </cell>
          <cell r="F819" t="str">
            <v>2026</v>
          </cell>
          <cell r="G819" t="str">
            <v>2</v>
          </cell>
          <cell r="H819">
            <v>65</v>
          </cell>
          <cell r="I819">
            <v>0</v>
          </cell>
          <cell r="J819" t="str">
            <v>X</v>
          </cell>
          <cell r="K819" t="str">
            <v>X</v>
          </cell>
          <cell r="L819" t="str">
            <v>14:06:03</v>
          </cell>
          <cell r="M819">
            <v>46001</v>
          </cell>
          <cell r="N819">
            <v>45275</v>
          </cell>
          <cell r="O819" t="str">
            <v>X</v>
          </cell>
          <cell r="P819" t="str">
            <v>2025</v>
          </cell>
          <cell r="Q819">
            <v>65</v>
          </cell>
          <cell r="R819" t="str">
            <v/>
          </cell>
        </row>
        <row r="820">
          <cell r="A820" t="str">
            <v>4035930</v>
          </cell>
          <cell r="B820" t="str">
            <v>3300</v>
          </cell>
          <cell r="C820" t="str">
            <v>3001</v>
          </cell>
          <cell r="D820" t="str">
            <v>DL</v>
          </cell>
          <cell r="E820" t="str">
            <v/>
          </cell>
          <cell r="F820" t="str">
            <v>2026</v>
          </cell>
          <cell r="G820" t="str">
            <v>3</v>
          </cell>
          <cell r="H820">
            <v>55</v>
          </cell>
          <cell r="I820">
            <v>0</v>
          </cell>
          <cell r="J820" t="str">
            <v>X</v>
          </cell>
          <cell r="K820" t="str">
            <v>X</v>
          </cell>
          <cell r="L820" t="str">
            <v>14:06:02</v>
          </cell>
          <cell r="M820">
            <v>46001</v>
          </cell>
          <cell r="N820">
            <v>45275</v>
          </cell>
          <cell r="O820" t="str">
            <v>X</v>
          </cell>
          <cell r="P820" t="str">
            <v>2025</v>
          </cell>
          <cell r="Q820">
            <v>55</v>
          </cell>
          <cell r="R820" t="str">
            <v/>
          </cell>
        </row>
        <row r="821">
          <cell r="A821" t="str">
            <v>4035931</v>
          </cell>
          <cell r="B821" t="str">
            <v>3300</v>
          </cell>
          <cell r="C821" t="str">
            <v>3001</v>
          </cell>
          <cell r="D821" t="str">
            <v>DL</v>
          </cell>
          <cell r="E821" t="str">
            <v/>
          </cell>
          <cell r="F821" t="str">
            <v>2026</v>
          </cell>
          <cell r="G821" t="str">
            <v>3</v>
          </cell>
          <cell r="H821">
            <v>65</v>
          </cell>
          <cell r="I821">
            <v>0</v>
          </cell>
          <cell r="J821" t="str">
            <v>X</v>
          </cell>
          <cell r="K821" t="str">
            <v>X</v>
          </cell>
          <cell r="L821" t="str">
            <v>14:06:01</v>
          </cell>
          <cell r="M821">
            <v>46001</v>
          </cell>
          <cell r="N821">
            <v>45275</v>
          </cell>
          <cell r="O821" t="str">
            <v>X</v>
          </cell>
          <cell r="P821" t="str">
            <v>2025</v>
          </cell>
          <cell r="Q821">
            <v>65</v>
          </cell>
          <cell r="R821" t="str">
            <v/>
          </cell>
        </row>
        <row r="822">
          <cell r="A822" t="str">
            <v>4035932</v>
          </cell>
          <cell r="B822" t="str">
            <v>3300</v>
          </cell>
          <cell r="C822" t="str">
            <v>3001</v>
          </cell>
          <cell r="D822" t="str">
            <v>DL</v>
          </cell>
          <cell r="E822" t="str">
            <v/>
          </cell>
          <cell r="F822" t="str">
            <v>2023</v>
          </cell>
          <cell r="G822" t="str">
            <v>12</v>
          </cell>
          <cell r="H822">
            <v>0</v>
          </cell>
          <cell r="I822">
            <v>0</v>
          </cell>
          <cell r="J822" t="str">
            <v/>
          </cell>
          <cell r="K822" t="str">
            <v/>
          </cell>
          <cell r="L822" t="str">
            <v/>
          </cell>
          <cell r="M822" t="str">
            <v/>
          </cell>
          <cell r="N822">
            <v>45275</v>
          </cell>
          <cell r="O822" t="str">
            <v>X</v>
          </cell>
          <cell r="P822" t="str">
            <v>2023</v>
          </cell>
          <cell r="Q822">
            <v>0</v>
          </cell>
          <cell r="R822" t="str">
            <v>INAKTIV</v>
          </cell>
        </row>
        <row r="823">
          <cell r="A823" t="str">
            <v>4035935</v>
          </cell>
          <cell r="B823" t="str">
            <v>3300</v>
          </cell>
          <cell r="C823" t="str">
            <v>3001</v>
          </cell>
          <cell r="D823" t="str">
            <v>DL</v>
          </cell>
          <cell r="E823" t="str">
            <v/>
          </cell>
          <cell r="F823" t="str">
            <v>2026</v>
          </cell>
          <cell r="G823" t="str">
            <v>1</v>
          </cell>
          <cell r="H823">
            <v>500</v>
          </cell>
          <cell r="I823">
            <v>0</v>
          </cell>
          <cell r="J823" t="str">
            <v>X</v>
          </cell>
          <cell r="K823" t="str">
            <v/>
          </cell>
          <cell r="L823" t="str">
            <v>11:11:03*</v>
          </cell>
          <cell r="M823">
            <v>46030</v>
          </cell>
          <cell r="N823">
            <v>45275</v>
          </cell>
          <cell r="O823" t="str">
            <v>X</v>
          </cell>
          <cell r="P823" t="str">
            <v>2026</v>
          </cell>
          <cell r="Q823">
            <v>500</v>
          </cell>
          <cell r="R823" t="str">
            <v/>
          </cell>
        </row>
        <row r="824">
          <cell r="A824" t="str">
            <v>4035940</v>
          </cell>
          <cell r="B824" t="str">
            <v>3300</v>
          </cell>
          <cell r="C824" t="str">
            <v>3001</v>
          </cell>
          <cell r="D824" t="str">
            <v>DL</v>
          </cell>
          <cell r="E824" t="str">
            <v>X</v>
          </cell>
          <cell r="F824" t="str">
            <v>2023</v>
          </cell>
          <cell r="G824" t="str">
            <v>12</v>
          </cell>
          <cell r="H824">
            <v>0</v>
          </cell>
          <cell r="I824">
            <v>0</v>
          </cell>
          <cell r="J824" t="str">
            <v/>
          </cell>
          <cell r="K824" t="str">
            <v/>
          </cell>
          <cell r="L824" t="str">
            <v>SLETTET</v>
          </cell>
          <cell r="M824" t="str">
            <v/>
          </cell>
          <cell r="N824">
            <v>45281</v>
          </cell>
          <cell r="O824" t="str">
            <v>X</v>
          </cell>
          <cell r="P824" t="str">
            <v>2023</v>
          </cell>
          <cell r="Q824">
            <v>0</v>
          </cell>
          <cell r="R824" t="str">
            <v>INAKTIV</v>
          </cell>
        </row>
        <row r="825">
          <cell r="A825" t="str">
            <v>4035951</v>
          </cell>
          <cell r="B825" t="str">
            <v>3300</v>
          </cell>
          <cell r="C825" t="str">
            <v>3001</v>
          </cell>
          <cell r="D825" t="str">
            <v>DL</v>
          </cell>
          <cell r="E825" t="str">
            <v>X</v>
          </cell>
          <cell r="F825" t="str">
            <v>2023</v>
          </cell>
          <cell r="G825" t="str">
            <v>12</v>
          </cell>
          <cell r="H825">
            <v>0</v>
          </cell>
          <cell r="I825">
            <v>0</v>
          </cell>
          <cell r="J825" t="str">
            <v/>
          </cell>
          <cell r="K825" t="str">
            <v/>
          </cell>
          <cell r="L825" t="str">
            <v>SLETTET</v>
          </cell>
          <cell r="M825" t="str">
            <v/>
          </cell>
          <cell r="N825">
            <v>45281</v>
          </cell>
          <cell r="O825" t="str">
            <v>X</v>
          </cell>
          <cell r="P825" t="str">
            <v>2023</v>
          </cell>
          <cell r="Q825">
            <v>0</v>
          </cell>
          <cell r="R825" t="str">
            <v>INAKTIV</v>
          </cell>
        </row>
        <row r="826">
          <cell r="A826" t="str">
            <v>4035953</v>
          </cell>
          <cell r="B826" t="str">
            <v>3300</v>
          </cell>
          <cell r="C826" t="str">
            <v>3001</v>
          </cell>
          <cell r="D826" t="str">
            <v>DL</v>
          </cell>
          <cell r="E826" t="str">
            <v/>
          </cell>
          <cell r="F826" t="str">
            <v>2026</v>
          </cell>
          <cell r="G826" t="str">
            <v>2</v>
          </cell>
          <cell r="H826">
            <v>8</v>
          </cell>
          <cell r="I826">
            <v>0</v>
          </cell>
          <cell r="J826" t="str">
            <v>X</v>
          </cell>
          <cell r="K826" t="str">
            <v/>
          </cell>
          <cell r="L826" t="str">
            <v>20:04</v>
          </cell>
          <cell r="M826">
            <v>46029</v>
          </cell>
          <cell r="N826">
            <v>45289</v>
          </cell>
          <cell r="O826" t="str">
            <v>X</v>
          </cell>
          <cell r="P826" t="str">
            <v>2026</v>
          </cell>
          <cell r="Q826">
            <v>8</v>
          </cell>
          <cell r="R826" t="str">
            <v/>
          </cell>
        </row>
        <row r="827">
          <cell r="A827" t="str">
            <v>4035954</v>
          </cell>
          <cell r="B827" t="str">
            <v>3300</v>
          </cell>
          <cell r="C827" t="str">
            <v>3001</v>
          </cell>
          <cell r="D827" t="str">
            <v>DL</v>
          </cell>
          <cell r="E827" t="str">
            <v/>
          </cell>
          <cell r="F827" t="str">
            <v>2026</v>
          </cell>
          <cell r="G827" t="str">
            <v>3</v>
          </cell>
          <cell r="H827">
            <v>144</v>
          </cell>
          <cell r="I827">
            <v>0</v>
          </cell>
          <cell r="J827" t="str">
            <v>X</v>
          </cell>
          <cell r="K827" t="str">
            <v/>
          </cell>
          <cell r="L827" t="str">
            <v>20:05</v>
          </cell>
          <cell r="M827">
            <v>46029</v>
          </cell>
          <cell r="N827">
            <v>45289</v>
          </cell>
          <cell r="O827" t="str">
            <v>X</v>
          </cell>
          <cell r="P827" t="str">
            <v>2026</v>
          </cell>
          <cell r="Q827">
            <v>144</v>
          </cell>
          <cell r="R827" t="str">
            <v/>
          </cell>
        </row>
        <row r="828">
          <cell r="A828" t="str">
            <v>4035956</v>
          </cell>
          <cell r="B828" t="str">
            <v>3300</v>
          </cell>
          <cell r="C828" t="str">
            <v>3001</v>
          </cell>
          <cell r="D828" t="str">
            <v>DL</v>
          </cell>
          <cell r="E828" t="str">
            <v/>
          </cell>
          <cell r="F828" t="str">
            <v>2026</v>
          </cell>
          <cell r="G828" t="str">
            <v>3</v>
          </cell>
          <cell r="H828">
            <v>100</v>
          </cell>
          <cell r="I828">
            <v>0</v>
          </cell>
          <cell r="J828" t="str">
            <v>X</v>
          </cell>
          <cell r="K828" t="str">
            <v/>
          </cell>
          <cell r="L828" t="str">
            <v>20:07</v>
          </cell>
          <cell r="M828">
            <v>46029</v>
          </cell>
          <cell r="N828">
            <v>45289</v>
          </cell>
          <cell r="O828" t="str">
            <v>X</v>
          </cell>
          <cell r="P828" t="str">
            <v>2026</v>
          </cell>
          <cell r="Q828">
            <v>100</v>
          </cell>
          <cell r="R828" t="str">
            <v/>
          </cell>
        </row>
        <row r="829">
          <cell r="A829" t="str">
            <v>4035957</v>
          </cell>
          <cell r="B829" t="str">
            <v>3300</v>
          </cell>
          <cell r="C829" t="str">
            <v>3001</v>
          </cell>
          <cell r="D829" t="str">
            <v>DL</v>
          </cell>
          <cell r="E829" t="str">
            <v/>
          </cell>
          <cell r="F829" t="str">
            <v>2026</v>
          </cell>
          <cell r="G829" t="str">
            <v>3</v>
          </cell>
          <cell r="H829">
            <v>91</v>
          </cell>
          <cell r="I829">
            <v>0</v>
          </cell>
          <cell r="J829" t="str">
            <v>X</v>
          </cell>
          <cell r="K829" t="str">
            <v/>
          </cell>
          <cell r="L829" t="str">
            <v>20:06</v>
          </cell>
          <cell r="M829">
            <v>46029</v>
          </cell>
          <cell r="N829">
            <v>45289</v>
          </cell>
          <cell r="O829" t="str">
            <v>X</v>
          </cell>
          <cell r="P829" t="str">
            <v>2026</v>
          </cell>
          <cell r="Q829">
            <v>91</v>
          </cell>
          <cell r="R829" t="str">
            <v/>
          </cell>
        </row>
        <row r="830">
          <cell r="A830" t="str">
            <v>4035958</v>
          </cell>
          <cell r="B830" t="str">
            <v>3300</v>
          </cell>
          <cell r="C830" t="str">
            <v>3001</v>
          </cell>
          <cell r="D830" t="str">
            <v>DL</v>
          </cell>
          <cell r="E830" t="str">
            <v/>
          </cell>
          <cell r="F830" t="str">
            <v>2026</v>
          </cell>
          <cell r="G830" t="str">
            <v>1</v>
          </cell>
          <cell r="H830">
            <v>30</v>
          </cell>
          <cell r="I830">
            <v>0</v>
          </cell>
          <cell r="J830" t="str">
            <v>X</v>
          </cell>
          <cell r="K830" t="str">
            <v/>
          </cell>
          <cell r="L830" t="str">
            <v>20:02</v>
          </cell>
          <cell r="M830">
            <v>46029</v>
          </cell>
          <cell r="N830">
            <v>45289</v>
          </cell>
          <cell r="O830" t="str">
            <v>X</v>
          </cell>
          <cell r="P830" t="str">
            <v>2026</v>
          </cell>
          <cell r="Q830">
            <v>30</v>
          </cell>
          <cell r="R830" t="str">
            <v/>
          </cell>
        </row>
        <row r="831">
          <cell r="A831" t="str">
            <v>4035959</v>
          </cell>
          <cell r="B831" t="str">
            <v>3300</v>
          </cell>
          <cell r="C831" t="str">
            <v>3001</v>
          </cell>
          <cell r="D831" t="str">
            <v>DL</v>
          </cell>
          <cell r="E831" t="str">
            <v/>
          </cell>
          <cell r="F831" t="str">
            <v>2026</v>
          </cell>
          <cell r="G831" t="str">
            <v>2</v>
          </cell>
          <cell r="H831">
            <v>17</v>
          </cell>
          <cell r="I831">
            <v>0</v>
          </cell>
          <cell r="J831" t="str">
            <v>X</v>
          </cell>
          <cell r="K831" t="str">
            <v/>
          </cell>
          <cell r="L831" t="str">
            <v>20:03</v>
          </cell>
          <cell r="M831">
            <v>46029</v>
          </cell>
          <cell r="N831">
            <v>45289</v>
          </cell>
          <cell r="O831" t="str">
            <v>X</v>
          </cell>
          <cell r="P831" t="str">
            <v>2026</v>
          </cell>
          <cell r="Q831">
            <v>17</v>
          </cell>
          <cell r="R831" t="str">
            <v/>
          </cell>
        </row>
        <row r="832">
          <cell r="A832" t="str">
            <v>4035960</v>
          </cell>
          <cell r="B832" t="str">
            <v>3300</v>
          </cell>
          <cell r="C832" t="str">
            <v>3001</v>
          </cell>
          <cell r="D832" t="str">
            <v>DL</v>
          </cell>
          <cell r="E832" t="str">
            <v/>
          </cell>
          <cell r="F832" t="str">
            <v>2026</v>
          </cell>
          <cell r="G832" t="str">
            <v>3</v>
          </cell>
          <cell r="H832">
            <v>4</v>
          </cell>
          <cell r="I832">
            <v>0</v>
          </cell>
          <cell r="J832" t="str">
            <v>X</v>
          </cell>
          <cell r="K832" t="str">
            <v/>
          </cell>
          <cell r="L832" t="str">
            <v>20:01</v>
          </cell>
          <cell r="M832">
            <v>46029</v>
          </cell>
          <cell r="N832">
            <v>45289</v>
          </cell>
          <cell r="O832" t="str">
            <v>X</v>
          </cell>
          <cell r="P832" t="str">
            <v>2026</v>
          </cell>
          <cell r="Q832">
            <v>4</v>
          </cell>
          <cell r="R832" t="str">
            <v/>
          </cell>
        </row>
        <row r="833">
          <cell r="A833" t="str">
            <v>4035961</v>
          </cell>
          <cell r="B833" t="str">
            <v>3300</v>
          </cell>
          <cell r="C833" t="str">
            <v>3001</v>
          </cell>
          <cell r="D833" t="str">
            <v>DL</v>
          </cell>
          <cell r="E833" t="str">
            <v/>
          </cell>
          <cell r="F833" t="str">
            <v>2023</v>
          </cell>
          <cell r="G833" t="str">
            <v>12</v>
          </cell>
          <cell r="H833">
            <v>0</v>
          </cell>
          <cell r="I833">
            <v>0</v>
          </cell>
          <cell r="J833" t="str">
            <v/>
          </cell>
          <cell r="K833" t="str">
            <v/>
          </cell>
          <cell r="L833" t="str">
            <v/>
          </cell>
          <cell r="M833" t="str">
            <v/>
          </cell>
          <cell r="N833">
            <v>45289</v>
          </cell>
          <cell r="O833" t="str">
            <v>X</v>
          </cell>
          <cell r="P833" t="str">
            <v>2023</v>
          </cell>
          <cell r="Q833">
            <v>0</v>
          </cell>
          <cell r="R833" t="str">
            <v>INAKTIV</v>
          </cell>
        </row>
        <row r="834">
          <cell r="A834" t="str">
            <v>4035963</v>
          </cell>
          <cell r="B834" t="str">
            <v>3300</v>
          </cell>
          <cell r="C834" t="str">
            <v>3001</v>
          </cell>
          <cell r="D834" t="str">
            <v>DL</v>
          </cell>
          <cell r="E834" t="str">
            <v/>
          </cell>
          <cell r="F834" t="str">
            <v>2026</v>
          </cell>
          <cell r="G834" t="str">
            <v>3</v>
          </cell>
          <cell r="H834">
            <v>360</v>
          </cell>
          <cell r="I834">
            <v>0</v>
          </cell>
          <cell r="J834" t="str">
            <v>X</v>
          </cell>
          <cell r="K834" t="str">
            <v>X</v>
          </cell>
          <cell r="L834" t="str">
            <v>07:11:02</v>
          </cell>
          <cell r="M834">
            <v>45825</v>
          </cell>
          <cell r="N834">
            <v>45295</v>
          </cell>
          <cell r="O834" t="str">
            <v>X</v>
          </cell>
          <cell r="P834" t="str">
            <v>2025</v>
          </cell>
          <cell r="Q834">
            <v>360</v>
          </cell>
          <cell r="R834" t="str">
            <v/>
          </cell>
        </row>
        <row r="835">
          <cell r="A835" t="str">
            <v>4035971</v>
          </cell>
          <cell r="B835" t="str">
            <v>3300</v>
          </cell>
          <cell r="C835" t="str">
            <v>3001</v>
          </cell>
          <cell r="D835" t="str">
            <v>DL</v>
          </cell>
          <cell r="E835" t="str">
            <v/>
          </cell>
          <cell r="F835" t="str">
            <v>2026</v>
          </cell>
          <cell r="G835" t="str">
            <v>3</v>
          </cell>
          <cell r="H835">
            <v>485</v>
          </cell>
          <cell r="I835">
            <v>0</v>
          </cell>
          <cell r="J835" t="str">
            <v>X</v>
          </cell>
          <cell r="K835" t="str">
            <v/>
          </cell>
          <cell r="L835" t="str">
            <v>20:09</v>
          </cell>
          <cell r="M835">
            <v>46029</v>
          </cell>
          <cell r="N835">
            <v>45289</v>
          </cell>
          <cell r="O835" t="str">
            <v>X</v>
          </cell>
          <cell r="P835" t="str">
            <v>2026</v>
          </cell>
          <cell r="Q835">
            <v>485</v>
          </cell>
          <cell r="R835" t="str">
            <v/>
          </cell>
        </row>
        <row r="836">
          <cell r="A836" t="str">
            <v>4035972</v>
          </cell>
          <cell r="B836" t="str">
            <v>3300</v>
          </cell>
          <cell r="C836" t="str">
            <v>3001</v>
          </cell>
          <cell r="D836" t="str">
            <v>DL</v>
          </cell>
          <cell r="E836" t="str">
            <v/>
          </cell>
          <cell r="F836" t="str">
            <v>2026</v>
          </cell>
          <cell r="G836" t="str">
            <v>2</v>
          </cell>
          <cell r="H836">
            <v>405</v>
          </cell>
          <cell r="I836">
            <v>0</v>
          </cell>
          <cell r="J836" t="str">
            <v>X</v>
          </cell>
          <cell r="K836" t="str">
            <v/>
          </cell>
          <cell r="L836" t="str">
            <v>20:11</v>
          </cell>
          <cell r="M836">
            <v>46029</v>
          </cell>
          <cell r="N836">
            <v>45289</v>
          </cell>
          <cell r="O836" t="str">
            <v>X</v>
          </cell>
          <cell r="P836" t="str">
            <v>2026</v>
          </cell>
          <cell r="Q836">
            <v>405</v>
          </cell>
          <cell r="R836" t="str">
            <v/>
          </cell>
        </row>
        <row r="837">
          <cell r="A837" t="str">
            <v>4035973</v>
          </cell>
          <cell r="B837" t="str">
            <v>3300</v>
          </cell>
          <cell r="C837" t="str">
            <v>3001</v>
          </cell>
          <cell r="D837" t="str">
            <v>DL</v>
          </cell>
          <cell r="E837" t="str">
            <v/>
          </cell>
          <cell r="F837" t="str">
            <v>2026</v>
          </cell>
          <cell r="G837" t="str">
            <v>3</v>
          </cell>
          <cell r="H837">
            <v>282</v>
          </cell>
          <cell r="I837">
            <v>0</v>
          </cell>
          <cell r="J837" t="str">
            <v>X</v>
          </cell>
          <cell r="K837" t="str">
            <v>X</v>
          </cell>
          <cell r="L837" t="str">
            <v>10:03:03*</v>
          </cell>
          <cell r="M837">
            <v>45987</v>
          </cell>
          <cell r="N837">
            <v>45289</v>
          </cell>
          <cell r="O837" t="str">
            <v>X</v>
          </cell>
          <cell r="P837" t="str">
            <v>2025</v>
          </cell>
          <cell r="Q837">
            <v>282</v>
          </cell>
          <cell r="R837" t="str">
            <v/>
          </cell>
        </row>
        <row r="838">
          <cell r="A838" t="str">
            <v>4035974</v>
          </cell>
          <cell r="B838" t="str">
            <v>3300</v>
          </cell>
          <cell r="C838" t="str">
            <v>3001</v>
          </cell>
          <cell r="D838" t="str">
            <v>DL</v>
          </cell>
          <cell r="E838" t="str">
            <v/>
          </cell>
          <cell r="F838" t="str">
            <v>2026</v>
          </cell>
          <cell r="G838" t="str">
            <v>2</v>
          </cell>
          <cell r="H838">
            <v>10</v>
          </cell>
          <cell r="I838">
            <v>0</v>
          </cell>
          <cell r="J838" t="str">
            <v>X</v>
          </cell>
          <cell r="K838" t="str">
            <v>X</v>
          </cell>
          <cell r="L838" t="str">
            <v>14:07:03*</v>
          </cell>
          <cell r="M838">
            <v>46001</v>
          </cell>
          <cell r="N838">
            <v>45289</v>
          </cell>
          <cell r="O838" t="str">
            <v>X</v>
          </cell>
          <cell r="P838" t="str">
            <v>2025</v>
          </cell>
          <cell r="Q838">
            <v>10</v>
          </cell>
          <cell r="R838" t="str">
            <v/>
          </cell>
        </row>
        <row r="839">
          <cell r="A839" t="str">
            <v>4036481</v>
          </cell>
          <cell r="B839" t="str">
            <v>3300</v>
          </cell>
          <cell r="C839" t="str">
            <v>3001</v>
          </cell>
          <cell r="D839" t="str">
            <v>DL</v>
          </cell>
          <cell r="E839" t="str">
            <v/>
          </cell>
          <cell r="F839" t="str">
            <v>2026</v>
          </cell>
          <cell r="G839" t="str">
            <v>2</v>
          </cell>
          <cell r="H839">
            <v>143</v>
          </cell>
          <cell r="I839">
            <v>0</v>
          </cell>
          <cell r="J839" t="str">
            <v>X</v>
          </cell>
          <cell r="K839" t="str">
            <v/>
          </cell>
          <cell r="L839" t="str">
            <v>20:10</v>
          </cell>
          <cell r="M839">
            <v>46029</v>
          </cell>
          <cell r="N839">
            <v>45303</v>
          </cell>
          <cell r="O839" t="str">
            <v>X</v>
          </cell>
          <cell r="P839" t="str">
            <v>2026</v>
          </cell>
          <cell r="Q839">
            <v>143</v>
          </cell>
          <cell r="R839" t="str">
            <v/>
          </cell>
        </row>
        <row r="840">
          <cell r="A840" t="str">
            <v>4036668</v>
          </cell>
          <cell r="B840" t="str">
            <v>3300</v>
          </cell>
          <cell r="C840" t="str">
            <v>3001</v>
          </cell>
          <cell r="D840" t="str">
            <v>L</v>
          </cell>
          <cell r="E840" t="str">
            <v/>
          </cell>
          <cell r="F840" t="str">
            <v>2026</v>
          </cell>
          <cell r="G840" t="str">
            <v>2</v>
          </cell>
          <cell r="H840">
            <v>180</v>
          </cell>
          <cell r="I840">
            <v>0</v>
          </cell>
          <cell r="J840" t="str">
            <v>X</v>
          </cell>
          <cell r="K840" t="str">
            <v/>
          </cell>
          <cell r="L840" t="str">
            <v>01:05:02</v>
          </cell>
          <cell r="M840">
            <v>46029</v>
          </cell>
          <cell r="N840">
            <v>45343</v>
          </cell>
          <cell r="O840" t="str">
            <v>X</v>
          </cell>
          <cell r="P840" t="str">
            <v>2026</v>
          </cell>
          <cell r="Q840">
            <v>180</v>
          </cell>
          <cell r="R840" t="str">
            <v/>
          </cell>
        </row>
        <row r="841">
          <cell r="A841" t="str">
            <v>4036669</v>
          </cell>
          <cell r="B841" t="str">
            <v>3300</v>
          </cell>
          <cell r="C841" t="str">
            <v>3001</v>
          </cell>
          <cell r="D841" t="str">
            <v>LD</v>
          </cell>
          <cell r="E841" t="str">
            <v/>
          </cell>
          <cell r="F841" t="str">
            <v>2026</v>
          </cell>
          <cell r="G841" t="str">
            <v>2</v>
          </cell>
          <cell r="H841">
            <v>864</v>
          </cell>
          <cell r="I841">
            <v>0</v>
          </cell>
          <cell r="J841" t="str">
            <v>X</v>
          </cell>
          <cell r="K841" t="str">
            <v/>
          </cell>
          <cell r="L841" t="str">
            <v>01:02:00</v>
          </cell>
          <cell r="M841">
            <v>46029</v>
          </cell>
          <cell r="N841">
            <v>45343</v>
          </cell>
          <cell r="O841" t="str">
            <v>X</v>
          </cell>
          <cell r="P841" t="str">
            <v>2026</v>
          </cell>
          <cell r="Q841">
            <v>864</v>
          </cell>
          <cell r="R841" t="str">
            <v/>
          </cell>
        </row>
        <row r="842">
          <cell r="A842" t="str">
            <v>4036670</v>
          </cell>
          <cell r="B842" t="str">
            <v>3300</v>
          </cell>
          <cell r="C842" t="str">
            <v>3001</v>
          </cell>
          <cell r="D842" t="str">
            <v>L</v>
          </cell>
          <cell r="E842" t="str">
            <v/>
          </cell>
          <cell r="F842" t="str">
            <v>2025</v>
          </cell>
          <cell r="G842" t="str">
            <v>11</v>
          </cell>
          <cell r="H842">
            <v>144</v>
          </cell>
          <cell r="I842">
            <v>0</v>
          </cell>
          <cell r="J842" t="str">
            <v>X</v>
          </cell>
          <cell r="K842" t="str">
            <v/>
          </cell>
          <cell r="L842" t="str">
            <v>01:05:03</v>
          </cell>
          <cell r="M842">
            <v>46029</v>
          </cell>
          <cell r="N842">
            <v>45343</v>
          </cell>
          <cell r="O842" t="str">
            <v>X</v>
          </cell>
          <cell r="P842" t="str">
            <v>2026</v>
          </cell>
          <cell r="Q842">
            <v>144</v>
          </cell>
          <cell r="R842" t="str">
            <v/>
          </cell>
        </row>
        <row r="843">
          <cell r="A843" t="str">
            <v>4036671</v>
          </cell>
          <cell r="B843" t="str">
            <v>3300</v>
          </cell>
          <cell r="C843" t="str">
            <v>3001</v>
          </cell>
          <cell r="D843" t="str">
            <v>L</v>
          </cell>
          <cell r="E843" t="str">
            <v/>
          </cell>
          <cell r="F843" t="str">
            <v>2026</v>
          </cell>
          <cell r="G843" t="str">
            <v>2</v>
          </cell>
          <cell r="H843">
            <v>504</v>
          </cell>
          <cell r="I843">
            <v>0</v>
          </cell>
          <cell r="J843" t="str">
            <v>X</v>
          </cell>
          <cell r="K843" t="str">
            <v/>
          </cell>
          <cell r="L843" t="str">
            <v>01:04:03</v>
          </cell>
          <cell r="M843">
            <v>46029</v>
          </cell>
          <cell r="N843">
            <v>45343</v>
          </cell>
          <cell r="O843" t="str">
            <v>X</v>
          </cell>
          <cell r="P843" t="str">
            <v>2026</v>
          </cell>
          <cell r="Q843">
            <v>504</v>
          </cell>
          <cell r="R843" t="str">
            <v/>
          </cell>
        </row>
        <row r="844">
          <cell r="A844" t="str">
            <v>4036672</v>
          </cell>
          <cell r="B844" t="str">
            <v>3300</v>
          </cell>
          <cell r="C844" t="str">
            <v>3001</v>
          </cell>
          <cell r="D844" t="str">
            <v>L</v>
          </cell>
          <cell r="E844" t="str">
            <v/>
          </cell>
          <cell r="F844" t="str">
            <v>2026</v>
          </cell>
          <cell r="G844" t="str">
            <v>2</v>
          </cell>
          <cell r="H844">
            <v>180</v>
          </cell>
          <cell r="I844">
            <v>0</v>
          </cell>
          <cell r="J844" t="str">
            <v>X</v>
          </cell>
          <cell r="K844" t="str">
            <v/>
          </cell>
          <cell r="L844" t="str">
            <v>01:03:00</v>
          </cell>
          <cell r="M844">
            <v>46029</v>
          </cell>
          <cell r="N844">
            <v>45343</v>
          </cell>
          <cell r="O844" t="str">
            <v>X</v>
          </cell>
          <cell r="P844" t="str">
            <v>2026</v>
          </cell>
          <cell r="Q844">
            <v>180</v>
          </cell>
          <cell r="R844" t="str">
            <v/>
          </cell>
        </row>
        <row r="845">
          <cell r="A845" t="str">
            <v>4036673</v>
          </cell>
          <cell r="B845" t="str">
            <v>3300</v>
          </cell>
          <cell r="C845" t="str">
            <v>3001</v>
          </cell>
          <cell r="D845" t="str">
            <v>L</v>
          </cell>
          <cell r="E845" t="str">
            <v/>
          </cell>
          <cell r="F845" t="str">
            <v>2026</v>
          </cell>
          <cell r="G845" t="str">
            <v>2</v>
          </cell>
          <cell r="H845">
            <v>180</v>
          </cell>
          <cell r="I845">
            <v>0</v>
          </cell>
          <cell r="J845" t="str">
            <v>X</v>
          </cell>
          <cell r="K845" t="str">
            <v/>
          </cell>
          <cell r="L845" t="str">
            <v>01:05:00</v>
          </cell>
          <cell r="M845">
            <v>46029</v>
          </cell>
          <cell r="N845">
            <v>45343</v>
          </cell>
          <cell r="O845" t="str">
            <v>X</v>
          </cell>
          <cell r="P845" t="str">
            <v>2026</v>
          </cell>
          <cell r="Q845">
            <v>180</v>
          </cell>
          <cell r="R845" t="str">
            <v/>
          </cell>
        </row>
        <row r="846">
          <cell r="A846" t="str">
            <v>4036674</v>
          </cell>
          <cell r="B846" t="str">
            <v>3300</v>
          </cell>
          <cell r="C846" t="str">
            <v>3001</v>
          </cell>
          <cell r="D846" t="str">
            <v>DL</v>
          </cell>
          <cell r="E846" t="str">
            <v/>
          </cell>
          <cell r="F846" t="str">
            <v>2026</v>
          </cell>
          <cell r="G846" t="str">
            <v>2</v>
          </cell>
          <cell r="H846">
            <v>168</v>
          </cell>
          <cell r="I846">
            <v>0</v>
          </cell>
          <cell r="J846" t="str">
            <v>X</v>
          </cell>
          <cell r="K846" t="str">
            <v/>
          </cell>
          <cell r="L846" t="str">
            <v>11:12:03</v>
          </cell>
          <cell r="M846">
            <v>46030</v>
          </cell>
          <cell r="N846">
            <v>45345</v>
          </cell>
          <cell r="O846" t="str">
            <v>X</v>
          </cell>
          <cell r="P846" t="str">
            <v>2026</v>
          </cell>
          <cell r="Q846">
            <v>168</v>
          </cell>
          <cell r="R846" t="str">
            <v/>
          </cell>
        </row>
        <row r="847">
          <cell r="A847" t="str">
            <v>4036675</v>
          </cell>
          <cell r="B847" t="str">
            <v>3300</v>
          </cell>
          <cell r="C847" t="str">
            <v>3001</v>
          </cell>
          <cell r="D847" t="str">
            <v>DL</v>
          </cell>
          <cell r="E847" t="str">
            <v/>
          </cell>
          <cell r="F847" t="str">
            <v>2026</v>
          </cell>
          <cell r="G847" t="str">
            <v>2</v>
          </cell>
          <cell r="H847">
            <v>90</v>
          </cell>
          <cell r="I847">
            <v>0</v>
          </cell>
          <cell r="J847" t="str">
            <v>X</v>
          </cell>
          <cell r="K847" t="str">
            <v/>
          </cell>
          <cell r="L847" t="str">
            <v>11:07:03</v>
          </cell>
          <cell r="M847">
            <v>46030</v>
          </cell>
          <cell r="N847">
            <v>45345</v>
          </cell>
          <cell r="O847" t="str">
            <v>X</v>
          </cell>
          <cell r="P847" t="str">
            <v>2026</v>
          </cell>
          <cell r="Q847">
            <v>90</v>
          </cell>
          <cell r="R847" t="str">
            <v/>
          </cell>
        </row>
        <row r="848">
          <cell r="A848" t="str">
            <v>4036677</v>
          </cell>
          <cell r="B848" t="str">
            <v>3300</v>
          </cell>
          <cell r="C848" t="str">
            <v>3001</v>
          </cell>
          <cell r="D848" t="str">
            <v>DL</v>
          </cell>
          <cell r="E848" t="str">
            <v/>
          </cell>
          <cell r="F848" t="str">
            <v>2026</v>
          </cell>
          <cell r="G848" t="str">
            <v>2</v>
          </cell>
          <cell r="H848">
            <v>114</v>
          </cell>
          <cell r="I848">
            <v>0</v>
          </cell>
          <cell r="J848" t="str">
            <v>X</v>
          </cell>
          <cell r="K848" t="str">
            <v/>
          </cell>
          <cell r="L848" t="str">
            <v>11:11:01</v>
          </cell>
          <cell r="M848">
            <v>46030</v>
          </cell>
          <cell r="N848">
            <v>45345</v>
          </cell>
          <cell r="O848" t="str">
            <v>X</v>
          </cell>
          <cell r="P848" t="str">
            <v>2026</v>
          </cell>
          <cell r="Q848">
            <v>114</v>
          </cell>
          <cell r="R848" t="str">
            <v/>
          </cell>
        </row>
        <row r="849">
          <cell r="A849" t="str">
            <v>4036678</v>
          </cell>
          <cell r="B849" t="str">
            <v>3300</v>
          </cell>
          <cell r="C849" t="str">
            <v>3001</v>
          </cell>
          <cell r="D849" t="str">
            <v>DL</v>
          </cell>
          <cell r="E849" t="str">
            <v>X</v>
          </cell>
          <cell r="F849" t="str">
            <v>2024</v>
          </cell>
          <cell r="G849" t="str">
            <v>2</v>
          </cell>
          <cell r="H849">
            <v>0</v>
          </cell>
          <cell r="I849">
            <v>0</v>
          </cell>
          <cell r="J849" t="str">
            <v/>
          </cell>
          <cell r="K849" t="str">
            <v/>
          </cell>
          <cell r="L849" t="str">
            <v>SLETTET</v>
          </cell>
          <cell r="M849" t="str">
            <v/>
          </cell>
          <cell r="N849">
            <v>45345</v>
          </cell>
          <cell r="O849" t="str">
            <v>X</v>
          </cell>
          <cell r="P849" t="str">
            <v>2024</v>
          </cell>
          <cell r="Q849">
            <v>0</v>
          </cell>
          <cell r="R849" t="str">
            <v>INAKTIV</v>
          </cell>
        </row>
        <row r="850">
          <cell r="A850" t="str">
            <v>4036688</v>
          </cell>
          <cell r="B850" t="str">
            <v>3300</v>
          </cell>
          <cell r="C850" t="str">
            <v>3001</v>
          </cell>
          <cell r="D850" t="str">
            <v>DL</v>
          </cell>
          <cell r="E850" t="str">
            <v>X</v>
          </cell>
          <cell r="F850" t="str">
            <v>2024</v>
          </cell>
          <cell r="G850" t="str">
            <v>5</v>
          </cell>
          <cell r="H850">
            <v>0</v>
          </cell>
          <cell r="I850">
            <v>0</v>
          </cell>
          <cell r="J850" t="str">
            <v/>
          </cell>
          <cell r="K850" t="str">
            <v/>
          </cell>
          <cell r="L850" t="str">
            <v>SLETTET</v>
          </cell>
          <cell r="M850" t="str">
            <v/>
          </cell>
          <cell r="N850">
            <v>45436</v>
          </cell>
          <cell r="O850" t="str">
            <v>X</v>
          </cell>
          <cell r="P850" t="str">
            <v>2024</v>
          </cell>
          <cell r="Q850">
            <v>0</v>
          </cell>
          <cell r="R850" t="str">
            <v>INAKTIV</v>
          </cell>
        </row>
        <row r="851">
          <cell r="A851" t="str">
            <v>4036709</v>
          </cell>
          <cell r="B851" t="str">
            <v>3300</v>
          </cell>
          <cell r="C851" t="str">
            <v>3001</v>
          </cell>
          <cell r="D851" t="str">
            <v>DL</v>
          </cell>
          <cell r="E851" t="str">
            <v>X</v>
          </cell>
          <cell r="F851" t="str">
            <v>2024</v>
          </cell>
          <cell r="G851" t="str">
            <v>3</v>
          </cell>
          <cell r="H851">
            <v>0</v>
          </cell>
          <cell r="I851">
            <v>0</v>
          </cell>
          <cell r="J851" t="str">
            <v/>
          </cell>
          <cell r="K851" t="str">
            <v/>
          </cell>
          <cell r="L851" t="str">
            <v>SLETTET</v>
          </cell>
          <cell r="M851" t="str">
            <v/>
          </cell>
          <cell r="N851">
            <v>45352</v>
          </cell>
          <cell r="O851" t="str">
            <v>X</v>
          </cell>
          <cell r="P851" t="str">
            <v>2024</v>
          </cell>
          <cell r="Q851">
            <v>0</v>
          </cell>
          <cell r="R851" t="str">
            <v>INAKTIV</v>
          </cell>
        </row>
        <row r="852">
          <cell r="A852" t="str">
            <v>4036710</v>
          </cell>
          <cell r="B852" t="str">
            <v>3300</v>
          </cell>
          <cell r="C852" t="str">
            <v>3001</v>
          </cell>
          <cell r="D852" t="str">
            <v>DL</v>
          </cell>
          <cell r="E852" t="str">
            <v>X</v>
          </cell>
          <cell r="F852" t="str">
            <v>2024</v>
          </cell>
          <cell r="G852" t="str">
            <v>3</v>
          </cell>
          <cell r="H852">
            <v>0</v>
          </cell>
          <cell r="I852">
            <v>0</v>
          </cell>
          <cell r="J852" t="str">
            <v/>
          </cell>
          <cell r="K852" t="str">
            <v/>
          </cell>
          <cell r="L852" t="str">
            <v>SLETTET</v>
          </cell>
          <cell r="M852" t="str">
            <v/>
          </cell>
          <cell r="N852">
            <v>45352</v>
          </cell>
          <cell r="O852" t="str">
            <v>X</v>
          </cell>
          <cell r="P852" t="str">
            <v>2024</v>
          </cell>
          <cell r="Q852">
            <v>0</v>
          </cell>
          <cell r="R852" t="str">
            <v>INAKTIV</v>
          </cell>
        </row>
        <row r="853">
          <cell r="A853" t="str">
            <v>4036711</v>
          </cell>
          <cell r="B853" t="str">
            <v>3300</v>
          </cell>
          <cell r="C853" t="str">
            <v>3001</v>
          </cell>
          <cell r="D853" t="str">
            <v>DL</v>
          </cell>
          <cell r="E853" t="str">
            <v>X</v>
          </cell>
          <cell r="F853" t="str">
            <v>2024</v>
          </cell>
          <cell r="G853" t="str">
            <v>3</v>
          </cell>
          <cell r="H853">
            <v>0</v>
          </cell>
          <cell r="I853">
            <v>0</v>
          </cell>
          <cell r="J853" t="str">
            <v/>
          </cell>
          <cell r="K853" t="str">
            <v/>
          </cell>
          <cell r="L853" t="str">
            <v>SLETTET</v>
          </cell>
          <cell r="M853" t="str">
            <v/>
          </cell>
          <cell r="N853">
            <v>45352</v>
          </cell>
          <cell r="O853" t="str">
            <v>X</v>
          </cell>
          <cell r="P853" t="str">
            <v>2024</v>
          </cell>
          <cell r="Q853">
            <v>0</v>
          </cell>
          <cell r="R853" t="str">
            <v>INAKTIV</v>
          </cell>
        </row>
        <row r="854">
          <cell r="A854" t="str">
            <v>4036744</v>
          </cell>
          <cell r="B854" t="str">
            <v>3300</v>
          </cell>
          <cell r="C854" t="str">
            <v>3001</v>
          </cell>
          <cell r="D854" t="str">
            <v>DL</v>
          </cell>
          <cell r="E854" t="str">
            <v/>
          </cell>
          <cell r="F854" t="str">
            <v>2026</v>
          </cell>
          <cell r="G854" t="str">
            <v>2</v>
          </cell>
          <cell r="H854">
            <v>200</v>
          </cell>
          <cell r="I854">
            <v>0</v>
          </cell>
          <cell r="J854" t="str">
            <v>X</v>
          </cell>
          <cell r="K854" t="str">
            <v/>
          </cell>
          <cell r="L854" t="str">
            <v>10:01:03</v>
          </cell>
          <cell r="M854">
            <v>46030</v>
          </cell>
          <cell r="N854">
            <v>45370</v>
          </cell>
          <cell r="O854" t="str">
            <v>X</v>
          </cell>
          <cell r="P854" t="str">
            <v>2026</v>
          </cell>
          <cell r="Q854">
            <v>200</v>
          </cell>
          <cell r="R854" t="str">
            <v/>
          </cell>
        </row>
        <row r="855">
          <cell r="A855" t="str">
            <v>4036755</v>
          </cell>
          <cell r="B855" t="str">
            <v>3300</v>
          </cell>
          <cell r="C855" t="str">
            <v>3001</v>
          </cell>
          <cell r="D855" t="str">
            <v>DL</v>
          </cell>
          <cell r="E855" t="str">
            <v/>
          </cell>
          <cell r="F855" t="str">
            <v>2026</v>
          </cell>
          <cell r="G855" t="str">
            <v>2</v>
          </cell>
          <cell r="H855">
            <v>504</v>
          </cell>
          <cell r="I855">
            <v>0</v>
          </cell>
          <cell r="J855" t="str">
            <v>X</v>
          </cell>
          <cell r="K855" t="str">
            <v/>
          </cell>
          <cell r="L855" t="str">
            <v>01:01:00</v>
          </cell>
          <cell r="M855">
            <v>45792</v>
          </cell>
          <cell r="N855">
            <v>45387</v>
          </cell>
          <cell r="O855" t="str">
            <v>X</v>
          </cell>
          <cell r="P855" t="str">
            <v>2025</v>
          </cell>
          <cell r="Q855">
            <v>504</v>
          </cell>
          <cell r="R855" t="str">
            <v/>
          </cell>
        </row>
        <row r="856">
          <cell r="A856" t="str">
            <v>4036756</v>
          </cell>
          <cell r="B856" t="str">
            <v>3300</v>
          </cell>
          <cell r="C856" t="str">
            <v>3001</v>
          </cell>
          <cell r="D856" t="str">
            <v>DL</v>
          </cell>
          <cell r="E856" t="str">
            <v/>
          </cell>
          <cell r="F856" t="str">
            <v>2024</v>
          </cell>
          <cell r="G856" t="str">
            <v>4</v>
          </cell>
          <cell r="H856">
            <v>0</v>
          </cell>
          <cell r="I856">
            <v>0</v>
          </cell>
          <cell r="J856" t="str">
            <v/>
          </cell>
          <cell r="K856" t="str">
            <v/>
          </cell>
          <cell r="L856" t="str">
            <v/>
          </cell>
          <cell r="M856" t="str">
            <v/>
          </cell>
          <cell r="N856">
            <v>45387</v>
          </cell>
          <cell r="O856" t="str">
            <v>X</v>
          </cell>
          <cell r="P856" t="str">
            <v>2024</v>
          </cell>
          <cell r="Q856">
            <v>0</v>
          </cell>
          <cell r="R856" t="str">
            <v>INAKTIV</v>
          </cell>
        </row>
        <row r="857">
          <cell r="A857" t="str">
            <v>4036757</v>
          </cell>
          <cell r="B857" t="str">
            <v>3300</v>
          </cell>
          <cell r="C857" t="str">
            <v>3001</v>
          </cell>
          <cell r="D857" t="str">
            <v>DL</v>
          </cell>
          <cell r="E857" t="str">
            <v/>
          </cell>
          <cell r="F857" t="str">
            <v>2026</v>
          </cell>
          <cell r="G857" t="str">
            <v>2</v>
          </cell>
          <cell r="H857">
            <v>396</v>
          </cell>
          <cell r="I857">
            <v>0</v>
          </cell>
          <cell r="J857" t="str">
            <v>X</v>
          </cell>
          <cell r="K857" t="str">
            <v/>
          </cell>
          <cell r="L857" t="str">
            <v>01:01:00</v>
          </cell>
          <cell r="M857">
            <v>45792</v>
          </cell>
          <cell r="N857">
            <v>45387</v>
          </cell>
          <cell r="O857" t="str">
            <v>X</v>
          </cell>
          <cell r="P857" t="str">
            <v>2025</v>
          </cell>
          <cell r="Q857">
            <v>396</v>
          </cell>
          <cell r="R857" t="str">
            <v/>
          </cell>
        </row>
        <row r="858">
          <cell r="A858" t="str">
            <v>4036758</v>
          </cell>
          <cell r="B858" t="str">
            <v>3300</v>
          </cell>
          <cell r="C858" t="str">
            <v>3001</v>
          </cell>
          <cell r="D858" t="str">
            <v>DL</v>
          </cell>
          <cell r="E858" t="str">
            <v/>
          </cell>
          <cell r="F858" t="str">
            <v>2026</v>
          </cell>
          <cell r="G858" t="str">
            <v>2</v>
          </cell>
          <cell r="H858">
            <v>252</v>
          </cell>
          <cell r="I858">
            <v>0</v>
          </cell>
          <cell r="J858" t="str">
            <v>X</v>
          </cell>
          <cell r="K858" t="str">
            <v/>
          </cell>
          <cell r="L858" t="str">
            <v>01;04:00</v>
          </cell>
          <cell r="M858">
            <v>45792</v>
          </cell>
          <cell r="N858">
            <v>45387</v>
          </cell>
          <cell r="O858" t="str">
            <v>X</v>
          </cell>
          <cell r="P858" t="str">
            <v>2025</v>
          </cell>
          <cell r="Q858">
            <v>252</v>
          </cell>
          <cell r="R858" t="str">
            <v/>
          </cell>
        </row>
        <row r="859">
          <cell r="A859" t="str">
            <v>4036771</v>
          </cell>
          <cell r="B859" t="str">
            <v>3300</v>
          </cell>
          <cell r="C859" t="str">
            <v>3001</v>
          </cell>
          <cell r="D859" t="str">
            <v>DL</v>
          </cell>
          <cell r="E859" t="str">
            <v/>
          </cell>
          <cell r="F859" t="str">
            <v>2025</v>
          </cell>
          <cell r="G859" t="str">
            <v>11</v>
          </cell>
          <cell r="H859">
            <v>84</v>
          </cell>
          <cell r="I859">
            <v>0</v>
          </cell>
          <cell r="J859" t="str">
            <v>X</v>
          </cell>
          <cell r="K859" t="str">
            <v/>
          </cell>
          <cell r="L859" t="str">
            <v>01:05;03</v>
          </cell>
          <cell r="M859">
            <v>46029</v>
          </cell>
          <cell r="N859">
            <v>45393</v>
          </cell>
          <cell r="O859" t="str">
            <v>X</v>
          </cell>
          <cell r="P859" t="str">
            <v>2026</v>
          </cell>
          <cell r="Q859">
            <v>84</v>
          </cell>
          <cell r="R859" t="str">
            <v/>
          </cell>
        </row>
        <row r="860">
          <cell r="A860" t="str">
            <v>4036772</v>
          </cell>
          <cell r="B860" t="str">
            <v>3300</v>
          </cell>
          <cell r="C860" t="str">
            <v>3001</v>
          </cell>
          <cell r="D860" t="str">
            <v>DL</v>
          </cell>
          <cell r="E860" t="str">
            <v/>
          </cell>
          <cell r="F860" t="str">
            <v>2026</v>
          </cell>
          <cell r="G860" t="str">
            <v>2</v>
          </cell>
          <cell r="H860">
            <v>360</v>
          </cell>
          <cell r="I860">
            <v>0</v>
          </cell>
          <cell r="J860" t="str">
            <v>X</v>
          </cell>
          <cell r="K860" t="str">
            <v/>
          </cell>
          <cell r="L860" t="str">
            <v>01:04:00</v>
          </cell>
          <cell r="M860">
            <v>46029</v>
          </cell>
          <cell r="N860">
            <v>45393</v>
          </cell>
          <cell r="O860" t="str">
            <v>X</v>
          </cell>
          <cell r="P860" t="str">
            <v>2026</v>
          </cell>
          <cell r="Q860">
            <v>360</v>
          </cell>
          <cell r="R860" t="str">
            <v/>
          </cell>
        </row>
        <row r="861">
          <cell r="A861" t="str">
            <v>4036775</v>
          </cell>
          <cell r="B861" t="str">
            <v>3300</v>
          </cell>
          <cell r="C861" t="str">
            <v>3001</v>
          </cell>
          <cell r="D861" t="str">
            <v>DL</v>
          </cell>
          <cell r="E861" t="str">
            <v/>
          </cell>
          <cell r="F861" t="str">
            <v>2024</v>
          </cell>
          <cell r="G861" t="str">
            <v>4</v>
          </cell>
          <cell r="H861">
            <v>0</v>
          </cell>
          <cell r="I861">
            <v>0</v>
          </cell>
          <cell r="J861" t="str">
            <v/>
          </cell>
          <cell r="K861" t="str">
            <v/>
          </cell>
          <cell r="L861" t="str">
            <v/>
          </cell>
          <cell r="M861" t="str">
            <v/>
          </cell>
          <cell r="N861">
            <v>45393</v>
          </cell>
          <cell r="O861" t="str">
            <v>X</v>
          </cell>
          <cell r="P861" t="str">
            <v>2024</v>
          </cell>
          <cell r="Q861">
            <v>0</v>
          </cell>
          <cell r="R861" t="str">
            <v>INAKTIV</v>
          </cell>
        </row>
        <row r="862">
          <cell r="A862" t="str">
            <v>4036776</v>
          </cell>
          <cell r="B862" t="str">
            <v>3300</v>
          </cell>
          <cell r="C862" t="str">
            <v>3001</v>
          </cell>
          <cell r="D862" t="str">
            <v>DL</v>
          </cell>
          <cell r="E862" t="str">
            <v/>
          </cell>
          <cell r="F862" t="str">
            <v>2024</v>
          </cell>
          <cell r="G862" t="str">
            <v>4</v>
          </cell>
          <cell r="H862">
            <v>0</v>
          </cell>
          <cell r="I862">
            <v>0</v>
          </cell>
          <cell r="J862" t="str">
            <v/>
          </cell>
          <cell r="K862" t="str">
            <v/>
          </cell>
          <cell r="L862" t="str">
            <v/>
          </cell>
          <cell r="M862" t="str">
            <v/>
          </cell>
          <cell r="N862">
            <v>45393</v>
          </cell>
          <cell r="O862" t="str">
            <v>X</v>
          </cell>
          <cell r="P862" t="str">
            <v>2024</v>
          </cell>
          <cell r="Q862">
            <v>0</v>
          </cell>
          <cell r="R862" t="str">
            <v>INAKTIV</v>
          </cell>
        </row>
        <row r="863">
          <cell r="A863" t="str">
            <v>4036777</v>
          </cell>
          <cell r="B863" t="str">
            <v>3300</v>
          </cell>
          <cell r="C863" t="str">
            <v>3001</v>
          </cell>
          <cell r="D863" t="str">
            <v>DL</v>
          </cell>
          <cell r="E863" t="str">
            <v/>
          </cell>
          <cell r="F863" t="str">
            <v>2026</v>
          </cell>
          <cell r="G863" t="str">
            <v>2</v>
          </cell>
          <cell r="H863">
            <v>540</v>
          </cell>
          <cell r="I863">
            <v>0</v>
          </cell>
          <cell r="J863" t="str">
            <v>X</v>
          </cell>
          <cell r="K863" t="str">
            <v/>
          </cell>
          <cell r="L863" t="str">
            <v>01:03:01</v>
          </cell>
          <cell r="M863">
            <v>46029</v>
          </cell>
          <cell r="N863">
            <v>45393</v>
          </cell>
          <cell r="O863" t="str">
            <v>X</v>
          </cell>
          <cell r="P863" t="str">
            <v>2026</v>
          </cell>
          <cell r="Q863">
            <v>540</v>
          </cell>
          <cell r="R863" t="str">
            <v/>
          </cell>
        </row>
        <row r="864">
          <cell r="A864" t="str">
            <v>4036778</v>
          </cell>
          <cell r="B864" t="str">
            <v>3300</v>
          </cell>
          <cell r="C864" t="str">
            <v>3001</v>
          </cell>
          <cell r="D864" t="str">
            <v>DL</v>
          </cell>
          <cell r="E864" t="str">
            <v/>
          </cell>
          <cell r="F864" t="str">
            <v>2026</v>
          </cell>
          <cell r="G864" t="str">
            <v>2</v>
          </cell>
          <cell r="H864">
            <v>612</v>
          </cell>
          <cell r="I864">
            <v>0</v>
          </cell>
          <cell r="J864" t="str">
            <v>X</v>
          </cell>
          <cell r="K864" t="str">
            <v/>
          </cell>
          <cell r="L864" t="str">
            <v>01:03:00</v>
          </cell>
          <cell r="M864">
            <v>46029</v>
          </cell>
          <cell r="N864">
            <v>45393</v>
          </cell>
          <cell r="O864" t="str">
            <v>X</v>
          </cell>
          <cell r="P864" t="str">
            <v>2026</v>
          </cell>
          <cell r="Q864">
            <v>612</v>
          </cell>
          <cell r="R864" t="str">
            <v/>
          </cell>
        </row>
        <row r="865">
          <cell r="A865" t="str">
            <v>4036779</v>
          </cell>
          <cell r="B865" t="str">
            <v>3300</v>
          </cell>
          <cell r="C865" t="str">
            <v>3001</v>
          </cell>
          <cell r="D865" t="str">
            <v>DL</v>
          </cell>
          <cell r="E865" t="str">
            <v/>
          </cell>
          <cell r="F865" t="str">
            <v>2026</v>
          </cell>
          <cell r="G865" t="str">
            <v>2</v>
          </cell>
          <cell r="H865">
            <v>180</v>
          </cell>
          <cell r="I865">
            <v>0</v>
          </cell>
          <cell r="J865" t="str">
            <v>X</v>
          </cell>
          <cell r="K865" t="str">
            <v/>
          </cell>
          <cell r="L865" t="str">
            <v>01:05;03</v>
          </cell>
          <cell r="M865">
            <v>46029</v>
          </cell>
          <cell r="N865">
            <v>45393</v>
          </cell>
          <cell r="O865" t="str">
            <v>X</v>
          </cell>
          <cell r="P865" t="str">
            <v>2026</v>
          </cell>
          <cell r="Q865">
            <v>180</v>
          </cell>
          <cell r="R865" t="str">
            <v/>
          </cell>
        </row>
        <row r="866">
          <cell r="A866" t="str">
            <v>4036780</v>
          </cell>
          <cell r="B866" t="str">
            <v>3300</v>
          </cell>
          <cell r="C866" t="str">
            <v>3001</v>
          </cell>
          <cell r="D866" t="str">
            <v>DL</v>
          </cell>
          <cell r="E866" t="str">
            <v/>
          </cell>
          <cell r="F866" t="str">
            <v>2026</v>
          </cell>
          <cell r="G866" t="str">
            <v>3</v>
          </cell>
          <cell r="H866">
            <v>1836</v>
          </cell>
          <cell r="I866">
            <v>0</v>
          </cell>
          <cell r="J866" t="str">
            <v>X</v>
          </cell>
          <cell r="K866" t="str">
            <v/>
          </cell>
          <cell r="L866" t="str">
            <v>01:05:00</v>
          </cell>
          <cell r="M866">
            <v>46029</v>
          </cell>
          <cell r="N866">
            <v>45393</v>
          </cell>
          <cell r="O866" t="str">
            <v>X</v>
          </cell>
          <cell r="P866" t="str">
            <v>2026</v>
          </cell>
          <cell r="Q866">
            <v>1836</v>
          </cell>
          <cell r="R866" t="str">
            <v/>
          </cell>
        </row>
        <row r="867">
          <cell r="A867" t="str">
            <v>4036781</v>
          </cell>
          <cell r="B867" t="str">
            <v>3300</v>
          </cell>
          <cell r="C867" t="str">
            <v>3001</v>
          </cell>
          <cell r="D867" t="str">
            <v>DL</v>
          </cell>
          <cell r="E867" t="str">
            <v/>
          </cell>
          <cell r="F867" t="str">
            <v>2024</v>
          </cell>
          <cell r="G867" t="str">
            <v>4</v>
          </cell>
          <cell r="H867">
            <v>0</v>
          </cell>
          <cell r="I867">
            <v>0</v>
          </cell>
          <cell r="J867" t="str">
            <v/>
          </cell>
          <cell r="K867" t="str">
            <v/>
          </cell>
          <cell r="L867" t="str">
            <v/>
          </cell>
          <cell r="M867" t="str">
            <v/>
          </cell>
          <cell r="N867">
            <v>45393</v>
          </cell>
          <cell r="O867" t="str">
            <v>X</v>
          </cell>
          <cell r="P867" t="str">
            <v>2024</v>
          </cell>
          <cell r="Q867">
            <v>0</v>
          </cell>
          <cell r="R867" t="str">
            <v>INAKTIV</v>
          </cell>
        </row>
        <row r="868">
          <cell r="A868" t="str">
            <v>4036782</v>
          </cell>
          <cell r="B868" t="str">
            <v>3300</v>
          </cell>
          <cell r="C868" t="str">
            <v>3001</v>
          </cell>
          <cell r="D868" t="str">
            <v>DL</v>
          </cell>
          <cell r="E868" t="str">
            <v>X</v>
          </cell>
          <cell r="F868" t="str">
            <v>2024</v>
          </cell>
          <cell r="G868" t="str">
            <v>4</v>
          </cell>
          <cell r="H868">
            <v>0</v>
          </cell>
          <cell r="I868">
            <v>0</v>
          </cell>
          <cell r="J868" t="str">
            <v/>
          </cell>
          <cell r="K868" t="str">
            <v/>
          </cell>
          <cell r="L868" t="str">
            <v>SLETTET</v>
          </cell>
          <cell r="M868" t="str">
            <v/>
          </cell>
          <cell r="N868">
            <v>45393</v>
          </cell>
          <cell r="O868" t="str">
            <v>X</v>
          </cell>
          <cell r="P868" t="str">
            <v>2024</v>
          </cell>
          <cell r="Q868">
            <v>0</v>
          </cell>
          <cell r="R868" t="str">
            <v>INAKTIV</v>
          </cell>
        </row>
        <row r="869">
          <cell r="A869" t="str">
            <v>4036783</v>
          </cell>
          <cell r="B869" t="str">
            <v>3300</v>
          </cell>
          <cell r="C869" t="str">
            <v>3001</v>
          </cell>
          <cell r="D869" t="str">
            <v>DL</v>
          </cell>
          <cell r="E869" t="str">
            <v/>
          </cell>
          <cell r="F869" t="str">
            <v>2024</v>
          </cell>
          <cell r="G869" t="str">
            <v>4</v>
          </cell>
          <cell r="H869">
            <v>0</v>
          </cell>
          <cell r="I869">
            <v>0</v>
          </cell>
          <cell r="J869" t="str">
            <v/>
          </cell>
          <cell r="K869" t="str">
            <v/>
          </cell>
          <cell r="L869" t="str">
            <v/>
          </cell>
          <cell r="M869" t="str">
            <v/>
          </cell>
          <cell r="N869">
            <v>45393</v>
          </cell>
          <cell r="O869" t="str">
            <v>X</v>
          </cell>
          <cell r="P869" t="str">
            <v>2024</v>
          </cell>
          <cell r="Q869">
            <v>0</v>
          </cell>
          <cell r="R869" t="str">
            <v>INAKTIV</v>
          </cell>
        </row>
        <row r="870">
          <cell r="A870" t="str">
            <v>4038549</v>
          </cell>
          <cell r="B870" t="str">
            <v>3300</v>
          </cell>
          <cell r="C870" t="str">
            <v>3001</v>
          </cell>
          <cell r="D870" t="str">
            <v>DL</v>
          </cell>
          <cell r="E870" t="str">
            <v/>
          </cell>
          <cell r="F870" t="str">
            <v>2024</v>
          </cell>
          <cell r="G870" t="str">
            <v>5</v>
          </cell>
          <cell r="H870">
            <v>0</v>
          </cell>
          <cell r="I870">
            <v>0</v>
          </cell>
          <cell r="J870" t="str">
            <v/>
          </cell>
          <cell r="K870" t="str">
            <v/>
          </cell>
          <cell r="L870" t="str">
            <v/>
          </cell>
          <cell r="M870" t="str">
            <v/>
          </cell>
          <cell r="N870">
            <v>45428</v>
          </cell>
          <cell r="O870" t="str">
            <v>X</v>
          </cell>
          <cell r="P870" t="str">
            <v>2024</v>
          </cell>
          <cell r="Q870">
            <v>0</v>
          </cell>
          <cell r="R870" t="str">
            <v>INAKTIV</v>
          </cell>
        </row>
        <row r="871">
          <cell r="A871" t="str">
            <v>4038550</v>
          </cell>
          <cell r="B871" t="str">
            <v>3300</v>
          </cell>
          <cell r="C871" t="str">
            <v>3001</v>
          </cell>
          <cell r="D871" t="str">
            <v>DL</v>
          </cell>
          <cell r="E871" t="str">
            <v/>
          </cell>
          <cell r="F871" t="str">
            <v>2024</v>
          </cell>
          <cell r="G871" t="str">
            <v>5</v>
          </cell>
          <cell r="H871">
            <v>0</v>
          </cell>
          <cell r="I871">
            <v>0</v>
          </cell>
          <cell r="J871" t="str">
            <v/>
          </cell>
          <cell r="K871" t="str">
            <v/>
          </cell>
          <cell r="L871" t="str">
            <v>SLETTET</v>
          </cell>
          <cell r="M871" t="str">
            <v/>
          </cell>
          <cell r="N871">
            <v>45428</v>
          </cell>
          <cell r="O871" t="str">
            <v>X</v>
          </cell>
          <cell r="P871" t="str">
            <v>2024</v>
          </cell>
          <cell r="Q871">
            <v>0</v>
          </cell>
          <cell r="R871" t="str">
            <v>INAKTIV</v>
          </cell>
        </row>
        <row r="872">
          <cell r="A872" t="str">
            <v>4038551</v>
          </cell>
          <cell r="B872" t="str">
            <v>3300</v>
          </cell>
          <cell r="C872" t="str">
            <v>3001</v>
          </cell>
          <cell r="D872" t="str">
            <v>DL</v>
          </cell>
          <cell r="E872" t="str">
            <v/>
          </cell>
          <cell r="F872" t="str">
            <v>2024</v>
          </cell>
          <cell r="G872" t="str">
            <v>5</v>
          </cell>
          <cell r="H872">
            <v>0</v>
          </cell>
          <cell r="I872">
            <v>0</v>
          </cell>
          <cell r="J872" t="str">
            <v/>
          </cell>
          <cell r="K872" t="str">
            <v/>
          </cell>
          <cell r="L872" t="str">
            <v/>
          </cell>
          <cell r="M872" t="str">
            <v/>
          </cell>
          <cell r="N872">
            <v>45428</v>
          </cell>
          <cell r="O872" t="str">
            <v>X</v>
          </cell>
          <cell r="P872" t="str">
            <v>2024</v>
          </cell>
          <cell r="Q872">
            <v>0</v>
          </cell>
          <cell r="R872" t="str">
            <v>INAKTIV</v>
          </cell>
        </row>
        <row r="873">
          <cell r="A873" t="str">
            <v>4038552</v>
          </cell>
          <cell r="B873" t="str">
            <v>3300</v>
          </cell>
          <cell r="C873" t="str">
            <v>3001</v>
          </cell>
          <cell r="D873" t="str">
            <v>DL</v>
          </cell>
          <cell r="E873" t="str">
            <v/>
          </cell>
          <cell r="F873" t="str">
            <v>2026</v>
          </cell>
          <cell r="G873" t="str">
            <v>2</v>
          </cell>
          <cell r="H873">
            <v>42</v>
          </cell>
          <cell r="I873">
            <v>0</v>
          </cell>
          <cell r="J873" t="str">
            <v>X</v>
          </cell>
          <cell r="K873" t="str">
            <v/>
          </cell>
          <cell r="L873" t="str">
            <v>12:06:02</v>
          </cell>
          <cell r="M873">
            <v>46030</v>
          </cell>
          <cell r="N873">
            <v>45428</v>
          </cell>
          <cell r="O873" t="str">
            <v>X</v>
          </cell>
          <cell r="P873" t="str">
            <v>2026</v>
          </cell>
          <cell r="Q873">
            <v>42</v>
          </cell>
          <cell r="R873" t="str">
            <v/>
          </cell>
        </row>
        <row r="874">
          <cell r="A874" t="str">
            <v>4038553</v>
          </cell>
          <cell r="B874" t="str">
            <v>3300</v>
          </cell>
          <cell r="C874" t="str">
            <v>3001</v>
          </cell>
          <cell r="D874" t="str">
            <v>DL</v>
          </cell>
          <cell r="E874" t="str">
            <v/>
          </cell>
          <cell r="F874" t="str">
            <v>2026</v>
          </cell>
          <cell r="G874" t="str">
            <v>2</v>
          </cell>
          <cell r="H874">
            <v>140</v>
          </cell>
          <cell r="I874">
            <v>0</v>
          </cell>
          <cell r="J874" t="str">
            <v>X</v>
          </cell>
          <cell r="K874" t="str">
            <v/>
          </cell>
          <cell r="L874" t="str">
            <v>14:11:00</v>
          </cell>
          <cell r="M874">
            <v>46030</v>
          </cell>
          <cell r="N874">
            <v>45428</v>
          </cell>
          <cell r="O874" t="str">
            <v>X</v>
          </cell>
          <cell r="P874" t="str">
            <v>2026</v>
          </cell>
          <cell r="Q874">
            <v>140</v>
          </cell>
          <cell r="R874" t="str">
            <v/>
          </cell>
        </row>
        <row r="875">
          <cell r="A875" t="str">
            <v>4038554</v>
          </cell>
          <cell r="B875" t="str">
            <v>3300</v>
          </cell>
          <cell r="C875" t="str">
            <v>3001</v>
          </cell>
          <cell r="D875" t="str">
            <v>DL</v>
          </cell>
          <cell r="E875" t="str">
            <v/>
          </cell>
          <cell r="F875" t="str">
            <v>2024</v>
          </cell>
          <cell r="G875" t="str">
            <v>5</v>
          </cell>
          <cell r="H875">
            <v>0</v>
          </cell>
          <cell r="I875">
            <v>0</v>
          </cell>
          <cell r="J875" t="str">
            <v/>
          </cell>
          <cell r="K875" t="str">
            <v/>
          </cell>
          <cell r="L875" t="str">
            <v/>
          </cell>
          <cell r="M875" t="str">
            <v/>
          </cell>
          <cell r="N875">
            <v>45428</v>
          </cell>
          <cell r="O875" t="str">
            <v>X</v>
          </cell>
          <cell r="P875" t="str">
            <v>2024</v>
          </cell>
          <cell r="Q875">
            <v>0</v>
          </cell>
          <cell r="R875" t="str">
            <v>INAKTIV</v>
          </cell>
        </row>
        <row r="876">
          <cell r="A876" t="str">
            <v>4038555</v>
          </cell>
          <cell r="B876" t="str">
            <v>3300</v>
          </cell>
          <cell r="C876" t="str">
            <v>3001</v>
          </cell>
          <cell r="D876" t="str">
            <v>L</v>
          </cell>
          <cell r="E876" t="str">
            <v/>
          </cell>
          <cell r="F876" t="str">
            <v>2026</v>
          </cell>
          <cell r="G876" t="str">
            <v>2</v>
          </cell>
          <cell r="H876">
            <v>100</v>
          </cell>
          <cell r="I876">
            <v>0</v>
          </cell>
          <cell r="J876" t="str">
            <v>X</v>
          </cell>
          <cell r="K876" t="str">
            <v/>
          </cell>
          <cell r="L876" t="str">
            <v>09:08:01</v>
          </cell>
          <cell r="M876">
            <v>46030</v>
          </cell>
          <cell r="N876">
            <v>45435</v>
          </cell>
          <cell r="O876" t="str">
            <v>X</v>
          </cell>
          <cell r="P876" t="str">
            <v>2026</v>
          </cell>
          <cell r="Q876">
            <v>100</v>
          </cell>
          <cell r="R876" t="str">
            <v/>
          </cell>
        </row>
        <row r="877">
          <cell r="A877" t="str">
            <v>4038556</v>
          </cell>
          <cell r="B877" t="str">
            <v>3300</v>
          </cell>
          <cell r="C877" t="str">
            <v>3001</v>
          </cell>
          <cell r="D877" t="str">
            <v>L</v>
          </cell>
          <cell r="E877" t="str">
            <v/>
          </cell>
          <cell r="F877" t="str">
            <v>2024</v>
          </cell>
          <cell r="G877" t="str">
            <v>5</v>
          </cell>
          <cell r="H877">
            <v>0</v>
          </cell>
          <cell r="I877">
            <v>0</v>
          </cell>
          <cell r="J877" t="str">
            <v/>
          </cell>
          <cell r="K877" t="str">
            <v/>
          </cell>
          <cell r="L877" t="str">
            <v/>
          </cell>
          <cell r="M877" t="str">
            <v/>
          </cell>
          <cell r="N877">
            <v>45435</v>
          </cell>
          <cell r="O877" t="str">
            <v>X</v>
          </cell>
          <cell r="P877" t="str">
            <v>2024</v>
          </cell>
          <cell r="Q877">
            <v>0</v>
          </cell>
          <cell r="R877" t="str">
            <v>INAKTIV</v>
          </cell>
        </row>
        <row r="878">
          <cell r="A878" t="str">
            <v>4038557</v>
          </cell>
          <cell r="B878" t="str">
            <v>3300</v>
          </cell>
          <cell r="C878" t="str">
            <v>3001</v>
          </cell>
          <cell r="D878" t="str">
            <v>L</v>
          </cell>
          <cell r="E878" t="str">
            <v/>
          </cell>
          <cell r="F878" t="str">
            <v>2024</v>
          </cell>
          <cell r="G878" t="str">
            <v>5</v>
          </cell>
          <cell r="H878">
            <v>0</v>
          </cell>
          <cell r="I878">
            <v>0</v>
          </cell>
          <cell r="J878" t="str">
            <v/>
          </cell>
          <cell r="K878" t="str">
            <v/>
          </cell>
          <cell r="L878" t="str">
            <v/>
          </cell>
          <cell r="M878" t="str">
            <v/>
          </cell>
          <cell r="N878">
            <v>45435</v>
          </cell>
          <cell r="O878" t="str">
            <v>X</v>
          </cell>
          <cell r="P878" t="str">
            <v>2024</v>
          </cell>
          <cell r="Q878">
            <v>0</v>
          </cell>
          <cell r="R878" t="str">
            <v>INAKTIV</v>
          </cell>
        </row>
        <row r="879">
          <cell r="A879" t="str">
            <v>4038558</v>
          </cell>
          <cell r="B879" t="str">
            <v>3300</v>
          </cell>
          <cell r="C879" t="str">
            <v>3001</v>
          </cell>
          <cell r="D879" t="str">
            <v>L</v>
          </cell>
          <cell r="E879" t="str">
            <v/>
          </cell>
          <cell r="F879" t="str">
            <v>2026</v>
          </cell>
          <cell r="G879" t="str">
            <v>2</v>
          </cell>
          <cell r="H879">
            <v>175</v>
          </cell>
          <cell r="I879">
            <v>0</v>
          </cell>
          <cell r="J879" t="str">
            <v>X</v>
          </cell>
          <cell r="K879" t="str">
            <v/>
          </cell>
          <cell r="L879" t="str">
            <v>09:08:02</v>
          </cell>
          <cell r="M879">
            <v>46030</v>
          </cell>
          <cell r="N879">
            <v>45435</v>
          </cell>
          <cell r="O879" t="str">
            <v>X</v>
          </cell>
          <cell r="P879" t="str">
            <v>2026</v>
          </cell>
          <cell r="Q879">
            <v>175</v>
          </cell>
          <cell r="R879" t="str">
            <v/>
          </cell>
        </row>
        <row r="880">
          <cell r="A880" t="str">
            <v>4038559</v>
          </cell>
          <cell r="B880" t="str">
            <v>3300</v>
          </cell>
          <cell r="C880" t="str">
            <v>3001</v>
          </cell>
          <cell r="D880" t="str">
            <v>L</v>
          </cell>
          <cell r="E880" t="str">
            <v/>
          </cell>
          <cell r="F880" t="str">
            <v>2026</v>
          </cell>
          <cell r="G880" t="str">
            <v>2</v>
          </cell>
          <cell r="H880">
            <v>96</v>
          </cell>
          <cell r="I880">
            <v>0</v>
          </cell>
          <cell r="J880" t="str">
            <v>X</v>
          </cell>
          <cell r="K880" t="str">
            <v/>
          </cell>
          <cell r="L880" t="str">
            <v>09:07:00</v>
          </cell>
          <cell r="M880">
            <v>46030</v>
          </cell>
          <cell r="N880">
            <v>45435</v>
          </cell>
          <cell r="O880" t="str">
            <v>X</v>
          </cell>
          <cell r="P880" t="str">
            <v>2026</v>
          </cell>
          <cell r="Q880">
            <v>96</v>
          </cell>
          <cell r="R880" t="str">
            <v/>
          </cell>
        </row>
        <row r="881">
          <cell r="A881" t="str">
            <v>4038560</v>
          </cell>
          <cell r="B881" t="str">
            <v>3300</v>
          </cell>
          <cell r="C881" t="str">
            <v>3001</v>
          </cell>
          <cell r="D881" t="str">
            <v>L</v>
          </cell>
          <cell r="E881" t="str">
            <v/>
          </cell>
          <cell r="F881" t="str">
            <v>2026</v>
          </cell>
          <cell r="G881" t="str">
            <v>2</v>
          </cell>
          <cell r="H881">
            <v>408</v>
          </cell>
          <cell r="I881">
            <v>0</v>
          </cell>
          <cell r="J881" t="str">
            <v>X</v>
          </cell>
          <cell r="K881" t="str">
            <v/>
          </cell>
          <cell r="L881" t="str">
            <v>12:02:03</v>
          </cell>
          <cell r="M881">
            <v>46030</v>
          </cell>
          <cell r="N881">
            <v>45435</v>
          </cell>
          <cell r="O881" t="str">
            <v>X</v>
          </cell>
          <cell r="P881" t="str">
            <v>2026</v>
          </cell>
          <cell r="Q881">
            <v>408</v>
          </cell>
          <cell r="R881" t="str">
            <v/>
          </cell>
        </row>
        <row r="882">
          <cell r="A882" t="str">
            <v>4038561</v>
          </cell>
          <cell r="B882" t="str">
            <v>3300</v>
          </cell>
          <cell r="C882" t="str">
            <v>3001</v>
          </cell>
          <cell r="D882" t="str">
            <v>L</v>
          </cell>
          <cell r="E882" t="str">
            <v/>
          </cell>
          <cell r="F882" t="str">
            <v>2024</v>
          </cell>
          <cell r="G882" t="str">
            <v>5</v>
          </cell>
          <cell r="H882">
            <v>0</v>
          </cell>
          <cell r="I882">
            <v>0</v>
          </cell>
          <cell r="J882" t="str">
            <v/>
          </cell>
          <cell r="K882" t="str">
            <v/>
          </cell>
          <cell r="L882" t="str">
            <v/>
          </cell>
          <cell r="M882" t="str">
            <v/>
          </cell>
          <cell r="N882">
            <v>45435</v>
          </cell>
          <cell r="O882" t="str">
            <v>X</v>
          </cell>
          <cell r="P882" t="str">
            <v>2024</v>
          </cell>
          <cell r="Q882">
            <v>0</v>
          </cell>
          <cell r="R882" t="str">
            <v>INAKTIV</v>
          </cell>
        </row>
        <row r="883">
          <cell r="A883" t="str">
            <v>4038562</v>
          </cell>
          <cell r="B883" t="str">
            <v>3300</v>
          </cell>
          <cell r="C883" t="str">
            <v>3001</v>
          </cell>
          <cell r="D883" t="str">
            <v>L</v>
          </cell>
          <cell r="E883" t="str">
            <v/>
          </cell>
          <cell r="F883" t="str">
            <v>2024</v>
          </cell>
          <cell r="G883" t="str">
            <v>5</v>
          </cell>
          <cell r="H883">
            <v>0</v>
          </cell>
          <cell r="I883">
            <v>0</v>
          </cell>
          <cell r="J883" t="str">
            <v/>
          </cell>
          <cell r="K883" t="str">
            <v/>
          </cell>
          <cell r="L883" t="str">
            <v/>
          </cell>
          <cell r="M883" t="str">
            <v/>
          </cell>
          <cell r="N883">
            <v>45435</v>
          </cell>
          <cell r="O883" t="str">
            <v>X</v>
          </cell>
          <cell r="P883" t="str">
            <v>2024</v>
          </cell>
          <cell r="Q883">
            <v>0</v>
          </cell>
          <cell r="R883" t="str">
            <v>INAKTIV</v>
          </cell>
        </row>
        <row r="884">
          <cell r="A884" t="str">
            <v>4038563</v>
          </cell>
          <cell r="B884" t="str">
            <v>3300</v>
          </cell>
          <cell r="C884" t="str">
            <v>3001</v>
          </cell>
          <cell r="D884" t="str">
            <v>L</v>
          </cell>
          <cell r="E884" t="str">
            <v/>
          </cell>
          <cell r="F884" t="str">
            <v>2024</v>
          </cell>
          <cell r="G884" t="str">
            <v>5</v>
          </cell>
          <cell r="H884">
            <v>0</v>
          </cell>
          <cell r="I884">
            <v>0</v>
          </cell>
          <cell r="J884" t="str">
            <v/>
          </cell>
          <cell r="K884" t="str">
            <v/>
          </cell>
          <cell r="L884" t="str">
            <v/>
          </cell>
          <cell r="M884" t="str">
            <v/>
          </cell>
          <cell r="N884">
            <v>45435</v>
          </cell>
          <cell r="O884" t="str">
            <v>X</v>
          </cell>
          <cell r="P884" t="str">
            <v>2024</v>
          </cell>
          <cell r="Q884">
            <v>0</v>
          </cell>
          <cell r="R884" t="str">
            <v>INAKTIV</v>
          </cell>
        </row>
        <row r="885">
          <cell r="A885" t="str">
            <v>4038564</v>
          </cell>
          <cell r="B885" t="str">
            <v>3300</v>
          </cell>
          <cell r="C885" t="str">
            <v>3001</v>
          </cell>
          <cell r="D885" t="str">
            <v>L</v>
          </cell>
          <cell r="E885" t="str">
            <v/>
          </cell>
          <cell r="F885" t="str">
            <v>2026</v>
          </cell>
          <cell r="G885" t="str">
            <v>2</v>
          </cell>
          <cell r="H885">
            <v>0</v>
          </cell>
          <cell r="I885">
            <v>0</v>
          </cell>
          <cell r="J885" t="str">
            <v>X</v>
          </cell>
          <cell r="K885" t="str">
            <v/>
          </cell>
          <cell r="L885" t="str">
            <v>12:04:03</v>
          </cell>
          <cell r="M885">
            <v>46030</v>
          </cell>
          <cell r="N885">
            <v>45435</v>
          </cell>
          <cell r="O885" t="str">
            <v>X</v>
          </cell>
          <cell r="P885" t="str">
            <v>2026</v>
          </cell>
          <cell r="Q885">
            <v>0</v>
          </cell>
          <cell r="R885" t="str">
            <v>INAKTIV</v>
          </cell>
        </row>
        <row r="886">
          <cell r="A886" t="str">
            <v>4038565</v>
          </cell>
          <cell r="B886" t="str">
            <v>3300</v>
          </cell>
          <cell r="C886" t="str">
            <v>3001</v>
          </cell>
          <cell r="D886" t="str">
            <v>L</v>
          </cell>
          <cell r="E886" t="str">
            <v/>
          </cell>
          <cell r="F886" t="str">
            <v>2024</v>
          </cell>
          <cell r="G886" t="str">
            <v>5</v>
          </cell>
          <cell r="H886">
            <v>0</v>
          </cell>
          <cell r="I886">
            <v>0</v>
          </cell>
          <cell r="J886" t="str">
            <v/>
          </cell>
          <cell r="K886" t="str">
            <v/>
          </cell>
          <cell r="L886" t="str">
            <v/>
          </cell>
          <cell r="M886" t="str">
            <v/>
          </cell>
          <cell r="N886">
            <v>45435</v>
          </cell>
          <cell r="O886" t="str">
            <v>X</v>
          </cell>
          <cell r="P886" t="str">
            <v>2024</v>
          </cell>
          <cell r="Q886">
            <v>0</v>
          </cell>
          <cell r="R886" t="str">
            <v>INAKTIV</v>
          </cell>
        </row>
        <row r="887">
          <cell r="A887" t="str">
            <v>4038566</v>
          </cell>
          <cell r="B887" t="str">
            <v>3300</v>
          </cell>
          <cell r="C887" t="str">
            <v>3001</v>
          </cell>
          <cell r="D887" t="str">
            <v>L</v>
          </cell>
          <cell r="E887" t="str">
            <v/>
          </cell>
          <cell r="F887" t="str">
            <v>2024</v>
          </cell>
          <cell r="G887" t="str">
            <v>5</v>
          </cell>
          <cell r="H887">
            <v>0</v>
          </cell>
          <cell r="I887">
            <v>0</v>
          </cell>
          <cell r="J887" t="str">
            <v/>
          </cell>
          <cell r="K887" t="str">
            <v/>
          </cell>
          <cell r="L887" t="str">
            <v/>
          </cell>
          <cell r="M887" t="str">
            <v/>
          </cell>
          <cell r="N887">
            <v>45435</v>
          </cell>
          <cell r="O887" t="str">
            <v>X</v>
          </cell>
          <cell r="P887" t="str">
            <v>2024</v>
          </cell>
          <cell r="Q887">
            <v>0</v>
          </cell>
          <cell r="R887" t="str">
            <v>INAKTIV</v>
          </cell>
        </row>
        <row r="888">
          <cell r="A888" t="str">
            <v>4038567</v>
          </cell>
          <cell r="B888" t="str">
            <v>3300</v>
          </cell>
          <cell r="C888" t="str">
            <v>3001</v>
          </cell>
          <cell r="D888" t="str">
            <v>L</v>
          </cell>
          <cell r="E888" t="str">
            <v/>
          </cell>
          <cell r="F888" t="str">
            <v>2026</v>
          </cell>
          <cell r="G888" t="str">
            <v>2</v>
          </cell>
          <cell r="H888">
            <v>29</v>
          </cell>
          <cell r="I888">
            <v>0</v>
          </cell>
          <cell r="J888" t="str">
            <v>X</v>
          </cell>
          <cell r="K888" t="str">
            <v/>
          </cell>
          <cell r="L888" t="str">
            <v>12:12:00</v>
          </cell>
          <cell r="M888">
            <v>46030</v>
          </cell>
          <cell r="N888">
            <v>45435</v>
          </cell>
          <cell r="O888" t="str">
            <v>X</v>
          </cell>
          <cell r="P888" t="str">
            <v>2026</v>
          </cell>
          <cell r="Q888">
            <v>29</v>
          </cell>
          <cell r="R888" t="str">
            <v/>
          </cell>
        </row>
        <row r="889">
          <cell r="A889" t="str">
            <v>4038568</v>
          </cell>
          <cell r="B889" t="str">
            <v>3300</v>
          </cell>
          <cell r="C889" t="str">
            <v>3001</v>
          </cell>
          <cell r="D889" t="str">
            <v>L</v>
          </cell>
          <cell r="E889" t="str">
            <v/>
          </cell>
          <cell r="F889" t="str">
            <v>2024</v>
          </cell>
          <cell r="G889" t="str">
            <v>5</v>
          </cell>
          <cell r="H889">
            <v>0</v>
          </cell>
          <cell r="I889">
            <v>0</v>
          </cell>
          <cell r="J889" t="str">
            <v/>
          </cell>
          <cell r="K889" t="str">
            <v/>
          </cell>
          <cell r="L889" t="str">
            <v/>
          </cell>
          <cell r="M889" t="str">
            <v/>
          </cell>
          <cell r="N889">
            <v>45435</v>
          </cell>
          <cell r="O889" t="str">
            <v>X</v>
          </cell>
          <cell r="P889" t="str">
            <v>2024</v>
          </cell>
          <cell r="Q889">
            <v>0</v>
          </cell>
          <cell r="R889" t="str">
            <v>INAKTIV</v>
          </cell>
        </row>
        <row r="890">
          <cell r="A890" t="str">
            <v>4038569</v>
          </cell>
          <cell r="B890" t="str">
            <v>3300</v>
          </cell>
          <cell r="C890" t="str">
            <v>3001</v>
          </cell>
          <cell r="D890" t="str">
            <v>L</v>
          </cell>
          <cell r="E890" t="str">
            <v/>
          </cell>
          <cell r="F890" t="str">
            <v>2024</v>
          </cell>
          <cell r="G890" t="str">
            <v>5</v>
          </cell>
          <cell r="H890">
            <v>0</v>
          </cell>
          <cell r="I890">
            <v>0</v>
          </cell>
          <cell r="J890" t="str">
            <v/>
          </cell>
          <cell r="K890" t="str">
            <v/>
          </cell>
          <cell r="L890" t="str">
            <v/>
          </cell>
          <cell r="M890" t="str">
            <v/>
          </cell>
          <cell r="N890">
            <v>45435</v>
          </cell>
          <cell r="O890" t="str">
            <v>X</v>
          </cell>
          <cell r="P890" t="str">
            <v>2024</v>
          </cell>
          <cell r="Q890">
            <v>0</v>
          </cell>
          <cell r="R890" t="str">
            <v>INAKTIV</v>
          </cell>
        </row>
        <row r="891">
          <cell r="A891" t="str">
            <v>4038570</v>
          </cell>
          <cell r="B891" t="str">
            <v>3300</v>
          </cell>
          <cell r="C891" t="str">
            <v>3001</v>
          </cell>
          <cell r="D891" t="str">
            <v>L</v>
          </cell>
          <cell r="E891" t="str">
            <v>X</v>
          </cell>
          <cell r="F891" t="str">
            <v>2024</v>
          </cell>
          <cell r="G891" t="str">
            <v>5</v>
          </cell>
          <cell r="H891">
            <v>0</v>
          </cell>
          <cell r="I891">
            <v>0</v>
          </cell>
          <cell r="J891" t="str">
            <v/>
          </cell>
          <cell r="K891" t="str">
            <v/>
          </cell>
          <cell r="L891" t="str">
            <v/>
          </cell>
          <cell r="M891" t="str">
            <v/>
          </cell>
          <cell r="N891">
            <v>45435</v>
          </cell>
          <cell r="O891" t="str">
            <v>X</v>
          </cell>
          <cell r="P891" t="str">
            <v>2024</v>
          </cell>
          <cell r="Q891">
            <v>0</v>
          </cell>
          <cell r="R891" t="str">
            <v>INAKTIV</v>
          </cell>
        </row>
        <row r="892">
          <cell r="A892" t="str">
            <v>4038571</v>
          </cell>
          <cell r="B892" t="str">
            <v>3300</v>
          </cell>
          <cell r="C892" t="str">
            <v>3001</v>
          </cell>
          <cell r="D892" t="str">
            <v>L</v>
          </cell>
          <cell r="E892" t="str">
            <v/>
          </cell>
          <cell r="F892" t="str">
            <v>2026</v>
          </cell>
          <cell r="G892" t="str">
            <v>2</v>
          </cell>
          <cell r="H892">
            <v>108</v>
          </cell>
          <cell r="I892">
            <v>0</v>
          </cell>
          <cell r="J892" t="str">
            <v>X</v>
          </cell>
          <cell r="K892" t="str">
            <v/>
          </cell>
          <cell r="L892" t="str">
            <v>08:12:00</v>
          </cell>
          <cell r="M892">
            <v>46030</v>
          </cell>
          <cell r="N892">
            <v>45435</v>
          </cell>
          <cell r="O892" t="str">
            <v>X</v>
          </cell>
          <cell r="P892" t="str">
            <v>2026</v>
          </cell>
          <cell r="Q892">
            <v>108</v>
          </cell>
          <cell r="R892" t="str">
            <v/>
          </cell>
        </row>
        <row r="893">
          <cell r="A893" t="str">
            <v>4038572</v>
          </cell>
          <cell r="B893" t="str">
            <v>3300</v>
          </cell>
          <cell r="C893" t="str">
            <v>3001</v>
          </cell>
          <cell r="D893" t="str">
            <v>L</v>
          </cell>
          <cell r="E893" t="str">
            <v>X</v>
          </cell>
          <cell r="F893" t="str">
            <v>2024</v>
          </cell>
          <cell r="G893" t="str">
            <v>5</v>
          </cell>
          <cell r="H893">
            <v>0</v>
          </cell>
          <cell r="I893">
            <v>0</v>
          </cell>
          <cell r="J893" t="str">
            <v/>
          </cell>
          <cell r="K893" t="str">
            <v/>
          </cell>
          <cell r="L893" t="str">
            <v/>
          </cell>
          <cell r="M893" t="str">
            <v/>
          </cell>
          <cell r="N893">
            <v>45435</v>
          </cell>
          <cell r="O893" t="str">
            <v>X</v>
          </cell>
          <cell r="P893" t="str">
            <v>2024</v>
          </cell>
          <cell r="Q893">
            <v>0</v>
          </cell>
          <cell r="R893" t="str">
            <v>INAKTIV</v>
          </cell>
        </row>
        <row r="894">
          <cell r="A894" t="str">
            <v>4038573</v>
          </cell>
          <cell r="B894" t="str">
            <v>3300</v>
          </cell>
          <cell r="C894" t="str">
            <v>3001</v>
          </cell>
          <cell r="D894" t="str">
            <v>L</v>
          </cell>
          <cell r="E894" t="str">
            <v/>
          </cell>
          <cell r="F894" t="str">
            <v>2024</v>
          </cell>
          <cell r="G894" t="str">
            <v>5</v>
          </cell>
          <cell r="H894">
            <v>0</v>
          </cell>
          <cell r="I894">
            <v>0</v>
          </cell>
          <cell r="J894" t="str">
            <v/>
          </cell>
          <cell r="K894" t="str">
            <v/>
          </cell>
          <cell r="L894" t="str">
            <v/>
          </cell>
          <cell r="M894" t="str">
            <v/>
          </cell>
          <cell r="N894">
            <v>45435</v>
          </cell>
          <cell r="O894" t="str">
            <v>X</v>
          </cell>
          <cell r="P894" t="str">
            <v>2024</v>
          </cell>
          <cell r="Q894">
            <v>0</v>
          </cell>
          <cell r="R894" t="str">
            <v>INAKTIV</v>
          </cell>
        </row>
        <row r="895">
          <cell r="A895" t="str">
            <v>4038574</v>
          </cell>
          <cell r="B895" t="str">
            <v>3300</v>
          </cell>
          <cell r="C895" t="str">
            <v>3001</v>
          </cell>
          <cell r="D895" t="str">
            <v>L</v>
          </cell>
          <cell r="E895" t="str">
            <v/>
          </cell>
          <cell r="F895" t="str">
            <v>2026</v>
          </cell>
          <cell r="G895" t="str">
            <v>3</v>
          </cell>
          <cell r="H895">
            <v>170</v>
          </cell>
          <cell r="I895">
            <v>0</v>
          </cell>
          <cell r="J895" t="str">
            <v>X</v>
          </cell>
          <cell r="K895" t="str">
            <v/>
          </cell>
          <cell r="L895" t="str">
            <v>11:05:03</v>
          </cell>
          <cell r="M895">
            <v>46030</v>
          </cell>
          <cell r="N895">
            <v>45435</v>
          </cell>
          <cell r="O895" t="str">
            <v>X</v>
          </cell>
          <cell r="P895" t="str">
            <v>2026</v>
          </cell>
          <cell r="Q895">
            <v>170</v>
          </cell>
          <cell r="R895" t="str">
            <v/>
          </cell>
        </row>
        <row r="896">
          <cell r="A896" t="str">
            <v>4038575</v>
          </cell>
          <cell r="B896" t="str">
            <v>3300</v>
          </cell>
          <cell r="C896" t="str">
            <v>3001</v>
          </cell>
          <cell r="D896" t="str">
            <v>L</v>
          </cell>
          <cell r="E896" t="str">
            <v/>
          </cell>
          <cell r="F896" t="str">
            <v>2024</v>
          </cell>
          <cell r="G896" t="str">
            <v>5</v>
          </cell>
          <cell r="H896">
            <v>0</v>
          </cell>
          <cell r="I896">
            <v>0</v>
          </cell>
          <cell r="J896" t="str">
            <v/>
          </cell>
          <cell r="K896" t="str">
            <v/>
          </cell>
          <cell r="L896" t="str">
            <v/>
          </cell>
          <cell r="M896" t="str">
            <v/>
          </cell>
          <cell r="N896">
            <v>45435</v>
          </cell>
          <cell r="O896" t="str">
            <v>X</v>
          </cell>
          <cell r="P896" t="str">
            <v>2024</v>
          </cell>
          <cell r="Q896">
            <v>0</v>
          </cell>
          <cell r="R896" t="str">
            <v>INAKTIV</v>
          </cell>
        </row>
        <row r="897">
          <cell r="A897" t="str">
            <v>4038576</v>
          </cell>
          <cell r="B897" t="str">
            <v>3300</v>
          </cell>
          <cell r="C897" t="str">
            <v>3001</v>
          </cell>
          <cell r="D897" t="str">
            <v>L</v>
          </cell>
          <cell r="E897" t="str">
            <v/>
          </cell>
          <cell r="F897" t="str">
            <v>2024</v>
          </cell>
          <cell r="G897" t="str">
            <v>5</v>
          </cell>
          <cell r="H897">
            <v>0</v>
          </cell>
          <cell r="I897">
            <v>0</v>
          </cell>
          <cell r="J897" t="str">
            <v/>
          </cell>
          <cell r="K897" t="str">
            <v/>
          </cell>
          <cell r="L897" t="str">
            <v/>
          </cell>
          <cell r="M897" t="str">
            <v/>
          </cell>
          <cell r="N897">
            <v>45435</v>
          </cell>
          <cell r="O897" t="str">
            <v>X</v>
          </cell>
          <cell r="P897" t="str">
            <v>2024</v>
          </cell>
          <cell r="Q897">
            <v>0</v>
          </cell>
          <cell r="R897" t="str">
            <v>INAKTIV</v>
          </cell>
        </row>
        <row r="898">
          <cell r="A898" t="str">
            <v>4038577</v>
          </cell>
          <cell r="B898" t="str">
            <v>3300</v>
          </cell>
          <cell r="C898" t="str">
            <v>3001</v>
          </cell>
          <cell r="D898" t="str">
            <v>L</v>
          </cell>
          <cell r="E898" t="str">
            <v/>
          </cell>
          <cell r="F898" t="str">
            <v>2024</v>
          </cell>
          <cell r="G898" t="str">
            <v>5</v>
          </cell>
          <cell r="H898">
            <v>0</v>
          </cell>
          <cell r="I898">
            <v>0</v>
          </cell>
          <cell r="J898" t="str">
            <v/>
          </cell>
          <cell r="K898" t="str">
            <v/>
          </cell>
          <cell r="L898" t="str">
            <v/>
          </cell>
          <cell r="M898" t="str">
            <v/>
          </cell>
          <cell r="N898">
            <v>45435</v>
          </cell>
          <cell r="O898" t="str">
            <v>X</v>
          </cell>
          <cell r="P898" t="str">
            <v>2024</v>
          </cell>
          <cell r="Q898">
            <v>0</v>
          </cell>
          <cell r="R898" t="str">
            <v>INAKTIV</v>
          </cell>
        </row>
        <row r="899">
          <cell r="A899" t="str">
            <v>4038578</v>
          </cell>
          <cell r="B899" t="str">
            <v>3300</v>
          </cell>
          <cell r="C899" t="str">
            <v>3001</v>
          </cell>
          <cell r="D899" t="str">
            <v>L</v>
          </cell>
          <cell r="E899" t="str">
            <v/>
          </cell>
          <cell r="F899" t="str">
            <v>2024</v>
          </cell>
          <cell r="G899" t="str">
            <v>5</v>
          </cell>
          <cell r="H899">
            <v>0</v>
          </cell>
          <cell r="I899">
            <v>0</v>
          </cell>
          <cell r="J899" t="str">
            <v/>
          </cell>
          <cell r="K899" t="str">
            <v/>
          </cell>
          <cell r="L899" t="str">
            <v/>
          </cell>
          <cell r="M899" t="str">
            <v/>
          </cell>
          <cell r="N899">
            <v>45435</v>
          </cell>
          <cell r="O899" t="str">
            <v>X</v>
          </cell>
          <cell r="P899" t="str">
            <v>2024</v>
          </cell>
          <cell r="Q899">
            <v>0</v>
          </cell>
          <cell r="R899" t="str">
            <v>INAKTIV</v>
          </cell>
        </row>
        <row r="900">
          <cell r="A900" t="str">
            <v>4038579</v>
          </cell>
          <cell r="B900" t="str">
            <v>3300</v>
          </cell>
          <cell r="C900" t="str">
            <v>3001</v>
          </cell>
          <cell r="D900" t="str">
            <v>L</v>
          </cell>
          <cell r="E900" t="str">
            <v/>
          </cell>
          <cell r="F900" t="str">
            <v>2024</v>
          </cell>
          <cell r="G900" t="str">
            <v>5</v>
          </cell>
          <cell r="H900">
            <v>0</v>
          </cell>
          <cell r="I900">
            <v>0</v>
          </cell>
          <cell r="J900" t="str">
            <v/>
          </cell>
          <cell r="K900" t="str">
            <v/>
          </cell>
          <cell r="L900" t="str">
            <v/>
          </cell>
          <cell r="M900" t="str">
            <v/>
          </cell>
          <cell r="N900">
            <v>45435</v>
          </cell>
          <cell r="O900" t="str">
            <v>X</v>
          </cell>
          <cell r="P900" t="str">
            <v>2024</v>
          </cell>
          <cell r="Q900">
            <v>0</v>
          </cell>
          <cell r="R900" t="str">
            <v>INAKTIV</v>
          </cell>
        </row>
        <row r="901">
          <cell r="A901" t="str">
            <v>4038580</v>
          </cell>
          <cell r="B901" t="str">
            <v>3300</v>
          </cell>
          <cell r="C901" t="str">
            <v>3001</v>
          </cell>
          <cell r="D901" t="str">
            <v>L</v>
          </cell>
          <cell r="E901" t="str">
            <v/>
          </cell>
          <cell r="F901" t="str">
            <v>2024</v>
          </cell>
          <cell r="G901" t="str">
            <v>5</v>
          </cell>
          <cell r="H901">
            <v>0</v>
          </cell>
          <cell r="I901">
            <v>0</v>
          </cell>
          <cell r="J901" t="str">
            <v/>
          </cell>
          <cell r="K901" t="str">
            <v/>
          </cell>
          <cell r="L901" t="str">
            <v/>
          </cell>
          <cell r="M901" t="str">
            <v/>
          </cell>
          <cell r="N901">
            <v>45435</v>
          </cell>
          <cell r="O901" t="str">
            <v>X</v>
          </cell>
          <cell r="P901" t="str">
            <v>2024</v>
          </cell>
          <cell r="Q901">
            <v>0</v>
          </cell>
          <cell r="R901" t="str">
            <v>INAKTIV</v>
          </cell>
        </row>
        <row r="902">
          <cell r="A902" t="str">
            <v>4038581</v>
          </cell>
          <cell r="B902" t="str">
            <v>3300</v>
          </cell>
          <cell r="C902" t="str">
            <v>3001</v>
          </cell>
          <cell r="D902" t="str">
            <v>L</v>
          </cell>
          <cell r="E902" t="str">
            <v/>
          </cell>
          <cell r="F902" t="str">
            <v>2024</v>
          </cell>
          <cell r="G902" t="str">
            <v>5</v>
          </cell>
          <cell r="H902">
            <v>0</v>
          </cell>
          <cell r="I902">
            <v>0</v>
          </cell>
          <cell r="J902" t="str">
            <v/>
          </cell>
          <cell r="K902" t="str">
            <v/>
          </cell>
          <cell r="L902" t="str">
            <v/>
          </cell>
          <cell r="M902" t="str">
            <v/>
          </cell>
          <cell r="N902">
            <v>45435</v>
          </cell>
          <cell r="O902" t="str">
            <v>X</v>
          </cell>
          <cell r="P902" t="str">
            <v>2024</v>
          </cell>
          <cell r="Q902">
            <v>0</v>
          </cell>
          <cell r="R902" t="str">
            <v>INAKTIV</v>
          </cell>
        </row>
        <row r="903">
          <cell r="A903" t="str">
            <v>4038582</v>
          </cell>
          <cell r="B903" t="str">
            <v>3300</v>
          </cell>
          <cell r="C903" t="str">
            <v>3001</v>
          </cell>
          <cell r="D903" t="str">
            <v>L</v>
          </cell>
          <cell r="E903" t="str">
            <v/>
          </cell>
          <cell r="F903" t="str">
            <v>2026</v>
          </cell>
          <cell r="G903" t="str">
            <v>2</v>
          </cell>
          <cell r="H903">
            <v>100</v>
          </cell>
          <cell r="I903">
            <v>0</v>
          </cell>
          <cell r="J903" t="str">
            <v>X</v>
          </cell>
          <cell r="K903" t="str">
            <v/>
          </cell>
          <cell r="L903" t="str">
            <v>09:07:00</v>
          </cell>
          <cell r="M903">
            <v>46030</v>
          </cell>
          <cell r="N903">
            <v>45435</v>
          </cell>
          <cell r="O903" t="str">
            <v>X</v>
          </cell>
          <cell r="P903" t="str">
            <v>2026</v>
          </cell>
          <cell r="Q903">
            <v>100</v>
          </cell>
          <cell r="R903" t="str">
            <v/>
          </cell>
        </row>
        <row r="904">
          <cell r="A904" t="str">
            <v>4038583</v>
          </cell>
          <cell r="B904" t="str">
            <v>3300</v>
          </cell>
          <cell r="C904" t="str">
            <v>3001</v>
          </cell>
          <cell r="D904" t="str">
            <v>L</v>
          </cell>
          <cell r="E904" t="str">
            <v/>
          </cell>
          <cell r="F904" t="str">
            <v>2024</v>
          </cell>
          <cell r="G904" t="str">
            <v>5</v>
          </cell>
          <cell r="H904">
            <v>0</v>
          </cell>
          <cell r="I904">
            <v>0</v>
          </cell>
          <cell r="J904" t="str">
            <v/>
          </cell>
          <cell r="K904" t="str">
            <v/>
          </cell>
          <cell r="L904" t="str">
            <v/>
          </cell>
          <cell r="M904" t="str">
            <v/>
          </cell>
          <cell r="N904">
            <v>45435</v>
          </cell>
          <cell r="O904" t="str">
            <v>X</v>
          </cell>
          <cell r="P904" t="str">
            <v>2024</v>
          </cell>
          <cell r="Q904">
            <v>0</v>
          </cell>
          <cell r="R904" t="str">
            <v>INAKTIV</v>
          </cell>
        </row>
        <row r="905">
          <cell r="A905" t="str">
            <v>4038584</v>
          </cell>
          <cell r="B905" t="str">
            <v>3300</v>
          </cell>
          <cell r="C905" t="str">
            <v>3001</v>
          </cell>
          <cell r="D905" t="str">
            <v>L</v>
          </cell>
          <cell r="E905" t="str">
            <v/>
          </cell>
          <cell r="F905" t="str">
            <v>2024</v>
          </cell>
          <cell r="G905" t="str">
            <v>5</v>
          </cell>
          <cell r="H905">
            <v>0</v>
          </cell>
          <cell r="I905">
            <v>0</v>
          </cell>
          <cell r="J905" t="str">
            <v/>
          </cell>
          <cell r="K905" t="str">
            <v/>
          </cell>
          <cell r="L905" t="str">
            <v/>
          </cell>
          <cell r="M905" t="str">
            <v/>
          </cell>
          <cell r="N905">
            <v>45435</v>
          </cell>
          <cell r="O905" t="str">
            <v>X</v>
          </cell>
          <cell r="P905" t="str">
            <v>2024</v>
          </cell>
          <cell r="Q905">
            <v>0</v>
          </cell>
          <cell r="R905" t="str">
            <v>INAKTIV</v>
          </cell>
        </row>
        <row r="906">
          <cell r="A906" t="str">
            <v>4038585</v>
          </cell>
          <cell r="B906" t="str">
            <v>3300</v>
          </cell>
          <cell r="C906" t="str">
            <v>3001</v>
          </cell>
          <cell r="D906" t="str">
            <v>L</v>
          </cell>
          <cell r="E906" t="str">
            <v/>
          </cell>
          <cell r="F906" t="str">
            <v>2024</v>
          </cell>
          <cell r="G906" t="str">
            <v>5</v>
          </cell>
          <cell r="H906">
            <v>0</v>
          </cell>
          <cell r="I906">
            <v>0</v>
          </cell>
          <cell r="J906" t="str">
            <v/>
          </cell>
          <cell r="K906" t="str">
            <v/>
          </cell>
          <cell r="L906" t="str">
            <v/>
          </cell>
          <cell r="M906" t="str">
            <v/>
          </cell>
          <cell r="N906">
            <v>45435</v>
          </cell>
          <cell r="O906" t="str">
            <v>X</v>
          </cell>
          <cell r="P906" t="str">
            <v>2024</v>
          </cell>
          <cell r="Q906">
            <v>0</v>
          </cell>
          <cell r="R906" t="str">
            <v>INAKTIV</v>
          </cell>
        </row>
        <row r="907">
          <cell r="A907" t="str">
            <v>4038586</v>
          </cell>
          <cell r="B907" t="str">
            <v>3300</v>
          </cell>
          <cell r="C907" t="str">
            <v>3001</v>
          </cell>
          <cell r="D907" t="str">
            <v>L</v>
          </cell>
          <cell r="E907" t="str">
            <v/>
          </cell>
          <cell r="F907" t="str">
            <v>2026</v>
          </cell>
          <cell r="G907" t="str">
            <v>2</v>
          </cell>
          <cell r="H907">
            <v>30</v>
          </cell>
          <cell r="I907">
            <v>0</v>
          </cell>
          <cell r="J907" t="str">
            <v>X</v>
          </cell>
          <cell r="K907" t="str">
            <v/>
          </cell>
          <cell r="L907" t="str">
            <v>08:06:01</v>
          </cell>
          <cell r="M907">
            <v>45980</v>
          </cell>
          <cell r="N907">
            <v>45435</v>
          </cell>
          <cell r="O907" t="str">
            <v>X</v>
          </cell>
          <cell r="P907" t="str">
            <v>2025</v>
          </cell>
          <cell r="Q907">
            <v>30</v>
          </cell>
          <cell r="R907" t="str">
            <v/>
          </cell>
        </row>
        <row r="908">
          <cell r="A908" t="str">
            <v>4038643</v>
          </cell>
          <cell r="B908" t="str">
            <v>3300</v>
          </cell>
          <cell r="C908" t="str">
            <v>3001</v>
          </cell>
          <cell r="D908" t="str">
            <v>DL</v>
          </cell>
          <cell r="E908" t="str">
            <v/>
          </cell>
          <cell r="F908" t="str">
            <v>2025</v>
          </cell>
          <cell r="G908" t="str">
            <v>11</v>
          </cell>
          <cell r="H908">
            <v>550</v>
          </cell>
          <cell r="I908">
            <v>0</v>
          </cell>
          <cell r="J908" t="str">
            <v>X</v>
          </cell>
          <cell r="K908" t="str">
            <v/>
          </cell>
          <cell r="L908" t="str">
            <v>10:11:00</v>
          </cell>
          <cell r="M908">
            <v>46030</v>
          </cell>
          <cell r="N908">
            <v>45464</v>
          </cell>
          <cell r="O908" t="str">
            <v>X</v>
          </cell>
          <cell r="P908" t="str">
            <v>2026</v>
          </cell>
          <cell r="Q908">
            <v>550</v>
          </cell>
          <cell r="R908" t="str">
            <v/>
          </cell>
        </row>
        <row r="909">
          <cell r="A909" t="str">
            <v>4038644</v>
          </cell>
          <cell r="B909" t="str">
            <v>3300</v>
          </cell>
          <cell r="C909" t="str">
            <v>3001</v>
          </cell>
          <cell r="D909" t="str">
            <v>DL</v>
          </cell>
          <cell r="E909" t="str">
            <v>X</v>
          </cell>
          <cell r="F909" t="str">
            <v>2024</v>
          </cell>
          <cell r="G909" t="str">
            <v>6</v>
          </cell>
          <cell r="H909">
            <v>0</v>
          </cell>
          <cell r="I909">
            <v>0</v>
          </cell>
          <cell r="J909" t="str">
            <v/>
          </cell>
          <cell r="K909" t="str">
            <v/>
          </cell>
          <cell r="L909" t="str">
            <v/>
          </cell>
          <cell r="M909" t="str">
            <v/>
          </cell>
          <cell r="N909">
            <v>45464</v>
          </cell>
          <cell r="O909" t="str">
            <v>X</v>
          </cell>
          <cell r="P909" t="str">
            <v>2024</v>
          </cell>
          <cell r="Q909">
            <v>0</v>
          </cell>
          <cell r="R909" t="str">
            <v>INAKTIV</v>
          </cell>
        </row>
        <row r="910">
          <cell r="A910" t="str">
            <v>4038645</v>
          </cell>
          <cell r="B910" t="str">
            <v>3300</v>
          </cell>
          <cell r="C910" t="str">
            <v>3001</v>
          </cell>
          <cell r="D910" t="str">
            <v>DL</v>
          </cell>
          <cell r="E910" t="str">
            <v/>
          </cell>
          <cell r="F910" t="str">
            <v>2024</v>
          </cell>
          <cell r="G910" t="str">
            <v>6</v>
          </cell>
          <cell r="H910">
            <v>0</v>
          </cell>
          <cell r="I910">
            <v>0</v>
          </cell>
          <cell r="J910" t="str">
            <v/>
          </cell>
          <cell r="K910" t="str">
            <v/>
          </cell>
          <cell r="L910" t="str">
            <v/>
          </cell>
          <cell r="M910" t="str">
            <v/>
          </cell>
          <cell r="N910">
            <v>45468</v>
          </cell>
          <cell r="O910" t="str">
            <v>X</v>
          </cell>
          <cell r="P910" t="str">
            <v>2024</v>
          </cell>
          <cell r="Q910">
            <v>0</v>
          </cell>
          <cell r="R910" t="str">
            <v>INAKTIV</v>
          </cell>
        </row>
        <row r="911">
          <cell r="A911" t="str">
            <v>4038646</v>
          </cell>
          <cell r="B911" t="str">
            <v>3300</v>
          </cell>
          <cell r="C911" t="str">
            <v>3001</v>
          </cell>
          <cell r="D911" t="str">
            <v>DL</v>
          </cell>
          <cell r="E911" t="str">
            <v/>
          </cell>
          <cell r="F911" t="str">
            <v>2024</v>
          </cell>
          <cell r="G911" t="str">
            <v>6</v>
          </cell>
          <cell r="H911">
            <v>0</v>
          </cell>
          <cell r="I911">
            <v>0</v>
          </cell>
          <cell r="J911" t="str">
            <v/>
          </cell>
          <cell r="K911" t="str">
            <v/>
          </cell>
          <cell r="L911" t="str">
            <v/>
          </cell>
          <cell r="M911" t="str">
            <v/>
          </cell>
          <cell r="N911">
            <v>45468</v>
          </cell>
          <cell r="O911" t="str">
            <v>X</v>
          </cell>
          <cell r="P911" t="str">
            <v>2024</v>
          </cell>
          <cell r="Q911">
            <v>0</v>
          </cell>
          <cell r="R911" t="str">
            <v>INAKTIV</v>
          </cell>
        </row>
        <row r="912">
          <cell r="A912" t="str">
            <v>4038647</v>
          </cell>
          <cell r="B912" t="str">
            <v>3300</v>
          </cell>
          <cell r="C912" t="str">
            <v>3001</v>
          </cell>
          <cell r="D912" t="str">
            <v>DL</v>
          </cell>
          <cell r="E912" t="str">
            <v>X</v>
          </cell>
          <cell r="F912" t="str">
            <v>2024</v>
          </cell>
          <cell r="G912" t="str">
            <v>6</v>
          </cell>
          <cell r="H912">
            <v>0</v>
          </cell>
          <cell r="I912">
            <v>0</v>
          </cell>
          <cell r="J912" t="str">
            <v/>
          </cell>
          <cell r="K912" t="str">
            <v/>
          </cell>
          <cell r="L912" t="str">
            <v/>
          </cell>
          <cell r="M912" t="str">
            <v/>
          </cell>
          <cell r="N912">
            <v>45468</v>
          </cell>
          <cell r="O912" t="str">
            <v>X</v>
          </cell>
          <cell r="P912" t="str">
            <v>2024</v>
          </cell>
          <cell r="Q912">
            <v>0</v>
          </cell>
          <cell r="R912" t="str">
            <v>INAKTIV</v>
          </cell>
        </row>
        <row r="913">
          <cell r="A913" t="str">
            <v>4038648</v>
          </cell>
          <cell r="B913" t="str">
            <v>3300</v>
          </cell>
          <cell r="C913" t="str">
            <v>3001</v>
          </cell>
          <cell r="D913" t="str">
            <v>DL</v>
          </cell>
          <cell r="E913" t="str">
            <v/>
          </cell>
          <cell r="F913" t="str">
            <v>2024</v>
          </cell>
          <cell r="G913" t="str">
            <v>6</v>
          </cell>
          <cell r="H913">
            <v>0</v>
          </cell>
          <cell r="I913">
            <v>0</v>
          </cell>
          <cell r="J913" t="str">
            <v/>
          </cell>
          <cell r="K913" t="str">
            <v/>
          </cell>
          <cell r="L913" t="str">
            <v/>
          </cell>
          <cell r="M913" t="str">
            <v/>
          </cell>
          <cell r="N913">
            <v>45468</v>
          </cell>
          <cell r="O913" t="str">
            <v>X</v>
          </cell>
          <cell r="P913" t="str">
            <v>2024</v>
          </cell>
          <cell r="Q913">
            <v>0</v>
          </cell>
          <cell r="R913" t="str">
            <v>INAKTIV</v>
          </cell>
        </row>
        <row r="914">
          <cell r="A914" t="str">
            <v>4038649</v>
          </cell>
          <cell r="B914" t="str">
            <v>3300</v>
          </cell>
          <cell r="C914" t="str">
            <v>3001</v>
          </cell>
          <cell r="D914" t="str">
            <v>DL</v>
          </cell>
          <cell r="E914" t="str">
            <v/>
          </cell>
          <cell r="F914" t="str">
            <v>2024</v>
          </cell>
          <cell r="G914" t="str">
            <v>6</v>
          </cell>
          <cell r="H914">
            <v>0</v>
          </cell>
          <cell r="I914">
            <v>0</v>
          </cell>
          <cell r="J914" t="str">
            <v/>
          </cell>
          <cell r="K914" t="str">
            <v/>
          </cell>
          <cell r="L914" t="str">
            <v/>
          </cell>
          <cell r="M914" t="str">
            <v/>
          </cell>
          <cell r="N914">
            <v>45469</v>
          </cell>
          <cell r="O914" t="str">
            <v>X</v>
          </cell>
          <cell r="P914" t="str">
            <v>2024</v>
          </cell>
          <cell r="Q914">
            <v>0</v>
          </cell>
          <cell r="R914" t="str">
            <v>INAKTIV</v>
          </cell>
        </row>
        <row r="915">
          <cell r="A915" t="str">
            <v>4038650</v>
          </cell>
          <cell r="B915" t="str">
            <v>3300</v>
          </cell>
          <cell r="C915" t="str">
            <v>3001</v>
          </cell>
          <cell r="D915" t="str">
            <v>DL</v>
          </cell>
          <cell r="E915" t="str">
            <v/>
          </cell>
          <cell r="F915" t="str">
            <v>2024</v>
          </cell>
          <cell r="G915" t="str">
            <v>6</v>
          </cell>
          <cell r="H915">
            <v>0</v>
          </cell>
          <cell r="I915">
            <v>0</v>
          </cell>
          <cell r="J915" t="str">
            <v/>
          </cell>
          <cell r="K915" t="str">
            <v/>
          </cell>
          <cell r="L915" t="str">
            <v/>
          </cell>
          <cell r="M915" t="str">
            <v/>
          </cell>
          <cell r="N915">
            <v>45469</v>
          </cell>
          <cell r="O915" t="str">
            <v>X</v>
          </cell>
          <cell r="P915" t="str">
            <v>2024</v>
          </cell>
          <cell r="Q915">
            <v>0</v>
          </cell>
          <cell r="R915" t="str">
            <v>INAKTIV</v>
          </cell>
        </row>
        <row r="916">
          <cell r="A916" t="str">
            <v>4038735</v>
          </cell>
          <cell r="B916" t="str">
            <v>3300</v>
          </cell>
          <cell r="C916" t="str">
            <v>3001</v>
          </cell>
          <cell r="D916" t="str">
            <v>L</v>
          </cell>
          <cell r="E916" t="str">
            <v/>
          </cell>
          <cell r="F916" t="str">
            <v>2025</v>
          </cell>
          <cell r="G916" t="str">
            <v>2</v>
          </cell>
          <cell r="H916">
            <v>180</v>
          </cell>
          <cell r="I916">
            <v>0</v>
          </cell>
          <cell r="J916" t="str">
            <v>X</v>
          </cell>
          <cell r="K916" t="str">
            <v/>
          </cell>
          <cell r="L916" t="str">
            <v>02:12:03</v>
          </cell>
          <cell r="M916">
            <v>46029</v>
          </cell>
          <cell r="N916">
            <v>45450</v>
          </cell>
          <cell r="O916" t="str">
            <v>X</v>
          </cell>
          <cell r="P916" t="str">
            <v>2026</v>
          </cell>
          <cell r="Q916">
            <v>180</v>
          </cell>
          <cell r="R916" t="str">
            <v/>
          </cell>
        </row>
        <row r="917">
          <cell r="A917" t="str">
            <v>4038736</v>
          </cell>
          <cell r="B917" t="str">
            <v>3300</v>
          </cell>
          <cell r="C917" t="str">
            <v>3001</v>
          </cell>
          <cell r="D917" t="str">
            <v>L</v>
          </cell>
          <cell r="E917" t="str">
            <v/>
          </cell>
          <cell r="F917" t="str">
            <v>2025</v>
          </cell>
          <cell r="G917" t="str">
            <v>9</v>
          </cell>
          <cell r="H917">
            <v>110</v>
          </cell>
          <cell r="I917">
            <v>0</v>
          </cell>
          <cell r="J917" t="str">
            <v>X</v>
          </cell>
          <cell r="K917" t="str">
            <v/>
          </cell>
          <cell r="L917" t="str">
            <v>02:12:01</v>
          </cell>
          <cell r="M917">
            <v>46029</v>
          </cell>
          <cell r="N917">
            <v>45450</v>
          </cell>
          <cell r="O917" t="str">
            <v>X</v>
          </cell>
          <cell r="P917" t="str">
            <v>2026</v>
          </cell>
          <cell r="Q917">
            <v>110</v>
          </cell>
          <cell r="R917" t="str">
            <v/>
          </cell>
        </row>
        <row r="918">
          <cell r="A918" t="str">
            <v>4038737</v>
          </cell>
          <cell r="B918" t="str">
            <v>3300</v>
          </cell>
          <cell r="C918" t="str">
            <v>3001</v>
          </cell>
          <cell r="D918" t="str">
            <v>L</v>
          </cell>
          <cell r="E918" t="str">
            <v>X</v>
          </cell>
          <cell r="F918" t="str">
            <v>2025</v>
          </cell>
          <cell r="G918" t="str">
            <v>8</v>
          </cell>
          <cell r="H918">
            <v>0</v>
          </cell>
          <cell r="I918">
            <v>0</v>
          </cell>
          <cell r="J918" t="str">
            <v/>
          </cell>
          <cell r="K918" t="str">
            <v/>
          </cell>
          <cell r="L918" t="str">
            <v>SLETTET</v>
          </cell>
          <cell r="M918" t="str">
            <v/>
          </cell>
          <cell r="N918">
            <v>45450</v>
          </cell>
          <cell r="O918" t="str">
            <v>X</v>
          </cell>
          <cell r="P918" t="str">
            <v>2024</v>
          </cell>
          <cell r="Q918">
            <v>0</v>
          </cell>
          <cell r="R918" t="str">
            <v>INAKTIV</v>
          </cell>
        </row>
        <row r="919">
          <cell r="A919" t="str">
            <v>4038742</v>
          </cell>
          <cell r="B919" t="str">
            <v>3300</v>
          </cell>
          <cell r="C919" t="str">
            <v>3001</v>
          </cell>
          <cell r="D919" t="str">
            <v>L</v>
          </cell>
          <cell r="E919" t="str">
            <v/>
          </cell>
          <cell r="F919" t="str">
            <v>2026</v>
          </cell>
          <cell r="G919" t="str">
            <v>2</v>
          </cell>
          <cell r="H919">
            <v>110</v>
          </cell>
          <cell r="I919">
            <v>0</v>
          </cell>
          <cell r="J919" t="str">
            <v>X</v>
          </cell>
          <cell r="K919" t="str">
            <v/>
          </cell>
          <cell r="L919" t="str">
            <v>02:13:01</v>
          </cell>
          <cell r="M919">
            <v>46029</v>
          </cell>
          <cell r="N919">
            <v>45450</v>
          </cell>
          <cell r="O919" t="str">
            <v>X</v>
          </cell>
          <cell r="P919" t="str">
            <v>2026</v>
          </cell>
          <cell r="Q919">
            <v>110</v>
          </cell>
          <cell r="R919" t="str">
            <v/>
          </cell>
        </row>
        <row r="920">
          <cell r="A920" t="str">
            <v>4038743</v>
          </cell>
          <cell r="B920" t="str">
            <v>3300</v>
          </cell>
          <cell r="C920" t="str">
            <v>3001</v>
          </cell>
          <cell r="D920" t="str">
            <v>L</v>
          </cell>
          <cell r="E920" t="str">
            <v/>
          </cell>
          <cell r="F920" t="str">
            <v>2026</v>
          </cell>
          <cell r="G920" t="str">
            <v>1</v>
          </cell>
          <cell r="H920">
            <v>90</v>
          </cell>
          <cell r="I920">
            <v>0</v>
          </cell>
          <cell r="J920" t="str">
            <v>X</v>
          </cell>
          <cell r="K920" t="str">
            <v/>
          </cell>
          <cell r="L920" t="str">
            <v>02:13:02</v>
          </cell>
          <cell r="M920">
            <v>46029</v>
          </cell>
          <cell r="N920">
            <v>45450</v>
          </cell>
          <cell r="O920" t="str">
            <v>X</v>
          </cell>
          <cell r="P920" t="str">
            <v>2026</v>
          </cell>
          <cell r="Q920">
            <v>90</v>
          </cell>
          <cell r="R920" t="str">
            <v/>
          </cell>
        </row>
        <row r="921">
          <cell r="A921" t="str">
            <v>4039173</v>
          </cell>
          <cell r="B921" t="str">
            <v>3300</v>
          </cell>
          <cell r="C921" t="str">
            <v>3001</v>
          </cell>
          <cell r="D921" t="str">
            <v>DL</v>
          </cell>
          <cell r="E921" t="str">
            <v/>
          </cell>
          <cell r="F921" t="str">
            <v>2024</v>
          </cell>
          <cell r="G921" t="str">
            <v>6</v>
          </cell>
          <cell r="H921">
            <v>0</v>
          </cell>
          <cell r="I921">
            <v>0</v>
          </cell>
          <cell r="J921" t="str">
            <v/>
          </cell>
          <cell r="K921" t="str">
            <v/>
          </cell>
          <cell r="L921" t="str">
            <v/>
          </cell>
          <cell r="M921" t="str">
            <v/>
          </cell>
          <cell r="N921">
            <v>45464</v>
          </cell>
          <cell r="O921" t="str">
            <v>X</v>
          </cell>
          <cell r="P921" t="str">
            <v>2024</v>
          </cell>
          <cell r="Q921">
            <v>0</v>
          </cell>
          <cell r="R921" t="str">
            <v>INAKTIV</v>
          </cell>
        </row>
        <row r="922">
          <cell r="A922" t="str">
            <v>4039174</v>
          </cell>
          <cell r="B922" t="str">
            <v>3300</v>
          </cell>
          <cell r="C922" t="str">
            <v>3001</v>
          </cell>
          <cell r="D922" t="str">
            <v>DL</v>
          </cell>
          <cell r="E922" t="str">
            <v/>
          </cell>
          <cell r="F922" t="str">
            <v>2024</v>
          </cell>
          <cell r="G922" t="str">
            <v>6</v>
          </cell>
          <cell r="H922">
            <v>0</v>
          </cell>
          <cell r="I922">
            <v>0</v>
          </cell>
          <cell r="J922" t="str">
            <v/>
          </cell>
          <cell r="K922" t="str">
            <v/>
          </cell>
          <cell r="L922" t="str">
            <v/>
          </cell>
          <cell r="M922" t="str">
            <v/>
          </cell>
          <cell r="N922">
            <v>45464</v>
          </cell>
          <cell r="O922" t="str">
            <v>X</v>
          </cell>
          <cell r="P922" t="str">
            <v>2024</v>
          </cell>
          <cell r="Q922">
            <v>0</v>
          </cell>
          <cell r="R922" t="str">
            <v>INAKTIV</v>
          </cell>
        </row>
        <row r="923">
          <cell r="A923" t="str">
            <v>4039175</v>
          </cell>
          <cell r="B923" t="str">
            <v>3300</v>
          </cell>
          <cell r="C923" t="str">
            <v>3001</v>
          </cell>
          <cell r="D923" t="str">
            <v>DL</v>
          </cell>
          <cell r="E923" t="str">
            <v/>
          </cell>
          <cell r="F923" t="str">
            <v>2024</v>
          </cell>
          <cell r="G923" t="str">
            <v>6</v>
          </cell>
          <cell r="H923">
            <v>0</v>
          </cell>
          <cell r="I923">
            <v>0</v>
          </cell>
          <cell r="J923" t="str">
            <v/>
          </cell>
          <cell r="K923" t="str">
            <v/>
          </cell>
          <cell r="L923" t="str">
            <v/>
          </cell>
          <cell r="M923" t="str">
            <v/>
          </cell>
          <cell r="N923">
            <v>45464</v>
          </cell>
          <cell r="O923" t="str">
            <v>X</v>
          </cell>
          <cell r="P923" t="str">
            <v>2024</v>
          </cell>
          <cell r="Q923">
            <v>0</v>
          </cell>
          <cell r="R923" t="str">
            <v>INAKTIV</v>
          </cell>
        </row>
        <row r="924">
          <cell r="A924" t="str">
            <v>4039176</v>
          </cell>
          <cell r="B924" t="str">
            <v>3300</v>
          </cell>
          <cell r="C924" t="str">
            <v>3001</v>
          </cell>
          <cell r="D924" t="str">
            <v>DL</v>
          </cell>
          <cell r="E924" t="str">
            <v/>
          </cell>
          <cell r="F924" t="str">
            <v>2024</v>
          </cell>
          <cell r="G924" t="str">
            <v>6</v>
          </cell>
          <cell r="H924">
            <v>0</v>
          </cell>
          <cell r="I924">
            <v>0</v>
          </cell>
          <cell r="J924" t="str">
            <v/>
          </cell>
          <cell r="K924" t="str">
            <v/>
          </cell>
          <cell r="L924" t="str">
            <v/>
          </cell>
          <cell r="M924" t="str">
            <v/>
          </cell>
          <cell r="N924">
            <v>45464</v>
          </cell>
          <cell r="O924" t="str">
            <v>X</v>
          </cell>
          <cell r="P924" t="str">
            <v>2024</v>
          </cell>
          <cell r="Q924">
            <v>0</v>
          </cell>
          <cell r="R924" t="str">
            <v>INAKTIV</v>
          </cell>
        </row>
        <row r="925">
          <cell r="A925" t="str">
            <v>4039177</v>
          </cell>
          <cell r="B925" t="str">
            <v>3300</v>
          </cell>
          <cell r="C925" t="str">
            <v>3001</v>
          </cell>
          <cell r="D925" t="str">
            <v>DL</v>
          </cell>
          <cell r="E925" t="str">
            <v/>
          </cell>
          <cell r="F925" t="str">
            <v>2024</v>
          </cell>
          <cell r="G925" t="str">
            <v>6</v>
          </cell>
          <cell r="H925">
            <v>0</v>
          </cell>
          <cell r="I925">
            <v>0</v>
          </cell>
          <cell r="J925" t="str">
            <v/>
          </cell>
          <cell r="K925" t="str">
            <v/>
          </cell>
          <cell r="L925" t="str">
            <v/>
          </cell>
          <cell r="M925" t="str">
            <v/>
          </cell>
          <cell r="N925">
            <v>45464</v>
          </cell>
          <cell r="O925" t="str">
            <v>X</v>
          </cell>
          <cell r="P925" t="str">
            <v>2024</v>
          </cell>
          <cell r="Q925">
            <v>0</v>
          </cell>
          <cell r="R925" t="str">
            <v>INAKTIV</v>
          </cell>
        </row>
        <row r="926">
          <cell r="A926" t="str">
            <v>4039951</v>
          </cell>
          <cell r="B926" t="str">
            <v>3300</v>
          </cell>
          <cell r="C926" t="str">
            <v>3001</v>
          </cell>
          <cell r="D926" t="str">
            <v>DL</v>
          </cell>
          <cell r="E926" t="str">
            <v/>
          </cell>
          <cell r="F926" t="str">
            <v>2024</v>
          </cell>
          <cell r="G926" t="str">
            <v>6</v>
          </cell>
          <cell r="H926">
            <v>0</v>
          </cell>
          <cell r="I926">
            <v>0</v>
          </cell>
          <cell r="J926" t="str">
            <v/>
          </cell>
          <cell r="K926" t="str">
            <v/>
          </cell>
          <cell r="L926" t="str">
            <v/>
          </cell>
          <cell r="M926" t="str">
            <v/>
          </cell>
          <cell r="N926">
            <v>45469</v>
          </cell>
          <cell r="O926" t="str">
            <v>X</v>
          </cell>
          <cell r="P926" t="str">
            <v>2024</v>
          </cell>
          <cell r="Q926">
            <v>0</v>
          </cell>
          <cell r="R926" t="str">
            <v>INAKTIV</v>
          </cell>
        </row>
        <row r="927">
          <cell r="A927" t="str">
            <v>4039952</v>
          </cell>
          <cell r="B927" t="str">
            <v>3300</v>
          </cell>
          <cell r="C927" t="str">
            <v>3001</v>
          </cell>
          <cell r="D927" t="str">
            <v>DL</v>
          </cell>
          <cell r="E927" t="str">
            <v/>
          </cell>
          <cell r="F927" t="str">
            <v>2024</v>
          </cell>
          <cell r="G927" t="str">
            <v>6</v>
          </cell>
          <cell r="H927">
            <v>0</v>
          </cell>
          <cell r="I927">
            <v>0</v>
          </cell>
          <cell r="J927" t="str">
            <v/>
          </cell>
          <cell r="K927" t="str">
            <v/>
          </cell>
          <cell r="L927" t="str">
            <v/>
          </cell>
          <cell r="M927" t="str">
            <v/>
          </cell>
          <cell r="N927">
            <v>45469</v>
          </cell>
          <cell r="O927" t="str">
            <v>X</v>
          </cell>
          <cell r="P927" t="str">
            <v>2024</v>
          </cell>
          <cell r="Q927">
            <v>0</v>
          </cell>
          <cell r="R927" t="str">
            <v>INAKTIV</v>
          </cell>
        </row>
        <row r="928">
          <cell r="A928" t="str">
            <v>4039953</v>
          </cell>
          <cell r="B928" t="str">
            <v>3300</v>
          </cell>
          <cell r="C928" t="str">
            <v>3001</v>
          </cell>
          <cell r="D928" t="str">
            <v>DL</v>
          </cell>
          <cell r="E928" t="str">
            <v/>
          </cell>
          <cell r="F928" t="str">
            <v>2024</v>
          </cell>
          <cell r="G928" t="str">
            <v>6</v>
          </cell>
          <cell r="H928">
            <v>0</v>
          </cell>
          <cell r="I928">
            <v>0</v>
          </cell>
          <cell r="J928" t="str">
            <v/>
          </cell>
          <cell r="K928" t="str">
            <v/>
          </cell>
          <cell r="L928" t="str">
            <v/>
          </cell>
          <cell r="M928" t="str">
            <v/>
          </cell>
          <cell r="N928">
            <v>45469</v>
          </cell>
          <cell r="O928" t="str">
            <v>X</v>
          </cell>
          <cell r="P928" t="str">
            <v>2024</v>
          </cell>
          <cell r="Q928">
            <v>0</v>
          </cell>
          <cell r="R928" t="str">
            <v>INAKTIV</v>
          </cell>
        </row>
        <row r="929">
          <cell r="A929" t="str">
            <v>4039954</v>
          </cell>
          <cell r="B929" t="str">
            <v>3300</v>
          </cell>
          <cell r="C929" t="str">
            <v>3001</v>
          </cell>
          <cell r="D929" t="str">
            <v>DL</v>
          </cell>
          <cell r="E929" t="str">
            <v/>
          </cell>
          <cell r="F929" t="str">
            <v>2024</v>
          </cell>
          <cell r="G929" t="str">
            <v>6</v>
          </cell>
          <cell r="H929">
            <v>0</v>
          </cell>
          <cell r="I929">
            <v>0</v>
          </cell>
          <cell r="J929" t="str">
            <v/>
          </cell>
          <cell r="K929" t="str">
            <v/>
          </cell>
          <cell r="L929" t="str">
            <v/>
          </cell>
          <cell r="M929" t="str">
            <v/>
          </cell>
          <cell r="N929">
            <v>45469</v>
          </cell>
          <cell r="O929" t="str">
            <v>X</v>
          </cell>
          <cell r="P929" t="str">
            <v>2024</v>
          </cell>
          <cell r="Q929">
            <v>0</v>
          </cell>
          <cell r="R929" t="str">
            <v>INAKTIV</v>
          </cell>
        </row>
        <row r="930">
          <cell r="A930" t="str">
            <v>4039955</v>
          </cell>
          <cell r="B930" t="str">
            <v>3300</v>
          </cell>
          <cell r="C930" t="str">
            <v>3001</v>
          </cell>
          <cell r="D930" t="str">
            <v>DL</v>
          </cell>
          <cell r="E930" t="str">
            <v/>
          </cell>
          <cell r="F930" t="str">
            <v>2024</v>
          </cell>
          <cell r="G930" t="str">
            <v>6</v>
          </cell>
          <cell r="H930">
            <v>0</v>
          </cell>
          <cell r="I930">
            <v>0</v>
          </cell>
          <cell r="J930" t="str">
            <v/>
          </cell>
          <cell r="K930" t="str">
            <v/>
          </cell>
          <cell r="L930" t="str">
            <v/>
          </cell>
          <cell r="M930" t="str">
            <v/>
          </cell>
          <cell r="N930">
            <v>45469</v>
          </cell>
          <cell r="O930" t="str">
            <v>X</v>
          </cell>
          <cell r="P930" t="str">
            <v>2024</v>
          </cell>
          <cell r="Q930">
            <v>0</v>
          </cell>
          <cell r="R930" t="str">
            <v>INAKTIV</v>
          </cell>
        </row>
        <row r="931">
          <cell r="A931" t="str">
            <v>4039956</v>
          </cell>
          <cell r="B931" t="str">
            <v>3300</v>
          </cell>
          <cell r="C931" t="str">
            <v>3001</v>
          </cell>
          <cell r="D931" t="str">
            <v>DL</v>
          </cell>
          <cell r="E931" t="str">
            <v/>
          </cell>
          <cell r="F931" t="str">
            <v>2024</v>
          </cell>
          <cell r="G931" t="str">
            <v>6</v>
          </cell>
          <cell r="H931">
            <v>0</v>
          </cell>
          <cell r="I931">
            <v>0</v>
          </cell>
          <cell r="J931" t="str">
            <v/>
          </cell>
          <cell r="K931" t="str">
            <v/>
          </cell>
          <cell r="L931" t="str">
            <v/>
          </cell>
          <cell r="M931" t="str">
            <v/>
          </cell>
          <cell r="N931">
            <v>45469</v>
          </cell>
          <cell r="O931" t="str">
            <v>X</v>
          </cell>
          <cell r="P931" t="str">
            <v>2024</v>
          </cell>
          <cell r="Q931">
            <v>0</v>
          </cell>
          <cell r="R931" t="str">
            <v>INAKTIV</v>
          </cell>
        </row>
        <row r="932">
          <cell r="A932" t="str">
            <v>4043184</v>
          </cell>
          <cell r="B932" t="str">
            <v>3300</v>
          </cell>
          <cell r="C932" t="str">
            <v>3001</v>
          </cell>
          <cell r="D932" t="str">
            <v>DL</v>
          </cell>
          <cell r="E932" t="str">
            <v/>
          </cell>
          <cell r="F932" t="str">
            <v>2026</v>
          </cell>
          <cell r="G932" t="str">
            <v>2</v>
          </cell>
          <cell r="H932">
            <v>176</v>
          </cell>
          <cell r="I932">
            <v>0</v>
          </cell>
          <cell r="J932" t="str">
            <v>X</v>
          </cell>
          <cell r="K932" t="str">
            <v/>
          </cell>
          <cell r="L932" t="str">
            <v>04:09:03</v>
          </cell>
          <cell r="M932">
            <v>46029</v>
          </cell>
          <cell r="N932">
            <v>45609</v>
          </cell>
          <cell r="O932" t="str">
            <v>X</v>
          </cell>
          <cell r="P932" t="str">
            <v>2026</v>
          </cell>
          <cell r="Q932">
            <v>176</v>
          </cell>
          <cell r="R932" t="str">
            <v/>
          </cell>
        </row>
        <row r="933">
          <cell r="A933" t="str">
            <v>4044449</v>
          </cell>
          <cell r="B933" t="str">
            <v>3300</v>
          </cell>
          <cell r="C933" t="str">
            <v>3001</v>
          </cell>
          <cell r="D933" t="str">
            <v>DL</v>
          </cell>
          <cell r="E933" t="str">
            <v/>
          </cell>
          <cell r="F933" t="str">
            <v>2026</v>
          </cell>
          <cell r="G933" t="str">
            <v>2</v>
          </cell>
          <cell r="H933">
            <v>112</v>
          </cell>
          <cell r="I933">
            <v>0</v>
          </cell>
          <cell r="J933" t="str">
            <v/>
          </cell>
          <cell r="K933" t="str">
            <v/>
          </cell>
          <cell r="L933" t="str">
            <v>11:01:00</v>
          </cell>
          <cell r="M933" t="str">
            <v/>
          </cell>
          <cell r="N933">
            <v>45818</v>
          </cell>
          <cell r="O933" t="str">
            <v>X</v>
          </cell>
          <cell r="P933" t="str">
            <v>2026</v>
          </cell>
          <cell r="Q933">
            <v>112</v>
          </cell>
          <cell r="R933" t="str">
            <v/>
          </cell>
        </row>
        <row r="934">
          <cell r="A934" t="str">
            <v>4044451</v>
          </cell>
          <cell r="B934" t="str">
            <v>3300</v>
          </cell>
          <cell r="C934" t="str">
            <v>3001</v>
          </cell>
          <cell r="D934" t="str">
            <v>DL</v>
          </cell>
          <cell r="E934" t="str">
            <v/>
          </cell>
          <cell r="F934" t="str">
            <v>2025</v>
          </cell>
          <cell r="G934" t="str">
            <v>9</v>
          </cell>
          <cell r="H934">
            <v>0</v>
          </cell>
          <cell r="I934">
            <v>0</v>
          </cell>
          <cell r="J934" t="str">
            <v/>
          </cell>
          <cell r="K934" t="str">
            <v/>
          </cell>
          <cell r="L934" t="str">
            <v/>
          </cell>
          <cell r="M934" t="str">
            <v/>
          </cell>
          <cell r="N934">
            <v>45922</v>
          </cell>
          <cell r="O934" t="str">
            <v>X</v>
          </cell>
          <cell r="P934" t="str">
            <v>2025</v>
          </cell>
          <cell r="Q934">
            <v>0</v>
          </cell>
          <cell r="R934" t="str">
            <v>INAKTIV</v>
          </cell>
        </row>
        <row r="935">
          <cell r="A935" t="str">
            <v>4044453</v>
          </cell>
          <cell r="B935" t="str">
            <v>3300</v>
          </cell>
          <cell r="C935" t="str">
            <v>3001</v>
          </cell>
          <cell r="D935" t="str">
            <v>DL</v>
          </cell>
          <cell r="E935" t="str">
            <v/>
          </cell>
          <cell r="F935" t="str">
            <v>2026</v>
          </cell>
          <cell r="G935" t="str">
            <v>1</v>
          </cell>
          <cell r="H935">
            <v>1400</v>
          </cell>
          <cell r="I935">
            <v>0</v>
          </cell>
          <cell r="J935" t="str">
            <v>X</v>
          </cell>
          <cell r="K935" t="str">
            <v/>
          </cell>
          <cell r="L935" t="str">
            <v>04:12:01</v>
          </cell>
          <cell r="M935">
            <v>46029</v>
          </cell>
          <cell r="N935">
            <v>45819</v>
          </cell>
          <cell r="O935" t="str">
            <v>X</v>
          </cell>
          <cell r="P935" t="str">
            <v>2026</v>
          </cell>
          <cell r="Q935">
            <v>1400</v>
          </cell>
          <cell r="R935" t="str">
            <v/>
          </cell>
        </row>
        <row r="936">
          <cell r="A936" t="str">
            <v>4044460</v>
          </cell>
          <cell r="B936" t="str">
            <v>3300</v>
          </cell>
          <cell r="C936" t="str">
            <v>3001</v>
          </cell>
          <cell r="D936" t="str">
            <v>DL</v>
          </cell>
          <cell r="E936" t="str">
            <v/>
          </cell>
          <cell r="F936" t="str">
            <v>2026</v>
          </cell>
          <cell r="G936" t="str">
            <v>1</v>
          </cell>
          <cell r="H936">
            <v>180</v>
          </cell>
          <cell r="I936">
            <v>0</v>
          </cell>
          <cell r="J936" t="str">
            <v>X</v>
          </cell>
          <cell r="K936" t="str">
            <v/>
          </cell>
          <cell r="L936" t="str">
            <v>09:04:00</v>
          </cell>
          <cell r="M936">
            <v>46030</v>
          </cell>
          <cell r="N936">
            <v>45819</v>
          </cell>
          <cell r="O936" t="str">
            <v>X</v>
          </cell>
          <cell r="P936" t="str">
            <v>2026</v>
          </cell>
          <cell r="Q936">
            <v>180</v>
          </cell>
          <cell r="R936" t="str">
            <v/>
          </cell>
        </row>
        <row r="937">
          <cell r="A937" t="str">
            <v>4044461</v>
          </cell>
          <cell r="B937" t="str">
            <v>3300</v>
          </cell>
          <cell r="C937" t="str">
            <v>3001</v>
          </cell>
          <cell r="D937" t="str">
            <v>DL</v>
          </cell>
          <cell r="E937" t="str">
            <v/>
          </cell>
          <cell r="F937" t="str">
            <v>2025</v>
          </cell>
          <cell r="G937" t="str">
            <v>12</v>
          </cell>
          <cell r="H937">
            <v>504</v>
          </cell>
          <cell r="I937">
            <v>0</v>
          </cell>
          <cell r="J937" t="str">
            <v>X</v>
          </cell>
          <cell r="K937" t="str">
            <v/>
          </cell>
          <cell r="L937" t="str">
            <v>15:11:00</v>
          </cell>
          <cell r="M937">
            <v>46030</v>
          </cell>
          <cell r="N937">
            <v>45819</v>
          </cell>
          <cell r="O937" t="str">
            <v>X</v>
          </cell>
          <cell r="P937" t="str">
            <v>2026</v>
          </cell>
          <cell r="Q937">
            <v>504</v>
          </cell>
          <cell r="R937" t="str">
            <v/>
          </cell>
        </row>
        <row r="938">
          <cell r="A938" t="str">
            <v>4044462</v>
          </cell>
          <cell r="B938" t="str">
            <v>3300</v>
          </cell>
          <cell r="C938" t="str">
            <v>3001</v>
          </cell>
          <cell r="D938" t="str">
            <v>DL</v>
          </cell>
          <cell r="E938" t="str">
            <v/>
          </cell>
          <cell r="F938" t="str">
            <v>2026</v>
          </cell>
          <cell r="G938" t="str">
            <v>1</v>
          </cell>
          <cell r="H938">
            <v>66</v>
          </cell>
          <cell r="I938">
            <v>0</v>
          </cell>
          <cell r="J938" t="str">
            <v>X</v>
          </cell>
          <cell r="K938" t="str">
            <v/>
          </cell>
          <cell r="L938" t="str">
            <v>10:04:02</v>
          </cell>
          <cell r="M938">
            <v>46030</v>
          </cell>
          <cell r="N938">
            <v>45819</v>
          </cell>
          <cell r="O938" t="str">
            <v>X</v>
          </cell>
          <cell r="P938" t="str">
            <v>2026</v>
          </cell>
          <cell r="Q938">
            <v>66</v>
          </cell>
          <cell r="R938" t="str">
            <v/>
          </cell>
        </row>
        <row r="939">
          <cell r="A939" t="str">
            <v>4044466</v>
          </cell>
          <cell r="B939" t="str">
            <v>3300</v>
          </cell>
          <cell r="C939" t="str">
            <v>3001</v>
          </cell>
          <cell r="D939" t="str">
            <v>DL</v>
          </cell>
          <cell r="E939" t="str">
            <v/>
          </cell>
          <cell r="F939" t="str">
            <v>2026</v>
          </cell>
          <cell r="G939" t="str">
            <v>2</v>
          </cell>
          <cell r="H939">
            <v>31</v>
          </cell>
          <cell r="I939">
            <v>0</v>
          </cell>
          <cell r="J939" t="str">
            <v>X</v>
          </cell>
          <cell r="K939" t="str">
            <v/>
          </cell>
          <cell r="L939" t="str">
            <v>05:03:02</v>
          </cell>
          <cell r="M939">
            <v>46029</v>
          </cell>
          <cell r="N939">
            <v>45819</v>
          </cell>
          <cell r="O939" t="str">
            <v>X</v>
          </cell>
          <cell r="P939" t="str">
            <v>2026</v>
          </cell>
          <cell r="Q939">
            <v>31</v>
          </cell>
          <cell r="R939" t="str">
            <v/>
          </cell>
        </row>
        <row r="940">
          <cell r="A940" t="str">
            <v>4044863</v>
          </cell>
          <cell r="B940" t="str">
            <v>3300</v>
          </cell>
          <cell r="C940" t="str">
            <v>3001</v>
          </cell>
          <cell r="D940" t="str">
            <v>DL</v>
          </cell>
          <cell r="E940" t="str">
            <v/>
          </cell>
          <cell r="F940" t="str">
            <v>2026</v>
          </cell>
          <cell r="G940" t="str">
            <v>2</v>
          </cell>
          <cell r="H940">
            <v>260</v>
          </cell>
          <cell r="I940">
            <v>0</v>
          </cell>
          <cell r="J940" t="str">
            <v>X</v>
          </cell>
          <cell r="K940" t="str">
            <v/>
          </cell>
          <cell r="L940" t="str">
            <v>11:09:01</v>
          </cell>
          <cell r="M940">
            <v>46030</v>
          </cell>
          <cell r="N940">
            <v>45923</v>
          </cell>
          <cell r="O940" t="str">
            <v>X</v>
          </cell>
          <cell r="P940" t="str">
            <v>2026</v>
          </cell>
          <cell r="Q940">
            <v>260</v>
          </cell>
          <cell r="R940" t="str">
            <v/>
          </cell>
        </row>
        <row r="941">
          <cell r="A941" t="str">
            <v>4044864</v>
          </cell>
          <cell r="B941" t="str">
            <v>3300</v>
          </cell>
          <cell r="C941" t="str">
            <v>3001</v>
          </cell>
          <cell r="D941" t="str">
            <v>DL</v>
          </cell>
          <cell r="E941" t="str">
            <v/>
          </cell>
          <cell r="F941" t="str">
            <v>2026</v>
          </cell>
          <cell r="G941" t="str">
            <v>2</v>
          </cell>
          <cell r="H941">
            <v>290</v>
          </cell>
          <cell r="I941">
            <v>0</v>
          </cell>
          <cell r="J941" t="str">
            <v>X</v>
          </cell>
          <cell r="K941" t="str">
            <v/>
          </cell>
          <cell r="L941" t="str">
            <v>12:07:02</v>
          </cell>
          <cell r="M941">
            <v>46030</v>
          </cell>
          <cell r="N941">
            <v>45923</v>
          </cell>
          <cell r="O941" t="str">
            <v>X</v>
          </cell>
          <cell r="P941" t="str">
            <v>2026</v>
          </cell>
          <cell r="Q941">
            <v>290</v>
          </cell>
          <cell r="R941" t="str">
            <v/>
          </cell>
        </row>
        <row r="942">
          <cell r="A942" t="str">
            <v>4045013</v>
          </cell>
          <cell r="B942" t="str">
            <v>3300</v>
          </cell>
          <cell r="C942" t="str">
            <v>3001</v>
          </cell>
          <cell r="D942" t="str">
            <v>DL</v>
          </cell>
          <cell r="E942" t="str">
            <v/>
          </cell>
          <cell r="F942" t="str">
            <v>2025</v>
          </cell>
          <cell r="G942" t="str">
            <v>6</v>
          </cell>
          <cell r="H942">
            <v>0</v>
          </cell>
          <cell r="I942">
            <v>0</v>
          </cell>
          <cell r="J942" t="str">
            <v/>
          </cell>
          <cell r="K942" t="str">
            <v/>
          </cell>
          <cell r="L942" t="str">
            <v/>
          </cell>
          <cell r="M942" t="str">
            <v/>
          </cell>
          <cell r="N942">
            <v>45819</v>
          </cell>
          <cell r="O942" t="str">
            <v>X</v>
          </cell>
          <cell r="P942" t="str">
            <v>2025</v>
          </cell>
          <cell r="Q942">
            <v>0</v>
          </cell>
          <cell r="R942" t="str">
            <v>INAKTIV</v>
          </cell>
        </row>
        <row r="943">
          <cell r="A943" t="str">
            <v>4045014</v>
          </cell>
          <cell r="B943" t="str">
            <v>3300</v>
          </cell>
          <cell r="C943" t="str">
            <v>3001</v>
          </cell>
          <cell r="D943" t="str">
            <v>DL</v>
          </cell>
          <cell r="E943" t="str">
            <v/>
          </cell>
          <cell r="F943" t="str">
            <v>2026</v>
          </cell>
          <cell r="G943" t="str">
            <v>2</v>
          </cell>
          <cell r="H943">
            <v>590</v>
          </cell>
          <cell r="I943">
            <v>0</v>
          </cell>
          <cell r="J943" t="str">
            <v>X</v>
          </cell>
          <cell r="K943" t="str">
            <v/>
          </cell>
          <cell r="L943" t="str">
            <v>04:10:03</v>
          </cell>
          <cell r="M943">
            <v>46029</v>
          </cell>
          <cell r="N943">
            <v>45819</v>
          </cell>
          <cell r="O943" t="str">
            <v>X</v>
          </cell>
          <cell r="P943" t="str">
            <v>2026</v>
          </cell>
          <cell r="Q943">
            <v>590</v>
          </cell>
          <cell r="R943" t="str">
            <v/>
          </cell>
        </row>
        <row r="944">
          <cell r="A944" t="str">
            <v>4045015</v>
          </cell>
          <cell r="B944" t="str">
            <v>3300</v>
          </cell>
          <cell r="C944" t="str">
            <v>3001</v>
          </cell>
          <cell r="D944" t="str">
            <v>DL</v>
          </cell>
          <cell r="E944" t="str">
            <v/>
          </cell>
          <cell r="F944" t="str">
            <v>2025</v>
          </cell>
          <cell r="G944" t="str">
            <v>7</v>
          </cell>
          <cell r="H944">
            <v>2</v>
          </cell>
          <cell r="I944">
            <v>0</v>
          </cell>
          <cell r="J944" t="str">
            <v>X</v>
          </cell>
          <cell r="K944" t="str">
            <v/>
          </cell>
          <cell r="L944" t="str">
            <v>09:10:03</v>
          </cell>
          <cell r="M944">
            <v>46030</v>
          </cell>
          <cell r="N944">
            <v>45819</v>
          </cell>
          <cell r="O944" t="str">
            <v>X</v>
          </cell>
          <cell r="P944" t="str">
            <v>2026</v>
          </cell>
          <cell r="Q944">
            <v>2</v>
          </cell>
          <cell r="R944" t="str">
            <v/>
          </cell>
        </row>
        <row r="945">
          <cell r="A945" t="str">
            <v>4045017</v>
          </cell>
          <cell r="B945" t="str">
            <v>3300</v>
          </cell>
          <cell r="C945" t="str">
            <v>3001</v>
          </cell>
          <cell r="D945" t="str">
            <v>DL</v>
          </cell>
          <cell r="E945" t="str">
            <v/>
          </cell>
          <cell r="F945" t="str">
            <v>2025</v>
          </cell>
          <cell r="G945" t="str">
            <v>9</v>
          </cell>
          <cell r="H945">
            <v>0</v>
          </cell>
          <cell r="I945">
            <v>0</v>
          </cell>
          <cell r="J945" t="str">
            <v/>
          </cell>
          <cell r="K945" t="str">
            <v/>
          </cell>
          <cell r="L945" t="str">
            <v/>
          </cell>
          <cell r="M945" t="str">
            <v/>
          </cell>
          <cell r="N945">
            <v>45922</v>
          </cell>
          <cell r="O945" t="str">
            <v>X</v>
          </cell>
          <cell r="P945" t="str">
            <v>2025</v>
          </cell>
          <cell r="Q945">
            <v>0</v>
          </cell>
          <cell r="R945" t="str">
            <v>INAKTIV</v>
          </cell>
        </row>
        <row r="946">
          <cell r="A946" t="str">
            <v>4045018</v>
          </cell>
          <cell r="B946" t="str">
            <v>3300</v>
          </cell>
          <cell r="C946" t="str">
            <v>3001</v>
          </cell>
          <cell r="D946" t="str">
            <v>DL</v>
          </cell>
          <cell r="E946" t="str">
            <v/>
          </cell>
          <cell r="F946" t="str">
            <v>2025</v>
          </cell>
          <cell r="G946" t="str">
            <v>7</v>
          </cell>
          <cell r="H946">
            <v>2</v>
          </cell>
          <cell r="I946">
            <v>0</v>
          </cell>
          <cell r="J946" t="str">
            <v>X</v>
          </cell>
          <cell r="K946" t="str">
            <v/>
          </cell>
          <cell r="L946" t="str">
            <v>09:04:00</v>
          </cell>
          <cell r="M946">
            <v>46030</v>
          </cell>
          <cell r="N946">
            <v>45818</v>
          </cell>
          <cell r="O946" t="str">
            <v>X</v>
          </cell>
          <cell r="P946" t="str">
            <v>2026</v>
          </cell>
          <cell r="Q946">
            <v>2</v>
          </cell>
          <cell r="R946" t="str">
            <v/>
          </cell>
        </row>
        <row r="947">
          <cell r="A947" t="str">
            <v>4045019</v>
          </cell>
          <cell r="B947" t="str">
            <v>3300</v>
          </cell>
          <cell r="C947" t="str">
            <v>3001</v>
          </cell>
          <cell r="D947" t="str">
            <v>DL</v>
          </cell>
          <cell r="E947" t="str">
            <v/>
          </cell>
          <cell r="F947" t="str">
            <v>2025</v>
          </cell>
          <cell r="G947" t="str">
            <v>9</v>
          </cell>
          <cell r="H947">
            <v>0</v>
          </cell>
          <cell r="I947">
            <v>0</v>
          </cell>
          <cell r="J947" t="str">
            <v/>
          </cell>
          <cell r="K947" t="str">
            <v/>
          </cell>
          <cell r="L947" t="str">
            <v/>
          </cell>
          <cell r="M947" t="str">
            <v/>
          </cell>
          <cell r="N947">
            <v>45922</v>
          </cell>
          <cell r="O947" t="str">
            <v>X</v>
          </cell>
          <cell r="P947" t="str">
            <v>2025</v>
          </cell>
          <cell r="Q947">
            <v>0</v>
          </cell>
          <cell r="R947" t="str">
            <v>INAKTIV</v>
          </cell>
        </row>
        <row r="948">
          <cell r="A948" t="str">
            <v>4045020</v>
          </cell>
          <cell r="B948" t="str">
            <v>3300</v>
          </cell>
          <cell r="C948" t="str">
            <v>3001</v>
          </cell>
          <cell r="D948" t="str">
            <v>DL</v>
          </cell>
          <cell r="E948" t="str">
            <v/>
          </cell>
          <cell r="F948" t="str">
            <v>2026</v>
          </cell>
          <cell r="G948" t="str">
            <v>2</v>
          </cell>
          <cell r="H948">
            <v>1100</v>
          </cell>
          <cell r="I948">
            <v>0</v>
          </cell>
          <cell r="J948" t="str">
            <v>X</v>
          </cell>
          <cell r="K948" t="str">
            <v/>
          </cell>
          <cell r="L948" t="str">
            <v>09:07:00</v>
          </cell>
          <cell r="M948">
            <v>46030</v>
          </cell>
          <cell r="N948">
            <v>45818</v>
          </cell>
          <cell r="O948" t="str">
            <v>X</v>
          </cell>
          <cell r="P948" t="str">
            <v>2026</v>
          </cell>
          <cell r="Q948">
            <v>1100</v>
          </cell>
          <cell r="R948" t="str">
            <v/>
          </cell>
        </row>
        <row r="949">
          <cell r="A949" t="str">
            <v>4045021</v>
          </cell>
          <cell r="B949" t="str">
            <v>3300</v>
          </cell>
          <cell r="C949" t="str">
            <v>3001</v>
          </cell>
          <cell r="D949" t="str">
            <v>DL</v>
          </cell>
          <cell r="E949" t="str">
            <v/>
          </cell>
          <cell r="F949" t="str">
            <v>2025</v>
          </cell>
          <cell r="G949" t="str">
            <v>7</v>
          </cell>
          <cell r="H949">
            <v>5</v>
          </cell>
          <cell r="I949">
            <v>0</v>
          </cell>
          <cell r="J949" t="str">
            <v>X</v>
          </cell>
          <cell r="K949" t="str">
            <v/>
          </cell>
          <cell r="L949" t="str">
            <v>09:01:00</v>
          </cell>
          <cell r="M949">
            <v>46030</v>
          </cell>
          <cell r="N949">
            <v>45818</v>
          </cell>
          <cell r="O949" t="str">
            <v>X</v>
          </cell>
          <cell r="P949" t="str">
            <v>2026</v>
          </cell>
          <cell r="Q949">
            <v>5</v>
          </cell>
          <cell r="R949" t="str">
            <v/>
          </cell>
        </row>
        <row r="950">
          <cell r="A950" t="str">
            <v>4045024</v>
          </cell>
          <cell r="B950" t="str">
            <v>3300</v>
          </cell>
          <cell r="C950" t="str">
            <v>3001</v>
          </cell>
          <cell r="D950" t="str">
            <v>DL</v>
          </cell>
          <cell r="E950" t="str">
            <v/>
          </cell>
          <cell r="F950" t="str">
            <v>2025</v>
          </cell>
          <cell r="G950" t="str">
            <v>7</v>
          </cell>
          <cell r="H950">
            <v>5</v>
          </cell>
          <cell r="I950">
            <v>0</v>
          </cell>
          <cell r="J950" t="str">
            <v>X</v>
          </cell>
          <cell r="K950" t="str">
            <v/>
          </cell>
          <cell r="L950" t="str">
            <v>09:02:00</v>
          </cell>
          <cell r="M950">
            <v>46030</v>
          </cell>
          <cell r="N950">
            <v>45818</v>
          </cell>
          <cell r="O950" t="str">
            <v>X</v>
          </cell>
          <cell r="P950" t="str">
            <v>2026</v>
          </cell>
          <cell r="Q950">
            <v>5</v>
          </cell>
          <cell r="R950" t="str">
            <v/>
          </cell>
        </row>
        <row r="951">
          <cell r="A951" t="str">
            <v>4045025</v>
          </cell>
          <cell r="B951" t="str">
            <v>3300</v>
          </cell>
          <cell r="C951" t="str">
            <v>3001</v>
          </cell>
          <cell r="D951" t="str">
            <v>DL</v>
          </cell>
          <cell r="E951" t="str">
            <v/>
          </cell>
          <cell r="F951" t="str">
            <v>2026</v>
          </cell>
          <cell r="G951" t="str">
            <v>1</v>
          </cell>
          <cell r="H951">
            <v>65</v>
          </cell>
          <cell r="I951">
            <v>0</v>
          </cell>
          <cell r="J951" t="str">
            <v>X</v>
          </cell>
          <cell r="K951" t="str">
            <v/>
          </cell>
          <cell r="L951" t="str">
            <v>09:06:00</v>
          </cell>
          <cell r="M951">
            <v>46030</v>
          </cell>
          <cell r="N951">
            <v>45819</v>
          </cell>
          <cell r="O951" t="str">
            <v>X</v>
          </cell>
          <cell r="P951" t="str">
            <v>2026</v>
          </cell>
          <cell r="Q951">
            <v>65</v>
          </cell>
          <cell r="R951" t="str">
            <v/>
          </cell>
        </row>
        <row r="952">
          <cell r="A952" t="str">
            <v>4045026</v>
          </cell>
          <cell r="B952" t="str">
            <v>3300</v>
          </cell>
          <cell r="C952" t="str">
            <v>3001</v>
          </cell>
          <cell r="D952" t="str">
            <v>DL</v>
          </cell>
          <cell r="E952" t="str">
            <v/>
          </cell>
          <cell r="F952" t="str">
            <v>2026</v>
          </cell>
          <cell r="G952" t="str">
            <v>3</v>
          </cell>
          <cell r="H952">
            <v>36</v>
          </cell>
          <cell r="I952">
            <v>0</v>
          </cell>
          <cell r="J952" t="str">
            <v>X</v>
          </cell>
          <cell r="K952" t="str">
            <v/>
          </cell>
          <cell r="L952" t="str">
            <v>09:06:00</v>
          </cell>
          <cell r="M952">
            <v>46030</v>
          </cell>
          <cell r="N952">
            <v>45819</v>
          </cell>
          <cell r="O952" t="str">
            <v>X</v>
          </cell>
          <cell r="P952" t="str">
            <v>2026</v>
          </cell>
          <cell r="Q952">
            <v>36</v>
          </cell>
          <cell r="R952" t="str">
            <v/>
          </cell>
        </row>
        <row r="953">
          <cell r="A953" t="str">
            <v>4045027</v>
          </cell>
          <cell r="B953" t="str">
            <v>3300</v>
          </cell>
          <cell r="C953" t="str">
            <v>3001</v>
          </cell>
          <cell r="D953" t="str">
            <v>DL</v>
          </cell>
          <cell r="E953" t="str">
            <v/>
          </cell>
          <cell r="F953" t="str">
            <v>2026</v>
          </cell>
          <cell r="G953" t="str">
            <v>1</v>
          </cell>
          <cell r="H953">
            <v>1000</v>
          </cell>
          <cell r="I953">
            <v>0</v>
          </cell>
          <cell r="J953" t="str">
            <v>X</v>
          </cell>
          <cell r="K953" t="str">
            <v/>
          </cell>
          <cell r="L953" t="str">
            <v>09:04:00</v>
          </cell>
          <cell r="M953">
            <v>46030</v>
          </cell>
          <cell r="N953">
            <v>45811</v>
          </cell>
          <cell r="O953" t="str">
            <v>X</v>
          </cell>
          <cell r="P953" t="str">
            <v>2026</v>
          </cell>
          <cell r="Q953">
            <v>1000</v>
          </cell>
          <cell r="R953" t="str">
            <v/>
          </cell>
        </row>
        <row r="954">
          <cell r="A954" t="str">
            <v>4045028</v>
          </cell>
          <cell r="B954" t="str">
            <v>3300</v>
          </cell>
          <cell r="C954" t="str">
            <v>3001</v>
          </cell>
          <cell r="D954" t="str">
            <v>DL</v>
          </cell>
          <cell r="E954" t="str">
            <v/>
          </cell>
          <cell r="F954" t="str">
            <v>2026</v>
          </cell>
          <cell r="G954" t="str">
            <v>2</v>
          </cell>
          <cell r="H954">
            <v>4200</v>
          </cell>
          <cell r="I954">
            <v>0</v>
          </cell>
          <cell r="J954" t="str">
            <v>X</v>
          </cell>
          <cell r="K954" t="str">
            <v/>
          </cell>
          <cell r="L954" t="str">
            <v>12:01:03</v>
          </cell>
          <cell r="M954">
            <v>46030</v>
          </cell>
          <cell r="N954">
            <v>45811</v>
          </cell>
          <cell r="O954" t="str">
            <v>X</v>
          </cell>
          <cell r="P954" t="str">
            <v>2026</v>
          </cell>
          <cell r="Q954">
            <v>4200</v>
          </cell>
          <cell r="R954" t="str">
            <v/>
          </cell>
        </row>
        <row r="955">
          <cell r="A955" t="str">
            <v>4045029</v>
          </cell>
          <cell r="B955" t="str">
            <v>3300</v>
          </cell>
          <cell r="C955" t="str">
            <v>3001</v>
          </cell>
          <cell r="D955" t="str">
            <v>DL</v>
          </cell>
          <cell r="E955" t="str">
            <v/>
          </cell>
          <cell r="F955" t="str">
            <v>2026</v>
          </cell>
          <cell r="G955" t="str">
            <v>3</v>
          </cell>
          <cell r="H955">
            <v>4160</v>
          </cell>
          <cell r="I955">
            <v>0</v>
          </cell>
          <cell r="J955" t="str">
            <v>X</v>
          </cell>
          <cell r="K955" t="str">
            <v/>
          </cell>
          <cell r="L955" t="str">
            <v>12:02:03</v>
          </cell>
          <cell r="M955">
            <v>46030</v>
          </cell>
          <cell r="N955">
            <v>45811</v>
          </cell>
          <cell r="O955" t="str">
            <v>X</v>
          </cell>
          <cell r="P955" t="str">
            <v>2026</v>
          </cell>
          <cell r="Q955">
            <v>4160</v>
          </cell>
          <cell r="R955" t="str">
            <v/>
          </cell>
        </row>
        <row r="956">
          <cell r="A956" t="str">
            <v>4045030</v>
          </cell>
          <cell r="B956" t="str">
            <v>3300</v>
          </cell>
          <cell r="C956" t="str">
            <v>3001</v>
          </cell>
          <cell r="D956" t="str">
            <v>DL</v>
          </cell>
          <cell r="E956" t="str">
            <v/>
          </cell>
          <cell r="F956" t="str">
            <v>2026</v>
          </cell>
          <cell r="G956" t="str">
            <v>1</v>
          </cell>
          <cell r="H956">
            <v>0</v>
          </cell>
          <cell r="I956">
            <v>0</v>
          </cell>
          <cell r="J956" t="str">
            <v>X</v>
          </cell>
          <cell r="K956" t="str">
            <v/>
          </cell>
          <cell r="L956" t="str">
            <v>12:01:03</v>
          </cell>
          <cell r="M956">
            <v>46030</v>
          </cell>
          <cell r="N956">
            <v>45811</v>
          </cell>
          <cell r="O956" t="str">
            <v>X</v>
          </cell>
          <cell r="P956" t="str">
            <v>2026</v>
          </cell>
          <cell r="Q956">
            <v>0</v>
          </cell>
          <cell r="R956" t="str">
            <v>INAKTIV</v>
          </cell>
        </row>
        <row r="957">
          <cell r="A957" t="str">
            <v>4045031</v>
          </cell>
          <cell r="B957" t="str">
            <v>3300</v>
          </cell>
          <cell r="C957" t="str">
            <v>3001</v>
          </cell>
          <cell r="D957" t="str">
            <v>DL</v>
          </cell>
          <cell r="E957" t="str">
            <v/>
          </cell>
          <cell r="F957" t="str">
            <v>2025</v>
          </cell>
          <cell r="G957" t="str">
            <v>6</v>
          </cell>
          <cell r="H957">
            <v>0</v>
          </cell>
          <cell r="I957">
            <v>0</v>
          </cell>
          <cell r="J957" t="str">
            <v/>
          </cell>
          <cell r="K957" t="str">
            <v/>
          </cell>
          <cell r="L957" t="str">
            <v>SLETTET</v>
          </cell>
          <cell r="M957" t="str">
            <v/>
          </cell>
          <cell r="N957">
            <v>45811</v>
          </cell>
          <cell r="O957" t="str">
            <v>X</v>
          </cell>
          <cell r="P957" t="str">
            <v>2025</v>
          </cell>
          <cell r="Q957">
            <v>0</v>
          </cell>
          <cell r="R957" t="str">
            <v>INAKTIV</v>
          </cell>
        </row>
        <row r="958">
          <cell r="A958" t="str">
            <v>4045032</v>
          </cell>
          <cell r="B958" t="str">
            <v>3300</v>
          </cell>
          <cell r="C958" t="str">
            <v>3001</v>
          </cell>
          <cell r="D958" t="str">
            <v>DL</v>
          </cell>
          <cell r="E958" t="str">
            <v/>
          </cell>
          <cell r="F958" t="str">
            <v>2025</v>
          </cell>
          <cell r="G958" t="str">
            <v>7</v>
          </cell>
          <cell r="H958">
            <v>2</v>
          </cell>
          <cell r="I958">
            <v>0</v>
          </cell>
          <cell r="J958" t="str">
            <v>X</v>
          </cell>
          <cell r="K958" t="str">
            <v/>
          </cell>
          <cell r="L958" t="str">
            <v>12:01:03</v>
          </cell>
          <cell r="M958">
            <v>46030</v>
          </cell>
          <cell r="N958">
            <v>45819</v>
          </cell>
          <cell r="O958" t="str">
            <v>X</v>
          </cell>
          <cell r="P958" t="str">
            <v>2026</v>
          </cell>
          <cell r="Q958">
            <v>2</v>
          </cell>
          <cell r="R958" t="str">
            <v/>
          </cell>
        </row>
        <row r="959">
          <cell r="A959" t="str">
            <v>4045033</v>
          </cell>
          <cell r="B959" t="str">
            <v>3300</v>
          </cell>
          <cell r="C959" t="str">
            <v>3001</v>
          </cell>
          <cell r="D959" t="str">
            <v>DL</v>
          </cell>
          <cell r="E959" t="str">
            <v/>
          </cell>
          <cell r="F959" t="str">
            <v>2026</v>
          </cell>
          <cell r="G959" t="str">
            <v>2</v>
          </cell>
          <cell r="H959">
            <v>12</v>
          </cell>
          <cell r="I959">
            <v>0</v>
          </cell>
          <cell r="J959" t="str">
            <v>X</v>
          </cell>
          <cell r="K959" t="str">
            <v/>
          </cell>
          <cell r="L959" t="str">
            <v>00:00:06</v>
          </cell>
          <cell r="M959">
            <v>46029</v>
          </cell>
          <cell r="N959">
            <v>45818</v>
          </cell>
          <cell r="O959" t="str">
            <v>X</v>
          </cell>
          <cell r="P959" t="str">
            <v>2026</v>
          </cell>
          <cell r="Q959">
            <v>12</v>
          </cell>
          <cell r="R959" t="str">
            <v/>
          </cell>
        </row>
        <row r="960">
          <cell r="A960" t="str">
            <v>4045034</v>
          </cell>
          <cell r="B960" t="str">
            <v>3300</v>
          </cell>
          <cell r="C960" t="str">
            <v>3001</v>
          </cell>
          <cell r="D960" t="str">
            <v>DL</v>
          </cell>
          <cell r="E960" t="str">
            <v/>
          </cell>
          <cell r="F960" t="str">
            <v>2026</v>
          </cell>
          <cell r="G960" t="str">
            <v>1</v>
          </cell>
          <cell r="H960">
            <v>10</v>
          </cell>
          <cell r="I960">
            <v>0</v>
          </cell>
          <cell r="J960" t="str">
            <v>X</v>
          </cell>
          <cell r="K960" t="str">
            <v/>
          </cell>
          <cell r="L960" t="str">
            <v>00:00:04</v>
          </cell>
          <cell r="M960">
            <v>46029</v>
          </cell>
          <cell r="N960">
            <v>45818</v>
          </cell>
          <cell r="O960" t="str">
            <v>X</v>
          </cell>
          <cell r="P960" t="str">
            <v>2026</v>
          </cell>
          <cell r="Q960">
            <v>10</v>
          </cell>
          <cell r="R960" t="str">
            <v/>
          </cell>
        </row>
        <row r="961">
          <cell r="A961" t="str">
            <v>4045035</v>
          </cell>
          <cell r="B961" t="str">
            <v>3300</v>
          </cell>
          <cell r="C961" t="str">
            <v>3001</v>
          </cell>
          <cell r="D961" t="str">
            <v>DL</v>
          </cell>
          <cell r="E961" t="str">
            <v/>
          </cell>
          <cell r="F961" t="str">
            <v>2026</v>
          </cell>
          <cell r="G961" t="str">
            <v>2</v>
          </cell>
          <cell r="H961">
            <v>10</v>
          </cell>
          <cell r="I961">
            <v>0</v>
          </cell>
          <cell r="J961" t="str">
            <v>X</v>
          </cell>
          <cell r="K961" t="str">
            <v/>
          </cell>
          <cell r="L961" t="str">
            <v>00:00:02</v>
          </cell>
          <cell r="M961">
            <v>46029</v>
          </cell>
          <cell r="N961">
            <v>45818</v>
          </cell>
          <cell r="O961" t="str">
            <v>X</v>
          </cell>
          <cell r="P961" t="str">
            <v>2026</v>
          </cell>
          <cell r="Q961">
            <v>10</v>
          </cell>
          <cell r="R961" t="str">
            <v/>
          </cell>
        </row>
        <row r="962">
          <cell r="A962" t="str">
            <v>4045037</v>
          </cell>
          <cell r="B962" t="str">
            <v>3300</v>
          </cell>
          <cell r="C962" t="str">
            <v>3001</v>
          </cell>
          <cell r="D962" t="str">
            <v>DL</v>
          </cell>
          <cell r="E962" t="str">
            <v/>
          </cell>
          <cell r="F962" t="str">
            <v>2025</v>
          </cell>
          <cell r="G962" t="str">
            <v>6</v>
          </cell>
          <cell r="H962">
            <v>12</v>
          </cell>
          <cell r="I962">
            <v>0</v>
          </cell>
          <cell r="J962" t="str">
            <v>X</v>
          </cell>
          <cell r="K962" t="str">
            <v/>
          </cell>
          <cell r="L962" t="str">
            <v>00:00:03</v>
          </cell>
          <cell r="M962">
            <v>46029</v>
          </cell>
          <cell r="N962">
            <v>45818</v>
          </cell>
          <cell r="O962" t="str">
            <v>X</v>
          </cell>
          <cell r="P962" t="str">
            <v>2026</v>
          </cell>
          <cell r="Q962">
            <v>12</v>
          </cell>
          <cell r="R962" t="str">
            <v/>
          </cell>
        </row>
        <row r="963">
          <cell r="A963" t="str">
            <v>4045038</v>
          </cell>
          <cell r="B963" t="str">
            <v>3300</v>
          </cell>
          <cell r="C963" t="str">
            <v>3001</v>
          </cell>
          <cell r="D963" t="str">
            <v>DL</v>
          </cell>
          <cell r="E963" t="str">
            <v/>
          </cell>
          <cell r="F963" t="str">
            <v>2026</v>
          </cell>
          <cell r="G963" t="str">
            <v>2</v>
          </cell>
          <cell r="H963">
            <v>7</v>
          </cell>
          <cell r="I963">
            <v>0</v>
          </cell>
          <cell r="J963" t="str">
            <v>X</v>
          </cell>
          <cell r="K963" t="str">
            <v/>
          </cell>
          <cell r="L963" t="str">
            <v>00:00:05</v>
          </cell>
          <cell r="M963">
            <v>46029</v>
          </cell>
          <cell r="N963">
            <v>45818</v>
          </cell>
          <cell r="O963" t="str">
            <v>X</v>
          </cell>
          <cell r="P963" t="str">
            <v>2026</v>
          </cell>
          <cell r="Q963">
            <v>7</v>
          </cell>
          <cell r="R963" t="str">
            <v/>
          </cell>
        </row>
        <row r="964">
          <cell r="A964" t="str">
            <v>4045039</v>
          </cell>
          <cell r="B964" t="str">
            <v>3300</v>
          </cell>
          <cell r="C964" t="str">
            <v>3001</v>
          </cell>
          <cell r="D964" t="str">
            <v>DL</v>
          </cell>
          <cell r="E964" t="str">
            <v/>
          </cell>
          <cell r="F964" t="str">
            <v>2026</v>
          </cell>
          <cell r="G964" t="str">
            <v>2</v>
          </cell>
          <cell r="H964">
            <v>9</v>
          </cell>
          <cell r="I964">
            <v>0</v>
          </cell>
          <cell r="J964" t="str">
            <v>X</v>
          </cell>
          <cell r="K964" t="str">
            <v/>
          </cell>
          <cell r="L964" t="str">
            <v>00:00:01</v>
          </cell>
          <cell r="M964">
            <v>46029</v>
          </cell>
          <cell r="N964">
            <v>45818</v>
          </cell>
          <cell r="O964" t="str">
            <v>X</v>
          </cell>
          <cell r="P964" t="str">
            <v>2026</v>
          </cell>
          <cell r="Q964">
            <v>9</v>
          </cell>
          <cell r="R964" t="str">
            <v/>
          </cell>
        </row>
        <row r="965">
          <cell r="A965" t="str">
            <v>4045042</v>
          </cell>
          <cell r="B965" t="str">
            <v>3300</v>
          </cell>
          <cell r="C965" t="str">
            <v>3001</v>
          </cell>
          <cell r="D965" t="str">
            <v>DL</v>
          </cell>
          <cell r="E965" t="str">
            <v/>
          </cell>
          <cell r="F965" t="str">
            <v>2026</v>
          </cell>
          <cell r="G965" t="str">
            <v>1</v>
          </cell>
          <cell r="H965">
            <v>2</v>
          </cell>
          <cell r="I965">
            <v>0</v>
          </cell>
          <cell r="J965" t="str">
            <v>X</v>
          </cell>
          <cell r="K965" t="str">
            <v/>
          </cell>
          <cell r="L965" t="str">
            <v>09:08:02</v>
          </cell>
          <cell r="M965">
            <v>46030</v>
          </cell>
          <cell r="N965">
            <v>45818</v>
          </cell>
          <cell r="O965" t="str">
            <v>X</v>
          </cell>
          <cell r="P965" t="str">
            <v>2026</v>
          </cell>
          <cell r="Q965">
            <v>2</v>
          </cell>
          <cell r="R965" t="str">
            <v/>
          </cell>
        </row>
        <row r="966">
          <cell r="A966" t="str">
            <v>4045055</v>
          </cell>
          <cell r="B966" t="str">
            <v>3300</v>
          </cell>
          <cell r="C966" t="str">
            <v>3001</v>
          </cell>
          <cell r="D966" t="str">
            <v>DL</v>
          </cell>
          <cell r="E966" t="str">
            <v/>
          </cell>
          <cell r="F966" t="str">
            <v>2025</v>
          </cell>
          <cell r="G966" t="str">
            <v>7</v>
          </cell>
          <cell r="H966">
            <v>2</v>
          </cell>
          <cell r="I966">
            <v>0</v>
          </cell>
          <cell r="J966" t="str">
            <v>X</v>
          </cell>
          <cell r="K966" t="str">
            <v/>
          </cell>
          <cell r="L966" t="str">
            <v>09:08:02</v>
          </cell>
          <cell r="M966">
            <v>46030</v>
          </cell>
          <cell r="N966">
            <v>45819</v>
          </cell>
          <cell r="O966" t="str">
            <v>X</v>
          </cell>
          <cell r="P966" t="str">
            <v>2026</v>
          </cell>
          <cell r="Q966">
            <v>2</v>
          </cell>
          <cell r="R966" t="str">
            <v/>
          </cell>
        </row>
        <row r="967">
          <cell r="A967" t="str">
            <v>4045056</v>
          </cell>
          <cell r="B967" t="str">
            <v>3300</v>
          </cell>
          <cell r="C967" t="str">
            <v>3001</v>
          </cell>
          <cell r="D967" t="str">
            <v>DL</v>
          </cell>
          <cell r="E967" t="str">
            <v/>
          </cell>
          <cell r="F967" t="str">
            <v>2025</v>
          </cell>
          <cell r="G967" t="str">
            <v>7</v>
          </cell>
          <cell r="H967">
            <v>2</v>
          </cell>
          <cell r="I967">
            <v>0</v>
          </cell>
          <cell r="J967" t="str">
            <v>X</v>
          </cell>
          <cell r="K967" t="str">
            <v/>
          </cell>
          <cell r="L967" t="str">
            <v>09:08:00</v>
          </cell>
          <cell r="M967">
            <v>46030</v>
          </cell>
          <cell r="N967">
            <v>45819</v>
          </cell>
          <cell r="O967" t="str">
            <v>X</v>
          </cell>
          <cell r="P967" t="str">
            <v>2026</v>
          </cell>
          <cell r="Q967">
            <v>2</v>
          </cell>
          <cell r="R967" t="str">
            <v/>
          </cell>
        </row>
        <row r="968">
          <cell r="A968" t="str">
            <v>4045057</v>
          </cell>
          <cell r="B968" t="str">
            <v>3300</v>
          </cell>
          <cell r="C968" t="str">
            <v>3001</v>
          </cell>
          <cell r="D968" t="str">
            <v>DL</v>
          </cell>
          <cell r="E968" t="str">
            <v/>
          </cell>
          <cell r="F968" t="str">
            <v>2025</v>
          </cell>
          <cell r="G968" t="str">
            <v>7</v>
          </cell>
          <cell r="H968">
            <v>2</v>
          </cell>
          <cell r="I968">
            <v>0</v>
          </cell>
          <cell r="J968" t="str">
            <v>X</v>
          </cell>
          <cell r="K968" t="str">
            <v/>
          </cell>
          <cell r="L968" t="str">
            <v>09:09:00</v>
          </cell>
          <cell r="M968">
            <v>46030</v>
          </cell>
          <cell r="N968">
            <v>45819</v>
          </cell>
          <cell r="O968" t="str">
            <v>X</v>
          </cell>
          <cell r="P968" t="str">
            <v>2026</v>
          </cell>
          <cell r="Q968">
            <v>2</v>
          </cell>
          <cell r="R968" t="str">
            <v/>
          </cell>
        </row>
        <row r="969">
          <cell r="A969" t="str">
            <v>4045060</v>
          </cell>
          <cell r="B969" t="str">
            <v>3300</v>
          </cell>
          <cell r="C969" t="str">
            <v>3001</v>
          </cell>
          <cell r="D969" t="str">
            <v>DL</v>
          </cell>
          <cell r="E969" t="str">
            <v/>
          </cell>
          <cell r="F969" t="str">
            <v>2025</v>
          </cell>
          <cell r="G969" t="str">
            <v>9</v>
          </cell>
          <cell r="H969">
            <v>0</v>
          </cell>
          <cell r="I969">
            <v>0</v>
          </cell>
          <cell r="J969" t="str">
            <v/>
          </cell>
          <cell r="K969" t="str">
            <v/>
          </cell>
          <cell r="L969" t="str">
            <v/>
          </cell>
          <cell r="M969" t="str">
            <v/>
          </cell>
          <cell r="N969">
            <v>45922</v>
          </cell>
          <cell r="O969" t="str">
            <v>X</v>
          </cell>
          <cell r="P969" t="str">
            <v>2025</v>
          </cell>
          <cell r="Q969">
            <v>0</v>
          </cell>
          <cell r="R969" t="str">
            <v>INAKTIV</v>
          </cell>
        </row>
        <row r="970">
          <cell r="A970" t="str">
            <v>4045068</v>
          </cell>
          <cell r="B970" t="str">
            <v>3300</v>
          </cell>
          <cell r="C970" t="str">
            <v>3001</v>
          </cell>
          <cell r="D970" t="str">
            <v>DL</v>
          </cell>
          <cell r="E970" t="str">
            <v/>
          </cell>
          <cell r="F970" t="str">
            <v>2026</v>
          </cell>
          <cell r="G970" t="str">
            <v>2</v>
          </cell>
          <cell r="H970">
            <v>158</v>
          </cell>
          <cell r="I970">
            <v>0</v>
          </cell>
          <cell r="J970" t="str">
            <v>X</v>
          </cell>
          <cell r="K970" t="str">
            <v/>
          </cell>
          <cell r="L970" t="str">
            <v>08:01:03</v>
          </cell>
          <cell r="M970">
            <v>46030</v>
          </cell>
          <cell r="N970">
            <v>45819</v>
          </cell>
          <cell r="O970" t="str">
            <v>X</v>
          </cell>
          <cell r="P970" t="str">
            <v>2026</v>
          </cell>
          <cell r="Q970">
            <v>158</v>
          </cell>
          <cell r="R970" t="str">
            <v/>
          </cell>
        </row>
        <row r="971">
          <cell r="A971" t="str">
            <v>4045081</v>
          </cell>
          <cell r="B971" t="str">
            <v>3300</v>
          </cell>
          <cell r="C971" t="str">
            <v>3001</v>
          </cell>
          <cell r="D971" t="str">
            <v>DL</v>
          </cell>
          <cell r="E971" t="str">
            <v/>
          </cell>
          <cell r="F971" t="str">
            <v>2026</v>
          </cell>
          <cell r="G971" t="str">
            <v>2</v>
          </cell>
          <cell r="H971">
            <v>490</v>
          </cell>
          <cell r="I971">
            <v>0</v>
          </cell>
          <cell r="J971" t="str">
            <v>X</v>
          </cell>
          <cell r="K971" t="str">
            <v/>
          </cell>
          <cell r="L971" t="str">
            <v>07:05:00</v>
          </cell>
          <cell r="M971">
            <v>46030</v>
          </cell>
          <cell r="N971">
            <v>45819</v>
          </cell>
          <cell r="O971" t="str">
            <v>X</v>
          </cell>
          <cell r="P971" t="str">
            <v>2026</v>
          </cell>
          <cell r="Q971">
            <v>490</v>
          </cell>
          <cell r="R971" t="str">
            <v/>
          </cell>
        </row>
        <row r="972">
          <cell r="A972" t="str">
            <v>4045333</v>
          </cell>
          <cell r="B972" t="str">
            <v>3300</v>
          </cell>
          <cell r="C972" t="str">
            <v>3001</v>
          </cell>
          <cell r="D972" t="str">
            <v>DL</v>
          </cell>
          <cell r="E972" t="str">
            <v/>
          </cell>
          <cell r="F972" t="str">
            <v>2026</v>
          </cell>
          <cell r="G972" t="str">
            <v>2</v>
          </cell>
          <cell r="H972">
            <v>33</v>
          </cell>
          <cell r="I972">
            <v>0</v>
          </cell>
          <cell r="J972" t="str">
            <v>X</v>
          </cell>
          <cell r="K972" t="str">
            <v/>
          </cell>
          <cell r="L972" t="str">
            <v>14:02:03</v>
          </cell>
          <cell r="M972">
            <v>46030</v>
          </cell>
          <cell r="N972">
            <v>45922</v>
          </cell>
          <cell r="O972" t="str">
            <v>X</v>
          </cell>
          <cell r="P972" t="str">
            <v>2026</v>
          </cell>
          <cell r="Q972">
            <v>33</v>
          </cell>
          <cell r="R972" t="str">
            <v/>
          </cell>
        </row>
        <row r="973">
          <cell r="A973" t="str">
            <v>4045334</v>
          </cell>
          <cell r="B973" t="str">
            <v>3300</v>
          </cell>
          <cell r="C973" t="str">
            <v>3001</v>
          </cell>
          <cell r="D973" t="str">
            <v>DL</v>
          </cell>
          <cell r="E973" t="str">
            <v/>
          </cell>
          <cell r="F973" t="str">
            <v>2026</v>
          </cell>
          <cell r="G973" t="str">
            <v>1</v>
          </cell>
          <cell r="H973">
            <v>31</v>
          </cell>
          <cell r="I973">
            <v>0</v>
          </cell>
          <cell r="J973" t="str">
            <v>X</v>
          </cell>
          <cell r="K973" t="str">
            <v/>
          </cell>
          <cell r="L973" t="str">
            <v>14:02:02</v>
          </cell>
          <cell r="M973">
            <v>46030</v>
          </cell>
          <cell r="N973">
            <v>45922</v>
          </cell>
          <cell r="O973" t="str">
            <v>X</v>
          </cell>
          <cell r="P973" t="str">
            <v>2026</v>
          </cell>
          <cell r="Q973">
            <v>31</v>
          </cell>
          <cell r="R973" t="str">
            <v/>
          </cell>
        </row>
        <row r="974">
          <cell r="A974" t="str">
            <v>4045335</v>
          </cell>
          <cell r="B974" t="str">
            <v>3300</v>
          </cell>
          <cell r="C974" t="str">
            <v>3001</v>
          </cell>
          <cell r="D974" t="str">
            <v>DL</v>
          </cell>
          <cell r="E974" t="str">
            <v/>
          </cell>
          <cell r="F974" t="str">
            <v>2026</v>
          </cell>
          <cell r="G974" t="str">
            <v>2</v>
          </cell>
          <cell r="H974">
            <v>26</v>
          </cell>
          <cell r="I974">
            <v>0</v>
          </cell>
          <cell r="J974" t="str">
            <v>X</v>
          </cell>
          <cell r="K974" t="str">
            <v/>
          </cell>
          <cell r="L974" t="str">
            <v>14:02:03</v>
          </cell>
          <cell r="M974">
            <v>46030</v>
          </cell>
          <cell r="N974">
            <v>45922</v>
          </cell>
          <cell r="O974" t="str">
            <v>X</v>
          </cell>
          <cell r="P974" t="str">
            <v>2026</v>
          </cell>
          <cell r="Q974">
            <v>26</v>
          </cell>
          <cell r="R974" t="str">
            <v/>
          </cell>
        </row>
        <row r="975">
          <cell r="A975" t="str">
            <v>4045337</v>
          </cell>
          <cell r="B975" t="str">
            <v>3300</v>
          </cell>
          <cell r="C975" t="str">
            <v>3001</v>
          </cell>
          <cell r="D975" t="str">
            <v>DL</v>
          </cell>
          <cell r="E975" t="str">
            <v/>
          </cell>
          <cell r="F975" t="str">
            <v>2026</v>
          </cell>
          <cell r="G975" t="str">
            <v>2</v>
          </cell>
          <cell r="H975">
            <v>15</v>
          </cell>
          <cell r="I975">
            <v>0</v>
          </cell>
          <cell r="J975" t="str">
            <v>X</v>
          </cell>
          <cell r="K975" t="str">
            <v/>
          </cell>
          <cell r="L975" t="str">
            <v>05:08:03</v>
          </cell>
          <cell r="M975">
            <v>46030</v>
          </cell>
          <cell r="N975">
            <v>45818</v>
          </cell>
          <cell r="O975" t="str">
            <v>X</v>
          </cell>
          <cell r="P975" t="str">
            <v>2026</v>
          </cell>
          <cell r="Q975">
            <v>15</v>
          </cell>
          <cell r="R975" t="str">
            <v/>
          </cell>
        </row>
        <row r="976">
          <cell r="A976" t="str">
            <v>4045338</v>
          </cell>
          <cell r="B976" t="str">
            <v>3300</v>
          </cell>
          <cell r="C976" t="str">
            <v>3001</v>
          </cell>
          <cell r="D976" t="str">
            <v>DL</v>
          </cell>
          <cell r="E976" t="str">
            <v/>
          </cell>
          <cell r="F976" t="str">
            <v>2026</v>
          </cell>
          <cell r="G976" t="str">
            <v>2</v>
          </cell>
          <cell r="H976">
            <v>15</v>
          </cell>
          <cell r="I976">
            <v>0</v>
          </cell>
          <cell r="J976" t="str">
            <v>X</v>
          </cell>
          <cell r="K976" t="str">
            <v/>
          </cell>
          <cell r="L976" t="str">
            <v>14:07:00</v>
          </cell>
          <cell r="M976">
            <v>46030</v>
          </cell>
          <cell r="N976">
            <v>45818</v>
          </cell>
          <cell r="O976" t="str">
            <v>X</v>
          </cell>
          <cell r="P976" t="str">
            <v>2026</v>
          </cell>
          <cell r="Q976">
            <v>15</v>
          </cell>
          <cell r="R976" t="str">
            <v/>
          </cell>
        </row>
        <row r="977">
          <cell r="A977" t="str">
            <v>4045339</v>
          </cell>
          <cell r="B977" t="str">
            <v>3300</v>
          </cell>
          <cell r="C977" t="str">
            <v>3001</v>
          </cell>
          <cell r="D977" t="str">
            <v>DL</v>
          </cell>
          <cell r="E977" t="str">
            <v/>
          </cell>
          <cell r="F977" t="str">
            <v>2026</v>
          </cell>
          <cell r="G977" t="str">
            <v>2</v>
          </cell>
          <cell r="H977">
            <v>15</v>
          </cell>
          <cell r="I977">
            <v>0</v>
          </cell>
          <cell r="J977" t="str">
            <v>X</v>
          </cell>
          <cell r="K977" t="str">
            <v/>
          </cell>
          <cell r="L977" t="str">
            <v>14:07:00</v>
          </cell>
          <cell r="M977">
            <v>46030</v>
          </cell>
          <cell r="N977">
            <v>45818</v>
          </cell>
          <cell r="O977" t="str">
            <v>X</v>
          </cell>
          <cell r="P977" t="str">
            <v>2026</v>
          </cell>
          <cell r="Q977">
            <v>15</v>
          </cell>
          <cell r="R977" t="str">
            <v/>
          </cell>
        </row>
        <row r="978">
          <cell r="A978" t="str">
            <v>4045370</v>
          </cell>
          <cell r="B978" t="str">
            <v>3300</v>
          </cell>
          <cell r="C978" t="str">
            <v>3001</v>
          </cell>
          <cell r="D978" t="str">
            <v>DL</v>
          </cell>
          <cell r="E978" t="str">
            <v>X</v>
          </cell>
          <cell r="F978" t="str">
            <v>2026</v>
          </cell>
          <cell r="G978" t="str">
            <v>1</v>
          </cell>
          <cell r="H978">
            <v>0</v>
          </cell>
          <cell r="I978">
            <v>0</v>
          </cell>
          <cell r="J978" t="str">
            <v>X</v>
          </cell>
          <cell r="K978" t="str">
            <v/>
          </cell>
          <cell r="L978" t="str">
            <v>SLETTET</v>
          </cell>
          <cell r="M978">
            <v>46030</v>
          </cell>
          <cell r="N978">
            <v>45819</v>
          </cell>
          <cell r="O978" t="str">
            <v>X</v>
          </cell>
          <cell r="P978" t="str">
            <v>2026</v>
          </cell>
          <cell r="Q978">
            <v>0</v>
          </cell>
          <cell r="R978" t="str">
            <v>INAKTIV</v>
          </cell>
        </row>
        <row r="979">
          <cell r="A979" t="str">
            <v>4045373</v>
          </cell>
          <cell r="B979" t="str">
            <v>3300</v>
          </cell>
          <cell r="C979" t="str">
            <v>3001</v>
          </cell>
          <cell r="D979" t="str">
            <v>DL</v>
          </cell>
          <cell r="E979" t="str">
            <v/>
          </cell>
          <cell r="F979" t="str">
            <v>2025</v>
          </cell>
          <cell r="G979" t="str">
            <v>11</v>
          </cell>
          <cell r="H979">
            <v>30</v>
          </cell>
          <cell r="I979">
            <v>0</v>
          </cell>
          <cell r="J979" t="str">
            <v>X</v>
          </cell>
          <cell r="K979" t="str">
            <v/>
          </cell>
          <cell r="L979" t="str">
            <v>14:02:02</v>
          </cell>
          <cell r="M979">
            <v>46030</v>
          </cell>
          <cell r="N979">
            <v>45922</v>
          </cell>
          <cell r="O979" t="str">
            <v>X</v>
          </cell>
          <cell r="P979" t="str">
            <v>2026</v>
          </cell>
          <cell r="Q979">
            <v>30</v>
          </cell>
          <cell r="R979" t="str">
            <v/>
          </cell>
        </row>
        <row r="980">
          <cell r="A980" t="str">
            <v>4045608</v>
          </cell>
          <cell r="B980" t="str">
            <v>3300</v>
          </cell>
          <cell r="C980" t="str">
            <v>3001</v>
          </cell>
          <cell r="D980" t="str">
            <v>DL</v>
          </cell>
          <cell r="E980" t="str">
            <v/>
          </cell>
          <cell r="F980" t="str">
            <v>2025</v>
          </cell>
          <cell r="G980" t="str">
            <v>9</v>
          </cell>
          <cell r="H980">
            <v>0</v>
          </cell>
          <cell r="I980">
            <v>0</v>
          </cell>
          <cell r="J980" t="str">
            <v/>
          </cell>
          <cell r="K980" t="str">
            <v/>
          </cell>
          <cell r="L980" t="str">
            <v/>
          </cell>
          <cell r="M980" t="str">
            <v/>
          </cell>
          <cell r="N980">
            <v>45922</v>
          </cell>
          <cell r="O980" t="str">
            <v>X</v>
          </cell>
          <cell r="P980" t="str">
            <v>2025</v>
          </cell>
          <cell r="Q980">
            <v>0</v>
          </cell>
          <cell r="R980" t="str">
            <v>INAKTIV</v>
          </cell>
        </row>
        <row r="981">
          <cell r="A981" t="str">
            <v>4046090</v>
          </cell>
          <cell r="B981" t="str">
            <v>3300</v>
          </cell>
          <cell r="C981" t="str">
            <v>3001</v>
          </cell>
          <cell r="D981" t="str">
            <v>L</v>
          </cell>
          <cell r="E981" t="str">
            <v/>
          </cell>
          <cell r="F981" t="str">
            <v>2025</v>
          </cell>
          <cell r="G981" t="str">
            <v>8</v>
          </cell>
          <cell r="H981">
            <v>2</v>
          </cell>
          <cell r="I981">
            <v>0</v>
          </cell>
          <cell r="J981" t="str">
            <v>X</v>
          </cell>
          <cell r="K981" t="str">
            <v/>
          </cell>
          <cell r="L981" t="str">
            <v>09:10:03</v>
          </cell>
          <cell r="M981">
            <v>46030</v>
          </cell>
          <cell r="N981">
            <v>45842</v>
          </cell>
          <cell r="O981" t="str">
            <v>X</v>
          </cell>
          <cell r="P981" t="str">
            <v>2026</v>
          </cell>
          <cell r="Q981">
            <v>2</v>
          </cell>
          <cell r="R981" t="str">
            <v/>
          </cell>
        </row>
        <row r="982">
          <cell r="A982" t="str">
            <v>4046091</v>
          </cell>
          <cell r="B982" t="str">
            <v>3300</v>
          </cell>
          <cell r="C982" t="str">
            <v>3001</v>
          </cell>
          <cell r="D982" t="str">
            <v>L</v>
          </cell>
          <cell r="E982" t="str">
            <v/>
          </cell>
          <cell r="F982" t="str">
            <v>2025</v>
          </cell>
          <cell r="G982" t="str">
            <v>9</v>
          </cell>
          <cell r="H982">
            <v>1</v>
          </cell>
          <cell r="I982">
            <v>0</v>
          </cell>
          <cell r="J982" t="str">
            <v>X</v>
          </cell>
          <cell r="K982" t="str">
            <v/>
          </cell>
          <cell r="L982" t="str">
            <v>09:10:03</v>
          </cell>
          <cell r="M982">
            <v>46030</v>
          </cell>
          <cell r="N982">
            <v>45842</v>
          </cell>
          <cell r="O982" t="str">
            <v>X</v>
          </cell>
          <cell r="P982" t="str">
            <v>2026</v>
          </cell>
          <cell r="Q982">
            <v>1</v>
          </cell>
          <cell r="R982" t="str">
            <v/>
          </cell>
        </row>
        <row r="983">
          <cell r="A983" t="str">
            <v>4046092</v>
          </cell>
          <cell r="B983" t="str">
            <v>3300</v>
          </cell>
          <cell r="C983" t="str">
            <v>3001</v>
          </cell>
          <cell r="D983" t="str">
            <v>L</v>
          </cell>
          <cell r="E983" t="str">
            <v/>
          </cell>
          <cell r="F983" t="str">
            <v>2025</v>
          </cell>
          <cell r="G983" t="str">
            <v>8</v>
          </cell>
          <cell r="H983">
            <v>1</v>
          </cell>
          <cell r="I983">
            <v>0</v>
          </cell>
          <cell r="J983" t="str">
            <v>X</v>
          </cell>
          <cell r="K983" t="str">
            <v/>
          </cell>
          <cell r="L983" t="str">
            <v>09:10:03</v>
          </cell>
          <cell r="M983">
            <v>46030</v>
          </cell>
          <cell r="N983">
            <v>45842</v>
          </cell>
          <cell r="O983" t="str">
            <v>X</v>
          </cell>
          <cell r="P983" t="str">
            <v>2026</v>
          </cell>
          <cell r="Q983">
            <v>1</v>
          </cell>
          <cell r="R983" t="str">
            <v/>
          </cell>
        </row>
        <row r="984">
          <cell r="A984" t="str">
            <v>4046093</v>
          </cell>
          <cell r="B984" t="str">
            <v>3300</v>
          </cell>
          <cell r="C984" t="str">
            <v>3001</v>
          </cell>
          <cell r="D984" t="str">
            <v>L</v>
          </cell>
          <cell r="E984" t="str">
            <v/>
          </cell>
          <cell r="F984" t="str">
            <v>2025</v>
          </cell>
          <cell r="G984" t="str">
            <v>12</v>
          </cell>
          <cell r="H984">
            <v>27</v>
          </cell>
          <cell r="I984">
            <v>0</v>
          </cell>
          <cell r="J984" t="str">
            <v>X</v>
          </cell>
          <cell r="K984" t="str">
            <v/>
          </cell>
          <cell r="L984" t="str">
            <v>15:07:00</v>
          </cell>
          <cell r="M984">
            <v>46030</v>
          </cell>
          <cell r="N984">
            <v>45842</v>
          </cell>
          <cell r="O984" t="str">
            <v>X</v>
          </cell>
          <cell r="P984" t="str">
            <v>2026</v>
          </cell>
          <cell r="Q984">
            <v>27</v>
          </cell>
          <cell r="R984" t="str">
            <v/>
          </cell>
        </row>
        <row r="985">
          <cell r="A985" t="str">
            <v>4046094</v>
          </cell>
          <cell r="B985" t="str">
            <v>3300</v>
          </cell>
          <cell r="C985" t="str">
            <v>3001</v>
          </cell>
          <cell r="D985" t="str">
            <v>L</v>
          </cell>
          <cell r="E985" t="str">
            <v/>
          </cell>
          <cell r="F985" t="str">
            <v>2025</v>
          </cell>
          <cell r="G985" t="str">
            <v>8</v>
          </cell>
          <cell r="H985">
            <v>20</v>
          </cell>
          <cell r="I985">
            <v>0</v>
          </cell>
          <cell r="J985" t="str">
            <v>X</v>
          </cell>
          <cell r="K985" t="str">
            <v/>
          </cell>
          <cell r="L985" t="str">
            <v>08:12:00</v>
          </cell>
          <cell r="M985">
            <v>46030</v>
          </cell>
          <cell r="N985">
            <v>45842</v>
          </cell>
          <cell r="O985" t="str">
            <v>X</v>
          </cell>
          <cell r="P985" t="str">
            <v>2026</v>
          </cell>
          <cell r="Q985">
            <v>20</v>
          </cell>
          <cell r="R985" t="str">
            <v/>
          </cell>
        </row>
        <row r="986">
          <cell r="A986" t="str">
            <v>4046095</v>
          </cell>
          <cell r="B986" t="str">
            <v>3300</v>
          </cell>
          <cell r="C986" t="str">
            <v>3001</v>
          </cell>
          <cell r="D986" t="str">
            <v>L</v>
          </cell>
          <cell r="E986" t="str">
            <v/>
          </cell>
          <cell r="F986" t="str">
            <v>2025</v>
          </cell>
          <cell r="G986" t="str">
            <v>7</v>
          </cell>
          <cell r="H986">
            <v>0</v>
          </cell>
          <cell r="I986">
            <v>0</v>
          </cell>
          <cell r="J986" t="str">
            <v/>
          </cell>
          <cell r="K986" t="str">
            <v/>
          </cell>
          <cell r="L986" t="str">
            <v/>
          </cell>
          <cell r="M986" t="str">
            <v/>
          </cell>
          <cell r="N986">
            <v>45842</v>
          </cell>
          <cell r="O986" t="str">
            <v>X</v>
          </cell>
          <cell r="P986" t="str">
            <v>2025</v>
          </cell>
          <cell r="Q986">
            <v>0</v>
          </cell>
          <cell r="R986" t="str">
            <v>INAKTIV</v>
          </cell>
        </row>
        <row r="987">
          <cell r="A987" t="str">
            <v>4046096</v>
          </cell>
          <cell r="B987" t="str">
            <v>3300</v>
          </cell>
          <cell r="C987" t="str">
            <v>3001</v>
          </cell>
          <cell r="D987" t="str">
            <v>L</v>
          </cell>
          <cell r="E987" t="str">
            <v/>
          </cell>
          <cell r="F987" t="str">
            <v>2025</v>
          </cell>
          <cell r="G987" t="str">
            <v>7</v>
          </cell>
          <cell r="H987">
            <v>0</v>
          </cell>
          <cell r="I987">
            <v>0</v>
          </cell>
          <cell r="J987" t="str">
            <v/>
          </cell>
          <cell r="K987" t="str">
            <v/>
          </cell>
          <cell r="L987" t="str">
            <v/>
          </cell>
          <cell r="M987" t="str">
            <v/>
          </cell>
          <cell r="N987">
            <v>45842</v>
          </cell>
          <cell r="O987" t="str">
            <v>X</v>
          </cell>
          <cell r="P987" t="str">
            <v>2025</v>
          </cell>
          <cell r="Q987">
            <v>0</v>
          </cell>
          <cell r="R987" t="str">
            <v>INAKTIV</v>
          </cell>
        </row>
        <row r="988">
          <cell r="A988" t="str">
            <v>4046097</v>
          </cell>
          <cell r="B988" t="str">
            <v>3300</v>
          </cell>
          <cell r="C988" t="str">
            <v>3001</v>
          </cell>
          <cell r="D988" t="str">
            <v>L</v>
          </cell>
          <cell r="E988" t="str">
            <v/>
          </cell>
          <cell r="F988" t="str">
            <v>2025</v>
          </cell>
          <cell r="G988" t="str">
            <v>7</v>
          </cell>
          <cell r="H988">
            <v>0</v>
          </cell>
          <cell r="I988">
            <v>0</v>
          </cell>
          <cell r="J988" t="str">
            <v/>
          </cell>
          <cell r="K988" t="str">
            <v/>
          </cell>
          <cell r="L988" t="str">
            <v/>
          </cell>
          <cell r="M988" t="str">
            <v/>
          </cell>
          <cell r="N988">
            <v>45842</v>
          </cell>
          <cell r="O988" t="str">
            <v>X</v>
          </cell>
          <cell r="P988" t="str">
            <v>2025</v>
          </cell>
          <cell r="Q988">
            <v>0</v>
          </cell>
          <cell r="R988" t="str">
            <v>INAKTIV</v>
          </cell>
        </row>
        <row r="989">
          <cell r="A989" t="str">
            <v>4046098</v>
          </cell>
          <cell r="B989" t="str">
            <v>3300</v>
          </cell>
          <cell r="C989" t="str">
            <v>3001</v>
          </cell>
          <cell r="D989" t="str">
            <v>L</v>
          </cell>
          <cell r="E989" t="str">
            <v/>
          </cell>
          <cell r="F989" t="str">
            <v>2025</v>
          </cell>
          <cell r="G989" t="str">
            <v>7</v>
          </cell>
          <cell r="H989">
            <v>0</v>
          </cell>
          <cell r="I989">
            <v>0</v>
          </cell>
          <cell r="J989" t="str">
            <v/>
          </cell>
          <cell r="K989" t="str">
            <v/>
          </cell>
          <cell r="L989" t="str">
            <v/>
          </cell>
          <cell r="M989" t="str">
            <v/>
          </cell>
          <cell r="N989">
            <v>45842</v>
          </cell>
          <cell r="O989" t="str">
            <v>X</v>
          </cell>
          <cell r="P989" t="str">
            <v>2025</v>
          </cell>
          <cell r="Q989">
            <v>0</v>
          </cell>
          <cell r="R989" t="str">
            <v>INAKTIV</v>
          </cell>
        </row>
        <row r="990">
          <cell r="A990" t="str">
            <v>4046099</v>
          </cell>
          <cell r="B990" t="str">
            <v>3300</v>
          </cell>
          <cell r="C990" t="str">
            <v>3001</v>
          </cell>
          <cell r="D990" t="str">
            <v>L</v>
          </cell>
          <cell r="E990" t="str">
            <v/>
          </cell>
          <cell r="F990" t="str">
            <v>2025</v>
          </cell>
          <cell r="G990" t="str">
            <v>7</v>
          </cell>
          <cell r="H990">
            <v>0</v>
          </cell>
          <cell r="I990">
            <v>0</v>
          </cell>
          <cell r="J990" t="str">
            <v/>
          </cell>
          <cell r="K990" t="str">
            <v/>
          </cell>
          <cell r="L990" t="str">
            <v/>
          </cell>
          <cell r="M990" t="str">
            <v/>
          </cell>
          <cell r="N990">
            <v>45842</v>
          </cell>
          <cell r="O990" t="str">
            <v>X</v>
          </cell>
          <cell r="P990" t="str">
            <v>2025</v>
          </cell>
          <cell r="Q990">
            <v>0</v>
          </cell>
          <cell r="R990" t="str">
            <v>INAKTIV</v>
          </cell>
        </row>
        <row r="991">
          <cell r="A991" t="str">
            <v>4046100</v>
          </cell>
          <cell r="B991" t="str">
            <v>3300</v>
          </cell>
          <cell r="C991" t="str">
            <v>3001</v>
          </cell>
          <cell r="D991" t="str">
            <v>L</v>
          </cell>
          <cell r="E991" t="str">
            <v/>
          </cell>
          <cell r="F991" t="str">
            <v>2025</v>
          </cell>
          <cell r="G991" t="str">
            <v>7</v>
          </cell>
          <cell r="H991">
            <v>0</v>
          </cell>
          <cell r="I991">
            <v>0</v>
          </cell>
          <cell r="J991" t="str">
            <v/>
          </cell>
          <cell r="K991" t="str">
            <v/>
          </cell>
          <cell r="L991" t="str">
            <v/>
          </cell>
          <cell r="M991" t="str">
            <v/>
          </cell>
          <cell r="N991">
            <v>45842</v>
          </cell>
          <cell r="O991" t="str">
            <v>X</v>
          </cell>
          <cell r="P991" t="str">
            <v>2025</v>
          </cell>
          <cell r="Q991">
            <v>0</v>
          </cell>
          <cell r="R991" t="str">
            <v>INAKTIV</v>
          </cell>
        </row>
        <row r="992">
          <cell r="A992" t="str">
            <v>4046101</v>
          </cell>
          <cell r="B992" t="str">
            <v>3300</v>
          </cell>
          <cell r="C992" t="str">
            <v>3001</v>
          </cell>
          <cell r="D992" t="str">
            <v>L</v>
          </cell>
          <cell r="E992" t="str">
            <v/>
          </cell>
          <cell r="F992" t="str">
            <v>2025</v>
          </cell>
          <cell r="G992" t="str">
            <v>7</v>
          </cell>
          <cell r="H992">
            <v>0</v>
          </cell>
          <cell r="I992">
            <v>0</v>
          </cell>
          <cell r="J992" t="str">
            <v/>
          </cell>
          <cell r="K992" t="str">
            <v/>
          </cell>
          <cell r="L992" t="str">
            <v/>
          </cell>
          <cell r="M992" t="str">
            <v/>
          </cell>
          <cell r="N992">
            <v>45842</v>
          </cell>
          <cell r="O992" t="str">
            <v>X</v>
          </cell>
          <cell r="P992" t="str">
            <v>2025</v>
          </cell>
          <cell r="Q992">
            <v>0</v>
          </cell>
          <cell r="R992" t="str">
            <v>INAKTIV</v>
          </cell>
        </row>
        <row r="993">
          <cell r="A993" t="str">
            <v>4046102</v>
          </cell>
          <cell r="B993" t="str">
            <v>3300</v>
          </cell>
          <cell r="C993" t="str">
            <v>3001</v>
          </cell>
          <cell r="D993" t="str">
            <v>L</v>
          </cell>
          <cell r="E993" t="str">
            <v/>
          </cell>
          <cell r="F993" t="str">
            <v>2025</v>
          </cell>
          <cell r="G993" t="str">
            <v>7</v>
          </cell>
          <cell r="H993">
            <v>0</v>
          </cell>
          <cell r="I993">
            <v>0</v>
          </cell>
          <cell r="J993" t="str">
            <v/>
          </cell>
          <cell r="K993" t="str">
            <v/>
          </cell>
          <cell r="L993" t="str">
            <v/>
          </cell>
          <cell r="M993" t="str">
            <v/>
          </cell>
          <cell r="N993">
            <v>45842</v>
          </cell>
          <cell r="O993" t="str">
            <v>X</v>
          </cell>
          <cell r="P993" t="str">
            <v>2025</v>
          </cell>
          <cell r="Q993">
            <v>0</v>
          </cell>
          <cell r="R993" t="str">
            <v>INAKTIV</v>
          </cell>
        </row>
        <row r="994">
          <cell r="A994" t="str">
            <v>4046103</v>
          </cell>
          <cell r="B994" t="str">
            <v>3300</v>
          </cell>
          <cell r="C994" t="str">
            <v>3001</v>
          </cell>
          <cell r="D994" t="str">
            <v>L</v>
          </cell>
          <cell r="E994" t="str">
            <v/>
          </cell>
          <cell r="F994" t="str">
            <v>2025</v>
          </cell>
          <cell r="G994" t="str">
            <v>7</v>
          </cell>
          <cell r="H994">
            <v>0</v>
          </cell>
          <cell r="I994">
            <v>0</v>
          </cell>
          <cell r="J994" t="str">
            <v/>
          </cell>
          <cell r="K994" t="str">
            <v/>
          </cell>
          <cell r="L994" t="str">
            <v/>
          </cell>
          <cell r="M994" t="str">
            <v/>
          </cell>
          <cell r="N994">
            <v>45842</v>
          </cell>
          <cell r="O994" t="str">
            <v>X</v>
          </cell>
          <cell r="P994" t="str">
            <v>2025</v>
          </cell>
          <cell r="Q994">
            <v>0</v>
          </cell>
          <cell r="R994" t="str">
            <v>INAKTIV</v>
          </cell>
        </row>
        <row r="995">
          <cell r="A995" t="str">
            <v>4046119</v>
          </cell>
          <cell r="B995" t="str">
            <v>3300</v>
          </cell>
          <cell r="C995" t="str">
            <v>3001</v>
          </cell>
          <cell r="D995" t="str">
            <v>L</v>
          </cell>
          <cell r="E995" t="str">
            <v/>
          </cell>
          <cell r="F995" t="str">
            <v>2025</v>
          </cell>
          <cell r="G995" t="str">
            <v>7</v>
          </cell>
          <cell r="H995">
            <v>0</v>
          </cell>
          <cell r="I995">
            <v>0</v>
          </cell>
          <cell r="J995" t="str">
            <v/>
          </cell>
          <cell r="K995" t="str">
            <v/>
          </cell>
          <cell r="L995" t="str">
            <v/>
          </cell>
          <cell r="M995" t="str">
            <v/>
          </cell>
          <cell r="N995">
            <v>45842</v>
          </cell>
          <cell r="O995" t="str">
            <v>X</v>
          </cell>
          <cell r="P995" t="str">
            <v>2025</v>
          </cell>
          <cell r="Q995">
            <v>0</v>
          </cell>
          <cell r="R995" t="str">
            <v>INAKTIV</v>
          </cell>
        </row>
        <row r="996">
          <cell r="A996" t="str">
            <v>4046120</v>
          </cell>
          <cell r="B996" t="str">
            <v>3300</v>
          </cell>
          <cell r="C996" t="str">
            <v>3001</v>
          </cell>
          <cell r="D996" t="str">
            <v>L</v>
          </cell>
          <cell r="E996" t="str">
            <v/>
          </cell>
          <cell r="F996" t="str">
            <v>2025</v>
          </cell>
          <cell r="G996" t="str">
            <v>7</v>
          </cell>
          <cell r="H996">
            <v>0</v>
          </cell>
          <cell r="I996">
            <v>0</v>
          </cell>
          <cell r="J996" t="str">
            <v/>
          </cell>
          <cell r="K996" t="str">
            <v/>
          </cell>
          <cell r="L996" t="str">
            <v/>
          </cell>
          <cell r="M996" t="str">
            <v/>
          </cell>
          <cell r="N996">
            <v>45842</v>
          </cell>
          <cell r="O996" t="str">
            <v>X</v>
          </cell>
          <cell r="P996" t="str">
            <v>2025</v>
          </cell>
          <cell r="Q996">
            <v>0</v>
          </cell>
          <cell r="R996" t="str">
            <v>INAKTIV</v>
          </cell>
        </row>
        <row r="997">
          <cell r="A997" t="str">
            <v>4046121</v>
          </cell>
          <cell r="B997" t="str">
            <v>3300</v>
          </cell>
          <cell r="C997" t="str">
            <v>3001</v>
          </cell>
          <cell r="D997" t="str">
            <v>L</v>
          </cell>
          <cell r="E997" t="str">
            <v/>
          </cell>
          <cell r="F997" t="str">
            <v>2025</v>
          </cell>
          <cell r="G997" t="str">
            <v>7</v>
          </cell>
          <cell r="H997">
            <v>0</v>
          </cell>
          <cell r="I997">
            <v>0</v>
          </cell>
          <cell r="J997" t="str">
            <v/>
          </cell>
          <cell r="K997" t="str">
            <v/>
          </cell>
          <cell r="L997" t="str">
            <v/>
          </cell>
          <cell r="M997" t="str">
            <v/>
          </cell>
          <cell r="N997">
            <v>45842</v>
          </cell>
          <cell r="O997" t="str">
            <v>X</v>
          </cell>
          <cell r="P997" t="str">
            <v>2025</v>
          </cell>
          <cell r="Q997">
            <v>0</v>
          </cell>
          <cell r="R997" t="str">
            <v>INAKTIV</v>
          </cell>
        </row>
        <row r="998">
          <cell r="A998" t="str">
            <v>4046122</v>
          </cell>
          <cell r="B998" t="str">
            <v>3300</v>
          </cell>
          <cell r="C998" t="str">
            <v>3001</v>
          </cell>
          <cell r="D998" t="str">
            <v>L</v>
          </cell>
          <cell r="E998" t="str">
            <v/>
          </cell>
          <cell r="F998" t="str">
            <v>2025</v>
          </cell>
          <cell r="G998" t="str">
            <v>7</v>
          </cell>
          <cell r="H998">
            <v>0</v>
          </cell>
          <cell r="I998">
            <v>0</v>
          </cell>
          <cell r="J998" t="str">
            <v/>
          </cell>
          <cell r="K998" t="str">
            <v/>
          </cell>
          <cell r="L998" t="str">
            <v/>
          </cell>
          <cell r="M998" t="str">
            <v/>
          </cell>
          <cell r="N998">
            <v>45842</v>
          </cell>
          <cell r="O998" t="str">
            <v>X</v>
          </cell>
          <cell r="P998" t="str">
            <v>2025</v>
          </cell>
          <cell r="Q998">
            <v>0</v>
          </cell>
          <cell r="R998" t="str">
            <v>INAKTIV</v>
          </cell>
        </row>
        <row r="999">
          <cell r="A999" t="str">
            <v>4046123</v>
          </cell>
          <cell r="B999" t="str">
            <v>3300</v>
          </cell>
          <cell r="C999" t="str">
            <v>3001</v>
          </cell>
          <cell r="D999" t="str">
            <v>L</v>
          </cell>
          <cell r="E999" t="str">
            <v/>
          </cell>
          <cell r="F999" t="str">
            <v>2025</v>
          </cell>
          <cell r="G999" t="str">
            <v>7</v>
          </cell>
          <cell r="H999">
            <v>0</v>
          </cell>
          <cell r="I999">
            <v>0</v>
          </cell>
          <cell r="J999" t="str">
            <v/>
          </cell>
          <cell r="K999" t="str">
            <v/>
          </cell>
          <cell r="L999" t="str">
            <v/>
          </cell>
          <cell r="M999" t="str">
            <v/>
          </cell>
          <cell r="N999">
            <v>45842</v>
          </cell>
          <cell r="O999" t="str">
            <v>X</v>
          </cell>
          <cell r="P999" t="str">
            <v>2025</v>
          </cell>
          <cell r="Q999">
            <v>0</v>
          </cell>
          <cell r="R999" t="str">
            <v>INAKTIV</v>
          </cell>
        </row>
        <row r="1000">
          <cell r="A1000" t="str">
            <v>4046124</v>
          </cell>
          <cell r="B1000" t="str">
            <v>3300</v>
          </cell>
          <cell r="C1000" t="str">
            <v>3001</v>
          </cell>
          <cell r="D1000" t="str">
            <v>L</v>
          </cell>
          <cell r="E1000" t="str">
            <v/>
          </cell>
          <cell r="F1000" t="str">
            <v>2025</v>
          </cell>
          <cell r="G1000" t="str">
            <v>7</v>
          </cell>
          <cell r="H1000">
            <v>0</v>
          </cell>
          <cell r="I1000">
            <v>0</v>
          </cell>
          <cell r="J1000" t="str">
            <v/>
          </cell>
          <cell r="K1000" t="str">
            <v/>
          </cell>
          <cell r="L1000" t="str">
            <v/>
          </cell>
          <cell r="M1000" t="str">
            <v/>
          </cell>
          <cell r="N1000">
            <v>45842</v>
          </cell>
          <cell r="O1000" t="str">
            <v>X</v>
          </cell>
          <cell r="P1000" t="str">
            <v>2025</v>
          </cell>
          <cell r="Q1000">
            <v>0</v>
          </cell>
          <cell r="R1000" t="str">
            <v>INAKTIV</v>
          </cell>
        </row>
        <row r="1001">
          <cell r="A1001" t="str">
            <v>4046125</v>
          </cell>
          <cell r="B1001" t="str">
            <v>3300</v>
          </cell>
          <cell r="C1001" t="str">
            <v>3001</v>
          </cell>
          <cell r="D1001" t="str">
            <v>L</v>
          </cell>
          <cell r="E1001" t="str">
            <v/>
          </cell>
          <cell r="F1001" t="str">
            <v>2025</v>
          </cell>
          <cell r="G1001" t="str">
            <v>7</v>
          </cell>
          <cell r="H1001">
            <v>0</v>
          </cell>
          <cell r="I1001">
            <v>0</v>
          </cell>
          <cell r="J1001" t="str">
            <v/>
          </cell>
          <cell r="K1001" t="str">
            <v/>
          </cell>
          <cell r="L1001" t="str">
            <v/>
          </cell>
          <cell r="M1001" t="str">
            <v/>
          </cell>
          <cell r="N1001">
            <v>45842</v>
          </cell>
          <cell r="O1001" t="str">
            <v>X</v>
          </cell>
          <cell r="P1001" t="str">
            <v>2025</v>
          </cell>
          <cell r="Q1001">
            <v>0</v>
          </cell>
          <cell r="R1001" t="str">
            <v>INAKTIV</v>
          </cell>
        </row>
        <row r="1002">
          <cell r="A1002" t="str">
            <v>4046126</v>
          </cell>
          <cell r="B1002" t="str">
            <v>3300</v>
          </cell>
          <cell r="C1002" t="str">
            <v>3001</v>
          </cell>
          <cell r="D1002" t="str">
            <v>L</v>
          </cell>
          <cell r="E1002" t="str">
            <v/>
          </cell>
          <cell r="F1002" t="str">
            <v>2025</v>
          </cell>
          <cell r="G1002" t="str">
            <v>7</v>
          </cell>
          <cell r="H1002">
            <v>0</v>
          </cell>
          <cell r="I1002">
            <v>0</v>
          </cell>
          <cell r="J1002" t="str">
            <v/>
          </cell>
          <cell r="K1002" t="str">
            <v/>
          </cell>
          <cell r="L1002" t="str">
            <v/>
          </cell>
          <cell r="M1002" t="str">
            <v/>
          </cell>
          <cell r="N1002">
            <v>45842</v>
          </cell>
          <cell r="O1002" t="str">
            <v>X</v>
          </cell>
          <cell r="P1002" t="str">
            <v>2025</v>
          </cell>
          <cell r="Q1002">
            <v>0</v>
          </cell>
          <cell r="R1002" t="str">
            <v>INAKTIV</v>
          </cell>
        </row>
        <row r="1003">
          <cell r="A1003" t="str">
            <v>4048468</v>
          </cell>
          <cell r="B1003" t="str">
            <v>3300</v>
          </cell>
          <cell r="C1003" t="str">
            <v>3001</v>
          </cell>
          <cell r="D1003" t="str">
            <v>DL</v>
          </cell>
          <cell r="E1003" t="str">
            <v/>
          </cell>
          <cell r="F1003" t="str">
            <v>2026</v>
          </cell>
          <cell r="G1003" t="str">
            <v>2</v>
          </cell>
          <cell r="H1003">
            <v>240</v>
          </cell>
          <cell r="I1003">
            <v>0</v>
          </cell>
          <cell r="J1003" t="str">
            <v>X</v>
          </cell>
          <cell r="K1003" t="str">
            <v/>
          </cell>
          <cell r="L1003" t="str">
            <v>01:05:01</v>
          </cell>
          <cell r="M1003">
            <v>46029</v>
          </cell>
          <cell r="N1003">
            <v>45966</v>
          </cell>
          <cell r="O1003" t="str">
            <v>X</v>
          </cell>
          <cell r="P1003" t="str">
            <v>2026</v>
          </cell>
          <cell r="Q1003">
            <v>240</v>
          </cell>
          <cell r="R1003" t="str">
            <v/>
          </cell>
        </row>
        <row r="1004">
          <cell r="A1004" t="str">
            <v>4049107</v>
          </cell>
          <cell r="B1004" t="str">
            <v>3300</v>
          </cell>
          <cell r="C1004" t="str">
            <v>3001</v>
          </cell>
          <cell r="D1004" t="str">
            <v>DL</v>
          </cell>
          <cell r="E1004" t="str">
            <v/>
          </cell>
          <cell r="F1004" t="str">
            <v>2026</v>
          </cell>
          <cell r="G1004" t="str">
            <v>2</v>
          </cell>
          <cell r="H1004">
            <v>2664</v>
          </cell>
          <cell r="I1004">
            <v>0</v>
          </cell>
          <cell r="J1004" t="str">
            <v/>
          </cell>
          <cell r="K1004" t="str">
            <v/>
          </cell>
          <cell r="L1004" t="str">
            <v>04:13:00*</v>
          </cell>
          <cell r="M1004" t="str">
            <v/>
          </cell>
          <cell r="N1004">
            <v>46045</v>
          </cell>
          <cell r="O1004" t="str">
            <v>X</v>
          </cell>
          <cell r="P1004" t="str">
            <v>2026</v>
          </cell>
          <cell r="Q1004">
            <v>2664</v>
          </cell>
          <cell r="R1004" t="str">
            <v/>
          </cell>
        </row>
        <row r="1005">
          <cell r="A1005" t="str">
            <v>4049121</v>
          </cell>
          <cell r="B1005" t="str">
            <v>3300</v>
          </cell>
          <cell r="C1005" t="str">
            <v>3001</v>
          </cell>
          <cell r="D1005" t="str">
            <v>DL</v>
          </cell>
          <cell r="E1005" t="str">
            <v/>
          </cell>
          <cell r="F1005" t="str">
            <v>2026</v>
          </cell>
          <cell r="G1005" t="str">
            <v>2</v>
          </cell>
          <cell r="H1005">
            <v>24</v>
          </cell>
          <cell r="I1005">
            <v>0</v>
          </cell>
          <cell r="J1005" t="str">
            <v/>
          </cell>
          <cell r="K1005" t="str">
            <v/>
          </cell>
          <cell r="L1005" t="str">
            <v>09:10:03</v>
          </cell>
          <cell r="M1005" t="str">
            <v/>
          </cell>
          <cell r="N1005">
            <v>46038</v>
          </cell>
          <cell r="O1005" t="str">
            <v>X</v>
          </cell>
          <cell r="P1005" t="str">
            <v>2026</v>
          </cell>
          <cell r="Q1005">
            <v>24</v>
          </cell>
          <cell r="R1005" t="str">
            <v/>
          </cell>
        </row>
        <row r="1006">
          <cell r="A1006" t="str">
            <v>4049360</v>
          </cell>
          <cell r="B1006" t="str">
            <v>3300</v>
          </cell>
          <cell r="C1006" t="str">
            <v>3001</v>
          </cell>
          <cell r="D1006" t="str">
            <v>DL</v>
          </cell>
          <cell r="E1006" t="str">
            <v/>
          </cell>
          <cell r="F1006" t="str">
            <v>2026</v>
          </cell>
          <cell r="G1006" t="str">
            <v>3</v>
          </cell>
          <cell r="H1006">
            <v>2400</v>
          </cell>
          <cell r="I1006">
            <v>0</v>
          </cell>
          <cell r="J1006" t="str">
            <v/>
          </cell>
          <cell r="K1006" t="str">
            <v/>
          </cell>
          <cell r="L1006" t="str">
            <v>17:00:00</v>
          </cell>
          <cell r="M1006" t="str">
            <v/>
          </cell>
          <cell r="N1006">
            <v>46059</v>
          </cell>
          <cell r="O1006" t="str">
            <v>X</v>
          </cell>
          <cell r="P1006" t="str">
            <v>2026</v>
          </cell>
          <cell r="Q1006">
            <v>2400</v>
          </cell>
          <cell r="R1006" t="str">
            <v/>
          </cell>
        </row>
        <row r="1007">
          <cell r="A1007" t="str">
            <v>4049385</v>
          </cell>
          <cell r="B1007" t="str">
            <v>3300</v>
          </cell>
          <cell r="C1007" t="str">
            <v>3001</v>
          </cell>
          <cell r="D1007" t="str">
            <v>DL</v>
          </cell>
          <cell r="E1007" t="str">
            <v/>
          </cell>
          <cell r="F1007" t="str">
            <v>2026</v>
          </cell>
          <cell r="G1007" t="str">
            <v>2</v>
          </cell>
          <cell r="H1007">
            <v>0</v>
          </cell>
          <cell r="I1007">
            <v>0</v>
          </cell>
          <cell r="J1007" t="str">
            <v/>
          </cell>
          <cell r="K1007" t="str">
            <v/>
          </cell>
          <cell r="L1007" t="str">
            <v/>
          </cell>
          <cell r="M1007" t="str">
            <v/>
          </cell>
          <cell r="N1007">
            <v>46072</v>
          </cell>
          <cell r="O1007" t="str">
            <v>X</v>
          </cell>
          <cell r="P1007" t="str">
            <v>2026</v>
          </cell>
          <cell r="Q1007">
            <v>0</v>
          </cell>
          <cell r="R1007" t="str">
            <v>INAKTIV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E97507-9194-4EFA-B447-27764A3EDA6A}">
  <we:reference id="wa200009404" version="1.0.0.5" store="nb-NO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46F0-4148-4032-B672-5824197C9003}">
  <dimension ref="A1:R1016"/>
  <sheetViews>
    <sheetView showGridLines="0" tabSelected="1" workbookViewId="0">
      <pane ySplit="10" topLeftCell="A103" activePane="bottomLeft" state="frozen"/>
      <selection pane="bottomLeft" activeCell="C87" sqref="C87"/>
    </sheetView>
  </sheetViews>
  <sheetFormatPr baseColWidth="10" defaultColWidth="11.54296875" defaultRowHeight="14.5" x14ac:dyDescent="0.35"/>
  <cols>
    <col min="1" max="1" width="23.81640625" style="1" bestFit="1" customWidth="1"/>
    <col min="2" max="2" width="8.453125" style="1" customWidth="1"/>
    <col min="3" max="3" width="7.6328125" style="1" bestFit="1" customWidth="1"/>
    <col min="4" max="4" width="19.36328125" style="1" bestFit="1" customWidth="1"/>
    <col min="5" max="5" width="20.1796875" style="1" bestFit="1" customWidth="1"/>
    <col min="6" max="6" width="17.08984375" style="1" bestFit="1" customWidth="1"/>
    <col min="7" max="7" width="20.90625" style="1" bestFit="1" customWidth="1"/>
    <col min="8" max="8" width="22.90625" style="1" bestFit="1" customWidth="1"/>
    <col min="9" max="9" width="16.453125" style="1" bestFit="1" customWidth="1"/>
    <col min="10" max="10" width="16.90625" style="1" bestFit="1" customWidth="1"/>
    <col min="11" max="11" width="19.08984375" style="1" bestFit="1" customWidth="1"/>
    <col min="12" max="12" width="14.1796875" style="1" bestFit="1" customWidth="1"/>
    <col min="13" max="13" width="16.08984375" style="1" bestFit="1" customWidth="1"/>
    <col min="14" max="14" width="16.90625" style="1" bestFit="1" customWidth="1"/>
    <col min="15" max="16" width="13.81640625" style="1" bestFit="1" customWidth="1"/>
    <col min="17" max="17" width="14.81640625" style="1" bestFit="1" customWidth="1"/>
    <col min="18" max="18" width="9.54296875" style="1" bestFit="1" customWidth="1"/>
    <col min="19" max="16384" width="11.54296875" style="1"/>
  </cols>
  <sheetData>
    <row r="1" spans="1:18" ht="18.5" x14ac:dyDescent="0.35">
      <c r="A1" s="80" t="s">
        <v>3343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</row>
    <row r="2" spans="1:18" x14ac:dyDescent="0.35">
      <c r="A2" s="46"/>
      <c r="B2" s="46"/>
    </row>
    <row r="3" spans="1:18" x14ac:dyDescent="0.35">
      <c r="A3" s="10" t="s">
        <v>0</v>
      </c>
      <c r="B3" s="43">
        <f>COUNTA(A11:A1016)</f>
        <v>1006</v>
      </c>
    </row>
    <row r="4" spans="1:18" x14ac:dyDescent="0.35">
      <c r="A4" s="11" t="s">
        <v>1</v>
      </c>
      <c r="B4" s="44" cm="1">
        <f t="array" ref="B4">SUMPRODUCT(1/COUNTIF(A11:A1016,A11:A1016))</f>
        <v>1006</v>
      </c>
    </row>
    <row r="5" spans="1:18" x14ac:dyDescent="0.35">
      <c r="A5" s="11" t="s">
        <v>2</v>
      </c>
      <c r="B5" s="44">
        <f>COUNTIF(Q11:Q1016,"&gt;0")</f>
        <v>709</v>
      </c>
    </row>
    <row r="6" spans="1:18" x14ac:dyDescent="0.35">
      <c r="A6" s="11" t="s">
        <v>3</v>
      </c>
      <c r="B6" s="44">
        <f>COUNTIF(Q11:Q1016,0)</f>
        <v>297</v>
      </c>
    </row>
    <row r="7" spans="1:18" x14ac:dyDescent="0.35">
      <c r="A7" s="11" t="s">
        <v>4</v>
      </c>
      <c r="B7" s="44" cm="1">
        <f t="array" ref="B7">SUMPRODUCT((Q11:Q1016&gt;0)*(1/COUNTIF(A11:A1016,A11:A1016)))</f>
        <v>709</v>
      </c>
    </row>
    <row r="8" spans="1:18" x14ac:dyDescent="0.35">
      <c r="A8" s="12" t="s">
        <v>3342</v>
      </c>
      <c r="B8" s="45">
        <f>B5/B3</f>
        <v>0.70477137176938365</v>
      </c>
    </row>
    <row r="10" spans="1:18" x14ac:dyDescent="0.35">
      <c r="A10" s="14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  <c r="H10" s="14" t="s">
        <v>12</v>
      </c>
      <c r="I10" s="14" t="s">
        <v>13</v>
      </c>
      <c r="J10" s="14" t="s">
        <v>14</v>
      </c>
      <c r="K10" s="14" t="s">
        <v>15</v>
      </c>
      <c r="L10" s="14" t="s">
        <v>16</v>
      </c>
      <c r="M10" s="14" t="s">
        <v>17</v>
      </c>
      <c r="N10" s="14" t="s">
        <v>18</v>
      </c>
      <c r="O10" s="14" t="s">
        <v>19</v>
      </c>
      <c r="P10" s="14" t="s">
        <v>20</v>
      </c>
      <c r="Q10" s="14" t="s">
        <v>21</v>
      </c>
      <c r="R10" s="14" t="s">
        <v>22</v>
      </c>
    </row>
    <row r="11" spans="1:18" x14ac:dyDescent="0.35">
      <c r="A11" s="1" t="str">
        <f>[1]Data!A2</f>
        <v>4000005</v>
      </c>
      <c r="B11" s="1" t="str">
        <f>[1]Data!B2</f>
        <v>3300</v>
      </c>
      <c r="C11" s="1" t="str">
        <f>[1]Data!C2</f>
        <v>3001</v>
      </c>
      <c r="D11" s="1" t="str">
        <f>[1]Data!D2</f>
        <v>DL</v>
      </c>
      <c r="E11" s="1" t="str">
        <f>[1]Data!E2</f>
        <v/>
      </c>
      <c r="F11" s="1" t="str">
        <f>[1]Data!F2</f>
        <v>2026</v>
      </c>
      <c r="G11" s="1" t="str">
        <f>[1]Data!G2</f>
        <v>2</v>
      </c>
      <c r="H11" s="15">
        <f>[1]Data!H2</f>
        <v>52</v>
      </c>
      <c r="I11" s="15">
        <f>[1]Data!I2</f>
        <v>0</v>
      </c>
      <c r="J11" s="1" t="str">
        <f>[1]Data!J2</f>
        <v>X</v>
      </c>
      <c r="K11" s="1" t="str">
        <f>[1]Data!K2</f>
        <v/>
      </c>
      <c r="L11" s="1" t="str">
        <f>[1]Data!L2</f>
        <v>02:01:02</v>
      </c>
      <c r="M11" s="1">
        <f>[1]Data!M2</f>
        <v>46029</v>
      </c>
      <c r="N11" s="1">
        <f>[1]Data!N2</f>
        <v>45462</v>
      </c>
      <c r="O11" s="1" t="str">
        <f>[1]Data!O2</f>
        <v>X</v>
      </c>
      <c r="P11" s="1" t="str">
        <f>[1]Data!P2</f>
        <v>2026</v>
      </c>
      <c r="Q11" s="15">
        <f>[1]Data!Q2</f>
        <v>52</v>
      </c>
      <c r="R11" s="1" t="str">
        <f>[1]Data!R2</f>
        <v/>
      </c>
    </row>
    <row r="12" spans="1:18" x14ac:dyDescent="0.35">
      <c r="A12" s="1" t="str">
        <f>[1]Data!A3</f>
        <v>4000009</v>
      </c>
      <c r="B12" s="1" t="str">
        <f>[1]Data!B3</f>
        <v>3300</v>
      </c>
      <c r="C12" s="1" t="str">
        <f>[1]Data!C3</f>
        <v>3001</v>
      </c>
      <c r="D12" s="1" t="str">
        <f>[1]Data!D3</f>
        <v>DL</v>
      </c>
      <c r="E12" s="1" t="str">
        <f>[1]Data!E3</f>
        <v/>
      </c>
      <c r="F12" s="1" t="str">
        <f>[1]Data!F3</f>
        <v>2024</v>
      </c>
      <c r="G12" s="1" t="str">
        <f>[1]Data!G3</f>
        <v>9</v>
      </c>
      <c r="H12" s="15">
        <f>[1]Data!H3</f>
        <v>0</v>
      </c>
      <c r="I12" s="15">
        <f>[1]Data!I3</f>
        <v>0</v>
      </c>
      <c r="J12" s="1" t="str">
        <f>[1]Data!J3</f>
        <v>X</v>
      </c>
      <c r="K12" s="1" t="str">
        <f>[1]Data!K3</f>
        <v/>
      </c>
      <c r="L12" s="1" t="str">
        <f>[1]Data!L3</f>
        <v>SLETTET</v>
      </c>
      <c r="M12" s="1">
        <f>[1]Data!M3</f>
        <v>46030</v>
      </c>
      <c r="N12" s="1">
        <f>[1]Data!N3</f>
        <v>45462</v>
      </c>
      <c r="O12" s="1" t="str">
        <f>[1]Data!O3</f>
        <v>X</v>
      </c>
      <c r="P12" s="1" t="str">
        <f>[1]Data!P3</f>
        <v>2026</v>
      </c>
      <c r="Q12" s="15">
        <f>[1]Data!Q3</f>
        <v>0</v>
      </c>
      <c r="R12" s="1" t="str">
        <f>[1]Data!R3</f>
        <v>INAKTIV</v>
      </c>
    </row>
    <row r="13" spans="1:18" x14ac:dyDescent="0.35">
      <c r="A13" s="1" t="str">
        <f>[1]Data!A4</f>
        <v>4000014</v>
      </c>
      <c r="B13" s="1" t="str">
        <f>[1]Data!B4</f>
        <v>3300</v>
      </c>
      <c r="C13" s="1" t="str">
        <f>[1]Data!C4</f>
        <v>3001</v>
      </c>
      <c r="D13" s="1" t="str">
        <f>[1]Data!D4</f>
        <v>L</v>
      </c>
      <c r="E13" s="1" t="str">
        <f>[1]Data!E4</f>
        <v/>
      </c>
      <c r="F13" s="1" t="str">
        <f>[1]Data!F4</f>
        <v>2026</v>
      </c>
      <c r="G13" s="1" t="str">
        <f>[1]Data!G4</f>
        <v>3</v>
      </c>
      <c r="H13" s="15">
        <f>[1]Data!H4</f>
        <v>302</v>
      </c>
      <c r="I13" s="15">
        <f>[1]Data!I4</f>
        <v>0</v>
      </c>
      <c r="J13" s="1" t="str">
        <f>[1]Data!J4</f>
        <v>X</v>
      </c>
      <c r="K13" s="1" t="str">
        <f>[1]Data!K4</f>
        <v>X</v>
      </c>
      <c r="L13" s="1" t="str">
        <f>[1]Data!L4</f>
        <v>15:08:02</v>
      </c>
      <c r="M13" s="1">
        <f>[1]Data!M4</f>
        <v>46006</v>
      </c>
      <c r="N13" s="1">
        <f>[1]Data!N4</f>
        <v>44430</v>
      </c>
      <c r="O13" s="1" t="str">
        <f>[1]Data!O4</f>
        <v>X</v>
      </c>
      <c r="P13" s="1" t="str">
        <f>[1]Data!P4</f>
        <v>2025</v>
      </c>
      <c r="Q13" s="15">
        <f>[1]Data!Q4</f>
        <v>302</v>
      </c>
      <c r="R13" s="1" t="str">
        <f>[1]Data!R4</f>
        <v/>
      </c>
    </row>
    <row r="14" spans="1:18" x14ac:dyDescent="0.35">
      <c r="A14" s="1" t="str">
        <f>[1]Data!A5</f>
        <v>4000023</v>
      </c>
      <c r="B14" s="1" t="str">
        <f>[1]Data!B5</f>
        <v>3300</v>
      </c>
      <c r="C14" s="1" t="str">
        <f>[1]Data!C5</f>
        <v>3001</v>
      </c>
      <c r="D14" s="1" t="str">
        <f>[1]Data!D5</f>
        <v>DL</v>
      </c>
      <c r="E14" s="1" t="str">
        <f>[1]Data!E5</f>
        <v/>
      </c>
      <c r="F14" s="1" t="str">
        <f>[1]Data!F5</f>
        <v>2026</v>
      </c>
      <c r="G14" s="1" t="str">
        <f>[1]Data!G5</f>
        <v>3</v>
      </c>
      <c r="H14" s="15">
        <f>[1]Data!H5</f>
        <v>574</v>
      </c>
      <c r="I14" s="15">
        <f>[1]Data!I5</f>
        <v>0</v>
      </c>
      <c r="J14" s="1" t="str">
        <f>[1]Data!J5</f>
        <v>X</v>
      </c>
      <c r="K14" s="1" t="str">
        <f>[1]Data!K5</f>
        <v>X</v>
      </c>
      <c r="L14" s="1" t="str">
        <f>[1]Data!L5</f>
        <v>07:02:03</v>
      </c>
      <c r="M14" s="1">
        <f>[1]Data!M5</f>
        <v>45824</v>
      </c>
      <c r="N14" s="1">
        <f>[1]Data!N5</f>
        <v>44816</v>
      </c>
      <c r="O14" s="1" t="str">
        <f>[1]Data!O5</f>
        <v>X</v>
      </c>
      <c r="P14" s="1" t="str">
        <f>[1]Data!P5</f>
        <v>2025</v>
      </c>
      <c r="Q14" s="15">
        <f>[1]Data!Q5</f>
        <v>574</v>
      </c>
      <c r="R14" s="1" t="str">
        <f>[1]Data!R5</f>
        <v/>
      </c>
    </row>
    <row r="15" spans="1:18" x14ac:dyDescent="0.35">
      <c r="A15" s="1" t="str">
        <f>[1]Data!A6</f>
        <v>4000024</v>
      </c>
      <c r="B15" s="1" t="str">
        <f>[1]Data!B6</f>
        <v>3300</v>
      </c>
      <c r="C15" s="1" t="str">
        <f>[1]Data!C6</f>
        <v>3001</v>
      </c>
      <c r="D15" s="1" t="str">
        <f>[1]Data!D6</f>
        <v>DL</v>
      </c>
      <c r="E15" s="1" t="str">
        <f>[1]Data!E6</f>
        <v/>
      </c>
      <c r="F15" s="1" t="str">
        <f>[1]Data!F6</f>
        <v>2026</v>
      </c>
      <c r="G15" s="1" t="str">
        <f>[1]Data!G6</f>
        <v>2</v>
      </c>
      <c r="H15" s="15">
        <f>[1]Data!H6</f>
        <v>2130</v>
      </c>
      <c r="I15" s="15">
        <f>[1]Data!I6</f>
        <v>0</v>
      </c>
      <c r="J15" s="1" t="str">
        <f>[1]Data!J6</f>
        <v>X</v>
      </c>
      <c r="K15" s="1" t="str">
        <f>[1]Data!K6</f>
        <v>X</v>
      </c>
      <c r="L15" s="1" t="str">
        <f>[1]Data!L6</f>
        <v>10:05:01</v>
      </c>
      <c r="M15" s="1">
        <f>[1]Data!M6</f>
        <v>45987</v>
      </c>
      <c r="N15" s="1">
        <f>[1]Data!N6</f>
        <v>44816</v>
      </c>
      <c r="O15" s="1" t="str">
        <f>[1]Data!O6</f>
        <v>X</v>
      </c>
      <c r="P15" s="1" t="str">
        <f>[1]Data!P6</f>
        <v>2025</v>
      </c>
      <c r="Q15" s="15">
        <f>[1]Data!Q6</f>
        <v>2130</v>
      </c>
      <c r="R15" s="1" t="str">
        <f>[1]Data!R6</f>
        <v/>
      </c>
    </row>
    <row r="16" spans="1:18" x14ac:dyDescent="0.35">
      <c r="A16" s="1" t="str">
        <f>[1]Data!A7</f>
        <v>4000027</v>
      </c>
      <c r="B16" s="1" t="str">
        <f>[1]Data!B7</f>
        <v>3300</v>
      </c>
      <c r="C16" s="1" t="str">
        <f>[1]Data!C7</f>
        <v>3001</v>
      </c>
      <c r="D16" s="1" t="str">
        <f>[1]Data!D7</f>
        <v>L</v>
      </c>
      <c r="E16" s="1" t="str">
        <f>[1]Data!E7</f>
        <v/>
      </c>
      <c r="F16" s="1" t="str">
        <f>[1]Data!F7</f>
        <v>2026</v>
      </c>
      <c r="G16" s="1" t="str">
        <f>[1]Data!G7</f>
        <v>2</v>
      </c>
      <c r="H16" s="15">
        <f>[1]Data!H7</f>
        <v>184</v>
      </c>
      <c r="I16" s="15">
        <f>[1]Data!I7</f>
        <v>0</v>
      </c>
      <c r="J16" s="1" t="str">
        <f>[1]Data!J7</f>
        <v>X</v>
      </c>
      <c r="K16" s="1" t="str">
        <f>[1]Data!K7</f>
        <v>X</v>
      </c>
      <c r="L16" s="1" t="str">
        <f>[1]Data!L7</f>
        <v>04:06:02</v>
      </c>
      <c r="M16" s="1">
        <f>[1]Data!M7</f>
        <v>45799</v>
      </c>
      <c r="N16" s="1">
        <f>[1]Data!N7</f>
        <v>44430</v>
      </c>
      <c r="O16" s="1" t="str">
        <f>[1]Data!O7</f>
        <v>X</v>
      </c>
      <c r="P16" s="1" t="str">
        <f>[1]Data!P7</f>
        <v>2025</v>
      </c>
      <c r="Q16" s="15">
        <f>[1]Data!Q7</f>
        <v>184</v>
      </c>
      <c r="R16" s="1" t="str">
        <f>[1]Data!R7</f>
        <v/>
      </c>
    </row>
    <row r="17" spans="1:18" x14ac:dyDescent="0.35">
      <c r="A17" s="1" t="str">
        <f>[1]Data!A8</f>
        <v>4000032</v>
      </c>
      <c r="B17" s="1" t="str">
        <f>[1]Data!B8</f>
        <v>3300</v>
      </c>
      <c r="C17" s="1" t="str">
        <f>[1]Data!C8</f>
        <v>3001</v>
      </c>
      <c r="D17" s="1" t="str">
        <f>[1]Data!D8</f>
        <v>DL</v>
      </c>
      <c r="E17" s="1" t="str">
        <f>[1]Data!E8</f>
        <v/>
      </c>
      <c r="F17" s="1" t="str">
        <f>[1]Data!F8</f>
        <v>2022</v>
      </c>
      <c r="G17" s="1" t="str">
        <f>[1]Data!G8</f>
        <v>2</v>
      </c>
      <c r="H17" s="15">
        <f>[1]Data!H8</f>
        <v>0</v>
      </c>
      <c r="I17" s="15">
        <f>[1]Data!I8</f>
        <v>0</v>
      </c>
      <c r="J17" s="1" t="str">
        <f>[1]Data!J8</f>
        <v/>
      </c>
      <c r="K17" s="1" t="str">
        <f>[1]Data!K8</f>
        <v/>
      </c>
      <c r="L17" s="1" t="str">
        <f>[1]Data!L8</f>
        <v/>
      </c>
      <c r="M17" s="1" t="str">
        <f>[1]Data!M8</f>
        <v/>
      </c>
      <c r="N17" s="1">
        <f>[1]Data!N8</f>
        <v>44594</v>
      </c>
      <c r="O17" s="1" t="str">
        <f>[1]Data!O8</f>
        <v>X</v>
      </c>
      <c r="P17" s="1" t="str">
        <f>[1]Data!P8</f>
        <v>2022</v>
      </c>
      <c r="Q17" s="15">
        <f>[1]Data!Q8</f>
        <v>0</v>
      </c>
      <c r="R17" s="1" t="str">
        <f>[1]Data!R8</f>
        <v>INAKTIV</v>
      </c>
    </row>
    <row r="18" spans="1:18" x14ac:dyDescent="0.35">
      <c r="A18" s="1" t="str">
        <f>[1]Data!A9</f>
        <v>4000060</v>
      </c>
      <c r="B18" s="1" t="str">
        <f>[1]Data!B9</f>
        <v>3300</v>
      </c>
      <c r="C18" s="1" t="str">
        <f>[1]Data!C9</f>
        <v>3001</v>
      </c>
      <c r="D18" s="1" t="str">
        <f>[1]Data!D9</f>
        <v>L</v>
      </c>
      <c r="E18" s="1" t="str">
        <f>[1]Data!E9</f>
        <v/>
      </c>
      <c r="F18" s="1" t="str">
        <f>[1]Data!F9</f>
        <v>2026</v>
      </c>
      <c r="G18" s="1" t="str">
        <f>[1]Data!G9</f>
        <v>3</v>
      </c>
      <c r="H18" s="15">
        <f>[1]Data!H9</f>
        <v>1900</v>
      </c>
      <c r="I18" s="15">
        <f>[1]Data!I9</f>
        <v>0</v>
      </c>
      <c r="J18" s="1" t="str">
        <f>[1]Data!J9</f>
        <v>X</v>
      </c>
      <c r="K18" s="1" t="str">
        <f>[1]Data!K9</f>
        <v>X</v>
      </c>
      <c r="L18" s="1" t="str">
        <f>[1]Data!L9</f>
        <v>03:13:03</v>
      </c>
      <c r="M18" s="1">
        <f>[1]Data!M9</f>
        <v>45798</v>
      </c>
      <c r="N18" s="1">
        <f>[1]Data!N9</f>
        <v>44430</v>
      </c>
      <c r="O18" s="1" t="str">
        <f>[1]Data!O9</f>
        <v>X</v>
      </c>
      <c r="P18" s="1" t="str">
        <f>[1]Data!P9</f>
        <v>2025</v>
      </c>
      <c r="Q18" s="15">
        <f>[1]Data!Q9</f>
        <v>1900</v>
      </c>
      <c r="R18" s="1" t="str">
        <f>[1]Data!R9</f>
        <v/>
      </c>
    </row>
    <row r="19" spans="1:18" x14ac:dyDescent="0.35">
      <c r="A19" s="1" t="str">
        <f>[1]Data!A10</f>
        <v>4000061</v>
      </c>
      <c r="B19" s="1" t="str">
        <f>[1]Data!B10</f>
        <v>3300</v>
      </c>
      <c r="C19" s="1" t="str">
        <f>[1]Data!C10</f>
        <v>3001</v>
      </c>
      <c r="D19" s="1" t="str">
        <f>[1]Data!D10</f>
        <v>L</v>
      </c>
      <c r="E19" s="1" t="str">
        <f>[1]Data!E10</f>
        <v/>
      </c>
      <c r="F19" s="1" t="str">
        <f>[1]Data!F10</f>
        <v>2026</v>
      </c>
      <c r="G19" s="1" t="str">
        <f>[1]Data!G10</f>
        <v>3</v>
      </c>
      <c r="H19" s="15">
        <f>[1]Data!H10</f>
        <v>2600</v>
      </c>
      <c r="I19" s="15">
        <f>[1]Data!I10</f>
        <v>0</v>
      </c>
      <c r="J19" s="1" t="str">
        <f>[1]Data!J10</f>
        <v>X</v>
      </c>
      <c r="K19" s="1" t="str">
        <f>[1]Data!K10</f>
        <v>X</v>
      </c>
      <c r="L19" s="1" t="str">
        <f>[1]Data!L10</f>
        <v>14:16:01</v>
      </c>
      <c r="M19" s="1">
        <f>[1]Data!M10</f>
        <v>46001</v>
      </c>
      <c r="N19" s="1">
        <f>[1]Data!N10</f>
        <v>44430</v>
      </c>
      <c r="O19" s="1" t="str">
        <f>[1]Data!O10</f>
        <v>X</v>
      </c>
      <c r="P19" s="1" t="str">
        <f>[1]Data!P10</f>
        <v>2025</v>
      </c>
      <c r="Q19" s="15">
        <f>[1]Data!Q10</f>
        <v>2600</v>
      </c>
      <c r="R19" s="1" t="str">
        <f>[1]Data!R10</f>
        <v/>
      </c>
    </row>
    <row r="20" spans="1:18" x14ac:dyDescent="0.35">
      <c r="A20" s="1" t="str">
        <f>[1]Data!A11</f>
        <v>4000062</v>
      </c>
      <c r="B20" s="1" t="str">
        <f>[1]Data!B11</f>
        <v>3300</v>
      </c>
      <c r="C20" s="1" t="str">
        <f>[1]Data!C11</f>
        <v>3001</v>
      </c>
      <c r="D20" s="1" t="str">
        <f>[1]Data!D11</f>
        <v>L</v>
      </c>
      <c r="E20" s="1" t="str">
        <f>[1]Data!E11</f>
        <v/>
      </c>
      <c r="F20" s="1" t="str">
        <f>[1]Data!F11</f>
        <v>2024</v>
      </c>
      <c r="G20" s="1" t="str">
        <f>[1]Data!G11</f>
        <v>11</v>
      </c>
      <c r="H20" s="15">
        <f>[1]Data!H11</f>
        <v>0</v>
      </c>
      <c r="I20" s="15">
        <f>[1]Data!I11</f>
        <v>0</v>
      </c>
      <c r="J20" s="1" t="str">
        <f>[1]Data!J11</f>
        <v>X</v>
      </c>
      <c r="K20" s="1" t="str">
        <f>[1]Data!K11</f>
        <v/>
      </c>
      <c r="L20" s="1" t="str">
        <f>[1]Data!L11</f>
        <v>SLETTET</v>
      </c>
      <c r="M20" s="1">
        <f>[1]Data!M11</f>
        <v>44568</v>
      </c>
      <c r="N20" s="1">
        <f>[1]Data!N11</f>
        <v>44430</v>
      </c>
      <c r="O20" s="1" t="str">
        <f>[1]Data!O11</f>
        <v>X</v>
      </c>
      <c r="P20" s="1" t="str">
        <f>[1]Data!P11</f>
        <v>2022</v>
      </c>
      <c r="Q20" s="15">
        <f>[1]Data!Q11</f>
        <v>0</v>
      </c>
      <c r="R20" s="1" t="str">
        <f>[1]Data!R11</f>
        <v>INAKTIV</v>
      </c>
    </row>
    <row r="21" spans="1:18" x14ac:dyDescent="0.35">
      <c r="A21" s="1" t="str">
        <f>[1]Data!A12</f>
        <v>4000063</v>
      </c>
      <c r="B21" s="1" t="str">
        <f>[1]Data!B12</f>
        <v>3300</v>
      </c>
      <c r="C21" s="1" t="str">
        <f>[1]Data!C12</f>
        <v>3001</v>
      </c>
      <c r="D21" s="1" t="str">
        <f>[1]Data!D12</f>
        <v>L</v>
      </c>
      <c r="E21" s="1" t="str">
        <f>[1]Data!E12</f>
        <v/>
      </c>
      <c r="F21" s="1" t="str">
        <f>[1]Data!F12</f>
        <v>2021</v>
      </c>
      <c r="G21" s="1" t="str">
        <f>[1]Data!G12</f>
        <v>11</v>
      </c>
      <c r="H21" s="15">
        <f>[1]Data!H12</f>
        <v>0</v>
      </c>
      <c r="I21" s="15">
        <f>[1]Data!I12</f>
        <v>0</v>
      </c>
      <c r="J21" s="1" t="str">
        <f>[1]Data!J12</f>
        <v/>
      </c>
      <c r="K21" s="1" t="str">
        <f>[1]Data!K12</f>
        <v>X</v>
      </c>
      <c r="L21" s="1" t="str">
        <f>[1]Data!L12</f>
        <v>SLETTET</v>
      </c>
      <c r="M21" s="1">
        <f>[1]Data!M12</f>
        <v>44568</v>
      </c>
      <c r="N21" s="1">
        <f>[1]Data!N12</f>
        <v>44430</v>
      </c>
      <c r="O21" s="1" t="str">
        <f>[1]Data!O12</f>
        <v>X</v>
      </c>
      <c r="P21" s="1" t="str">
        <f>[1]Data!P12</f>
        <v>2023</v>
      </c>
      <c r="Q21" s="15">
        <f>[1]Data!Q12</f>
        <v>0</v>
      </c>
      <c r="R21" s="1" t="str">
        <f>[1]Data!R12</f>
        <v>INAKTIV</v>
      </c>
    </row>
    <row r="22" spans="1:18" x14ac:dyDescent="0.35">
      <c r="A22" s="1" t="str">
        <f>[1]Data!A13</f>
        <v>4000065</v>
      </c>
      <c r="B22" s="1" t="str">
        <f>[1]Data!B13</f>
        <v>3300</v>
      </c>
      <c r="C22" s="1" t="str">
        <f>[1]Data!C13</f>
        <v>3001</v>
      </c>
      <c r="D22" s="1" t="str">
        <f>[1]Data!D13</f>
        <v>L</v>
      </c>
      <c r="E22" s="1" t="str">
        <f>[1]Data!E13</f>
        <v/>
      </c>
      <c r="F22" s="1" t="str">
        <f>[1]Data!F13</f>
        <v>2026</v>
      </c>
      <c r="G22" s="1" t="str">
        <f>[1]Data!G13</f>
        <v>3</v>
      </c>
      <c r="H22" s="15">
        <f>[1]Data!H13</f>
        <v>7000</v>
      </c>
      <c r="I22" s="15">
        <f>[1]Data!I13</f>
        <v>0</v>
      </c>
      <c r="J22" s="1" t="str">
        <f>[1]Data!J13</f>
        <v>X</v>
      </c>
      <c r="K22" s="1" t="str">
        <f>[1]Data!K13</f>
        <v>X</v>
      </c>
      <c r="L22" s="1" t="str">
        <f>[1]Data!L13</f>
        <v>14:11:01</v>
      </c>
      <c r="M22" s="1">
        <f>[1]Data!M13</f>
        <v>46001</v>
      </c>
      <c r="N22" s="1">
        <f>[1]Data!N13</f>
        <v>44430</v>
      </c>
      <c r="O22" s="1" t="str">
        <f>[1]Data!O13</f>
        <v>X</v>
      </c>
      <c r="P22" s="1" t="str">
        <f>[1]Data!P13</f>
        <v>2025</v>
      </c>
      <c r="Q22" s="15">
        <f>[1]Data!Q13</f>
        <v>7000</v>
      </c>
      <c r="R22" s="1" t="str">
        <f>[1]Data!R13</f>
        <v/>
      </c>
    </row>
    <row r="23" spans="1:18" x14ac:dyDescent="0.35">
      <c r="A23" s="1" t="str">
        <f>[1]Data!A14</f>
        <v>4000066</v>
      </c>
      <c r="B23" s="1" t="str">
        <f>[1]Data!B14</f>
        <v>3300</v>
      </c>
      <c r="C23" s="1" t="str">
        <f>[1]Data!C14</f>
        <v>3001</v>
      </c>
      <c r="D23" s="1" t="str">
        <f>[1]Data!D14</f>
        <v>L</v>
      </c>
      <c r="E23" s="1" t="str">
        <f>[1]Data!E14</f>
        <v/>
      </c>
      <c r="F23" s="1" t="str">
        <f>[1]Data!F14</f>
        <v>2026</v>
      </c>
      <c r="G23" s="1" t="str">
        <f>[1]Data!G14</f>
        <v>2</v>
      </c>
      <c r="H23" s="15">
        <f>[1]Data!H14</f>
        <v>150</v>
      </c>
      <c r="I23" s="15">
        <f>[1]Data!I14</f>
        <v>0</v>
      </c>
      <c r="J23" s="1" t="str">
        <f>[1]Data!J14</f>
        <v>X</v>
      </c>
      <c r="K23" s="1" t="str">
        <f>[1]Data!K14</f>
        <v>X</v>
      </c>
      <c r="L23" s="1" t="str">
        <f>[1]Data!L14</f>
        <v>09:10:01</v>
      </c>
      <c r="M23" s="1">
        <f>[1]Data!M14</f>
        <v>45987</v>
      </c>
      <c r="N23" s="1">
        <f>[1]Data!N14</f>
        <v>44430</v>
      </c>
      <c r="O23" s="1" t="str">
        <f>[1]Data!O14</f>
        <v>X</v>
      </c>
      <c r="P23" s="1" t="str">
        <f>[1]Data!P14</f>
        <v>2025</v>
      </c>
      <c r="Q23" s="15">
        <f>[1]Data!Q14</f>
        <v>150</v>
      </c>
      <c r="R23" s="1" t="str">
        <f>[1]Data!R14</f>
        <v/>
      </c>
    </row>
    <row r="24" spans="1:18" x14ac:dyDescent="0.35">
      <c r="A24" s="1" t="str">
        <f>[1]Data!A15</f>
        <v>4000067</v>
      </c>
      <c r="B24" s="1" t="str">
        <f>[1]Data!B15</f>
        <v>3300</v>
      </c>
      <c r="C24" s="1" t="str">
        <f>[1]Data!C15</f>
        <v>3001</v>
      </c>
      <c r="D24" s="1" t="str">
        <f>[1]Data!D15</f>
        <v>L</v>
      </c>
      <c r="E24" s="1" t="str">
        <f>[1]Data!E15</f>
        <v/>
      </c>
      <c r="F24" s="1" t="str">
        <f>[1]Data!F15</f>
        <v>2026</v>
      </c>
      <c r="G24" s="1" t="str">
        <f>[1]Data!G15</f>
        <v>3</v>
      </c>
      <c r="H24" s="15">
        <f>[1]Data!H15</f>
        <v>0</v>
      </c>
      <c r="I24" s="15">
        <f>[1]Data!I15</f>
        <v>0</v>
      </c>
      <c r="J24" s="1" t="str">
        <f>[1]Data!J15</f>
        <v>X</v>
      </c>
      <c r="K24" s="1" t="str">
        <f>[1]Data!K15</f>
        <v>X</v>
      </c>
      <c r="L24" s="1" t="str">
        <f>[1]Data!L15</f>
        <v>09:10:01</v>
      </c>
      <c r="M24" s="1">
        <f>[1]Data!M15</f>
        <v>45987</v>
      </c>
      <c r="N24" s="1">
        <f>[1]Data!N15</f>
        <v>44430</v>
      </c>
      <c r="O24" s="1" t="str">
        <f>[1]Data!O15</f>
        <v>X</v>
      </c>
      <c r="P24" s="1" t="str">
        <f>[1]Data!P15</f>
        <v>2025</v>
      </c>
      <c r="Q24" s="15">
        <f>[1]Data!Q15</f>
        <v>0</v>
      </c>
      <c r="R24" s="1" t="str">
        <f>[1]Data!R15</f>
        <v>INAKTIV</v>
      </c>
    </row>
    <row r="25" spans="1:18" x14ac:dyDescent="0.35">
      <c r="A25" s="1" t="str">
        <f>[1]Data!A16</f>
        <v>4000069</v>
      </c>
      <c r="B25" s="1" t="str">
        <f>[1]Data!B16</f>
        <v>3300</v>
      </c>
      <c r="C25" s="1" t="str">
        <f>[1]Data!C16</f>
        <v>3001</v>
      </c>
      <c r="D25" s="1" t="str">
        <f>[1]Data!D16</f>
        <v>L</v>
      </c>
      <c r="E25" s="1" t="str">
        <f>[1]Data!E16</f>
        <v/>
      </c>
      <c r="F25" s="1" t="str">
        <f>[1]Data!F16</f>
        <v>2025</v>
      </c>
      <c r="G25" s="1" t="str">
        <f>[1]Data!G16</f>
        <v>9</v>
      </c>
      <c r="H25" s="15">
        <f>[1]Data!H16</f>
        <v>100</v>
      </c>
      <c r="I25" s="15">
        <f>[1]Data!I16</f>
        <v>0</v>
      </c>
      <c r="J25" s="1" t="str">
        <f>[1]Data!J16</f>
        <v/>
      </c>
      <c r="K25" s="1" t="str">
        <f>[1]Data!K16</f>
        <v>X</v>
      </c>
      <c r="L25" s="1" t="str">
        <f>[1]Data!L16</f>
        <v>SLETTET</v>
      </c>
      <c r="M25" s="1">
        <f>[1]Data!M16</f>
        <v>44568</v>
      </c>
      <c r="N25" s="1">
        <f>[1]Data!N16</f>
        <v>44430</v>
      </c>
      <c r="O25" s="1" t="str">
        <f>[1]Data!O16</f>
        <v>X</v>
      </c>
      <c r="P25" s="1" t="str">
        <f>[1]Data!P16</f>
        <v>2023</v>
      </c>
      <c r="Q25" s="15">
        <f>[1]Data!Q16</f>
        <v>100</v>
      </c>
      <c r="R25" s="1" t="str">
        <f>[1]Data!R16</f>
        <v/>
      </c>
    </row>
    <row r="26" spans="1:18" x14ac:dyDescent="0.35">
      <c r="A26" s="1" t="str">
        <f>[1]Data!A17</f>
        <v>4000072</v>
      </c>
      <c r="B26" s="1" t="str">
        <f>[1]Data!B17</f>
        <v>3300</v>
      </c>
      <c r="C26" s="1" t="str">
        <f>[1]Data!C17</f>
        <v>3001</v>
      </c>
      <c r="D26" s="1" t="str">
        <f>[1]Data!D17</f>
        <v>L</v>
      </c>
      <c r="E26" s="1" t="str">
        <f>[1]Data!E17</f>
        <v/>
      </c>
      <c r="F26" s="1" t="str">
        <f>[1]Data!F17</f>
        <v>2026</v>
      </c>
      <c r="G26" s="1" t="str">
        <f>[1]Data!G17</f>
        <v>3</v>
      </c>
      <c r="H26" s="15">
        <f>[1]Data!H17</f>
        <v>920</v>
      </c>
      <c r="I26" s="15">
        <f>[1]Data!I17</f>
        <v>0</v>
      </c>
      <c r="J26" s="1" t="str">
        <f>[1]Data!J17</f>
        <v>X</v>
      </c>
      <c r="K26" s="1" t="str">
        <f>[1]Data!K17</f>
        <v>X</v>
      </c>
      <c r="L26" s="1" t="str">
        <f>[1]Data!L17</f>
        <v>10:09:02</v>
      </c>
      <c r="M26" s="1">
        <f>[1]Data!M17</f>
        <v>45987</v>
      </c>
      <c r="N26" s="1">
        <f>[1]Data!N17</f>
        <v>44430</v>
      </c>
      <c r="O26" s="1" t="str">
        <f>[1]Data!O17</f>
        <v>X</v>
      </c>
      <c r="P26" s="1" t="str">
        <f>[1]Data!P17</f>
        <v>2025</v>
      </c>
      <c r="Q26" s="15">
        <f>[1]Data!Q17</f>
        <v>920</v>
      </c>
      <c r="R26" s="1" t="str">
        <f>[1]Data!R17</f>
        <v/>
      </c>
    </row>
    <row r="27" spans="1:18" x14ac:dyDescent="0.35">
      <c r="A27" s="1" t="str">
        <f>[1]Data!A18</f>
        <v>4000073</v>
      </c>
      <c r="B27" s="1" t="str">
        <f>[1]Data!B18</f>
        <v>3300</v>
      </c>
      <c r="C27" s="1" t="str">
        <f>[1]Data!C18</f>
        <v>3001</v>
      </c>
      <c r="D27" s="1" t="str">
        <f>[1]Data!D18</f>
        <v>DL</v>
      </c>
      <c r="E27" s="1" t="str">
        <f>[1]Data!E18</f>
        <v/>
      </c>
      <c r="F27" s="1" t="str">
        <f>[1]Data!F18</f>
        <v>2024</v>
      </c>
      <c r="G27" s="1" t="str">
        <f>[1]Data!G18</f>
        <v>6</v>
      </c>
      <c r="H27" s="15">
        <f>[1]Data!H18</f>
        <v>0</v>
      </c>
      <c r="I27" s="15">
        <f>[1]Data!I18</f>
        <v>0</v>
      </c>
      <c r="J27" s="1" t="str">
        <f>[1]Data!J18</f>
        <v/>
      </c>
      <c r="K27" s="1" t="str">
        <f>[1]Data!K18</f>
        <v/>
      </c>
      <c r="L27" s="1" t="str">
        <f>[1]Data!L18</f>
        <v/>
      </c>
      <c r="M27" s="1" t="str">
        <f>[1]Data!M18</f>
        <v/>
      </c>
      <c r="N27" s="1">
        <f>[1]Data!N18</f>
        <v>45462</v>
      </c>
      <c r="O27" s="1" t="str">
        <f>[1]Data!O18</f>
        <v>X</v>
      </c>
      <c r="P27" s="1" t="str">
        <f>[1]Data!P18</f>
        <v>2024</v>
      </c>
      <c r="Q27" s="15">
        <f>[1]Data!Q18</f>
        <v>0</v>
      </c>
      <c r="R27" s="1" t="str">
        <f>[1]Data!R18</f>
        <v>INAKTIV</v>
      </c>
    </row>
    <row r="28" spans="1:18" x14ac:dyDescent="0.35">
      <c r="A28" s="1" t="str">
        <f>[1]Data!A19</f>
        <v>4000077</v>
      </c>
      <c r="B28" s="1" t="str">
        <f>[1]Data!B19</f>
        <v>3300</v>
      </c>
      <c r="C28" s="1" t="str">
        <f>[1]Data!C19</f>
        <v>3001</v>
      </c>
      <c r="D28" s="1" t="str">
        <f>[1]Data!D19</f>
        <v>L</v>
      </c>
      <c r="E28" s="1" t="str">
        <f>[1]Data!E19</f>
        <v/>
      </c>
      <c r="F28" s="1" t="str">
        <f>[1]Data!F19</f>
        <v>2026</v>
      </c>
      <c r="G28" s="1" t="str">
        <f>[1]Data!G19</f>
        <v>3</v>
      </c>
      <c r="H28" s="15">
        <f>[1]Data!H19</f>
        <v>405</v>
      </c>
      <c r="I28" s="15">
        <f>[1]Data!I19</f>
        <v>0</v>
      </c>
      <c r="J28" s="1" t="str">
        <f>[1]Data!J19</f>
        <v>X</v>
      </c>
      <c r="K28" s="1" t="str">
        <f>[1]Data!K19</f>
        <v>X</v>
      </c>
      <c r="L28" s="1" t="str">
        <f>[1]Data!L19</f>
        <v>08:13:03</v>
      </c>
      <c r="M28" s="1">
        <f>[1]Data!M19</f>
        <v>45980</v>
      </c>
      <c r="N28" s="1">
        <f>[1]Data!N19</f>
        <v>44430</v>
      </c>
      <c r="O28" s="1" t="str">
        <f>[1]Data!O19</f>
        <v>X</v>
      </c>
      <c r="P28" s="1" t="str">
        <f>[1]Data!P19</f>
        <v>2025</v>
      </c>
      <c r="Q28" s="15">
        <f>[1]Data!Q19</f>
        <v>405</v>
      </c>
      <c r="R28" s="1" t="str">
        <f>[1]Data!R19</f>
        <v/>
      </c>
    </row>
    <row r="29" spans="1:18" x14ac:dyDescent="0.35">
      <c r="A29" s="1" t="str">
        <f>[1]Data!A20</f>
        <v>4000078</v>
      </c>
      <c r="B29" s="1" t="str">
        <f>[1]Data!B20</f>
        <v>3300</v>
      </c>
      <c r="C29" s="1" t="str">
        <f>[1]Data!C20</f>
        <v>3001</v>
      </c>
      <c r="D29" s="1" t="str">
        <f>[1]Data!D20</f>
        <v>L</v>
      </c>
      <c r="E29" s="1" t="str">
        <f>[1]Data!E20</f>
        <v/>
      </c>
      <c r="F29" s="1" t="str">
        <f>[1]Data!F20</f>
        <v>2026</v>
      </c>
      <c r="G29" s="1" t="str">
        <f>[1]Data!G20</f>
        <v>2</v>
      </c>
      <c r="H29" s="15">
        <f>[1]Data!H20</f>
        <v>1300</v>
      </c>
      <c r="I29" s="15">
        <f>[1]Data!I20</f>
        <v>0</v>
      </c>
      <c r="J29" s="1" t="str">
        <f>[1]Data!J20</f>
        <v>X</v>
      </c>
      <c r="K29" s="1" t="str">
        <f>[1]Data!K20</f>
        <v>X</v>
      </c>
      <c r="L29" s="1" t="str">
        <f>[1]Data!L20</f>
        <v>08:12:01</v>
      </c>
      <c r="M29" s="1">
        <f>[1]Data!M20</f>
        <v>45980</v>
      </c>
      <c r="N29" s="1">
        <f>[1]Data!N20</f>
        <v>44430</v>
      </c>
      <c r="O29" s="1" t="str">
        <f>[1]Data!O20</f>
        <v>X</v>
      </c>
      <c r="P29" s="1" t="str">
        <f>[1]Data!P20</f>
        <v>2025</v>
      </c>
      <c r="Q29" s="15">
        <f>[1]Data!Q20</f>
        <v>1300</v>
      </c>
      <c r="R29" s="1" t="str">
        <f>[1]Data!R20</f>
        <v/>
      </c>
    </row>
    <row r="30" spans="1:18" x14ac:dyDescent="0.35">
      <c r="A30" s="1" t="str">
        <f>[1]Data!A21</f>
        <v>4000082</v>
      </c>
      <c r="B30" s="1" t="str">
        <f>[1]Data!B21</f>
        <v>3300</v>
      </c>
      <c r="C30" s="1" t="str">
        <f>[1]Data!C21</f>
        <v>3001</v>
      </c>
      <c r="D30" s="1" t="str">
        <f>[1]Data!D21</f>
        <v>DL</v>
      </c>
      <c r="E30" s="1" t="str">
        <f>[1]Data!E21</f>
        <v/>
      </c>
      <c r="F30" s="1" t="str">
        <f>[1]Data!F21</f>
        <v>2025</v>
      </c>
      <c r="G30" s="1" t="str">
        <f>[1]Data!G21</f>
        <v>6</v>
      </c>
      <c r="H30" s="15">
        <f>[1]Data!H21</f>
        <v>0</v>
      </c>
      <c r="I30" s="15">
        <f>[1]Data!I21</f>
        <v>0</v>
      </c>
      <c r="J30" s="1" t="str">
        <f>[1]Data!J21</f>
        <v/>
      </c>
      <c r="K30" s="1" t="str">
        <f>[1]Data!K21</f>
        <v/>
      </c>
      <c r="L30" s="1" t="str">
        <f>[1]Data!L21</f>
        <v/>
      </c>
      <c r="M30" s="1" t="str">
        <f>[1]Data!M21</f>
        <v/>
      </c>
      <c r="N30" s="1">
        <f>[1]Data!N21</f>
        <v>45818</v>
      </c>
      <c r="O30" s="1" t="str">
        <f>[1]Data!O21</f>
        <v>X</v>
      </c>
      <c r="P30" s="1" t="str">
        <f>[1]Data!P21</f>
        <v>2025</v>
      </c>
      <c r="Q30" s="15">
        <f>[1]Data!Q21</f>
        <v>0</v>
      </c>
      <c r="R30" s="1" t="str">
        <f>[1]Data!R21</f>
        <v>INAKTIV</v>
      </c>
    </row>
    <row r="31" spans="1:18" x14ac:dyDescent="0.35">
      <c r="A31" s="1" t="str">
        <f>[1]Data!A22</f>
        <v>4000084</v>
      </c>
      <c r="B31" s="1" t="str">
        <f>[1]Data!B22</f>
        <v>3300</v>
      </c>
      <c r="C31" s="1" t="str">
        <f>[1]Data!C22</f>
        <v>3001</v>
      </c>
      <c r="D31" s="1" t="str">
        <f>[1]Data!D22</f>
        <v>L</v>
      </c>
      <c r="E31" s="1" t="str">
        <f>[1]Data!E22</f>
        <v/>
      </c>
      <c r="F31" s="1" t="str">
        <f>[1]Data!F22</f>
        <v>2026</v>
      </c>
      <c r="G31" s="1" t="str">
        <f>[1]Data!G22</f>
        <v>3</v>
      </c>
      <c r="H31" s="15">
        <f>[1]Data!H22</f>
        <v>129</v>
      </c>
      <c r="I31" s="15">
        <f>[1]Data!I22</f>
        <v>0</v>
      </c>
      <c r="J31" s="1" t="str">
        <f>[1]Data!J22</f>
        <v>X</v>
      </c>
      <c r="K31" s="1" t="str">
        <f>[1]Data!K22</f>
        <v>X</v>
      </c>
      <c r="L31" s="1" t="str">
        <f>[1]Data!L22</f>
        <v>08:04:02</v>
      </c>
      <c r="M31" s="1">
        <f>[1]Data!M22</f>
        <v>45825</v>
      </c>
      <c r="N31" s="1">
        <f>[1]Data!N22</f>
        <v>44430</v>
      </c>
      <c r="O31" s="1" t="str">
        <f>[1]Data!O22</f>
        <v>X</v>
      </c>
      <c r="P31" s="1" t="str">
        <f>[1]Data!P22</f>
        <v>2025</v>
      </c>
      <c r="Q31" s="15">
        <f>[1]Data!Q22</f>
        <v>129</v>
      </c>
      <c r="R31" s="1" t="str">
        <f>[1]Data!R22</f>
        <v/>
      </c>
    </row>
    <row r="32" spans="1:18" x14ac:dyDescent="0.35">
      <c r="A32" s="1" t="str">
        <f>[1]Data!A23</f>
        <v>4000090</v>
      </c>
      <c r="B32" s="1" t="str">
        <f>[1]Data!B23</f>
        <v>3300</v>
      </c>
      <c r="C32" s="1" t="str">
        <f>[1]Data!C23</f>
        <v>3001</v>
      </c>
      <c r="D32" s="1" t="str">
        <f>[1]Data!D23</f>
        <v>L</v>
      </c>
      <c r="E32" s="1" t="str">
        <f>[1]Data!E23</f>
        <v/>
      </c>
      <c r="F32" s="1" t="str">
        <f>[1]Data!F23</f>
        <v>2026</v>
      </c>
      <c r="G32" s="1" t="str">
        <f>[1]Data!G23</f>
        <v>3</v>
      </c>
      <c r="H32" s="15">
        <f>[1]Data!H23</f>
        <v>2700</v>
      </c>
      <c r="I32" s="15">
        <f>[1]Data!I23</f>
        <v>0</v>
      </c>
      <c r="J32" s="1" t="str">
        <f>[1]Data!J23</f>
        <v>X</v>
      </c>
      <c r="K32" s="1" t="str">
        <f>[1]Data!K23</f>
        <v>X</v>
      </c>
      <c r="L32" s="1" t="str">
        <f>[1]Data!L23</f>
        <v>14:11:03</v>
      </c>
      <c r="M32" s="1">
        <f>[1]Data!M23</f>
        <v>46001</v>
      </c>
      <c r="N32" s="1">
        <f>[1]Data!N23</f>
        <v>44430</v>
      </c>
      <c r="O32" s="1" t="str">
        <f>[1]Data!O23</f>
        <v>X</v>
      </c>
      <c r="P32" s="1" t="str">
        <f>[1]Data!P23</f>
        <v>2025</v>
      </c>
      <c r="Q32" s="15">
        <f>[1]Data!Q23</f>
        <v>2700</v>
      </c>
      <c r="R32" s="1" t="str">
        <f>[1]Data!R23</f>
        <v/>
      </c>
    </row>
    <row r="33" spans="1:18" x14ac:dyDescent="0.35">
      <c r="A33" s="1" t="str">
        <f>[1]Data!A24</f>
        <v>4000094</v>
      </c>
      <c r="B33" s="1" t="str">
        <f>[1]Data!B24</f>
        <v>3300</v>
      </c>
      <c r="C33" s="1" t="str">
        <f>[1]Data!C24</f>
        <v>3001</v>
      </c>
      <c r="D33" s="1" t="str">
        <f>[1]Data!D24</f>
        <v>DL</v>
      </c>
      <c r="E33" s="1" t="str">
        <f>[1]Data!E24</f>
        <v/>
      </c>
      <c r="F33" s="1" t="str">
        <f>[1]Data!F24</f>
        <v>2026</v>
      </c>
      <c r="G33" s="1" t="str">
        <f>[1]Data!G24</f>
        <v>3</v>
      </c>
      <c r="H33" s="15">
        <f>[1]Data!H24</f>
        <v>3100</v>
      </c>
      <c r="I33" s="15">
        <f>[1]Data!I24</f>
        <v>0</v>
      </c>
      <c r="J33" s="1" t="str">
        <f>[1]Data!J24</f>
        <v>X</v>
      </c>
      <c r="K33" s="1" t="str">
        <f>[1]Data!K24</f>
        <v>X</v>
      </c>
      <c r="L33" s="1" t="str">
        <f>[1]Data!L24</f>
        <v>14:15:01</v>
      </c>
      <c r="M33" s="1">
        <f>[1]Data!M24</f>
        <v>46001</v>
      </c>
      <c r="N33" s="1">
        <f>[1]Data!N24</f>
        <v>44862</v>
      </c>
      <c r="O33" s="1" t="str">
        <f>[1]Data!O24</f>
        <v>X</v>
      </c>
      <c r="P33" s="1" t="str">
        <f>[1]Data!P24</f>
        <v>2025</v>
      </c>
      <c r="Q33" s="15">
        <f>[1]Data!Q24</f>
        <v>3100</v>
      </c>
      <c r="R33" s="1" t="str">
        <f>[1]Data!R24</f>
        <v/>
      </c>
    </row>
    <row r="34" spans="1:18" x14ac:dyDescent="0.35">
      <c r="A34" s="1" t="str">
        <f>[1]Data!A25</f>
        <v>4000098</v>
      </c>
      <c r="B34" s="1" t="str">
        <f>[1]Data!B25</f>
        <v>3300</v>
      </c>
      <c r="C34" s="1" t="str">
        <f>[1]Data!C25</f>
        <v>3001</v>
      </c>
      <c r="D34" s="1" t="str">
        <f>[1]Data!D25</f>
        <v>DL</v>
      </c>
      <c r="E34" s="1" t="str">
        <f>[1]Data!E25</f>
        <v/>
      </c>
      <c r="F34" s="1" t="str">
        <f>[1]Data!F25</f>
        <v>2026</v>
      </c>
      <c r="G34" s="1" t="str">
        <f>[1]Data!G25</f>
        <v>2</v>
      </c>
      <c r="H34" s="15">
        <f>[1]Data!H25</f>
        <v>0</v>
      </c>
      <c r="I34" s="15">
        <f>[1]Data!I25</f>
        <v>0</v>
      </c>
      <c r="J34" s="1" t="str">
        <f>[1]Data!J25</f>
        <v/>
      </c>
      <c r="K34" s="1" t="str">
        <f>[1]Data!K25</f>
        <v/>
      </c>
      <c r="L34" s="1" t="str">
        <f>[1]Data!L25</f>
        <v/>
      </c>
      <c r="M34" s="1" t="str">
        <f>[1]Data!M25</f>
        <v/>
      </c>
      <c r="N34" s="1">
        <f>[1]Data!N25</f>
        <v>46059</v>
      </c>
      <c r="O34" s="1" t="str">
        <f>[1]Data!O25</f>
        <v>X</v>
      </c>
      <c r="P34" s="1" t="str">
        <f>[1]Data!P25</f>
        <v>2026</v>
      </c>
      <c r="Q34" s="15">
        <f>[1]Data!Q25</f>
        <v>0</v>
      </c>
      <c r="R34" s="1" t="str">
        <f>[1]Data!R25</f>
        <v>INAKTIV</v>
      </c>
    </row>
    <row r="35" spans="1:18" x14ac:dyDescent="0.35">
      <c r="A35" s="1" t="str">
        <f>[1]Data!A26</f>
        <v>4000099</v>
      </c>
      <c r="B35" s="1" t="str">
        <f>[1]Data!B26</f>
        <v>3300</v>
      </c>
      <c r="C35" s="1" t="str">
        <f>[1]Data!C26</f>
        <v>3001</v>
      </c>
      <c r="D35" s="1" t="str">
        <f>[1]Data!D26</f>
        <v>DL</v>
      </c>
      <c r="E35" s="1" t="str">
        <f>[1]Data!E26</f>
        <v/>
      </c>
      <c r="F35" s="1" t="str">
        <f>[1]Data!F26</f>
        <v>2024</v>
      </c>
      <c r="G35" s="1" t="str">
        <f>[1]Data!G26</f>
        <v>5</v>
      </c>
      <c r="H35" s="15">
        <f>[1]Data!H26</f>
        <v>0</v>
      </c>
      <c r="I35" s="15">
        <f>[1]Data!I26</f>
        <v>0</v>
      </c>
      <c r="J35" s="1" t="str">
        <f>[1]Data!J26</f>
        <v/>
      </c>
      <c r="K35" s="1" t="str">
        <f>[1]Data!K26</f>
        <v/>
      </c>
      <c r="L35" s="1" t="str">
        <f>[1]Data!L26</f>
        <v/>
      </c>
      <c r="M35" s="1" t="str">
        <f>[1]Data!M26</f>
        <v/>
      </c>
      <c r="N35" s="1">
        <f>[1]Data!N26</f>
        <v>45436</v>
      </c>
      <c r="O35" s="1" t="str">
        <f>[1]Data!O26</f>
        <v>X</v>
      </c>
      <c r="P35" s="1" t="str">
        <f>[1]Data!P26</f>
        <v>2024</v>
      </c>
      <c r="Q35" s="15">
        <f>[1]Data!Q26</f>
        <v>0</v>
      </c>
      <c r="R35" s="1" t="str">
        <f>[1]Data!R26</f>
        <v>INAKTIV</v>
      </c>
    </row>
    <row r="36" spans="1:18" x14ac:dyDescent="0.35">
      <c r="A36" s="1" t="str">
        <f>[1]Data!A27</f>
        <v>4000108</v>
      </c>
      <c r="B36" s="1" t="str">
        <f>[1]Data!B27</f>
        <v>3300</v>
      </c>
      <c r="C36" s="1" t="str">
        <f>[1]Data!C27</f>
        <v>3001</v>
      </c>
      <c r="D36" s="1" t="str">
        <f>[1]Data!D27</f>
        <v>L</v>
      </c>
      <c r="E36" s="1" t="str">
        <f>[1]Data!E27</f>
        <v/>
      </c>
      <c r="F36" s="1" t="str">
        <f>[1]Data!F27</f>
        <v>2026</v>
      </c>
      <c r="G36" s="1" t="str">
        <f>[1]Data!G27</f>
        <v>3</v>
      </c>
      <c r="H36" s="15">
        <f>[1]Data!H27</f>
        <v>2899</v>
      </c>
      <c r="I36" s="15">
        <f>[1]Data!I27</f>
        <v>0</v>
      </c>
      <c r="J36" s="1" t="str">
        <f>[1]Data!J27</f>
        <v>X</v>
      </c>
      <c r="K36" s="1" t="str">
        <f>[1]Data!K27</f>
        <v>X</v>
      </c>
      <c r="L36" s="1" t="str">
        <f>[1]Data!L27</f>
        <v>08:09:01</v>
      </c>
      <c r="M36" s="1">
        <f>[1]Data!M27</f>
        <v>45980</v>
      </c>
      <c r="N36" s="1">
        <f>[1]Data!N27</f>
        <v>44430</v>
      </c>
      <c r="O36" s="1" t="str">
        <f>[1]Data!O27</f>
        <v>X</v>
      </c>
      <c r="P36" s="1" t="str">
        <f>[1]Data!P27</f>
        <v>2025</v>
      </c>
      <c r="Q36" s="15">
        <f>[1]Data!Q27</f>
        <v>2899</v>
      </c>
      <c r="R36" s="1" t="str">
        <f>[1]Data!R27</f>
        <v/>
      </c>
    </row>
    <row r="37" spans="1:18" x14ac:dyDescent="0.35">
      <c r="A37" s="1" t="str">
        <f>[1]Data!A28</f>
        <v>4000273</v>
      </c>
      <c r="B37" s="1" t="str">
        <f>[1]Data!B28</f>
        <v>3300</v>
      </c>
      <c r="C37" s="1" t="str">
        <f>[1]Data!C28</f>
        <v>3001</v>
      </c>
      <c r="D37" s="1" t="str">
        <f>[1]Data!D28</f>
        <v>L</v>
      </c>
      <c r="E37" s="1" t="str">
        <f>[1]Data!E28</f>
        <v/>
      </c>
      <c r="F37" s="1" t="str">
        <f>[1]Data!F28</f>
        <v>2026</v>
      </c>
      <c r="G37" s="1" t="str">
        <f>[1]Data!G28</f>
        <v>3</v>
      </c>
      <c r="H37" s="15">
        <f>[1]Data!H28</f>
        <v>6120</v>
      </c>
      <c r="I37" s="15">
        <f>[1]Data!I28</f>
        <v>0</v>
      </c>
      <c r="J37" s="1" t="str">
        <f>[1]Data!J28</f>
        <v>X</v>
      </c>
      <c r="K37" s="1" t="str">
        <f>[1]Data!K28</f>
        <v>X</v>
      </c>
      <c r="L37" s="1" t="str">
        <f>[1]Data!L28</f>
        <v>15:10:01*</v>
      </c>
      <c r="M37" s="1">
        <f>[1]Data!M28</f>
        <v>46006</v>
      </c>
      <c r="N37" s="1">
        <f>[1]Data!N28</f>
        <v>44430</v>
      </c>
      <c r="O37" s="1" t="str">
        <f>[1]Data!O28</f>
        <v>X</v>
      </c>
      <c r="P37" s="1" t="str">
        <f>[1]Data!P28</f>
        <v>2025</v>
      </c>
      <c r="Q37" s="15">
        <f>[1]Data!Q28</f>
        <v>6120</v>
      </c>
      <c r="R37" s="1" t="str">
        <f>[1]Data!R28</f>
        <v/>
      </c>
    </row>
    <row r="38" spans="1:18" x14ac:dyDescent="0.35">
      <c r="A38" s="1" t="str">
        <f>[1]Data!A29</f>
        <v>4000274</v>
      </c>
      <c r="B38" s="1" t="str">
        <f>[1]Data!B29</f>
        <v>3300</v>
      </c>
      <c r="C38" s="1" t="str">
        <f>[1]Data!C29</f>
        <v>3001</v>
      </c>
      <c r="D38" s="1" t="str">
        <f>[1]Data!D29</f>
        <v>L</v>
      </c>
      <c r="E38" s="1" t="str">
        <f>[1]Data!E29</f>
        <v/>
      </c>
      <c r="F38" s="1" t="str">
        <f>[1]Data!F29</f>
        <v>2026</v>
      </c>
      <c r="G38" s="1" t="str">
        <f>[1]Data!G29</f>
        <v>3</v>
      </c>
      <c r="H38" s="15">
        <f>[1]Data!H29</f>
        <v>10860</v>
      </c>
      <c r="I38" s="15">
        <f>[1]Data!I29</f>
        <v>0</v>
      </c>
      <c r="J38" s="1" t="str">
        <f>[1]Data!J29</f>
        <v>X</v>
      </c>
      <c r="K38" s="1" t="str">
        <f>[1]Data!K29</f>
        <v>X</v>
      </c>
      <c r="L38" s="1" t="str">
        <f>[1]Data!L29</f>
        <v>15:11:01*</v>
      </c>
      <c r="M38" s="1">
        <f>[1]Data!M29</f>
        <v>46006</v>
      </c>
      <c r="N38" s="1">
        <f>[1]Data!N29</f>
        <v>44430</v>
      </c>
      <c r="O38" s="1" t="str">
        <f>[1]Data!O29</f>
        <v>X</v>
      </c>
      <c r="P38" s="1" t="str">
        <f>[1]Data!P29</f>
        <v>2025</v>
      </c>
      <c r="Q38" s="15">
        <f>[1]Data!Q29</f>
        <v>10860</v>
      </c>
      <c r="R38" s="1" t="str">
        <f>[1]Data!R29</f>
        <v/>
      </c>
    </row>
    <row r="39" spans="1:18" x14ac:dyDescent="0.35">
      <c r="A39" s="1" t="str">
        <f>[1]Data!A30</f>
        <v>4000275</v>
      </c>
      <c r="B39" s="1" t="str">
        <f>[1]Data!B30</f>
        <v>3300</v>
      </c>
      <c r="C39" s="1" t="str">
        <f>[1]Data!C30</f>
        <v>3001</v>
      </c>
      <c r="D39" s="1" t="str">
        <f>[1]Data!D30</f>
        <v>L</v>
      </c>
      <c r="E39" s="1" t="str">
        <f>[1]Data!E30</f>
        <v/>
      </c>
      <c r="F39" s="1" t="str">
        <f>[1]Data!F30</f>
        <v>2026</v>
      </c>
      <c r="G39" s="1" t="str">
        <f>[1]Data!G30</f>
        <v>3</v>
      </c>
      <c r="H39" s="15">
        <f>[1]Data!H30</f>
        <v>2600</v>
      </c>
      <c r="I39" s="15">
        <f>[1]Data!I30</f>
        <v>0</v>
      </c>
      <c r="J39" s="1" t="str">
        <f>[1]Data!J30</f>
        <v>X</v>
      </c>
      <c r="K39" s="1" t="str">
        <f>[1]Data!K30</f>
        <v>X</v>
      </c>
      <c r="L39" s="1" t="str">
        <f>[1]Data!L30</f>
        <v>04:12:02</v>
      </c>
      <c r="M39" s="1">
        <f>[1]Data!M30</f>
        <v>45800</v>
      </c>
      <c r="N39" s="1">
        <f>[1]Data!N30</f>
        <v>44430</v>
      </c>
      <c r="O39" s="1" t="str">
        <f>[1]Data!O30</f>
        <v>X</v>
      </c>
      <c r="P39" s="1" t="str">
        <f>[1]Data!P30</f>
        <v>2025</v>
      </c>
      <c r="Q39" s="15">
        <f>[1]Data!Q30</f>
        <v>2600</v>
      </c>
      <c r="R39" s="1" t="str">
        <f>[1]Data!R30</f>
        <v/>
      </c>
    </row>
    <row r="40" spans="1:18" x14ac:dyDescent="0.35">
      <c r="A40" s="1" t="str">
        <f>[1]Data!A31</f>
        <v>4000276</v>
      </c>
      <c r="B40" s="1" t="str">
        <f>[1]Data!B31</f>
        <v>3300</v>
      </c>
      <c r="C40" s="1" t="str">
        <f>[1]Data!C31</f>
        <v>3001</v>
      </c>
      <c r="D40" s="1" t="str">
        <f>[1]Data!D31</f>
        <v>L</v>
      </c>
      <c r="E40" s="1" t="str">
        <f>[1]Data!E31</f>
        <v/>
      </c>
      <c r="F40" s="1" t="str">
        <f>[1]Data!F31</f>
        <v>2026</v>
      </c>
      <c r="G40" s="1" t="str">
        <f>[1]Data!G31</f>
        <v>3</v>
      </c>
      <c r="H40" s="15">
        <f>[1]Data!H31</f>
        <v>900</v>
      </c>
      <c r="I40" s="15">
        <f>[1]Data!I31</f>
        <v>0</v>
      </c>
      <c r="J40" s="1" t="str">
        <f>[1]Data!J31</f>
        <v>X</v>
      </c>
      <c r="K40" s="1" t="str">
        <f>[1]Data!K31</f>
        <v>X</v>
      </c>
      <c r="L40" s="1" t="str">
        <f>[1]Data!L31</f>
        <v>04:13:01</v>
      </c>
      <c r="M40" s="1">
        <f>[1]Data!M31</f>
        <v>45800</v>
      </c>
      <c r="N40" s="1">
        <f>[1]Data!N31</f>
        <v>44430</v>
      </c>
      <c r="O40" s="1" t="str">
        <f>[1]Data!O31</f>
        <v>X</v>
      </c>
      <c r="P40" s="1" t="str">
        <f>[1]Data!P31</f>
        <v>2025</v>
      </c>
      <c r="Q40" s="15">
        <f>[1]Data!Q31</f>
        <v>900</v>
      </c>
      <c r="R40" s="1" t="str">
        <f>[1]Data!R31</f>
        <v/>
      </c>
    </row>
    <row r="41" spans="1:18" x14ac:dyDescent="0.35">
      <c r="A41" s="1" t="str">
        <f>[1]Data!A32</f>
        <v>4000279</v>
      </c>
      <c r="B41" s="1" t="str">
        <f>[1]Data!B32</f>
        <v>3300</v>
      </c>
      <c r="C41" s="1" t="str">
        <f>[1]Data!C32</f>
        <v>3001</v>
      </c>
      <c r="D41" s="1" t="str">
        <f>[1]Data!D32</f>
        <v>L</v>
      </c>
      <c r="E41" s="1" t="str">
        <f>[1]Data!E32</f>
        <v/>
      </c>
      <c r="F41" s="1" t="str">
        <f>[1]Data!F32</f>
        <v>2026</v>
      </c>
      <c r="G41" s="1" t="str">
        <f>[1]Data!G32</f>
        <v>3</v>
      </c>
      <c r="H41" s="15">
        <f>[1]Data!H32</f>
        <v>1212</v>
      </c>
      <c r="I41" s="15">
        <f>[1]Data!I32</f>
        <v>0</v>
      </c>
      <c r="J41" s="1" t="str">
        <f>[1]Data!J32</f>
        <v>X</v>
      </c>
      <c r="K41" s="1" t="str">
        <f>[1]Data!K32</f>
        <v>X</v>
      </c>
      <c r="L41" s="1" t="str">
        <f>[1]Data!L32</f>
        <v>06:09:03</v>
      </c>
      <c r="M41" s="1">
        <f>[1]Data!M32</f>
        <v>45824</v>
      </c>
      <c r="N41" s="1">
        <f>[1]Data!N32</f>
        <v>44430</v>
      </c>
      <c r="O41" s="1" t="str">
        <f>[1]Data!O32</f>
        <v>X</v>
      </c>
      <c r="P41" s="1" t="str">
        <f>[1]Data!P32</f>
        <v>2025</v>
      </c>
      <c r="Q41" s="15">
        <f>[1]Data!Q32</f>
        <v>1212</v>
      </c>
      <c r="R41" s="1" t="str">
        <f>[1]Data!R32</f>
        <v/>
      </c>
    </row>
    <row r="42" spans="1:18" x14ac:dyDescent="0.35">
      <c r="A42" s="1" t="str">
        <f>[1]Data!A33</f>
        <v>4000280</v>
      </c>
      <c r="B42" s="1" t="str">
        <f>[1]Data!B33</f>
        <v>3300</v>
      </c>
      <c r="C42" s="1" t="str">
        <f>[1]Data!C33</f>
        <v>3001</v>
      </c>
      <c r="D42" s="1" t="str">
        <f>[1]Data!D33</f>
        <v>L</v>
      </c>
      <c r="E42" s="1" t="str">
        <f>[1]Data!E33</f>
        <v>X</v>
      </c>
      <c r="F42" s="1" t="str">
        <f>[1]Data!F33</f>
        <v>2021</v>
      </c>
      <c r="G42" s="1" t="str">
        <f>[1]Data!G33</f>
        <v>12</v>
      </c>
      <c r="H42" s="15">
        <f>[1]Data!H33</f>
        <v>0</v>
      </c>
      <c r="I42" s="15">
        <f>[1]Data!I33</f>
        <v>0</v>
      </c>
      <c r="J42" s="1" t="str">
        <f>[1]Data!J33</f>
        <v>X</v>
      </c>
      <c r="K42" s="1" t="str">
        <f>[1]Data!K33</f>
        <v/>
      </c>
      <c r="L42" s="1" t="str">
        <f>[1]Data!L33</f>
        <v>SLETTET</v>
      </c>
      <c r="M42" s="1">
        <f>[1]Data!M33</f>
        <v>44568</v>
      </c>
      <c r="N42" s="1">
        <f>[1]Data!N33</f>
        <v>44430</v>
      </c>
      <c r="O42" s="1" t="str">
        <f>[1]Data!O33</f>
        <v>X</v>
      </c>
      <c r="P42" s="1" t="str">
        <f>[1]Data!P33</f>
        <v>2022</v>
      </c>
      <c r="Q42" s="15">
        <f>[1]Data!Q33</f>
        <v>0</v>
      </c>
      <c r="R42" s="1" t="str">
        <f>[1]Data!R33</f>
        <v>INAKTIV</v>
      </c>
    </row>
    <row r="43" spans="1:18" x14ac:dyDescent="0.35">
      <c r="A43" s="1" t="str">
        <f>[1]Data!A34</f>
        <v>4000286</v>
      </c>
      <c r="B43" s="1" t="str">
        <f>[1]Data!B34</f>
        <v>3300</v>
      </c>
      <c r="C43" s="1" t="str">
        <f>[1]Data!C34</f>
        <v>3001</v>
      </c>
      <c r="D43" s="1" t="str">
        <f>[1]Data!D34</f>
        <v>L</v>
      </c>
      <c r="E43" s="1" t="str">
        <f>[1]Data!E34</f>
        <v/>
      </c>
      <c r="F43" s="1" t="str">
        <f>[1]Data!F34</f>
        <v>2026</v>
      </c>
      <c r="G43" s="1" t="str">
        <f>[1]Data!G34</f>
        <v>3</v>
      </c>
      <c r="H43" s="15">
        <f>[1]Data!H34</f>
        <v>1200</v>
      </c>
      <c r="I43" s="15">
        <f>[1]Data!I34</f>
        <v>0</v>
      </c>
      <c r="J43" s="1" t="str">
        <f>[1]Data!J34</f>
        <v>X</v>
      </c>
      <c r="K43" s="1" t="str">
        <f>[1]Data!K34</f>
        <v>X</v>
      </c>
      <c r="L43" s="1" t="str">
        <f>[1]Data!L34</f>
        <v>15:04:01</v>
      </c>
      <c r="M43" s="1">
        <f>[1]Data!M34</f>
        <v>46001</v>
      </c>
      <c r="N43" s="1">
        <f>[1]Data!N34</f>
        <v>44430</v>
      </c>
      <c r="O43" s="1" t="str">
        <f>[1]Data!O34</f>
        <v>X</v>
      </c>
      <c r="P43" s="1" t="str">
        <f>[1]Data!P34</f>
        <v>2025</v>
      </c>
      <c r="Q43" s="15">
        <f>[1]Data!Q34</f>
        <v>1200</v>
      </c>
      <c r="R43" s="1" t="str">
        <f>[1]Data!R34</f>
        <v/>
      </c>
    </row>
    <row r="44" spans="1:18" x14ac:dyDescent="0.35">
      <c r="A44" s="1" t="str">
        <f>[1]Data!A35</f>
        <v>4000287</v>
      </c>
      <c r="B44" s="1" t="str">
        <f>[1]Data!B35</f>
        <v>3300</v>
      </c>
      <c r="C44" s="1" t="str">
        <f>[1]Data!C35</f>
        <v>3001</v>
      </c>
      <c r="D44" s="1" t="str">
        <f>[1]Data!D35</f>
        <v>L</v>
      </c>
      <c r="E44" s="1" t="str">
        <f>[1]Data!E35</f>
        <v/>
      </c>
      <c r="F44" s="1" t="str">
        <f>[1]Data!F35</f>
        <v>2026</v>
      </c>
      <c r="G44" s="1" t="str">
        <f>[1]Data!G35</f>
        <v>3</v>
      </c>
      <c r="H44" s="15">
        <f>[1]Data!H35</f>
        <v>2950</v>
      </c>
      <c r="I44" s="15">
        <f>[1]Data!I35</f>
        <v>0</v>
      </c>
      <c r="J44" s="1" t="str">
        <f>[1]Data!J35</f>
        <v>X</v>
      </c>
      <c r="K44" s="1" t="str">
        <f>[1]Data!K35</f>
        <v>X</v>
      </c>
      <c r="L44" s="1" t="str">
        <f>[1]Data!L35</f>
        <v>15:05:01</v>
      </c>
      <c r="M44" s="1">
        <f>[1]Data!M35</f>
        <v>46001</v>
      </c>
      <c r="N44" s="1">
        <f>[1]Data!N35</f>
        <v>44430</v>
      </c>
      <c r="O44" s="1" t="str">
        <f>[1]Data!O35</f>
        <v>X</v>
      </c>
      <c r="P44" s="1" t="str">
        <f>[1]Data!P35</f>
        <v>2025</v>
      </c>
      <c r="Q44" s="15">
        <f>[1]Data!Q35</f>
        <v>2950</v>
      </c>
      <c r="R44" s="1" t="str">
        <f>[1]Data!R35</f>
        <v/>
      </c>
    </row>
    <row r="45" spans="1:18" x14ac:dyDescent="0.35">
      <c r="A45" s="1" t="str">
        <f>[1]Data!A36</f>
        <v>4000288</v>
      </c>
      <c r="B45" s="1" t="str">
        <f>[1]Data!B36</f>
        <v>3300</v>
      </c>
      <c r="C45" s="1" t="str">
        <f>[1]Data!C36</f>
        <v>3001</v>
      </c>
      <c r="D45" s="1" t="str">
        <f>[1]Data!D36</f>
        <v>L</v>
      </c>
      <c r="E45" s="1" t="str">
        <f>[1]Data!E36</f>
        <v/>
      </c>
      <c r="F45" s="1" t="str">
        <f>[1]Data!F36</f>
        <v>2026</v>
      </c>
      <c r="G45" s="1" t="str">
        <f>[1]Data!G36</f>
        <v>3</v>
      </c>
      <c r="H45" s="15">
        <f>[1]Data!H36</f>
        <v>1000</v>
      </c>
      <c r="I45" s="15">
        <f>[1]Data!I36</f>
        <v>0</v>
      </c>
      <c r="J45" s="1" t="str">
        <f>[1]Data!J36</f>
        <v>X</v>
      </c>
      <c r="K45" s="1" t="str">
        <f>[1]Data!K36</f>
        <v>X</v>
      </c>
      <c r="L45" s="1" t="str">
        <f>[1]Data!L36</f>
        <v>15:05:03</v>
      </c>
      <c r="M45" s="1">
        <f>[1]Data!M36</f>
        <v>46001</v>
      </c>
      <c r="N45" s="1">
        <f>[1]Data!N36</f>
        <v>44430</v>
      </c>
      <c r="O45" s="1" t="str">
        <f>[1]Data!O36</f>
        <v>X</v>
      </c>
      <c r="P45" s="1" t="str">
        <f>[1]Data!P36</f>
        <v>2025</v>
      </c>
      <c r="Q45" s="15">
        <f>[1]Data!Q36</f>
        <v>1000</v>
      </c>
      <c r="R45" s="1" t="str">
        <f>[1]Data!R36</f>
        <v/>
      </c>
    </row>
    <row r="46" spans="1:18" x14ac:dyDescent="0.35">
      <c r="A46" s="1" t="str">
        <f>[1]Data!A37</f>
        <v>4000290</v>
      </c>
      <c r="B46" s="1" t="str">
        <f>[1]Data!B37</f>
        <v>3300</v>
      </c>
      <c r="C46" s="1" t="str">
        <f>[1]Data!C37</f>
        <v>3001</v>
      </c>
      <c r="D46" s="1" t="str">
        <f>[1]Data!D37</f>
        <v>L</v>
      </c>
      <c r="E46" s="1" t="str">
        <f>[1]Data!E37</f>
        <v/>
      </c>
      <c r="F46" s="1" t="str">
        <f>[1]Data!F37</f>
        <v>2026</v>
      </c>
      <c r="G46" s="1" t="str">
        <f>[1]Data!G37</f>
        <v>2</v>
      </c>
      <c r="H46" s="15">
        <f>[1]Data!H37</f>
        <v>700</v>
      </c>
      <c r="I46" s="15">
        <f>[1]Data!I37</f>
        <v>0</v>
      </c>
      <c r="J46" s="1" t="str">
        <f>[1]Data!J37</f>
        <v>X</v>
      </c>
      <c r="K46" s="1" t="str">
        <f>[1]Data!K37</f>
        <v>X</v>
      </c>
      <c r="L46" s="1" t="str">
        <f>[1]Data!L37</f>
        <v>14:05:01</v>
      </c>
      <c r="M46" s="1">
        <f>[1]Data!M37</f>
        <v>46001</v>
      </c>
      <c r="N46" s="1">
        <f>[1]Data!N37</f>
        <v>44430</v>
      </c>
      <c r="O46" s="1" t="str">
        <f>[1]Data!O37</f>
        <v>X</v>
      </c>
      <c r="P46" s="1" t="str">
        <f>[1]Data!P37</f>
        <v>2025</v>
      </c>
      <c r="Q46" s="15">
        <f>[1]Data!Q37</f>
        <v>700</v>
      </c>
      <c r="R46" s="1" t="str">
        <f>[1]Data!R37</f>
        <v/>
      </c>
    </row>
    <row r="47" spans="1:18" x14ac:dyDescent="0.35">
      <c r="A47" s="1" t="str">
        <f>[1]Data!A38</f>
        <v>4000291</v>
      </c>
      <c r="B47" s="1" t="str">
        <f>[1]Data!B38</f>
        <v>3300</v>
      </c>
      <c r="C47" s="1" t="str">
        <f>[1]Data!C38</f>
        <v>3001</v>
      </c>
      <c r="D47" s="1" t="str">
        <f>[1]Data!D38</f>
        <v>L</v>
      </c>
      <c r="E47" s="1" t="str">
        <f>[1]Data!E38</f>
        <v/>
      </c>
      <c r="F47" s="1" t="str">
        <f>[1]Data!F38</f>
        <v>2026</v>
      </c>
      <c r="G47" s="1" t="str">
        <f>[1]Data!G38</f>
        <v>2</v>
      </c>
      <c r="H47" s="15">
        <f>[1]Data!H38</f>
        <v>350</v>
      </c>
      <c r="I47" s="15">
        <f>[1]Data!I38</f>
        <v>0</v>
      </c>
      <c r="J47" s="1" t="str">
        <f>[1]Data!J38</f>
        <v>X</v>
      </c>
      <c r="K47" s="1" t="str">
        <f>[1]Data!K38</f>
        <v>X</v>
      </c>
      <c r="L47" s="1" t="str">
        <f>[1]Data!L38</f>
        <v>13:09:03</v>
      </c>
      <c r="M47" s="1">
        <f>[1]Data!M38</f>
        <v>45994</v>
      </c>
      <c r="N47" s="1">
        <f>[1]Data!N38</f>
        <v>44430</v>
      </c>
      <c r="O47" s="1" t="str">
        <f>[1]Data!O38</f>
        <v>X</v>
      </c>
      <c r="P47" s="1" t="str">
        <f>[1]Data!P38</f>
        <v>2025</v>
      </c>
      <c r="Q47" s="15">
        <f>[1]Data!Q38</f>
        <v>350</v>
      </c>
      <c r="R47" s="1" t="str">
        <f>[1]Data!R38</f>
        <v/>
      </c>
    </row>
    <row r="48" spans="1:18" x14ac:dyDescent="0.35">
      <c r="A48" s="1" t="str">
        <f>[1]Data!A39</f>
        <v>4000310</v>
      </c>
      <c r="B48" s="1" t="str">
        <f>[1]Data!B39</f>
        <v>3300</v>
      </c>
      <c r="C48" s="1" t="str">
        <f>[1]Data!C39</f>
        <v>3001</v>
      </c>
      <c r="D48" s="1" t="str">
        <f>[1]Data!D39</f>
        <v>L</v>
      </c>
      <c r="E48" s="1" t="str">
        <f>[1]Data!E39</f>
        <v/>
      </c>
      <c r="F48" s="1" t="str">
        <f>[1]Data!F39</f>
        <v>2026</v>
      </c>
      <c r="G48" s="1" t="str">
        <f>[1]Data!G39</f>
        <v>3</v>
      </c>
      <c r="H48" s="15">
        <f>[1]Data!H39</f>
        <v>124</v>
      </c>
      <c r="I48" s="15">
        <f>[1]Data!I39</f>
        <v>0</v>
      </c>
      <c r="J48" s="1" t="str">
        <f>[1]Data!J39</f>
        <v>X</v>
      </c>
      <c r="K48" s="1" t="str">
        <f>[1]Data!K39</f>
        <v>X</v>
      </c>
      <c r="L48" s="1" t="str">
        <f>[1]Data!L39</f>
        <v>08:05:02</v>
      </c>
      <c r="M48" s="1">
        <f>[1]Data!M39</f>
        <v>45980</v>
      </c>
      <c r="N48" s="1">
        <f>[1]Data!N39</f>
        <v>44430</v>
      </c>
      <c r="O48" s="1" t="str">
        <f>[1]Data!O39</f>
        <v>X</v>
      </c>
      <c r="P48" s="1" t="str">
        <f>[1]Data!P39</f>
        <v>2025</v>
      </c>
      <c r="Q48" s="15">
        <f>[1]Data!Q39</f>
        <v>124</v>
      </c>
      <c r="R48" s="1" t="str">
        <f>[1]Data!R39</f>
        <v/>
      </c>
    </row>
    <row r="49" spans="1:18" x14ac:dyDescent="0.35">
      <c r="A49" s="1" t="str">
        <f>[1]Data!A40</f>
        <v>4000311</v>
      </c>
      <c r="B49" s="1" t="str">
        <f>[1]Data!B40</f>
        <v>3300</v>
      </c>
      <c r="C49" s="1" t="str">
        <f>[1]Data!C40</f>
        <v>3001</v>
      </c>
      <c r="D49" s="1" t="str">
        <f>[1]Data!D40</f>
        <v>L</v>
      </c>
      <c r="E49" s="1" t="str">
        <f>[1]Data!E40</f>
        <v/>
      </c>
      <c r="F49" s="1" t="str">
        <f>[1]Data!F40</f>
        <v>2026</v>
      </c>
      <c r="G49" s="1" t="str">
        <f>[1]Data!G40</f>
        <v>2</v>
      </c>
      <c r="H49" s="15">
        <f>[1]Data!H40</f>
        <v>164</v>
      </c>
      <c r="I49" s="15">
        <f>[1]Data!I40</f>
        <v>0</v>
      </c>
      <c r="J49" s="1" t="str">
        <f>[1]Data!J40</f>
        <v>X</v>
      </c>
      <c r="K49" s="1" t="str">
        <f>[1]Data!K40</f>
        <v>X</v>
      </c>
      <c r="L49" s="1" t="str">
        <f>[1]Data!L40</f>
        <v>10:07:01</v>
      </c>
      <c r="M49" s="1">
        <f>[1]Data!M40</f>
        <v>45987</v>
      </c>
      <c r="N49" s="1">
        <f>[1]Data!N40</f>
        <v>44430</v>
      </c>
      <c r="O49" s="1" t="str">
        <f>[1]Data!O40</f>
        <v>X</v>
      </c>
      <c r="P49" s="1" t="str">
        <f>[1]Data!P40</f>
        <v>2025</v>
      </c>
      <c r="Q49" s="15">
        <f>[1]Data!Q40</f>
        <v>164</v>
      </c>
      <c r="R49" s="1" t="str">
        <f>[1]Data!R40</f>
        <v/>
      </c>
    </row>
    <row r="50" spans="1:18" x14ac:dyDescent="0.35">
      <c r="A50" s="1" t="str">
        <f>[1]Data!A41</f>
        <v>4000312</v>
      </c>
      <c r="B50" s="1" t="str">
        <f>[1]Data!B41</f>
        <v>3300</v>
      </c>
      <c r="C50" s="1" t="str">
        <f>[1]Data!C41</f>
        <v>3001</v>
      </c>
      <c r="D50" s="1" t="str">
        <f>[1]Data!D41</f>
        <v>L</v>
      </c>
      <c r="E50" s="1" t="str">
        <f>[1]Data!E41</f>
        <v/>
      </c>
      <c r="F50" s="1" t="str">
        <f>[1]Data!F41</f>
        <v>2026</v>
      </c>
      <c r="G50" s="1" t="str">
        <f>[1]Data!G41</f>
        <v>2</v>
      </c>
      <c r="H50" s="15">
        <f>[1]Data!H41</f>
        <v>136</v>
      </c>
      <c r="I50" s="15">
        <f>[1]Data!I41</f>
        <v>0</v>
      </c>
      <c r="J50" s="1" t="str">
        <f>[1]Data!J41</f>
        <v>X</v>
      </c>
      <c r="K50" s="1" t="str">
        <f>[1]Data!K41</f>
        <v>X</v>
      </c>
      <c r="L50" s="1" t="str">
        <f>[1]Data!L41</f>
        <v>07:07:03</v>
      </c>
      <c r="M50" s="1">
        <f>[1]Data!M41</f>
        <v>45824</v>
      </c>
      <c r="N50" s="1">
        <f>[1]Data!N41</f>
        <v>44430</v>
      </c>
      <c r="O50" s="1" t="str">
        <f>[1]Data!O41</f>
        <v>X</v>
      </c>
      <c r="P50" s="1" t="str">
        <f>[1]Data!P41</f>
        <v>2025</v>
      </c>
      <c r="Q50" s="15">
        <f>[1]Data!Q41</f>
        <v>136</v>
      </c>
      <c r="R50" s="1" t="str">
        <f>[1]Data!R41</f>
        <v/>
      </c>
    </row>
    <row r="51" spans="1:18" x14ac:dyDescent="0.35">
      <c r="A51" s="1" t="str">
        <f>[1]Data!A42</f>
        <v>4000313</v>
      </c>
      <c r="B51" s="1" t="str">
        <f>[1]Data!B42</f>
        <v>3300</v>
      </c>
      <c r="C51" s="1" t="str">
        <f>[1]Data!C42</f>
        <v>3001</v>
      </c>
      <c r="D51" s="1" t="str">
        <f>[1]Data!D42</f>
        <v>L</v>
      </c>
      <c r="E51" s="1" t="str">
        <f>[1]Data!E42</f>
        <v/>
      </c>
      <c r="F51" s="1" t="str">
        <f>[1]Data!F42</f>
        <v>2026</v>
      </c>
      <c r="G51" s="1" t="str">
        <f>[1]Data!G42</f>
        <v>2</v>
      </c>
      <c r="H51" s="15">
        <f>[1]Data!H42</f>
        <v>80</v>
      </c>
      <c r="I51" s="15">
        <f>[1]Data!I42</f>
        <v>0</v>
      </c>
      <c r="J51" s="1" t="str">
        <f>[1]Data!J42</f>
        <v>X</v>
      </c>
      <c r="K51" s="1" t="str">
        <f>[1]Data!K42</f>
        <v>X</v>
      </c>
      <c r="L51" s="1" t="str">
        <f>[1]Data!L42</f>
        <v>06:03:03</v>
      </c>
      <c r="M51" s="1">
        <f>[1]Data!M42</f>
        <v>45819</v>
      </c>
      <c r="N51" s="1">
        <f>[1]Data!N42</f>
        <v>44430</v>
      </c>
      <c r="O51" s="1" t="str">
        <f>[1]Data!O42</f>
        <v>X</v>
      </c>
      <c r="P51" s="1" t="str">
        <f>[1]Data!P42</f>
        <v>2025</v>
      </c>
      <c r="Q51" s="15">
        <f>[1]Data!Q42</f>
        <v>80</v>
      </c>
      <c r="R51" s="1" t="str">
        <f>[1]Data!R42</f>
        <v/>
      </c>
    </row>
    <row r="52" spans="1:18" x14ac:dyDescent="0.35">
      <c r="A52" s="1" t="str">
        <f>[1]Data!A43</f>
        <v>4000314</v>
      </c>
      <c r="B52" s="1" t="str">
        <f>[1]Data!B43</f>
        <v>3300</v>
      </c>
      <c r="C52" s="1" t="str">
        <f>[1]Data!C43</f>
        <v>3001</v>
      </c>
      <c r="D52" s="1" t="str">
        <f>[1]Data!D43</f>
        <v>L</v>
      </c>
      <c r="E52" s="1" t="str">
        <f>[1]Data!E43</f>
        <v/>
      </c>
      <c r="F52" s="1" t="str">
        <f>[1]Data!F43</f>
        <v>2026</v>
      </c>
      <c r="G52" s="1" t="str">
        <f>[1]Data!G43</f>
        <v>2</v>
      </c>
      <c r="H52" s="15">
        <f>[1]Data!H43</f>
        <v>1040</v>
      </c>
      <c r="I52" s="15">
        <f>[1]Data!I43</f>
        <v>0</v>
      </c>
      <c r="J52" s="1" t="str">
        <f>[1]Data!J43</f>
        <v>X</v>
      </c>
      <c r="K52" s="1" t="str">
        <f>[1]Data!K43</f>
        <v>X</v>
      </c>
      <c r="L52" s="1" t="str">
        <f>[1]Data!L43</f>
        <v>08:10:02</v>
      </c>
      <c r="M52" s="1">
        <f>[1]Data!M43</f>
        <v>45980</v>
      </c>
      <c r="N52" s="1">
        <f>[1]Data!N43</f>
        <v>44430</v>
      </c>
      <c r="O52" s="1" t="str">
        <f>[1]Data!O43</f>
        <v>X</v>
      </c>
      <c r="P52" s="1" t="str">
        <f>[1]Data!P43</f>
        <v>2025</v>
      </c>
      <c r="Q52" s="15">
        <f>[1]Data!Q43</f>
        <v>1040</v>
      </c>
      <c r="R52" s="1" t="str">
        <f>[1]Data!R43</f>
        <v/>
      </c>
    </row>
    <row r="53" spans="1:18" x14ac:dyDescent="0.35">
      <c r="A53" s="1" t="str">
        <f>[1]Data!A44</f>
        <v>4000315</v>
      </c>
      <c r="B53" s="1" t="str">
        <f>[1]Data!B44</f>
        <v>3300</v>
      </c>
      <c r="C53" s="1" t="str">
        <f>[1]Data!C44</f>
        <v>3001</v>
      </c>
      <c r="D53" s="1" t="str">
        <f>[1]Data!D44</f>
        <v>L</v>
      </c>
      <c r="E53" s="1" t="str">
        <f>[1]Data!E44</f>
        <v/>
      </c>
      <c r="F53" s="1" t="str">
        <f>[1]Data!F44</f>
        <v>2026</v>
      </c>
      <c r="G53" s="1" t="str">
        <f>[1]Data!G44</f>
        <v>2</v>
      </c>
      <c r="H53" s="15">
        <f>[1]Data!H44</f>
        <v>70</v>
      </c>
      <c r="I53" s="15">
        <f>[1]Data!I44</f>
        <v>0</v>
      </c>
      <c r="J53" s="1" t="str">
        <f>[1]Data!J44</f>
        <v>X</v>
      </c>
      <c r="K53" s="1" t="str">
        <f>[1]Data!K44</f>
        <v>X</v>
      </c>
      <c r="L53" s="1" t="str">
        <f>[1]Data!L44</f>
        <v>10:06:01</v>
      </c>
      <c r="M53" s="1">
        <f>[1]Data!M44</f>
        <v>45987</v>
      </c>
      <c r="N53" s="1">
        <f>[1]Data!N44</f>
        <v>44430</v>
      </c>
      <c r="O53" s="1" t="str">
        <f>[1]Data!O44</f>
        <v>X</v>
      </c>
      <c r="P53" s="1" t="str">
        <f>[1]Data!P44</f>
        <v>2025</v>
      </c>
      <c r="Q53" s="15">
        <f>[1]Data!Q44</f>
        <v>70</v>
      </c>
      <c r="R53" s="1" t="str">
        <f>[1]Data!R44</f>
        <v/>
      </c>
    </row>
    <row r="54" spans="1:18" x14ac:dyDescent="0.35">
      <c r="A54" s="1" t="str">
        <f>[1]Data!A45</f>
        <v>4000316</v>
      </c>
      <c r="B54" s="1" t="str">
        <f>[1]Data!B45</f>
        <v>3300</v>
      </c>
      <c r="C54" s="1" t="str">
        <f>[1]Data!C45</f>
        <v>3001</v>
      </c>
      <c r="D54" s="1" t="str">
        <f>[1]Data!D45</f>
        <v>L</v>
      </c>
      <c r="E54" s="1" t="str">
        <f>[1]Data!E45</f>
        <v/>
      </c>
      <c r="F54" s="1" t="str">
        <f>[1]Data!F45</f>
        <v>2026</v>
      </c>
      <c r="G54" s="1" t="str">
        <f>[1]Data!G45</f>
        <v>2</v>
      </c>
      <c r="H54" s="15">
        <f>[1]Data!H45</f>
        <v>68</v>
      </c>
      <c r="I54" s="15">
        <f>[1]Data!I45</f>
        <v>0</v>
      </c>
      <c r="J54" s="1" t="str">
        <f>[1]Data!J45</f>
        <v>X</v>
      </c>
      <c r="K54" s="1" t="str">
        <f>[1]Data!K45</f>
        <v>X</v>
      </c>
      <c r="L54" s="1" t="str">
        <f>[1]Data!L45</f>
        <v>08:04:03</v>
      </c>
      <c r="M54" s="1">
        <f>[1]Data!M45</f>
        <v>45980</v>
      </c>
      <c r="N54" s="1">
        <f>[1]Data!N45</f>
        <v>44430</v>
      </c>
      <c r="O54" s="1" t="str">
        <f>[1]Data!O45</f>
        <v>X</v>
      </c>
      <c r="P54" s="1" t="str">
        <f>[1]Data!P45</f>
        <v>2025</v>
      </c>
      <c r="Q54" s="15">
        <f>[1]Data!Q45</f>
        <v>68</v>
      </c>
      <c r="R54" s="1" t="str">
        <f>[1]Data!R45</f>
        <v/>
      </c>
    </row>
    <row r="55" spans="1:18" x14ac:dyDescent="0.35">
      <c r="A55" s="1" t="str">
        <f>[1]Data!A46</f>
        <v>4000319</v>
      </c>
      <c r="B55" s="1" t="str">
        <f>[1]Data!B46</f>
        <v>3300</v>
      </c>
      <c r="C55" s="1" t="str">
        <f>[1]Data!C46</f>
        <v>3001</v>
      </c>
      <c r="D55" s="1" t="str">
        <f>[1]Data!D46</f>
        <v>L</v>
      </c>
      <c r="E55" s="1" t="str">
        <f>[1]Data!E46</f>
        <v/>
      </c>
      <c r="F55" s="1" t="str">
        <f>[1]Data!F46</f>
        <v>2026</v>
      </c>
      <c r="G55" s="1" t="str">
        <f>[1]Data!G46</f>
        <v>2</v>
      </c>
      <c r="H55" s="15">
        <f>[1]Data!H46</f>
        <v>60</v>
      </c>
      <c r="I55" s="15">
        <f>[1]Data!I46</f>
        <v>0</v>
      </c>
      <c r="J55" s="1" t="str">
        <f>[1]Data!J46</f>
        <v>X</v>
      </c>
      <c r="K55" s="1" t="str">
        <f>[1]Data!K46</f>
        <v>X</v>
      </c>
      <c r="L55" s="1" t="str">
        <f>[1]Data!L46</f>
        <v>08:09:03</v>
      </c>
      <c r="M55" s="1">
        <f>[1]Data!M46</f>
        <v>45980</v>
      </c>
      <c r="N55" s="1">
        <f>[1]Data!N46</f>
        <v>44430</v>
      </c>
      <c r="O55" s="1" t="str">
        <f>[1]Data!O46</f>
        <v>X</v>
      </c>
      <c r="P55" s="1" t="str">
        <f>[1]Data!P46</f>
        <v>2025</v>
      </c>
      <c r="Q55" s="15">
        <f>[1]Data!Q46</f>
        <v>60</v>
      </c>
      <c r="R55" s="1" t="str">
        <f>[1]Data!R46</f>
        <v/>
      </c>
    </row>
    <row r="56" spans="1:18" x14ac:dyDescent="0.35">
      <c r="A56" s="1" t="str">
        <f>[1]Data!A47</f>
        <v>4000323</v>
      </c>
      <c r="B56" s="1" t="str">
        <f>[1]Data!B47</f>
        <v>3300</v>
      </c>
      <c r="C56" s="1" t="str">
        <f>[1]Data!C47</f>
        <v>3001</v>
      </c>
      <c r="D56" s="1" t="str">
        <f>[1]Data!D47</f>
        <v>L</v>
      </c>
      <c r="E56" s="1" t="str">
        <f>[1]Data!E47</f>
        <v/>
      </c>
      <c r="F56" s="1" t="str">
        <f>[1]Data!F47</f>
        <v>2026</v>
      </c>
      <c r="G56" s="1" t="str">
        <f>[1]Data!G47</f>
        <v>2</v>
      </c>
      <c r="H56" s="15">
        <f>[1]Data!H47</f>
        <v>140</v>
      </c>
      <c r="I56" s="15">
        <f>[1]Data!I47</f>
        <v>0</v>
      </c>
      <c r="J56" s="1" t="str">
        <f>[1]Data!J47</f>
        <v>X</v>
      </c>
      <c r="K56" s="1" t="str">
        <f>[1]Data!K47</f>
        <v>X</v>
      </c>
      <c r="L56" s="1" t="str">
        <f>[1]Data!L47</f>
        <v>02:13:02</v>
      </c>
      <c r="M56" s="1">
        <f>[1]Data!M47</f>
        <v>45797</v>
      </c>
      <c r="N56" s="1">
        <f>[1]Data!N47</f>
        <v>44430</v>
      </c>
      <c r="O56" s="1" t="str">
        <f>[1]Data!O47</f>
        <v>X</v>
      </c>
      <c r="P56" s="1" t="str">
        <f>[1]Data!P47</f>
        <v>2025</v>
      </c>
      <c r="Q56" s="15">
        <f>[1]Data!Q47</f>
        <v>140</v>
      </c>
      <c r="R56" s="1" t="str">
        <f>[1]Data!R47</f>
        <v/>
      </c>
    </row>
    <row r="57" spans="1:18" x14ac:dyDescent="0.35">
      <c r="A57" s="1" t="str">
        <f>[1]Data!A48</f>
        <v>4000324</v>
      </c>
      <c r="B57" s="1" t="str">
        <f>[1]Data!B48</f>
        <v>3300</v>
      </c>
      <c r="C57" s="1" t="str">
        <f>[1]Data!C48</f>
        <v>3001</v>
      </c>
      <c r="D57" s="1" t="str">
        <f>[1]Data!D48</f>
        <v>L</v>
      </c>
      <c r="E57" s="1" t="str">
        <f>[1]Data!E48</f>
        <v/>
      </c>
      <c r="F57" s="1" t="str">
        <f>[1]Data!F48</f>
        <v>2026</v>
      </c>
      <c r="G57" s="1" t="str">
        <f>[1]Data!G48</f>
        <v>2</v>
      </c>
      <c r="H57" s="15">
        <f>[1]Data!H48</f>
        <v>270</v>
      </c>
      <c r="I57" s="15">
        <f>[1]Data!I48</f>
        <v>0</v>
      </c>
      <c r="J57" s="1" t="str">
        <f>[1]Data!J48</f>
        <v>X</v>
      </c>
      <c r="K57" s="1" t="str">
        <f>[1]Data!K48</f>
        <v>X</v>
      </c>
      <c r="L57" s="1" t="str">
        <f>[1]Data!L48</f>
        <v>02:13:02</v>
      </c>
      <c r="M57" s="1">
        <f>[1]Data!M48</f>
        <v>45797</v>
      </c>
      <c r="N57" s="1">
        <f>[1]Data!N48</f>
        <v>44430</v>
      </c>
      <c r="O57" s="1" t="str">
        <f>[1]Data!O48</f>
        <v>X</v>
      </c>
      <c r="P57" s="1" t="str">
        <f>[1]Data!P48</f>
        <v>2025</v>
      </c>
      <c r="Q57" s="15">
        <f>[1]Data!Q48</f>
        <v>270</v>
      </c>
      <c r="R57" s="1" t="str">
        <f>[1]Data!R48</f>
        <v/>
      </c>
    </row>
    <row r="58" spans="1:18" x14ac:dyDescent="0.35">
      <c r="A58" s="1" t="str">
        <f>[1]Data!A49</f>
        <v>4000325</v>
      </c>
      <c r="B58" s="1" t="str">
        <f>[1]Data!B49</f>
        <v>3300</v>
      </c>
      <c r="C58" s="1" t="str">
        <f>[1]Data!C49</f>
        <v>3001</v>
      </c>
      <c r="D58" s="1" t="str">
        <f>[1]Data!D49</f>
        <v>L</v>
      </c>
      <c r="E58" s="1" t="str">
        <f>[1]Data!E49</f>
        <v/>
      </c>
      <c r="F58" s="1" t="str">
        <f>[1]Data!F49</f>
        <v>2026</v>
      </c>
      <c r="G58" s="1" t="str">
        <f>[1]Data!G49</f>
        <v>1</v>
      </c>
      <c r="H58" s="15">
        <f>[1]Data!H49</f>
        <v>90</v>
      </c>
      <c r="I58" s="15">
        <f>[1]Data!I49</f>
        <v>0</v>
      </c>
      <c r="J58" s="1" t="str">
        <f>[1]Data!J49</f>
        <v>X</v>
      </c>
      <c r="K58" s="1" t="str">
        <f>[1]Data!K49</f>
        <v>X</v>
      </c>
      <c r="L58" s="1" t="str">
        <f>[1]Data!L49</f>
        <v>02:12:01</v>
      </c>
      <c r="M58" s="1">
        <f>[1]Data!M49</f>
        <v>45797</v>
      </c>
      <c r="N58" s="1">
        <f>[1]Data!N49</f>
        <v>44430</v>
      </c>
      <c r="O58" s="1" t="str">
        <f>[1]Data!O49</f>
        <v>X</v>
      </c>
      <c r="P58" s="1" t="str">
        <f>[1]Data!P49</f>
        <v>2025</v>
      </c>
      <c r="Q58" s="15">
        <f>[1]Data!Q49</f>
        <v>90</v>
      </c>
      <c r="R58" s="1" t="str">
        <f>[1]Data!R49</f>
        <v/>
      </c>
    </row>
    <row r="59" spans="1:18" x14ac:dyDescent="0.35">
      <c r="A59" s="1" t="str">
        <f>[1]Data!A50</f>
        <v>4000328</v>
      </c>
      <c r="B59" s="1" t="str">
        <f>[1]Data!B50</f>
        <v>3300</v>
      </c>
      <c r="C59" s="1" t="str">
        <f>[1]Data!C50</f>
        <v>3001</v>
      </c>
      <c r="D59" s="1" t="str">
        <f>[1]Data!D50</f>
        <v>L</v>
      </c>
      <c r="E59" s="1" t="str">
        <f>[1]Data!E50</f>
        <v/>
      </c>
      <c r="F59" s="1" t="str">
        <f>[1]Data!F50</f>
        <v>2026</v>
      </c>
      <c r="G59" s="1" t="str">
        <f>[1]Data!G50</f>
        <v>2</v>
      </c>
      <c r="H59" s="15">
        <f>[1]Data!H50</f>
        <v>70</v>
      </c>
      <c r="I59" s="15">
        <f>[1]Data!I50</f>
        <v>0</v>
      </c>
      <c r="J59" s="1" t="str">
        <f>[1]Data!J50</f>
        <v>X</v>
      </c>
      <c r="K59" s="1" t="str">
        <f>[1]Data!K50</f>
        <v>X</v>
      </c>
      <c r="L59" s="1" t="str">
        <f>[1]Data!L50</f>
        <v>02:13:01</v>
      </c>
      <c r="M59" s="1">
        <f>[1]Data!M50</f>
        <v>45797</v>
      </c>
      <c r="N59" s="1">
        <f>[1]Data!N50</f>
        <v>44430</v>
      </c>
      <c r="O59" s="1" t="str">
        <f>[1]Data!O50</f>
        <v>X</v>
      </c>
      <c r="P59" s="1" t="str">
        <f>[1]Data!P50</f>
        <v>2025</v>
      </c>
      <c r="Q59" s="15">
        <f>[1]Data!Q50</f>
        <v>70</v>
      </c>
      <c r="R59" s="1" t="str">
        <f>[1]Data!R50</f>
        <v/>
      </c>
    </row>
    <row r="60" spans="1:18" x14ac:dyDescent="0.35">
      <c r="A60" s="1" t="str">
        <f>[1]Data!A51</f>
        <v>4000330</v>
      </c>
      <c r="B60" s="1" t="str">
        <f>[1]Data!B51</f>
        <v>3300</v>
      </c>
      <c r="C60" s="1" t="str">
        <f>[1]Data!C51</f>
        <v>3001</v>
      </c>
      <c r="D60" s="1" t="str">
        <f>[1]Data!D51</f>
        <v>L</v>
      </c>
      <c r="E60" s="1" t="str">
        <f>[1]Data!E51</f>
        <v/>
      </c>
      <c r="F60" s="1" t="str">
        <f>[1]Data!F51</f>
        <v>2026</v>
      </c>
      <c r="G60" s="1" t="str">
        <f>[1]Data!G51</f>
        <v>3</v>
      </c>
      <c r="H60" s="15">
        <f>[1]Data!H51</f>
        <v>110</v>
      </c>
      <c r="I60" s="15">
        <f>[1]Data!I51</f>
        <v>0</v>
      </c>
      <c r="J60" s="1" t="str">
        <f>[1]Data!J51</f>
        <v>X</v>
      </c>
      <c r="K60" s="1" t="str">
        <f>[1]Data!K51</f>
        <v>X</v>
      </c>
      <c r="L60" s="1" t="str">
        <f>[1]Data!L51</f>
        <v>03:11:03</v>
      </c>
      <c r="M60" s="1">
        <f>[1]Data!M51</f>
        <v>45798</v>
      </c>
      <c r="N60" s="1">
        <f>[1]Data!N51</f>
        <v>44430</v>
      </c>
      <c r="O60" s="1" t="str">
        <f>[1]Data!O51</f>
        <v>X</v>
      </c>
      <c r="P60" s="1" t="str">
        <f>[1]Data!P51</f>
        <v>2025</v>
      </c>
      <c r="Q60" s="15">
        <f>[1]Data!Q51</f>
        <v>110</v>
      </c>
      <c r="R60" s="1" t="str">
        <f>[1]Data!R51</f>
        <v/>
      </c>
    </row>
    <row r="61" spans="1:18" x14ac:dyDescent="0.35">
      <c r="A61" s="1" t="str">
        <f>[1]Data!A52</f>
        <v>4000331</v>
      </c>
      <c r="B61" s="1" t="str">
        <f>[1]Data!B52</f>
        <v>3300</v>
      </c>
      <c r="C61" s="1" t="str">
        <f>[1]Data!C52</f>
        <v>3001</v>
      </c>
      <c r="D61" s="1" t="str">
        <f>[1]Data!D52</f>
        <v>L</v>
      </c>
      <c r="E61" s="1" t="str">
        <f>[1]Data!E52</f>
        <v/>
      </c>
      <c r="F61" s="1" t="str">
        <f>[1]Data!F52</f>
        <v>2026</v>
      </c>
      <c r="G61" s="1" t="str">
        <f>[1]Data!G52</f>
        <v>2</v>
      </c>
      <c r="H61" s="15">
        <f>[1]Data!H52</f>
        <v>420</v>
      </c>
      <c r="I61" s="15">
        <f>[1]Data!I52</f>
        <v>0</v>
      </c>
      <c r="J61" s="1" t="str">
        <f>[1]Data!J52</f>
        <v>X</v>
      </c>
      <c r="K61" s="1" t="str">
        <f>[1]Data!K52</f>
        <v>X</v>
      </c>
      <c r="L61" s="1" t="str">
        <f>[1]Data!L52</f>
        <v>03:12:01</v>
      </c>
      <c r="M61" s="1">
        <f>[1]Data!M52</f>
        <v>45798</v>
      </c>
      <c r="N61" s="1">
        <f>[1]Data!N52</f>
        <v>44430</v>
      </c>
      <c r="O61" s="1" t="str">
        <f>[1]Data!O52</f>
        <v>X</v>
      </c>
      <c r="P61" s="1" t="str">
        <f>[1]Data!P52</f>
        <v>2025</v>
      </c>
      <c r="Q61" s="15">
        <f>[1]Data!Q52</f>
        <v>420</v>
      </c>
      <c r="R61" s="1" t="str">
        <f>[1]Data!R52</f>
        <v/>
      </c>
    </row>
    <row r="62" spans="1:18" x14ac:dyDescent="0.35">
      <c r="A62" s="1" t="str">
        <f>[1]Data!A53</f>
        <v>4000332</v>
      </c>
      <c r="B62" s="1" t="str">
        <f>[1]Data!B53</f>
        <v>3300</v>
      </c>
      <c r="C62" s="1" t="str">
        <f>[1]Data!C53</f>
        <v>3001</v>
      </c>
      <c r="D62" s="1" t="str">
        <f>[1]Data!D53</f>
        <v>L</v>
      </c>
      <c r="E62" s="1" t="str">
        <f>[1]Data!E53</f>
        <v/>
      </c>
      <c r="F62" s="1" t="str">
        <f>[1]Data!F53</f>
        <v>2026</v>
      </c>
      <c r="G62" s="1" t="str">
        <f>[1]Data!G53</f>
        <v>3</v>
      </c>
      <c r="H62" s="15">
        <f>[1]Data!H53</f>
        <v>442</v>
      </c>
      <c r="I62" s="15">
        <f>[1]Data!I53</f>
        <v>0</v>
      </c>
      <c r="J62" s="1" t="str">
        <f>[1]Data!J53</f>
        <v>X</v>
      </c>
      <c r="K62" s="1" t="str">
        <f>[1]Data!K53</f>
        <v>X</v>
      </c>
      <c r="L62" s="1" t="str">
        <f>[1]Data!L53</f>
        <v>03:12:02</v>
      </c>
      <c r="M62" s="1">
        <f>[1]Data!M53</f>
        <v>45798</v>
      </c>
      <c r="N62" s="1">
        <f>[1]Data!N53</f>
        <v>44430</v>
      </c>
      <c r="O62" s="1" t="str">
        <f>[1]Data!O53</f>
        <v>X</v>
      </c>
      <c r="P62" s="1" t="str">
        <f>[1]Data!P53</f>
        <v>2025</v>
      </c>
      <c r="Q62" s="15">
        <f>[1]Data!Q53</f>
        <v>442</v>
      </c>
      <c r="R62" s="1" t="str">
        <f>[1]Data!R53</f>
        <v/>
      </c>
    </row>
    <row r="63" spans="1:18" x14ac:dyDescent="0.35">
      <c r="A63" s="1" t="str">
        <f>[1]Data!A54</f>
        <v>4000333</v>
      </c>
      <c r="B63" s="1" t="str">
        <f>[1]Data!B54</f>
        <v>3300</v>
      </c>
      <c r="C63" s="1" t="str">
        <f>[1]Data!C54</f>
        <v>3001</v>
      </c>
      <c r="D63" s="1" t="str">
        <f>[1]Data!D54</f>
        <v>L</v>
      </c>
      <c r="E63" s="1" t="str">
        <f>[1]Data!E54</f>
        <v/>
      </c>
      <c r="F63" s="1" t="str">
        <f>[1]Data!F54</f>
        <v>2026</v>
      </c>
      <c r="G63" s="1" t="str">
        <f>[1]Data!G54</f>
        <v>2</v>
      </c>
      <c r="H63" s="15">
        <f>[1]Data!H54</f>
        <v>245</v>
      </c>
      <c r="I63" s="15">
        <f>[1]Data!I54</f>
        <v>0</v>
      </c>
      <c r="J63" s="1" t="str">
        <f>[1]Data!J54</f>
        <v>X</v>
      </c>
      <c r="K63" s="1" t="str">
        <f>[1]Data!K54</f>
        <v>X</v>
      </c>
      <c r="L63" s="1" t="str">
        <f>[1]Data!L54</f>
        <v>03:12:02</v>
      </c>
      <c r="M63" s="1">
        <f>[1]Data!M54</f>
        <v>45798</v>
      </c>
      <c r="N63" s="1">
        <f>[1]Data!N54</f>
        <v>44430</v>
      </c>
      <c r="O63" s="1" t="str">
        <f>[1]Data!O54</f>
        <v>X</v>
      </c>
      <c r="P63" s="1" t="str">
        <f>[1]Data!P54</f>
        <v>2025</v>
      </c>
      <c r="Q63" s="15">
        <f>[1]Data!Q54</f>
        <v>245</v>
      </c>
      <c r="R63" s="1" t="str">
        <f>[1]Data!R54</f>
        <v/>
      </c>
    </row>
    <row r="64" spans="1:18" x14ac:dyDescent="0.35">
      <c r="A64" s="1" t="str">
        <f>[1]Data!A55</f>
        <v>4000334</v>
      </c>
      <c r="B64" s="1" t="str">
        <f>[1]Data!B55</f>
        <v>3300</v>
      </c>
      <c r="C64" s="1" t="str">
        <f>[1]Data!C55</f>
        <v>3001</v>
      </c>
      <c r="D64" s="1" t="str">
        <f>[1]Data!D55</f>
        <v>L</v>
      </c>
      <c r="E64" s="1" t="str">
        <f>[1]Data!E55</f>
        <v/>
      </c>
      <c r="F64" s="1" t="str">
        <f>[1]Data!F55</f>
        <v>2025</v>
      </c>
      <c r="G64" s="1" t="str">
        <f>[1]Data!G55</f>
        <v>12</v>
      </c>
      <c r="H64" s="15">
        <f>[1]Data!H55</f>
        <v>60</v>
      </c>
      <c r="I64" s="15">
        <f>[1]Data!I55</f>
        <v>0</v>
      </c>
      <c r="J64" s="1" t="str">
        <f>[1]Data!J55</f>
        <v>X</v>
      </c>
      <c r="K64" s="1" t="str">
        <f>[1]Data!K55</f>
        <v>X</v>
      </c>
      <c r="L64" s="1" t="str">
        <f>[1]Data!L55</f>
        <v>03:12:03</v>
      </c>
      <c r="M64" s="1">
        <f>[1]Data!M55</f>
        <v>45798</v>
      </c>
      <c r="N64" s="1">
        <f>[1]Data!N55</f>
        <v>44430</v>
      </c>
      <c r="O64" s="1" t="str">
        <f>[1]Data!O55</f>
        <v>X</v>
      </c>
      <c r="P64" s="1" t="str">
        <f>[1]Data!P55</f>
        <v>2025</v>
      </c>
      <c r="Q64" s="15">
        <f>[1]Data!Q55</f>
        <v>60</v>
      </c>
      <c r="R64" s="1" t="str">
        <f>[1]Data!R55</f>
        <v/>
      </c>
    </row>
    <row r="65" spans="1:18" x14ac:dyDescent="0.35">
      <c r="A65" s="1" t="str">
        <f>[1]Data!A56</f>
        <v>4000340</v>
      </c>
      <c r="B65" s="1" t="str">
        <f>[1]Data!B56</f>
        <v>3300</v>
      </c>
      <c r="C65" s="1" t="str">
        <f>[1]Data!C56</f>
        <v>3001</v>
      </c>
      <c r="D65" s="1" t="str">
        <f>[1]Data!D56</f>
        <v>L</v>
      </c>
      <c r="E65" s="1" t="str">
        <f>[1]Data!E56</f>
        <v/>
      </c>
      <c r="F65" s="1" t="str">
        <f>[1]Data!F56</f>
        <v>2026</v>
      </c>
      <c r="G65" s="1" t="str">
        <f>[1]Data!G56</f>
        <v>2</v>
      </c>
      <c r="H65" s="15">
        <f>[1]Data!H56</f>
        <v>345</v>
      </c>
      <c r="I65" s="15">
        <f>[1]Data!I56</f>
        <v>0</v>
      </c>
      <c r="J65" s="1" t="str">
        <f>[1]Data!J56</f>
        <v>X</v>
      </c>
      <c r="K65" s="1" t="str">
        <f>[1]Data!K56</f>
        <v>X</v>
      </c>
      <c r="L65" s="1" t="str">
        <f>[1]Data!L56</f>
        <v>03:11:01</v>
      </c>
      <c r="M65" s="1">
        <f>[1]Data!M56</f>
        <v>45798</v>
      </c>
      <c r="N65" s="1">
        <f>[1]Data!N56</f>
        <v>44430</v>
      </c>
      <c r="O65" s="1" t="str">
        <f>[1]Data!O56</f>
        <v>X</v>
      </c>
      <c r="P65" s="1" t="str">
        <f>[1]Data!P56</f>
        <v>2025</v>
      </c>
      <c r="Q65" s="15">
        <f>[1]Data!Q56</f>
        <v>345</v>
      </c>
      <c r="R65" s="1" t="str">
        <f>[1]Data!R56</f>
        <v/>
      </c>
    </row>
    <row r="66" spans="1:18" x14ac:dyDescent="0.35">
      <c r="A66" s="1" t="str">
        <f>[1]Data!A57</f>
        <v>4000341</v>
      </c>
      <c r="B66" s="1" t="str">
        <f>[1]Data!B57</f>
        <v>3300</v>
      </c>
      <c r="C66" s="1" t="str">
        <f>[1]Data!C57</f>
        <v>3001</v>
      </c>
      <c r="D66" s="1" t="str">
        <f>[1]Data!D57</f>
        <v>L</v>
      </c>
      <c r="E66" s="1" t="str">
        <f>[1]Data!E57</f>
        <v/>
      </c>
      <c r="F66" s="1" t="str">
        <f>[1]Data!F57</f>
        <v>2026</v>
      </c>
      <c r="G66" s="1" t="str">
        <f>[1]Data!G57</f>
        <v>3</v>
      </c>
      <c r="H66" s="15">
        <f>[1]Data!H57</f>
        <v>700</v>
      </c>
      <c r="I66" s="15">
        <f>[1]Data!I57</f>
        <v>0</v>
      </c>
      <c r="J66" s="1" t="str">
        <f>[1]Data!J57</f>
        <v>X</v>
      </c>
      <c r="K66" s="1" t="str">
        <f>[1]Data!K57</f>
        <v>X</v>
      </c>
      <c r="L66" s="1" t="str">
        <f>[1]Data!L57</f>
        <v>03:11:02</v>
      </c>
      <c r="M66" s="1">
        <f>[1]Data!M57</f>
        <v>45798</v>
      </c>
      <c r="N66" s="1">
        <f>[1]Data!N57</f>
        <v>44430</v>
      </c>
      <c r="O66" s="1" t="str">
        <f>[1]Data!O57</f>
        <v>X</v>
      </c>
      <c r="P66" s="1" t="str">
        <f>[1]Data!P57</f>
        <v>2025</v>
      </c>
      <c r="Q66" s="15">
        <f>[1]Data!Q57</f>
        <v>700</v>
      </c>
      <c r="R66" s="1" t="str">
        <f>[1]Data!R57</f>
        <v/>
      </c>
    </row>
    <row r="67" spans="1:18" x14ac:dyDescent="0.35">
      <c r="A67" s="1" t="str">
        <f>[1]Data!A58</f>
        <v>4000342</v>
      </c>
      <c r="B67" s="1" t="str">
        <f>[1]Data!B58</f>
        <v>3300</v>
      </c>
      <c r="C67" s="1" t="str">
        <f>[1]Data!C58</f>
        <v>3001</v>
      </c>
      <c r="D67" s="1" t="str">
        <f>[1]Data!D58</f>
        <v>L</v>
      </c>
      <c r="E67" s="1" t="str">
        <f>[1]Data!E58</f>
        <v/>
      </c>
      <c r="F67" s="1" t="str">
        <f>[1]Data!F58</f>
        <v>2026</v>
      </c>
      <c r="G67" s="1" t="str">
        <f>[1]Data!G58</f>
        <v>3</v>
      </c>
      <c r="H67" s="15">
        <f>[1]Data!H58</f>
        <v>450</v>
      </c>
      <c r="I67" s="15">
        <f>[1]Data!I58</f>
        <v>0</v>
      </c>
      <c r="J67" s="1" t="str">
        <f>[1]Data!J58</f>
        <v>X</v>
      </c>
      <c r="K67" s="1" t="str">
        <f>[1]Data!K58</f>
        <v>X</v>
      </c>
      <c r="L67" s="1" t="str">
        <f>[1]Data!L58</f>
        <v>03:11:02</v>
      </c>
      <c r="M67" s="1">
        <f>[1]Data!M58</f>
        <v>45798</v>
      </c>
      <c r="N67" s="1">
        <f>[1]Data!N58</f>
        <v>44430</v>
      </c>
      <c r="O67" s="1" t="str">
        <f>[1]Data!O58</f>
        <v>X</v>
      </c>
      <c r="P67" s="1" t="str">
        <f>[1]Data!P58</f>
        <v>2025</v>
      </c>
      <c r="Q67" s="15">
        <f>[1]Data!Q58</f>
        <v>450</v>
      </c>
      <c r="R67" s="1" t="str">
        <f>[1]Data!R58</f>
        <v/>
      </c>
    </row>
    <row r="68" spans="1:18" x14ac:dyDescent="0.35">
      <c r="A68" s="1" t="str">
        <f>[1]Data!A59</f>
        <v>4000343</v>
      </c>
      <c r="B68" s="1" t="str">
        <f>[1]Data!B59</f>
        <v>3300</v>
      </c>
      <c r="C68" s="1" t="str">
        <f>[1]Data!C59</f>
        <v>3001</v>
      </c>
      <c r="D68" s="1" t="str">
        <f>[1]Data!D59</f>
        <v>L</v>
      </c>
      <c r="E68" s="1" t="str">
        <f>[1]Data!E59</f>
        <v/>
      </c>
      <c r="F68" s="1" t="str">
        <f>[1]Data!F59</f>
        <v>2026</v>
      </c>
      <c r="G68" s="1" t="str">
        <f>[1]Data!G59</f>
        <v>3</v>
      </c>
      <c r="H68" s="15">
        <f>[1]Data!H59</f>
        <v>200</v>
      </c>
      <c r="I68" s="15">
        <f>[1]Data!I59</f>
        <v>0</v>
      </c>
      <c r="J68" s="1" t="str">
        <f>[1]Data!J59</f>
        <v>X</v>
      </c>
      <c r="K68" s="1" t="str">
        <f>[1]Data!K59</f>
        <v>X</v>
      </c>
      <c r="L68" s="1" t="str">
        <f>[1]Data!L59</f>
        <v>02:12:03</v>
      </c>
      <c r="M68" s="1">
        <f>[1]Data!M59</f>
        <v>45797</v>
      </c>
      <c r="N68" s="1">
        <f>[1]Data!N59</f>
        <v>44430</v>
      </c>
      <c r="O68" s="1" t="str">
        <f>[1]Data!O59</f>
        <v>X</v>
      </c>
      <c r="P68" s="1" t="str">
        <f>[1]Data!P59</f>
        <v>2025</v>
      </c>
      <c r="Q68" s="15">
        <f>[1]Data!Q59</f>
        <v>200</v>
      </c>
      <c r="R68" s="1" t="str">
        <f>[1]Data!R59</f>
        <v/>
      </c>
    </row>
    <row r="69" spans="1:18" x14ac:dyDescent="0.35">
      <c r="A69" s="1" t="str">
        <f>[1]Data!A60</f>
        <v>4000396</v>
      </c>
      <c r="B69" s="1" t="str">
        <f>[1]Data!B60</f>
        <v>3300</v>
      </c>
      <c r="C69" s="1" t="str">
        <f>[1]Data!C60</f>
        <v>3001</v>
      </c>
      <c r="D69" s="1" t="str">
        <f>[1]Data!D60</f>
        <v>L</v>
      </c>
      <c r="E69" s="1" t="str">
        <f>[1]Data!E60</f>
        <v/>
      </c>
      <c r="F69" s="1" t="str">
        <f>[1]Data!F60</f>
        <v>2026</v>
      </c>
      <c r="G69" s="1" t="str">
        <f>[1]Data!G60</f>
        <v>3</v>
      </c>
      <c r="H69" s="15">
        <f>[1]Data!H60</f>
        <v>980</v>
      </c>
      <c r="I69" s="15">
        <f>[1]Data!I60</f>
        <v>0</v>
      </c>
      <c r="J69" s="1" t="str">
        <f>[1]Data!J60</f>
        <v>X</v>
      </c>
      <c r="K69" s="1" t="str">
        <f>[1]Data!K60</f>
        <v>X</v>
      </c>
      <c r="L69" s="1" t="str">
        <f>[1]Data!L60</f>
        <v>15:08:01</v>
      </c>
      <c r="M69" s="1">
        <f>[1]Data!M60</f>
        <v>46006</v>
      </c>
      <c r="N69" s="1">
        <f>[1]Data!N60</f>
        <v>44430</v>
      </c>
      <c r="O69" s="1" t="str">
        <f>[1]Data!O60</f>
        <v>X</v>
      </c>
      <c r="P69" s="1" t="str">
        <f>[1]Data!P60</f>
        <v>2025</v>
      </c>
      <c r="Q69" s="15">
        <f>[1]Data!Q60</f>
        <v>980</v>
      </c>
      <c r="R69" s="1" t="str">
        <f>[1]Data!R60</f>
        <v/>
      </c>
    </row>
    <row r="70" spans="1:18" x14ac:dyDescent="0.35">
      <c r="A70" s="1" t="str">
        <f>[1]Data!A61</f>
        <v>4000403</v>
      </c>
      <c r="B70" s="1" t="str">
        <f>[1]Data!B61</f>
        <v>3300</v>
      </c>
      <c r="C70" s="1" t="str">
        <f>[1]Data!C61</f>
        <v>3001</v>
      </c>
      <c r="D70" s="1" t="str">
        <f>[1]Data!D61</f>
        <v>L</v>
      </c>
      <c r="E70" s="1" t="str">
        <f>[1]Data!E61</f>
        <v/>
      </c>
      <c r="F70" s="1" t="str">
        <f>[1]Data!F61</f>
        <v>2026</v>
      </c>
      <c r="G70" s="1" t="str">
        <f>[1]Data!G61</f>
        <v>2</v>
      </c>
      <c r="H70" s="15">
        <f>[1]Data!H61</f>
        <v>1100</v>
      </c>
      <c r="I70" s="15">
        <f>[1]Data!I61</f>
        <v>0</v>
      </c>
      <c r="J70" s="1" t="str">
        <f>[1]Data!J61</f>
        <v>X</v>
      </c>
      <c r="K70" s="1" t="str">
        <f>[1]Data!K61</f>
        <v>X</v>
      </c>
      <c r="L70" s="1" t="str">
        <f>[1]Data!L61</f>
        <v>08:12:02</v>
      </c>
      <c r="M70" s="1">
        <f>[1]Data!M61</f>
        <v>45980</v>
      </c>
      <c r="N70" s="1">
        <f>[1]Data!N61</f>
        <v>44430</v>
      </c>
      <c r="O70" s="1" t="str">
        <f>[1]Data!O61</f>
        <v>X</v>
      </c>
      <c r="P70" s="1" t="str">
        <f>[1]Data!P61</f>
        <v>2025</v>
      </c>
      <c r="Q70" s="15">
        <f>[1]Data!Q61</f>
        <v>1100</v>
      </c>
      <c r="R70" s="1" t="str">
        <f>[1]Data!R61</f>
        <v/>
      </c>
    </row>
    <row r="71" spans="1:18" x14ac:dyDescent="0.35">
      <c r="A71" s="1" t="str">
        <f>[1]Data!A62</f>
        <v>4000406</v>
      </c>
      <c r="B71" s="1" t="str">
        <f>[1]Data!B62</f>
        <v>3300</v>
      </c>
      <c r="C71" s="1" t="str">
        <f>[1]Data!C62</f>
        <v>3001</v>
      </c>
      <c r="D71" s="1" t="str">
        <f>[1]Data!D62</f>
        <v>L</v>
      </c>
      <c r="E71" s="1" t="str">
        <f>[1]Data!E62</f>
        <v/>
      </c>
      <c r="F71" s="1" t="str">
        <f>[1]Data!F62</f>
        <v>2026</v>
      </c>
      <c r="G71" s="1" t="str">
        <f>[1]Data!G62</f>
        <v>3</v>
      </c>
      <c r="H71" s="15">
        <f>[1]Data!H62</f>
        <v>2730</v>
      </c>
      <c r="I71" s="15">
        <f>[1]Data!I62</f>
        <v>0</v>
      </c>
      <c r="J71" s="1" t="str">
        <f>[1]Data!J62</f>
        <v>X</v>
      </c>
      <c r="K71" s="1" t="str">
        <f>[1]Data!K62</f>
        <v>X</v>
      </c>
      <c r="L71" s="1" t="str">
        <f>[1]Data!L62</f>
        <v>14:18:01*</v>
      </c>
      <c r="M71" s="1">
        <f>[1]Data!M62</f>
        <v>46001</v>
      </c>
      <c r="N71" s="1">
        <f>[1]Data!N62</f>
        <v>44430</v>
      </c>
      <c r="O71" s="1" t="str">
        <f>[1]Data!O62</f>
        <v>X</v>
      </c>
      <c r="P71" s="1" t="str">
        <f>[1]Data!P62</f>
        <v>2025</v>
      </c>
      <c r="Q71" s="15">
        <f>[1]Data!Q62</f>
        <v>2730</v>
      </c>
      <c r="R71" s="1" t="str">
        <f>[1]Data!R62</f>
        <v/>
      </c>
    </row>
    <row r="72" spans="1:18" x14ac:dyDescent="0.35">
      <c r="A72" s="1" t="str">
        <f>[1]Data!A63</f>
        <v>4000411</v>
      </c>
      <c r="B72" s="1" t="str">
        <f>[1]Data!B63</f>
        <v>3300</v>
      </c>
      <c r="C72" s="1" t="str">
        <f>[1]Data!C63</f>
        <v>3001</v>
      </c>
      <c r="D72" s="1" t="str">
        <f>[1]Data!D63</f>
        <v>L</v>
      </c>
      <c r="E72" s="1" t="str">
        <f>[1]Data!E63</f>
        <v/>
      </c>
      <c r="F72" s="1" t="str">
        <f>[1]Data!F63</f>
        <v>2026</v>
      </c>
      <c r="G72" s="1" t="str">
        <f>[1]Data!G63</f>
        <v>2</v>
      </c>
      <c r="H72" s="15">
        <f>[1]Data!H63</f>
        <v>14</v>
      </c>
      <c r="I72" s="15">
        <f>[1]Data!I63</f>
        <v>0</v>
      </c>
      <c r="J72" s="1" t="str">
        <f>[1]Data!J63</f>
        <v>X</v>
      </c>
      <c r="K72" s="1" t="str">
        <f>[1]Data!K63</f>
        <v>X</v>
      </c>
      <c r="L72" s="1" t="str">
        <f>[1]Data!L63</f>
        <v>13:12:00</v>
      </c>
      <c r="M72" s="1">
        <f>[1]Data!M63</f>
        <v>46001</v>
      </c>
      <c r="N72" s="1">
        <f>[1]Data!N63</f>
        <v>44430</v>
      </c>
      <c r="O72" s="1" t="str">
        <f>[1]Data!O63</f>
        <v>X</v>
      </c>
      <c r="P72" s="1" t="str">
        <f>[1]Data!P63</f>
        <v>2025</v>
      </c>
      <c r="Q72" s="15">
        <f>[1]Data!Q63</f>
        <v>14</v>
      </c>
      <c r="R72" s="1" t="str">
        <f>[1]Data!R63</f>
        <v/>
      </c>
    </row>
    <row r="73" spans="1:18" x14ac:dyDescent="0.35">
      <c r="A73" s="1" t="str">
        <f>[1]Data!A64</f>
        <v>4000412</v>
      </c>
      <c r="B73" s="1" t="str">
        <f>[1]Data!B64</f>
        <v>3300</v>
      </c>
      <c r="C73" s="1" t="str">
        <f>[1]Data!C64</f>
        <v>3001</v>
      </c>
      <c r="D73" s="1" t="str">
        <f>[1]Data!D64</f>
        <v>L</v>
      </c>
      <c r="E73" s="1" t="str">
        <f>[1]Data!E64</f>
        <v/>
      </c>
      <c r="F73" s="1" t="str">
        <f>[1]Data!F64</f>
        <v>2026</v>
      </c>
      <c r="G73" s="1" t="str">
        <f>[1]Data!G64</f>
        <v>2</v>
      </c>
      <c r="H73" s="15">
        <f>[1]Data!H64</f>
        <v>19</v>
      </c>
      <c r="I73" s="15">
        <f>[1]Data!I64</f>
        <v>0</v>
      </c>
      <c r="J73" s="1" t="str">
        <f>[1]Data!J64</f>
        <v>X</v>
      </c>
      <c r="K73" s="1" t="str">
        <f>[1]Data!K64</f>
        <v>X</v>
      </c>
      <c r="L73" s="1" t="str">
        <f>[1]Data!L64</f>
        <v>13:12:02</v>
      </c>
      <c r="M73" s="1">
        <f>[1]Data!M64</f>
        <v>46001</v>
      </c>
      <c r="N73" s="1">
        <f>[1]Data!N64</f>
        <v>44430</v>
      </c>
      <c r="O73" s="1" t="str">
        <f>[1]Data!O64</f>
        <v>X</v>
      </c>
      <c r="P73" s="1" t="str">
        <f>[1]Data!P64</f>
        <v>2025</v>
      </c>
      <c r="Q73" s="15">
        <f>[1]Data!Q64</f>
        <v>19</v>
      </c>
      <c r="R73" s="1" t="str">
        <f>[1]Data!R64</f>
        <v/>
      </c>
    </row>
    <row r="74" spans="1:18" x14ac:dyDescent="0.35">
      <c r="A74" s="1" t="str">
        <f>[1]Data!A65</f>
        <v>4000413</v>
      </c>
      <c r="B74" s="1" t="str">
        <f>[1]Data!B65</f>
        <v>3300</v>
      </c>
      <c r="C74" s="1" t="str">
        <f>[1]Data!C65</f>
        <v>3001</v>
      </c>
      <c r="D74" s="1" t="str">
        <f>[1]Data!D65</f>
        <v>L</v>
      </c>
      <c r="E74" s="1" t="str">
        <f>[1]Data!E65</f>
        <v/>
      </c>
      <c r="F74" s="1" t="str">
        <f>[1]Data!F65</f>
        <v>2026</v>
      </c>
      <c r="G74" s="1" t="str">
        <f>[1]Data!G65</f>
        <v>2</v>
      </c>
      <c r="H74" s="15">
        <f>[1]Data!H65</f>
        <v>14</v>
      </c>
      <c r="I74" s="15">
        <f>[1]Data!I65</f>
        <v>0</v>
      </c>
      <c r="J74" s="1" t="str">
        <f>[1]Data!J65</f>
        <v>X</v>
      </c>
      <c r="K74" s="1" t="str">
        <f>[1]Data!K65</f>
        <v>X</v>
      </c>
      <c r="L74" s="1" t="str">
        <f>[1]Data!L65</f>
        <v>13:12:02</v>
      </c>
      <c r="M74" s="1">
        <f>[1]Data!M65</f>
        <v>46001</v>
      </c>
      <c r="N74" s="1">
        <f>[1]Data!N65</f>
        <v>44430</v>
      </c>
      <c r="O74" s="1" t="str">
        <f>[1]Data!O65</f>
        <v>X</v>
      </c>
      <c r="P74" s="1" t="str">
        <f>[1]Data!P65</f>
        <v>2025</v>
      </c>
      <c r="Q74" s="15">
        <f>[1]Data!Q65</f>
        <v>14</v>
      </c>
      <c r="R74" s="1" t="str">
        <f>[1]Data!R65</f>
        <v/>
      </c>
    </row>
    <row r="75" spans="1:18" x14ac:dyDescent="0.35">
      <c r="A75" s="1" t="str">
        <f>[1]Data!A66</f>
        <v>4000414</v>
      </c>
      <c r="B75" s="1" t="str">
        <f>[1]Data!B66</f>
        <v>3300</v>
      </c>
      <c r="C75" s="1" t="str">
        <f>[1]Data!C66</f>
        <v>3001</v>
      </c>
      <c r="D75" s="1" t="str">
        <f>[1]Data!D66</f>
        <v>L</v>
      </c>
      <c r="E75" s="1" t="str">
        <f>[1]Data!E66</f>
        <v/>
      </c>
      <c r="F75" s="1" t="str">
        <f>[1]Data!F66</f>
        <v>2026</v>
      </c>
      <c r="G75" s="1" t="str">
        <f>[1]Data!G66</f>
        <v>2</v>
      </c>
      <c r="H75" s="15">
        <f>[1]Data!H66</f>
        <v>12</v>
      </c>
      <c r="I75" s="15">
        <f>[1]Data!I66</f>
        <v>0</v>
      </c>
      <c r="J75" s="1" t="str">
        <f>[1]Data!J66</f>
        <v>X</v>
      </c>
      <c r="K75" s="1" t="str">
        <f>[1]Data!K66</f>
        <v>X</v>
      </c>
      <c r="L75" s="1" t="str">
        <f>[1]Data!L66</f>
        <v>13:12:03</v>
      </c>
      <c r="M75" s="1">
        <f>[1]Data!M66</f>
        <v>46001</v>
      </c>
      <c r="N75" s="1">
        <f>[1]Data!N66</f>
        <v>44430</v>
      </c>
      <c r="O75" s="1" t="str">
        <f>[1]Data!O66</f>
        <v>X</v>
      </c>
      <c r="P75" s="1" t="str">
        <f>[1]Data!P66</f>
        <v>2025</v>
      </c>
      <c r="Q75" s="15">
        <f>[1]Data!Q66</f>
        <v>12</v>
      </c>
      <c r="R75" s="1" t="str">
        <f>[1]Data!R66</f>
        <v/>
      </c>
    </row>
    <row r="76" spans="1:18" x14ac:dyDescent="0.35">
      <c r="A76" s="1" t="str">
        <f>[1]Data!A67</f>
        <v>4000415</v>
      </c>
      <c r="B76" s="1" t="str">
        <f>[1]Data!B67</f>
        <v>3300</v>
      </c>
      <c r="C76" s="1" t="str">
        <f>[1]Data!C67</f>
        <v>3001</v>
      </c>
      <c r="D76" s="1" t="str">
        <f>[1]Data!D67</f>
        <v>L</v>
      </c>
      <c r="E76" s="1" t="str">
        <f>[1]Data!E67</f>
        <v/>
      </c>
      <c r="F76" s="1" t="str">
        <f>[1]Data!F67</f>
        <v>2026</v>
      </c>
      <c r="G76" s="1" t="str">
        <f>[1]Data!G67</f>
        <v>2</v>
      </c>
      <c r="H76" s="15">
        <f>[1]Data!H67</f>
        <v>10</v>
      </c>
      <c r="I76" s="15">
        <f>[1]Data!I67</f>
        <v>0</v>
      </c>
      <c r="J76" s="1" t="str">
        <f>[1]Data!J67</f>
        <v>X</v>
      </c>
      <c r="K76" s="1" t="str">
        <f>[1]Data!K67</f>
        <v>X</v>
      </c>
      <c r="L76" s="1" t="str">
        <f>[1]Data!L67</f>
        <v>13:13:02</v>
      </c>
      <c r="M76" s="1">
        <f>[1]Data!M67</f>
        <v>46001</v>
      </c>
      <c r="N76" s="1">
        <f>[1]Data!N67</f>
        <v>44430</v>
      </c>
      <c r="O76" s="1" t="str">
        <f>[1]Data!O67</f>
        <v>X</v>
      </c>
      <c r="P76" s="1" t="str">
        <f>[1]Data!P67</f>
        <v>2025</v>
      </c>
      <c r="Q76" s="15">
        <f>[1]Data!Q67</f>
        <v>10</v>
      </c>
      <c r="R76" s="1" t="str">
        <f>[1]Data!R67</f>
        <v/>
      </c>
    </row>
    <row r="77" spans="1:18" x14ac:dyDescent="0.35">
      <c r="A77" s="1" t="str">
        <f>[1]Data!A68</f>
        <v>4000416</v>
      </c>
      <c r="B77" s="1" t="str">
        <f>[1]Data!B68</f>
        <v>3300</v>
      </c>
      <c r="C77" s="1" t="str">
        <f>[1]Data!C68</f>
        <v>3001</v>
      </c>
      <c r="D77" s="1" t="str">
        <f>[1]Data!D68</f>
        <v>L</v>
      </c>
      <c r="E77" s="1" t="str">
        <f>[1]Data!E68</f>
        <v/>
      </c>
      <c r="F77" s="1" t="str">
        <f>[1]Data!F68</f>
        <v>2026</v>
      </c>
      <c r="G77" s="1" t="str">
        <f>[1]Data!G68</f>
        <v>2</v>
      </c>
      <c r="H77" s="15">
        <f>[1]Data!H68</f>
        <v>3100</v>
      </c>
      <c r="I77" s="15">
        <f>[1]Data!I68</f>
        <v>0</v>
      </c>
      <c r="J77" s="1" t="str">
        <f>[1]Data!J68</f>
        <v>X</v>
      </c>
      <c r="K77" s="1" t="str">
        <f>[1]Data!K68</f>
        <v>X</v>
      </c>
      <c r="L77" s="1" t="str">
        <f>[1]Data!L68</f>
        <v>13:11:03</v>
      </c>
      <c r="M77" s="1">
        <f>[1]Data!M68</f>
        <v>46001</v>
      </c>
      <c r="N77" s="1">
        <f>[1]Data!N68</f>
        <v>44430</v>
      </c>
      <c r="O77" s="1" t="str">
        <f>[1]Data!O68</f>
        <v>X</v>
      </c>
      <c r="P77" s="1" t="str">
        <f>[1]Data!P68</f>
        <v>2025</v>
      </c>
      <c r="Q77" s="15">
        <f>[1]Data!Q68</f>
        <v>3100</v>
      </c>
      <c r="R77" s="1" t="str">
        <f>[1]Data!R68</f>
        <v/>
      </c>
    </row>
    <row r="78" spans="1:18" x14ac:dyDescent="0.35">
      <c r="A78" s="1" t="str">
        <f>[1]Data!A69</f>
        <v>4000418</v>
      </c>
      <c r="B78" s="1" t="str">
        <f>[1]Data!B69</f>
        <v>3300</v>
      </c>
      <c r="C78" s="1" t="str">
        <f>[1]Data!C69</f>
        <v>3001</v>
      </c>
      <c r="D78" s="1" t="str">
        <f>[1]Data!D69</f>
        <v>L</v>
      </c>
      <c r="E78" s="1" t="str">
        <f>[1]Data!E69</f>
        <v/>
      </c>
      <c r="F78" s="1" t="str">
        <f>[1]Data!F69</f>
        <v>2026</v>
      </c>
      <c r="G78" s="1" t="str">
        <f>[1]Data!G69</f>
        <v>2</v>
      </c>
      <c r="H78" s="15">
        <f>[1]Data!H69</f>
        <v>600</v>
      </c>
      <c r="I78" s="15">
        <f>[1]Data!I69</f>
        <v>0</v>
      </c>
      <c r="J78" s="1" t="str">
        <f>[1]Data!J69</f>
        <v>X</v>
      </c>
      <c r="K78" s="1" t="str">
        <f>[1]Data!K69</f>
        <v>X</v>
      </c>
      <c r="L78" s="1" t="str">
        <f>[1]Data!L69</f>
        <v>13:11:02</v>
      </c>
      <c r="M78" s="1">
        <f>[1]Data!M69</f>
        <v>46001</v>
      </c>
      <c r="N78" s="1">
        <f>[1]Data!N69</f>
        <v>44430</v>
      </c>
      <c r="O78" s="1" t="str">
        <f>[1]Data!O69</f>
        <v>X</v>
      </c>
      <c r="P78" s="1" t="str">
        <f>[1]Data!P69</f>
        <v>2025</v>
      </c>
      <c r="Q78" s="15">
        <f>[1]Data!Q69</f>
        <v>600</v>
      </c>
      <c r="R78" s="1" t="str">
        <f>[1]Data!R69</f>
        <v/>
      </c>
    </row>
    <row r="79" spans="1:18" x14ac:dyDescent="0.35">
      <c r="A79" s="1" t="str">
        <f>[1]Data!A70</f>
        <v>4000419</v>
      </c>
      <c r="B79" s="1" t="str">
        <f>[1]Data!B70</f>
        <v>3300</v>
      </c>
      <c r="C79" s="1" t="str">
        <f>[1]Data!C70</f>
        <v>3001</v>
      </c>
      <c r="D79" s="1" t="str">
        <f>[1]Data!D70</f>
        <v>L</v>
      </c>
      <c r="E79" s="1" t="str">
        <f>[1]Data!E70</f>
        <v/>
      </c>
      <c r="F79" s="1" t="str">
        <f>[1]Data!F70</f>
        <v>2026</v>
      </c>
      <c r="G79" s="1" t="str">
        <f>[1]Data!G70</f>
        <v>2</v>
      </c>
      <c r="H79" s="15">
        <f>[1]Data!H70</f>
        <v>2300</v>
      </c>
      <c r="I79" s="15">
        <f>[1]Data!I70</f>
        <v>0</v>
      </c>
      <c r="J79" s="1" t="str">
        <f>[1]Data!J70</f>
        <v>X</v>
      </c>
      <c r="K79" s="1" t="str">
        <f>[1]Data!K70</f>
        <v>X</v>
      </c>
      <c r="L79" s="1" t="str">
        <f>[1]Data!L70</f>
        <v>13:10:02</v>
      </c>
      <c r="M79" s="1">
        <f>[1]Data!M70</f>
        <v>45994</v>
      </c>
      <c r="N79" s="1">
        <f>[1]Data!N70</f>
        <v>44430</v>
      </c>
      <c r="O79" s="1" t="str">
        <f>[1]Data!O70</f>
        <v>X</v>
      </c>
      <c r="P79" s="1" t="str">
        <f>[1]Data!P70</f>
        <v>2025</v>
      </c>
      <c r="Q79" s="15">
        <f>[1]Data!Q70</f>
        <v>2300</v>
      </c>
      <c r="R79" s="1" t="str">
        <f>[1]Data!R70</f>
        <v/>
      </c>
    </row>
    <row r="80" spans="1:18" x14ac:dyDescent="0.35">
      <c r="A80" s="1" t="str">
        <f>[1]Data!A71</f>
        <v>4000420</v>
      </c>
      <c r="B80" s="1" t="str">
        <f>[1]Data!B71</f>
        <v>3300</v>
      </c>
      <c r="C80" s="1" t="str">
        <f>[1]Data!C71</f>
        <v>3001</v>
      </c>
      <c r="D80" s="1" t="str">
        <f>[1]Data!D71</f>
        <v>L</v>
      </c>
      <c r="E80" s="1" t="str">
        <f>[1]Data!E71</f>
        <v/>
      </c>
      <c r="F80" s="1" t="str">
        <f>[1]Data!F71</f>
        <v>2026</v>
      </c>
      <c r="G80" s="1" t="str">
        <f>[1]Data!G71</f>
        <v>2</v>
      </c>
      <c r="H80" s="15">
        <f>[1]Data!H71</f>
        <v>2500</v>
      </c>
      <c r="I80" s="15">
        <f>[1]Data!I71</f>
        <v>0</v>
      </c>
      <c r="J80" s="1" t="str">
        <f>[1]Data!J71</f>
        <v>X</v>
      </c>
      <c r="K80" s="1" t="str">
        <f>[1]Data!K71</f>
        <v>X</v>
      </c>
      <c r="L80" s="1" t="str">
        <f>[1]Data!L71</f>
        <v>13:10:03</v>
      </c>
      <c r="M80" s="1">
        <f>[1]Data!M71</f>
        <v>45994</v>
      </c>
      <c r="N80" s="1">
        <f>[1]Data!N71</f>
        <v>44430</v>
      </c>
      <c r="O80" s="1" t="str">
        <f>[1]Data!O71</f>
        <v>X</v>
      </c>
      <c r="P80" s="1" t="str">
        <f>[1]Data!P71</f>
        <v>2025</v>
      </c>
      <c r="Q80" s="15">
        <f>[1]Data!Q71</f>
        <v>2500</v>
      </c>
      <c r="R80" s="1" t="str">
        <f>[1]Data!R71</f>
        <v/>
      </c>
    </row>
    <row r="81" spans="1:18" x14ac:dyDescent="0.35">
      <c r="A81" s="1" t="str">
        <f>[1]Data!A72</f>
        <v>4000426</v>
      </c>
      <c r="B81" s="1" t="str">
        <f>[1]Data!B72</f>
        <v>3300</v>
      </c>
      <c r="C81" s="1" t="str">
        <f>[1]Data!C72</f>
        <v>3001</v>
      </c>
      <c r="D81" s="1" t="str">
        <f>[1]Data!D72</f>
        <v>DL</v>
      </c>
      <c r="E81" s="1" t="str">
        <f>[1]Data!E72</f>
        <v/>
      </c>
      <c r="F81" s="1" t="str">
        <f>[1]Data!F72</f>
        <v>2024</v>
      </c>
      <c r="G81" s="1" t="str">
        <f>[1]Data!G72</f>
        <v>5</v>
      </c>
      <c r="H81" s="15">
        <f>[1]Data!H72</f>
        <v>0</v>
      </c>
      <c r="I81" s="15">
        <f>[1]Data!I72</f>
        <v>0</v>
      </c>
      <c r="J81" s="1" t="str">
        <f>[1]Data!J72</f>
        <v/>
      </c>
      <c r="K81" s="1" t="str">
        <f>[1]Data!K72</f>
        <v/>
      </c>
      <c r="L81" s="1" t="str">
        <f>[1]Data!L72</f>
        <v/>
      </c>
      <c r="M81" s="1" t="str">
        <f>[1]Data!M72</f>
        <v/>
      </c>
      <c r="N81" s="1">
        <f>[1]Data!N72</f>
        <v>45436</v>
      </c>
      <c r="O81" s="1" t="str">
        <f>[1]Data!O72</f>
        <v>X</v>
      </c>
      <c r="P81" s="1" t="str">
        <f>[1]Data!P72</f>
        <v>2024</v>
      </c>
      <c r="Q81" s="15">
        <f>[1]Data!Q72</f>
        <v>0</v>
      </c>
      <c r="R81" s="1" t="str">
        <f>[1]Data!R72</f>
        <v>INAKTIV</v>
      </c>
    </row>
    <row r="82" spans="1:18" x14ac:dyDescent="0.35">
      <c r="A82" s="1" t="str">
        <f>[1]Data!A73</f>
        <v>4000427</v>
      </c>
      <c r="B82" s="1" t="str">
        <f>[1]Data!B73</f>
        <v>3300</v>
      </c>
      <c r="C82" s="1" t="str">
        <f>[1]Data!C73</f>
        <v>3001</v>
      </c>
      <c r="D82" s="1" t="str">
        <f>[1]Data!D73</f>
        <v>L</v>
      </c>
      <c r="E82" s="1" t="str">
        <f>[1]Data!E73</f>
        <v/>
      </c>
      <c r="F82" s="1" t="str">
        <f>[1]Data!F73</f>
        <v>2026</v>
      </c>
      <c r="G82" s="1" t="str">
        <f>[1]Data!G73</f>
        <v>2</v>
      </c>
      <c r="H82" s="15">
        <f>[1]Data!H73</f>
        <v>1200</v>
      </c>
      <c r="I82" s="15">
        <f>[1]Data!I73</f>
        <v>0</v>
      </c>
      <c r="J82" s="1" t="str">
        <f>[1]Data!J73</f>
        <v>X</v>
      </c>
      <c r="K82" s="1" t="str">
        <f>[1]Data!K73</f>
        <v>X</v>
      </c>
      <c r="L82" s="1" t="str">
        <f>[1]Data!L73</f>
        <v>17:01:02</v>
      </c>
      <c r="M82" s="1">
        <f>[1]Data!M73</f>
        <v>46006</v>
      </c>
      <c r="N82" s="1">
        <f>[1]Data!N73</f>
        <v>44430</v>
      </c>
      <c r="O82" s="1" t="str">
        <f>[1]Data!O73</f>
        <v>X</v>
      </c>
      <c r="P82" s="1" t="str">
        <f>[1]Data!P73</f>
        <v>2025</v>
      </c>
      <c r="Q82" s="15">
        <f>[1]Data!Q73</f>
        <v>1200</v>
      </c>
      <c r="R82" s="1" t="str">
        <f>[1]Data!R73</f>
        <v/>
      </c>
    </row>
    <row r="83" spans="1:18" x14ac:dyDescent="0.35">
      <c r="A83" s="1" t="str">
        <f>[1]Data!A74</f>
        <v>4000428</v>
      </c>
      <c r="B83" s="1" t="str">
        <f>[1]Data!B74</f>
        <v>3300</v>
      </c>
      <c r="C83" s="1" t="str">
        <f>[1]Data!C74</f>
        <v>3001</v>
      </c>
      <c r="D83" s="1" t="str">
        <f>[1]Data!D74</f>
        <v>L</v>
      </c>
      <c r="E83" s="1" t="str">
        <f>[1]Data!E74</f>
        <v/>
      </c>
      <c r="F83" s="1" t="str">
        <f>[1]Data!F74</f>
        <v>2026</v>
      </c>
      <c r="G83" s="1" t="str">
        <f>[1]Data!G74</f>
        <v>3</v>
      </c>
      <c r="H83" s="15">
        <f>[1]Data!H74</f>
        <v>3300</v>
      </c>
      <c r="I83" s="15">
        <f>[1]Data!I74</f>
        <v>0</v>
      </c>
      <c r="J83" s="1" t="str">
        <f>[1]Data!J74</f>
        <v>X</v>
      </c>
      <c r="K83" s="1" t="str">
        <f>[1]Data!K74</f>
        <v>X</v>
      </c>
      <c r="L83" s="1" t="str">
        <f>[1]Data!L74</f>
        <v>17:02:02</v>
      </c>
      <c r="M83" s="1">
        <f>[1]Data!M74</f>
        <v>46006</v>
      </c>
      <c r="N83" s="1">
        <f>[1]Data!N74</f>
        <v>44430</v>
      </c>
      <c r="O83" s="1" t="str">
        <f>[1]Data!O74</f>
        <v>X</v>
      </c>
      <c r="P83" s="1" t="str">
        <f>[1]Data!P74</f>
        <v>2025</v>
      </c>
      <c r="Q83" s="15">
        <f>[1]Data!Q74</f>
        <v>3300</v>
      </c>
      <c r="R83" s="1" t="str">
        <f>[1]Data!R74</f>
        <v/>
      </c>
    </row>
    <row r="84" spans="1:18" x14ac:dyDescent="0.35">
      <c r="A84" s="1" t="str">
        <f>[1]Data!A75</f>
        <v>4000430</v>
      </c>
      <c r="B84" s="1" t="str">
        <f>[1]Data!B75</f>
        <v>3300</v>
      </c>
      <c r="C84" s="1" t="str">
        <f>[1]Data!C75</f>
        <v>3001</v>
      </c>
      <c r="D84" s="1" t="str">
        <f>[1]Data!D75</f>
        <v>L</v>
      </c>
      <c r="E84" s="1" t="str">
        <f>[1]Data!E75</f>
        <v/>
      </c>
      <c r="F84" s="1" t="str">
        <f>[1]Data!F75</f>
        <v>2023</v>
      </c>
      <c r="G84" s="1" t="str">
        <f>[1]Data!G75</f>
        <v>10</v>
      </c>
      <c r="H84" s="15">
        <f>[1]Data!H75</f>
        <v>0</v>
      </c>
      <c r="I84" s="15">
        <f>[1]Data!I75</f>
        <v>0</v>
      </c>
      <c r="J84" s="1" t="str">
        <f>[1]Data!J75</f>
        <v/>
      </c>
      <c r="K84" s="1" t="str">
        <f>[1]Data!K75</f>
        <v/>
      </c>
      <c r="L84" s="1" t="str">
        <f>[1]Data!L75</f>
        <v>SLETTET</v>
      </c>
      <c r="M84" s="1">
        <f>[1]Data!M75</f>
        <v>45167</v>
      </c>
      <c r="N84" s="1">
        <f>[1]Data!N75</f>
        <v>44430</v>
      </c>
      <c r="O84" s="1" t="str">
        <f>[1]Data!O75</f>
        <v>X</v>
      </c>
      <c r="P84" s="1" t="str">
        <f>[1]Data!P75</f>
        <v>2025</v>
      </c>
      <c r="Q84" s="15">
        <f>[1]Data!Q75</f>
        <v>0</v>
      </c>
      <c r="R84" s="1" t="str">
        <f>[1]Data!R75</f>
        <v>INAKTIV</v>
      </c>
    </row>
    <row r="85" spans="1:18" x14ac:dyDescent="0.35">
      <c r="A85" s="1" t="str">
        <f>[1]Data!A76</f>
        <v>4000432</v>
      </c>
      <c r="B85" s="1" t="str">
        <f>[1]Data!B76</f>
        <v>3300</v>
      </c>
      <c r="C85" s="1" t="str">
        <f>[1]Data!C76</f>
        <v>3001</v>
      </c>
      <c r="D85" s="1" t="str">
        <f>[1]Data!D76</f>
        <v>L</v>
      </c>
      <c r="E85" s="1" t="str">
        <f>[1]Data!E76</f>
        <v/>
      </c>
      <c r="F85" s="1" t="str">
        <f>[1]Data!F76</f>
        <v>2026</v>
      </c>
      <c r="G85" s="1" t="str">
        <f>[1]Data!G76</f>
        <v>3</v>
      </c>
      <c r="H85" s="15">
        <f>[1]Data!H76</f>
        <v>2600</v>
      </c>
      <c r="I85" s="15">
        <f>[1]Data!I76</f>
        <v>0</v>
      </c>
      <c r="J85" s="1" t="str">
        <f>[1]Data!J76</f>
        <v>X</v>
      </c>
      <c r="K85" s="1" t="str">
        <f>[1]Data!K76</f>
        <v/>
      </c>
      <c r="L85" s="1" t="str">
        <f>[1]Data!L76</f>
        <v>17:02:03</v>
      </c>
      <c r="M85" s="1">
        <f>[1]Data!M76</f>
        <v>46029</v>
      </c>
      <c r="N85" s="1">
        <f>[1]Data!N76</f>
        <v>44430</v>
      </c>
      <c r="O85" s="1" t="str">
        <f>[1]Data!O76</f>
        <v>X</v>
      </c>
      <c r="P85" s="1" t="str">
        <f>[1]Data!P76</f>
        <v>2026</v>
      </c>
      <c r="Q85" s="15">
        <f>[1]Data!Q76</f>
        <v>2600</v>
      </c>
      <c r="R85" s="1" t="str">
        <f>[1]Data!R76</f>
        <v/>
      </c>
    </row>
    <row r="86" spans="1:18" x14ac:dyDescent="0.35">
      <c r="A86" s="1" t="str">
        <f>[1]Data!A77</f>
        <v>4000434</v>
      </c>
      <c r="B86" s="1" t="str">
        <f>[1]Data!B77</f>
        <v>3300</v>
      </c>
      <c r="C86" s="1" t="str">
        <f>[1]Data!C77</f>
        <v>3001</v>
      </c>
      <c r="D86" s="1" t="str">
        <f>[1]Data!D77</f>
        <v>L</v>
      </c>
      <c r="E86" s="1" t="str">
        <f>[1]Data!E77</f>
        <v/>
      </c>
      <c r="F86" s="1" t="str">
        <f>[1]Data!F77</f>
        <v>2026</v>
      </c>
      <c r="G86" s="1" t="str">
        <f>[1]Data!G77</f>
        <v>3</v>
      </c>
      <c r="H86" s="15">
        <f>[1]Data!H77</f>
        <v>150</v>
      </c>
      <c r="I86" s="15">
        <f>[1]Data!I77</f>
        <v>0</v>
      </c>
      <c r="J86" s="1" t="str">
        <f>[1]Data!J77</f>
        <v>X</v>
      </c>
      <c r="K86" s="1" t="str">
        <f>[1]Data!K77</f>
        <v/>
      </c>
      <c r="L86" s="1" t="str">
        <f>[1]Data!L77</f>
        <v>17:03:01</v>
      </c>
      <c r="M86" s="1">
        <f>[1]Data!M77</f>
        <v>46029</v>
      </c>
      <c r="N86" s="1">
        <f>[1]Data!N77</f>
        <v>44430</v>
      </c>
      <c r="O86" s="1" t="str">
        <f>[1]Data!O77</f>
        <v>X</v>
      </c>
      <c r="P86" s="1" t="str">
        <f>[1]Data!P77</f>
        <v>2026</v>
      </c>
      <c r="Q86" s="15">
        <f>[1]Data!Q77</f>
        <v>150</v>
      </c>
      <c r="R86" s="1" t="str">
        <f>[1]Data!R77</f>
        <v/>
      </c>
    </row>
    <row r="87" spans="1:18" x14ac:dyDescent="0.35">
      <c r="A87" s="1" t="str">
        <f>[1]Data!A78</f>
        <v>4000435</v>
      </c>
      <c r="B87" s="1" t="str">
        <f>[1]Data!B78</f>
        <v>3300</v>
      </c>
      <c r="C87" s="1" t="str">
        <f>[1]Data!C78</f>
        <v>3001</v>
      </c>
      <c r="D87" s="1" t="str">
        <f>[1]Data!D78</f>
        <v>L</v>
      </c>
      <c r="E87" s="1" t="str">
        <f>[1]Data!E78</f>
        <v/>
      </c>
      <c r="F87" s="1" t="str">
        <f>[1]Data!F78</f>
        <v>2026</v>
      </c>
      <c r="G87" s="1" t="str">
        <f>[1]Data!G78</f>
        <v>3</v>
      </c>
      <c r="H87" s="15">
        <f>[1]Data!H78</f>
        <v>2100</v>
      </c>
      <c r="I87" s="15">
        <f>[1]Data!I78</f>
        <v>0</v>
      </c>
      <c r="J87" s="1" t="str">
        <f>[1]Data!J78</f>
        <v>X</v>
      </c>
      <c r="K87" s="1" t="str">
        <f>[1]Data!K78</f>
        <v>X</v>
      </c>
      <c r="L87" s="1" t="str">
        <f>[1]Data!L78</f>
        <v>17:01:03</v>
      </c>
      <c r="M87" s="1">
        <f>[1]Data!M78</f>
        <v>46006</v>
      </c>
      <c r="N87" s="1">
        <f>[1]Data!N78</f>
        <v>44430</v>
      </c>
      <c r="O87" s="1" t="str">
        <f>[1]Data!O78</f>
        <v>X</v>
      </c>
      <c r="P87" s="1" t="str">
        <f>[1]Data!P78</f>
        <v>2025</v>
      </c>
      <c r="Q87" s="15">
        <f>[1]Data!Q78</f>
        <v>2100</v>
      </c>
      <c r="R87" s="1" t="str">
        <f>[1]Data!R78</f>
        <v/>
      </c>
    </row>
    <row r="88" spans="1:18" x14ac:dyDescent="0.35">
      <c r="A88" s="1" t="str">
        <f>[1]Data!A79</f>
        <v>4000441</v>
      </c>
      <c r="B88" s="1" t="str">
        <f>[1]Data!B79</f>
        <v>3300</v>
      </c>
      <c r="C88" s="1" t="str">
        <f>[1]Data!C79</f>
        <v>3001</v>
      </c>
      <c r="D88" s="1" t="str">
        <f>[1]Data!D79</f>
        <v>L</v>
      </c>
      <c r="E88" s="1" t="str">
        <f>[1]Data!E79</f>
        <v/>
      </c>
      <c r="F88" s="1" t="str">
        <f>[1]Data!F79</f>
        <v>2026</v>
      </c>
      <c r="G88" s="1" t="str">
        <f>[1]Data!G79</f>
        <v>3</v>
      </c>
      <c r="H88" s="15">
        <f>[1]Data!H79</f>
        <v>60</v>
      </c>
      <c r="I88" s="15">
        <f>[1]Data!I79</f>
        <v>0</v>
      </c>
      <c r="J88" s="1" t="str">
        <f>[1]Data!J79</f>
        <v>X</v>
      </c>
      <c r="K88" s="1" t="str">
        <f>[1]Data!K79</f>
        <v>X</v>
      </c>
      <c r="L88" s="1" t="str">
        <f>[1]Data!L79</f>
        <v>13:09:01</v>
      </c>
      <c r="M88" s="1">
        <f>[1]Data!M79</f>
        <v>45994</v>
      </c>
      <c r="N88" s="1">
        <f>[1]Data!N79</f>
        <v>44430</v>
      </c>
      <c r="O88" s="1" t="str">
        <f>[1]Data!O79</f>
        <v>X</v>
      </c>
      <c r="P88" s="1" t="str">
        <f>[1]Data!P79</f>
        <v>2025</v>
      </c>
      <c r="Q88" s="15">
        <f>[1]Data!Q79</f>
        <v>60</v>
      </c>
      <c r="R88" s="1" t="str">
        <f>[1]Data!R79</f>
        <v/>
      </c>
    </row>
    <row r="89" spans="1:18" x14ac:dyDescent="0.35">
      <c r="A89" s="1" t="str">
        <f>[1]Data!A80</f>
        <v>4000442</v>
      </c>
      <c r="B89" s="1" t="str">
        <f>[1]Data!B80</f>
        <v>3300</v>
      </c>
      <c r="C89" s="1" t="str">
        <f>[1]Data!C80</f>
        <v>3001</v>
      </c>
      <c r="D89" s="1" t="str">
        <f>[1]Data!D80</f>
        <v>L</v>
      </c>
      <c r="E89" s="1" t="str">
        <f>[1]Data!E80</f>
        <v/>
      </c>
      <c r="F89" s="1" t="str">
        <f>[1]Data!F80</f>
        <v>2026</v>
      </c>
      <c r="G89" s="1" t="str">
        <f>[1]Data!G80</f>
        <v>3</v>
      </c>
      <c r="H89" s="15">
        <f>[1]Data!H80</f>
        <v>14900</v>
      </c>
      <c r="I89" s="15">
        <f>[1]Data!I80</f>
        <v>0</v>
      </c>
      <c r="J89" s="1" t="str">
        <f>[1]Data!J80</f>
        <v>X</v>
      </c>
      <c r="K89" s="1" t="str">
        <f>[1]Data!K80</f>
        <v>X</v>
      </c>
      <c r="L89" s="1" t="str">
        <f>[1]Data!L80</f>
        <v>11:01:00</v>
      </c>
      <c r="M89" s="1">
        <f>[1]Data!M80</f>
        <v>45987</v>
      </c>
      <c r="N89" s="1">
        <f>[1]Data!N80</f>
        <v>44430</v>
      </c>
      <c r="O89" s="1" t="str">
        <f>[1]Data!O80</f>
        <v>X</v>
      </c>
      <c r="P89" s="1" t="str">
        <f>[1]Data!P80</f>
        <v>2025</v>
      </c>
      <c r="Q89" s="15">
        <f>[1]Data!Q80</f>
        <v>14900</v>
      </c>
      <c r="R89" s="1" t="str">
        <f>[1]Data!R80</f>
        <v/>
      </c>
    </row>
    <row r="90" spans="1:18" x14ac:dyDescent="0.35">
      <c r="A90" s="1" t="str">
        <f>[1]Data!A81</f>
        <v>4000443</v>
      </c>
      <c r="B90" s="1" t="str">
        <f>[1]Data!B81</f>
        <v>3300</v>
      </c>
      <c r="C90" s="1" t="str">
        <f>[1]Data!C81</f>
        <v>3001</v>
      </c>
      <c r="D90" s="1" t="str">
        <f>[1]Data!D81</f>
        <v>L</v>
      </c>
      <c r="E90" s="1" t="str">
        <f>[1]Data!E81</f>
        <v/>
      </c>
      <c r="F90" s="1" t="str">
        <f>[1]Data!F81</f>
        <v>2026</v>
      </c>
      <c r="G90" s="1" t="str">
        <f>[1]Data!G81</f>
        <v>3</v>
      </c>
      <c r="H90" s="15">
        <f>[1]Data!H81</f>
        <v>6435</v>
      </c>
      <c r="I90" s="15">
        <f>[1]Data!I81</f>
        <v>0</v>
      </c>
      <c r="J90" s="1" t="str">
        <f>[1]Data!J81</f>
        <v>X</v>
      </c>
      <c r="K90" s="1" t="str">
        <f>[1]Data!K81</f>
        <v>X</v>
      </c>
      <c r="L90" s="1" t="str">
        <f>[1]Data!L81</f>
        <v>12:06:00*</v>
      </c>
      <c r="M90" s="1">
        <f>[1]Data!M81</f>
        <v>45994</v>
      </c>
      <c r="N90" s="1">
        <f>[1]Data!N81</f>
        <v>44430</v>
      </c>
      <c r="O90" s="1" t="str">
        <f>[1]Data!O81</f>
        <v>X</v>
      </c>
      <c r="P90" s="1" t="str">
        <f>[1]Data!P81</f>
        <v>2025</v>
      </c>
      <c r="Q90" s="15">
        <f>[1]Data!Q81</f>
        <v>6435</v>
      </c>
      <c r="R90" s="1" t="str">
        <f>[1]Data!R81</f>
        <v/>
      </c>
    </row>
    <row r="91" spans="1:18" x14ac:dyDescent="0.35">
      <c r="A91" s="1" t="str">
        <f>[1]Data!A82</f>
        <v>4000445</v>
      </c>
      <c r="B91" s="1" t="str">
        <f>[1]Data!B82</f>
        <v>3300</v>
      </c>
      <c r="C91" s="1" t="str">
        <f>[1]Data!C82</f>
        <v>3001</v>
      </c>
      <c r="D91" s="1" t="str">
        <f>[1]Data!D82</f>
        <v>L</v>
      </c>
      <c r="E91" s="1" t="str">
        <f>[1]Data!E82</f>
        <v/>
      </c>
      <c r="F91" s="1" t="str">
        <f>[1]Data!F82</f>
        <v>2026</v>
      </c>
      <c r="G91" s="1" t="str">
        <f>[1]Data!G82</f>
        <v>3</v>
      </c>
      <c r="H91" s="15">
        <f>[1]Data!H82</f>
        <v>2800</v>
      </c>
      <c r="I91" s="15">
        <f>[1]Data!I82</f>
        <v>0</v>
      </c>
      <c r="J91" s="1" t="str">
        <f>[1]Data!J82</f>
        <v>X</v>
      </c>
      <c r="K91" s="1" t="str">
        <f>[1]Data!K82</f>
        <v>X</v>
      </c>
      <c r="L91" s="1" t="str">
        <f>[1]Data!L82</f>
        <v>09:01:01</v>
      </c>
      <c r="M91" s="1">
        <f>[1]Data!M82</f>
        <v>45980</v>
      </c>
      <c r="N91" s="1">
        <f>[1]Data!N82</f>
        <v>44430</v>
      </c>
      <c r="O91" s="1" t="str">
        <f>[1]Data!O82</f>
        <v>X</v>
      </c>
      <c r="P91" s="1" t="str">
        <f>[1]Data!P82</f>
        <v>2025</v>
      </c>
      <c r="Q91" s="15">
        <f>[1]Data!Q82</f>
        <v>2800</v>
      </c>
      <c r="R91" s="1" t="str">
        <f>[1]Data!R82</f>
        <v/>
      </c>
    </row>
    <row r="92" spans="1:18" x14ac:dyDescent="0.35">
      <c r="A92" s="1" t="str">
        <f>[1]Data!A83</f>
        <v>4000447</v>
      </c>
      <c r="B92" s="1" t="str">
        <f>[1]Data!B83</f>
        <v>3300</v>
      </c>
      <c r="C92" s="1" t="str">
        <f>[1]Data!C83</f>
        <v>3001</v>
      </c>
      <c r="D92" s="1" t="str">
        <f>[1]Data!D83</f>
        <v>L</v>
      </c>
      <c r="E92" s="1" t="str">
        <f>[1]Data!E83</f>
        <v/>
      </c>
      <c r="F92" s="1" t="str">
        <f>[1]Data!F83</f>
        <v>2026</v>
      </c>
      <c r="G92" s="1" t="str">
        <f>[1]Data!G83</f>
        <v>3</v>
      </c>
      <c r="H92" s="15">
        <f>[1]Data!H83</f>
        <v>9800</v>
      </c>
      <c r="I92" s="15">
        <f>[1]Data!I83</f>
        <v>0</v>
      </c>
      <c r="J92" s="1" t="str">
        <f>[1]Data!J83</f>
        <v>X</v>
      </c>
      <c r="K92" s="1" t="str">
        <f>[1]Data!K83</f>
        <v>X</v>
      </c>
      <c r="L92" s="1" t="str">
        <f>[1]Data!L83</f>
        <v>09:03:01</v>
      </c>
      <c r="M92" s="1">
        <f>[1]Data!M83</f>
        <v>45980</v>
      </c>
      <c r="N92" s="1">
        <f>[1]Data!N83</f>
        <v>44430</v>
      </c>
      <c r="O92" s="1" t="str">
        <f>[1]Data!O83</f>
        <v>X</v>
      </c>
      <c r="P92" s="1" t="str">
        <f>[1]Data!P83</f>
        <v>2025</v>
      </c>
      <c r="Q92" s="15">
        <f>[1]Data!Q83</f>
        <v>9800</v>
      </c>
      <c r="R92" s="1" t="str">
        <f>[1]Data!R83</f>
        <v/>
      </c>
    </row>
    <row r="93" spans="1:18" x14ac:dyDescent="0.35">
      <c r="A93" s="1" t="str">
        <f>[1]Data!A84</f>
        <v>4000449</v>
      </c>
      <c r="B93" s="1" t="str">
        <f>[1]Data!B84</f>
        <v>3300</v>
      </c>
      <c r="C93" s="1" t="str">
        <f>[1]Data!C84</f>
        <v>3001</v>
      </c>
      <c r="D93" s="1" t="str">
        <f>[1]Data!D84</f>
        <v>L</v>
      </c>
      <c r="E93" s="1" t="str">
        <f>[1]Data!E84</f>
        <v/>
      </c>
      <c r="F93" s="1" t="str">
        <f>[1]Data!F84</f>
        <v>2026</v>
      </c>
      <c r="G93" s="1" t="str">
        <f>[1]Data!G84</f>
        <v>3</v>
      </c>
      <c r="H93" s="15">
        <f>[1]Data!H84</f>
        <v>2800</v>
      </c>
      <c r="I93" s="15">
        <f>[1]Data!I84</f>
        <v>0</v>
      </c>
      <c r="J93" s="1" t="str">
        <f>[1]Data!J84</f>
        <v>X</v>
      </c>
      <c r="K93" s="1" t="str">
        <f>[1]Data!K84</f>
        <v>X</v>
      </c>
      <c r="L93" s="1" t="str">
        <f>[1]Data!L84</f>
        <v>09:04:01</v>
      </c>
      <c r="M93" s="1">
        <f>[1]Data!M84</f>
        <v>45980</v>
      </c>
      <c r="N93" s="1">
        <f>[1]Data!N84</f>
        <v>44430</v>
      </c>
      <c r="O93" s="1" t="str">
        <f>[1]Data!O84</f>
        <v>X</v>
      </c>
      <c r="P93" s="1" t="str">
        <f>[1]Data!P84</f>
        <v>2025</v>
      </c>
      <c r="Q93" s="15">
        <f>[1]Data!Q84</f>
        <v>2800</v>
      </c>
      <c r="R93" s="1" t="str">
        <f>[1]Data!R84</f>
        <v/>
      </c>
    </row>
    <row r="94" spans="1:18" x14ac:dyDescent="0.35">
      <c r="A94" s="1" t="str">
        <f>[1]Data!A85</f>
        <v>4000452</v>
      </c>
      <c r="B94" s="1" t="str">
        <f>[1]Data!B85</f>
        <v>3300</v>
      </c>
      <c r="C94" s="1" t="str">
        <f>[1]Data!C85</f>
        <v>3001</v>
      </c>
      <c r="D94" s="1" t="str">
        <f>[1]Data!D85</f>
        <v>L</v>
      </c>
      <c r="E94" s="1" t="str">
        <f>[1]Data!E85</f>
        <v/>
      </c>
      <c r="F94" s="1" t="str">
        <f>[1]Data!F85</f>
        <v>2026</v>
      </c>
      <c r="G94" s="1" t="str">
        <f>[1]Data!G85</f>
        <v>2</v>
      </c>
      <c r="H94" s="15">
        <f>[1]Data!H85</f>
        <v>1350</v>
      </c>
      <c r="I94" s="15">
        <f>[1]Data!I85</f>
        <v>0</v>
      </c>
      <c r="J94" s="1" t="str">
        <f>[1]Data!J85</f>
        <v>X</v>
      </c>
      <c r="K94" s="1" t="str">
        <f>[1]Data!K85</f>
        <v>X</v>
      </c>
      <c r="L94" s="1" t="str">
        <f>[1]Data!L85</f>
        <v>10:09:03</v>
      </c>
      <c r="M94" s="1">
        <f>[1]Data!M85</f>
        <v>45987</v>
      </c>
      <c r="N94" s="1">
        <f>[1]Data!N85</f>
        <v>44430</v>
      </c>
      <c r="O94" s="1" t="str">
        <f>[1]Data!O85</f>
        <v>X</v>
      </c>
      <c r="P94" s="1" t="str">
        <f>[1]Data!P85</f>
        <v>2025</v>
      </c>
      <c r="Q94" s="15">
        <f>[1]Data!Q85</f>
        <v>1350</v>
      </c>
      <c r="R94" s="1" t="str">
        <f>[1]Data!R85</f>
        <v/>
      </c>
    </row>
    <row r="95" spans="1:18" x14ac:dyDescent="0.35">
      <c r="A95" s="1" t="str">
        <f>[1]Data!A86</f>
        <v>4000455</v>
      </c>
      <c r="B95" s="1" t="str">
        <f>[1]Data!B86</f>
        <v>3300</v>
      </c>
      <c r="C95" s="1" t="str">
        <f>[1]Data!C86</f>
        <v>3001</v>
      </c>
      <c r="D95" s="1" t="str">
        <f>[1]Data!D86</f>
        <v>L</v>
      </c>
      <c r="E95" s="1" t="str">
        <f>[1]Data!E86</f>
        <v/>
      </c>
      <c r="F95" s="1" t="str">
        <f>[1]Data!F86</f>
        <v>2026</v>
      </c>
      <c r="G95" s="1" t="str">
        <f>[1]Data!G86</f>
        <v>1</v>
      </c>
      <c r="H95" s="15">
        <f>[1]Data!H86</f>
        <v>170</v>
      </c>
      <c r="I95" s="15">
        <f>[1]Data!I86</f>
        <v>0</v>
      </c>
      <c r="J95" s="1" t="str">
        <f>[1]Data!J86</f>
        <v>X</v>
      </c>
      <c r="K95" s="1" t="str">
        <f>[1]Data!K86</f>
        <v>X</v>
      </c>
      <c r="L95" s="1" t="str">
        <f>[1]Data!L86</f>
        <v>03:08:02</v>
      </c>
      <c r="M95" s="1">
        <f>[1]Data!M86</f>
        <v>45798</v>
      </c>
      <c r="N95" s="1">
        <f>[1]Data!N86</f>
        <v>44430</v>
      </c>
      <c r="O95" s="1" t="str">
        <f>[1]Data!O86</f>
        <v>X</v>
      </c>
      <c r="P95" s="1" t="str">
        <f>[1]Data!P86</f>
        <v>2025</v>
      </c>
      <c r="Q95" s="15">
        <f>[1]Data!Q86</f>
        <v>170</v>
      </c>
      <c r="R95" s="1" t="str">
        <f>[1]Data!R86</f>
        <v/>
      </c>
    </row>
    <row r="96" spans="1:18" x14ac:dyDescent="0.35">
      <c r="A96" s="1" t="str">
        <f>[1]Data!A87</f>
        <v>4000457</v>
      </c>
      <c r="B96" s="1" t="str">
        <f>[1]Data!B87</f>
        <v>3300</v>
      </c>
      <c r="C96" s="1" t="str">
        <f>[1]Data!C87</f>
        <v>3001</v>
      </c>
      <c r="D96" s="1" t="str">
        <f>[1]Data!D87</f>
        <v>L</v>
      </c>
      <c r="E96" s="1" t="str">
        <f>[1]Data!E87</f>
        <v/>
      </c>
      <c r="F96" s="1" t="str">
        <f>[1]Data!F87</f>
        <v>2025</v>
      </c>
      <c r="G96" s="1" t="str">
        <f>[1]Data!G87</f>
        <v>5</v>
      </c>
      <c r="H96" s="15">
        <f>[1]Data!H87</f>
        <v>170</v>
      </c>
      <c r="I96" s="15">
        <f>[1]Data!I87</f>
        <v>0</v>
      </c>
      <c r="J96" s="1" t="str">
        <f>[1]Data!J87</f>
        <v>X</v>
      </c>
      <c r="K96" s="1" t="str">
        <f>[1]Data!K87</f>
        <v>X</v>
      </c>
      <c r="L96" s="1" t="str">
        <f>[1]Data!L87</f>
        <v>03:08:03</v>
      </c>
      <c r="M96" s="1">
        <f>[1]Data!M87</f>
        <v>45798</v>
      </c>
      <c r="N96" s="1">
        <f>[1]Data!N87</f>
        <v>44430</v>
      </c>
      <c r="O96" s="1" t="str">
        <f>[1]Data!O87</f>
        <v>X</v>
      </c>
      <c r="P96" s="1" t="str">
        <f>[1]Data!P87</f>
        <v>2025</v>
      </c>
      <c r="Q96" s="15">
        <f>[1]Data!Q87</f>
        <v>170</v>
      </c>
      <c r="R96" s="1" t="str">
        <f>[1]Data!R87</f>
        <v/>
      </c>
    </row>
    <row r="97" spans="1:18" x14ac:dyDescent="0.35">
      <c r="A97" s="1" t="str">
        <f>[1]Data!A88</f>
        <v>4000493</v>
      </c>
      <c r="B97" s="1" t="str">
        <f>[1]Data!B88</f>
        <v>3300</v>
      </c>
      <c r="C97" s="1" t="str">
        <f>[1]Data!C88</f>
        <v>3001</v>
      </c>
      <c r="D97" s="1" t="str">
        <f>[1]Data!D88</f>
        <v>L</v>
      </c>
      <c r="E97" s="1" t="str">
        <f>[1]Data!E88</f>
        <v/>
      </c>
      <c r="F97" s="1" t="str">
        <f>[1]Data!F88</f>
        <v>2021</v>
      </c>
      <c r="G97" s="1" t="str">
        <f>[1]Data!G88</f>
        <v>11</v>
      </c>
      <c r="H97" s="15">
        <f>[1]Data!H88</f>
        <v>0</v>
      </c>
      <c r="I97" s="15">
        <f>[1]Data!I88</f>
        <v>0</v>
      </c>
      <c r="J97" s="1" t="str">
        <f>[1]Data!J88</f>
        <v>X</v>
      </c>
      <c r="K97" s="1" t="str">
        <f>[1]Data!K88</f>
        <v/>
      </c>
      <c r="L97" s="1" t="str">
        <f>[1]Data!L88</f>
        <v>SLETTET</v>
      </c>
      <c r="M97" s="1">
        <f>[1]Data!M88</f>
        <v>44568</v>
      </c>
      <c r="N97" s="1">
        <f>[1]Data!N88</f>
        <v>44430</v>
      </c>
      <c r="O97" s="1" t="str">
        <f>[1]Data!O88</f>
        <v>X</v>
      </c>
      <c r="P97" s="1" t="str">
        <f>[1]Data!P88</f>
        <v>2022</v>
      </c>
      <c r="Q97" s="15">
        <f>[1]Data!Q88</f>
        <v>0</v>
      </c>
      <c r="R97" s="1" t="str">
        <f>[1]Data!R88</f>
        <v>INAKTIV</v>
      </c>
    </row>
    <row r="98" spans="1:18" x14ac:dyDescent="0.35">
      <c r="A98" s="1" t="str">
        <f>[1]Data!A89</f>
        <v>4000740</v>
      </c>
      <c r="B98" s="1" t="str">
        <f>[1]Data!B89</f>
        <v>3300</v>
      </c>
      <c r="C98" s="1" t="str">
        <f>[1]Data!C89</f>
        <v>3001</v>
      </c>
      <c r="D98" s="1" t="str">
        <f>[1]Data!D89</f>
        <v>L</v>
      </c>
      <c r="E98" s="1" t="str">
        <f>[1]Data!E89</f>
        <v/>
      </c>
      <c r="F98" s="1" t="str">
        <f>[1]Data!F89</f>
        <v>2026</v>
      </c>
      <c r="G98" s="1" t="str">
        <f>[1]Data!G89</f>
        <v>3</v>
      </c>
      <c r="H98" s="15">
        <f>[1]Data!H89</f>
        <v>178</v>
      </c>
      <c r="I98" s="15">
        <f>[1]Data!I89</f>
        <v>0</v>
      </c>
      <c r="J98" s="1" t="str">
        <f>[1]Data!J89</f>
        <v>X</v>
      </c>
      <c r="K98" s="1" t="str">
        <f>[1]Data!K89</f>
        <v>X</v>
      </c>
      <c r="L98" s="1" t="str">
        <f>[1]Data!L89</f>
        <v>11:02:02</v>
      </c>
      <c r="M98" s="1">
        <f>[1]Data!M89</f>
        <v>45987</v>
      </c>
      <c r="N98" s="1">
        <f>[1]Data!N89</f>
        <v>44430</v>
      </c>
      <c r="O98" s="1" t="str">
        <f>[1]Data!O89</f>
        <v>X</v>
      </c>
      <c r="P98" s="1" t="str">
        <f>[1]Data!P89</f>
        <v>2025</v>
      </c>
      <c r="Q98" s="15">
        <f>[1]Data!Q89</f>
        <v>178</v>
      </c>
      <c r="R98" s="1" t="str">
        <f>[1]Data!R89</f>
        <v/>
      </c>
    </row>
    <row r="99" spans="1:18" x14ac:dyDescent="0.35">
      <c r="A99" s="1" t="str">
        <f>[1]Data!A90</f>
        <v>4000755</v>
      </c>
      <c r="B99" s="1" t="str">
        <f>[1]Data!B90</f>
        <v>3300</v>
      </c>
      <c r="C99" s="1" t="str">
        <f>[1]Data!C90</f>
        <v>3001</v>
      </c>
      <c r="D99" s="1" t="str">
        <f>[1]Data!D90</f>
        <v>L</v>
      </c>
      <c r="E99" s="1" t="str">
        <f>[1]Data!E90</f>
        <v/>
      </c>
      <c r="F99" s="1" t="str">
        <f>[1]Data!F90</f>
        <v>2026</v>
      </c>
      <c r="G99" s="1" t="str">
        <f>[1]Data!G90</f>
        <v>3</v>
      </c>
      <c r="H99" s="15">
        <f>[1]Data!H90</f>
        <v>0</v>
      </c>
      <c r="I99" s="15">
        <f>[1]Data!I90</f>
        <v>0</v>
      </c>
      <c r="J99" s="1" t="str">
        <f>[1]Data!J90</f>
        <v>X</v>
      </c>
      <c r="K99" s="1" t="str">
        <f>[1]Data!K90</f>
        <v>X</v>
      </c>
      <c r="L99" s="1" t="str">
        <f>[1]Data!L90</f>
        <v>10:08:03</v>
      </c>
      <c r="M99" s="1">
        <f>[1]Data!M90</f>
        <v>45987</v>
      </c>
      <c r="N99" s="1">
        <f>[1]Data!N90</f>
        <v>44430</v>
      </c>
      <c r="O99" s="1" t="str">
        <f>[1]Data!O90</f>
        <v>X</v>
      </c>
      <c r="P99" s="1" t="str">
        <f>[1]Data!P90</f>
        <v>2025</v>
      </c>
      <c r="Q99" s="15">
        <f>[1]Data!Q90</f>
        <v>0</v>
      </c>
      <c r="R99" s="1" t="str">
        <f>[1]Data!R90</f>
        <v>INAKTIV</v>
      </c>
    </row>
    <row r="100" spans="1:18" x14ac:dyDescent="0.35">
      <c r="A100" s="1" t="str">
        <f>[1]Data!A91</f>
        <v>4000757</v>
      </c>
      <c r="B100" s="1" t="str">
        <f>[1]Data!B91</f>
        <v>3300</v>
      </c>
      <c r="C100" s="1" t="str">
        <f>[1]Data!C91</f>
        <v>3001</v>
      </c>
      <c r="D100" s="1" t="str">
        <f>[1]Data!D91</f>
        <v>DL</v>
      </c>
      <c r="E100" s="1" t="str">
        <f>[1]Data!E91</f>
        <v/>
      </c>
      <c r="F100" s="1" t="str">
        <f>[1]Data!F91</f>
        <v>2024</v>
      </c>
      <c r="G100" s="1" t="str">
        <f>[1]Data!G91</f>
        <v>6</v>
      </c>
      <c r="H100" s="15">
        <f>[1]Data!H91</f>
        <v>0</v>
      </c>
      <c r="I100" s="15">
        <f>[1]Data!I91</f>
        <v>0</v>
      </c>
      <c r="J100" s="1" t="str">
        <f>[1]Data!J91</f>
        <v/>
      </c>
      <c r="K100" s="1" t="str">
        <f>[1]Data!K91</f>
        <v/>
      </c>
      <c r="L100" s="1" t="str">
        <f>[1]Data!L91</f>
        <v/>
      </c>
      <c r="M100" s="1" t="str">
        <f>[1]Data!M91</f>
        <v/>
      </c>
      <c r="N100" s="1">
        <f>[1]Data!N91</f>
        <v>45462</v>
      </c>
      <c r="O100" s="1" t="str">
        <f>[1]Data!O91</f>
        <v>X</v>
      </c>
      <c r="P100" s="1" t="str">
        <f>[1]Data!P91</f>
        <v>2024</v>
      </c>
      <c r="Q100" s="15">
        <f>[1]Data!Q91</f>
        <v>0</v>
      </c>
      <c r="R100" s="1" t="str">
        <f>[1]Data!R91</f>
        <v>INAKTIV</v>
      </c>
    </row>
    <row r="101" spans="1:18" x14ac:dyDescent="0.35">
      <c r="A101" s="1" t="str">
        <f>[1]Data!A92</f>
        <v>4000758</v>
      </c>
      <c r="B101" s="1" t="str">
        <f>[1]Data!B92</f>
        <v>3300</v>
      </c>
      <c r="C101" s="1" t="str">
        <f>[1]Data!C92</f>
        <v>3001</v>
      </c>
      <c r="D101" s="1" t="str">
        <f>[1]Data!D92</f>
        <v>L</v>
      </c>
      <c r="E101" s="1" t="str">
        <f>[1]Data!E92</f>
        <v/>
      </c>
      <c r="F101" s="1" t="str">
        <f>[1]Data!F92</f>
        <v>2026</v>
      </c>
      <c r="G101" s="1" t="str">
        <f>[1]Data!G92</f>
        <v>3</v>
      </c>
      <c r="H101" s="15">
        <f>[1]Data!H92</f>
        <v>140</v>
      </c>
      <c r="I101" s="15">
        <f>[1]Data!I92</f>
        <v>0</v>
      </c>
      <c r="J101" s="1" t="str">
        <f>[1]Data!J92</f>
        <v>X</v>
      </c>
      <c r="K101" s="1" t="str">
        <f>[1]Data!K92</f>
        <v>X</v>
      </c>
      <c r="L101" s="1" t="str">
        <f>[1]Data!L92</f>
        <v>06:09:02</v>
      </c>
      <c r="M101" s="1">
        <f>[1]Data!M92</f>
        <v>45819</v>
      </c>
      <c r="N101" s="1">
        <f>[1]Data!N92</f>
        <v>44430</v>
      </c>
      <c r="O101" s="1" t="str">
        <f>[1]Data!O92</f>
        <v>X</v>
      </c>
      <c r="P101" s="1" t="str">
        <f>[1]Data!P92</f>
        <v>2025</v>
      </c>
      <c r="Q101" s="15">
        <f>[1]Data!Q92</f>
        <v>140</v>
      </c>
      <c r="R101" s="1" t="str">
        <f>[1]Data!R92</f>
        <v/>
      </c>
    </row>
    <row r="102" spans="1:18" x14ac:dyDescent="0.35">
      <c r="A102" s="1" t="str">
        <f>[1]Data!A93</f>
        <v>4000759</v>
      </c>
      <c r="B102" s="1" t="str">
        <f>[1]Data!B93</f>
        <v>3300</v>
      </c>
      <c r="C102" s="1" t="str">
        <f>[1]Data!C93</f>
        <v>3001</v>
      </c>
      <c r="D102" s="1" t="str">
        <f>[1]Data!D93</f>
        <v>L</v>
      </c>
      <c r="E102" s="1" t="str">
        <f>[1]Data!E93</f>
        <v/>
      </c>
      <c r="F102" s="1" t="str">
        <f>[1]Data!F93</f>
        <v>2026</v>
      </c>
      <c r="G102" s="1" t="str">
        <f>[1]Data!G93</f>
        <v>3</v>
      </c>
      <c r="H102" s="15">
        <f>[1]Data!H93</f>
        <v>90</v>
      </c>
      <c r="I102" s="15">
        <f>[1]Data!I93</f>
        <v>0</v>
      </c>
      <c r="J102" s="1" t="str">
        <f>[1]Data!J93</f>
        <v>X</v>
      </c>
      <c r="K102" s="1" t="str">
        <f>[1]Data!K93</f>
        <v>X</v>
      </c>
      <c r="L102" s="1" t="str">
        <f>[1]Data!L93</f>
        <v>06:09:02</v>
      </c>
      <c r="M102" s="1">
        <f>[1]Data!M93</f>
        <v>45819</v>
      </c>
      <c r="N102" s="1">
        <f>[1]Data!N93</f>
        <v>44430</v>
      </c>
      <c r="O102" s="1" t="str">
        <f>[1]Data!O93</f>
        <v>X</v>
      </c>
      <c r="P102" s="1" t="str">
        <f>[1]Data!P93</f>
        <v>2025</v>
      </c>
      <c r="Q102" s="15">
        <f>[1]Data!Q93</f>
        <v>90</v>
      </c>
      <c r="R102" s="1" t="str">
        <f>[1]Data!R93</f>
        <v/>
      </c>
    </row>
    <row r="103" spans="1:18" x14ac:dyDescent="0.35">
      <c r="A103" s="1" t="str">
        <f>[1]Data!A94</f>
        <v>4000760</v>
      </c>
      <c r="B103" s="1" t="str">
        <f>[1]Data!B94</f>
        <v>3300</v>
      </c>
      <c r="C103" s="1" t="str">
        <f>[1]Data!C94</f>
        <v>3001</v>
      </c>
      <c r="D103" s="1" t="str">
        <f>[1]Data!D94</f>
        <v>L</v>
      </c>
      <c r="E103" s="1" t="str">
        <f>[1]Data!E94</f>
        <v/>
      </c>
      <c r="F103" s="1" t="str">
        <f>[1]Data!F94</f>
        <v>2026</v>
      </c>
      <c r="G103" s="1" t="str">
        <f>[1]Data!G94</f>
        <v>3</v>
      </c>
      <c r="H103" s="15">
        <f>[1]Data!H94</f>
        <v>50</v>
      </c>
      <c r="I103" s="15">
        <f>[1]Data!I94</f>
        <v>0</v>
      </c>
      <c r="J103" s="1" t="str">
        <f>[1]Data!J94</f>
        <v>X</v>
      </c>
      <c r="K103" s="1" t="str">
        <f>[1]Data!K94</f>
        <v>X</v>
      </c>
      <c r="L103" s="1" t="str">
        <f>[1]Data!L94</f>
        <v>06:09:01</v>
      </c>
      <c r="M103" s="1">
        <f>[1]Data!M94</f>
        <v>45819</v>
      </c>
      <c r="N103" s="1">
        <f>[1]Data!N94</f>
        <v>44430</v>
      </c>
      <c r="O103" s="1" t="str">
        <f>[1]Data!O94</f>
        <v>X</v>
      </c>
      <c r="P103" s="1" t="str">
        <f>[1]Data!P94</f>
        <v>2025</v>
      </c>
      <c r="Q103" s="15">
        <f>[1]Data!Q94</f>
        <v>50</v>
      </c>
      <c r="R103" s="1" t="str">
        <f>[1]Data!R94</f>
        <v/>
      </c>
    </row>
    <row r="104" spans="1:18" x14ac:dyDescent="0.35">
      <c r="A104" s="1" t="str">
        <f>[1]Data!A95</f>
        <v>4000761</v>
      </c>
      <c r="B104" s="1" t="str">
        <f>[1]Data!B95</f>
        <v>3300</v>
      </c>
      <c r="C104" s="1" t="str">
        <f>[1]Data!C95</f>
        <v>3001</v>
      </c>
      <c r="D104" s="1" t="str">
        <f>[1]Data!D95</f>
        <v>L</v>
      </c>
      <c r="E104" s="1" t="str">
        <f>[1]Data!E95</f>
        <v/>
      </c>
      <c r="F104" s="1" t="str">
        <f>[1]Data!F95</f>
        <v>2026</v>
      </c>
      <c r="G104" s="1" t="str">
        <f>[1]Data!G95</f>
        <v>3</v>
      </c>
      <c r="H104" s="15">
        <f>[1]Data!H95</f>
        <v>204</v>
      </c>
      <c r="I104" s="15">
        <f>[1]Data!I95</f>
        <v>0</v>
      </c>
      <c r="J104" s="1" t="str">
        <f>[1]Data!J95</f>
        <v>X</v>
      </c>
      <c r="K104" s="1" t="str">
        <f>[1]Data!K95</f>
        <v>X</v>
      </c>
      <c r="L104" s="1" t="str">
        <f>[1]Data!L95</f>
        <v>06:10:02</v>
      </c>
      <c r="M104" s="1">
        <f>[1]Data!M95</f>
        <v>45824</v>
      </c>
      <c r="N104" s="1">
        <f>[1]Data!N95</f>
        <v>44430</v>
      </c>
      <c r="O104" s="1" t="str">
        <f>[1]Data!O95</f>
        <v>X</v>
      </c>
      <c r="P104" s="1" t="str">
        <f>[1]Data!P95</f>
        <v>2025</v>
      </c>
      <c r="Q104" s="15">
        <f>[1]Data!Q95</f>
        <v>204</v>
      </c>
      <c r="R104" s="1" t="str">
        <f>[1]Data!R95</f>
        <v/>
      </c>
    </row>
    <row r="105" spans="1:18" x14ac:dyDescent="0.35">
      <c r="A105" s="1" t="str">
        <f>[1]Data!A96</f>
        <v>4000763</v>
      </c>
      <c r="B105" s="1" t="str">
        <f>[1]Data!B96</f>
        <v>3300</v>
      </c>
      <c r="C105" s="1" t="str">
        <f>[1]Data!C96</f>
        <v>3001</v>
      </c>
      <c r="D105" s="1" t="str">
        <f>[1]Data!D96</f>
        <v>L</v>
      </c>
      <c r="E105" s="1" t="str">
        <f>[1]Data!E96</f>
        <v/>
      </c>
      <c r="F105" s="1" t="str">
        <f>[1]Data!F96</f>
        <v>2026</v>
      </c>
      <c r="G105" s="1" t="str">
        <f>[1]Data!G96</f>
        <v>2</v>
      </c>
      <c r="H105" s="15">
        <f>[1]Data!H96</f>
        <v>35</v>
      </c>
      <c r="I105" s="15">
        <f>[1]Data!I96</f>
        <v>0</v>
      </c>
      <c r="J105" s="1" t="str">
        <f>[1]Data!J96</f>
        <v>X</v>
      </c>
      <c r="K105" s="1" t="str">
        <f>[1]Data!K96</f>
        <v>X</v>
      </c>
      <c r="L105" s="1" t="str">
        <f>[1]Data!L96</f>
        <v>10:13:01</v>
      </c>
      <c r="M105" s="1">
        <f>[1]Data!M96</f>
        <v>45987</v>
      </c>
      <c r="N105" s="1">
        <f>[1]Data!N96</f>
        <v>44430</v>
      </c>
      <c r="O105" s="1" t="str">
        <f>[1]Data!O96</f>
        <v>X</v>
      </c>
      <c r="P105" s="1" t="str">
        <f>[1]Data!P96</f>
        <v>2025</v>
      </c>
      <c r="Q105" s="15">
        <f>[1]Data!Q96</f>
        <v>35</v>
      </c>
      <c r="R105" s="1" t="str">
        <f>[1]Data!R96</f>
        <v/>
      </c>
    </row>
    <row r="106" spans="1:18" x14ac:dyDescent="0.35">
      <c r="A106" s="1" t="str">
        <f>[1]Data!A97</f>
        <v>4000764</v>
      </c>
      <c r="B106" s="1" t="str">
        <f>[1]Data!B97</f>
        <v>3300</v>
      </c>
      <c r="C106" s="1" t="str">
        <f>[1]Data!C97</f>
        <v>3001</v>
      </c>
      <c r="D106" s="1" t="str">
        <f>[1]Data!D97</f>
        <v>L</v>
      </c>
      <c r="E106" s="1" t="str">
        <f>[1]Data!E97</f>
        <v/>
      </c>
      <c r="F106" s="1" t="str">
        <f>[1]Data!F97</f>
        <v>2026</v>
      </c>
      <c r="G106" s="1" t="str">
        <f>[1]Data!G97</f>
        <v>2</v>
      </c>
      <c r="H106" s="15">
        <f>[1]Data!H97</f>
        <v>26</v>
      </c>
      <c r="I106" s="15">
        <f>[1]Data!I97</f>
        <v>0</v>
      </c>
      <c r="J106" s="1" t="str">
        <f>[1]Data!J97</f>
        <v>X</v>
      </c>
      <c r="K106" s="1" t="str">
        <f>[1]Data!K97</f>
        <v>X</v>
      </c>
      <c r="L106" s="1" t="str">
        <f>[1]Data!L97</f>
        <v>10:13:02</v>
      </c>
      <c r="M106" s="1">
        <f>[1]Data!M97</f>
        <v>45987</v>
      </c>
      <c r="N106" s="1">
        <f>[1]Data!N97</f>
        <v>44430</v>
      </c>
      <c r="O106" s="1" t="str">
        <f>[1]Data!O97</f>
        <v>X</v>
      </c>
      <c r="P106" s="1" t="str">
        <f>[1]Data!P97</f>
        <v>2025</v>
      </c>
      <c r="Q106" s="15">
        <f>[1]Data!Q97</f>
        <v>26</v>
      </c>
      <c r="R106" s="1" t="str">
        <f>[1]Data!R97</f>
        <v/>
      </c>
    </row>
    <row r="107" spans="1:18" x14ac:dyDescent="0.35">
      <c r="A107" s="1" t="str">
        <f>[1]Data!A98</f>
        <v>4000765</v>
      </c>
      <c r="B107" s="1" t="str">
        <f>[1]Data!B98</f>
        <v>3300</v>
      </c>
      <c r="C107" s="1" t="str">
        <f>[1]Data!C98</f>
        <v>3001</v>
      </c>
      <c r="D107" s="1" t="str">
        <f>[1]Data!D98</f>
        <v>L</v>
      </c>
      <c r="E107" s="1" t="str">
        <f>[1]Data!E98</f>
        <v/>
      </c>
      <c r="F107" s="1" t="str">
        <f>[1]Data!F98</f>
        <v>2026</v>
      </c>
      <c r="G107" s="1" t="str">
        <f>[1]Data!G98</f>
        <v>2</v>
      </c>
      <c r="H107" s="15">
        <f>[1]Data!H98</f>
        <v>32</v>
      </c>
      <c r="I107" s="15">
        <f>[1]Data!I98</f>
        <v>0</v>
      </c>
      <c r="J107" s="1" t="str">
        <f>[1]Data!J98</f>
        <v>X</v>
      </c>
      <c r="K107" s="1" t="str">
        <f>[1]Data!K98</f>
        <v>X</v>
      </c>
      <c r="L107" s="1" t="str">
        <f>[1]Data!L98</f>
        <v>10:13:03</v>
      </c>
      <c r="M107" s="1">
        <f>[1]Data!M98</f>
        <v>45987</v>
      </c>
      <c r="N107" s="1">
        <f>[1]Data!N98</f>
        <v>44430</v>
      </c>
      <c r="O107" s="1" t="str">
        <f>[1]Data!O98</f>
        <v>X</v>
      </c>
      <c r="P107" s="1" t="str">
        <f>[1]Data!P98</f>
        <v>2025</v>
      </c>
      <c r="Q107" s="15">
        <f>[1]Data!Q98</f>
        <v>32</v>
      </c>
      <c r="R107" s="1" t="str">
        <f>[1]Data!R98</f>
        <v/>
      </c>
    </row>
    <row r="108" spans="1:18" x14ac:dyDescent="0.35">
      <c r="A108" s="1" t="str">
        <f>[1]Data!A99</f>
        <v>4000766</v>
      </c>
      <c r="B108" s="1" t="str">
        <f>[1]Data!B99</f>
        <v>3300</v>
      </c>
      <c r="C108" s="1" t="str">
        <f>[1]Data!C99</f>
        <v>3001</v>
      </c>
      <c r="D108" s="1" t="str">
        <f>[1]Data!D99</f>
        <v>L</v>
      </c>
      <c r="E108" s="1" t="str">
        <f>[1]Data!E99</f>
        <v/>
      </c>
      <c r="F108" s="1" t="str">
        <f>[1]Data!F99</f>
        <v>2026</v>
      </c>
      <c r="G108" s="1" t="str">
        <f>[1]Data!G99</f>
        <v>3</v>
      </c>
      <c r="H108" s="15">
        <f>[1]Data!H99</f>
        <v>125</v>
      </c>
      <c r="I108" s="15">
        <f>[1]Data!I99</f>
        <v>0</v>
      </c>
      <c r="J108" s="1" t="str">
        <f>[1]Data!J99</f>
        <v>X</v>
      </c>
      <c r="K108" s="1" t="str">
        <f>[1]Data!K99</f>
        <v>X</v>
      </c>
      <c r="L108" s="1" t="str">
        <f>[1]Data!L99</f>
        <v>13:05:01</v>
      </c>
      <c r="M108" s="1">
        <f>[1]Data!M99</f>
        <v>45994</v>
      </c>
      <c r="N108" s="1">
        <f>[1]Data!N99</f>
        <v>44430</v>
      </c>
      <c r="O108" s="1" t="str">
        <f>[1]Data!O99</f>
        <v>X</v>
      </c>
      <c r="P108" s="1" t="str">
        <f>[1]Data!P99</f>
        <v>2025</v>
      </c>
      <c r="Q108" s="15">
        <f>[1]Data!Q99</f>
        <v>125</v>
      </c>
      <c r="R108" s="1" t="str">
        <f>[1]Data!R99</f>
        <v/>
      </c>
    </row>
    <row r="109" spans="1:18" x14ac:dyDescent="0.35">
      <c r="A109" s="1" t="str">
        <f>[1]Data!A100</f>
        <v>4000767</v>
      </c>
      <c r="B109" s="1" t="str">
        <f>[1]Data!B100</f>
        <v>3300</v>
      </c>
      <c r="C109" s="1" t="str">
        <f>[1]Data!C100</f>
        <v>3001</v>
      </c>
      <c r="D109" s="1" t="str">
        <f>[1]Data!D100</f>
        <v>L</v>
      </c>
      <c r="E109" s="1" t="str">
        <f>[1]Data!E100</f>
        <v/>
      </c>
      <c r="F109" s="1" t="str">
        <f>[1]Data!F100</f>
        <v>2026</v>
      </c>
      <c r="G109" s="1" t="str">
        <f>[1]Data!G100</f>
        <v>2</v>
      </c>
      <c r="H109" s="15">
        <f>[1]Data!H100</f>
        <v>200</v>
      </c>
      <c r="I109" s="15">
        <f>[1]Data!I100</f>
        <v>0</v>
      </c>
      <c r="J109" s="1" t="str">
        <f>[1]Data!J100</f>
        <v>X</v>
      </c>
      <c r="K109" s="1" t="str">
        <f>[1]Data!K100</f>
        <v>X</v>
      </c>
      <c r="L109" s="1" t="str">
        <f>[1]Data!L100</f>
        <v>13:05:01</v>
      </c>
      <c r="M109" s="1">
        <f>[1]Data!M100</f>
        <v>45994</v>
      </c>
      <c r="N109" s="1">
        <f>[1]Data!N100</f>
        <v>44430</v>
      </c>
      <c r="O109" s="1" t="str">
        <f>[1]Data!O100</f>
        <v>X</v>
      </c>
      <c r="P109" s="1" t="str">
        <f>[1]Data!P100</f>
        <v>2025</v>
      </c>
      <c r="Q109" s="15">
        <f>[1]Data!Q100</f>
        <v>200</v>
      </c>
      <c r="R109" s="1" t="str">
        <f>[1]Data!R100</f>
        <v/>
      </c>
    </row>
    <row r="110" spans="1:18" x14ac:dyDescent="0.35">
      <c r="A110" s="1" t="str">
        <f>[1]Data!A101</f>
        <v>4000768</v>
      </c>
      <c r="B110" s="1" t="str">
        <f>[1]Data!B101</f>
        <v>3300</v>
      </c>
      <c r="C110" s="1" t="str">
        <f>[1]Data!C101</f>
        <v>3001</v>
      </c>
      <c r="D110" s="1" t="str">
        <f>[1]Data!D101</f>
        <v>L</v>
      </c>
      <c r="E110" s="1" t="str">
        <f>[1]Data!E101</f>
        <v/>
      </c>
      <c r="F110" s="1" t="str">
        <f>[1]Data!F101</f>
        <v>2026</v>
      </c>
      <c r="G110" s="1" t="str">
        <f>[1]Data!G101</f>
        <v>2</v>
      </c>
      <c r="H110" s="15">
        <f>[1]Data!H101</f>
        <v>50</v>
      </c>
      <c r="I110" s="15">
        <f>[1]Data!I101</f>
        <v>0</v>
      </c>
      <c r="J110" s="1" t="str">
        <f>[1]Data!J101</f>
        <v>X</v>
      </c>
      <c r="K110" s="1" t="str">
        <f>[1]Data!K101</f>
        <v>X</v>
      </c>
      <c r="L110" s="1" t="str">
        <f>[1]Data!L101</f>
        <v>13:05:02</v>
      </c>
      <c r="M110" s="1">
        <f>[1]Data!M101</f>
        <v>45994</v>
      </c>
      <c r="N110" s="1">
        <f>[1]Data!N101</f>
        <v>44430</v>
      </c>
      <c r="O110" s="1" t="str">
        <f>[1]Data!O101</f>
        <v>X</v>
      </c>
      <c r="P110" s="1" t="str">
        <f>[1]Data!P101</f>
        <v>2025</v>
      </c>
      <c r="Q110" s="15">
        <f>[1]Data!Q101</f>
        <v>50</v>
      </c>
      <c r="R110" s="1" t="str">
        <f>[1]Data!R101</f>
        <v/>
      </c>
    </row>
    <row r="111" spans="1:18" x14ac:dyDescent="0.35">
      <c r="A111" s="1" t="str">
        <f>[1]Data!A102</f>
        <v>4000769</v>
      </c>
      <c r="B111" s="1" t="str">
        <f>[1]Data!B102</f>
        <v>3300</v>
      </c>
      <c r="C111" s="1" t="str">
        <f>[1]Data!C102</f>
        <v>3001</v>
      </c>
      <c r="D111" s="1" t="str">
        <f>[1]Data!D102</f>
        <v>L</v>
      </c>
      <c r="E111" s="1" t="str">
        <f>[1]Data!E102</f>
        <v/>
      </c>
      <c r="F111" s="1" t="str">
        <f>[1]Data!F102</f>
        <v>2026</v>
      </c>
      <c r="G111" s="1" t="str">
        <f>[1]Data!G102</f>
        <v>3</v>
      </c>
      <c r="H111" s="15">
        <f>[1]Data!H102</f>
        <v>100</v>
      </c>
      <c r="I111" s="15">
        <f>[1]Data!I102</f>
        <v>0</v>
      </c>
      <c r="J111" s="1" t="str">
        <f>[1]Data!J102</f>
        <v>X</v>
      </c>
      <c r="K111" s="1" t="str">
        <f>[1]Data!K102</f>
        <v>X</v>
      </c>
      <c r="L111" s="1" t="str">
        <f>[1]Data!L102</f>
        <v>13:05:02</v>
      </c>
      <c r="M111" s="1">
        <f>[1]Data!M102</f>
        <v>45994</v>
      </c>
      <c r="N111" s="1">
        <f>[1]Data!N102</f>
        <v>44430</v>
      </c>
      <c r="O111" s="1" t="str">
        <f>[1]Data!O102</f>
        <v>X</v>
      </c>
      <c r="P111" s="1" t="str">
        <f>[1]Data!P102</f>
        <v>2025</v>
      </c>
      <c r="Q111" s="15">
        <f>[1]Data!Q102</f>
        <v>100</v>
      </c>
      <c r="R111" s="1" t="str">
        <f>[1]Data!R102</f>
        <v/>
      </c>
    </row>
    <row r="112" spans="1:18" x14ac:dyDescent="0.35">
      <c r="A112" s="1" t="str">
        <f>[1]Data!A103</f>
        <v>4000770</v>
      </c>
      <c r="B112" s="1" t="str">
        <f>[1]Data!B103</f>
        <v>3300</v>
      </c>
      <c r="C112" s="1" t="str">
        <f>[1]Data!C103</f>
        <v>3001</v>
      </c>
      <c r="D112" s="1" t="str">
        <f>[1]Data!D103</f>
        <v>L</v>
      </c>
      <c r="E112" s="1" t="str">
        <f>[1]Data!E103</f>
        <v/>
      </c>
      <c r="F112" s="1" t="str">
        <f>[1]Data!F103</f>
        <v>2026</v>
      </c>
      <c r="G112" s="1" t="str">
        <f>[1]Data!G103</f>
        <v>1</v>
      </c>
      <c r="H112" s="15">
        <f>[1]Data!H103</f>
        <v>100</v>
      </c>
      <c r="I112" s="15">
        <f>[1]Data!I103</f>
        <v>0</v>
      </c>
      <c r="J112" s="1" t="str">
        <f>[1]Data!J103</f>
        <v>X</v>
      </c>
      <c r="K112" s="1" t="str">
        <f>[1]Data!K103</f>
        <v>X</v>
      </c>
      <c r="L112" s="1" t="str">
        <f>[1]Data!L103</f>
        <v>13:04:03</v>
      </c>
      <c r="M112" s="1">
        <f>[1]Data!M103</f>
        <v>45994</v>
      </c>
      <c r="N112" s="1">
        <f>[1]Data!N103</f>
        <v>44430</v>
      </c>
      <c r="O112" s="1" t="str">
        <f>[1]Data!O103</f>
        <v>X</v>
      </c>
      <c r="P112" s="1" t="str">
        <f>[1]Data!P103</f>
        <v>2025</v>
      </c>
      <c r="Q112" s="15">
        <f>[1]Data!Q103</f>
        <v>100</v>
      </c>
      <c r="R112" s="1" t="str">
        <f>[1]Data!R103</f>
        <v/>
      </c>
    </row>
    <row r="113" spans="1:18" x14ac:dyDescent="0.35">
      <c r="A113" s="1" t="str">
        <f>[1]Data!A104</f>
        <v>4000771</v>
      </c>
      <c r="B113" s="1" t="str">
        <f>[1]Data!B104</f>
        <v>3300</v>
      </c>
      <c r="C113" s="1" t="str">
        <f>[1]Data!C104</f>
        <v>3001</v>
      </c>
      <c r="D113" s="1" t="str">
        <f>[1]Data!D104</f>
        <v>L</v>
      </c>
      <c r="E113" s="1" t="str">
        <f>[1]Data!E104</f>
        <v>X</v>
      </c>
      <c r="F113" s="1" t="str">
        <f>[1]Data!F104</f>
        <v>2021</v>
      </c>
      <c r="G113" s="1" t="str">
        <f>[1]Data!G104</f>
        <v>8</v>
      </c>
      <c r="H113" s="15">
        <f>[1]Data!H104</f>
        <v>0</v>
      </c>
      <c r="I113" s="15">
        <f>[1]Data!I104</f>
        <v>0</v>
      </c>
      <c r="J113" s="1" t="str">
        <f>[1]Data!J104</f>
        <v>X</v>
      </c>
      <c r="K113" s="1" t="str">
        <f>[1]Data!K104</f>
        <v/>
      </c>
      <c r="L113" s="1" t="str">
        <f>[1]Data!L104</f>
        <v>SLETTET</v>
      </c>
      <c r="M113" s="1">
        <f>[1]Data!M104</f>
        <v>44568</v>
      </c>
      <c r="N113" s="1">
        <f>[1]Data!N104</f>
        <v>44430</v>
      </c>
      <c r="O113" s="1" t="str">
        <f>[1]Data!O104</f>
        <v>X</v>
      </c>
      <c r="P113" s="1" t="str">
        <f>[1]Data!P104</f>
        <v>2022</v>
      </c>
      <c r="Q113" s="15">
        <f>[1]Data!Q104</f>
        <v>0</v>
      </c>
      <c r="R113" s="1" t="str">
        <f>[1]Data!R104</f>
        <v>INAKTIV</v>
      </c>
    </row>
    <row r="114" spans="1:18" x14ac:dyDescent="0.35">
      <c r="A114" s="1" t="str">
        <f>[1]Data!A105</f>
        <v>4000772</v>
      </c>
      <c r="B114" s="1" t="str">
        <f>[1]Data!B105</f>
        <v>3300</v>
      </c>
      <c r="C114" s="1" t="str">
        <f>[1]Data!C105</f>
        <v>3001</v>
      </c>
      <c r="D114" s="1" t="str">
        <f>[1]Data!D105</f>
        <v>L</v>
      </c>
      <c r="E114" s="1" t="str">
        <f>[1]Data!E105</f>
        <v/>
      </c>
      <c r="F114" s="1" t="str">
        <f>[1]Data!F105</f>
        <v>2026</v>
      </c>
      <c r="G114" s="1" t="str">
        <f>[1]Data!G105</f>
        <v>3</v>
      </c>
      <c r="H114" s="15">
        <f>[1]Data!H105</f>
        <v>450</v>
      </c>
      <c r="I114" s="15">
        <f>[1]Data!I105</f>
        <v>0</v>
      </c>
      <c r="J114" s="1" t="str">
        <f>[1]Data!J105</f>
        <v>X</v>
      </c>
      <c r="K114" s="1" t="str">
        <f>[1]Data!K105</f>
        <v>X</v>
      </c>
      <c r="L114" s="1" t="str">
        <f>[1]Data!L105</f>
        <v>13:06:02</v>
      </c>
      <c r="M114" s="1">
        <f>[1]Data!M105</f>
        <v>45994</v>
      </c>
      <c r="N114" s="1">
        <f>[1]Data!N105</f>
        <v>44430</v>
      </c>
      <c r="O114" s="1" t="str">
        <f>[1]Data!O105</f>
        <v>X</v>
      </c>
      <c r="P114" s="1" t="str">
        <f>[1]Data!P105</f>
        <v>2025</v>
      </c>
      <c r="Q114" s="15">
        <f>[1]Data!Q105</f>
        <v>450</v>
      </c>
      <c r="R114" s="1" t="str">
        <f>[1]Data!R105</f>
        <v/>
      </c>
    </row>
    <row r="115" spans="1:18" x14ac:dyDescent="0.35">
      <c r="A115" s="1" t="str">
        <f>[1]Data!A106</f>
        <v>4000773</v>
      </c>
      <c r="B115" s="1" t="str">
        <f>[1]Data!B106</f>
        <v>3300</v>
      </c>
      <c r="C115" s="1" t="str">
        <f>[1]Data!C106</f>
        <v>3001</v>
      </c>
      <c r="D115" s="1" t="str">
        <f>[1]Data!D106</f>
        <v>L</v>
      </c>
      <c r="E115" s="1" t="str">
        <f>[1]Data!E106</f>
        <v/>
      </c>
      <c r="F115" s="1" t="str">
        <f>[1]Data!F106</f>
        <v>2026</v>
      </c>
      <c r="G115" s="1" t="str">
        <f>[1]Data!G106</f>
        <v>2</v>
      </c>
      <c r="H115" s="15">
        <f>[1]Data!H106</f>
        <v>125</v>
      </c>
      <c r="I115" s="15">
        <f>[1]Data!I106</f>
        <v>0</v>
      </c>
      <c r="J115" s="1" t="str">
        <f>[1]Data!J106</f>
        <v>X</v>
      </c>
      <c r="K115" s="1" t="str">
        <f>[1]Data!K106</f>
        <v>X</v>
      </c>
      <c r="L115" s="1" t="str">
        <f>[1]Data!L106</f>
        <v>13:05:03</v>
      </c>
      <c r="M115" s="1">
        <f>[1]Data!M106</f>
        <v>45994</v>
      </c>
      <c r="N115" s="1">
        <f>[1]Data!N106</f>
        <v>44430</v>
      </c>
      <c r="O115" s="1" t="str">
        <f>[1]Data!O106</f>
        <v>X</v>
      </c>
      <c r="P115" s="1" t="str">
        <f>[1]Data!P106</f>
        <v>2025</v>
      </c>
      <c r="Q115" s="15">
        <f>[1]Data!Q106</f>
        <v>125</v>
      </c>
      <c r="R115" s="1" t="str">
        <f>[1]Data!R106</f>
        <v/>
      </c>
    </row>
    <row r="116" spans="1:18" x14ac:dyDescent="0.35">
      <c r="A116" s="1" t="str">
        <f>[1]Data!A107</f>
        <v>4000775</v>
      </c>
      <c r="B116" s="1" t="str">
        <f>[1]Data!B107</f>
        <v>3300</v>
      </c>
      <c r="C116" s="1" t="str">
        <f>[1]Data!C107</f>
        <v>3001</v>
      </c>
      <c r="D116" s="1" t="str">
        <f>[1]Data!D107</f>
        <v>L</v>
      </c>
      <c r="E116" s="1" t="str">
        <f>[1]Data!E107</f>
        <v/>
      </c>
      <c r="F116" s="1" t="str">
        <f>[1]Data!F107</f>
        <v>2026</v>
      </c>
      <c r="G116" s="1" t="str">
        <f>[1]Data!G107</f>
        <v>2</v>
      </c>
      <c r="H116" s="15">
        <f>[1]Data!H107</f>
        <v>85</v>
      </c>
      <c r="I116" s="15">
        <f>[1]Data!I107</f>
        <v>0</v>
      </c>
      <c r="J116" s="1" t="str">
        <f>[1]Data!J107</f>
        <v>X</v>
      </c>
      <c r="K116" s="1" t="str">
        <f>[1]Data!K107</f>
        <v>X</v>
      </c>
      <c r="L116" s="1" t="str">
        <f>[1]Data!L107</f>
        <v>06:01:01</v>
      </c>
      <c r="M116" s="1">
        <f>[1]Data!M107</f>
        <v>45804</v>
      </c>
      <c r="N116" s="1">
        <f>[1]Data!N107</f>
        <v>44430</v>
      </c>
      <c r="O116" s="1" t="str">
        <f>[1]Data!O107</f>
        <v>X</v>
      </c>
      <c r="P116" s="1" t="str">
        <f>[1]Data!P107</f>
        <v>2025</v>
      </c>
      <c r="Q116" s="15">
        <f>[1]Data!Q107</f>
        <v>85</v>
      </c>
      <c r="R116" s="1" t="str">
        <f>[1]Data!R107</f>
        <v/>
      </c>
    </row>
    <row r="117" spans="1:18" x14ac:dyDescent="0.35">
      <c r="A117" s="1" t="str">
        <f>[1]Data!A108</f>
        <v>4000776</v>
      </c>
      <c r="B117" s="1" t="str">
        <f>[1]Data!B108</f>
        <v>3300</v>
      </c>
      <c r="C117" s="1" t="str">
        <f>[1]Data!C108</f>
        <v>3001</v>
      </c>
      <c r="D117" s="1" t="str">
        <f>[1]Data!D108</f>
        <v>L</v>
      </c>
      <c r="E117" s="1" t="str">
        <f>[1]Data!E108</f>
        <v/>
      </c>
      <c r="F117" s="1" t="str">
        <f>[1]Data!F108</f>
        <v>2026</v>
      </c>
      <c r="G117" s="1" t="str">
        <f>[1]Data!G108</f>
        <v>2</v>
      </c>
      <c r="H117" s="15">
        <f>[1]Data!H108</f>
        <v>100</v>
      </c>
      <c r="I117" s="15">
        <f>[1]Data!I108</f>
        <v>0</v>
      </c>
      <c r="J117" s="1" t="str">
        <f>[1]Data!J108</f>
        <v>X</v>
      </c>
      <c r="K117" s="1" t="str">
        <f>[1]Data!K108</f>
        <v>X</v>
      </c>
      <c r="L117" s="1" t="str">
        <f>[1]Data!L108</f>
        <v>14:09:01</v>
      </c>
      <c r="M117" s="1">
        <f>[1]Data!M108</f>
        <v>46001</v>
      </c>
      <c r="N117" s="1">
        <f>[1]Data!N108</f>
        <v>44430</v>
      </c>
      <c r="O117" s="1" t="str">
        <f>[1]Data!O108</f>
        <v>X</v>
      </c>
      <c r="P117" s="1" t="str">
        <f>[1]Data!P108</f>
        <v>2025</v>
      </c>
      <c r="Q117" s="15">
        <f>[1]Data!Q108</f>
        <v>100</v>
      </c>
      <c r="R117" s="1" t="str">
        <f>[1]Data!R108</f>
        <v/>
      </c>
    </row>
    <row r="118" spans="1:18" x14ac:dyDescent="0.35">
      <c r="A118" s="1" t="str">
        <f>[1]Data!A109</f>
        <v>4000777</v>
      </c>
      <c r="B118" s="1" t="str">
        <f>[1]Data!B109</f>
        <v>3300</v>
      </c>
      <c r="C118" s="1" t="str">
        <f>[1]Data!C109</f>
        <v>3001</v>
      </c>
      <c r="D118" s="1" t="str">
        <f>[1]Data!D109</f>
        <v>L</v>
      </c>
      <c r="E118" s="1" t="str">
        <f>[1]Data!E109</f>
        <v/>
      </c>
      <c r="F118" s="1" t="str">
        <f>[1]Data!F109</f>
        <v>2026</v>
      </c>
      <c r="G118" s="1" t="str">
        <f>[1]Data!G109</f>
        <v>3</v>
      </c>
      <c r="H118" s="15">
        <f>[1]Data!H109</f>
        <v>575</v>
      </c>
      <c r="I118" s="15">
        <f>[1]Data!I109</f>
        <v>0</v>
      </c>
      <c r="J118" s="1" t="str">
        <f>[1]Data!J109</f>
        <v>X</v>
      </c>
      <c r="K118" s="1" t="str">
        <f>[1]Data!K109</f>
        <v>X</v>
      </c>
      <c r="L118" s="1" t="str">
        <f>[1]Data!L109</f>
        <v>14:08:01</v>
      </c>
      <c r="M118" s="1">
        <f>[1]Data!M109</f>
        <v>46001</v>
      </c>
      <c r="N118" s="1">
        <f>[1]Data!N109</f>
        <v>44430</v>
      </c>
      <c r="O118" s="1" t="str">
        <f>[1]Data!O109</f>
        <v>X</v>
      </c>
      <c r="P118" s="1" t="str">
        <f>[1]Data!P109</f>
        <v>2025</v>
      </c>
      <c r="Q118" s="15">
        <f>[1]Data!Q109</f>
        <v>575</v>
      </c>
      <c r="R118" s="1" t="str">
        <f>[1]Data!R109</f>
        <v/>
      </c>
    </row>
    <row r="119" spans="1:18" x14ac:dyDescent="0.35">
      <c r="A119" s="1" t="str">
        <f>[1]Data!A110</f>
        <v>4000778</v>
      </c>
      <c r="B119" s="1" t="str">
        <f>[1]Data!B110</f>
        <v>3300</v>
      </c>
      <c r="C119" s="1" t="str">
        <f>[1]Data!C110</f>
        <v>3001</v>
      </c>
      <c r="D119" s="1" t="str">
        <f>[1]Data!D110</f>
        <v>L</v>
      </c>
      <c r="E119" s="1" t="str">
        <f>[1]Data!E110</f>
        <v/>
      </c>
      <c r="F119" s="1" t="str">
        <f>[1]Data!F110</f>
        <v>2026</v>
      </c>
      <c r="G119" s="1" t="str">
        <f>[1]Data!G110</f>
        <v>3</v>
      </c>
      <c r="H119" s="15">
        <f>[1]Data!H110</f>
        <v>425</v>
      </c>
      <c r="I119" s="15">
        <f>[1]Data!I110</f>
        <v>0</v>
      </c>
      <c r="J119" s="1" t="str">
        <f>[1]Data!J110</f>
        <v>X</v>
      </c>
      <c r="K119" s="1" t="str">
        <f>[1]Data!K110</f>
        <v>X</v>
      </c>
      <c r="L119" s="1" t="str">
        <f>[1]Data!L110</f>
        <v>14:09:02</v>
      </c>
      <c r="M119" s="1">
        <f>[1]Data!M110</f>
        <v>46001</v>
      </c>
      <c r="N119" s="1">
        <f>[1]Data!N110</f>
        <v>44430</v>
      </c>
      <c r="O119" s="1" t="str">
        <f>[1]Data!O110</f>
        <v>X</v>
      </c>
      <c r="P119" s="1" t="str">
        <f>[1]Data!P110</f>
        <v>2025</v>
      </c>
      <c r="Q119" s="15">
        <f>[1]Data!Q110</f>
        <v>425</v>
      </c>
      <c r="R119" s="1" t="str">
        <f>[1]Data!R110</f>
        <v/>
      </c>
    </row>
    <row r="120" spans="1:18" x14ac:dyDescent="0.35">
      <c r="A120" s="1" t="str">
        <f>[1]Data!A111</f>
        <v>4000779</v>
      </c>
      <c r="B120" s="1" t="str">
        <f>[1]Data!B111</f>
        <v>3300</v>
      </c>
      <c r="C120" s="1" t="str">
        <f>[1]Data!C111</f>
        <v>3001</v>
      </c>
      <c r="D120" s="1" t="str">
        <f>[1]Data!D111</f>
        <v>L</v>
      </c>
      <c r="E120" s="1" t="str">
        <f>[1]Data!E111</f>
        <v/>
      </c>
      <c r="F120" s="1" t="str">
        <f>[1]Data!F111</f>
        <v>2026</v>
      </c>
      <c r="G120" s="1" t="str">
        <f>[1]Data!G111</f>
        <v>3</v>
      </c>
      <c r="H120" s="15">
        <f>[1]Data!H111</f>
        <v>575</v>
      </c>
      <c r="I120" s="15">
        <f>[1]Data!I111</f>
        <v>0</v>
      </c>
      <c r="J120" s="1" t="str">
        <f>[1]Data!J111</f>
        <v>X</v>
      </c>
      <c r="K120" s="1" t="str">
        <f>[1]Data!K111</f>
        <v>X</v>
      </c>
      <c r="L120" s="1" t="str">
        <f>[1]Data!L111</f>
        <v>14:10:02</v>
      </c>
      <c r="M120" s="1">
        <f>[1]Data!M111</f>
        <v>46001</v>
      </c>
      <c r="N120" s="1">
        <f>[1]Data!N111</f>
        <v>44430</v>
      </c>
      <c r="O120" s="1" t="str">
        <f>[1]Data!O111</f>
        <v>X</v>
      </c>
      <c r="P120" s="1" t="str">
        <f>[1]Data!P111</f>
        <v>2025</v>
      </c>
      <c r="Q120" s="15">
        <f>[1]Data!Q111</f>
        <v>575</v>
      </c>
      <c r="R120" s="1" t="str">
        <f>[1]Data!R111</f>
        <v/>
      </c>
    </row>
    <row r="121" spans="1:18" x14ac:dyDescent="0.35">
      <c r="A121" s="1" t="str">
        <f>[1]Data!A112</f>
        <v>4000780</v>
      </c>
      <c r="B121" s="1" t="str">
        <f>[1]Data!B112</f>
        <v>3300</v>
      </c>
      <c r="C121" s="1" t="str">
        <f>[1]Data!C112</f>
        <v>3001</v>
      </c>
      <c r="D121" s="1" t="str">
        <f>[1]Data!D112</f>
        <v>L</v>
      </c>
      <c r="E121" s="1" t="str">
        <f>[1]Data!E112</f>
        <v/>
      </c>
      <c r="F121" s="1" t="str">
        <f>[1]Data!F112</f>
        <v>2026</v>
      </c>
      <c r="G121" s="1" t="str">
        <f>[1]Data!G112</f>
        <v>3</v>
      </c>
      <c r="H121" s="15">
        <f>[1]Data!H112</f>
        <v>300</v>
      </c>
      <c r="I121" s="15">
        <f>[1]Data!I112</f>
        <v>0</v>
      </c>
      <c r="J121" s="1" t="str">
        <f>[1]Data!J112</f>
        <v>X</v>
      </c>
      <c r="K121" s="1" t="str">
        <f>[1]Data!K112</f>
        <v>X</v>
      </c>
      <c r="L121" s="1" t="str">
        <f>[1]Data!L112</f>
        <v>14:09:03</v>
      </c>
      <c r="M121" s="1">
        <f>[1]Data!M112</f>
        <v>46001</v>
      </c>
      <c r="N121" s="1">
        <f>[1]Data!N112</f>
        <v>44430</v>
      </c>
      <c r="O121" s="1" t="str">
        <f>[1]Data!O112</f>
        <v>X</v>
      </c>
      <c r="P121" s="1" t="str">
        <f>[1]Data!P112</f>
        <v>2025</v>
      </c>
      <c r="Q121" s="15">
        <f>[1]Data!Q112</f>
        <v>300</v>
      </c>
      <c r="R121" s="1" t="str">
        <f>[1]Data!R112</f>
        <v/>
      </c>
    </row>
    <row r="122" spans="1:18" x14ac:dyDescent="0.35">
      <c r="A122" s="1" t="str">
        <f>[1]Data!A113</f>
        <v>4000781</v>
      </c>
      <c r="B122" s="1" t="str">
        <f>[1]Data!B113</f>
        <v>3300</v>
      </c>
      <c r="C122" s="1" t="str">
        <f>[1]Data!C113</f>
        <v>3001</v>
      </c>
      <c r="D122" s="1" t="str">
        <f>[1]Data!D113</f>
        <v>L</v>
      </c>
      <c r="E122" s="1" t="str">
        <f>[1]Data!E113</f>
        <v/>
      </c>
      <c r="F122" s="1" t="str">
        <f>[1]Data!F113</f>
        <v>2026</v>
      </c>
      <c r="G122" s="1" t="str">
        <f>[1]Data!G113</f>
        <v>2</v>
      </c>
      <c r="H122" s="15">
        <f>[1]Data!H113</f>
        <v>50</v>
      </c>
      <c r="I122" s="15">
        <f>[1]Data!I113</f>
        <v>0</v>
      </c>
      <c r="J122" s="1" t="str">
        <f>[1]Data!J113</f>
        <v>X</v>
      </c>
      <c r="K122" s="1" t="str">
        <f>[1]Data!K113</f>
        <v>X</v>
      </c>
      <c r="L122" s="1" t="str">
        <f>[1]Data!L113</f>
        <v>14:10:03</v>
      </c>
      <c r="M122" s="1">
        <f>[1]Data!M113</f>
        <v>46001</v>
      </c>
      <c r="N122" s="1">
        <f>[1]Data!N113</f>
        <v>44430</v>
      </c>
      <c r="O122" s="1" t="str">
        <f>[1]Data!O113</f>
        <v>X</v>
      </c>
      <c r="P122" s="1" t="str">
        <f>[1]Data!P113</f>
        <v>2025</v>
      </c>
      <c r="Q122" s="15">
        <f>[1]Data!Q113</f>
        <v>50</v>
      </c>
      <c r="R122" s="1" t="str">
        <f>[1]Data!R113</f>
        <v/>
      </c>
    </row>
    <row r="123" spans="1:18" x14ac:dyDescent="0.35">
      <c r="A123" s="1" t="str">
        <f>[1]Data!A114</f>
        <v>4000786</v>
      </c>
      <c r="B123" s="1" t="str">
        <f>[1]Data!B114</f>
        <v>3300</v>
      </c>
      <c r="C123" s="1" t="str">
        <f>[1]Data!C114</f>
        <v>3001</v>
      </c>
      <c r="D123" s="1" t="str">
        <f>[1]Data!D114</f>
        <v>L</v>
      </c>
      <c r="E123" s="1" t="str">
        <f>[1]Data!E114</f>
        <v/>
      </c>
      <c r="F123" s="1" t="str">
        <f>[1]Data!F114</f>
        <v>2026</v>
      </c>
      <c r="G123" s="1" t="str">
        <f>[1]Data!G114</f>
        <v>2</v>
      </c>
      <c r="H123" s="15">
        <f>[1]Data!H114</f>
        <v>500</v>
      </c>
      <c r="I123" s="15">
        <f>[1]Data!I114</f>
        <v>0</v>
      </c>
      <c r="J123" s="1" t="str">
        <f>[1]Data!J114</f>
        <v>X</v>
      </c>
      <c r="K123" s="1" t="str">
        <f>[1]Data!K114</f>
        <v>X</v>
      </c>
      <c r="L123" s="1" t="str">
        <f>[1]Data!L114</f>
        <v>13:04:02</v>
      </c>
      <c r="M123" s="1">
        <f>[1]Data!M114</f>
        <v>45994</v>
      </c>
      <c r="N123" s="1">
        <f>[1]Data!N114</f>
        <v>44430</v>
      </c>
      <c r="O123" s="1" t="str">
        <f>[1]Data!O114</f>
        <v>X</v>
      </c>
      <c r="P123" s="1" t="str">
        <f>[1]Data!P114</f>
        <v>2025</v>
      </c>
      <c r="Q123" s="15">
        <f>[1]Data!Q114</f>
        <v>500</v>
      </c>
      <c r="R123" s="1" t="str">
        <f>[1]Data!R114</f>
        <v/>
      </c>
    </row>
    <row r="124" spans="1:18" x14ac:dyDescent="0.35">
      <c r="A124" s="1" t="str">
        <f>[1]Data!A115</f>
        <v>4000787</v>
      </c>
      <c r="B124" s="1" t="str">
        <f>[1]Data!B115</f>
        <v>3300</v>
      </c>
      <c r="C124" s="1" t="str">
        <f>[1]Data!C115</f>
        <v>3001</v>
      </c>
      <c r="D124" s="1" t="str">
        <f>[1]Data!D115</f>
        <v>L</v>
      </c>
      <c r="E124" s="1" t="str">
        <f>[1]Data!E115</f>
        <v/>
      </c>
      <c r="F124" s="1" t="str">
        <f>[1]Data!F115</f>
        <v>2026</v>
      </c>
      <c r="G124" s="1" t="str">
        <f>[1]Data!G115</f>
        <v>3</v>
      </c>
      <c r="H124" s="15">
        <f>[1]Data!H115</f>
        <v>500</v>
      </c>
      <c r="I124" s="15">
        <f>[1]Data!I115</f>
        <v>0</v>
      </c>
      <c r="J124" s="1" t="str">
        <f>[1]Data!J115</f>
        <v>X</v>
      </c>
      <c r="K124" s="1" t="str">
        <f>[1]Data!K115</f>
        <v>X</v>
      </c>
      <c r="L124" s="1" t="str">
        <f>[1]Data!L115</f>
        <v>13:03:01</v>
      </c>
      <c r="M124" s="1">
        <f>[1]Data!M115</f>
        <v>45994</v>
      </c>
      <c r="N124" s="1">
        <f>[1]Data!N115</f>
        <v>44430</v>
      </c>
      <c r="O124" s="1" t="str">
        <f>[1]Data!O115</f>
        <v>X</v>
      </c>
      <c r="P124" s="1" t="str">
        <f>[1]Data!P115</f>
        <v>2025</v>
      </c>
      <c r="Q124" s="15">
        <f>[1]Data!Q115</f>
        <v>500</v>
      </c>
      <c r="R124" s="1" t="str">
        <f>[1]Data!R115</f>
        <v/>
      </c>
    </row>
    <row r="125" spans="1:18" x14ac:dyDescent="0.35">
      <c r="A125" s="1" t="str">
        <f>[1]Data!A116</f>
        <v>4000788</v>
      </c>
      <c r="B125" s="1" t="str">
        <f>[1]Data!B116</f>
        <v>3300</v>
      </c>
      <c r="C125" s="1" t="str">
        <f>[1]Data!C116</f>
        <v>3001</v>
      </c>
      <c r="D125" s="1" t="str">
        <f>[1]Data!D116</f>
        <v>L</v>
      </c>
      <c r="E125" s="1" t="str">
        <f>[1]Data!E116</f>
        <v/>
      </c>
      <c r="F125" s="1" t="str">
        <f>[1]Data!F116</f>
        <v>2026</v>
      </c>
      <c r="G125" s="1" t="str">
        <f>[1]Data!G116</f>
        <v>3</v>
      </c>
      <c r="H125" s="15">
        <f>[1]Data!H116</f>
        <v>250</v>
      </c>
      <c r="I125" s="15">
        <f>[1]Data!I116</f>
        <v>0</v>
      </c>
      <c r="J125" s="1" t="str">
        <f>[1]Data!J116</f>
        <v>X</v>
      </c>
      <c r="K125" s="1" t="str">
        <f>[1]Data!K116</f>
        <v>X</v>
      </c>
      <c r="L125" s="1" t="str">
        <f>[1]Data!L116</f>
        <v>13:03:02</v>
      </c>
      <c r="M125" s="1">
        <f>[1]Data!M116</f>
        <v>45994</v>
      </c>
      <c r="N125" s="1">
        <f>[1]Data!N116</f>
        <v>44430</v>
      </c>
      <c r="O125" s="1" t="str">
        <f>[1]Data!O116</f>
        <v>X</v>
      </c>
      <c r="P125" s="1" t="str">
        <f>[1]Data!P116</f>
        <v>2025</v>
      </c>
      <c r="Q125" s="15">
        <f>[1]Data!Q116</f>
        <v>250</v>
      </c>
      <c r="R125" s="1" t="str">
        <f>[1]Data!R116</f>
        <v/>
      </c>
    </row>
    <row r="126" spans="1:18" x14ac:dyDescent="0.35">
      <c r="A126" s="1" t="str">
        <f>[1]Data!A117</f>
        <v>4000789</v>
      </c>
      <c r="B126" s="1" t="str">
        <f>[1]Data!B117</f>
        <v>3300</v>
      </c>
      <c r="C126" s="1" t="str">
        <f>[1]Data!C117</f>
        <v>3001</v>
      </c>
      <c r="D126" s="1" t="str">
        <f>[1]Data!D117</f>
        <v>L</v>
      </c>
      <c r="E126" s="1" t="str">
        <f>[1]Data!E117</f>
        <v/>
      </c>
      <c r="F126" s="1" t="str">
        <f>[1]Data!F117</f>
        <v>2026</v>
      </c>
      <c r="G126" s="1" t="str">
        <f>[1]Data!G117</f>
        <v>3</v>
      </c>
      <c r="H126" s="15">
        <f>[1]Data!H117</f>
        <v>450</v>
      </c>
      <c r="I126" s="15">
        <f>[1]Data!I117</f>
        <v>0</v>
      </c>
      <c r="J126" s="1" t="str">
        <f>[1]Data!J117</f>
        <v>X</v>
      </c>
      <c r="K126" s="1" t="str">
        <f>[1]Data!K117</f>
        <v>X</v>
      </c>
      <c r="L126" s="1" t="str">
        <f>[1]Data!L117</f>
        <v>13:04:01</v>
      </c>
      <c r="M126" s="1">
        <f>[1]Data!M117</f>
        <v>45994</v>
      </c>
      <c r="N126" s="1">
        <f>[1]Data!N117</f>
        <v>44430</v>
      </c>
      <c r="O126" s="1" t="str">
        <f>[1]Data!O117</f>
        <v>X</v>
      </c>
      <c r="P126" s="1" t="str">
        <f>[1]Data!P117</f>
        <v>2025</v>
      </c>
      <c r="Q126" s="15">
        <f>[1]Data!Q117</f>
        <v>450</v>
      </c>
      <c r="R126" s="1" t="str">
        <f>[1]Data!R117</f>
        <v/>
      </c>
    </row>
    <row r="127" spans="1:18" x14ac:dyDescent="0.35">
      <c r="A127" s="1" t="str">
        <f>[1]Data!A118</f>
        <v>4000790</v>
      </c>
      <c r="B127" s="1" t="str">
        <f>[1]Data!B118</f>
        <v>3300</v>
      </c>
      <c r="C127" s="1" t="str">
        <f>[1]Data!C118</f>
        <v>3001</v>
      </c>
      <c r="D127" s="1" t="str">
        <f>[1]Data!D118</f>
        <v>L</v>
      </c>
      <c r="E127" s="1" t="str">
        <f>[1]Data!E118</f>
        <v/>
      </c>
      <c r="F127" s="1" t="str">
        <f>[1]Data!F118</f>
        <v>2026</v>
      </c>
      <c r="G127" s="1" t="str">
        <f>[1]Data!G118</f>
        <v>3</v>
      </c>
      <c r="H127" s="15">
        <f>[1]Data!H118</f>
        <v>350</v>
      </c>
      <c r="I127" s="15">
        <f>[1]Data!I118</f>
        <v>0</v>
      </c>
      <c r="J127" s="1" t="str">
        <f>[1]Data!J118</f>
        <v>X</v>
      </c>
      <c r="K127" s="1" t="str">
        <f>[1]Data!K118</f>
        <v>X</v>
      </c>
      <c r="L127" s="1" t="str">
        <f>[1]Data!L118</f>
        <v>14:08:02</v>
      </c>
      <c r="M127" s="1">
        <f>[1]Data!M118</f>
        <v>46001</v>
      </c>
      <c r="N127" s="1">
        <f>[1]Data!N118</f>
        <v>44430</v>
      </c>
      <c r="O127" s="1" t="str">
        <f>[1]Data!O118</f>
        <v>X</v>
      </c>
      <c r="P127" s="1" t="str">
        <f>[1]Data!P118</f>
        <v>2025</v>
      </c>
      <c r="Q127" s="15">
        <f>[1]Data!Q118</f>
        <v>350</v>
      </c>
      <c r="R127" s="1" t="str">
        <f>[1]Data!R118</f>
        <v/>
      </c>
    </row>
    <row r="128" spans="1:18" x14ac:dyDescent="0.35">
      <c r="A128" s="1" t="str">
        <f>[1]Data!A119</f>
        <v>4000791</v>
      </c>
      <c r="B128" s="1" t="str">
        <f>[1]Data!B119</f>
        <v>3300</v>
      </c>
      <c r="C128" s="1" t="str">
        <f>[1]Data!C119</f>
        <v>3001</v>
      </c>
      <c r="D128" s="1" t="str">
        <f>[1]Data!D119</f>
        <v>L</v>
      </c>
      <c r="E128" s="1" t="str">
        <f>[1]Data!E119</f>
        <v/>
      </c>
      <c r="F128" s="1" t="str">
        <f>[1]Data!F119</f>
        <v>2026</v>
      </c>
      <c r="G128" s="1" t="str">
        <f>[1]Data!G119</f>
        <v>2</v>
      </c>
      <c r="H128" s="15">
        <f>[1]Data!H119</f>
        <v>400</v>
      </c>
      <c r="I128" s="15">
        <f>[1]Data!I119</f>
        <v>0</v>
      </c>
      <c r="J128" s="1" t="str">
        <f>[1]Data!J119</f>
        <v>X</v>
      </c>
      <c r="K128" s="1" t="str">
        <f>[1]Data!K119</f>
        <v>X</v>
      </c>
      <c r="L128" s="1" t="str">
        <f>[1]Data!L119</f>
        <v>13:03:03</v>
      </c>
      <c r="M128" s="1">
        <f>[1]Data!M119</f>
        <v>45994</v>
      </c>
      <c r="N128" s="1">
        <f>[1]Data!N119</f>
        <v>44430</v>
      </c>
      <c r="O128" s="1" t="str">
        <f>[1]Data!O119</f>
        <v>X</v>
      </c>
      <c r="P128" s="1" t="str">
        <f>[1]Data!P119</f>
        <v>2025</v>
      </c>
      <c r="Q128" s="15">
        <f>[1]Data!Q119</f>
        <v>400</v>
      </c>
      <c r="R128" s="1" t="str">
        <f>[1]Data!R119</f>
        <v/>
      </c>
    </row>
    <row r="129" spans="1:18" x14ac:dyDescent="0.35">
      <c r="A129" s="1" t="str">
        <f>[1]Data!A120</f>
        <v>4000793</v>
      </c>
      <c r="B129" s="1" t="str">
        <f>[1]Data!B120</f>
        <v>3300</v>
      </c>
      <c r="C129" s="1" t="str">
        <f>[1]Data!C120</f>
        <v>3001</v>
      </c>
      <c r="D129" s="1" t="str">
        <f>[1]Data!D120</f>
        <v>L</v>
      </c>
      <c r="E129" s="1" t="str">
        <f>[1]Data!E120</f>
        <v/>
      </c>
      <c r="F129" s="1" t="str">
        <f>[1]Data!F120</f>
        <v>2025</v>
      </c>
      <c r="G129" s="1" t="str">
        <f>[1]Data!G120</f>
        <v>4</v>
      </c>
      <c r="H129" s="15">
        <f>[1]Data!H120</f>
        <v>0</v>
      </c>
      <c r="I129" s="15">
        <f>[1]Data!I120</f>
        <v>0</v>
      </c>
      <c r="J129" s="1" t="str">
        <f>[1]Data!J120</f>
        <v>X</v>
      </c>
      <c r="K129" s="1" t="str">
        <f>[1]Data!K120</f>
        <v>X</v>
      </c>
      <c r="L129" s="1" t="str">
        <f>[1]Data!L120</f>
        <v>SLETTET</v>
      </c>
      <c r="M129" s="1">
        <f>[1]Data!M120</f>
        <v>45450</v>
      </c>
      <c r="N129" s="1">
        <f>[1]Data!N120</f>
        <v>44430</v>
      </c>
      <c r="O129" s="1" t="str">
        <f>[1]Data!O120</f>
        <v>X</v>
      </c>
      <c r="P129" s="1" t="str">
        <f>[1]Data!P120</f>
        <v>2024</v>
      </c>
      <c r="Q129" s="15">
        <f>[1]Data!Q120</f>
        <v>0</v>
      </c>
      <c r="R129" s="1" t="str">
        <f>[1]Data!R120</f>
        <v>INAKTIV</v>
      </c>
    </row>
    <row r="130" spans="1:18" x14ac:dyDescent="0.35">
      <c r="A130" s="1" t="str">
        <f>[1]Data!A121</f>
        <v>4000794</v>
      </c>
      <c r="B130" s="1" t="str">
        <f>[1]Data!B121</f>
        <v>3300</v>
      </c>
      <c r="C130" s="1" t="str">
        <f>[1]Data!C121</f>
        <v>3001</v>
      </c>
      <c r="D130" s="1" t="str">
        <f>[1]Data!D121</f>
        <v>L</v>
      </c>
      <c r="E130" s="1" t="str">
        <f>[1]Data!E121</f>
        <v/>
      </c>
      <c r="F130" s="1" t="str">
        <f>[1]Data!F121</f>
        <v>2025</v>
      </c>
      <c r="G130" s="1" t="str">
        <f>[1]Data!G121</f>
        <v>1</v>
      </c>
      <c r="H130" s="15">
        <f>[1]Data!H121</f>
        <v>0</v>
      </c>
      <c r="I130" s="15">
        <f>[1]Data!I121</f>
        <v>0</v>
      </c>
      <c r="J130" s="1" t="str">
        <f>[1]Data!J121</f>
        <v>X</v>
      </c>
      <c r="K130" s="1" t="str">
        <f>[1]Data!K121</f>
        <v>X</v>
      </c>
      <c r="L130" s="1" t="str">
        <f>[1]Data!L121</f>
        <v>SLETTET</v>
      </c>
      <c r="M130" s="1">
        <f>[1]Data!M121</f>
        <v>45450</v>
      </c>
      <c r="N130" s="1">
        <f>[1]Data!N121</f>
        <v>44430</v>
      </c>
      <c r="O130" s="1" t="str">
        <f>[1]Data!O121</f>
        <v>X</v>
      </c>
      <c r="P130" s="1" t="str">
        <f>[1]Data!P121</f>
        <v>2024</v>
      </c>
      <c r="Q130" s="15">
        <f>[1]Data!Q121</f>
        <v>0</v>
      </c>
      <c r="R130" s="1" t="str">
        <f>[1]Data!R121</f>
        <v>INAKTIV</v>
      </c>
    </row>
    <row r="131" spans="1:18" x14ac:dyDescent="0.35">
      <c r="A131" s="1" t="str">
        <f>[1]Data!A122</f>
        <v>4000795</v>
      </c>
      <c r="B131" s="1" t="str">
        <f>[1]Data!B122</f>
        <v>3300</v>
      </c>
      <c r="C131" s="1" t="str">
        <f>[1]Data!C122</f>
        <v>3001</v>
      </c>
      <c r="D131" s="1" t="str">
        <f>[1]Data!D122</f>
        <v>L</v>
      </c>
      <c r="E131" s="1" t="str">
        <f>[1]Data!E122</f>
        <v>X</v>
      </c>
      <c r="F131" s="1" t="str">
        <f>[1]Data!F122</f>
        <v>2026</v>
      </c>
      <c r="G131" s="1" t="str">
        <f>[1]Data!G122</f>
        <v>2</v>
      </c>
      <c r="H131" s="15">
        <f>[1]Data!H122</f>
        <v>0</v>
      </c>
      <c r="I131" s="15">
        <f>[1]Data!I122</f>
        <v>0</v>
      </c>
      <c r="J131" s="1" t="str">
        <f>[1]Data!J122</f>
        <v>X</v>
      </c>
      <c r="K131" s="1" t="str">
        <f>[1]Data!K122</f>
        <v>X</v>
      </c>
      <c r="L131" s="1" t="str">
        <f>[1]Data!L122</f>
        <v>SLETTET</v>
      </c>
      <c r="M131" s="1">
        <f>[1]Data!M122</f>
        <v>45800</v>
      </c>
      <c r="N131" s="1">
        <f>[1]Data!N122</f>
        <v>44430</v>
      </c>
      <c r="O131" s="1" t="str">
        <f>[1]Data!O122</f>
        <v>X</v>
      </c>
      <c r="P131" s="1" t="str">
        <f>[1]Data!P122</f>
        <v>2025</v>
      </c>
      <c r="Q131" s="15">
        <f>[1]Data!Q122</f>
        <v>0</v>
      </c>
      <c r="R131" s="1" t="str">
        <f>[1]Data!R122</f>
        <v>INAKTIV</v>
      </c>
    </row>
    <row r="132" spans="1:18" x14ac:dyDescent="0.35">
      <c r="A132" s="1" t="str">
        <f>[1]Data!A123</f>
        <v>4000800</v>
      </c>
      <c r="B132" s="1" t="str">
        <f>[1]Data!B123</f>
        <v>3300</v>
      </c>
      <c r="C132" s="1" t="str">
        <f>[1]Data!C123</f>
        <v>3001</v>
      </c>
      <c r="D132" s="1" t="str">
        <f>[1]Data!D123</f>
        <v>L</v>
      </c>
      <c r="E132" s="1" t="str">
        <f>[1]Data!E123</f>
        <v/>
      </c>
      <c r="F132" s="1" t="str">
        <f>[1]Data!F123</f>
        <v>2026</v>
      </c>
      <c r="G132" s="1" t="str">
        <f>[1]Data!G123</f>
        <v>3</v>
      </c>
      <c r="H132" s="15">
        <f>[1]Data!H123</f>
        <v>1100</v>
      </c>
      <c r="I132" s="15">
        <f>[1]Data!I123</f>
        <v>0</v>
      </c>
      <c r="J132" s="1" t="str">
        <f>[1]Data!J123</f>
        <v>X</v>
      </c>
      <c r="K132" s="1" t="str">
        <f>[1]Data!K123</f>
        <v>X</v>
      </c>
      <c r="L132" s="1" t="str">
        <f>[1]Data!L123</f>
        <v>10:12:02</v>
      </c>
      <c r="M132" s="1">
        <f>[1]Data!M123</f>
        <v>45987</v>
      </c>
      <c r="N132" s="1">
        <f>[1]Data!N123</f>
        <v>44430</v>
      </c>
      <c r="O132" s="1" t="str">
        <f>[1]Data!O123</f>
        <v>X</v>
      </c>
      <c r="P132" s="1" t="str">
        <f>[1]Data!P123</f>
        <v>2025</v>
      </c>
      <c r="Q132" s="15">
        <f>[1]Data!Q123</f>
        <v>1100</v>
      </c>
      <c r="R132" s="1" t="str">
        <f>[1]Data!R123</f>
        <v/>
      </c>
    </row>
    <row r="133" spans="1:18" x14ac:dyDescent="0.35">
      <c r="A133" s="1" t="str">
        <f>[1]Data!A124</f>
        <v>4000801</v>
      </c>
      <c r="B133" s="1" t="str">
        <f>[1]Data!B124</f>
        <v>3300</v>
      </c>
      <c r="C133" s="1" t="str">
        <f>[1]Data!C124</f>
        <v>3001</v>
      </c>
      <c r="D133" s="1" t="str">
        <f>[1]Data!D124</f>
        <v>L</v>
      </c>
      <c r="E133" s="1" t="str">
        <f>[1]Data!E124</f>
        <v/>
      </c>
      <c r="F133" s="1" t="str">
        <f>[1]Data!F124</f>
        <v>2026</v>
      </c>
      <c r="G133" s="1" t="str">
        <f>[1]Data!G124</f>
        <v>3</v>
      </c>
      <c r="H133" s="15">
        <f>[1]Data!H124</f>
        <v>2000</v>
      </c>
      <c r="I133" s="15">
        <f>[1]Data!I124</f>
        <v>0</v>
      </c>
      <c r="J133" s="1" t="str">
        <f>[1]Data!J124</f>
        <v>X</v>
      </c>
      <c r="K133" s="1" t="str">
        <f>[1]Data!K124</f>
        <v>X</v>
      </c>
      <c r="L133" s="1" t="str">
        <f>[1]Data!L124</f>
        <v>10:12:03</v>
      </c>
      <c r="M133" s="1">
        <f>[1]Data!M124</f>
        <v>45987</v>
      </c>
      <c r="N133" s="1">
        <f>[1]Data!N124</f>
        <v>44430</v>
      </c>
      <c r="O133" s="1" t="str">
        <f>[1]Data!O124</f>
        <v>X</v>
      </c>
      <c r="P133" s="1" t="str">
        <f>[1]Data!P124</f>
        <v>2025</v>
      </c>
      <c r="Q133" s="15">
        <f>[1]Data!Q124</f>
        <v>2000</v>
      </c>
      <c r="R133" s="1" t="str">
        <f>[1]Data!R124</f>
        <v/>
      </c>
    </row>
    <row r="134" spans="1:18" x14ac:dyDescent="0.35">
      <c r="A134" s="1" t="str">
        <f>[1]Data!A125</f>
        <v>4000802</v>
      </c>
      <c r="B134" s="1" t="str">
        <f>[1]Data!B125</f>
        <v>3300</v>
      </c>
      <c r="C134" s="1" t="str">
        <f>[1]Data!C125</f>
        <v>3001</v>
      </c>
      <c r="D134" s="1" t="str">
        <f>[1]Data!D125</f>
        <v>L</v>
      </c>
      <c r="E134" s="1" t="str">
        <f>[1]Data!E125</f>
        <v/>
      </c>
      <c r="F134" s="1" t="str">
        <f>[1]Data!F125</f>
        <v>2026</v>
      </c>
      <c r="G134" s="1" t="str">
        <f>[1]Data!G125</f>
        <v>3</v>
      </c>
      <c r="H134" s="15">
        <f>[1]Data!H125</f>
        <v>825</v>
      </c>
      <c r="I134" s="15">
        <f>[1]Data!I125</f>
        <v>0</v>
      </c>
      <c r="J134" s="1" t="str">
        <f>[1]Data!J125</f>
        <v>X</v>
      </c>
      <c r="K134" s="1" t="str">
        <f>[1]Data!K125</f>
        <v>X</v>
      </c>
      <c r="L134" s="1" t="str">
        <f>[1]Data!L125</f>
        <v>10:10:03</v>
      </c>
      <c r="M134" s="1">
        <f>[1]Data!M125</f>
        <v>45987</v>
      </c>
      <c r="N134" s="1">
        <f>[1]Data!N125</f>
        <v>44430</v>
      </c>
      <c r="O134" s="1" t="str">
        <f>[1]Data!O125</f>
        <v>X</v>
      </c>
      <c r="P134" s="1" t="str">
        <f>[1]Data!P125</f>
        <v>2025</v>
      </c>
      <c r="Q134" s="15">
        <f>[1]Data!Q125</f>
        <v>825</v>
      </c>
      <c r="R134" s="1" t="str">
        <f>[1]Data!R125</f>
        <v/>
      </c>
    </row>
    <row r="135" spans="1:18" x14ac:dyDescent="0.35">
      <c r="A135" s="1" t="str">
        <f>[1]Data!A126</f>
        <v>4000803</v>
      </c>
      <c r="B135" s="1" t="str">
        <f>[1]Data!B126</f>
        <v>3300</v>
      </c>
      <c r="C135" s="1" t="str">
        <f>[1]Data!C126</f>
        <v>3001</v>
      </c>
      <c r="D135" s="1" t="str">
        <f>[1]Data!D126</f>
        <v>L</v>
      </c>
      <c r="E135" s="1" t="str">
        <f>[1]Data!E126</f>
        <v/>
      </c>
      <c r="F135" s="1" t="str">
        <f>[1]Data!F126</f>
        <v>2026</v>
      </c>
      <c r="G135" s="1" t="str">
        <f>[1]Data!G126</f>
        <v>3</v>
      </c>
      <c r="H135" s="15">
        <f>[1]Data!H126</f>
        <v>900</v>
      </c>
      <c r="I135" s="15">
        <f>[1]Data!I126</f>
        <v>0</v>
      </c>
      <c r="J135" s="1" t="str">
        <f>[1]Data!J126</f>
        <v>X</v>
      </c>
      <c r="K135" s="1" t="str">
        <f>[1]Data!K126</f>
        <v>X</v>
      </c>
      <c r="L135" s="1" t="str">
        <f>[1]Data!L126</f>
        <v>10:10:01</v>
      </c>
      <c r="M135" s="1">
        <f>[1]Data!M126</f>
        <v>45987</v>
      </c>
      <c r="N135" s="1">
        <f>[1]Data!N126</f>
        <v>44430</v>
      </c>
      <c r="O135" s="1" t="str">
        <f>[1]Data!O126</f>
        <v>X</v>
      </c>
      <c r="P135" s="1" t="str">
        <f>[1]Data!P126</f>
        <v>2025</v>
      </c>
      <c r="Q135" s="15">
        <f>[1]Data!Q126</f>
        <v>900</v>
      </c>
      <c r="R135" s="1" t="str">
        <f>[1]Data!R126</f>
        <v/>
      </c>
    </row>
    <row r="136" spans="1:18" x14ac:dyDescent="0.35">
      <c r="A136" s="1" t="str">
        <f>[1]Data!A127</f>
        <v>4000804</v>
      </c>
      <c r="B136" s="1" t="str">
        <f>[1]Data!B127</f>
        <v>3300</v>
      </c>
      <c r="C136" s="1" t="str">
        <f>[1]Data!C127</f>
        <v>3001</v>
      </c>
      <c r="D136" s="1" t="str">
        <f>[1]Data!D127</f>
        <v>L</v>
      </c>
      <c r="E136" s="1" t="str">
        <f>[1]Data!E127</f>
        <v/>
      </c>
      <c r="F136" s="1" t="str">
        <f>[1]Data!F127</f>
        <v>2026</v>
      </c>
      <c r="G136" s="1" t="str">
        <f>[1]Data!G127</f>
        <v>3</v>
      </c>
      <c r="H136" s="15">
        <f>[1]Data!H127</f>
        <v>1616</v>
      </c>
      <c r="I136" s="15">
        <f>[1]Data!I127</f>
        <v>0</v>
      </c>
      <c r="J136" s="1" t="str">
        <f>[1]Data!J127</f>
        <v>X</v>
      </c>
      <c r="K136" s="1" t="str">
        <f>[1]Data!K127</f>
        <v>X</v>
      </c>
      <c r="L136" s="1" t="str">
        <f>[1]Data!L127</f>
        <v>09:02:01*</v>
      </c>
      <c r="M136" s="1">
        <f>[1]Data!M127</f>
        <v>45980</v>
      </c>
      <c r="N136" s="1">
        <f>[1]Data!N127</f>
        <v>44430</v>
      </c>
      <c r="O136" s="1" t="str">
        <f>[1]Data!O127</f>
        <v>X</v>
      </c>
      <c r="P136" s="1" t="str">
        <f>[1]Data!P127</f>
        <v>2025</v>
      </c>
      <c r="Q136" s="15">
        <f>[1]Data!Q127</f>
        <v>1616</v>
      </c>
      <c r="R136" s="1" t="str">
        <f>[1]Data!R127</f>
        <v/>
      </c>
    </row>
    <row r="137" spans="1:18" x14ac:dyDescent="0.35">
      <c r="A137" s="1" t="str">
        <f>[1]Data!A128</f>
        <v>4000805</v>
      </c>
      <c r="B137" s="1" t="str">
        <f>[1]Data!B128</f>
        <v>3300</v>
      </c>
      <c r="C137" s="1" t="str">
        <f>[1]Data!C128</f>
        <v>3001</v>
      </c>
      <c r="D137" s="1" t="str">
        <f>[1]Data!D128</f>
        <v>L</v>
      </c>
      <c r="E137" s="1" t="str">
        <f>[1]Data!E128</f>
        <v/>
      </c>
      <c r="F137" s="1" t="str">
        <f>[1]Data!F128</f>
        <v>2026</v>
      </c>
      <c r="G137" s="1" t="str">
        <f>[1]Data!G128</f>
        <v>3</v>
      </c>
      <c r="H137" s="15">
        <f>[1]Data!H128</f>
        <v>775</v>
      </c>
      <c r="I137" s="15">
        <f>[1]Data!I128</f>
        <v>0</v>
      </c>
      <c r="J137" s="1" t="str">
        <f>[1]Data!J128</f>
        <v>X</v>
      </c>
      <c r="K137" s="1" t="str">
        <f>[1]Data!K128</f>
        <v>X</v>
      </c>
      <c r="L137" s="1" t="str">
        <f>[1]Data!L128</f>
        <v>10:12:01</v>
      </c>
      <c r="M137" s="1">
        <f>[1]Data!M128</f>
        <v>45987</v>
      </c>
      <c r="N137" s="1">
        <f>[1]Data!N128</f>
        <v>44430</v>
      </c>
      <c r="O137" s="1" t="str">
        <f>[1]Data!O128</f>
        <v>X</v>
      </c>
      <c r="P137" s="1" t="str">
        <f>[1]Data!P128</f>
        <v>2025</v>
      </c>
      <c r="Q137" s="15">
        <f>[1]Data!Q128</f>
        <v>775</v>
      </c>
      <c r="R137" s="1" t="str">
        <f>[1]Data!R128</f>
        <v/>
      </c>
    </row>
    <row r="138" spans="1:18" x14ac:dyDescent="0.35">
      <c r="A138" s="1" t="str">
        <f>[1]Data!A129</f>
        <v>4000830</v>
      </c>
      <c r="B138" s="1" t="str">
        <f>[1]Data!B129</f>
        <v>3300</v>
      </c>
      <c r="C138" s="1" t="str">
        <f>[1]Data!C129</f>
        <v>3001</v>
      </c>
      <c r="D138" s="1" t="str">
        <f>[1]Data!D129</f>
        <v>L</v>
      </c>
      <c r="E138" s="1" t="str">
        <f>[1]Data!E129</f>
        <v/>
      </c>
      <c r="F138" s="1" t="str">
        <f>[1]Data!F129</f>
        <v>2026</v>
      </c>
      <c r="G138" s="1" t="str">
        <f>[1]Data!G129</f>
        <v>3</v>
      </c>
      <c r="H138" s="15">
        <f>[1]Data!H129</f>
        <v>4800</v>
      </c>
      <c r="I138" s="15">
        <f>[1]Data!I129</f>
        <v>0</v>
      </c>
      <c r="J138" s="1" t="str">
        <f>[1]Data!J129</f>
        <v>X</v>
      </c>
      <c r="K138" s="1" t="str">
        <f>[1]Data!K129</f>
        <v>X</v>
      </c>
      <c r="L138" s="1" t="str">
        <f>[1]Data!L129</f>
        <v>14:12:01</v>
      </c>
      <c r="M138" s="1">
        <f>[1]Data!M129</f>
        <v>46001</v>
      </c>
      <c r="N138" s="1">
        <f>[1]Data!N129</f>
        <v>44430</v>
      </c>
      <c r="O138" s="1" t="str">
        <f>[1]Data!O129</f>
        <v>X</v>
      </c>
      <c r="P138" s="1" t="str">
        <f>[1]Data!P129</f>
        <v>2025</v>
      </c>
      <c r="Q138" s="15">
        <f>[1]Data!Q129</f>
        <v>4800</v>
      </c>
      <c r="R138" s="1" t="str">
        <f>[1]Data!R129</f>
        <v/>
      </c>
    </row>
    <row r="139" spans="1:18" x14ac:dyDescent="0.35">
      <c r="A139" s="1" t="str">
        <f>[1]Data!A130</f>
        <v>4000835</v>
      </c>
      <c r="B139" s="1" t="str">
        <f>[1]Data!B130</f>
        <v>3300</v>
      </c>
      <c r="C139" s="1" t="str">
        <f>[1]Data!C130</f>
        <v>3001</v>
      </c>
      <c r="D139" s="1" t="str">
        <f>[1]Data!D130</f>
        <v>L</v>
      </c>
      <c r="E139" s="1" t="str">
        <f>[1]Data!E130</f>
        <v/>
      </c>
      <c r="F139" s="1" t="str">
        <f>[1]Data!F130</f>
        <v>2026</v>
      </c>
      <c r="G139" s="1" t="str">
        <f>[1]Data!G130</f>
        <v>3</v>
      </c>
      <c r="H139" s="15">
        <f>[1]Data!H130</f>
        <v>3260</v>
      </c>
      <c r="I139" s="15">
        <f>[1]Data!I130</f>
        <v>0</v>
      </c>
      <c r="J139" s="1" t="str">
        <f>[1]Data!J130</f>
        <v>X</v>
      </c>
      <c r="K139" s="1" t="str">
        <f>[1]Data!K130</f>
        <v>X</v>
      </c>
      <c r="L139" s="1" t="str">
        <f>[1]Data!L130</f>
        <v>03:06:03</v>
      </c>
      <c r="M139" s="1">
        <f>[1]Data!M130</f>
        <v>45798</v>
      </c>
      <c r="N139" s="1">
        <f>[1]Data!N130</f>
        <v>44430</v>
      </c>
      <c r="O139" s="1" t="str">
        <f>[1]Data!O130</f>
        <v>X</v>
      </c>
      <c r="P139" s="1" t="str">
        <f>[1]Data!P130</f>
        <v>2025</v>
      </c>
      <c r="Q139" s="15">
        <f>[1]Data!Q130</f>
        <v>3260</v>
      </c>
      <c r="R139" s="1" t="str">
        <f>[1]Data!R130</f>
        <v/>
      </c>
    </row>
    <row r="140" spans="1:18" x14ac:dyDescent="0.35">
      <c r="A140" s="1" t="str">
        <f>[1]Data!A131</f>
        <v>4000893</v>
      </c>
      <c r="B140" s="1" t="str">
        <f>[1]Data!B131</f>
        <v>3300</v>
      </c>
      <c r="C140" s="1" t="str">
        <f>[1]Data!C131</f>
        <v>3001</v>
      </c>
      <c r="D140" s="1" t="str">
        <f>[1]Data!D131</f>
        <v>L</v>
      </c>
      <c r="E140" s="1" t="str">
        <f>[1]Data!E131</f>
        <v>X</v>
      </c>
      <c r="F140" s="1" t="str">
        <f>[1]Data!F131</f>
        <v>2021</v>
      </c>
      <c r="G140" s="1" t="str">
        <f>[1]Data!G131</f>
        <v>10</v>
      </c>
      <c r="H140" s="15">
        <f>[1]Data!H131</f>
        <v>0</v>
      </c>
      <c r="I140" s="15">
        <f>[1]Data!I131</f>
        <v>0</v>
      </c>
      <c r="J140" s="1" t="str">
        <f>[1]Data!J131</f>
        <v>X</v>
      </c>
      <c r="K140" s="1" t="str">
        <f>[1]Data!K131</f>
        <v/>
      </c>
      <c r="L140" s="1" t="str">
        <f>[1]Data!L131</f>
        <v>SLETTET</v>
      </c>
      <c r="M140" s="1">
        <f>[1]Data!M131</f>
        <v>44568</v>
      </c>
      <c r="N140" s="1">
        <f>[1]Data!N131</f>
        <v>44430</v>
      </c>
      <c r="O140" s="1" t="str">
        <f>[1]Data!O131</f>
        <v>X</v>
      </c>
      <c r="P140" s="1" t="str">
        <f>[1]Data!P131</f>
        <v>2022</v>
      </c>
      <c r="Q140" s="15">
        <f>[1]Data!Q131</f>
        <v>0</v>
      </c>
      <c r="R140" s="1" t="str">
        <f>[1]Data!R131</f>
        <v>INAKTIV</v>
      </c>
    </row>
    <row r="141" spans="1:18" x14ac:dyDescent="0.35">
      <c r="A141" s="1" t="str">
        <f>[1]Data!A132</f>
        <v>4000894</v>
      </c>
      <c r="B141" s="1" t="str">
        <f>[1]Data!B132</f>
        <v>3300</v>
      </c>
      <c r="C141" s="1" t="str">
        <f>[1]Data!C132</f>
        <v>3001</v>
      </c>
      <c r="D141" s="1" t="str">
        <f>[1]Data!D132</f>
        <v>L</v>
      </c>
      <c r="E141" s="1" t="str">
        <f>[1]Data!E132</f>
        <v>X</v>
      </c>
      <c r="F141" s="1" t="str">
        <f>[1]Data!F132</f>
        <v>2021</v>
      </c>
      <c r="G141" s="1" t="str">
        <f>[1]Data!G132</f>
        <v>11</v>
      </c>
      <c r="H141" s="15">
        <f>[1]Data!H132</f>
        <v>0</v>
      </c>
      <c r="I141" s="15">
        <f>[1]Data!I132</f>
        <v>0</v>
      </c>
      <c r="J141" s="1" t="str">
        <f>[1]Data!J132</f>
        <v>X</v>
      </c>
      <c r="K141" s="1" t="str">
        <f>[1]Data!K132</f>
        <v/>
      </c>
      <c r="L141" s="1" t="str">
        <f>[1]Data!L132</f>
        <v>SLETTET</v>
      </c>
      <c r="M141" s="1">
        <f>[1]Data!M132</f>
        <v>44568</v>
      </c>
      <c r="N141" s="1">
        <f>[1]Data!N132</f>
        <v>44430</v>
      </c>
      <c r="O141" s="1" t="str">
        <f>[1]Data!O132</f>
        <v>X</v>
      </c>
      <c r="P141" s="1" t="str">
        <f>[1]Data!P132</f>
        <v>2022</v>
      </c>
      <c r="Q141" s="15">
        <f>[1]Data!Q132</f>
        <v>0</v>
      </c>
      <c r="R141" s="1" t="str">
        <f>[1]Data!R132</f>
        <v>INAKTIV</v>
      </c>
    </row>
    <row r="142" spans="1:18" x14ac:dyDescent="0.35">
      <c r="A142" s="1" t="str">
        <f>[1]Data!A133</f>
        <v>4000895</v>
      </c>
      <c r="B142" s="1" t="str">
        <f>[1]Data!B133</f>
        <v>3300</v>
      </c>
      <c r="C142" s="1" t="str">
        <f>[1]Data!C133</f>
        <v>3001</v>
      </c>
      <c r="D142" s="1" t="str">
        <f>[1]Data!D133</f>
        <v>L</v>
      </c>
      <c r="E142" s="1" t="str">
        <f>[1]Data!E133</f>
        <v>X</v>
      </c>
      <c r="F142" s="1" t="str">
        <f>[1]Data!F133</f>
        <v>2022</v>
      </c>
      <c r="G142" s="1" t="str">
        <f>[1]Data!G133</f>
        <v>4</v>
      </c>
      <c r="H142" s="15">
        <f>[1]Data!H133</f>
        <v>0</v>
      </c>
      <c r="I142" s="15">
        <f>[1]Data!I133</f>
        <v>0</v>
      </c>
      <c r="J142" s="1" t="str">
        <f>[1]Data!J133</f>
        <v>X</v>
      </c>
      <c r="K142" s="1" t="str">
        <f>[1]Data!K133</f>
        <v/>
      </c>
      <c r="L142" s="1" t="str">
        <f>[1]Data!L133</f>
        <v>SLETTET</v>
      </c>
      <c r="M142" s="1">
        <f>[1]Data!M133</f>
        <v>45448</v>
      </c>
      <c r="N142" s="1">
        <f>[1]Data!N133</f>
        <v>44430</v>
      </c>
      <c r="O142" s="1" t="str">
        <f>[1]Data!O133</f>
        <v>X</v>
      </c>
      <c r="P142" s="1" t="str">
        <f>[1]Data!P133</f>
        <v>2024</v>
      </c>
      <c r="Q142" s="15">
        <f>[1]Data!Q133</f>
        <v>0</v>
      </c>
      <c r="R142" s="1" t="str">
        <f>[1]Data!R133</f>
        <v>INAKTIV</v>
      </c>
    </row>
    <row r="143" spans="1:18" x14ac:dyDescent="0.35">
      <c r="A143" s="1" t="str">
        <f>[1]Data!A134</f>
        <v>4000896</v>
      </c>
      <c r="B143" s="1" t="str">
        <f>[1]Data!B134</f>
        <v>3300</v>
      </c>
      <c r="C143" s="1" t="str">
        <f>[1]Data!C134</f>
        <v>3001</v>
      </c>
      <c r="D143" s="1" t="str">
        <f>[1]Data!D134</f>
        <v>L</v>
      </c>
      <c r="E143" s="1" t="str">
        <f>[1]Data!E134</f>
        <v>X</v>
      </c>
      <c r="F143" s="1" t="str">
        <f>[1]Data!F134</f>
        <v>2021</v>
      </c>
      <c r="G143" s="1" t="str">
        <f>[1]Data!G134</f>
        <v>11</v>
      </c>
      <c r="H143" s="15">
        <f>[1]Data!H134</f>
        <v>0</v>
      </c>
      <c r="I143" s="15">
        <f>[1]Data!I134</f>
        <v>0</v>
      </c>
      <c r="J143" s="1" t="str">
        <f>[1]Data!J134</f>
        <v>X</v>
      </c>
      <c r="K143" s="1" t="str">
        <f>[1]Data!K134</f>
        <v/>
      </c>
      <c r="L143" s="1" t="str">
        <f>[1]Data!L134</f>
        <v>SLETTET</v>
      </c>
      <c r="M143" s="1">
        <f>[1]Data!M134</f>
        <v>45448</v>
      </c>
      <c r="N143" s="1">
        <f>[1]Data!N134</f>
        <v>44430</v>
      </c>
      <c r="O143" s="1" t="str">
        <f>[1]Data!O134</f>
        <v>X</v>
      </c>
      <c r="P143" s="1" t="str">
        <f>[1]Data!P134</f>
        <v>2024</v>
      </c>
      <c r="Q143" s="15">
        <f>[1]Data!Q134</f>
        <v>0</v>
      </c>
      <c r="R143" s="1" t="str">
        <f>[1]Data!R134</f>
        <v>INAKTIV</v>
      </c>
    </row>
    <row r="144" spans="1:18" x14ac:dyDescent="0.35">
      <c r="A144" s="1" t="str">
        <f>[1]Data!A135</f>
        <v>4000897</v>
      </c>
      <c r="B144" s="1" t="str">
        <f>[1]Data!B135</f>
        <v>3300</v>
      </c>
      <c r="C144" s="1" t="str">
        <f>[1]Data!C135</f>
        <v>3001</v>
      </c>
      <c r="D144" s="1" t="str">
        <f>[1]Data!D135</f>
        <v>L</v>
      </c>
      <c r="E144" s="1" t="str">
        <f>[1]Data!E135</f>
        <v/>
      </c>
      <c r="F144" s="1" t="str">
        <f>[1]Data!F135</f>
        <v>2022</v>
      </c>
      <c r="G144" s="1" t="str">
        <f>[1]Data!G135</f>
        <v>1</v>
      </c>
      <c r="H144" s="15">
        <f>[1]Data!H135</f>
        <v>0</v>
      </c>
      <c r="I144" s="15">
        <f>[1]Data!I135</f>
        <v>0</v>
      </c>
      <c r="J144" s="1" t="str">
        <f>[1]Data!J135</f>
        <v>X</v>
      </c>
      <c r="K144" s="1" t="str">
        <f>[1]Data!K135</f>
        <v/>
      </c>
      <c r="L144" s="1" t="str">
        <f>[1]Data!L135</f>
        <v>SLETTET</v>
      </c>
      <c r="M144" s="1">
        <f>[1]Data!M135</f>
        <v>45448</v>
      </c>
      <c r="N144" s="1">
        <f>[1]Data!N135</f>
        <v>44430</v>
      </c>
      <c r="O144" s="1" t="str">
        <f>[1]Data!O135</f>
        <v>X</v>
      </c>
      <c r="P144" s="1" t="str">
        <f>[1]Data!P135</f>
        <v>2024</v>
      </c>
      <c r="Q144" s="15">
        <f>[1]Data!Q135</f>
        <v>0</v>
      </c>
      <c r="R144" s="1" t="str">
        <f>[1]Data!R135</f>
        <v>INAKTIV</v>
      </c>
    </row>
    <row r="145" spans="1:18" x14ac:dyDescent="0.35">
      <c r="A145" s="1" t="str">
        <f>[1]Data!A136</f>
        <v>4000966</v>
      </c>
      <c r="B145" s="1" t="str">
        <f>[1]Data!B136</f>
        <v>3300</v>
      </c>
      <c r="C145" s="1" t="str">
        <f>[1]Data!C136</f>
        <v>3001</v>
      </c>
      <c r="D145" s="1" t="str">
        <f>[1]Data!D136</f>
        <v>DL</v>
      </c>
      <c r="E145" s="1" t="str">
        <f>[1]Data!E136</f>
        <v/>
      </c>
      <c r="F145" s="1" t="str">
        <f>[1]Data!F136</f>
        <v>2026</v>
      </c>
      <c r="G145" s="1" t="str">
        <f>[1]Data!G136</f>
        <v>2</v>
      </c>
      <c r="H145" s="15">
        <f>[1]Data!H136</f>
        <v>440</v>
      </c>
      <c r="I145" s="15">
        <f>[1]Data!I136</f>
        <v>0</v>
      </c>
      <c r="J145" s="1" t="str">
        <f>[1]Data!J136</f>
        <v>X</v>
      </c>
      <c r="K145" s="1" t="str">
        <f>[1]Data!K136</f>
        <v>X</v>
      </c>
      <c r="L145" s="1" t="str">
        <f>[1]Data!L136</f>
        <v>07:03:01</v>
      </c>
      <c r="M145" s="1">
        <f>[1]Data!M136</f>
        <v>45824</v>
      </c>
      <c r="N145" s="1">
        <f>[1]Data!N136</f>
        <v>44908</v>
      </c>
      <c r="O145" s="1" t="str">
        <f>[1]Data!O136</f>
        <v>X</v>
      </c>
      <c r="P145" s="1" t="str">
        <f>[1]Data!P136</f>
        <v>2025</v>
      </c>
      <c r="Q145" s="15">
        <f>[1]Data!Q136</f>
        <v>440</v>
      </c>
      <c r="R145" s="1" t="str">
        <f>[1]Data!R136</f>
        <v/>
      </c>
    </row>
    <row r="146" spans="1:18" x14ac:dyDescent="0.35">
      <c r="A146" s="1" t="str">
        <f>[1]Data!A137</f>
        <v>4000969</v>
      </c>
      <c r="B146" s="1" t="str">
        <f>[1]Data!B137</f>
        <v>3300</v>
      </c>
      <c r="C146" s="1" t="str">
        <f>[1]Data!C137</f>
        <v>3001</v>
      </c>
      <c r="D146" s="1" t="str">
        <f>[1]Data!D137</f>
        <v>L</v>
      </c>
      <c r="E146" s="1" t="str">
        <f>[1]Data!E137</f>
        <v/>
      </c>
      <c r="F146" s="1" t="str">
        <f>[1]Data!F137</f>
        <v>2026</v>
      </c>
      <c r="G146" s="1" t="str">
        <f>[1]Data!G137</f>
        <v>2</v>
      </c>
      <c r="H146" s="15">
        <f>[1]Data!H137</f>
        <v>487</v>
      </c>
      <c r="I146" s="15">
        <f>[1]Data!I137</f>
        <v>0</v>
      </c>
      <c r="J146" s="1" t="str">
        <f>[1]Data!J137</f>
        <v>X</v>
      </c>
      <c r="K146" s="1" t="str">
        <f>[1]Data!K137</f>
        <v>X</v>
      </c>
      <c r="L146" s="1" t="str">
        <f>[1]Data!L137</f>
        <v>04:03:01</v>
      </c>
      <c r="M146" s="1">
        <f>[1]Data!M137</f>
        <v>45798</v>
      </c>
      <c r="N146" s="1">
        <f>[1]Data!N137</f>
        <v>44430</v>
      </c>
      <c r="O146" s="1" t="str">
        <f>[1]Data!O137</f>
        <v>X</v>
      </c>
      <c r="P146" s="1" t="str">
        <f>[1]Data!P137</f>
        <v>2025</v>
      </c>
      <c r="Q146" s="15">
        <f>[1]Data!Q137</f>
        <v>487</v>
      </c>
      <c r="R146" s="1" t="str">
        <f>[1]Data!R137</f>
        <v/>
      </c>
    </row>
    <row r="147" spans="1:18" x14ac:dyDescent="0.35">
      <c r="A147" s="1" t="str">
        <f>[1]Data!A138</f>
        <v>4000972</v>
      </c>
      <c r="B147" s="1" t="str">
        <f>[1]Data!B138</f>
        <v>3300</v>
      </c>
      <c r="C147" s="1" t="str">
        <f>[1]Data!C138</f>
        <v>3001</v>
      </c>
      <c r="D147" s="1" t="str">
        <f>[1]Data!D138</f>
        <v>L</v>
      </c>
      <c r="E147" s="1" t="str">
        <f>[1]Data!E138</f>
        <v/>
      </c>
      <c r="F147" s="1" t="str">
        <f>[1]Data!F138</f>
        <v>2026</v>
      </c>
      <c r="G147" s="1" t="str">
        <f>[1]Data!G138</f>
        <v>2</v>
      </c>
      <c r="H147" s="15">
        <f>[1]Data!H138</f>
        <v>230</v>
      </c>
      <c r="I147" s="15">
        <f>[1]Data!I138</f>
        <v>0</v>
      </c>
      <c r="J147" s="1" t="str">
        <f>[1]Data!J138</f>
        <v>X</v>
      </c>
      <c r="K147" s="1" t="str">
        <f>[1]Data!K138</f>
        <v>X</v>
      </c>
      <c r="L147" s="1" t="str">
        <f>[1]Data!L138</f>
        <v>15:03:04</v>
      </c>
      <c r="M147" s="1">
        <f>[1]Data!M138</f>
        <v>46001</v>
      </c>
      <c r="N147" s="1">
        <f>[1]Data!N138</f>
        <v>44430</v>
      </c>
      <c r="O147" s="1" t="str">
        <f>[1]Data!O138</f>
        <v>X</v>
      </c>
      <c r="P147" s="1" t="str">
        <f>[1]Data!P138</f>
        <v>2025</v>
      </c>
      <c r="Q147" s="15">
        <f>[1]Data!Q138</f>
        <v>230</v>
      </c>
      <c r="R147" s="1" t="str">
        <f>[1]Data!R138</f>
        <v/>
      </c>
    </row>
    <row r="148" spans="1:18" x14ac:dyDescent="0.35">
      <c r="A148" s="1" t="str">
        <f>[1]Data!A139</f>
        <v>4000973</v>
      </c>
      <c r="B148" s="1" t="str">
        <f>[1]Data!B139</f>
        <v>3300</v>
      </c>
      <c r="C148" s="1" t="str">
        <f>[1]Data!C139</f>
        <v>3001</v>
      </c>
      <c r="D148" s="1" t="str">
        <f>[1]Data!D139</f>
        <v>L</v>
      </c>
      <c r="E148" s="1" t="str">
        <f>[1]Data!E139</f>
        <v/>
      </c>
      <c r="F148" s="1" t="str">
        <f>[1]Data!F139</f>
        <v>2026</v>
      </c>
      <c r="G148" s="1" t="str">
        <f>[1]Data!G139</f>
        <v>2</v>
      </c>
      <c r="H148" s="15">
        <f>[1]Data!H139</f>
        <v>130</v>
      </c>
      <c r="I148" s="15">
        <f>[1]Data!I139</f>
        <v>0</v>
      </c>
      <c r="J148" s="1" t="str">
        <f>[1]Data!J139</f>
        <v>X</v>
      </c>
      <c r="K148" s="1" t="str">
        <f>[1]Data!K139</f>
        <v>X</v>
      </c>
      <c r="L148" s="1" t="str">
        <f>[1]Data!L139</f>
        <v>15:01:04</v>
      </c>
      <c r="M148" s="1">
        <f>[1]Data!M139</f>
        <v>46001</v>
      </c>
      <c r="N148" s="1">
        <f>[1]Data!N139</f>
        <v>44430</v>
      </c>
      <c r="O148" s="1" t="str">
        <f>[1]Data!O139</f>
        <v>X</v>
      </c>
      <c r="P148" s="1" t="str">
        <f>[1]Data!P139</f>
        <v>2025</v>
      </c>
      <c r="Q148" s="15">
        <f>[1]Data!Q139</f>
        <v>130</v>
      </c>
      <c r="R148" s="1" t="str">
        <f>[1]Data!R139</f>
        <v/>
      </c>
    </row>
    <row r="149" spans="1:18" x14ac:dyDescent="0.35">
      <c r="A149" s="1" t="str">
        <f>[1]Data!A140</f>
        <v>4000974</v>
      </c>
      <c r="B149" s="1" t="str">
        <f>[1]Data!B140</f>
        <v>3300</v>
      </c>
      <c r="C149" s="1" t="str">
        <f>[1]Data!C140</f>
        <v>3001</v>
      </c>
      <c r="D149" s="1" t="str">
        <f>[1]Data!D140</f>
        <v>L</v>
      </c>
      <c r="E149" s="1" t="str">
        <f>[1]Data!E140</f>
        <v/>
      </c>
      <c r="F149" s="1" t="str">
        <f>[1]Data!F140</f>
        <v>2026</v>
      </c>
      <c r="G149" s="1" t="str">
        <f>[1]Data!G140</f>
        <v>2</v>
      </c>
      <c r="H149" s="15">
        <f>[1]Data!H140</f>
        <v>234</v>
      </c>
      <c r="I149" s="15">
        <f>[1]Data!I140</f>
        <v>0</v>
      </c>
      <c r="J149" s="1" t="str">
        <f>[1]Data!J140</f>
        <v>X</v>
      </c>
      <c r="K149" s="1" t="str">
        <f>[1]Data!K140</f>
        <v>X</v>
      </c>
      <c r="L149" s="1" t="str">
        <f>[1]Data!L140</f>
        <v>15:03:05</v>
      </c>
      <c r="M149" s="1">
        <f>[1]Data!M140</f>
        <v>46001</v>
      </c>
      <c r="N149" s="1">
        <f>[1]Data!N140</f>
        <v>44430</v>
      </c>
      <c r="O149" s="1" t="str">
        <f>[1]Data!O140</f>
        <v>X</v>
      </c>
      <c r="P149" s="1" t="str">
        <f>[1]Data!P140</f>
        <v>2025</v>
      </c>
      <c r="Q149" s="15">
        <f>[1]Data!Q140</f>
        <v>234</v>
      </c>
      <c r="R149" s="1" t="str">
        <f>[1]Data!R140</f>
        <v/>
      </c>
    </row>
    <row r="150" spans="1:18" x14ac:dyDescent="0.35">
      <c r="A150" s="1" t="str">
        <f>[1]Data!A141</f>
        <v>4000975</v>
      </c>
      <c r="B150" s="1" t="str">
        <f>[1]Data!B141</f>
        <v>3300</v>
      </c>
      <c r="C150" s="1" t="str">
        <f>[1]Data!C141</f>
        <v>3001</v>
      </c>
      <c r="D150" s="1" t="str">
        <f>[1]Data!D141</f>
        <v>L</v>
      </c>
      <c r="E150" s="1" t="str">
        <f>[1]Data!E141</f>
        <v/>
      </c>
      <c r="F150" s="1" t="str">
        <f>[1]Data!F141</f>
        <v>2026</v>
      </c>
      <c r="G150" s="1" t="str">
        <f>[1]Data!G141</f>
        <v>2</v>
      </c>
      <c r="H150" s="15">
        <f>[1]Data!H141</f>
        <v>376</v>
      </c>
      <c r="I150" s="15">
        <f>[1]Data!I141</f>
        <v>126</v>
      </c>
      <c r="J150" s="1" t="str">
        <f>[1]Data!J141</f>
        <v>X</v>
      </c>
      <c r="K150" s="1" t="str">
        <f>[1]Data!K141</f>
        <v>X</v>
      </c>
      <c r="L150" s="1" t="str">
        <f>[1]Data!L141</f>
        <v>15:03:06</v>
      </c>
      <c r="M150" s="1">
        <f>[1]Data!M141</f>
        <v>46001</v>
      </c>
      <c r="N150" s="1">
        <f>[1]Data!N141</f>
        <v>44430</v>
      </c>
      <c r="O150" s="1" t="str">
        <f>[1]Data!O141</f>
        <v>X</v>
      </c>
      <c r="P150" s="1" t="str">
        <f>[1]Data!P141</f>
        <v>2025</v>
      </c>
      <c r="Q150" s="15">
        <f>[1]Data!Q141</f>
        <v>502</v>
      </c>
      <c r="R150" s="1" t="str">
        <f>[1]Data!R141</f>
        <v/>
      </c>
    </row>
    <row r="151" spans="1:18" x14ac:dyDescent="0.35">
      <c r="A151" s="1" t="str">
        <f>[1]Data!A142</f>
        <v>4000976</v>
      </c>
      <c r="B151" s="1" t="str">
        <f>[1]Data!B142</f>
        <v>3300</v>
      </c>
      <c r="C151" s="1" t="str">
        <f>[1]Data!C142</f>
        <v>3001</v>
      </c>
      <c r="D151" s="1" t="str">
        <f>[1]Data!D142</f>
        <v>L</v>
      </c>
      <c r="E151" s="1" t="str">
        <f>[1]Data!E142</f>
        <v/>
      </c>
      <c r="F151" s="1" t="str">
        <f>[1]Data!F142</f>
        <v>2026</v>
      </c>
      <c r="G151" s="1" t="str">
        <f>[1]Data!G142</f>
        <v>2</v>
      </c>
      <c r="H151" s="15">
        <f>[1]Data!H142</f>
        <v>80</v>
      </c>
      <c r="I151" s="15">
        <f>[1]Data!I142</f>
        <v>133</v>
      </c>
      <c r="J151" s="1" t="str">
        <f>[1]Data!J142</f>
        <v>X</v>
      </c>
      <c r="K151" s="1" t="str">
        <f>[1]Data!K142</f>
        <v>X</v>
      </c>
      <c r="L151" s="1" t="str">
        <f>[1]Data!L142</f>
        <v>15:02:01</v>
      </c>
      <c r="M151" s="1">
        <f>[1]Data!M142</f>
        <v>46001</v>
      </c>
      <c r="N151" s="1">
        <f>[1]Data!N142</f>
        <v>44430</v>
      </c>
      <c r="O151" s="1" t="str">
        <f>[1]Data!O142</f>
        <v>X</v>
      </c>
      <c r="P151" s="1" t="str">
        <f>[1]Data!P142</f>
        <v>2025</v>
      </c>
      <c r="Q151" s="15">
        <f>[1]Data!Q142</f>
        <v>213</v>
      </c>
      <c r="R151" s="1" t="str">
        <f>[1]Data!R142</f>
        <v/>
      </c>
    </row>
    <row r="152" spans="1:18" x14ac:dyDescent="0.35">
      <c r="A152" s="1" t="str">
        <f>[1]Data!A143</f>
        <v>4000977</v>
      </c>
      <c r="B152" s="1" t="str">
        <f>[1]Data!B143</f>
        <v>3300</v>
      </c>
      <c r="C152" s="1" t="str">
        <f>[1]Data!C143</f>
        <v>3001</v>
      </c>
      <c r="D152" s="1" t="str">
        <f>[1]Data!D143</f>
        <v>L</v>
      </c>
      <c r="E152" s="1" t="str">
        <f>[1]Data!E143</f>
        <v/>
      </c>
      <c r="F152" s="1" t="str">
        <f>[1]Data!F143</f>
        <v>2026</v>
      </c>
      <c r="G152" s="1" t="str">
        <f>[1]Data!G143</f>
        <v>2</v>
      </c>
      <c r="H152" s="15">
        <f>[1]Data!H143</f>
        <v>0</v>
      </c>
      <c r="I152" s="15">
        <f>[1]Data!I143</f>
        <v>0</v>
      </c>
      <c r="J152" s="1" t="str">
        <f>[1]Data!J143</f>
        <v>X</v>
      </c>
      <c r="K152" s="1" t="str">
        <f>[1]Data!K143</f>
        <v>X</v>
      </c>
      <c r="L152" s="1" t="str">
        <f>[1]Data!L143</f>
        <v>15:01:01</v>
      </c>
      <c r="M152" s="1">
        <f>[1]Data!M143</f>
        <v>46001</v>
      </c>
      <c r="N152" s="1">
        <f>[1]Data!N143</f>
        <v>44430</v>
      </c>
      <c r="O152" s="1" t="str">
        <f>[1]Data!O143</f>
        <v>X</v>
      </c>
      <c r="P152" s="1" t="str">
        <f>[1]Data!P143</f>
        <v>2025</v>
      </c>
      <c r="Q152" s="15">
        <f>[1]Data!Q143</f>
        <v>0</v>
      </c>
      <c r="R152" s="1" t="str">
        <f>[1]Data!R143</f>
        <v>INAKTIV</v>
      </c>
    </row>
    <row r="153" spans="1:18" x14ac:dyDescent="0.35">
      <c r="A153" s="1" t="str">
        <f>[1]Data!A144</f>
        <v>4000978</v>
      </c>
      <c r="B153" s="1" t="str">
        <f>[1]Data!B144</f>
        <v>3300</v>
      </c>
      <c r="C153" s="1" t="str">
        <f>[1]Data!C144</f>
        <v>3001</v>
      </c>
      <c r="D153" s="1" t="str">
        <f>[1]Data!D144</f>
        <v>L</v>
      </c>
      <c r="E153" s="1" t="str">
        <f>[1]Data!E144</f>
        <v/>
      </c>
      <c r="F153" s="1" t="str">
        <f>[1]Data!F144</f>
        <v>2026</v>
      </c>
      <c r="G153" s="1" t="str">
        <f>[1]Data!G144</f>
        <v>3</v>
      </c>
      <c r="H153" s="15">
        <f>[1]Data!H144</f>
        <v>189</v>
      </c>
      <c r="I153" s="15">
        <f>[1]Data!I144</f>
        <v>0</v>
      </c>
      <c r="J153" s="1" t="str">
        <f>[1]Data!J144</f>
        <v>X</v>
      </c>
      <c r="K153" s="1" t="str">
        <f>[1]Data!K144</f>
        <v>X</v>
      </c>
      <c r="L153" s="1" t="str">
        <f>[1]Data!L144</f>
        <v>13:13:03</v>
      </c>
      <c r="M153" s="1">
        <f>[1]Data!M144</f>
        <v>46001</v>
      </c>
      <c r="N153" s="1">
        <f>[1]Data!N144</f>
        <v>44430</v>
      </c>
      <c r="O153" s="1" t="str">
        <f>[1]Data!O144</f>
        <v>X</v>
      </c>
      <c r="P153" s="1" t="str">
        <f>[1]Data!P144</f>
        <v>2025</v>
      </c>
      <c r="Q153" s="15">
        <f>[1]Data!Q144</f>
        <v>189</v>
      </c>
      <c r="R153" s="1" t="str">
        <f>[1]Data!R144</f>
        <v/>
      </c>
    </row>
    <row r="154" spans="1:18" x14ac:dyDescent="0.35">
      <c r="A154" s="1" t="str">
        <f>[1]Data!A145</f>
        <v>4000979</v>
      </c>
      <c r="B154" s="1" t="str">
        <f>[1]Data!B145</f>
        <v>3300</v>
      </c>
      <c r="C154" s="1" t="str">
        <f>[1]Data!C145</f>
        <v>3001</v>
      </c>
      <c r="D154" s="1" t="str">
        <f>[1]Data!D145</f>
        <v>L</v>
      </c>
      <c r="E154" s="1" t="str">
        <f>[1]Data!E145</f>
        <v/>
      </c>
      <c r="F154" s="1" t="str">
        <f>[1]Data!F145</f>
        <v>2026</v>
      </c>
      <c r="G154" s="1" t="str">
        <f>[1]Data!G145</f>
        <v>2</v>
      </c>
      <c r="H154" s="15">
        <f>[1]Data!H145</f>
        <v>234</v>
      </c>
      <c r="I154" s="15">
        <f>[1]Data!I145</f>
        <v>0</v>
      </c>
      <c r="J154" s="1" t="str">
        <f>[1]Data!J145</f>
        <v>X</v>
      </c>
      <c r="K154" s="1" t="str">
        <f>[1]Data!K145</f>
        <v>X</v>
      </c>
      <c r="L154" s="1" t="str">
        <f>[1]Data!L145</f>
        <v>02:09:02</v>
      </c>
      <c r="M154" s="1">
        <f>[1]Data!M145</f>
        <v>45797</v>
      </c>
      <c r="N154" s="1">
        <f>[1]Data!N145</f>
        <v>44430</v>
      </c>
      <c r="O154" s="1" t="str">
        <f>[1]Data!O145</f>
        <v>X</v>
      </c>
      <c r="P154" s="1" t="str">
        <f>[1]Data!P145</f>
        <v>2025</v>
      </c>
      <c r="Q154" s="15">
        <f>[1]Data!Q145</f>
        <v>234</v>
      </c>
      <c r="R154" s="1" t="str">
        <f>[1]Data!R145</f>
        <v/>
      </c>
    </row>
    <row r="155" spans="1:18" x14ac:dyDescent="0.35">
      <c r="A155" s="1" t="str">
        <f>[1]Data!A146</f>
        <v>4000981</v>
      </c>
      <c r="B155" s="1" t="str">
        <f>[1]Data!B146</f>
        <v>3300</v>
      </c>
      <c r="C155" s="1" t="str">
        <f>[1]Data!C146</f>
        <v>3001</v>
      </c>
      <c r="D155" s="1" t="str">
        <f>[1]Data!D146</f>
        <v>L</v>
      </c>
      <c r="E155" s="1" t="str">
        <f>[1]Data!E146</f>
        <v/>
      </c>
      <c r="F155" s="1" t="str">
        <f>[1]Data!F146</f>
        <v>2021</v>
      </c>
      <c r="G155" s="1" t="str">
        <f>[1]Data!G146</f>
        <v>10</v>
      </c>
      <c r="H155" s="15">
        <f>[1]Data!H146</f>
        <v>0</v>
      </c>
      <c r="I155" s="15">
        <f>[1]Data!I146</f>
        <v>0</v>
      </c>
      <c r="J155" s="1" t="str">
        <f>[1]Data!J146</f>
        <v/>
      </c>
      <c r="K155" s="1" t="str">
        <f>[1]Data!K146</f>
        <v>X</v>
      </c>
      <c r="L155" s="1" t="str">
        <f>[1]Data!L146</f>
        <v>SLETTET</v>
      </c>
      <c r="M155" s="1">
        <f>[1]Data!M146</f>
        <v>44568</v>
      </c>
      <c r="N155" s="1">
        <f>[1]Data!N146</f>
        <v>44430</v>
      </c>
      <c r="O155" s="1" t="str">
        <f>[1]Data!O146</f>
        <v>X</v>
      </c>
      <c r="P155" s="1" t="str">
        <f>[1]Data!P146</f>
        <v>2023</v>
      </c>
      <c r="Q155" s="15">
        <f>[1]Data!Q146</f>
        <v>0</v>
      </c>
      <c r="R155" s="1" t="str">
        <f>[1]Data!R146</f>
        <v>INAKTIV</v>
      </c>
    </row>
    <row r="156" spans="1:18" x14ac:dyDescent="0.35">
      <c r="A156" s="1" t="str">
        <f>[1]Data!A147</f>
        <v>4000988</v>
      </c>
      <c r="B156" s="1" t="str">
        <f>[1]Data!B147</f>
        <v>3300</v>
      </c>
      <c r="C156" s="1" t="str">
        <f>[1]Data!C147</f>
        <v>3001</v>
      </c>
      <c r="D156" s="1" t="str">
        <f>[1]Data!D147</f>
        <v>L</v>
      </c>
      <c r="E156" s="1" t="str">
        <f>[1]Data!E147</f>
        <v/>
      </c>
      <c r="F156" s="1" t="str">
        <f>[1]Data!F147</f>
        <v>2026</v>
      </c>
      <c r="G156" s="1" t="str">
        <f>[1]Data!G147</f>
        <v>3</v>
      </c>
      <c r="H156" s="15">
        <f>[1]Data!H147</f>
        <v>439</v>
      </c>
      <c r="I156" s="15">
        <f>[1]Data!I147</f>
        <v>0</v>
      </c>
      <c r="J156" s="1" t="str">
        <f>[1]Data!J147</f>
        <v>X</v>
      </c>
      <c r="K156" s="1" t="str">
        <f>[1]Data!K147</f>
        <v>X</v>
      </c>
      <c r="L156" s="1" t="str">
        <f>[1]Data!L147</f>
        <v>03:01:01</v>
      </c>
      <c r="M156" s="1">
        <f>[1]Data!M147</f>
        <v>45798</v>
      </c>
      <c r="N156" s="1">
        <f>[1]Data!N147</f>
        <v>44430</v>
      </c>
      <c r="O156" s="1" t="str">
        <f>[1]Data!O147</f>
        <v>X</v>
      </c>
      <c r="P156" s="1" t="str">
        <f>[1]Data!P147</f>
        <v>2025</v>
      </c>
      <c r="Q156" s="15">
        <f>[1]Data!Q147</f>
        <v>439</v>
      </c>
      <c r="R156" s="1" t="str">
        <f>[1]Data!R147</f>
        <v/>
      </c>
    </row>
    <row r="157" spans="1:18" x14ac:dyDescent="0.35">
      <c r="A157" s="1" t="str">
        <f>[1]Data!A148</f>
        <v>4000989</v>
      </c>
      <c r="B157" s="1" t="str">
        <f>[1]Data!B148</f>
        <v>3300</v>
      </c>
      <c r="C157" s="1" t="str">
        <f>[1]Data!C148</f>
        <v>3001</v>
      </c>
      <c r="D157" s="1" t="str">
        <f>[1]Data!D148</f>
        <v>L</v>
      </c>
      <c r="E157" s="1" t="str">
        <f>[1]Data!E148</f>
        <v/>
      </c>
      <c r="F157" s="1" t="str">
        <f>[1]Data!F148</f>
        <v>2026</v>
      </c>
      <c r="G157" s="1" t="str">
        <f>[1]Data!G148</f>
        <v>2</v>
      </c>
      <c r="H157" s="15">
        <f>[1]Data!H148</f>
        <v>346</v>
      </c>
      <c r="I157" s="15">
        <f>[1]Data!I148</f>
        <v>0</v>
      </c>
      <c r="J157" s="1" t="str">
        <f>[1]Data!J148</f>
        <v>X</v>
      </c>
      <c r="K157" s="1" t="str">
        <f>[1]Data!K148</f>
        <v>X</v>
      </c>
      <c r="L157" s="1" t="str">
        <f>[1]Data!L148</f>
        <v>04:07:01</v>
      </c>
      <c r="M157" s="1">
        <f>[1]Data!M148</f>
        <v>45799</v>
      </c>
      <c r="N157" s="1">
        <f>[1]Data!N148</f>
        <v>44430</v>
      </c>
      <c r="O157" s="1" t="str">
        <f>[1]Data!O148</f>
        <v>X</v>
      </c>
      <c r="P157" s="1" t="str">
        <f>[1]Data!P148</f>
        <v>2025</v>
      </c>
      <c r="Q157" s="15">
        <f>[1]Data!Q148</f>
        <v>346</v>
      </c>
      <c r="R157" s="1" t="str">
        <f>[1]Data!R148</f>
        <v/>
      </c>
    </row>
    <row r="158" spans="1:18" x14ac:dyDescent="0.35">
      <c r="A158" s="1" t="str">
        <f>[1]Data!A149</f>
        <v>4001115</v>
      </c>
      <c r="B158" s="1" t="str">
        <f>[1]Data!B149</f>
        <v>3300</v>
      </c>
      <c r="C158" s="1" t="str">
        <f>[1]Data!C149</f>
        <v>3001</v>
      </c>
      <c r="D158" s="1" t="str">
        <f>[1]Data!D149</f>
        <v>L</v>
      </c>
      <c r="E158" s="1" t="str">
        <f>[1]Data!E149</f>
        <v/>
      </c>
      <c r="F158" s="1" t="str">
        <f>[1]Data!F149</f>
        <v>2026</v>
      </c>
      <c r="G158" s="1" t="str">
        <f>[1]Data!G149</f>
        <v>2</v>
      </c>
      <c r="H158" s="15">
        <f>[1]Data!H149</f>
        <v>1450</v>
      </c>
      <c r="I158" s="15">
        <f>[1]Data!I149</f>
        <v>0</v>
      </c>
      <c r="J158" s="1" t="str">
        <f>[1]Data!J149</f>
        <v>X</v>
      </c>
      <c r="K158" s="1" t="str">
        <f>[1]Data!K149</f>
        <v/>
      </c>
      <c r="L158" s="1" t="str">
        <f>[1]Data!L149</f>
        <v>17:02:02</v>
      </c>
      <c r="M158" s="1">
        <f>[1]Data!M149</f>
        <v>46029</v>
      </c>
      <c r="N158" s="1">
        <f>[1]Data!N149</f>
        <v>44430</v>
      </c>
      <c r="O158" s="1" t="str">
        <f>[1]Data!O149</f>
        <v>X</v>
      </c>
      <c r="P158" s="1" t="str">
        <f>[1]Data!P149</f>
        <v>2026</v>
      </c>
      <c r="Q158" s="15">
        <f>[1]Data!Q149</f>
        <v>1450</v>
      </c>
      <c r="R158" s="1" t="str">
        <f>[1]Data!R149</f>
        <v/>
      </c>
    </row>
    <row r="159" spans="1:18" x14ac:dyDescent="0.35">
      <c r="A159" s="1" t="str">
        <f>[1]Data!A150</f>
        <v>4001116</v>
      </c>
      <c r="B159" s="1" t="str">
        <f>[1]Data!B150</f>
        <v>3300</v>
      </c>
      <c r="C159" s="1" t="str">
        <f>[1]Data!C150</f>
        <v>3001</v>
      </c>
      <c r="D159" s="1" t="str">
        <f>[1]Data!D150</f>
        <v>L</v>
      </c>
      <c r="E159" s="1" t="str">
        <f>[1]Data!E150</f>
        <v/>
      </c>
      <c r="F159" s="1" t="str">
        <f>[1]Data!F150</f>
        <v>2026</v>
      </c>
      <c r="G159" s="1" t="str">
        <f>[1]Data!G150</f>
        <v>3</v>
      </c>
      <c r="H159" s="15">
        <f>[1]Data!H150</f>
        <v>201</v>
      </c>
      <c r="I159" s="15">
        <f>[1]Data!I150</f>
        <v>0</v>
      </c>
      <c r="J159" s="1" t="str">
        <f>[1]Data!J150</f>
        <v>X</v>
      </c>
      <c r="K159" s="1" t="str">
        <f>[1]Data!K150</f>
        <v>X</v>
      </c>
      <c r="L159" s="1" t="str">
        <f>[1]Data!L150</f>
        <v>04:05:02</v>
      </c>
      <c r="M159" s="1">
        <f>[1]Data!M150</f>
        <v>45798</v>
      </c>
      <c r="N159" s="1">
        <f>[1]Data!N150</f>
        <v>44430</v>
      </c>
      <c r="O159" s="1" t="str">
        <f>[1]Data!O150</f>
        <v>X</v>
      </c>
      <c r="P159" s="1" t="str">
        <f>[1]Data!P150</f>
        <v>2025</v>
      </c>
      <c r="Q159" s="15">
        <f>[1]Data!Q150</f>
        <v>201</v>
      </c>
      <c r="R159" s="1" t="str">
        <f>[1]Data!R150</f>
        <v/>
      </c>
    </row>
    <row r="160" spans="1:18" x14ac:dyDescent="0.35">
      <c r="A160" s="1" t="str">
        <f>[1]Data!A151</f>
        <v>4001117</v>
      </c>
      <c r="B160" s="1" t="str">
        <f>[1]Data!B151</f>
        <v>3300</v>
      </c>
      <c r="C160" s="1" t="str">
        <f>[1]Data!C151</f>
        <v>3001</v>
      </c>
      <c r="D160" s="1" t="str">
        <f>[1]Data!D151</f>
        <v>L</v>
      </c>
      <c r="E160" s="1" t="str">
        <f>[1]Data!E151</f>
        <v/>
      </c>
      <c r="F160" s="1" t="str">
        <f>[1]Data!F151</f>
        <v>2026</v>
      </c>
      <c r="G160" s="1" t="str">
        <f>[1]Data!G151</f>
        <v>2</v>
      </c>
      <c r="H160" s="15">
        <f>[1]Data!H151</f>
        <v>63</v>
      </c>
      <c r="I160" s="15">
        <f>[1]Data!I151</f>
        <v>0</v>
      </c>
      <c r="J160" s="1" t="str">
        <f>[1]Data!J151</f>
        <v>X</v>
      </c>
      <c r="K160" s="1" t="str">
        <f>[1]Data!K151</f>
        <v>X</v>
      </c>
      <c r="L160" s="1" t="str">
        <f>[1]Data!L151</f>
        <v>04:06:01</v>
      </c>
      <c r="M160" s="1">
        <f>[1]Data!M151</f>
        <v>45799</v>
      </c>
      <c r="N160" s="1">
        <f>[1]Data!N151</f>
        <v>44430</v>
      </c>
      <c r="O160" s="1" t="str">
        <f>[1]Data!O151</f>
        <v>X</v>
      </c>
      <c r="P160" s="1" t="str">
        <f>[1]Data!P151</f>
        <v>2025</v>
      </c>
      <c r="Q160" s="15">
        <f>[1]Data!Q151</f>
        <v>63</v>
      </c>
      <c r="R160" s="1" t="str">
        <f>[1]Data!R151</f>
        <v/>
      </c>
    </row>
    <row r="161" spans="1:18" x14ac:dyDescent="0.35">
      <c r="A161" s="1" t="str">
        <f>[1]Data!A152</f>
        <v>4001118</v>
      </c>
      <c r="B161" s="1" t="str">
        <f>[1]Data!B152</f>
        <v>3300</v>
      </c>
      <c r="C161" s="1" t="str">
        <f>[1]Data!C152</f>
        <v>3001</v>
      </c>
      <c r="D161" s="1" t="str">
        <f>[1]Data!D152</f>
        <v>L</v>
      </c>
      <c r="E161" s="1" t="str">
        <f>[1]Data!E152</f>
        <v/>
      </c>
      <c r="F161" s="1" t="str">
        <f>[1]Data!F152</f>
        <v>2026</v>
      </c>
      <c r="G161" s="1" t="str">
        <f>[1]Data!G152</f>
        <v>3</v>
      </c>
      <c r="H161" s="15">
        <f>[1]Data!H152</f>
        <v>126</v>
      </c>
      <c r="I161" s="15">
        <f>[1]Data!I152</f>
        <v>0</v>
      </c>
      <c r="J161" s="1" t="str">
        <f>[1]Data!J152</f>
        <v>X</v>
      </c>
      <c r="K161" s="1" t="str">
        <f>[1]Data!K152</f>
        <v>X</v>
      </c>
      <c r="L161" s="1" t="str">
        <f>[1]Data!L152</f>
        <v>04:05:01</v>
      </c>
      <c r="M161" s="1">
        <f>[1]Data!M152</f>
        <v>45798</v>
      </c>
      <c r="N161" s="1">
        <f>[1]Data!N152</f>
        <v>44430</v>
      </c>
      <c r="O161" s="1" t="str">
        <f>[1]Data!O152</f>
        <v>X</v>
      </c>
      <c r="P161" s="1" t="str">
        <f>[1]Data!P152</f>
        <v>2025</v>
      </c>
      <c r="Q161" s="15">
        <f>[1]Data!Q152</f>
        <v>126</v>
      </c>
      <c r="R161" s="1" t="str">
        <f>[1]Data!R152</f>
        <v/>
      </c>
    </row>
    <row r="162" spans="1:18" x14ac:dyDescent="0.35">
      <c r="A162" s="1" t="str">
        <f>[1]Data!A153</f>
        <v>4001120</v>
      </c>
      <c r="B162" s="1" t="str">
        <f>[1]Data!B153</f>
        <v>3300</v>
      </c>
      <c r="C162" s="1" t="str">
        <f>[1]Data!C153</f>
        <v>3001</v>
      </c>
      <c r="D162" s="1" t="str">
        <f>[1]Data!D153</f>
        <v>DL</v>
      </c>
      <c r="E162" s="1" t="str">
        <f>[1]Data!E153</f>
        <v/>
      </c>
      <c r="F162" s="1" t="str">
        <f>[1]Data!F153</f>
        <v>2026</v>
      </c>
      <c r="G162" s="1" t="str">
        <f>[1]Data!G153</f>
        <v>2</v>
      </c>
      <c r="H162" s="15">
        <f>[1]Data!H153</f>
        <v>130</v>
      </c>
      <c r="I162" s="15">
        <f>[1]Data!I153</f>
        <v>0</v>
      </c>
      <c r="J162" s="1" t="str">
        <f>[1]Data!J153</f>
        <v>X</v>
      </c>
      <c r="K162" s="1" t="str">
        <f>[1]Data!K153</f>
        <v>X</v>
      </c>
      <c r="L162" s="1" t="str">
        <f>[1]Data!L153</f>
        <v>04:08:03</v>
      </c>
      <c r="M162" s="1">
        <f>[1]Data!M153</f>
        <v>45799</v>
      </c>
      <c r="N162" s="1">
        <f>[1]Data!N153</f>
        <v>44594</v>
      </c>
      <c r="O162" s="1" t="str">
        <f>[1]Data!O153</f>
        <v>X</v>
      </c>
      <c r="P162" s="1" t="str">
        <f>[1]Data!P153</f>
        <v>2025</v>
      </c>
      <c r="Q162" s="15">
        <f>[1]Data!Q153</f>
        <v>130</v>
      </c>
      <c r="R162" s="1" t="str">
        <f>[1]Data!R153</f>
        <v/>
      </c>
    </row>
    <row r="163" spans="1:18" x14ac:dyDescent="0.35">
      <c r="A163" s="1" t="str">
        <f>[1]Data!A154</f>
        <v>4001122</v>
      </c>
      <c r="B163" s="1" t="str">
        <f>[1]Data!B154</f>
        <v>3300</v>
      </c>
      <c r="C163" s="1" t="str">
        <f>[1]Data!C154</f>
        <v>3001</v>
      </c>
      <c r="D163" s="1" t="str">
        <f>[1]Data!D154</f>
        <v>L</v>
      </c>
      <c r="E163" s="1" t="str">
        <f>[1]Data!E154</f>
        <v/>
      </c>
      <c r="F163" s="1" t="str">
        <f>[1]Data!F154</f>
        <v>2026</v>
      </c>
      <c r="G163" s="1" t="str">
        <f>[1]Data!G154</f>
        <v>3</v>
      </c>
      <c r="H163" s="15">
        <f>[1]Data!H154</f>
        <v>600</v>
      </c>
      <c r="I163" s="15">
        <f>[1]Data!I154</f>
        <v>0</v>
      </c>
      <c r="J163" s="1" t="str">
        <f>[1]Data!J154</f>
        <v>X</v>
      </c>
      <c r="K163" s="1" t="str">
        <f>[1]Data!K154</f>
        <v>X</v>
      </c>
      <c r="L163" s="1" t="str">
        <f>[1]Data!L154</f>
        <v>14:14:01</v>
      </c>
      <c r="M163" s="1">
        <f>[1]Data!M154</f>
        <v>46001</v>
      </c>
      <c r="N163" s="1">
        <f>[1]Data!N154</f>
        <v>44430</v>
      </c>
      <c r="O163" s="1" t="str">
        <f>[1]Data!O154</f>
        <v>X</v>
      </c>
      <c r="P163" s="1" t="str">
        <f>[1]Data!P154</f>
        <v>2025</v>
      </c>
      <c r="Q163" s="15">
        <f>[1]Data!Q154</f>
        <v>600</v>
      </c>
      <c r="R163" s="1" t="str">
        <f>[1]Data!R154</f>
        <v/>
      </c>
    </row>
    <row r="164" spans="1:18" x14ac:dyDescent="0.35">
      <c r="A164" s="1" t="str">
        <f>[1]Data!A155</f>
        <v>4001123</v>
      </c>
      <c r="B164" s="1" t="str">
        <f>[1]Data!B155</f>
        <v>3300</v>
      </c>
      <c r="C164" s="1" t="str">
        <f>[1]Data!C155</f>
        <v>3001</v>
      </c>
      <c r="D164" s="1" t="str">
        <f>[1]Data!D155</f>
        <v>L</v>
      </c>
      <c r="E164" s="1" t="str">
        <f>[1]Data!E155</f>
        <v/>
      </c>
      <c r="F164" s="1" t="str">
        <f>[1]Data!F155</f>
        <v>2026</v>
      </c>
      <c r="G164" s="1" t="str">
        <f>[1]Data!G155</f>
        <v>3</v>
      </c>
      <c r="H164" s="15">
        <f>[1]Data!H155</f>
        <v>0</v>
      </c>
      <c r="I164" s="15">
        <f>[1]Data!I155</f>
        <v>0</v>
      </c>
      <c r="J164" s="1" t="str">
        <f>[1]Data!J155</f>
        <v>X</v>
      </c>
      <c r="K164" s="1" t="str">
        <f>[1]Data!K155</f>
        <v>X</v>
      </c>
      <c r="L164" s="1" t="str">
        <f>[1]Data!L155</f>
        <v>14:14:02</v>
      </c>
      <c r="M164" s="1">
        <f>[1]Data!M155</f>
        <v>46001</v>
      </c>
      <c r="N164" s="1">
        <f>[1]Data!N155</f>
        <v>44430</v>
      </c>
      <c r="O164" s="1" t="str">
        <f>[1]Data!O155</f>
        <v>X</v>
      </c>
      <c r="P164" s="1" t="str">
        <f>[1]Data!P155</f>
        <v>2025</v>
      </c>
      <c r="Q164" s="15">
        <f>[1]Data!Q155</f>
        <v>0</v>
      </c>
      <c r="R164" s="1" t="str">
        <f>[1]Data!R155</f>
        <v>INAKTIV</v>
      </c>
    </row>
    <row r="165" spans="1:18" x14ac:dyDescent="0.35">
      <c r="A165" s="1" t="str">
        <f>[1]Data!A156</f>
        <v>4001124</v>
      </c>
      <c r="B165" s="1" t="str">
        <f>[1]Data!B156</f>
        <v>3300</v>
      </c>
      <c r="C165" s="1" t="str">
        <f>[1]Data!C156</f>
        <v>3001</v>
      </c>
      <c r="D165" s="1" t="str">
        <f>[1]Data!D156</f>
        <v>L</v>
      </c>
      <c r="E165" s="1" t="str">
        <f>[1]Data!E156</f>
        <v/>
      </c>
      <c r="F165" s="1" t="str">
        <f>[1]Data!F156</f>
        <v>2026</v>
      </c>
      <c r="G165" s="1" t="str">
        <f>[1]Data!G156</f>
        <v>2</v>
      </c>
      <c r="H165" s="15">
        <f>[1]Data!H156</f>
        <v>300</v>
      </c>
      <c r="I165" s="15">
        <f>[1]Data!I156</f>
        <v>0</v>
      </c>
      <c r="J165" s="1" t="str">
        <f>[1]Data!J156</f>
        <v>X</v>
      </c>
      <c r="K165" s="1" t="str">
        <f>[1]Data!K156</f>
        <v>X</v>
      </c>
      <c r="L165" s="1" t="str">
        <f>[1]Data!L156</f>
        <v>14:13:03</v>
      </c>
      <c r="M165" s="1">
        <f>[1]Data!M156</f>
        <v>46001</v>
      </c>
      <c r="N165" s="1">
        <f>[1]Data!N156</f>
        <v>44430</v>
      </c>
      <c r="O165" s="1" t="str">
        <f>[1]Data!O156</f>
        <v>X</v>
      </c>
      <c r="P165" s="1" t="str">
        <f>[1]Data!P156</f>
        <v>2025</v>
      </c>
      <c r="Q165" s="15">
        <f>[1]Data!Q156</f>
        <v>300</v>
      </c>
      <c r="R165" s="1" t="str">
        <f>[1]Data!R156</f>
        <v/>
      </c>
    </row>
    <row r="166" spans="1:18" x14ac:dyDescent="0.35">
      <c r="A166" s="1" t="str">
        <f>[1]Data!A157</f>
        <v>4001125</v>
      </c>
      <c r="B166" s="1" t="str">
        <f>[1]Data!B157</f>
        <v>3300</v>
      </c>
      <c r="C166" s="1" t="str">
        <f>[1]Data!C157</f>
        <v>3001</v>
      </c>
      <c r="D166" s="1" t="str">
        <f>[1]Data!D157</f>
        <v>L</v>
      </c>
      <c r="E166" s="1" t="str">
        <f>[1]Data!E157</f>
        <v/>
      </c>
      <c r="F166" s="1" t="str">
        <f>[1]Data!F157</f>
        <v>2026</v>
      </c>
      <c r="G166" s="1" t="str">
        <f>[1]Data!G157</f>
        <v>3</v>
      </c>
      <c r="H166" s="15">
        <f>[1]Data!H157</f>
        <v>825</v>
      </c>
      <c r="I166" s="15">
        <f>[1]Data!I157</f>
        <v>0</v>
      </c>
      <c r="J166" s="1" t="str">
        <f>[1]Data!J157</f>
        <v>X</v>
      </c>
      <c r="K166" s="1" t="str">
        <f>[1]Data!K157</f>
        <v>X</v>
      </c>
      <c r="L166" s="1" t="str">
        <f>[1]Data!L157</f>
        <v>15:10;03</v>
      </c>
      <c r="M166" s="1">
        <f>[1]Data!M157</f>
        <v>46006</v>
      </c>
      <c r="N166" s="1">
        <f>[1]Data!N157</f>
        <v>44430</v>
      </c>
      <c r="O166" s="1" t="str">
        <f>[1]Data!O157</f>
        <v>X</v>
      </c>
      <c r="P166" s="1" t="str">
        <f>[1]Data!P157</f>
        <v>2025</v>
      </c>
      <c r="Q166" s="15">
        <f>[1]Data!Q157</f>
        <v>825</v>
      </c>
      <c r="R166" s="1" t="str">
        <f>[1]Data!R157</f>
        <v/>
      </c>
    </row>
    <row r="167" spans="1:18" x14ac:dyDescent="0.35">
      <c r="A167" s="1" t="str">
        <f>[1]Data!A158</f>
        <v>4001127</v>
      </c>
      <c r="B167" s="1" t="str">
        <f>[1]Data!B158</f>
        <v>3300</v>
      </c>
      <c r="C167" s="1" t="str">
        <f>[1]Data!C158</f>
        <v>3001</v>
      </c>
      <c r="D167" s="1" t="str">
        <f>[1]Data!D158</f>
        <v>L</v>
      </c>
      <c r="E167" s="1" t="str">
        <f>[1]Data!E158</f>
        <v/>
      </c>
      <c r="F167" s="1" t="str">
        <f>[1]Data!F158</f>
        <v>2026</v>
      </c>
      <c r="G167" s="1" t="str">
        <f>[1]Data!G158</f>
        <v>3</v>
      </c>
      <c r="H167" s="15">
        <f>[1]Data!H158</f>
        <v>1238</v>
      </c>
      <c r="I167" s="15">
        <f>[1]Data!I158</f>
        <v>0</v>
      </c>
      <c r="J167" s="1" t="str">
        <f>[1]Data!J158</f>
        <v>X</v>
      </c>
      <c r="K167" s="1" t="str">
        <f>[1]Data!K158</f>
        <v>X</v>
      </c>
      <c r="L167" s="1" t="str">
        <f>[1]Data!L158</f>
        <v>04:03:02</v>
      </c>
      <c r="M167" s="1">
        <f>[1]Data!M158</f>
        <v>45798</v>
      </c>
      <c r="N167" s="1">
        <f>[1]Data!N158</f>
        <v>44430</v>
      </c>
      <c r="O167" s="1" t="str">
        <f>[1]Data!O158</f>
        <v>X</v>
      </c>
      <c r="P167" s="1" t="str">
        <f>[1]Data!P158</f>
        <v>2025</v>
      </c>
      <c r="Q167" s="15">
        <f>[1]Data!Q158</f>
        <v>1238</v>
      </c>
      <c r="R167" s="1" t="str">
        <f>[1]Data!R158</f>
        <v/>
      </c>
    </row>
    <row r="168" spans="1:18" x14ac:dyDescent="0.35">
      <c r="A168" s="1" t="str">
        <f>[1]Data!A159</f>
        <v>4001128</v>
      </c>
      <c r="B168" s="1" t="str">
        <f>[1]Data!B159</f>
        <v>3300</v>
      </c>
      <c r="C168" s="1" t="str">
        <f>[1]Data!C159</f>
        <v>3001</v>
      </c>
      <c r="D168" s="1" t="str">
        <f>[1]Data!D159</f>
        <v>L</v>
      </c>
      <c r="E168" s="1" t="str">
        <f>[1]Data!E159</f>
        <v/>
      </c>
      <c r="F168" s="1" t="str">
        <f>[1]Data!F159</f>
        <v>2026</v>
      </c>
      <c r="G168" s="1" t="str">
        <f>[1]Data!G159</f>
        <v>2</v>
      </c>
      <c r="H168" s="15">
        <f>[1]Data!H159</f>
        <v>486</v>
      </c>
      <c r="I168" s="15">
        <f>[1]Data!I159</f>
        <v>0</v>
      </c>
      <c r="J168" s="1" t="str">
        <f>[1]Data!J159</f>
        <v>X</v>
      </c>
      <c r="K168" s="1" t="str">
        <f>[1]Data!K159</f>
        <v>X</v>
      </c>
      <c r="L168" s="1" t="str">
        <f>[1]Data!L159</f>
        <v>04:04:01</v>
      </c>
      <c r="M168" s="1">
        <f>[1]Data!M159</f>
        <v>45798</v>
      </c>
      <c r="N168" s="1">
        <f>[1]Data!N159</f>
        <v>44430</v>
      </c>
      <c r="O168" s="1" t="str">
        <f>[1]Data!O159</f>
        <v>X</v>
      </c>
      <c r="P168" s="1" t="str">
        <f>[1]Data!P159</f>
        <v>2025</v>
      </c>
      <c r="Q168" s="15">
        <f>[1]Data!Q159</f>
        <v>486</v>
      </c>
      <c r="R168" s="1" t="str">
        <f>[1]Data!R159</f>
        <v/>
      </c>
    </row>
    <row r="169" spans="1:18" x14ac:dyDescent="0.35">
      <c r="A169" s="1" t="str">
        <f>[1]Data!A160</f>
        <v>4001129</v>
      </c>
      <c r="B169" s="1" t="str">
        <f>[1]Data!B160</f>
        <v>3300</v>
      </c>
      <c r="C169" s="1" t="str">
        <f>[1]Data!C160</f>
        <v>3001</v>
      </c>
      <c r="D169" s="1" t="str">
        <f>[1]Data!D160</f>
        <v>L</v>
      </c>
      <c r="E169" s="1" t="str">
        <f>[1]Data!E160</f>
        <v/>
      </c>
      <c r="F169" s="1" t="str">
        <f>[1]Data!F160</f>
        <v>2026</v>
      </c>
      <c r="G169" s="1" t="str">
        <f>[1]Data!G160</f>
        <v>3</v>
      </c>
      <c r="H169" s="15">
        <f>[1]Data!H160</f>
        <v>130</v>
      </c>
      <c r="I169" s="15">
        <f>[1]Data!I160</f>
        <v>0</v>
      </c>
      <c r="J169" s="1" t="str">
        <f>[1]Data!J160</f>
        <v>X</v>
      </c>
      <c r="K169" s="1" t="str">
        <f>[1]Data!K160</f>
        <v>X</v>
      </c>
      <c r="L169" s="1" t="str">
        <f>[1]Data!L160</f>
        <v>04:04:02</v>
      </c>
      <c r="M169" s="1">
        <f>[1]Data!M160</f>
        <v>45798</v>
      </c>
      <c r="N169" s="1">
        <f>[1]Data!N160</f>
        <v>44430</v>
      </c>
      <c r="O169" s="1" t="str">
        <f>[1]Data!O160</f>
        <v>X</v>
      </c>
      <c r="P169" s="1" t="str">
        <f>[1]Data!P160</f>
        <v>2025</v>
      </c>
      <c r="Q169" s="15">
        <f>[1]Data!Q160</f>
        <v>130</v>
      </c>
      <c r="R169" s="1" t="str">
        <f>[1]Data!R160</f>
        <v/>
      </c>
    </row>
    <row r="170" spans="1:18" x14ac:dyDescent="0.35">
      <c r="A170" s="1" t="str">
        <f>[1]Data!A161</f>
        <v>4001130</v>
      </c>
      <c r="B170" s="1" t="str">
        <f>[1]Data!B161</f>
        <v>3300</v>
      </c>
      <c r="C170" s="1" t="str">
        <f>[1]Data!C161</f>
        <v>3001</v>
      </c>
      <c r="D170" s="1" t="str">
        <f>[1]Data!D161</f>
        <v>L</v>
      </c>
      <c r="E170" s="1" t="str">
        <f>[1]Data!E161</f>
        <v/>
      </c>
      <c r="F170" s="1" t="str">
        <f>[1]Data!F161</f>
        <v>2023</v>
      </c>
      <c r="G170" s="1" t="str">
        <f>[1]Data!G161</f>
        <v>4</v>
      </c>
      <c r="H170" s="15">
        <f>[1]Data!H161</f>
        <v>0</v>
      </c>
      <c r="I170" s="15">
        <f>[1]Data!I161</f>
        <v>0</v>
      </c>
      <c r="J170" s="1" t="str">
        <f>[1]Data!J161</f>
        <v/>
      </c>
      <c r="K170" s="1" t="str">
        <f>[1]Data!K161</f>
        <v>X</v>
      </c>
      <c r="L170" s="1" t="str">
        <f>[1]Data!L161</f>
        <v>SLETTET</v>
      </c>
      <c r="M170" s="1">
        <f>[1]Data!M161</f>
        <v>44568</v>
      </c>
      <c r="N170" s="1">
        <f>[1]Data!N161</f>
        <v>44430</v>
      </c>
      <c r="O170" s="1" t="str">
        <f>[1]Data!O161</f>
        <v>X</v>
      </c>
      <c r="P170" s="1" t="str">
        <f>[1]Data!P161</f>
        <v>2023</v>
      </c>
      <c r="Q170" s="15">
        <f>[1]Data!Q161</f>
        <v>0</v>
      </c>
      <c r="R170" s="1" t="str">
        <f>[1]Data!R161</f>
        <v>INAKTIV</v>
      </c>
    </row>
    <row r="171" spans="1:18" x14ac:dyDescent="0.35">
      <c r="A171" s="1" t="str">
        <f>[1]Data!A162</f>
        <v>4001133</v>
      </c>
      <c r="B171" s="1" t="str">
        <f>[1]Data!B162</f>
        <v>3300</v>
      </c>
      <c r="C171" s="1" t="str">
        <f>[1]Data!C162</f>
        <v>3001</v>
      </c>
      <c r="D171" s="1" t="str">
        <f>[1]Data!D162</f>
        <v>DL</v>
      </c>
      <c r="E171" s="1" t="str">
        <f>[1]Data!E162</f>
        <v/>
      </c>
      <c r="F171" s="1" t="str">
        <f>[1]Data!F162</f>
        <v>2026</v>
      </c>
      <c r="G171" s="1" t="str">
        <f>[1]Data!G162</f>
        <v>2</v>
      </c>
      <c r="H171" s="15">
        <f>[1]Data!H162</f>
        <v>180</v>
      </c>
      <c r="I171" s="15">
        <f>[1]Data!I162</f>
        <v>0</v>
      </c>
      <c r="J171" s="1" t="str">
        <f>[1]Data!J162</f>
        <v>X</v>
      </c>
      <c r="K171" s="1" t="str">
        <f>[1]Data!K162</f>
        <v>X</v>
      </c>
      <c r="L171" s="1" t="str">
        <f>[1]Data!L162</f>
        <v>04:11:02</v>
      </c>
      <c r="M171" s="1">
        <f>[1]Data!M162</f>
        <v>45800</v>
      </c>
      <c r="N171" s="1">
        <f>[1]Data!N162</f>
        <v>44903</v>
      </c>
      <c r="O171" s="1" t="str">
        <f>[1]Data!O162</f>
        <v>X</v>
      </c>
      <c r="P171" s="1" t="str">
        <f>[1]Data!P162</f>
        <v>2025</v>
      </c>
      <c r="Q171" s="15">
        <f>[1]Data!Q162</f>
        <v>180</v>
      </c>
      <c r="R171" s="1" t="str">
        <f>[1]Data!R162</f>
        <v/>
      </c>
    </row>
    <row r="172" spans="1:18" x14ac:dyDescent="0.35">
      <c r="A172" s="1" t="str">
        <f>[1]Data!A163</f>
        <v>4001134</v>
      </c>
      <c r="B172" s="1" t="str">
        <f>[1]Data!B163</f>
        <v>3300</v>
      </c>
      <c r="C172" s="1" t="str">
        <f>[1]Data!C163</f>
        <v>3001</v>
      </c>
      <c r="D172" s="1" t="str">
        <f>[1]Data!D163</f>
        <v>DL</v>
      </c>
      <c r="E172" s="1" t="str">
        <f>[1]Data!E163</f>
        <v/>
      </c>
      <c r="F172" s="1" t="str">
        <f>[1]Data!F163</f>
        <v>2026</v>
      </c>
      <c r="G172" s="1" t="str">
        <f>[1]Data!G163</f>
        <v>1</v>
      </c>
      <c r="H172" s="15">
        <f>[1]Data!H163</f>
        <v>70</v>
      </c>
      <c r="I172" s="15">
        <f>[1]Data!I163</f>
        <v>0</v>
      </c>
      <c r="J172" s="1" t="str">
        <f>[1]Data!J163</f>
        <v>X</v>
      </c>
      <c r="K172" s="1" t="str">
        <f>[1]Data!K163</f>
        <v>X</v>
      </c>
      <c r="L172" s="1" t="str">
        <f>[1]Data!L163</f>
        <v>04:11:02</v>
      </c>
      <c r="M172" s="1">
        <f>[1]Data!M163</f>
        <v>45800</v>
      </c>
      <c r="N172" s="1">
        <f>[1]Data!N163</f>
        <v>44903</v>
      </c>
      <c r="O172" s="1" t="str">
        <f>[1]Data!O163</f>
        <v>X</v>
      </c>
      <c r="P172" s="1" t="str">
        <f>[1]Data!P163</f>
        <v>2025</v>
      </c>
      <c r="Q172" s="15">
        <f>[1]Data!Q163</f>
        <v>70</v>
      </c>
      <c r="R172" s="1" t="str">
        <f>[1]Data!R163</f>
        <v/>
      </c>
    </row>
    <row r="173" spans="1:18" x14ac:dyDescent="0.35">
      <c r="A173" s="1" t="str">
        <f>[1]Data!A164</f>
        <v>4001135</v>
      </c>
      <c r="B173" s="1" t="str">
        <f>[1]Data!B164</f>
        <v>3300</v>
      </c>
      <c r="C173" s="1" t="str">
        <f>[1]Data!C164</f>
        <v>3001</v>
      </c>
      <c r="D173" s="1" t="str">
        <f>[1]Data!D164</f>
        <v>DL</v>
      </c>
      <c r="E173" s="1" t="str">
        <f>[1]Data!E164</f>
        <v/>
      </c>
      <c r="F173" s="1" t="str">
        <f>[1]Data!F164</f>
        <v>2026</v>
      </c>
      <c r="G173" s="1" t="str">
        <f>[1]Data!G164</f>
        <v>2</v>
      </c>
      <c r="H173" s="15">
        <f>[1]Data!H164</f>
        <v>100</v>
      </c>
      <c r="I173" s="15">
        <f>[1]Data!I164</f>
        <v>0</v>
      </c>
      <c r="J173" s="1" t="str">
        <f>[1]Data!J164</f>
        <v>X</v>
      </c>
      <c r="K173" s="1" t="str">
        <f>[1]Data!K164</f>
        <v>X</v>
      </c>
      <c r="L173" s="1" t="str">
        <f>[1]Data!L164</f>
        <v>03:05:02</v>
      </c>
      <c r="M173" s="1">
        <f>[1]Data!M164</f>
        <v>45798</v>
      </c>
      <c r="N173" s="1">
        <f>[1]Data!N164</f>
        <v>44903</v>
      </c>
      <c r="O173" s="1" t="str">
        <f>[1]Data!O164</f>
        <v>X</v>
      </c>
      <c r="P173" s="1" t="str">
        <f>[1]Data!P164</f>
        <v>2025</v>
      </c>
      <c r="Q173" s="15">
        <f>[1]Data!Q164</f>
        <v>100</v>
      </c>
      <c r="R173" s="1" t="str">
        <f>[1]Data!R164</f>
        <v/>
      </c>
    </row>
    <row r="174" spans="1:18" x14ac:dyDescent="0.35">
      <c r="A174" s="1" t="str">
        <f>[1]Data!A165</f>
        <v>4001136</v>
      </c>
      <c r="B174" s="1" t="str">
        <f>[1]Data!B165</f>
        <v>3300</v>
      </c>
      <c r="C174" s="1" t="str">
        <f>[1]Data!C165</f>
        <v>3001</v>
      </c>
      <c r="D174" s="1" t="str">
        <f>[1]Data!D165</f>
        <v>DL</v>
      </c>
      <c r="E174" s="1" t="str">
        <f>[1]Data!E165</f>
        <v/>
      </c>
      <c r="F174" s="1" t="str">
        <f>[1]Data!F165</f>
        <v>2026</v>
      </c>
      <c r="G174" s="1" t="str">
        <f>[1]Data!G165</f>
        <v>2</v>
      </c>
      <c r="H174" s="15">
        <f>[1]Data!H165</f>
        <v>270</v>
      </c>
      <c r="I174" s="15">
        <f>[1]Data!I165</f>
        <v>0</v>
      </c>
      <c r="J174" s="1" t="str">
        <f>[1]Data!J165</f>
        <v>X</v>
      </c>
      <c r="K174" s="1" t="str">
        <f>[1]Data!K165</f>
        <v>X</v>
      </c>
      <c r="L174" s="1" t="str">
        <f>[1]Data!L165</f>
        <v>03;07;03</v>
      </c>
      <c r="M174" s="1">
        <f>[1]Data!M165</f>
        <v>45798</v>
      </c>
      <c r="N174" s="1">
        <f>[1]Data!N165</f>
        <v>44908</v>
      </c>
      <c r="O174" s="1" t="str">
        <f>[1]Data!O165</f>
        <v>X</v>
      </c>
      <c r="P174" s="1" t="str">
        <f>[1]Data!P165</f>
        <v>2025</v>
      </c>
      <c r="Q174" s="15">
        <f>[1]Data!Q165</f>
        <v>270</v>
      </c>
      <c r="R174" s="1" t="str">
        <f>[1]Data!R165</f>
        <v/>
      </c>
    </row>
    <row r="175" spans="1:18" x14ac:dyDescent="0.35">
      <c r="A175" s="1" t="str">
        <f>[1]Data!A166</f>
        <v>4001137</v>
      </c>
      <c r="B175" s="1" t="str">
        <f>[1]Data!B166</f>
        <v>3300</v>
      </c>
      <c r="C175" s="1" t="str">
        <f>[1]Data!C166</f>
        <v>3001</v>
      </c>
      <c r="D175" s="1" t="str">
        <f>[1]Data!D166</f>
        <v>DL</v>
      </c>
      <c r="E175" s="1" t="str">
        <f>[1]Data!E166</f>
        <v/>
      </c>
      <c r="F175" s="1" t="str">
        <f>[1]Data!F166</f>
        <v>2026</v>
      </c>
      <c r="G175" s="1" t="str">
        <f>[1]Data!G166</f>
        <v>2</v>
      </c>
      <c r="H175" s="15">
        <f>[1]Data!H166</f>
        <v>340</v>
      </c>
      <c r="I175" s="15">
        <f>[1]Data!I166</f>
        <v>0</v>
      </c>
      <c r="J175" s="1" t="str">
        <f>[1]Data!J166</f>
        <v>X</v>
      </c>
      <c r="K175" s="1" t="str">
        <f>[1]Data!K166</f>
        <v>X</v>
      </c>
      <c r="L175" s="1" t="str">
        <f>[1]Data!L166</f>
        <v>04:01:01</v>
      </c>
      <c r="M175" s="1">
        <f>[1]Data!M166</f>
        <v>45798</v>
      </c>
      <c r="N175" s="1">
        <f>[1]Data!N166</f>
        <v>44908</v>
      </c>
      <c r="O175" s="1" t="str">
        <f>[1]Data!O166</f>
        <v>X</v>
      </c>
      <c r="P175" s="1" t="str">
        <f>[1]Data!P166</f>
        <v>2025</v>
      </c>
      <c r="Q175" s="15">
        <f>[1]Data!Q166</f>
        <v>340</v>
      </c>
      <c r="R175" s="1" t="str">
        <f>[1]Data!R166</f>
        <v/>
      </c>
    </row>
    <row r="176" spans="1:18" x14ac:dyDescent="0.35">
      <c r="A176" s="1" t="str">
        <f>[1]Data!A167</f>
        <v>4001138</v>
      </c>
      <c r="B176" s="1" t="str">
        <f>[1]Data!B167</f>
        <v>3300</v>
      </c>
      <c r="C176" s="1" t="str">
        <f>[1]Data!C167</f>
        <v>3001</v>
      </c>
      <c r="D176" s="1" t="str">
        <f>[1]Data!D167</f>
        <v>DL</v>
      </c>
      <c r="E176" s="1" t="str">
        <f>[1]Data!E167</f>
        <v/>
      </c>
      <c r="F176" s="1" t="str">
        <f>[1]Data!F167</f>
        <v>2026</v>
      </c>
      <c r="G176" s="1" t="str">
        <f>[1]Data!G167</f>
        <v>2</v>
      </c>
      <c r="H176" s="15">
        <f>[1]Data!H167</f>
        <v>340</v>
      </c>
      <c r="I176" s="15">
        <f>[1]Data!I167</f>
        <v>0</v>
      </c>
      <c r="J176" s="1" t="str">
        <f>[1]Data!J167</f>
        <v>X</v>
      </c>
      <c r="K176" s="1" t="str">
        <f>[1]Data!K167</f>
        <v>X</v>
      </c>
      <c r="L176" s="1" t="str">
        <f>[1]Data!L167</f>
        <v>04:09:02</v>
      </c>
      <c r="M176" s="1">
        <f>[1]Data!M167</f>
        <v>45799</v>
      </c>
      <c r="N176" s="1">
        <f>[1]Data!N167</f>
        <v>44908</v>
      </c>
      <c r="O176" s="1" t="str">
        <f>[1]Data!O167</f>
        <v>X</v>
      </c>
      <c r="P176" s="1" t="str">
        <f>[1]Data!P167</f>
        <v>2025</v>
      </c>
      <c r="Q176" s="15">
        <f>[1]Data!Q167</f>
        <v>340</v>
      </c>
      <c r="R176" s="1" t="str">
        <f>[1]Data!R167</f>
        <v/>
      </c>
    </row>
    <row r="177" spans="1:18" x14ac:dyDescent="0.35">
      <c r="A177" s="1" t="str">
        <f>[1]Data!A168</f>
        <v>4001160</v>
      </c>
      <c r="B177" s="1" t="str">
        <f>[1]Data!B168</f>
        <v>3300</v>
      </c>
      <c r="C177" s="1" t="str">
        <f>[1]Data!C168</f>
        <v>3001</v>
      </c>
      <c r="D177" s="1" t="str">
        <f>[1]Data!D168</f>
        <v>L</v>
      </c>
      <c r="E177" s="1" t="str">
        <f>[1]Data!E168</f>
        <v/>
      </c>
      <c r="F177" s="1" t="str">
        <f>[1]Data!F168</f>
        <v>2026</v>
      </c>
      <c r="G177" s="1" t="str">
        <f>[1]Data!G168</f>
        <v>2</v>
      </c>
      <c r="H177" s="15">
        <f>[1]Data!H168</f>
        <v>630</v>
      </c>
      <c r="I177" s="15">
        <f>[1]Data!I168</f>
        <v>0</v>
      </c>
      <c r="J177" s="1" t="str">
        <f>[1]Data!J168</f>
        <v>X</v>
      </c>
      <c r="K177" s="1" t="str">
        <f>[1]Data!K168</f>
        <v>X</v>
      </c>
      <c r="L177" s="1" t="str">
        <f>[1]Data!L168</f>
        <v>07:07:01</v>
      </c>
      <c r="M177" s="1">
        <f>[1]Data!M168</f>
        <v>45824</v>
      </c>
      <c r="N177" s="1">
        <f>[1]Data!N168</f>
        <v>44430</v>
      </c>
      <c r="O177" s="1" t="str">
        <f>[1]Data!O168</f>
        <v>X</v>
      </c>
      <c r="P177" s="1" t="str">
        <f>[1]Data!P168</f>
        <v>2025</v>
      </c>
      <c r="Q177" s="15">
        <f>[1]Data!Q168</f>
        <v>630</v>
      </c>
      <c r="R177" s="1" t="str">
        <f>[1]Data!R168</f>
        <v/>
      </c>
    </row>
    <row r="178" spans="1:18" x14ac:dyDescent="0.35">
      <c r="A178" s="1" t="str">
        <f>[1]Data!A169</f>
        <v>4001161</v>
      </c>
      <c r="B178" s="1" t="str">
        <f>[1]Data!B169</f>
        <v>3300</v>
      </c>
      <c r="C178" s="1" t="str">
        <f>[1]Data!C169</f>
        <v>3001</v>
      </c>
      <c r="D178" s="1" t="str">
        <f>[1]Data!D169</f>
        <v>DL</v>
      </c>
      <c r="E178" s="1" t="str">
        <f>[1]Data!E169</f>
        <v/>
      </c>
      <c r="F178" s="1" t="str">
        <f>[1]Data!F169</f>
        <v>2025</v>
      </c>
      <c r="G178" s="1" t="str">
        <f>[1]Data!G169</f>
        <v>5</v>
      </c>
      <c r="H178" s="15">
        <f>[1]Data!H169</f>
        <v>0</v>
      </c>
      <c r="I178" s="15">
        <f>[1]Data!I169</f>
        <v>0</v>
      </c>
      <c r="J178" s="1" t="str">
        <f>[1]Data!J169</f>
        <v/>
      </c>
      <c r="K178" s="1" t="str">
        <f>[1]Data!K169</f>
        <v/>
      </c>
      <c r="L178" s="1" t="str">
        <f>[1]Data!L169</f>
        <v>SLETTET</v>
      </c>
      <c r="M178" s="1" t="str">
        <f>[1]Data!M169</f>
        <v/>
      </c>
      <c r="N178" s="1">
        <f>[1]Data!N169</f>
        <v>44873</v>
      </c>
      <c r="O178" s="1" t="str">
        <f>[1]Data!O169</f>
        <v>X</v>
      </c>
      <c r="P178" s="1" t="str">
        <f>[1]Data!P169</f>
        <v>2022</v>
      </c>
      <c r="Q178" s="15">
        <f>[1]Data!Q169</f>
        <v>0</v>
      </c>
      <c r="R178" s="1" t="str">
        <f>[1]Data!R169</f>
        <v>INAKTIV</v>
      </c>
    </row>
    <row r="179" spans="1:18" x14ac:dyDescent="0.35">
      <c r="A179" s="1" t="str">
        <f>[1]Data!A170</f>
        <v>4001170</v>
      </c>
      <c r="B179" s="1" t="str">
        <f>[1]Data!B170</f>
        <v>3300</v>
      </c>
      <c r="C179" s="1" t="str">
        <f>[1]Data!C170</f>
        <v>3001</v>
      </c>
      <c r="D179" s="1" t="str">
        <f>[1]Data!D170</f>
        <v>L</v>
      </c>
      <c r="E179" s="1" t="str">
        <f>[1]Data!E170</f>
        <v/>
      </c>
      <c r="F179" s="1" t="str">
        <f>[1]Data!F170</f>
        <v>2024</v>
      </c>
      <c r="G179" s="1" t="str">
        <f>[1]Data!G170</f>
        <v>6</v>
      </c>
      <c r="H179" s="15">
        <f>[1]Data!H170</f>
        <v>0</v>
      </c>
      <c r="I179" s="15">
        <f>[1]Data!I170</f>
        <v>0</v>
      </c>
      <c r="J179" s="1" t="str">
        <f>[1]Data!J170</f>
        <v/>
      </c>
      <c r="K179" s="1" t="str">
        <f>[1]Data!K170</f>
        <v/>
      </c>
      <c r="L179" s="1" t="str">
        <f>[1]Data!L170</f>
        <v/>
      </c>
      <c r="M179" s="1" t="str">
        <f>[1]Data!M170</f>
        <v/>
      </c>
      <c r="N179" s="1">
        <f>[1]Data!N170</f>
        <v>45450</v>
      </c>
      <c r="O179" s="1" t="str">
        <f>[1]Data!O170</f>
        <v>X</v>
      </c>
      <c r="P179" s="1" t="str">
        <f>[1]Data!P170</f>
        <v>2024</v>
      </c>
      <c r="Q179" s="15">
        <f>[1]Data!Q170</f>
        <v>0</v>
      </c>
      <c r="R179" s="1" t="str">
        <f>[1]Data!R170</f>
        <v>INAKTIV</v>
      </c>
    </row>
    <row r="180" spans="1:18" x14ac:dyDescent="0.35">
      <c r="A180" s="1" t="str">
        <f>[1]Data!A171</f>
        <v>4001194</v>
      </c>
      <c r="B180" s="1" t="str">
        <f>[1]Data!B171</f>
        <v>3300</v>
      </c>
      <c r="C180" s="1" t="str">
        <f>[1]Data!C171</f>
        <v>3001</v>
      </c>
      <c r="D180" s="1" t="str">
        <f>[1]Data!D171</f>
        <v>L</v>
      </c>
      <c r="E180" s="1" t="str">
        <f>[1]Data!E171</f>
        <v/>
      </c>
      <c r="F180" s="1" t="str">
        <f>[1]Data!F171</f>
        <v>2024</v>
      </c>
      <c r="G180" s="1" t="str">
        <f>[1]Data!G171</f>
        <v>7</v>
      </c>
      <c r="H180" s="15">
        <f>[1]Data!H171</f>
        <v>0</v>
      </c>
      <c r="I180" s="15">
        <f>[1]Data!I171</f>
        <v>0</v>
      </c>
      <c r="J180" s="1" t="str">
        <f>[1]Data!J171</f>
        <v>X</v>
      </c>
      <c r="K180" s="1" t="str">
        <f>[1]Data!K171</f>
        <v>X</v>
      </c>
      <c r="L180" s="1" t="str">
        <f>[1]Data!L171</f>
        <v>SLETTET</v>
      </c>
      <c r="M180" s="1">
        <f>[1]Data!M171</f>
        <v>45355</v>
      </c>
      <c r="N180" s="1">
        <f>[1]Data!N171</f>
        <v>44430</v>
      </c>
      <c r="O180" s="1" t="str">
        <f>[1]Data!O171</f>
        <v>X</v>
      </c>
      <c r="P180" s="1" t="str">
        <f>[1]Data!P171</f>
        <v>2024</v>
      </c>
      <c r="Q180" s="15">
        <f>[1]Data!Q171</f>
        <v>0</v>
      </c>
      <c r="R180" s="1" t="str">
        <f>[1]Data!R171</f>
        <v>INAKTIV</v>
      </c>
    </row>
    <row r="181" spans="1:18" x14ac:dyDescent="0.35">
      <c r="A181" s="1" t="str">
        <f>[1]Data!A172</f>
        <v>4001207</v>
      </c>
      <c r="B181" s="1" t="str">
        <f>[1]Data!B172</f>
        <v>3300</v>
      </c>
      <c r="C181" s="1" t="str">
        <f>[1]Data!C172</f>
        <v>3001</v>
      </c>
      <c r="D181" s="1" t="str">
        <f>[1]Data!D172</f>
        <v>L</v>
      </c>
      <c r="E181" s="1" t="str">
        <f>[1]Data!E172</f>
        <v/>
      </c>
      <c r="F181" s="1" t="str">
        <f>[1]Data!F172</f>
        <v>2026</v>
      </c>
      <c r="G181" s="1" t="str">
        <f>[1]Data!G172</f>
        <v>3</v>
      </c>
      <c r="H181" s="15">
        <f>[1]Data!H172</f>
        <v>276</v>
      </c>
      <c r="I181" s="15">
        <f>[1]Data!I172</f>
        <v>0</v>
      </c>
      <c r="J181" s="1" t="str">
        <f>[1]Data!J172</f>
        <v>X</v>
      </c>
      <c r="K181" s="1" t="str">
        <f>[1]Data!K172</f>
        <v>X</v>
      </c>
      <c r="L181" s="1" t="str">
        <f>[1]Data!L172</f>
        <v>02:04:02</v>
      </c>
      <c r="M181" s="1">
        <f>[1]Data!M172</f>
        <v>45796</v>
      </c>
      <c r="N181" s="1">
        <f>[1]Data!N172</f>
        <v>44430</v>
      </c>
      <c r="O181" s="1" t="str">
        <f>[1]Data!O172</f>
        <v>X</v>
      </c>
      <c r="P181" s="1" t="str">
        <f>[1]Data!P172</f>
        <v>2025</v>
      </c>
      <c r="Q181" s="15">
        <f>[1]Data!Q172</f>
        <v>276</v>
      </c>
      <c r="R181" s="1" t="str">
        <f>[1]Data!R172</f>
        <v/>
      </c>
    </row>
    <row r="182" spans="1:18" x14ac:dyDescent="0.35">
      <c r="A182" s="1" t="str">
        <f>[1]Data!A173</f>
        <v>4001208</v>
      </c>
      <c r="B182" s="1" t="str">
        <f>[1]Data!B173</f>
        <v>3300</v>
      </c>
      <c r="C182" s="1" t="str">
        <f>[1]Data!C173</f>
        <v>3001</v>
      </c>
      <c r="D182" s="1" t="str">
        <f>[1]Data!D173</f>
        <v>L</v>
      </c>
      <c r="E182" s="1" t="str">
        <f>[1]Data!E173</f>
        <v/>
      </c>
      <c r="F182" s="1" t="str">
        <f>[1]Data!F173</f>
        <v>2026</v>
      </c>
      <c r="G182" s="1" t="str">
        <f>[1]Data!G173</f>
        <v>3</v>
      </c>
      <c r="H182" s="15">
        <f>[1]Data!H173</f>
        <v>191</v>
      </c>
      <c r="I182" s="15">
        <f>[1]Data!I173</f>
        <v>0</v>
      </c>
      <c r="J182" s="1" t="str">
        <f>[1]Data!J173</f>
        <v>X</v>
      </c>
      <c r="K182" s="1" t="str">
        <f>[1]Data!K173</f>
        <v>X</v>
      </c>
      <c r="L182" s="1" t="str">
        <f>[1]Data!L173</f>
        <v>02:07:01</v>
      </c>
      <c r="M182" s="1">
        <f>[1]Data!M173</f>
        <v>45796</v>
      </c>
      <c r="N182" s="1">
        <f>[1]Data!N173</f>
        <v>44430</v>
      </c>
      <c r="O182" s="1" t="str">
        <f>[1]Data!O173</f>
        <v>X</v>
      </c>
      <c r="P182" s="1" t="str">
        <f>[1]Data!P173</f>
        <v>2025</v>
      </c>
      <c r="Q182" s="15">
        <f>[1]Data!Q173</f>
        <v>191</v>
      </c>
      <c r="R182" s="1" t="str">
        <f>[1]Data!R173</f>
        <v/>
      </c>
    </row>
    <row r="183" spans="1:18" x14ac:dyDescent="0.35">
      <c r="A183" s="1" t="str">
        <f>[1]Data!A174</f>
        <v>4001211</v>
      </c>
      <c r="B183" s="1" t="str">
        <f>[1]Data!B174</f>
        <v>3300</v>
      </c>
      <c r="C183" s="1" t="str">
        <f>[1]Data!C174</f>
        <v>3001</v>
      </c>
      <c r="D183" s="1" t="str">
        <f>[1]Data!D174</f>
        <v>L</v>
      </c>
      <c r="E183" s="1" t="str">
        <f>[1]Data!E174</f>
        <v/>
      </c>
      <c r="F183" s="1" t="str">
        <f>[1]Data!F174</f>
        <v>2026</v>
      </c>
      <c r="G183" s="1" t="str">
        <f>[1]Data!G174</f>
        <v>3</v>
      </c>
      <c r="H183" s="15">
        <f>[1]Data!H174</f>
        <v>3220</v>
      </c>
      <c r="I183" s="15">
        <f>[1]Data!I174</f>
        <v>0</v>
      </c>
      <c r="J183" s="1" t="str">
        <f>[1]Data!J174</f>
        <v>X</v>
      </c>
      <c r="K183" s="1" t="str">
        <f>[1]Data!K174</f>
        <v>X</v>
      </c>
      <c r="L183" s="1" t="str">
        <f>[1]Data!L174</f>
        <v>12:01:02</v>
      </c>
      <c r="M183" s="1">
        <f>[1]Data!M174</f>
        <v>45994</v>
      </c>
      <c r="N183" s="1">
        <f>[1]Data!N174</f>
        <v>44430</v>
      </c>
      <c r="O183" s="1" t="str">
        <f>[1]Data!O174</f>
        <v>X</v>
      </c>
      <c r="P183" s="1" t="str">
        <f>[1]Data!P174</f>
        <v>2025</v>
      </c>
      <c r="Q183" s="15">
        <f>[1]Data!Q174</f>
        <v>3220</v>
      </c>
      <c r="R183" s="1" t="str">
        <f>[1]Data!R174</f>
        <v/>
      </c>
    </row>
    <row r="184" spans="1:18" x14ac:dyDescent="0.35">
      <c r="A184" s="1" t="str">
        <f>[1]Data!A175</f>
        <v>4001215</v>
      </c>
      <c r="B184" s="1" t="str">
        <f>[1]Data!B175</f>
        <v>3300</v>
      </c>
      <c r="C184" s="1" t="str">
        <f>[1]Data!C175</f>
        <v>3001</v>
      </c>
      <c r="D184" s="1" t="str">
        <f>[1]Data!D175</f>
        <v>L</v>
      </c>
      <c r="E184" s="1" t="str">
        <f>[1]Data!E175</f>
        <v/>
      </c>
      <c r="F184" s="1" t="str">
        <f>[1]Data!F175</f>
        <v>2026</v>
      </c>
      <c r="G184" s="1" t="str">
        <f>[1]Data!G175</f>
        <v>2</v>
      </c>
      <c r="H184" s="15">
        <f>[1]Data!H175</f>
        <v>102</v>
      </c>
      <c r="I184" s="15">
        <f>[1]Data!I175</f>
        <v>0</v>
      </c>
      <c r="J184" s="1" t="str">
        <f>[1]Data!J175</f>
        <v>X</v>
      </c>
      <c r="K184" s="1" t="str">
        <f>[1]Data!K175</f>
        <v>X</v>
      </c>
      <c r="L184" s="1" t="str">
        <f>[1]Data!L175</f>
        <v>02:10:01</v>
      </c>
      <c r="M184" s="1">
        <f>[1]Data!M175</f>
        <v>45797</v>
      </c>
      <c r="N184" s="1">
        <f>[1]Data!N175</f>
        <v>44430</v>
      </c>
      <c r="O184" s="1" t="str">
        <f>[1]Data!O175</f>
        <v>X</v>
      </c>
      <c r="P184" s="1" t="str">
        <f>[1]Data!P175</f>
        <v>2025</v>
      </c>
      <c r="Q184" s="15">
        <f>[1]Data!Q175</f>
        <v>102</v>
      </c>
      <c r="R184" s="1" t="str">
        <f>[1]Data!R175</f>
        <v/>
      </c>
    </row>
    <row r="185" spans="1:18" x14ac:dyDescent="0.35">
      <c r="A185" s="1" t="str">
        <f>[1]Data!A176</f>
        <v>4001216</v>
      </c>
      <c r="B185" s="1" t="str">
        <f>[1]Data!B176</f>
        <v>3300</v>
      </c>
      <c r="C185" s="1" t="str">
        <f>[1]Data!C176</f>
        <v>3001</v>
      </c>
      <c r="D185" s="1" t="str">
        <f>[1]Data!D176</f>
        <v>L</v>
      </c>
      <c r="E185" s="1" t="str">
        <f>[1]Data!E176</f>
        <v>X</v>
      </c>
      <c r="F185" s="1" t="str">
        <f>[1]Data!F176</f>
        <v>2025</v>
      </c>
      <c r="G185" s="1" t="str">
        <f>[1]Data!G176</f>
        <v>4</v>
      </c>
      <c r="H185" s="15">
        <f>[1]Data!H176</f>
        <v>0</v>
      </c>
      <c r="I185" s="15">
        <f>[1]Data!I176</f>
        <v>0</v>
      </c>
      <c r="J185" s="1" t="str">
        <f>[1]Data!J176</f>
        <v>X</v>
      </c>
      <c r="K185" s="1" t="str">
        <f>[1]Data!K176</f>
        <v>X</v>
      </c>
      <c r="L185" s="1" t="str">
        <f>[1]Data!L176</f>
        <v>SLETTET</v>
      </c>
      <c r="M185" s="1">
        <f>[1]Data!M176</f>
        <v>45994</v>
      </c>
      <c r="N185" s="1">
        <f>[1]Data!N176</f>
        <v>44430</v>
      </c>
      <c r="O185" s="1" t="str">
        <f>[1]Data!O176</f>
        <v>X</v>
      </c>
      <c r="P185" s="1" t="str">
        <f>[1]Data!P176</f>
        <v>2025</v>
      </c>
      <c r="Q185" s="15">
        <f>[1]Data!Q176</f>
        <v>0</v>
      </c>
      <c r="R185" s="1" t="str">
        <f>[1]Data!R176</f>
        <v>INAKTIV</v>
      </c>
    </row>
    <row r="186" spans="1:18" x14ac:dyDescent="0.35">
      <c r="A186" s="1" t="str">
        <f>[1]Data!A177</f>
        <v>4001221</v>
      </c>
      <c r="B186" s="1" t="str">
        <f>[1]Data!B177</f>
        <v>3300</v>
      </c>
      <c r="C186" s="1" t="str">
        <f>[1]Data!C177</f>
        <v>3001</v>
      </c>
      <c r="D186" s="1" t="str">
        <f>[1]Data!D177</f>
        <v>L</v>
      </c>
      <c r="E186" s="1" t="str">
        <f>[1]Data!E177</f>
        <v/>
      </c>
      <c r="F186" s="1" t="str">
        <f>[1]Data!F177</f>
        <v>2026</v>
      </c>
      <c r="G186" s="1" t="str">
        <f>[1]Data!G177</f>
        <v>3</v>
      </c>
      <c r="H186" s="15">
        <f>[1]Data!H177</f>
        <v>800</v>
      </c>
      <c r="I186" s="15">
        <f>[1]Data!I177</f>
        <v>0</v>
      </c>
      <c r="J186" s="1" t="str">
        <f>[1]Data!J177</f>
        <v>X</v>
      </c>
      <c r="K186" s="1" t="str">
        <f>[1]Data!K177</f>
        <v>X</v>
      </c>
      <c r="L186" s="1" t="str">
        <f>[1]Data!L177</f>
        <v>02:03:03</v>
      </c>
      <c r="M186" s="1">
        <f>[1]Data!M177</f>
        <v>45796</v>
      </c>
      <c r="N186" s="1">
        <f>[1]Data!N177</f>
        <v>44430</v>
      </c>
      <c r="O186" s="1" t="str">
        <f>[1]Data!O177</f>
        <v>X</v>
      </c>
      <c r="P186" s="1" t="str">
        <f>[1]Data!P177</f>
        <v>2025</v>
      </c>
      <c r="Q186" s="15">
        <f>[1]Data!Q177</f>
        <v>800</v>
      </c>
      <c r="R186" s="1" t="str">
        <f>[1]Data!R177</f>
        <v/>
      </c>
    </row>
    <row r="187" spans="1:18" x14ac:dyDescent="0.35">
      <c r="A187" s="1" t="str">
        <f>[1]Data!A178</f>
        <v>4001225</v>
      </c>
      <c r="B187" s="1" t="str">
        <f>[1]Data!B178</f>
        <v>3300</v>
      </c>
      <c r="C187" s="1" t="str">
        <f>[1]Data!C178</f>
        <v>3001</v>
      </c>
      <c r="D187" s="1" t="str">
        <f>[1]Data!D178</f>
        <v>L</v>
      </c>
      <c r="E187" s="1" t="str">
        <f>[1]Data!E178</f>
        <v/>
      </c>
      <c r="F187" s="1" t="str">
        <f>[1]Data!F178</f>
        <v>2026</v>
      </c>
      <c r="G187" s="1" t="str">
        <f>[1]Data!G178</f>
        <v>2</v>
      </c>
      <c r="H187" s="15">
        <f>[1]Data!H178</f>
        <v>576</v>
      </c>
      <c r="I187" s="15">
        <f>[1]Data!I178</f>
        <v>0</v>
      </c>
      <c r="J187" s="1" t="str">
        <f>[1]Data!J178</f>
        <v>X</v>
      </c>
      <c r="K187" s="1" t="str">
        <f>[1]Data!K178</f>
        <v>X</v>
      </c>
      <c r="L187" s="1" t="str">
        <f>[1]Data!L178</f>
        <v>04:03:01</v>
      </c>
      <c r="M187" s="1">
        <f>[1]Data!M178</f>
        <v>45798</v>
      </c>
      <c r="N187" s="1">
        <f>[1]Data!N178</f>
        <v>44430</v>
      </c>
      <c r="O187" s="1" t="str">
        <f>[1]Data!O178</f>
        <v>X</v>
      </c>
      <c r="P187" s="1" t="str">
        <f>[1]Data!P178</f>
        <v>2025</v>
      </c>
      <c r="Q187" s="15">
        <f>[1]Data!Q178</f>
        <v>576</v>
      </c>
      <c r="R187" s="1" t="str">
        <f>[1]Data!R178</f>
        <v/>
      </c>
    </row>
    <row r="188" spans="1:18" x14ac:dyDescent="0.35">
      <c r="A188" s="1" t="str">
        <f>[1]Data!A179</f>
        <v>4001233</v>
      </c>
      <c r="B188" s="1" t="str">
        <f>[1]Data!B179</f>
        <v>3300</v>
      </c>
      <c r="C188" s="1" t="str">
        <f>[1]Data!C179</f>
        <v>3001</v>
      </c>
      <c r="D188" s="1" t="str">
        <f>[1]Data!D179</f>
        <v>L</v>
      </c>
      <c r="E188" s="1" t="str">
        <f>[1]Data!E179</f>
        <v/>
      </c>
      <c r="F188" s="1" t="str">
        <f>[1]Data!F179</f>
        <v>2026</v>
      </c>
      <c r="G188" s="1" t="str">
        <f>[1]Data!G179</f>
        <v>3</v>
      </c>
      <c r="H188" s="15">
        <f>[1]Data!H179</f>
        <v>650</v>
      </c>
      <c r="I188" s="15">
        <f>[1]Data!I179</f>
        <v>0</v>
      </c>
      <c r="J188" s="1" t="str">
        <f>[1]Data!J179</f>
        <v>X</v>
      </c>
      <c r="K188" s="1" t="str">
        <f>[1]Data!K179</f>
        <v>X</v>
      </c>
      <c r="L188" s="1" t="str">
        <f>[1]Data!L179</f>
        <v>08:04:00</v>
      </c>
      <c r="M188" s="1">
        <f>[1]Data!M179</f>
        <v>45825</v>
      </c>
      <c r="N188" s="1">
        <f>[1]Data!N179</f>
        <v>44430</v>
      </c>
      <c r="O188" s="1" t="str">
        <f>[1]Data!O179</f>
        <v>X</v>
      </c>
      <c r="P188" s="1" t="str">
        <f>[1]Data!P179</f>
        <v>2025</v>
      </c>
      <c r="Q188" s="15">
        <f>[1]Data!Q179</f>
        <v>650</v>
      </c>
      <c r="R188" s="1" t="str">
        <f>[1]Data!R179</f>
        <v/>
      </c>
    </row>
    <row r="189" spans="1:18" x14ac:dyDescent="0.35">
      <c r="A189" s="1" t="str">
        <f>[1]Data!A180</f>
        <v>4001237</v>
      </c>
      <c r="B189" s="1" t="str">
        <f>[1]Data!B180</f>
        <v>3300</v>
      </c>
      <c r="C189" s="1" t="str">
        <f>[1]Data!C180</f>
        <v>3001</v>
      </c>
      <c r="D189" s="1" t="str">
        <f>[1]Data!D180</f>
        <v>L</v>
      </c>
      <c r="E189" s="1" t="str">
        <f>[1]Data!E180</f>
        <v/>
      </c>
      <c r="F189" s="1" t="str">
        <f>[1]Data!F180</f>
        <v>2026</v>
      </c>
      <c r="G189" s="1" t="str">
        <f>[1]Data!G180</f>
        <v>2</v>
      </c>
      <c r="H189" s="15">
        <f>[1]Data!H180</f>
        <v>52</v>
      </c>
      <c r="I189" s="15">
        <f>[1]Data!I180</f>
        <v>0</v>
      </c>
      <c r="J189" s="1" t="str">
        <f>[1]Data!J180</f>
        <v>X</v>
      </c>
      <c r="K189" s="1" t="str">
        <f>[1]Data!K180</f>
        <v>X</v>
      </c>
      <c r="L189" s="1" t="str">
        <f>[1]Data!L180</f>
        <v>11:01:03</v>
      </c>
      <c r="M189" s="1">
        <f>[1]Data!M180</f>
        <v>45987</v>
      </c>
      <c r="N189" s="1">
        <f>[1]Data!N180</f>
        <v>44430</v>
      </c>
      <c r="O189" s="1" t="str">
        <f>[1]Data!O180</f>
        <v>X</v>
      </c>
      <c r="P189" s="1" t="str">
        <f>[1]Data!P180</f>
        <v>2025</v>
      </c>
      <c r="Q189" s="15">
        <f>[1]Data!Q180</f>
        <v>52</v>
      </c>
      <c r="R189" s="1" t="str">
        <f>[1]Data!R180</f>
        <v/>
      </c>
    </row>
    <row r="190" spans="1:18" x14ac:dyDescent="0.35">
      <c r="A190" s="1" t="str">
        <f>[1]Data!A181</f>
        <v>4001241</v>
      </c>
      <c r="B190" s="1" t="str">
        <f>[1]Data!B181</f>
        <v>3300</v>
      </c>
      <c r="C190" s="1" t="str">
        <f>[1]Data!C181</f>
        <v>3001</v>
      </c>
      <c r="D190" s="1" t="str">
        <f>[1]Data!D181</f>
        <v>L</v>
      </c>
      <c r="E190" s="1" t="str">
        <f>[1]Data!E181</f>
        <v/>
      </c>
      <c r="F190" s="1" t="str">
        <f>[1]Data!F181</f>
        <v>2026</v>
      </c>
      <c r="G190" s="1" t="str">
        <f>[1]Data!G181</f>
        <v>2</v>
      </c>
      <c r="H190" s="15">
        <f>[1]Data!H181</f>
        <v>3800</v>
      </c>
      <c r="I190" s="15">
        <f>[1]Data!I181</f>
        <v>0</v>
      </c>
      <c r="J190" s="1" t="str">
        <f>[1]Data!J181</f>
        <v>X</v>
      </c>
      <c r="K190" s="1" t="str">
        <f>[1]Data!K181</f>
        <v>X</v>
      </c>
      <c r="L190" s="1" t="str">
        <f>[1]Data!L181</f>
        <v>13:08:03</v>
      </c>
      <c r="M190" s="1">
        <f>[1]Data!M181</f>
        <v>45994</v>
      </c>
      <c r="N190" s="1">
        <f>[1]Data!N181</f>
        <v>44430</v>
      </c>
      <c r="O190" s="1" t="str">
        <f>[1]Data!O181</f>
        <v>X</v>
      </c>
      <c r="P190" s="1" t="str">
        <f>[1]Data!P181</f>
        <v>2025</v>
      </c>
      <c r="Q190" s="15">
        <f>[1]Data!Q181</f>
        <v>3800</v>
      </c>
      <c r="R190" s="1" t="str">
        <f>[1]Data!R181</f>
        <v/>
      </c>
    </row>
    <row r="191" spans="1:18" x14ac:dyDescent="0.35">
      <c r="A191" s="1" t="str">
        <f>[1]Data!A182</f>
        <v>4001257</v>
      </c>
      <c r="B191" s="1" t="str">
        <f>[1]Data!B182</f>
        <v>3300</v>
      </c>
      <c r="C191" s="1" t="str">
        <f>[1]Data!C182</f>
        <v>3001</v>
      </c>
      <c r="D191" s="1" t="str">
        <f>[1]Data!D182</f>
        <v>L</v>
      </c>
      <c r="E191" s="1" t="str">
        <f>[1]Data!E182</f>
        <v/>
      </c>
      <c r="F191" s="1" t="str">
        <f>[1]Data!F182</f>
        <v>2026</v>
      </c>
      <c r="G191" s="1" t="str">
        <f>[1]Data!G182</f>
        <v>3</v>
      </c>
      <c r="H191" s="15">
        <f>[1]Data!H182</f>
        <v>265</v>
      </c>
      <c r="I191" s="15">
        <f>[1]Data!I182</f>
        <v>0</v>
      </c>
      <c r="J191" s="1" t="str">
        <f>[1]Data!J182</f>
        <v>X</v>
      </c>
      <c r="K191" s="1" t="str">
        <f>[1]Data!K182</f>
        <v>X</v>
      </c>
      <c r="L191" s="1" t="str">
        <f>[1]Data!L182</f>
        <v>14:18:02</v>
      </c>
      <c r="M191" s="1">
        <f>[1]Data!M182</f>
        <v>46001</v>
      </c>
      <c r="N191" s="1">
        <f>[1]Data!N182</f>
        <v>44430</v>
      </c>
      <c r="O191" s="1" t="str">
        <f>[1]Data!O182</f>
        <v>X</v>
      </c>
      <c r="P191" s="1" t="str">
        <f>[1]Data!P182</f>
        <v>2025</v>
      </c>
      <c r="Q191" s="15">
        <f>[1]Data!Q182</f>
        <v>265</v>
      </c>
      <c r="R191" s="1" t="str">
        <f>[1]Data!R182</f>
        <v/>
      </c>
    </row>
    <row r="192" spans="1:18" x14ac:dyDescent="0.35">
      <c r="A192" s="1" t="str">
        <f>[1]Data!A183</f>
        <v>4001264</v>
      </c>
      <c r="B192" s="1" t="str">
        <f>[1]Data!B183</f>
        <v>3300</v>
      </c>
      <c r="C192" s="1" t="str">
        <f>[1]Data!C183</f>
        <v>3001</v>
      </c>
      <c r="D192" s="1" t="str">
        <f>[1]Data!D183</f>
        <v>L</v>
      </c>
      <c r="E192" s="1" t="str">
        <f>[1]Data!E183</f>
        <v/>
      </c>
      <c r="F192" s="1" t="str">
        <f>[1]Data!F183</f>
        <v>2026</v>
      </c>
      <c r="G192" s="1" t="str">
        <f>[1]Data!G183</f>
        <v>3</v>
      </c>
      <c r="H192" s="15">
        <f>[1]Data!H183</f>
        <v>450</v>
      </c>
      <c r="I192" s="15">
        <f>[1]Data!I183</f>
        <v>0</v>
      </c>
      <c r="J192" s="1" t="str">
        <f>[1]Data!J183</f>
        <v>X</v>
      </c>
      <c r="K192" s="1" t="str">
        <f>[1]Data!K183</f>
        <v>X</v>
      </c>
      <c r="L192" s="1" t="str">
        <f>[1]Data!L183</f>
        <v>14:13:01</v>
      </c>
      <c r="M192" s="1">
        <f>[1]Data!M183</f>
        <v>46001</v>
      </c>
      <c r="N192" s="1">
        <f>[1]Data!N183</f>
        <v>44430</v>
      </c>
      <c r="O192" s="1" t="str">
        <f>[1]Data!O183</f>
        <v>X</v>
      </c>
      <c r="P192" s="1" t="str">
        <f>[1]Data!P183</f>
        <v>2025</v>
      </c>
      <c r="Q192" s="15">
        <f>[1]Data!Q183</f>
        <v>450</v>
      </c>
      <c r="R192" s="1" t="str">
        <f>[1]Data!R183</f>
        <v/>
      </c>
    </row>
    <row r="193" spans="1:18" x14ac:dyDescent="0.35">
      <c r="A193" s="1" t="str">
        <f>[1]Data!A184</f>
        <v>4001277</v>
      </c>
      <c r="B193" s="1" t="str">
        <f>[1]Data!B184</f>
        <v>3300</v>
      </c>
      <c r="C193" s="1" t="str">
        <f>[1]Data!C184</f>
        <v>3001</v>
      </c>
      <c r="D193" s="1" t="str">
        <f>[1]Data!D184</f>
        <v>L</v>
      </c>
      <c r="E193" s="1" t="str">
        <f>[1]Data!E184</f>
        <v/>
      </c>
      <c r="F193" s="1" t="str">
        <f>[1]Data!F184</f>
        <v>2026</v>
      </c>
      <c r="G193" s="1" t="str">
        <f>[1]Data!G184</f>
        <v>3</v>
      </c>
      <c r="H193" s="15">
        <f>[1]Data!H184</f>
        <v>660</v>
      </c>
      <c r="I193" s="15">
        <f>[1]Data!I184</f>
        <v>0</v>
      </c>
      <c r="J193" s="1" t="str">
        <f>[1]Data!J184</f>
        <v>X</v>
      </c>
      <c r="K193" s="1" t="str">
        <f>[1]Data!K184</f>
        <v>X</v>
      </c>
      <c r="L193" s="1" t="str">
        <f>[1]Data!L184</f>
        <v>12:10:02</v>
      </c>
      <c r="M193" s="1">
        <f>[1]Data!M184</f>
        <v>45994</v>
      </c>
      <c r="N193" s="1">
        <f>[1]Data!N184</f>
        <v>44430</v>
      </c>
      <c r="O193" s="1" t="str">
        <f>[1]Data!O184</f>
        <v>X</v>
      </c>
      <c r="P193" s="1" t="str">
        <f>[1]Data!P184</f>
        <v>2025</v>
      </c>
      <c r="Q193" s="15">
        <f>[1]Data!Q184</f>
        <v>660</v>
      </c>
      <c r="R193" s="1" t="str">
        <f>[1]Data!R184</f>
        <v/>
      </c>
    </row>
    <row r="194" spans="1:18" x14ac:dyDescent="0.35">
      <c r="A194" s="1" t="str">
        <f>[1]Data!A185</f>
        <v>4001278</v>
      </c>
      <c r="B194" s="1" t="str">
        <f>[1]Data!B185</f>
        <v>3300</v>
      </c>
      <c r="C194" s="1" t="str">
        <f>[1]Data!C185</f>
        <v>3001</v>
      </c>
      <c r="D194" s="1" t="str">
        <f>[1]Data!D185</f>
        <v>L</v>
      </c>
      <c r="E194" s="1" t="str">
        <f>[1]Data!E185</f>
        <v/>
      </c>
      <c r="F194" s="1" t="str">
        <f>[1]Data!F185</f>
        <v>2026</v>
      </c>
      <c r="G194" s="1" t="str">
        <f>[1]Data!G185</f>
        <v>2</v>
      </c>
      <c r="H194" s="15">
        <f>[1]Data!H185</f>
        <v>1140</v>
      </c>
      <c r="I194" s="15">
        <f>[1]Data!I185</f>
        <v>0</v>
      </c>
      <c r="J194" s="1" t="str">
        <f>[1]Data!J185</f>
        <v>X</v>
      </c>
      <c r="K194" s="1" t="str">
        <f>[1]Data!K185</f>
        <v>X</v>
      </c>
      <c r="L194" s="1" t="str">
        <f>[1]Data!L185</f>
        <v>12:09:02</v>
      </c>
      <c r="M194" s="1">
        <f>[1]Data!M185</f>
        <v>45994</v>
      </c>
      <c r="N194" s="1">
        <f>[1]Data!N185</f>
        <v>44430</v>
      </c>
      <c r="O194" s="1" t="str">
        <f>[1]Data!O185</f>
        <v>X</v>
      </c>
      <c r="P194" s="1" t="str">
        <f>[1]Data!P185</f>
        <v>2025</v>
      </c>
      <c r="Q194" s="15">
        <f>[1]Data!Q185</f>
        <v>1140</v>
      </c>
      <c r="R194" s="1" t="str">
        <f>[1]Data!R185</f>
        <v/>
      </c>
    </row>
    <row r="195" spans="1:18" x14ac:dyDescent="0.35">
      <c r="A195" s="1" t="str">
        <f>[1]Data!A186</f>
        <v>4001279</v>
      </c>
      <c r="B195" s="1" t="str">
        <f>[1]Data!B186</f>
        <v>3300</v>
      </c>
      <c r="C195" s="1" t="str">
        <f>[1]Data!C186</f>
        <v>3001</v>
      </c>
      <c r="D195" s="1" t="str">
        <f>[1]Data!D186</f>
        <v>L</v>
      </c>
      <c r="E195" s="1" t="str">
        <f>[1]Data!E186</f>
        <v/>
      </c>
      <c r="F195" s="1" t="str">
        <f>[1]Data!F186</f>
        <v>2026</v>
      </c>
      <c r="G195" s="1" t="str">
        <f>[1]Data!G186</f>
        <v>3</v>
      </c>
      <c r="H195" s="15">
        <f>[1]Data!H186</f>
        <v>1350</v>
      </c>
      <c r="I195" s="15">
        <f>[1]Data!I186</f>
        <v>0</v>
      </c>
      <c r="J195" s="1" t="str">
        <f>[1]Data!J186</f>
        <v>X</v>
      </c>
      <c r="K195" s="1" t="str">
        <f>[1]Data!K186</f>
        <v>X</v>
      </c>
      <c r="L195" s="1" t="str">
        <f>[1]Data!L186</f>
        <v>12:11:02</v>
      </c>
      <c r="M195" s="1">
        <f>[1]Data!M186</f>
        <v>45994</v>
      </c>
      <c r="N195" s="1">
        <f>[1]Data!N186</f>
        <v>44430</v>
      </c>
      <c r="O195" s="1" t="str">
        <f>[1]Data!O186</f>
        <v>X</v>
      </c>
      <c r="P195" s="1" t="str">
        <f>[1]Data!P186</f>
        <v>2025</v>
      </c>
      <c r="Q195" s="15">
        <f>[1]Data!Q186</f>
        <v>1350</v>
      </c>
      <c r="R195" s="1" t="str">
        <f>[1]Data!R186</f>
        <v/>
      </c>
    </row>
    <row r="196" spans="1:18" x14ac:dyDescent="0.35">
      <c r="A196" s="1" t="str">
        <f>[1]Data!A187</f>
        <v>4001282</v>
      </c>
      <c r="B196" s="1" t="str">
        <f>[1]Data!B187</f>
        <v>3300</v>
      </c>
      <c r="C196" s="1" t="str">
        <f>[1]Data!C187</f>
        <v>3001</v>
      </c>
      <c r="D196" s="1" t="str">
        <f>[1]Data!D187</f>
        <v>L</v>
      </c>
      <c r="E196" s="1" t="str">
        <f>[1]Data!E187</f>
        <v/>
      </c>
      <c r="F196" s="1" t="str">
        <f>[1]Data!F187</f>
        <v>2026</v>
      </c>
      <c r="G196" s="1" t="str">
        <f>[1]Data!G187</f>
        <v>3</v>
      </c>
      <c r="H196" s="15">
        <f>[1]Data!H187</f>
        <v>2101</v>
      </c>
      <c r="I196" s="15">
        <f>[1]Data!I187</f>
        <v>0</v>
      </c>
      <c r="J196" s="1" t="str">
        <f>[1]Data!J187</f>
        <v>X</v>
      </c>
      <c r="K196" s="1" t="str">
        <f>[1]Data!K187</f>
        <v>X</v>
      </c>
      <c r="L196" s="1" t="str">
        <f>[1]Data!L187</f>
        <v>09:09:01</v>
      </c>
      <c r="M196" s="1">
        <f>[1]Data!M187</f>
        <v>45987</v>
      </c>
      <c r="N196" s="1">
        <f>[1]Data!N187</f>
        <v>44430</v>
      </c>
      <c r="O196" s="1" t="str">
        <f>[1]Data!O187</f>
        <v>X</v>
      </c>
      <c r="P196" s="1" t="str">
        <f>[1]Data!P187</f>
        <v>2025</v>
      </c>
      <c r="Q196" s="15">
        <f>[1]Data!Q187</f>
        <v>2101</v>
      </c>
      <c r="R196" s="1" t="str">
        <f>[1]Data!R187</f>
        <v/>
      </c>
    </row>
    <row r="197" spans="1:18" x14ac:dyDescent="0.35">
      <c r="A197" s="1" t="str">
        <f>[1]Data!A188</f>
        <v>4001283</v>
      </c>
      <c r="B197" s="1" t="str">
        <f>[1]Data!B188</f>
        <v>3300</v>
      </c>
      <c r="C197" s="1" t="str">
        <f>[1]Data!C188</f>
        <v>3001</v>
      </c>
      <c r="D197" s="1" t="str">
        <f>[1]Data!D188</f>
        <v>L</v>
      </c>
      <c r="E197" s="1" t="str">
        <f>[1]Data!E188</f>
        <v/>
      </c>
      <c r="F197" s="1" t="str">
        <f>[1]Data!F188</f>
        <v>2026</v>
      </c>
      <c r="G197" s="1" t="str">
        <f>[1]Data!G188</f>
        <v>3</v>
      </c>
      <c r="H197" s="15">
        <f>[1]Data!H188</f>
        <v>5400</v>
      </c>
      <c r="I197" s="15">
        <f>[1]Data!I188</f>
        <v>0</v>
      </c>
      <c r="J197" s="1" t="str">
        <f>[1]Data!J188</f>
        <v>X</v>
      </c>
      <c r="K197" s="1" t="str">
        <f>[1]Data!K188</f>
        <v>X</v>
      </c>
      <c r="L197" s="1" t="str">
        <f>[1]Data!L188</f>
        <v>09:06:01</v>
      </c>
      <c r="M197" s="1">
        <f>[1]Data!M188</f>
        <v>45980</v>
      </c>
      <c r="N197" s="1">
        <f>[1]Data!N188</f>
        <v>44430</v>
      </c>
      <c r="O197" s="1" t="str">
        <f>[1]Data!O188</f>
        <v>X</v>
      </c>
      <c r="P197" s="1" t="str">
        <f>[1]Data!P188</f>
        <v>2025</v>
      </c>
      <c r="Q197" s="15">
        <f>[1]Data!Q188</f>
        <v>5400</v>
      </c>
      <c r="R197" s="1" t="str">
        <f>[1]Data!R188</f>
        <v/>
      </c>
    </row>
    <row r="198" spans="1:18" x14ac:dyDescent="0.35">
      <c r="A198" s="1" t="str">
        <f>[1]Data!A189</f>
        <v>4001285</v>
      </c>
      <c r="B198" s="1" t="str">
        <f>[1]Data!B189</f>
        <v>3300</v>
      </c>
      <c r="C198" s="1" t="str">
        <f>[1]Data!C189</f>
        <v>3001</v>
      </c>
      <c r="D198" s="1" t="str">
        <f>[1]Data!D189</f>
        <v>L</v>
      </c>
      <c r="E198" s="1" t="str">
        <f>[1]Data!E189</f>
        <v/>
      </c>
      <c r="F198" s="1" t="str">
        <f>[1]Data!F189</f>
        <v>2026</v>
      </c>
      <c r="G198" s="1" t="str">
        <f>[1]Data!G189</f>
        <v>3</v>
      </c>
      <c r="H198" s="15">
        <f>[1]Data!H189</f>
        <v>1224</v>
      </c>
      <c r="I198" s="15">
        <f>[1]Data!I189</f>
        <v>0</v>
      </c>
      <c r="J198" s="1" t="str">
        <f>[1]Data!J189</f>
        <v>X</v>
      </c>
      <c r="K198" s="1" t="str">
        <f>[1]Data!K189</f>
        <v>X</v>
      </c>
      <c r="L198" s="1" t="str">
        <f>[1]Data!L189</f>
        <v>14:15:02</v>
      </c>
      <c r="M198" s="1">
        <f>[1]Data!M189</f>
        <v>46001</v>
      </c>
      <c r="N198" s="1">
        <f>[1]Data!N189</f>
        <v>44430</v>
      </c>
      <c r="O198" s="1" t="str">
        <f>[1]Data!O189</f>
        <v>X</v>
      </c>
      <c r="P198" s="1" t="str">
        <f>[1]Data!P189</f>
        <v>2025</v>
      </c>
      <c r="Q198" s="15">
        <f>[1]Data!Q189</f>
        <v>1224</v>
      </c>
      <c r="R198" s="1" t="str">
        <f>[1]Data!R189</f>
        <v/>
      </c>
    </row>
    <row r="199" spans="1:18" x14ac:dyDescent="0.35">
      <c r="A199" s="1" t="str">
        <f>[1]Data!A190</f>
        <v>4001287</v>
      </c>
      <c r="B199" s="1" t="str">
        <f>[1]Data!B190</f>
        <v>3300</v>
      </c>
      <c r="C199" s="1" t="str">
        <f>[1]Data!C190</f>
        <v>3001</v>
      </c>
      <c r="D199" s="1" t="str">
        <f>[1]Data!D190</f>
        <v>L</v>
      </c>
      <c r="E199" s="1" t="str">
        <f>[1]Data!E190</f>
        <v/>
      </c>
      <c r="F199" s="1" t="str">
        <f>[1]Data!F190</f>
        <v>2026</v>
      </c>
      <c r="G199" s="1" t="str">
        <f>[1]Data!G190</f>
        <v>3</v>
      </c>
      <c r="H199" s="15">
        <f>[1]Data!H190</f>
        <v>4320</v>
      </c>
      <c r="I199" s="15">
        <f>[1]Data!I190</f>
        <v>0</v>
      </c>
      <c r="J199" s="1" t="str">
        <f>[1]Data!J190</f>
        <v>X</v>
      </c>
      <c r="K199" s="1" t="str">
        <f>[1]Data!K190</f>
        <v>X</v>
      </c>
      <c r="L199" s="1" t="str">
        <f>[1]Data!L190</f>
        <v>12:11:01</v>
      </c>
      <c r="M199" s="1">
        <f>[1]Data!M190</f>
        <v>45994</v>
      </c>
      <c r="N199" s="1">
        <f>[1]Data!N190</f>
        <v>44430</v>
      </c>
      <c r="O199" s="1" t="str">
        <f>[1]Data!O190</f>
        <v>X</v>
      </c>
      <c r="P199" s="1" t="str">
        <f>[1]Data!P190</f>
        <v>2025</v>
      </c>
      <c r="Q199" s="15">
        <f>[1]Data!Q190</f>
        <v>4320</v>
      </c>
      <c r="R199" s="1" t="str">
        <f>[1]Data!R190</f>
        <v/>
      </c>
    </row>
    <row r="200" spans="1:18" x14ac:dyDescent="0.35">
      <c r="A200" s="1" t="str">
        <f>[1]Data!A191</f>
        <v>4001288</v>
      </c>
      <c r="B200" s="1" t="str">
        <f>[1]Data!B191</f>
        <v>3300</v>
      </c>
      <c r="C200" s="1" t="str">
        <f>[1]Data!C191</f>
        <v>3001</v>
      </c>
      <c r="D200" s="1" t="str">
        <f>[1]Data!D191</f>
        <v>L</v>
      </c>
      <c r="E200" s="1" t="str">
        <f>[1]Data!E191</f>
        <v/>
      </c>
      <c r="F200" s="1" t="str">
        <f>[1]Data!F191</f>
        <v>2026</v>
      </c>
      <c r="G200" s="1" t="str">
        <f>[1]Data!G191</f>
        <v>3</v>
      </c>
      <c r="H200" s="15">
        <f>[1]Data!H191</f>
        <v>480</v>
      </c>
      <c r="I200" s="15">
        <f>[1]Data!I191</f>
        <v>0</v>
      </c>
      <c r="J200" s="1" t="str">
        <f>[1]Data!J191</f>
        <v>X</v>
      </c>
      <c r="K200" s="1" t="str">
        <f>[1]Data!K191</f>
        <v>X</v>
      </c>
      <c r="L200" s="1" t="str">
        <f>[1]Data!L191</f>
        <v>12:11:03</v>
      </c>
      <c r="M200" s="1">
        <f>[1]Data!M191</f>
        <v>45994</v>
      </c>
      <c r="N200" s="1">
        <f>[1]Data!N191</f>
        <v>44430</v>
      </c>
      <c r="O200" s="1" t="str">
        <f>[1]Data!O191</f>
        <v>X</v>
      </c>
      <c r="P200" s="1" t="str">
        <f>[1]Data!P191</f>
        <v>2025</v>
      </c>
      <c r="Q200" s="15">
        <f>[1]Data!Q191</f>
        <v>480</v>
      </c>
      <c r="R200" s="1" t="str">
        <f>[1]Data!R191</f>
        <v/>
      </c>
    </row>
    <row r="201" spans="1:18" x14ac:dyDescent="0.35">
      <c r="A201" s="1" t="str">
        <f>[1]Data!A192</f>
        <v>4001289</v>
      </c>
      <c r="B201" s="1" t="str">
        <f>[1]Data!B192</f>
        <v>3300</v>
      </c>
      <c r="C201" s="1" t="str">
        <f>[1]Data!C192</f>
        <v>3001</v>
      </c>
      <c r="D201" s="1" t="str">
        <f>[1]Data!D192</f>
        <v>L</v>
      </c>
      <c r="E201" s="1" t="str">
        <f>[1]Data!E192</f>
        <v/>
      </c>
      <c r="F201" s="1" t="str">
        <f>[1]Data!F192</f>
        <v>2026</v>
      </c>
      <c r="G201" s="1" t="str">
        <f>[1]Data!G192</f>
        <v>2</v>
      </c>
      <c r="H201" s="15">
        <f>[1]Data!H192</f>
        <v>750</v>
      </c>
      <c r="I201" s="15">
        <f>[1]Data!I192</f>
        <v>0</v>
      </c>
      <c r="J201" s="1" t="str">
        <f>[1]Data!J192</f>
        <v>X</v>
      </c>
      <c r="K201" s="1" t="str">
        <f>[1]Data!K192</f>
        <v>X</v>
      </c>
      <c r="L201" s="1" t="str">
        <f>[1]Data!L192</f>
        <v>12:08:01</v>
      </c>
      <c r="M201" s="1">
        <f>[1]Data!M192</f>
        <v>45994</v>
      </c>
      <c r="N201" s="1">
        <f>[1]Data!N192</f>
        <v>44430</v>
      </c>
      <c r="O201" s="1" t="str">
        <f>[1]Data!O192</f>
        <v>X</v>
      </c>
      <c r="P201" s="1" t="str">
        <f>[1]Data!P192</f>
        <v>2025</v>
      </c>
      <c r="Q201" s="15">
        <f>[1]Data!Q192</f>
        <v>750</v>
      </c>
      <c r="R201" s="1" t="str">
        <f>[1]Data!R192</f>
        <v/>
      </c>
    </row>
    <row r="202" spans="1:18" x14ac:dyDescent="0.35">
      <c r="A202" s="1" t="str">
        <f>[1]Data!A193</f>
        <v>4001290</v>
      </c>
      <c r="B202" s="1" t="str">
        <f>[1]Data!B193</f>
        <v>3300</v>
      </c>
      <c r="C202" s="1" t="str">
        <f>[1]Data!C193</f>
        <v>3001</v>
      </c>
      <c r="D202" s="1" t="str">
        <f>[1]Data!D193</f>
        <v>L</v>
      </c>
      <c r="E202" s="1" t="str">
        <f>[1]Data!E193</f>
        <v/>
      </c>
      <c r="F202" s="1" t="str">
        <f>[1]Data!F193</f>
        <v>2026</v>
      </c>
      <c r="G202" s="1" t="str">
        <f>[1]Data!G193</f>
        <v>2</v>
      </c>
      <c r="H202" s="15">
        <f>[1]Data!H193</f>
        <v>120</v>
      </c>
      <c r="I202" s="15">
        <f>[1]Data!I193</f>
        <v>0</v>
      </c>
      <c r="J202" s="1" t="str">
        <f>[1]Data!J193</f>
        <v>X</v>
      </c>
      <c r="K202" s="1" t="str">
        <f>[1]Data!K193</f>
        <v>X</v>
      </c>
      <c r="L202" s="1" t="str">
        <f>[1]Data!L193</f>
        <v>12:08:03</v>
      </c>
      <c r="M202" s="1">
        <f>[1]Data!M193</f>
        <v>45994</v>
      </c>
      <c r="N202" s="1">
        <f>[1]Data!N193</f>
        <v>44430</v>
      </c>
      <c r="O202" s="1" t="str">
        <f>[1]Data!O193</f>
        <v>X</v>
      </c>
      <c r="P202" s="1" t="str">
        <f>[1]Data!P193</f>
        <v>2025</v>
      </c>
      <c r="Q202" s="15">
        <f>[1]Data!Q193</f>
        <v>120</v>
      </c>
      <c r="R202" s="1" t="str">
        <f>[1]Data!R193</f>
        <v/>
      </c>
    </row>
    <row r="203" spans="1:18" x14ac:dyDescent="0.35">
      <c r="A203" s="1" t="str">
        <f>[1]Data!A194</f>
        <v>4001291</v>
      </c>
      <c r="B203" s="1" t="str">
        <f>[1]Data!B194</f>
        <v>3300</v>
      </c>
      <c r="C203" s="1" t="str">
        <f>[1]Data!C194</f>
        <v>3001</v>
      </c>
      <c r="D203" s="1" t="str">
        <f>[1]Data!D194</f>
        <v>L</v>
      </c>
      <c r="E203" s="1" t="str">
        <f>[1]Data!E194</f>
        <v/>
      </c>
      <c r="F203" s="1" t="str">
        <f>[1]Data!F194</f>
        <v>2026</v>
      </c>
      <c r="G203" s="1" t="str">
        <f>[1]Data!G194</f>
        <v>2</v>
      </c>
      <c r="H203" s="15">
        <f>[1]Data!H194</f>
        <v>550</v>
      </c>
      <c r="I203" s="15">
        <f>[1]Data!I194</f>
        <v>0</v>
      </c>
      <c r="J203" s="1" t="str">
        <f>[1]Data!J194</f>
        <v>X</v>
      </c>
      <c r="K203" s="1" t="str">
        <f>[1]Data!K194</f>
        <v>X</v>
      </c>
      <c r="L203" s="1" t="str">
        <f>[1]Data!L194</f>
        <v>12:09:01</v>
      </c>
      <c r="M203" s="1">
        <f>[1]Data!M194</f>
        <v>45994</v>
      </c>
      <c r="N203" s="1">
        <f>[1]Data!N194</f>
        <v>44430</v>
      </c>
      <c r="O203" s="1" t="str">
        <f>[1]Data!O194</f>
        <v>X</v>
      </c>
      <c r="P203" s="1" t="str">
        <f>[1]Data!P194</f>
        <v>2025</v>
      </c>
      <c r="Q203" s="15">
        <f>[1]Data!Q194</f>
        <v>550</v>
      </c>
      <c r="R203" s="1" t="str">
        <f>[1]Data!R194</f>
        <v/>
      </c>
    </row>
    <row r="204" spans="1:18" x14ac:dyDescent="0.35">
      <c r="A204" s="1" t="str">
        <f>[1]Data!A195</f>
        <v>4001293</v>
      </c>
      <c r="B204" s="1" t="str">
        <f>[1]Data!B195</f>
        <v>3300</v>
      </c>
      <c r="C204" s="1" t="str">
        <f>[1]Data!C195</f>
        <v>3001</v>
      </c>
      <c r="D204" s="1" t="str">
        <f>[1]Data!D195</f>
        <v>L</v>
      </c>
      <c r="E204" s="1" t="str">
        <f>[1]Data!E195</f>
        <v/>
      </c>
      <c r="F204" s="1" t="str">
        <f>[1]Data!F195</f>
        <v>2026</v>
      </c>
      <c r="G204" s="1" t="str">
        <f>[1]Data!G195</f>
        <v>3</v>
      </c>
      <c r="H204" s="15">
        <f>[1]Data!H195</f>
        <v>1820</v>
      </c>
      <c r="I204" s="15">
        <f>[1]Data!I195</f>
        <v>0</v>
      </c>
      <c r="J204" s="1" t="str">
        <f>[1]Data!J195</f>
        <v>X</v>
      </c>
      <c r="K204" s="1" t="str">
        <f>[1]Data!K195</f>
        <v>X</v>
      </c>
      <c r="L204" s="1" t="str">
        <f>[1]Data!L195</f>
        <v>02:05:01</v>
      </c>
      <c r="M204" s="1">
        <f>[1]Data!M195</f>
        <v>45796</v>
      </c>
      <c r="N204" s="1">
        <f>[1]Data!N195</f>
        <v>44430</v>
      </c>
      <c r="O204" s="1" t="str">
        <f>[1]Data!O195</f>
        <v>X</v>
      </c>
      <c r="P204" s="1" t="str">
        <f>[1]Data!P195</f>
        <v>2025</v>
      </c>
      <c r="Q204" s="15">
        <f>[1]Data!Q195</f>
        <v>1820</v>
      </c>
      <c r="R204" s="1" t="str">
        <f>[1]Data!R195</f>
        <v/>
      </c>
    </row>
    <row r="205" spans="1:18" x14ac:dyDescent="0.35">
      <c r="A205" s="1" t="str">
        <f>[1]Data!A196</f>
        <v>4001295</v>
      </c>
      <c r="B205" s="1" t="str">
        <f>[1]Data!B196</f>
        <v>3300</v>
      </c>
      <c r="C205" s="1" t="str">
        <f>[1]Data!C196</f>
        <v>3001</v>
      </c>
      <c r="D205" s="1" t="str">
        <f>[1]Data!D196</f>
        <v>L</v>
      </c>
      <c r="E205" s="1" t="str">
        <f>[1]Data!E196</f>
        <v/>
      </c>
      <c r="F205" s="1" t="str">
        <f>[1]Data!F196</f>
        <v>2026</v>
      </c>
      <c r="G205" s="1" t="str">
        <f>[1]Data!G196</f>
        <v>3</v>
      </c>
      <c r="H205" s="15">
        <f>[1]Data!H196</f>
        <v>10</v>
      </c>
      <c r="I205" s="15">
        <f>[1]Data!I196</f>
        <v>0</v>
      </c>
      <c r="J205" s="1" t="str">
        <f>[1]Data!J196</f>
        <v>X</v>
      </c>
      <c r="K205" s="1" t="str">
        <f>[1]Data!K196</f>
        <v>X</v>
      </c>
      <c r="L205" s="1" t="str">
        <f>[1]Data!L196</f>
        <v>07:02:02</v>
      </c>
      <c r="M205" s="1">
        <f>[1]Data!M196</f>
        <v>45824</v>
      </c>
      <c r="N205" s="1">
        <f>[1]Data!N196</f>
        <v>44430</v>
      </c>
      <c r="O205" s="1" t="str">
        <f>[1]Data!O196</f>
        <v>X</v>
      </c>
      <c r="P205" s="1" t="str">
        <f>[1]Data!P196</f>
        <v>2025</v>
      </c>
      <c r="Q205" s="15">
        <f>[1]Data!Q196</f>
        <v>10</v>
      </c>
      <c r="R205" s="1" t="str">
        <f>[1]Data!R196</f>
        <v/>
      </c>
    </row>
    <row r="206" spans="1:18" x14ac:dyDescent="0.35">
      <c r="A206" s="1" t="str">
        <f>[1]Data!A197</f>
        <v>4001298</v>
      </c>
      <c r="B206" s="1" t="str">
        <f>[1]Data!B197</f>
        <v>3300</v>
      </c>
      <c r="C206" s="1" t="str">
        <f>[1]Data!C197</f>
        <v>3001</v>
      </c>
      <c r="D206" s="1" t="str">
        <f>[1]Data!D197</f>
        <v>L</v>
      </c>
      <c r="E206" s="1" t="str">
        <f>[1]Data!E197</f>
        <v>X</v>
      </c>
      <c r="F206" s="1" t="str">
        <f>[1]Data!F197</f>
        <v>2023</v>
      </c>
      <c r="G206" s="1" t="str">
        <f>[1]Data!G197</f>
        <v>3</v>
      </c>
      <c r="H206" s="15">
        <f>[1]Data!H197</f>
        <v>0</v>
      </c>
      <c r="I206" s="15">
        <f>[1]Data!I197</f>
        <v>0</v>
      </c>
      <c r="J206" s="1" t="str">
        <f>[1]Data!J197</f>
        <v/>
      </c>
      <c r="K206" s="1" t="str">
        <f>[1]Data!K197</f>
        <v>X</v>
      </c>
      <c r="L206" s="1" t="str">
        <f>[1]Data!L197</f>
        <v>SLETTET</v>
      </c>
      <c r="M206" s="1">
        <f>[1]Data!M197</f>
        <v>44568</v>
      </c>
      <c r="N206" s="1">
        <f>[1]Data!N197</f>
        <v>44430</v>
      </c>
      <c r="O206" s="1" t="str">
        <f>[1]Data!O197</f>
        <v>X</v>
      </c>
      <c r="P206" s="1" t="str">
        <f>[1]Data!P197</f>
        <v>2023</v>
      </c>
      <c r="Q206" s="15">
        <f>[1]Data!Q197</f>
        <v>0</v>
      </c>
      <c r="R206" s="1" t="str">
        <f>[1]Data!R197</f>
        <v>INAKTIV</v>
      </c>
    </row>
    <row r="207" spans="1:18" x14ac:dyDescent="0.35">
      <c r="A207" s="1" t="str">
        <f>[1]Data!A198</f>
        <v>4001307</v>
      </c>
      <c r="B207" s="1" t="str">
        <f>[1]Data!B198</f>
        <v>3300</v>
      </c>
      <c r="C207" s="1" t="str">
        <f>[1]Data!C198</f>
        <v>3001</v>
      </c>
      <c r="D207" s="1" t="str">
        <f>[1]Data!D198</f>
        <v>L</v>
      </c>
      <c r="E207" s="1" t="str">
        <f>[1]Data!E198</f>
        <v/>
      </c>
      <c r="F207" s="1" t="str">
        <f>[1]Data!F198</f>
        <v>2026</v>
      </c>
      <c r="G207" s="1" t="str">
        <f>[1]Data!G198</f>
        <v>3</v>
      </c>
      <c r="H207" s="15">
        <f>[1]Data!H198</f>
        <v>1320</v>
      </c>
      <c r="I207" s="15">
        <f>[1]Data!I198</f>
        <v>0</v>
      </c>
      <c r="J207" s="1" t="str">
        <f>[1]Data!J198</f>
        <v>X</v>
      </c>
      <c r="K207" s="1" t="str">
        <f>[1]Data!K198</f>
        <v>X</v>
      </c>
      <c r="L207" s="1" t="str">
        <f>[1]Data!L198</f>
        <v>12:05:00</v>
      </c>
      <c r="M207" s="1">
        <f>[1]Data!M198</f>
        <v>45994</v>
      </c>
      <c r="N207" s="1">
        <f>[1]Data!N198</f>
        <v>44430</v>
      </c>
      <c r="O207" s="1" t="str">
        <f>[1]Data!O198</f>
        <v>X</v>
      </c>
      <c r="P207" s="1" t="str">
        <f>[1]Data!P198</f>
        <v>2025</v>
      </c>
      <c r="Q207" s="15">
        <f>[1]Data!Q198</f>
        <v>1320</v>
      </c>
      <c r="R207" s="1" t="str">
        <f>[1]Data!R198</f>
        <v/>
      </c>
    </row>
    <row r="208" spans="1:18" x14ac:dyDescent="0.35">
      <c r="A208" s="1" t="str">
        <f>[1]Data!A199</f>
        <v>4001310</v>
      </c>
      <c r="B208" s="1" t="str">
        <f>[1]Data!B199</f>
        <v>3300</v>
      </c>
      <c r="C208" s="1" t="str">
        <f>[1]Data!C199</f>
        <v>3001</v>
      </c>
      <c r="D208" s="1" t="str">
        <f>[1]Data!D199</f>
        <v>L</v>
      </c>
      <c r="E208" s="1" t="str">
        <f>[1]Data!E199</f>
        <v/>
      </c>
      <c r="F208" s="1" t="str">
        <f>[1]Data!F199</f>
        <v>2026</v>
      </c>
      <c r="G208" s="1" t="str">
        <f>[1]Data!G199</f>
        <v>2</v>
      </c>
      <c r="H208" s="15">
        <f>[1]Data!H199</f>
        <v>35</v>
      </c>
      <c r="I208" s="15">
        <f>[1]Data!I199</f>
        <v>0</v>
      </c>
      <c r="J208" s="1" t="str">
        <f>[1]Data!J199</f>
        <v>X</v>
      </c>
      <c r="K208" s="1" t="str">
        <f>[1]Data!K199</f>
        <v>X</v>
      </c>
      <c r="L208" s="1" t="str">
        <f>[1]Data!L199</f>
        <v>07:08:02</v>
      </c>
      <c r="M208" s="1">
        <f>[1]Data!M199</f>
        <v>45824</v>
      </c>
      <c r="N208" s="1">
        <f>[1]Data!N199</f>
        <v>44430</v>
      </c>
      <c r="O208" s="1" t="str">
        <f>[1]Data!O199</f>
        <v>X</v>
      </c>
      <c r="P208" s="1" t="str">
        <f>[1]Data!P199</f>
        <v>2025</v>
      </c>
      <c r="Q208" s="15">
        <f>[1]Data!Q199</f>
        <v>35</v>
      </c>
      <c r="R208" s="1" t="str">
        <f>[1]Data!R199</f>
        <v/>
      </c>
    </row>
    <row r="209" spans="1:18" x14ac:dyDescent="0.35">
      <c r="A209" s="1" t="str">
        <f>[1]Data!A200</f>
        <v>4001311</v>
      </c>
      <c r="B209" s="1" t="str">
        <f>[1]Data!B200</f>
        <v>3300</v>
      </c>
      <c r="C209" s="1" t="str">
        <f>[1]Data!C200</f>
        <v>3001</v>
      </c>
      <c r="D209" s="1" t="str">
        <f>[1]Data!D200</f>
        <v>L</v>
      </c>
      <c r="E209" s="1" t="str">
        <f>[1]Data!E200</f>
        <v/>
      </c>
      <c r="F209" s="1" t="str">
        <f>[1]Data!F200</f>
        <v>2022</v>
      </c>
      <c r="G209" s="1" t="str">
        <f>[1]Data!G200</f>
        <v>8</v>
      </c>
      <c r="H209" s="15">
        <f>[1]Data!H200</f>
        <v>0</v>
      </c>
      <c r="I209" s="15">
        <f>[1]Data!I200</f>
        <v>0</v>
      </c>
      <c r="J209" s="1" t="str">
        <f>[1]Data!J200</f>
        <v>X</v>
      </c>
      <c r="K209" s="1" t="str">
        <f>[1]Data!K200</f>
        <v/>
      </c>
      <c r="L209" s="1" t="str">
        <f>[1]Data!L200</f>
        <v>SLETTET</v>
      </c>
      <c r="M209" s="1">
        <f>[1]Data!M200</f>
        <v>44568</v>
      </c>
      <c r="N209" s="1">
        <f>[1]Data!N200</f>
        <v>44430</v>
      </c>
      <c r="O209" s="1" t="str">
        <f>[1]Data!O200</f>
        <v>X</v>
      </c>
      <c r="P209" s="1" t="str">
        <f>[1]Data!P200</f>
        <v>2022</v>
      </c>
      <c r="Q209" s="15">
        <f>[1]Data!Q200</f>
        <v>0</v>
      </c>
      <c r="R209" s="1" t="str">
        <f>[1]Data!R200</f>
        <v>INAKTIV</v>
      </c>
    </row>
    <row r="210" spans="1:18" x14ac:dyDescent="0.35">
      <c r="A210" s="1" t="str">
        <f>[1]Data!A201</f>
        <v>4001312</v>
      </c>
      <c r="B210" s="1" t="str">
        <f>[1]Data!B201</f>
        <v>3300</v>
      </c>
      <c r="C210" s="1" t="str">
        <f>[1]Data!C201</f>
        <v>3001</v>
      </c>
      <c r="D210" s="1" t="str">
        <f>[1]Data!D201</f>
        <v>L</v>
      </c>
      <c r="E210" s="1" t="str">
        <f>[1]Data!E201</f>
        <v/>
      </c>
      <c r="F210" s="1" t="str">
        <f>[1]Data!F201</f>
        <v>2026</v>
      </c>
      <c r="G210" s="1" t="str">
        <f>[1]Data!G201</f>
        <v>3</v>
      </c>
      <c r="H210" s="15">
        <f>[1]Data!H201</f>
        <v>645</v>
      </c>
      <c r="I210" s="15">
        <f>[1]Data!I201</f>
        <v>0</v>
      </c>
      <c r="J210" s="1" t="str">
        <f>[1]Data!J201</f>
        <v>X</v>
      </c>
      <c r="K210" s="1" t="str">
        <f>[1]Data!K201</f>
        <v>X</v>
      </c>
      <c r="L210" s="1" t="str">
        <f>[1]Data!L201</f>
        <v>04:04:01</v>
      </c>
      <c r="M210" s="1">
        <f>[1]Data!M201</f>
        <v>45798</v>
      </c>
      <c r="N210" s="1">
        <f>[1]Data!N201</f>
        <v>44430</v>
      </c>
      <c r="O210" s="1" t="str">
        <f>[1]Data!O201</f>
        <v>X</v>
      </c>
      <c r="P210" s="1" t="str">
        <f>[1]Data!P201</f>
        <v>2025</v>
      </c>
      <c r="Q210" s="15">
        <f>[1]Data!Q201</f>
        <v>645</v>
      </c>
      <c r="R210" s="1" t="str">
        <f>[1]Data!R201</f>
        <v/>
      </c>
    </row>
    <row r="211" spans="1:18" x14ac:dyDescent="0.35">
      <c r="A211" s="1" t="str">
        <f>[1]Data!A202</f>
        <v>4001314</v>
      </c>
      <c r="B211" s="1" t="str">
        <f>[1]Data!B202</f>
        <v>3300</v>
      </c>
      <c r="C211" s="1" t="str">
        <f>[1]Data!C202</f>
        <v>3001</v>
      </c>
      <c r="D211" s="1" t="str">
        <f>[1]Data!D202</f>
        <v>L</v>
      </c>
      <c r="E211" s="1" t="str">
        <f>[1]Data!E202</f>
        <v/>
      </c>
      <c r="F211" s="1" t="str">
        <f>[1]Data!F202</f>
        <v>2026</v>
      </c>
      <c r="G211" s="1" t="str">
        <f>[1]Data!G202</f>
        <v>2</v>
      </c>
      <c r="H211" s="15">
        <f>[1]Data!H202</f>
        <v>2550</v>
      </c>
      <c r="I211" s="15">
        <f>[1]Data!I202</f>
        <v>0</v>
      </c>
      <c r="J211" s="1" t="str">
        <f>[1]Data!J202</f>
        <v>X</v>
      </c>
      <c r="K211" s="1" t="str">
        <f>[1]Data!K202</f>
        <v>X</v>
      </c>
      <c r="L211" s="1" t="str">
        <f>[1]Data!L202</f>
        <v>17:02:01</v>
      </c>
      <c r="M211" s="1">
        <f>[1]Data!M202</f>
        <v>46006</v>
      </c>
      <c r="N211" s="1">
        <f>[1]Data!N202</f>
        <v>44430</v>
      </c>
      <c r="O211" s="1" t="str">
        <f>[1]Data!O202</f>
        <v>X</v>
      </c>
      <c r="P211" s="1" t="str">
        <f>[1]Data!P202</f>
        <v>2025</v>
      </c>
      <c r="Q211" s="15">
        <f>[1]Data!Q202</f>
        <v>2550</v>
      </c>
      <c r="R211" s="1" t="str">
        <f>[1]Data!R202</f>
        <v/>
      </c>
    </row>
    <row r="212" spans="1:18" x14ac:dyDescent="0.35">
      <c r="A212" s="1" t="str">
        <f>[1]Data!A203</f>
        <v>4001315</v>
      </c>
      <c r="B212" s="1" t="str">
        <f>[1]Data!B203</f>
        <v>3300</v>
      </c>
      <c r="C212" s="1" t="str">
        <f>[1]Data!C203</f>
        <v>3001</v>
      </c>
      <c r="D212" s="1" t="str">
        <f>[1]Data!D203</f>
        <v>L</v>
      </c>
      <c r="E212" s="1" t="str">
        <f>[1]Data!E203</f>
        <v/>
      </c>
      <c r="F212" s="1" t="str">
        <f>[1]Data!F203</f>
        <v>2026</v>
      </c>
      <c r="G212" s="1" t="str">
        <f>[1]Data!G203</f>
        <v>2</v>
      </c>
      <c r="H212" s="15">
        <f>[1]Data!H203</f>
        <v>135</v>
      </c>
      <c r="I212" s="15">
        <f>[1]Data!I203</f>
        <v>0</v>
      </c>
      <c r="J212" s="1" t="str">
        <f>[1]Data!J203</f>
        <v>X</v>
      </c>
      <c r="K212" s="1" t="str">
        <f>[1]Data!K203</f>
        <v>X</v>
      </c>
      <c r="L212" s="1" t="str">
        <f>[1]Data!L203</f>
        <v>14:18:03</v>
      </c>
      <c r="M212" s="1">
        <f>[1]Data!M203</f>
        <v>46001</v>
      </c>
      <c r="N212" s="1">
        <f>[1]Data!N203</f>
        <v>44430</v>
      </c>
      <c r="O212" s="1" t="str">
        <f>[1]Data!O203</f>
        <v>X</v>
      </c>
      <c r="P212" s="1" t="str">
        <f>[1]Data!P203</f>
        <v>2025</v>
      </c>
      <c r="Q212" s="15">
        <f>[1]Data!Q203</f>
        <v>135</v>
      </c>
      <c r="R212" s="1" t="str">
        <f>[1]Data!R203</f>
        <v/>
      </c>
    </row>
    <row r="213" spans="1:18" x14ac:dyDescent="0.35">
      <c r="A213" s="1" t="str">
        <f>[1]Data!A204</f>
        <v>4001316</v>
      </c>
      <c r="B213" s="1" t="str">
        <f>[1]Data!B204</f>
        <v>3300</v>
      </c>
      <c r="C213" s="1" t="str">
        <f>[1]Data!C204</f>
        <v>3001</v>
      </c>
      <c r="D213" s="1" t="str">
        <f>[1]Data!D204</f>
        <v>L</v>
      </c>
      <c r="E213" s="1" t="str">
        <f>[1]Data!E204</f>
        <v/>
      </c>
      <c r="F213" s="1" t="str">
        <f>[1]Data!F204</f>
        <v>2026</v>
      </c>
      <c r="G213" s="1" t="str">
        <f>[1]Data!G204</f>
        <v>3</v>
      </c>
      <c r="H213" s="15">
        <f>[1]Data!H204</f>
        <v>525</v>
      </c>
      <c r="I213" s="15">
        <f>[1]Data!I204</f>
        <v>0</v>
      </c>
      <c r="J213" s="1" t="str">
        <f>[1]Data!J204</f>
        <v>X</v>
      </c>
      <c r="K213" s="1" t="str">
        <f>[1]Data!K204</f>
        <v>X</v>
      </c>
      <c r="L213" s="1" t="str">
        <f>[1]Data!L204</f>
        <v>14:10:01</v>
      </c>
      <c r="M213" s="1">
        <f>[1]Data!M204</f>
        <v>46001</v>
      </c>
      <c r="N213" s="1">
        <f>[1]Data!N204</f>
        <v>44430</v>
      </c>
      <c r="O213" s="1" t="str">
        <f>[1]Data!O204</f>
        <v>X</v>
      </c>
      <c r="P213" s="1" t="str">
        <f>[1]Data!P204</f>
        <v>2025</v>
      </c>
      <c r="Q213" s="15">
        <f>[1]Data!Q204</f>
        <v>525</v>
      </c>
      <c r="R213" s="1" t="str">
        <f>[1]Data!R204</f>
        <v/>
      </c>
    </row>
    <row r="214" spans="1:18" x14ac:dyDescent="0.35">
      <c r="A214" s="1" t="str">
        <f>[1]Data!A205</f>
        <v>4001318</v>
      </c>
      <c r="B214" s="1" t="str">
        <f>[1]Data!B205</f>
        <v>3300</v>
      </c>
      <c r="C214" s="1" t="str">
        <f>[1]Data!C205</f>
        <v>3001</v>
      </c>
      <c r="D214" s="1" t="str">
        <f>[1]Data!D205</f>
        <v>L</v>
      </c>
      <c r="E214" s="1" t="str">
        <f>[1]Data!E205</f>
        <v/>
      </c>
      <c r="F214" s="1" t="str">
        <f>[1]Data!F205</f>
        <v>2026</v>
      </c>
      <c r="G214" s="1" t="str">
        <f>[1]Data!G205</f>
        <v>1</v>
      </c>
      <c r="H214" s="15">
        <f>[1]Data!H205</f>
        <v>315</v>
      </c>
      <c r="I214" s="15">
        <f>[1]Data!I205</f>
        <v>0</v>
      </c>
      <c r="J214" s="1" t="str">
        <f>[1]Data!J205</f>
        <v>X</v>
      </c>
      <c r="K214" s="1" t="str">
        <f>[1]Data!K205</f>
        <v>X</v>
      </c>
      <c r="L214" s="1" t="str">
        <f>[1]Data!L205</f>
        <v>06:04:01</v>
      </c>
      <c r="M214" s="1">
        <f>[1]Data!M205</f>
        <v>45819</v>
      </c>
      <c r="N214" s="1">
        <f>[1]Data!N205</f>
        <v>44430</v>
      </c>
      <c r="O214" s="1" t="str">
        <f>[1]Data!O205</f>
        <v>X</v>
      </c>
      <c r="P214" s="1" t="str">
        <f>[1]Data!P205</f>
        <v>2025</v>
      </c>
      <c r="Q214" s="15">
        <f>[1]Data!Q205</f>
        <v>315</v>
      </c>
      <c r="R214" s="1" t="str">
        <f>[1]Data!R205</f>
        <v/>
      </c>
    </row>
    <row r="215" spans="1:18" x14ac:dyDescent="0.35">
      <c r="A215" s="1" t="str">
        <f>[1]Data!A206</f>
        <v>4001320</v>
      </c>
      <c r="B215" s="1" t="str">
        <f>[1]Data!B206</f>
        <v>3300</v>
      </c>
      <c r="C215" s="1" t="str">
        <f>[1]Data!C206</f>
        <v>3001</v>
      </c>
      <c r="D215" s="1" t="str">
        <f>[1]Data!D206</f>
        <v>L</v>
      </c>
      <c r="E215" s="1" t="str">
        <f>[1]Data!E206</f>
        <v/>
      </c>
      <c r="F215" s="1" t="str">
        <f>[1]Data!F206</f>
        <v>2026</v>
      </c>
      <c r="G215" s="1" t="str">
        <f>[1]Data!G206</f>
        <v>2</v>
      </c>
      <c r="H215" s="15">
        <f>[1]Data!H206</f>
        <v>300</v>
      </c>
      <c r="I215" s="15">
        <f>[1]Data!I206</f>
        <v>0</v>
      </c>
      <c r="J215" s="1" t="str">
        <f>[1]Data!J206</f>
        <v>X</v>
      </c>
      <c r="K215" s="1" t="str">
        <f>[1]Data!K206</f>
        <v>X</v>
      </c>
      <c r="L215" s="1" t="str">
        <f>[1]Data!L206</f>
        <v>12:09:03</v>
      </c>
      <c r="M215" s="1">
        <f>[1]Data!M206</f>
        <v>45994</v>
      </c>
      <c r="N215" s="1">
        <f>[1]Data!N206</f>
        <v>44430</v>
      </c>
      <c r="O215" s="1" t="str">
        <f>[1]Data!O206</f>
        <v>X</v>
      </c>
      <c r="P215" s="1" t="str">
        <f>[1]Data!P206</f>
        <v>2025</v>
      </c>
      <c r="Q215" s="15">
        <f>[1]Data!Q206</f>
        <v>300</v>
      </c>
      <c r="R215" s="1" t="str">
        <f>[1]Data!R206</f>
        <v/>
      </c>
    </row>
    <row r="216" spans="1:18" x14ac:dyDescent="0.35">
      <c r="A216" s="1" t="str">
        <f>[1]Data!A207</f>
        <v>4001323</v>
      </c>
      <c r="B216" s="1" t="str">
        <f>[1]Data!B207</f>
        <v>3300</v>
      </c>
      <c r="C216" s="1" t="str">
        <f>[1]Data!C207</f>
        <v>3001</v>
      </c>
      <c r="D216" s="1" t="str">
        <f>[1]Data!D207</f>
        <v>L</v>
      </c>
      <c r="E216" s="1" t="str">
        <f>[1]Data!E207</f>
        <v>X</v>
      </c>
      <c r="F216" s="1" t="str">
        <f>[1]Data!F207</f>
        <v>2022</v>
      </c>
      <c r="G216" s="1" t="str">
        <f>[1]Data!G207</f>
        <v>2</v>
      </c>
      <c r="H216" s="15">
        <f>[1]Data!H207</f>
        <v>0</v>
      </c>
      <c r="I216" s="15">
        <f>[1]Data!I207</f>
        <v>0</v>
      </c>
      <c r="J216" s="1" t="str">
        <f>[1]Data!J207</f>
        <v/>
      </c>
      <c r="K216" s="1" t="str">
        <f>[1]Data!K207</f>
        <v>X</v>
      </c>
      <c r="L216" s="1" t="str">
        <f>[1]Data!L207</f>
        <v>SLETTET</v>
      </c>
      <c r="M216" s="1">
        <f>[1]Data!M207</f>
        <v>44565</v>
      </c>
      <c r="N216" s="1">
        <f>[1]Data!N207</f>
        <v>44430</v>
      </c>
      <c r="O216" s="1" t="str">
        <f>[1]Data!O207</f>
        <v>X</v>
      </c>
      <c r="P216" s="1" t="str">
        <f>[1]Data!P207</f>
        <v>2023</v>
      </c>
      <c r="Q216" s="15">
        <f>[1]Data!Q207</f>
        <v>0</v>
      </c>
      <c r="R216" s="1" t="str">
        <f>[1]Data!R207</f>
        <v>INAKTIV</v>
      </c>
    </row>
    <row r="217" spans="1:18" x14ac:dyDescent="0.35">
      <c r="A217" s="1" t="str">
        <f>[1]Data!A208</f>
        <v>4001324</v>
      </c>
      <c r="B217" s="1" t="str">
        <f>[1]Data!B208</f>
        <v>3300</v>
      </c>
      <c r="C217" s="1" t="str">
        <f>[1]Data!C208</f>
        <v>3001</v>
      </c>
      <c r="D217" s="1" t="str">
        <f>[1]Data!D208</f>
        <v>L</v>
      </c>
      <c r="E217" s="1" t="str">
        <f>[1]Data!E208</f>
        <v/>
      </c>
      <c r="F217" s="1" t="str">
        <f>[1]Data!F208</f>
        <v>2026</v>
      </c>
      <c r="G217" s="1" t="str">
        <f>[1]Data!G208</f>
        <v>2</v>
      </c>
      <c r="H217" s="15">
        <f>[1]Data!H208</f>
        <v>21</v>
      </c>
      <c r="I217" s="15">
        <f>[1]Data!I208</f>
        <v>0</v>
      </c>
      <c r="J217" s="1" t="str">
        <f>[1]Data!J208</f>
        <v>X</v>
      </c>
      <c r="K217" s="1" t="str">
        <f>[1]Data!K208</f>
        <v>X</v>
      </c>
      <c r="L217" s="1" t="str">
        <f>[1]Data!L208</f>
        <v>05:06:00</v>
      </c>
      <c r="M217" s="1">
        <f>[1]Data!M208</f>
        <v>45803</v>
      </c>
      <c r="N217" s="1">
        <f>[1]Data!N208</f>
        <v>44430</v>
      </c>
      <c r="O217" s="1" t="str">
        <f>[1]Data!O208</f>
        <v>X</v>
      </c>
      <c r="P217" s="1" t="str">
        <f>[1]Data!P208</f>
        <v>2025</v>
      </c>
      <c r="Q217" s="15">
        <f>[1]Data!Q208</f>
        <v>21</v>
      </c>
      <c r="R217" s="1" t="str">
        <f>[1]Data!R208</f>
        <v/>
      </c>
    </row>
    <row r="218" spans="1:18" x14ac:dyDescent="0.35">
      <c r="A218" s="1" t="str">
        <f>[1]Data!A209</f>
        <v>4001327</v>
      </c>
      <c r="B218" s="1" t="str">
        <f>[1]Data!B209</f>
        <v>3300</v>
      </c>
      <c r="C218" s="1" t="str">
        <f>[1]Data!C209</f>
        <v>3001</v>
      </c>
      <c r="D218" s="1" t="str">
        <f>[1]Data!D209</f>
        <v>L</v>
      </c>
      <c r="E218" s="1" t="str">
        <f>[1]Data!E209</f>
        <v/>
      </c>
      <c r="F218" s="1" t="str">
        <f>[1]Data!F209</f>
        <v>2022</v>
      </c>
      <c r="G218" s="1" t="str">
        <f>[1]Data!G209</f>
        <v>11</v>
      </c>
      <c r="H218" s="15">
        <f>[1]Data!H209</f>
        <v>0</v>
      </c>
      <c r="I218" s="15">
        <f>[1]Data!I209</f>
        <v>0</v>
      </c>
      <c r="J218" s="1" t="str">
        <f>[1]Data!J209</f>
        <v/>
      </c>
      <c r="K218" s="1" t="str">
        <f>[1]Data!K209</f>
        <v>X</v>
      </c>
      <c r="L218" s="1" t="str">
        <f>[1]Data!L209</f>
        <v>SLETTET</v>
      </c>
      <c r="M218" s="1">
        <f>[1]Data!M209</f>
        <v>44568</v>
      </c>
      <c r="N218" s="1">
        <f>[1]Data!N209</f>
        <v>44430</v>
      </c>
      <c r="O218" s="1" t="str">
        <f>[1]Data!O209</f>
        <v>X</v>
      </c>
      <c r="P218" s="1" t="str">
        <f>[1]Data!P209</f>
        <v>2023</v>
      </c>
      <c r="Q218" s="15">
        <f>[1]Data!Q209</f>
        <v>0</v>
      </c>
      <c r="R218" s="1" t="str">
        <f>[1]Data!R209</f>
        <v>INAKTIV</v>
      </c>
    </row>
    <row r="219" spans="1:18" x14ac:dyDescent="0.35">
      <c r="A219" s="1" t="str">
        <f>[1]Data!A210</f>
        <v>4001328</v>
      </c>
      <c r="B219" s="1" t="str">
        <f>[1]Data!B210</f>
        <v>3300</v>
      </c>
      <c r="C219" s="1" t="str">
        <f>[1]Data!C210</f>
        <v>3001</v>
      </c>
      <c r="D219" s="1" t="str">
        <f>[1]Data!D210</f>
        <v>L</v>
      </c>
      <c r="E219" s="1" t="str">
        <f>[1]Data!E210</f>
        <v/>
      </c>
      <c r="F219" s="1" t="str">
        <f>[1]Data!F210</f>
        <v>2026</v>
      </c>
      <c r="G219" s="1" t="str">
        <f>[1]Data!G210</f>
        <v>3</v>
      </c>
      <c r="H219" s="15">
        <f>[1]Data!H210</f>
        <v>415</v>
      </c>
      <c r="I219" s="15">
        <f>[1]Data!I210</f>
        <v>0</v>
      </c>
      <c r="J219" s="1" t="str">
        <f>[1]Data!J210</f>
        <v>X</v>
      </c>
      <c r="K219" s="1" t="str">
        <f>[1]Data!K210</f>
        <v>X</v>
      </c>
      <c r="L219" s="1" t="str">
        <f>[1]Data!L210</f>
        <v>06:05:01</v>
      </c>
      <c r="M219" s="1">
        <f>[1]Data!M210</f>
        <v>45819</v>
      </c>
      <c r="N219" s="1">
        <f>[1]Data!N210</f>
        <v>44430</v>
      </c>
      <c r="O219" s="1" t="str">
        <f>[1]Data!O210</f>
        <v>X</v>
      </c>
      <c r="P219" s="1" t="str">
        <f>[1]Data!P210</f>
        <v>2025</v>
      </c>
      <c r="Q219" s="15">
        <f>[1]Data!Q210</f>
        <v>415</v>
      </c>
      <c r="R219" s="1" t="str">
        <f>[1]Data!R210</f>
        <v/>
      </c>
    </row>
    <row r="220" spans="1:18" x14ac:dyDescent="0.35">
      <c r="A220" s="1" t="str">
        <f>[1]Data!A211</f>
        <v>4001331</v>
      </c>
      <c r="B220" s="1" t="str">
        <f>[1]Data!B211</f>
        <v>3300</v>
      </c>
      <c r="C220" s="1" t="str">
        <f>[1]Data!C211</f>
        <v>3001</v>
      </c>
      <c r="D220" s="1" t="str">
        <f>[1]Data!D211</f>
        <v>L</v>
      </c>
      <c r="E220" s="1" t="str">
        <f>[1]Data!E211</f>
        <v/>
      </c>
      <c r="F220" s="1" t="str">
        <f>[1]Data!F211</f>
        <v>2026</v>
      </c>
      <c r="G220" s="1" t="str">
        <f>[1]Data!G211</f>
        <v>3</v>
      </c>
      <c r="H220" s="15">
        <f>[1]Data!H211</f>
        <v>1550</v>
      </c>
      <c r="I220" s="15">
        <f>[1]Data!I211</f>
        <v>0</v>
      </c>
      <c r="J220" s="1" t="str">
        <f>[1]Data!J211</f>
        <v>X</v>
      </c>
      <c r="K220" s="1" t="str">
        <f>[1]Data!K211</f>
        <v>X</v>
      </c>
      <c r="L220" s="1" t="str">
        <f>[1]Data!L211</f>
        <v>08:11:03</v>
      </c>
      <c r="M220" s="1">
        <f>[1]Data!M211</f>
        <v>45980</v>
      </c>
      <c r="N220" s="1">
        <f>[1]Data!N211</f>
        <v>44430</v>
      </c>
      <c r="O220" s="1" t="str">
        <f>[1]Data!O211</f>
        <v>X</v>
      </c>
      <c r="P220" s="1" t="str">
        <f>[1]Data!P211</f>
        <v>2025</v>
      </c>
      <c r="Q220" s="15">
        <f>[1]Data!Q211</f>
        <v>1550</v>
      </c>
      <c r="R220" s="1" t="str">
        <f>[1]Data!R211</f>
        <v/>
      </c>
    </row>
    <row r="221" spans="1:18" x14ac:dyDescent="0.35">
      <c r="A221" s="1" t="str">
        <f>[1]Data!A212</f>
        <v>4001333</v>
      </c>
      <c r="B221" s="1" t="str">
        <f>[1]Data!B212</f>
        <v>3300</v>
      </c>
      <c r="C221" s="1" t="str">
        <f>[1]Data!C212</f>
        <v>3001</v>
      </c>
      <c r="D221" s="1" t="str">
        <f>[1]Data!D212</f>
        <v>L</v>
      </c>
      <c r="E221" s="1" t="str">
        <f>[1]Data!E212</f>
        <v/>
      </c>
      <c r="F221" s="1" t="str">
        <f>[1]Data!F212</f>
        <v>2023</v>
      </c>
      <c r="G221" s="1" t="str">
        <f>[1]Data!G212</f>
        <v>7</v>
      </c>
      <c r="H221" s="15">
        <f>[1]Data!H212</f>
        <v>0</v>
      </c>
      <c r="I221" s="15">
        <f>[1]Data!I212</f>
        <v>0</v>
      </c>
      <c r="J221" s="1" t="str">
        <f>[1]Data!J212</f>
        <v/>
      </c>
      <c r="K221" s="1" t="str">
        <f>[1]Data!K212</f>
        <v>X</v>
      </c>
      <c r="L221" s="1" t="str">
        <f>[1]Data!L212</f>
        <v>SLETTET</v>
      </c>
      <c r="M221" s="1">
        <f>[1]Data!M212</f>
        <v>44568</v>
      </c>
      <c r="N221" s="1">
        <f>[1]Data!N212</f>
        <v>44430</v>
      </c>
      <c r="O221" s="1" t="str">
        <f>[1]Data!O212</f>
        <v>X</v>
      </c>
      <c r="P221" s="1" t="str">
        <f>[1]Data!P212</f>
        <v>2023</v>
      </c>
      <c r="Q221" s="15">
        <f>[1]Data!Q212</f>
        <v>0</v>
      </c>
      <c r="R221" s="1" t="str">
        <f>[1]Data!R212</f>
        <v>INAKTIV</v>
      </c>
    </row>
    <row r="222" spans="1:18" x14ac:dyDescent="0.35">
      <c r="A222" s="1" t="str">
        <f>[1]Data!A213</f>
        <v>4001334</v>
      </c>
      <c r="B222" s="1" t="str">
        <f>[1]Data!B213</f>
        <v>3300</v>
      </c>
      <c r="C222" s="1" t="str">
        <f>[1]Data!C213</f>
        <v>3001</v>
      </c>
      <c r="D222" s="1" t="str">
        <f>[1]Data!D213</f>
        <v>L</v>
      </c>
      <c r="E222" s="1" t="str">
        <f>[1]Data!E213</f>
        <v/>
      </c>
      <c r="F222" s="1" t="str">
        <f>[1]Data!F213</f>
        <v>2026</v>
      </c>
      <c r="G222" s="1" t="str">
        <f>[1]Data!G213</f>
        <v>2</v>
      </c>
      <c r="H222" s="15">
        <f>[1]Data!H213</f>
        <v>415</v>
      </c>
      <c r="I222" s="15">
        <f>[1]Data!I213</f>
        <v>0</v>
      </c>
      <c r="J222" s="1" t="str">
        <f>[1]Data!J213</f>
        <v>X</v>
      </c>
      <c r="K222" s="1" t="str">
        <f>[1]Data!K213</f>
        <v>X</v>
      </c>
      <c r="L222" s="1" t="str">
        <f>[1]Data!L213</f>
        <v>05:09:03</v>
      </c>
      <c r="M222" s="1">
        <f>[1]Data!M213</f>
        <v>45804</v>
      </c>
      <c r="N222" s="1">
        <f>[1]Data!N213</f>
        <v>44430</v>
      </c>
      <c r="O222" s="1" t="str">
        <f>[1]Data!O213</f>
        <v>X</v>
      </c>
      <c r="P222" s="1" t="str">
        <f>[1]Data!P213</f>
        <v>2025</v>
      </c>
      <c r="Q222" s="15">
        <f>[1]Data!Q213</f>
        <v>415</v>
      </c>
      <c r="R222" s="1" t="str">
        <f>[1]Data!R213</f>
        <v/>
      </c>
    </row>
    <row r="223" spans="1:18" x14ac:dyDescent="0.35">
      <c r="A223" s="1" t="str">
        <f>[1]Data!A214</f>
        <v>4001335</v>
      </c>
      <c r="B223" s="1" t="str">
        <f>[1]Data!B214</f>
        <v>3300</v>
      </c>
      <c r="C223" s="1" t="str">
        <f>[1]Data!C214</f>
        <v>3001</v>
      </c>
      <c r="D223" s="1" t="str">
        <f>[1]Data!D214</f>
        <v>L</v>
      </c>
      <c r="E223" s="1" t="str">
        <f>[1]Data!E214</f>
        <v/>
      </c>
      <c r="F223" s="1" t="str">
        <f>[1]Data!F214</f>
        <v>2021</v>
      </c>
      <c r="G223" s="1" t="str">
        <f>[1]Data!G214</f>
        <v>11</v>
      </c>
      <c r="H223" s="15">
        <f>[1]Data!H214</f>
        <v>0</v>
      </c>
      <c r="I223" s="15">
        <f>[1]Data!I214</f>
        <v>0</v>
      </c>
      <c r="J223" s="1" t="str">
        <f>[1]Data!J214</f>
        <v/>
      </c>
      <c r="K223" s="1" t="str">
        <f>[1]Data!K214</f>
        <v>X</v>
      </c>
      <c r="L223" s="1" t="str">
        <f>[1]Data!L214</f>
        <v>SLETTET</v>
      </c>
      <c r="M223" s="1">
        <f>[1]Data!M214</f>
        <v>44568</v>
      </c>
      <c r="N223" s="1">
        <f>[1]Data!N214</f>
        <v>44430</v>
      </c>
      <c r="O223" s="1" t="str">
        <f>[1]Data!O214</f>
        <v>X</v>
      </c>
      <c r="P223" s="1" t="str">
        <f>[1]Data!P214</f>
        <v>2023</v>
      </c>
      <c r="Q223" s="15">
        <f>[1]Data!Q214</f>
        <v>0</v>
      </c>
      <c r="R223" s="1" t="str">
        <f>[1]Data!R214</f>
        <v>INAKTIV</v>
      </c>
    </row>
    <row r="224" spans="1:18" x14ac:dyDescent="0.35">
      <c r="A224" s="1" t="str">
        <f>[1]Data!A215</f>
        <v>4001336</v>
      </c>
      <c r="B224" s="1" t="str">
        <f>[1]Data!B215</f>
        <v>3300</v>
      </c>
      <c r="C224" s="1" t="str">
        <f>[1]Data!C215</f>
        <v>3001</v>
      </c>
      <c r="D224" s="1" t="str">
        <f>[1]Data!D215</f>
        <v>L</v>
      </c>
      <c r="E224" s="1" t="str">
        <f>[1]Data!E215</f>
        <v/>
      </c>
      <c r="F224" s="1" t="str">
        <f>[1]Data!F215</f>
        <v>2021</v>
      </c>
      <c r="G224" s="1" t="str">
        <f>[1]Data!G215</f>
        <v>11</v>
      </c>
      <c r="H224" s="15">
        <f>[1]Data!H215</f>
        <v>0</v>
      </c>
      <c r="I224" s="15">
        <f>[1]Data!I215</f>
        <v>0</v>
      </c>
      <c r="J224" s="1" t="str">
        <f>[1]Data!J215</f>
        <v>X</v>
      </c>
      <c r="K224" s="1" t="str">
        <f>[1]Data!K215</f>
        <v/>
      </c>
      <c r="L224" s="1" t="str">
        <f>[1]Data!L215</f>
        <v>SLETTET</v>
      </c>
      <c r="M224" s="1">
        <f>[1]Data!M215</f>
        <v>44568</v>
      </c>
      <c r="N224" s="1">
        <f>[1]Data!N215</f>
        <v>44430</v>
      </c>
      <c r="O224" s="1" t="str">
        <f>[1]Data!O215</f>
        <v>X</v>
      </c>
      <c r="P224" s="1" t="str">
        <f>[1]Data!P215</f>
        <v>2022</v>
      </c>
      <c r="Q224" s="15">
        <f>[1]Data!Q215</f>
        <v>0</v>
      </c>
      <c r="R224" s="1" t="str">
        <f>[1]Data!R215</f>
        <v>INAKTIV</v>
      </c>
    </row>
    <row r="225" spans="1:18" x14ac:dyDescent="0.35">
      <c r="A225" s="1" t="str">
        <f>[1]Data!A216</f>
        <v>4001337</v>
      </c>
      <c r="B225" s="1" t="str">
        <f>[1]Data!B216</f>
        <v>3300</v>
      </c>
      <c r="C225" s="1" t="str">
        <f>[1]Data!C216</f>
        <v>3001</v>
      </c>
      <c r="D225" s="1" t="str">
        <f>[1]Data!D216</f>
        <v>L</v>
      </c>
      <c r="E225" s="1" t="str">
        <f>[1]Data!E216</f>
        <v/>
      </c>
      <c r="F225" s="1" t="str">
        <f>[1]Data!F216</f>
        <v>2022</v>
      </c>
      <c r="G225" s="1" t="str">
        <f>[1]Data!G216</f>
        <v>1</v>
      </c>
      <c r="H225" s="15">
        <f>[1]Data!H216</f>
        <v>0</v>
      </c>
      <c r="I225" s="15">
        <f>[1]Data!I216</f>
        <v>0</v>
      </c>
      <c r="J225" s="1" t="str">
        <f>[1]Data!J216</f>
        <v>X</v>
      </c>
      <c r="K225" s="1" t="str">
        <f>[1]Data!K216</f>
        <v/>
      </c>
      <c r="L225" s="1" t="str">
        <f>[1]Data!L216</f>
        <v>SLETTET</v>
      </c>
      <c r="M225" s="1">
        <f>[1]Data!M216</f>
        <v>44568</v>
      </c>
      <c r="N225" s="1">
        <f>[1]Data!N216</f>
        <v>44430</v>
      </c>
      <c r="O225" s="1" t="str">
        <f>[1]Data!O216</f>
        <v>X</v>
      </c>
      <c r="P225" s="1" t="str">
        <f>[1]Data!P216</f>
        <v>2022</v>
      </c>
      <c r="Q225" s="15">
        <f>[1]Data!Q216</f>
        <v>0</v>
      </c>
      <c r="R225" s="1" t="str">
        <f>[1]Data!R216</f>
        <v>INAKTIV</v>
      </c>
    </row>
    <row r="226" spans="1:18" x14ac:dyDescent="0.35">
      <c r="A226" s="1" t="str">
        <f>[1]Data!A217</f>
        <v>4001338</v>
      </c>
      <c r="B226" s="1" t="str">
        <f>[1]Data!B217</f>
        <v>3300</v>
      </c>
      <c r="C226" s="1" t="str">
        <f>[1]Data!C217</f>
        <v>3001</v>
      </c>
      <c r="D226" s="1" t="str">
        <f>[1]Data!D217</f>
        <v>L</v>
      </c>
      <c r="E226" s="1" t="str">
        <f>[1]Data!E217</f>
        <v/>
      </c>
      <c r="F226" s="1" t="str">
        <f>[1]Data!F217</f>
        <v>2021</v>
      </c>
      <c r="G226" s="1" t="str">
        <f>[1]Data!G217</f>
        <v>11</v>
      </c>
      <c r="H226" s="15">
        <f>[1]Data!H217</f>
        <v>0</v>
      </c>
      <c r="I226" s="15">
        <f>[1]Data!I217</f>
        <v>0</v>
      </c>
      <c r="J226" s="1" t="str">
        <f>[1]Data!J217</f>
        <v/>
      </c>
      <c r="K226" s="1" t="str">
        <f>[1]Data!K217</f>
        <v>X</v>
      </c>
      <c r="L226" s="1" t="str">
        <f>[1]Data!L217</f>
        <v>SLETTET</v>
      </c>
      <c r="M226" s="1">
        <f>[1]Data!M217</f>
        <v>44568</v>
      </c>
      <c r="N226" s="1">
        <f>[1]Data!N217</f>
        <v>44430</v>
      </c>
      <c r="O226" s="1" t="str">
        <f>[1]Data!O217</f>
        <v>X</v>
      </c>
      <c r="P226" s="1" t="str">
        <f>[1]Data!P217</f>
        <v>2023</v>
      </c>
      <c r="Q226" s="15">
        <f>[1]Data!Q217</f>
        <v>0</v>
      </c>
      <c r="R226" s="1" t="str">
        <f>[1]Data!R217</f>
        <v>INAKTIV</v>
      </c>
    </row>
    <row r="227" spans="1:18" x14ac:dyDescent="0.35">
      <c r="A227" s="1" t="str">
        <f>[1]Data!A218</f>
        <v>4001339</v>
      </c>
      <c r="B227" s="1" t="str">
        <f>[1]Data!B218</f>
        <v>3300</v>
      </c>
      <c r="C227" s="1" t="str">
        <f>[1]Data!C218</f>
        <v>3001</v>
      </c>
      <c r="D227" s="1" t="str">
        <f>[1]Data!D218</f>
        <v>L</v>
      </c>
      <c r="E227" s="1" t="str">
        <f>[1]Data!E218</f>
        <v/>
      </c>
      <c r="F227" s="1" t="str">
        <f>[1]Data!F218</f>
        <v>2021</v>
      </c>
      <c r="G227" s="1" t="str">
        <f>[1]Data!G218</f>
        <v>10</v>
      </c>
      <c r="H227" s="15">
        <f>[1]Data!H218</f>
        <v>0</v>
      </c>
      <c r="I227" s="15">
        <f>[1]Data!I218</f>
        <v>0</v>
      </c>
      <c r="J227" s="1" t="str">
        <f>[1]Data!J218</f>
        <v/>
      </c>
      <c r="K227" s="1" t="str">
        <f>[1]Data!K218</f>
        <v>X</v>
      </c>
      <c r="L227" s="1" t="str">
        <f>[1]Data!L218</f>
        <v>SLETTET</v>
      </c>
      <c r="M227" s="1">
        <f>[1]Data!M218</f>
        <v>44568</v>
      </c>
      <c r="N227" s="1">
        <f>[1]Data!N218</f>
        <v>44430</v>
      </c>
      <c r="O227" s="1" t="str">
        <f>[1]Data!O218</f>
        <v>X</v>
      </c>
      <c r="P227" s="1" t="str">
        <f>[1]Data!P218</f>
        <v>2023</v>
      </c>
      <c r="Q227" s="15">
        <f>[1]Data!Q218</f>
        <v>0</v>
      </c>
      <c r="R227" s="1" t="str">
        <f>[1]Data!R218</f>
        <v>INAKTIV</v>
      </c>
    </row>
    <row r="228" spans="1:18" x14ac:dyDescent="0.35">
      <c r="A228" s="1" t="str">
        <f>[1]Data!A219</f>
        <v>4001340</v>
      </c>
      <c r="B228" s="1" t="str">
        <f>[1]Data!B219</f>
        <v>3300</v>
      </c>
      <c r="C228" s="1" t="str">
        <f>[1]Data!C219</f>
        <v>3001</v>
      </c>
      <c r="D228" s="1" t="str">
        <f>[1]Data!D219</f>
        <v>L</v>
      </c>
      <c r="E228" s="1" t="str">
        <f>[1]Data!E219</f>
        <v/>
      </c>
      <c r="F228" s="1" t="str">
        <f>[1]Data!F219</f>
        <v>2026</v>
      </c>
      <c r="G228" s="1" t="str">
        <f>[1]Data!G219</f>
        <v>2</v>
      </c>
      <c r="H228" s="15">
        <f>[1]Data!H219</f>
        <v>36</v>
      </c>
      <c r="I228" s="15">
        <f>[1]Data!I219</f>
        <v>0</v>
      </c>
      <c r="J228" s="1" t="str">
        <f>[1]Data!J219</f>
        <v>X</v>
      </c>
      <c r="K228" s="1" t="str">
        <f>[1]Data!K219</f>
        <v>X</v>
      </c>
      <c r="L228" s="1" t="str">
        <f>[1]Data!L219</f>
        <v>07:03:03</v>
      </c>
      <c r="M228" s="1">
        <f>[1]Data!M219</f>
        <v>45824</v>
      </c>
      <c r="N228" s="1">
        <f>[1]Data!N219</f>
        <v>44430</v>
      </c>
      <c r="O228" s="1" t="str">
        <f>[1]Data!O219</f>
        <v>X</v>
      </c>
      <c r="P228" s="1" t="str">
        <f>[1]Data!P219</f>
        <v>2025</v>
      </c>
      <c r="Q228" s="15">
        <f>[1]Data!Q219</f>
        <v>36</v>
      </c>
      <c r="R228" s="1" t="str">
        <f>[1]Data!R219</f>
        <v/>
      </c>
    </row>
    <row r="229" spans="1:18" x14ac:dyDescent="0.35">
      <c r="A229" s="1" t="str">
        <f>[1]Data!A220</f>
        <v>4001341</v>
      </c>
      <c r="B229" s="1" t="str">
        <f>[1]Data!B220</f>
        <v>3300</v>
      </c>
      <c r="C229" s="1" t="str">
        <f>[1]Data!C220</f>
        <v>3001</v>
      </c>
      <c r="D229" s="1" t="str">
        <f>[1]Data!D220</f>
        <v>L</v>
      </c>
      <c r="E229" s="1" t="str">
        <f>[1]Data!E220</f>
        <v/>
      </c>
      <c r="F229" s="1" t="str">
        <f>[1]Data!F220</f>
        <v>2026</v>
      </c>
      <c r="G229" s="1" t="str">
        <f>[1]Data!G220</f>
        <v>3</v>
      </c>
      <c r="H229" s="15">
        <f>[1]Data!H220</f>
        <v>749</v>
      </c>
      <c r="I229" s="15">
        <f>[1]Data!I220</f>
        <v>0</v>
      </c>
      <c r="J229" s="1" t="str">
        <f>[1]Data!J220</f>
        <v>X</v>
      </c>
      <c r="K229" s="1" t="str">
        <f>[1]Data!K220</f>
        <v>X</v>
      </c>
      <c r="L229" s="1" t="str">
        <f>[1]Data!L220</f>
        <v>08:08:01</v>
      </c>
      <c r="M229" s="1">
        <f>[1]Data!M220</f>
        <v>45980</v>
      </c>
      <c r="N229" s="1">
        <f>[1]Data!N220</f>
        <v>44430</v>
      </c>
      <c r="O229" s="1" t="str">
        <f>[1]Data!O220</f>
        <v>X</v>
      </c>
      <c r="P229" s="1" t="str">
        <f>[1]Data!P220</f>
        <v>2025</v>
      </c>
      <c r="Q229" s="15">
        <f>[1]Data!Q220</f>
        <v>749</v>
      </c>
      <c r="R229" s="1" t="str">
        <f>[1]Data!R220</f>
        <v/>
      </c>
    </row>
    <row r="230" spans="1:18" x14ac:dyDescent="0.35">
      <c r="A230" s="1" t="str">
        <f>[1]Data!A221</f>
        <v>4001343</v>
      </c>
      <c r="B230" s="1" t="str">
        <f>[1]Data!B221</f>
        <v>3300</v>
      </c>
      <c r="C230" s="1" t="str">
        <f>[1]Data!C221</f>
        <v>3001</v>
      </c>
      <c r="D230" s="1" t="str">
        <f>[1]Data!D221</f>
        <v>L</v>
      </c>
      <c r="E230" s="1" t="str">
        <f>[1]Data!E221</f>
        <v/>
      </c>
      <c r="F230" s="1" t="str">
        <f>[1]Data!F221</f>
        <v>2026</v>
      </c>
      <c r="G230" s="1" t="str">
        <f>[1]Data!G221</f>
        <v>3</v>
      </c>
      <c r="H230" s="15">
        <f>[1]Data!H221</f>
        <v>52</v>
      </c>
      <c r="I230" s="15">
        <f>[1]Data!I221</f>
        <v>0</v>
      </c>
      <c r="J230" s="1" t="str">
        <f>[1]Data!J221</f>
        <v>X</v>
      </c>
      <c r="K230" s="1" t="str">
        <f>[1]Data!K221</f>
        <v>X</v>
      </c>
      <c r="L230" s="1" t="str">
        <f>[1]Data!L221</f>
        <v>02:02:03</v>
      </c>
      <c r="M230" s="1">
        <f>[1]Data!M221</f>
        <v>45796</v>
      </c>
      <c r="N230" s="1">
        <f>[1]Data!N221</f>
        <v>44430</v>
      </c>
      <c r="O230" s="1" t="str">
        <f>[1]Data!O221</f>
        <v>X</v>
      </c>
      <c r="P230" s="1" t="str">
        <f>[1]Data!P221</f>
        <v>2025</v>
      </c>
      <c r="Q230" s="15">
        <f>[1]Data!Q221</f>
        <v>52</v>
      </c>
      <c r="R230" s="1" t="str">
        <f>[1]Data!R221</f>
        <v/>
      </c>
    </row>
    <row r="231" spans="1:18" x14ac:dyDescent="0.35">
      <c r="A231" s="1" t="str">
        <f>[1]Data!A222</f>
        <v>4001344</v>
      </c>
      <c r="B231" s="1" t="str">
        <f>[1]Data!B222</f>
        <v>3300</v>
      </c>
      <c r="C231" s="1" t="str">
        <f>[1]Data!C222</f>
        <v>3001</v>
      </c>
      <c r="D231" s="1" t="str">
        <f>[1]Data!D222</f>
        <v>L</v>
      </c>
      <c r="E231" s="1" t="str">
        <f>[1]Data!E222</f>
        <v/>
      </c>
      <c r="F231" s="1" t="str">
        <f>[1]Data!F222</f>
        <v>2026</v>
      </c>
      <c r="G231" s="1" t="str">
        <f>[1]Data!G222</f>
        <v>3</v>
      </c>
      <c r="H231" s="15">
        <f>[1]Data!H222</f>
        <v>108</v>
      </c>
      <c r="I231" s="15">
        <f>[1]Data!I222</f>
        <v>0</v>
      </c>
      <c r="J231" s="1" t="str">
        <f>[1]Data!J222</f>
        <v>X</v>
      </c>
      <c r="K231" s="1" t="str">
        <f>[1]Data!K222</f>
        <v>X</v>
      </c>
      <c r="L231" s="1" t="str">
        <f>[1]Data!L222</f>
        <v>02:02:02</v>
      </c>
      <c r="M231" s="1">
        <f>[1]Data!M222</f>
        <v>45796</v>
      </c>
      <c r="N231" s="1">
        <f>[1]Data!N222</f>
        <v>44430</v>
      </c>
      <c r="O231" s="1" t="str">
        <f>[1]Data!O222</f>
        <v>X</v>
      </c>
      <c r="P231" s="1" t="str">
        <f>[1]Data!P222</f>
        <v>2025</v>
      </c>
      <c r="Q231" s="15">
        <f>[1]Data!Q222</f>
        <v>108</v>
      </c>
      <c r="R231" s="1" t="str">
        <f>[1]Data!R222</f>
        <v/>
      </c>
    </row>
    <row r="232" spans="1:18" x14ac:dyDescent="0.35">
      <c r="A232" s="1" t="str">
        <f>[1]Data!A223</f>
        <v>4001345</v>
      </c>
      <c r="B232" s="1" t="str">
        <f>[1]Data!B223</f>
        <v>3300</v>
      </c>
      <c r="C232" s="1" t="str">
        <f>[1]Data!C223</f>
        <v>3001</v>
      </c>
      <c r="D232" s="1" t="str">
        <f>[1]Data!D223</f>
        <v>L</v>
      </c>
      <c r="E232" s="1" t="str">
        <f>[1]Data!E223</f>
        <v/>
      </c>
      <c r="F232" s="1" t="str">
        <f>[1]Data!F223</f>
        <v>2026</v>
      </c>
      <c r="G232" s="1" t="str">
        <f>[1]Data!G223</f>
        <v>2</v>
      </c>
      <c r="H232" s="15">
        <f>[1]Data!H223</f>
        <v>50</v>
      </c>
      <c r="I232" s="15">
        <f>[1]Data!I223</f>
        <v>0</v>
      </c>
      <c r="J232" s="1" t="str">
        <f>[1]Data!J223</f>
        <v>X</v>
      </c>
      <c r="K232" s="1" t="str">
        <f>[1]Data!K223</f>
        <v>X</v>
      </c>
      <c r="L232" s="1" t="str">
        <f>[1]Data!L223</f>
        <v>02:02:01</v>
      </c>
      <c r="M232" s="1">
        <f>[1]Data!M223</f>
        <v>45796</v>
      </c>
      <c r="N232" s="1">
        <f>[1]Data!N223</f>
        <v>44430</v>
      </c>
      <c r="O232" s="1" t="str">
        <f>[1]Data!O223</f>
        <v>X</v>
      </c>
      <c r="P232" s="1" t="str">
        <f>[1]Data!P223</f>
        <v>2025</v>
      </c>
      <c r="Q232" s="15">
        <f>[1]Data!Q223</f>
        <v>50</v>
      </c>
      <c r="R232" s="1" t="str">
        <f>[1]Data!R223</f>
        <v/>
      </c>
    </row>
    <row r="233" spans="1:18" x14ac:dyDescent="0.35">
      <c r="A233" s="1" t="str">
        <f>[1]Data!A224</f>
        <v>4001347</v>
      </c>
      <c r="B233" s="1" t="str">
        <f>[1]Data!B224</f>
        <v>3300</v>
      </c>
      <c r="C233" s="1" t="str">
        <f>[1]Data!C224</f>
        <v>3001</v>
      </c>
      <c r="D233" s="1" t="str">
        <f>[1]Data!D224</f>
        <v>L</v>
      </c>
      <c r="E233" s="1" t="str">
        <f>[1]Data!E224</f>
        <v/>
      </c>
      <c r="F233" s="1" t="str">
        <f>[1]Data!F224</f>
        <v>2026</v>
      </c>
      <c r="G233" s="1" t="str">
        <f>[1]Data!G224</f>
        <v>2</v>
      </c>
      <c r="H233" s="15">
        <f>[1]Data!H224</f>
        <v>15</v>
      </c>
      <c r="I233" s="15">
        <f>[1]Data!I224</f>
        <v>0</v>
      </c>
      <c r="J233" s="1" t="str">
        <f>[1]Data!J224</f>
        <v>X</v>
      </c>
      <c r="K233" s="1" t="str">
        <f>[1]Data!K224</f>
        <v>X</v>
      </c>
      <c r="L233" s="1" t="str">
        <f>[1]Data!L224</f>
        <v>02:06:01</v>
      </c>
      <c r="M233" s="1">
        <f>[1]Data!M224</f>
        <v>45796</v>
      </c>
      <c r="N233" s="1">
        <f>[1]Data!N224</f>
        <v>44430</v>
      </c>
      <c r="O233" s="1" t="str">
        <f>[1]Data!O224</f>
        <v>X</v>
      </c>
      <c r="P233" s="1" t="str">
        <f>[1]Data!P224</f>
        <v>2025</v>
      </c>
      <c r="Q233" s="15">
        <f>[1]Data!Q224</f>
        <v>15</v>
      </c>
      <c r="R233" s="1" t="str">
        <f>[1]Data!R224</f>
        <v/>
      </c>
    </row>
    <row r="234" spans="1:18" x14ac:dyDescent="0.35">
      <c r="A234" s="1" t="str">
        <f>[1]Data!A225</f>
        <v>4001348</v>
      </c>
      <c r="B234" s="1" t="str">
        <f>[1]Data!B225</f>
        <v>3300</v>
      </c>
      <c r="C234" s="1" t="str">
        <f>[1]Data!C225</f>
        <v>3001</v>
      </c>
      <c r="D234" s="1" t="str">
        <f>[1]Data!D225</f>
        <v>DL</v>
      </c>
      <c r="E234" s="1" t="str">
        <f>[1]Data!E225</f>
        <v/>
      </c>
      <c r="F234" s="1" t="str">
        <f>[1]Data!F225</f>
        <v>2026</v>
      </c>
      <c r="G234" s="1" t="str">
        <f>[1]Data!G225</f>
        <v>3</v>
      </c>
      <c r="H234" s="15">
        <f>[1]Data!H225</f>
        <v>200</v>
      </c>
      <c r="I234" s="15">
        <f>[1]Data!I225</f>
        <v>0</v>
      </c>
      <c r="J234" s="1" t="str">
        <f>[1]Data!J225</f>
        <v>X</v>
      </c>
      <c r="K234" s="1" t="str">
        <f>[1]Data!K225</f>
        <v>X</v>
      </c>
      <c r="L234" s="1" t="str">
        <f>[1]Data!L225</f>
        <v>05:04:02</v>
      </c>
      <c r="M234" s="1">
        <f>[1]Data!M225</f>
        <v>45803</v>
      </c>
      <c r="N234" s="1">
        <f>[1]Data!N225</f>
        <v>44908</v>
      </c>
      <c r="O234" s="1" t="str">
        <f>[1]Data!O225</f>
        <v>X</v>
      </c>
      <c r="P234" s="1" t="str">
        <f>[1]Data!P225</f>
        <v>2025</v>
      </c>
      <c r="Q234" s="15">
        <f>[1]Data!Q225</f>
        <v>200</v>
      </c>
      <c r="R234" s="1" t="str">
        <f>[1]Data!R225</f>
        <v/>
      </c>
    </row>
    <row r="235" spans="1:18" x14ac:dyDescent="0.35">
      <c r="A235" s="1" t="str">
        <f>[1]Data!A226</f>
        <v>4001349</v>
      </c>
      <c r="B235" s="1" t="str">
        <f>[1]Data!B226</f>
        <v>3300</v>
      </c>
      <c r="C235" s="1" t="str">
        <f>[1]Data!C226</f>
        <v>3001</v>
      </c>
      <c r="D235" s="1" t="str">
        <f>[1]Data!D226</f>
        <v>DL</v>
      </c>
      <c r="E235" s="1" t="str">
        <f>[1]Data!E226</f>
        <v/>
      </c>
      <c r="F235" s="1" t="str">
        <f>[1]Data!F226</f>
        <v>2026</v>
      </c>
      <c r="G235" s="1" t="str">
        <f>[1]Data!G226</f>
        <v>2</v>
      </c>
      <c r="H235" s="15">
        <f>[1]Data!H226</f>
        <v>160</v>
      </c>
      <c r="I235" s="15">
        <f>[1]Data!I226</f>
        <v>0</v>
      </c>
      <c r="J235" s="1" t="str">
        <f>[1]Data!J226</f>
        <v>X</v>
      </c>
      <c r="K235" s="1" t="str">
        <f>[1]Data!K226</f>
        <v>X</v>
      </c>
      <c r="L235" s="1" t="str">
        <f>[1]Data!L226</f>
        <v>05:05:03</v>
      </c>
      <c r="M235" s="1">
        <f>[1]Data!M226</f>
        <v>45803</v>
      </c>
      <c r="N235" s="1">
        <f>[1]Data!N226</f>
        <v>44908</v>
      </c>
      <c r="O235" s="1" t="str">
        <f>[1]Data!O226</f>
        <v>X</v>
      </c>
      <c r="P235" s="1" t="str">
        <f>[1]Data!P226</f>
        <v>2025</v>
      </c>
      <c r="Q235" s="15">
        <f>[1]Data!Q226</f>
        <v>160</v>
      </c>
      <c r="R235" s="1" t="str">
        <f>[1]Data!R226</f>
        <v/>
      </c>
    </row>
    <row r="236" spans="1:18" x14ac:dyDescent="0.35">
      <c r="A236" s="1" t="str">
        <f>[1]Data!A227</f>
        <v>4001350</v>
      </c>
      <c r="B236" s="1" t="str">
        <f>[1]Data!B227</f>
        <v>3300</v>
      </c>
      <c r="C236" s="1" t="str">
        <f>[1]Data!C227</f>
        <v>3001</v>
      </c>
      <c r="D236" s="1" t="str">
        <f>[1]Data!D227</f>
        <v>L</v>
      </c>
      <c r="E236" s="1" t="str">
        <f>[1]Data!E227</f>
        <v/>
      </c>
      <c r="F236" s="1" t="str">
        <f>[1]Data!F227</f>
        <v>2026</v>
      </c>
      <c r="G236" s="1" t="str">
        <f>[1]Data!G227</f>
        <v>3</v>
      </c>
      <c r="H236" s="15">
        <f>[1]Data!H227</f>
        <v>3200</v>
      </c>
      <c r="I236" s="15">
        <f>[1]Data!I227</f>
        <v>0</v>
      </c>
      <c r="J236" s="1" t="str">
        <f>[1]Data!J227</f>
        <v>X</v>
      </c>
      <c r="K236" s="1" t="str">
        <f>[1]Data!K227</f>
        <v>X</v>
      </c>
      <c r="L236" s="1" t="str">
        <f>[1]Data!L227</f>
        <v>09:11:02</v>
      </c>
      <c r="M236" s="1">
        <f>[1]Data!M227</f>
        <v>45987</v>
      </c>
      <c r="N236" s="1">
        <f>[1]Data!N227</f>
        <v>44430</v>
      </c>
      <c r="O236" s="1" t="str">
        <f>[1]Data!O227</f>
        <v>X</v>
      </c>
      <c r="P236" s="1" t="str">
        <f>[1]Data!P227</f>
        <v>2025</v>
      </c>
      <c r="Q236" s="15">
        <f>[1]Data!Q227</f>
        <v>3200</v>
      </c>
      <c r="R236" s="1" t="str">
        <f>[1]Data!R227</f>
        <v/>
      </c>
    </row>
    <row r="237" spans="1:18" x14ac:dyDescent="0.35">
      <c r="A237" s="1" t="str">
        <f>[1]Data!A228</f>
        <v>4001351</v>
      </c>
      <c r="B237" s="1" t="str">
        <f>[1]Data!B228</f>
        <v>3300</v>
      </c>
      <c r="C237" s="1" t="str">
        <f>[1]Data!C228</f>
        <v>3001</v>
      </c>
      <c r="D237" s="1" t="str">
        <f>[1]Data!D228</f>
        <v>L</v>
      </c>
      <c r="E237" s="1" t="str">
        <f>[1]Data!E228</f>
        <v/>
      </c>
      <c r="F237" s="1" t="str">
        <f>[1]Data!F228</f>
        <v>2021</v>
      </c>
      <c r="G237" s="1" t="str">
        <f>[1]Data!G228</f>
        <v>10</v>
      </c>
      <c r="H237" s="15">
        <f>[1]Data!H228</f>
        <v>0</v>
      </c>
      <c r="I237" s="15">
        <f>[1]Data!I228</f>
        <v>0</v>
      </c>
      <c r="J237" s="1" t="str">
        <f>[1]Data!J228</f>
        <v/>
      </c>
      <c r="K237" s="1" t="str">
        <f>[1]Data!K228</f>
        <v>X</v>
      </c>
      <c r="L237" s="1" t="str">
        <f>[1]Data!L228</f>
        <v>SLETTET</v>
      </c>
      <c r="M237" s="1">
        <f>[1]Data!M228</f>
        <v>44568</v>
      </c>
      <c r="N237" s="1">
        <f>[1]Data!N228</f>
        <v>44430</v>
      </c>
      <c r="O237" s="1" t="str">
        <f>[1]Data!O228</f>
        <v>X</v>
      </c>
      <c r="P237" s="1" t="str">
        <f>[1]Data!P228</f>
        <v>2023</v>
      </c>
      <c r="Q237" s="15">
        <f>[1]Data!Q228</f>
        <v>0</v>
      </c>
      <c r="R237" s="1" t="str">
        <f>[1]Data!R228</f>
        <v>INAKTIV</v>
      </c>
    </row>
    <row r="238" spans="1:18" x14ac:dyDescent="0.35">
      <c r="A238" s="1" t="str">
        <f>[1]Data!A229</f>
        <v>4001354</v>
      </c>
      <c r="B238" s="1" t="str">
        <f>[1]Data!B229</f>
        <v>3300</v>
      </c>
      <c r="C238" s="1" t="str">
        <f>[1]Data!C229</f>
        <v>3001</v>
      </c>
      <c r="D238" s="1" t="str">
        <f>[1]Data!D229</f>
        <v>L</v>
      </c>
      <c r="E238" s="1" t="str">
        <f>[1]Data!E229</f>
        <v/>
      </c>
      <c r="F238" s="1" t="str">
        <f>[1]Data!F229</f>
        <v>2026</v>
      </c>
      <c r="G238" s="1" t="str">
        <f>[1]Data!G229</f>
        <v>2</v>
      </c>
      <c r="H238" s="15">
        <f>[1]Data!H229</f>
        <v>650</v>
      </c>
      <c r="I238" s="15">
        <f>[1]Data!I229</f>
        <v>0</v>
      </c>
      <c r="J238" s="1" t="str">
        <f>[1]Data!J229</f>
        <v>X</v>
      </c>
      <c r="K238" s="1" t="str">
        <f>[1]Data!K229</f>
        <v>X</v>
      </c>
      <c r="L238" s="1" t="str">
        <f>[1]Data!L229</f>
        <v>14:13:02</v>
      </c>
      <c r="M238" s="1">
        <f>[1]Data!M229</f>
        <v>46001</v>
      </c>
      <c r="N238" s="1">
        <f>[1]Data!N229</f>
        <v>44430</v>
      </c>
      <c r="O238" s="1" t="str">
        <f>[1]Data!O229</f>
        <v>X</v>
      </c>
      <c r="P238" s="1" t="str">
        <f>[1]Data!P229</f>
        <v>2025</v>
      </c>
      <c r="Q238" s="15">
        <f>[1]Data!Q229</f>
        <v>650</v>
      </c>
      <c r="R238" s="1" t="str">
        <f>[1]Data!R229</f>
        <v/>
      </c>
    </row>
    <row r="239" spans="1:18" x14ac:dyDescent="0.35">
      <c r="A239" s="1" t="str">
        <f>[1]Data!A230</f>
        <v>4001357</v>
      </c>
      <c r="B239" s="1" t="str">
        <f>[1]Data!B230</f>
        <v>3300</v>
      </c>
      <c r="C239" s="1" t="str">
        <f>[1]Data!C230</f>
        <v>3001</v>
      </c>
      <c r="D239" s="1" t="str">
        <f>[1]Data!D230</f>
        <v>L</v>
      </c>
      <c r="E239" s="1" t="str">
        <f>[1]Data!E230</f>
        <v/>
      </c>
      <c r="F239" s="1" t="str">
        <f>[1]Data!F230</f>
        <v>2023</v>
      </c>
      <c r="G239" s="1" t="str">
        <f>[1]Data!G230</f>
        <v>8</v>
      </c>
      <c r="H239" s="15">
        <f>[1]Data!H230</f>
        <v>0</v>
      </c>
      <c r="I239" s="15">
        <f>[1]Data!I230</f>
        <v>0</v>
      </c>
      <c r="J239" s="1" t="str">
        <f>[1]Data!J230</f>
        <v/>
      </c>
      <c r="K239" s="1" t="str">
        <f>[1]Data!K230</f>
        <v/>
      </c>
      <c r="L239" s="1" t="str">
        <f>[1]Data!L230</f>
        <v>SLETTET</v>
      </c>
      <c r="M239" s="1">
        <f>[1]Data!M230</f>
        <v>44568</v>
      </c>
      <c r="N239" s="1">
        <f>[1]Data!N230</f>
        <v>44430</v>
      </c>
      <c r="O239" s="1" t="str">
        <f>[1]Data!O230</f>
        <v>X</v>
      </c>
      <c r="P239" s="1" t="str">
        <f>[1]Data!P230</f>
        <v>2025</v>
      </c>
      <c r="Q239" s="15">
        <f>[1]Data!Q230</f>
        <v>0</v>
      </c>
      <c r="R239" s="1" t="str">
        <f>[1]Data!R230</f>
        <v>INAKTIV</v>
      </c>
    </row>
    <row r="240" spans="1:18" x14ac:dyDescent="0.35">
      <c r="A240" s="1" t="str">
        <f>[1]Data!A231</f>
        <v>4001359</v>
      </c>
      <c r="B240" s="1" t="str">
        <f>[1]Data!B231</f>
        <v>3300</v>
      </c>
      <c r="C240" s="1" t="str">
        <f>[1]Data!C231</f>
        <v>3001</v>
      </c>
      <c r="D240" s="1" t="str">
        <f>[1]Data!D231</f>
        <v>L</v>
      </c>
      <c r="E240" s="1" t="str">
        <f>[1]Data!E231</f>
        <v/>
      </c>
      <c r="F240" s="1" t="str">
        <f>[1]Data!F231</f>
        <v>2026</v>
      </c>
      <c r="G240" s="1" t="str">
        <f>[1]Data!G231</f>
        <v>2</v>
      </c>
      <c r="H240" s="15">
        <f>[1]Data!H231</f>
        <v>650</v>
      </c>
      <c r="I240" s="15">
        <f>[1]Data!I231</f>
        <v>0</v>
      </c>
      <c r="J240" s="1" t="str">
        <f>[1]Data!J231</f>
        <v>X</v>
      </c>
      <c r="K240" s="1" t="str">
        <f>[1]Data!K231</f>
        <v>X</v>
      </c>
      <c r="L240" s="1" t="str">
        <f>[1]Data!L231</f>
        <v>13:01:01</v>
      </c>
      <c r="M240" s="1">
        <f>[1]Data!M231</f>
        <v>45994</v>
      </c>
      <c r="N240" s="1">
        <f>[1]Data!N231</f>
        <v>44430</v>
      </c>
      <c r="O240" s="1" t="str">
        <f>[1]Data!O231</f>
        <v>X</v>
      </c>
      <c r="P240" s="1" t="str">
        <f>[1]Data!P231</f>
        <v>2025</v>
      </c>
      <c r="Q240" s="15">
        <f>[1]Data!Q231</f>
        <v>650</v>
      </c>
      <c r="R240" s="1" t="str">
        <f>[1]Data!R231</f>
        <v/>
      </c>
    </row>
    <row r="241" spans="1:18" x14ac:dyDescent="0.35">
      <c r="A241" s="1" t="str">
        <f>[1]Data!A232</f>
        <v>4001363</v>
      </c>
      <c r="B241" s="1" t="str">
        <f>[1]Data!B232</f>
        <v>3300</v>
      </c>
      <c r="C241" s="1" t="str">
        <f>[1]Data!C232</f>
        <v>3001</v>
      </c>
      <c r="D241" s="1" t="str">
        <f>[1]Data!D232</f>
        <v>L</v>
      </c>
      <c r="E241" s="1" t="str">
        <f>[1]Data!E232</f>
        <v/>
      </c>
      <c r="F241" s="1" t="str">
        <f>[1]Data!F232</f>
        <v>2026</v>
      </c>
      <c r="G241" s="1" t="str">
        <f>[1]Data!G232</f>
        <v>3</v>
      </c>
      <c r="H241" s="15">
        <f>[1]Data!H232</f>
        <v>0</v>
      </c>
      <c r="I241" s="15">
        <f>[1]Data!I232</f>
        <v>0</v>
      </c>
      <c r="J241" s="1" t="str">
        <f>[1]Data!J232</f>
        <v>X</v>
      </c>
      <c r="K241" s="1" t="str">
        <f>[1]Data!K232</f>
        <v>X</v>
      </c>
      <c r="L241" s="1" t="str">
        <f>[1]Data!L232</f>
        <v>13:02:03</v>
      </c>
      <c r="M241" s="1">
        <f>[1]Data!M232</f>
        <v>45994</v>
      </c>
      <c r="N241" s="1">
        <f>[1]Data!N232</f>
        <v>44430</v>
      </c>
      <c r="O241" s="1" t="str">
        <f>[1]Data!O232</f>
        <v>X</v>
      </c>
      <c r="P241" s="1" t="str">
        <f>[1]Data!P232</f>
        <v>2025</v>
      </c>
      <c r="Q241" s="15">
        <f>[1]Data!Q232</f>
        <v>0</v>
      </c>
      <c r="R241" s="1" t="str">
        <f>[1]Data!R232</f>
        <v>INAKTIV</v>
      </c>
    </row>
    <row r="242" spans="1:18" x14ac:dyDescent="0.35">
      <c r="A242" s="1" t="str">
        <f>[1]Data!A233</f>
        <v>4001364</v>
      </c>
      <c r="B242" s="1" t="str">
        <f>[1]Data!B233</f>
        <v>3300</v>
      </c>
      <c r="C242" s="1" t="str">
        <f>[1]Data!C233</f>
        <v>3001</v>
      </c>
      <c r="D242" s="1" t="str">
        <f>[1]Data!D233</f>
        <v>L</v>
      </c>
      <c r="E242" s="1" t="str">
        <f>[1]Data!E233</f>
        <v/>
      </c>
      <c r="F242" s="1" t="str">
        <f>[1]Data!F233</f>
        <v>2026</v>
      </c>
      <c r="G242" s="1" t="str">
        <f>[1]Data!G233</f>
        <v>3</v>
      </c>
      <c r="H242" s="15">
        <f>[1]Data!H233</f>
        <v>900</v>
      </c>
      <c r="I242" s="15">
        <f>[1]Data!I233</f>
        <v>0</v>
      </c>
      <c r="J242" s="1" t="str">
        <f>[1]Data!J233</f>
        <v>X</v>
      </c>
      <c r="K242" s="1" t="str">
        <f>[1]Data!K233</f>
        <v>X</v>
      </c>
      <c r="L242" s="1" t="str">
        <f>[1]Data!L233</f>
        <v>14:14:03</v>
      </c>
      <c r="M242" s="1">
        <f>[1]Data!M233</f>
        <v>46001</v>
      </c>
      <c r="N242" s="1">
        <f>[1]Data!N233</f>
        <v>44430</v>
      </c>
      <c r="O242" s="1" t="str">
        <f>[1]Data!O233</f>
        <v>X</v>
      </c>
      <c r="P242" s="1" t="str">
        <f>[1]Data!P233</f>
        <v>2025</v>
      </c>
      <c r="Q242" s="15">
        <f>[1]Data!Q233</f>
        <v>900</v>
      </c>
      <c r="R242" s="1" t="str">
        <f>[1]Data!R233</f>
        <v/>
      </c>
    </row>
    <row r="243" spans="1:18" x14ac:dyDescent="0.35">
      <c r="A243" s="1" t="str">
        <f>[1]Data!A234</f>
        <v>4001365</v>
      </c>
      <c r="B243" s="1" t="str">
        <f>[1]Data!B234</f>
        <v>3300</v>
      </c>
      <c r="C243" s="1" t="str">
        <f>[1]Data!C234</f>
        <v>3001</v>
      </c>
      <c r="D243" s="1" t="str">
        <f>[1]Data!D234</f>
        <v>L</v>
      </c>
      <c r="E243" s="1" t="str">
        <f>[1]Data!E234</f>
        <v/>
      </c>
      <c r="F243" s="1" t="str">
        <f>[1]Data!F234</f>
        <v>2026</v>
      </c>
      <c r="G243" s="1" t="str">
        <f>[1]Data!G234</f>
        <v>2</v>
      </c>
      <c r="H243" s="15">
        <f>[1]Data!H234</f>
        <v>52</v>
      </c>
      <c r="I243" s="15">
        <f>[1]Data!I234</f>
        <v>0</v>
      </c>
      <c r="J243" s="1" t="str">
        <f>[1]Data!J234</f>
        <v>X</v>
      </c>
      <c r="K243" s="1" t="str">
        <f>[1]Data!K234</f>
        <v>X</v>
      </c>
      <c r="L243" s="1" t="str">
        <f>[1]Data!L234</f>
        <v>02:04:01</v>
      </c>
      <c r="M243" s="1">
        <f>[1]Data!M234</f>
        <v>45796</v>
      </c>
      <c r="N243" s="1">
        <f>[1]Data!N234</f>
        <v>44430</v>
      </c>
      <c r="O243" s="1" t="str">
        <f>[1]Data!O234</f>
        <v>X</v>
      </c>
      <c r="P243" s="1" t="str">
        <f>[1]Data!P234</f>
        <v>2025</v>
      </c>
      <c r="Q243" s="15">
        <f>[1]Data!Q234</f>
        <v>52</v>
      </c>
      <c r="R243" s="1" t="str">
        <f>[1]Data!R234</f>
        <v/>
      </c>
    </row>
    <row r="244" spans="1:18" x14ac:dyDescent="0.35">
      <c r="A244" s="1" t="str">
        <f>[1]Data!A235</f>
        <v>4001366</v>
      </c>
      <c r="B244" s="1" t="str">
        <f>[1]Data!B235</f>
        <v>3300</v>
      </c>
      <c r="C244" s="1" t="str">
        <f>[1]Data!C235</f>
        <v>3001</v>
      </c>
      <c r="D244" s="1" t="str">
        <f>[1]Data!D235</f>
        <v>L</v>
      </c>
      <c r="E244" s="1" t="str">
        <f>[1]Data!E235</f>
        <v/>
      </c>
      <c r="F244" s="1" t="str">
        <f>[1]Data!F235</f>
        <v>2026</v>
      </c>
      <c r="G244" s="1" t="str">
        <f>[1]Data!G235</f>
        <v>2</v>
      </c>
      <c r="H244" s="15">
        <f>[1]Data!H235</f>
        <v>120</v>
      </c>
      <c r="I244" s="15">
        <f>[1]Data!I235</f>
        <v>0</v>
      </c>
      <c r="J244" s="1" t="str">
        <f>[1]Data!J235</f>
        <v>X</v>
      </c>
      <c r="K244" s="1" t="str">
        <f>[1]Data!K235</f>
        <v>X</v>
      </c>
      <c r="L244" s="1" t="str">
        <f>[1]Data!L235</f>
        <v>03:03:01</v>
      </c>
      <c r="M244" s="1">
        <f>[1]Data!M235</f>
        <v>45798</v>
      </c>
      <c r="N244" s="1">
        <f>[1]Data!N235</f>
        <v>44430</v>
      </c>
      <c r="O244" s="1" t="str">
        <f>[1]Data!O235</f>
        <v>X</v>
      </c>
      <c r="P244" s="1" t="str">
        <f>[1]Data!P235</f>
        <v>2025</v>
      </c>
      <c r="Q244" s="15">
        <f>[1]Data!Q235</f>
        <v>120</v>
      </c>
      <c r="R244" s="1" t="str">
        <f>[1]Data!R235</f>
        <v/>
      </c>
    </row>
    <row r="245" spans="1:18" x14ac:dyDescent="0.35">
      <c r="A245" s="1" t="str">
        <f>[1]Data!A236</f>
        <v>4001367</v>
      </c>
      <c r="B245" s="1" t="str">
        <f>[1]Data!B236</f>
        <v>3300</v>
      </c>
      <c r="C245" s="1" t="str">
        <f>[1]Data!C236</f>
        <v>3001</v>
      </c>
      <c r="D245" s="1" t="str">
        <f>[1]Data!D236</f>
        <v>L</v>
      </c>
      <c r="E245" s="1" t="str">
        <f>[1]Data!E236</f>
        <v/>
      </c>
      <c r="F245" s="1" t="str">
        <f>[1]Data!F236</f>
        <v>2026</v>
      </c>
      <c r="G245" s="1" t="str">
        <f>[1]Data!G236</f>
        <v>2</v>
      </c>
      <c r="H245" s="15">
        <f>[1]Data!H236</f>
        <v>466</v>
      </c>
      <c r="I245" s="15">
        <f>[1]Data!I236</f>
        <v>0</v>
      </c>
      <c r="J245" s="1" t="str">
        <f>[1]Data!J236</f>
        <v>X</v>
      </c>
      <c r="K245" s="1" t="str">
        <f>[1]Data!K236</f>
        <v>X</v>
      </c>
      <c r="L245" s="1" t="str">
        <f>[1]Data!L236</f>
        <v>04:02:03</v>
      </c>
      <c r="M245" s="1">
        <f>[1]Data!M236</f>
        <v>45798</v>
      </c>
      <c r="N245" s="1">
        <f>[1]Data!N236</f>
        <v>44430</v>
      </c>
      <c r="O245" s="1" t="str">
        <f>[1]Data!O236</f>
        <v>X</v>
      </c>
      <c r="P245" s="1" t="str">
        <f>[1]Data!P236</f>
        <v>2025</v>
      </c>
      <c r="Q245" s="15">
        <f>[1]Data!Q236</f>
        <v>466</v>
      </c>
      <c r="R245" s="1" t="str">
        <f>[1]Data!R236</f>
        <v/>
      </c>
    </row>
    <row r="246" spans="1:18" x14ac:dyDescent="0.35">
      <c r="A246" s="1" t="str">
        <f>[1]Data!A237</f>
        <v>4001368</v>
      </c>
      <c r="B246" s="1" t="str">
        <f>[1]Data!B237</f>
        <v>3300</v>
      </c>
      <c r="C246" s="1" t="str">
        <f>[1]Data!C237</f>
        <v>3001</v>
      </c>
      <c r="D246" s="1" t="str">
        <f>[1]Data!D237</f>
        <v>L</v>
      </c>
      <c r="E246" s="1" t="str">
        <f>[1]Data!E237</f>
        <v/>
      </c>
      <c r="F246" s="1" t="str">
        <f>[1]Data!F237</f>
        <v>2026</v>
      </c>
      <c r="G246" s="1" t="str">
        <f>[1]Data!G237</f>
        <v>3</v>
      </c>
      <c r="H246" s="15">
        <f>[1]Data!H237</f>
        <v>2036</v>
      </c>
      <c r="I246" s="15">
        <f>[1]Data!I237</f>
        <v>0</v>
      </c>
      <c r="J246" s="1" t="str">
        <f>[1]Data!J237</f>
        <v>X</v>
      </c>
      <c r="K246" s="1" t="str">
        <f>[1]Data!K237</f>
        <v>X</v>
      </c>
      <c r="L246" s="1" t="str">
        <f>[1]Data!L237</f>
        <v>04:03:03</v>
      </c>
      <c r="M246" s="1">
        <f>[1]Data!M237</f>
        <v>45798</v>
      </c>
      <c r="N246" s="1">
        <f>[1]Data!N237</f>
        <v>44430</v>
      </c>
      <c r="O246" s="1" t="str">
        <f>[1]Data!O237</f>
        <v>X</v>
      </c>
      <c r="P246" s="1" t="str">
        <f>[1]Data!P237</f>
        <v>2025</v>
      </c>
      <c r="Q246" s="15">
        <f>[1]Data!Q237</f>
        <v>2036</v>
      </c>
      <c r="R246" s="1" t="str">
        <f>[1]Data!R237</f>
        <v/>
      </c>
    </row>
    <row r="247" spans="1:18" x14ac:dyDescent="0.35">
      <c r="A247" s="1" t="str">
        <f>[1]Data!A238</f>
        <v>4001369</v>
      </c>
      <c r="B247" s="1" t="str">
        <f>[1]Data!B238</f>
        <v>3300</v>
      </c>
      <c r="C247" s="1" t="str">
        <f>[1]Data!C238</f>
        <v>3001</v>
      </c>
      <c r="D247" s="1" t="str">
        <f>[1]Data!D238</f>
        <v>L</v>
      </c>
      <c r="E247" s="1" t="str">
        <f>[1]Data!E238</f>
        <v/>
      </c>
      <c r="F247" s="1" t="str">
        <f>[1]Data!F238</f>
        <v>2026</v>
      </c>
      <c r="G247" s="1" t="str">
        <f>[1]Data!G238</f>
        <v>2</v>
      </c>
      <c r="H247" s="15">
        <f>[1]Data!H238</f>
        <v>1600</v>
      </c>
      <c r="I247" s="15">
        <f>[1]Data!I238</f>
        <v>0</v>
      </c>
      <c r="J247" s="1" t="str">
        <f>[1]Data!J238</f>
        <v>X</v>
      </c>
      <c r="K247" s="1" t="str">
        <f>[1]Data!K238</f>
        <v>X</v>
      </c>
      <c r="L247" s="1" t="str">
        <f>[1]Data!L238</f>
        <v>04:04:03</v>
      </c>
      <c r="M247" s="1">
        <f>[1]Data!M238</f>
        <v>45798</v>
      </c>
      <c r="N247" s="1">
        <f>[1]Data!N238</f>
        <v>44430</v>
      </c>
      <c r="O247" s="1" t="str">
        <f>[1]Data!O238</f>
        <v>X</v>
      </c>
      <c r="P247" s="1" t="str">
        <f>[1]Data!P238</f>
        <v>2025</v>
      </c>
      <c r="Q247" s="15">
        <f>[1]Data!Q238</f>
        <v>1600</v>
      </c>
      <c r="R247" s="1" t="str">
        <f>[1]Data!R238</f>
        <v/>
      </c>
    </row>
    <row r="248" spans="1:18" x14ac:dyDescent="0.35">
      <c r="A248" s="1" t="str">
        <f>[1]Data!A239</f>
        <v>4001371</v>
      </c>
      <c r="B248" s="1" t="str">
        <f>[1]Data!B239</f>
        <v>3300</v>
      </c>
      <c r="C248" s="1" t="str">
        <f>[1]Data!C239</f>
        <v>3001</v>
      </c>
      <c r="D248" s="1" t="str">
        <f>[1]Data!D239</f>
        <v>L</v>
      </c>
      <c r="E248" s="1" t="str">
        <f>[1]Data!E239</f>
        <v/>
      </c>
      <c r="F248" s="1" t="str">
        <f>[1]Data!F239</f>
        <v>2026</v>
      </c>
      <c r="G248" s="1" t="str">
        <f>[1]Data!G239</f>
        <v>2</v>
      </c>
      <c r="H248" s="15">
        <f>[1]Data!H239</f>
        <v>19</v>
      </c>
      <c r="I248" s="15">
        <f>[1]Data!I239</f>
        <v>0</v>
      </c>
      <c r="J248" s="1" t="str">
        <f>[1]Data!J239</f>
        <v>X</v>
      </c>
      <c r="K248" s="1" t="str">
        <f>[1]Data!K239</f>
        <v>X</v>
      </c>
      <c r="L248" s="1" t="str">
        <f>[1]Data!L239</f>
        <v>04:08:02</v>
      </c>
      <c r="M248" s="1">
        <f>[1]Data!M239</f>
        <v>45799</v>
      </c>
      <c r="N248" s="1">
        <f>[1]Data!N239</f>
        <v>44430</v>
      </c>
      <c r="O248" s="1" t="str">
        <f>[1]Data!O239</f>
        <v>X</v>
      </c>
      <c r="P248" s="1" t="str">
        <f>[1]Data!P239</f>
        <v>2025</v>
      </c>
      <c r="Q248" s="15">
        <f>[1]Data!Q239</f>
        <v>19</v>
      </c>
      <c r="R248" s="1" t="str">
        <f>[1]Data!R239</f>
        <v/>
      </c>
    </row>
    <row r="249" spans="1:18" x14ac:dyDescent="0.35">
      <c r="A249" s="1" t="str">
        <f>[1]Data!A240</f>
        <v>4001373</v>
      </c>
      <c r="B249" s="1" t="str">
        <f>[1]Data!B240</f>
        <v>3300</v>
      </c>
      <c r="C249" s="1" t="str">
        <f>[1]Data!C240</f>
        <v>3001</v>
      </c>
      <c r="D249" s="1" t="str">
        <f>[1]Data!D240</f>
        <v>L</v>
      </c>
      <c r="E249" s="1" t="str">
        <f>[1]Data!E240</f>
        <v/>
      </c>
      <c r="F249" s="1" t="str">
        <f>[1]Data!F240</f>
        <v>2021</v>
      </c>
      <c r="G249" s="1" t="str">
        <f>[1]Data!G240</f>
        <v>10</v>
      </c>
      <c r="H249" s="15">
        <f>[1]Data!H240</f>
        <v>0</v>
      </c>
      <c r="I249" s="15">
        <f>[1]Data!I240</f>
        <v>0</v>
      </c>
      <c r="J249" s="1" t="str">
        <f>[1]Data!J240</f>
        <v/>
      </c>
      <c r="K249" s="1" t="str">
        <f>[1]Data!K240</f>
        <v>X</v>
      </c>
      <c r="L249" s="1" t="str">
        <f>[1]Data!L240</f>
        <v>SLETTET</v>
      </c>
      <c r="M249" s="1">
        <f>[1]Data!M240</f>
        <v>44568</v>
      </c>
      <c r="N249" s="1">
        <f>[1]Data!N240</f>
        <v>44430</v>
      </c>
      <c r="O249" s="1" t="str">
        <f>[1]Data!O240</f>
        <v>X</v>
      </c>
      <c r="P249" s="1" t="str">
        <f>[1]Data!P240</f>
        <v>2023</v>
      </c>
      <c r="Q249" s="15">
        <f>[1]Data!Q240</f>
        <v>0</v>
      </c>
      <c r="R249" s="1" t="str">
        <f>[1]Data!R240</f>
        <v>INAKTIV</v>
      </c>
    </row>
    <row r="250" spans="1:18" x14ac:dyDescent="0.35">
      <c r="A250" s="1" t="str">
        <f>[1]Data!A241</f>
        <v>4001374</v>
      </c>
      <c r="B250" s="1" t="str">
        <f>[1]Data!B241</f>
        <v>3300</v>
      </c>
      <c r="C250" s="1" t="str">
        <f>[1]Data!C241</f>
        <v>3001</v>
      </c>
      <c r="D250" s="1" t="str">
        <f>[1]Data!D241</f>
        <v>L</v>
      </c>
      <c r="E250" s="1" t="str">
        <f>[1]Data!E241</f>
        <v/>
      </c>
      <c r="F250" s="1" t="str">
        <f>[1]Data!F241</f>
        <v>2021</v>
      </c>
      <c r="G250" s="1" t="str">
        <f>[1]Data!G241</f>
        <v>10</v>
      </c>
      <c r="H250" s="15">
        <f>[1]Data!H241</f>
        <v>0</v>
      </c>
      <c r="I250" s="15">
        <f>[1]Data!I241</f>
        <v>0</v>
      </c>
      <c r="J250" s="1" t="str">
        <f>[1]Data!J241</f>
        <v/>
      </c>
      <c r="K250" s="1" t="str">
        <f>[1]Data!K241</f>
        <v>X</v>
      </c>
      <c r="L250" s="1" t="str">
        <f>[1]Data!L241</f>
        <v>SLETTET</v>
      </c>
      <c r="M250" s="1">
        <f>[1]Data!M241</f>
        <v>44568</v>
      </c>
      <c r="N250" s="1">
        <f>[1]Data!N241</f>
        <v>44430</v>
      </c>
      <c r="O250" s="1" t="str">
        <f>[1]Data!O241</f>
        <v>X</v>
      </c>
      <c r="P250" s="1" t="str">
        <f>[1]Data!P241</f>
        <v>2023</v>
      </c>
      <c r="Q250" s="15">
        <f>[1]Data!Q241</f>
        <v>0</v>
      </c>
      <c r="R250" s="1" t="str">
        <f>[1]Data!R241</f>
        <v>INAKTIV</v>
      </c>
    </row>
    <row r="251" spans="1:18" x14ac:dyDescent="0.35">
      <c r="A251" s="1" t="str">
        <f>[1]Data!A242</f>
        <v>4001376</v>
      </c>
      <c r="B251" s="1" t="str">
        <f>[1]Data!B242</f>
        <v>3300</v>
      </c>
      <c r="C251" s="1" t="str">
        <f>[1]Data!C242</f>
        <v>3001</v>
      </c>
      <c r="D251" s="1" t="str">
        <f>[1]Data!D242</f>
        <v>L</v>
      </c>
      <c r="E251" s="1" t="str">
        <f>[1]Data!E242</f>
        <v/>
      </c>
      <c r="F251" s="1" t="str">
        <f>[1]Data!F242</f>
        <v>2026</v>
      </c>
      <c r="G251" s="1" t="str">
        <f>[1]Data!G242</f>
        <v>3</v>
      </c>
      <c r="H251" s="15">
        <f>[1]Data!H242</f>
        <v>1700</v>
      </c>
      <c r="I251" s="15">
        <f>[1]Data!I242</f>
        <v>0</v>
      </c>
      <c r="J251" s="1" t="str">
        <f>[1]Data!J242</f>
        <v>X</v>
      </c>
      <c r="K251" s="1" t="str">
        <f>[1]Data!K242</f>
        <v/>
      </c>
      <c r="L251" s="1" t="str">
        <f>[1]Data!L242</f>
        <v>17:02:04</v>
      </c>
      <c r="M251" s="1">
        <f>[1]Data!M242</f>
        <v>46029</v>
      </c>
      <c r="N251" s="1">
        <f>[1]Data!N242</f>
        <v>44430</v>
      </c>
      <c r="O251" s="1" t="str">
        <f>[1]Data!O242</f>
        <v>X</v>
      </c>
      <c r="P251" s="1" t="str">
        <f>[1]Data!P242</f>
        <v>2026</v>
      </c>
      <c r="Q251" s="15">
        <f>[1]Data!Q242</f>
        <v>1700</v>
      </c>
      <c r="R251" s="1" t="str">
        <f>[1]Data!R242</f>
        <v/>
      </c>
    </row>
    <row r="252" spans="1:18" x14ac:dyDescent="0.35">
      <c r="A252" s="1" t="str">
        <f>[1]Data!A243</f>
        <v>4001379</v>
      </c>
      <c r="B252" s="1" t="str">
        <f>[1]Data!B243</f>
        <v>3300</v>
      </c>
      <c r="C252" s="1" t="str">
        <f>[1]Data!C243</f>
        <v>3001</v>
      </c>
      <c r="D252" s="1" t="str">
        <f>[1]Data!D243</f>
        <v>L</v>
      </c>
      <c r="E252" s="1" t="str">
        <f>[1]Data!E243</f>
        <v/>
      </c>
      <c r="F252" s="1" t="str">
        <f>[1]Data!F243</f>
        <v>2026</v>
      </c>
      <c r="G252" s="1" t="str">
        <f>[1]Data!G243</f>
        <v>3</v>
      </c>
      <c r="H252" s="15">
        <f>[1]Data!H243</f>
        <v>100</v>
      </c>
      <c r="I252" s="15">
        <f>[1]Data!I243</f>
        <v>0</v>
      </c>
      <c r="J252" s="1" t="str">
        <f>[1]Data!J243</f>
        <v>X</v>
      </c>
      <c r="K252" s="1" t="str">
        <f>[1]Data!K243</f>
        <v>X</v>
      </c>
      <c r="L252" s="1" t="str">
        <f>[1]Data!L243</f>
        <v>07:02:01</v>
      </c>
      <c r="M252" s="1">
        <f>[1]Data!M243</f>
        <v>45824</v>
      </c>
      <c r="N252" s="1">
        <f>[1]Data!N243</f>
        <v>44430</v>
      </c>
      <c r="O252" s="1" t="str">
        <f>[1]Data!O243</f>
        <v>X</v>
      </c>
      <c r="P252" s="1" t="str">
        <f>[1]Data!P243</f>
        <v>2025</v>
      </c>
      <c r="Q252" s="15">
        <f>[1]Data!Q243</f>
        <v>100</v>
      </c>
      <c r="R252" s="1" t="str">
        <f>[1]Data!R243</f>
        <v/>
      </c>
    </row>
    <row r="253" spans="1:18" x14ac:dyDescent="0.35">
      <c r="A253" s="1" t="str">
        <f>[1]Data!A244</f>
        <v>4001380</v>
      </c>
      <c r="B253" s="1" t="str">
        <f>[1]Data!B244</f>
        <v>3300</v>
      </c>
      <c r="C253" s="1" t="str">
        <f>[1]Data!C244</f>
        <v>3001</v>
      </c>
      <c r="D253" s="1" t="str">
        <f>[1]Data!D244</f>
        <v>L</v>
      </c>
      <c r="E253" s="1" t="str">
        <f>[1]Data!E244</f>
        <v/>
      </c>
      <c r="F253" s="1" t="str">
        <f>[1]Data!F244</f>
        <v>2026</v>
      </c>
      <c r="G253" s="1" t="str">
        <f>[1]Data!G244</f>
        <v>2</v>
      </c>
      <c r="H253" s="15">
        <f>[1]Data!H244</f>
        <v>230</v>
      </c>
      <c r="I253" s="15">
        <f>[1]Data!I244</f>
        <v>0</v>
      </c>
      <c r="J253" s="1" t="str">
        <f>[1]Data!J244</f>
        <v>X</v>
      </c>
      <c r="K253" s="1" t="str">
        <f>[1]Data!K244</f>
        <v>X</v>
      </c>
      <c r="L253" s="1" t="str">
        <f>[1]Data!L244</f>
        <v>02:06:01</v>
      </c>
      <c r="M253" s="1">
        <f>[1]Data!M244</f>
        <v>45796</v>
      </c>
      <c r="N253" s="1">
        <f>[1]Data!N244</f>
        <v>44430</v>
      </c>
      <c r="O253" s="1" t="str">
        <f>[1]Data!O244</f>
        <v>X</v>
      </c>
      <c r="P253" s="1" t="str">
        <f>[1]Data!P244</f>
        <v>2025</v>
      </c>
      <c r="Q253" s="15">
        <f>[1]Data!Q244</f>
        <v>230</v>
      </c>
      <c r="R253" s="1" t="str">
        <f>[1]Data!R244</f>
        <v/>
      </c>
    </row>
    <row r="254" spans="1:18" x14ac:dyDescent="0.35">
      <c r="A254" s="1" t="str">
        <f>[1]Data!A245</f>
        <v>4001383</v>
      </c>
      <c r="B254" s="1" t="str">
        <f>[1]Data!B245</f>
        <v>3300</v>
      </c>
      <c r="C254" s="1" t="str">
        <f>[1]Data!C245</f>
        <v>3001</v>
      </c>
      <c r="D254" s="1" t="str">
        <f>[1]Data!D245</f>
        <v>L</v>
      </c>
      <c r="E254" s="1" t="str">
        <f>[1]Data!E245</f>
        <v/>
      </c>
      <c r="F254" s="1" t="str">
        <f>[1]Data!F245</f>
        <v>2026</v>
      </c>
      <c r="G254" s="1" t="str">
        <f>[1]Data!G245</f>
        <v>3</v>
      </c>
      <c r="H254" s="15">
        <f>[1]Data!H245</f>
        <v>120</v>
      </c>
      <c r="I254" s="15">
        <f>[1]Data!I245</f>
        <v>0</v>
      </c>
      <c r="J254" s="1" t="str">
        <f>[1]Data!J245</f>
        <v>X</v>
      </c>
      <c r="K254" s="1" t="str">
        <f>[1]Data!K245</f>
        <v>X</v>
      </c>
      <c r="L254" s="1" t="str">
        <f>[1]Data!L245</f>
        <v>03:04:02</v>
      </c>
      <c r="M254" s="1">
        <f>[1]Data!M245</f>
        <v>45798</v>
      </c>
      <c r="N254" s="1">
        <f>[1]Data!N245</f>
        <v>44430</v>
      </c>
      <c r="O254" s="1" t="str">
        <f>[1]Data!O245</f>
        <v>X</v>
      </c>
      <c r="P254" s="1" t="str">
        <f>[1]Data!P245</f>
        <v>2025</v>
      </c>
      <c r="Q254" s="15">
        <f>[1]Data!Q245</f>
        <v>120</v>
      </c>
      <c r="R254" s="1" t="str">
        <f>[1]Data!R245</f>
        <v/>
      </c>
    </row>
    <row r="255" spans="1:18" x14ac:dyDescent="0.35">
      <c r="A255" s="1" t="str">
        <f>[1]Data!A246</f>
        <v>4001384</v>
      </c>
      <c r="B255" s="1" t="str">
        <f>[1]Data!B246</f>
        <v>3300</v>
      </c>
      <c r="C255" s="1" t="str">
        <f>[1]Data!C246</f>
        <v>3001</v>
      </c>
      <c r="D255" s="1" t="str">
        <f>[1]Data!D246</f>
        <v>L</v>
      </c>
      <c r="E255" s="1" t="str">
        <f>[1]Data!E246</f>
        <v/>
      </c>
      <c r="F255" s="1" t="str">
        <f>[1]Data!F246</f>
        <v>2026</v>
      </c>
      <c r="G255" s="1" t="str">
        <f>[1]Data!G246</f>
        <v>3</v>
      </c>
      <c r="H255" s="15">
        <f>[1]Data!H246</f>
        <v>100</v>
      </c>
      <c r="I255" s="15">
        <f>[1]Data!I246</f>
        <v>0</v>
      </c>
      <c r="J255" s="1" t="str">
        <f>[1]Data!J246</f>
        <v>X</v>
      </c>
      <c r="K255" s="1" t="str">
        <f>[1]Data!K246</f>
        <v>X</v>
      </c>
      <c r="L255" s="1" t="str">
        <f>[1]Data!L246</f>
        <v>04:09:01</v>
      </c>
      <c r="M255" s="1">
        <f>[1]Data!M246</f>
        <v>45799</v>
      </c>
      <c r="N255" s="1">
        <f>[1]Data!N246</f>
        <v>44430</v>
      </c>
      <c r="O255" s="1" t="str">
        <f>[1]Data!O246</f>
        <v>X</v>
      </c>
      <c r="P255" s="1" t="str">
        <f>[1]Data!P246</f>
        <v>2025</v>
      </c>
      <c r="Q255" s="15">
        <f>[1]Data!Q246</f>
        <v>100</v>
      </c>
      <c r="R255" s="1" t="str">
        <f>[1]Data!R246</f>
        <v/>
      </c>
    </row>
    <row r="256" spans="1:18" x14ac:dyDescent="0.35">
      <c r="A256" s="1" t="str">
        <f>[1]Data!A247</f>
        <v>4001385</v>
      </c>
      <c r="B256" s="1" t="str">
        <f>[1]Data!B247</f>
        <v>3300</v>
      </c>
      <c r="C256" s="1" t="str">
        <f>[1]Data!C247</f>
        <v>3001</v>
      </c>
      <c r="D256" s="1" t="str">
        <f>[1]Data!D247</f>
        <v>DL</v>
      </c>
      <c r="E256" s="1" t="str">
        <f>[1]Data!E247</f>
        <v/>
      </c>
      <c r="F256" s="1" t="str">
        <f>[1]Data!F247</f>
        <v>2026</v>
      </c>
      <c r="G256" s="1" t="str">
        <f>[1]Data!G247</f>
        <v>2</v>
      </c>
      <c r="H256" s="15">
        <f>[1]Data!H247</f>
        <v>220</v>
      </c>
      <c r="I256" s="15">
        <f>[1]Data!I247</f>
        <v>0</v>
      </c>
      <c r="J256" s="1" t="str">
        <f>[1]Data!J247</f>
        <v>X</v>
      </c>
      <c r="K256" s="1" t="str">
        <f>[1]Data!K247</f>
        <v>X</v>
      </c>
      <c r="L256" s="1" t="str">
        <f>[1]Data!L247</f>
        <v>03:04:01</v>
      </c>
      <c r="M256" s="1">
        <f>[1]Data!M247</f>
        <v>45798</v>
      </c>
      <c r="N256" s="1">
        <f>[1]Data!N247</f>
        <v>44908</v>
      </c>
      <c r="O256" s="1" t="str">
        <f>[1]Data!O247</f>
        <v>X</v>
      </c>
      <c r="P256" s="1" t="str">
        <f>[1]Data!P247</f>
        <v>2025</v>
      </c>
      <c r="Q256" s="15">
        <f>[1]Data!Q247</f>
        <v>220</v>
      </c>
      <c r="R256" s="1" t="str">
        <f>[1]Data!R247</f>
        <v/>
      </c>
    </row>
    <row r="257" spans="1:18" x14ac:dyDescent="0.35">
      <c r="A257" s="1" t="str">
        <f>[1]Data!A248</f>
        <v>4001387</v>
      </c>
      <c r="B257" s="1" t="str">
        <f>[1]Data!B248</f>
        <v>3300</v>
      </c>
      <c r="C257" s="1" t="str">
        <f>[1]Data!C248</f>
        <v>3001</v>
      </c>
      <c r="D257" s="1" t="str">
        <f>[1]Data!D248</f>
        <v>L</v>
      </c>
      <c r="E257" s="1" t="str">
        <f>[1]Data!E248</f>
        <v/>
      </c>
      <c r="F257" s="1" t="str">
        <f>[1]Data!F248</f>
        <v>2026</v>
      </c>
      <c r="G257" s="1" t="str">
        <f>[1]Data!G248</f>
        <v>3</v>
      </c>
      <c r="H257" s="15">
        <f>[1]Data!H248</f>
        <v>1660</v>
      </c>
      <c r="I257" s="15">
        <f>[1]Data!I248</f>
        <v>0</v>
      </c>
      <c r="J257" s="1" t="str">
        <f>[1]Data!J248</f>
        <v>X</v>
      </c>
      <c r="K257" s="1" t="str">
        <f>[1]Data!K248</f>
        <v>X</v>
      </c>
      <c r="L257" s="1" t="str">
        <f>[1]Data!L248</f>
        <v>02:05:03</v>
      </c>
      <c r="M257" s="1">
        <f>[1]Data!M248</f>
        <v>45796</v>
      </c>
      <c r="N257" s="1">
        <f>[1]Data!N248</f>
        <v>44430</v>
      </c>
      <c r="O257" s="1" t="str">
        <f>[1]Data!O248</f>
        <v>X</v>
      </c>
      <c r="P257" s="1" t="str">
        <f>[1]Data!P248</f>
        <v>2025</v>
      </c>
      <c r="Q257" s="15">
        <f>[1]Data!Q248</f>
        <v>1660</v>
      </c>
      <c r="R257" s="1" t="str">
        <f>[1]Data!R248</f>
        <v/>
      </c>
    </row>
    <row r="258" spans="1:18" x14ac:dyDescent="0.35">
      <c r="A258" s="1" t="str">
        <f>[1]Data!A249</f>
        <v>4001388</v>
      </c>
      <c r="B258" s="1" t="str">
        <f>[1]Data!B249</f>
        <v>3300</v>
      </c>
      <c r="C258" s="1" t="str">
        <f>[1]Data!C249</f>
        <v>3001</v>
      </c>
      <c r="D258" s="1" t="str">
        <f>[1]Data!D249</f>
        <v>L</v>
      </c>
      <c r="E258" s="1" t="str">
        <f>[1]Data!E249</f>
        <v/>
      </c>
      <c r="F258" s="1" t="str">
        <f>[1]Data!F249</f>
        <v>2026</v>
      </c>
      <c r="G258" s="1" t="str">
        <f>[1]Data!G249</f>
        <v>3</v>
      </c>
      <c r="H258" s="15">
        <f>[1]Data!H249</f>
        <v>1060</v>
      </c>
      <c r="I258" s="15">
        <f>[1]Data!I249</f>
        <v>0</v>
      </c>
      <c r="J258" s="1" t="str">
        <f>[1]Data!J249</f>
        <v>X</v>
      </c>
      <c r="K258" s="1" t="str">
        <f>[1]Data!K249</f>
        <v>X</v>
      </c>
      <c r="L258" s="1" t="str">
        <f>[1]Data!L249</f>
        <v>02:05:02</v>
      </c>
      <c r="M258" s="1">
        <f>[1]Data!M249</f>
        <v>45796</v>
      </c>
      <c r="N258" s="1">
        <f>[1]Data!N249</f>
        <v>44430</v>
      </c>
      <c r="O258" s="1" t="str">
        <f>[1]Data!O249</f>
        <v>X</v>
      </c>
      <c r="P258" s="1" t="str">
        <f>[1]Data!P249</f>
        <v>2025</v>
      </c>
      <c r="Q258" s="15">
        <f>[1]Data!Q249</f>
        <v>1060</v>
      </c>
      <c r="R258" s="1" t="str">
        <f>[1]Data!R249</f>
        <v/>
      </c>
    </row>
    <row r="259" spans="1:18" x14ac:dyDescent="0.35">
      <c r="A259" s="1" t="str">
        <f>[1]Data!A250</f>
        <v>4001390</v>
      </c>
      <c r="B259" s="1" t="str">
        <f>[1]Data!B250</f>
        <v>3300</v>
      </c>
      <c r="C259" s="1" t="str">
        <f>[1]Data!C250</f>
        <v>3001</v>
      </c>
      <c r="D259" s="1" t="str">
        <f>[1]Data!D250</f>
        <v>L</v>
      </c>
      <c r="E259" s="1" t="str">
        <f>[1]Data!E250</f>
        <v/>
      </c>
      <c r="F259" s="1" t="str">
        <f>[1]Data!F250</f>
        <v>2026</v>
      </c>
      <c r="G259" s="1" t="str">
        <f>[1]Data!G250</f>
        <v>3</v>
      </c>
      <c r="H259" s="15">
        <f>[1]Data!H250</f>
        <v>2750</v>
      </c>
      <c r="I259" s="15">
        <f>[1]Data!I250</f>
        <v>0</v>
      </c>
      <c r="J259" s="1" t="str">
        <f>[1]Data!J250</f>
        <v>X</v>
      </c>
      <c r="K259" s="1" t="str">
        <f>[1]Data!K250</f>
        <v>X</v>
      </c>
      <c r="L259" s="1" t="str">
        <f>[1]Data!L250</f>
        <v>12:10:03</v>
      </c>
      <c r="M259" s="1">
        <f>[1]Data!M250</f>
        <v>45994</v>
      </c>
      <c r="N259" s="1">
        <f>[1]Data!N250</f>
        <v>44430</v>
      </c>
      <c r="O259" s="1" t="str">
        <f>[1]Data!O250</f>
        <v>X</v>
      </c>
      <c r="P259" s="1" t="str">
        <f>[1]Data!P250</f>
        <v>2025</v>
      </c>
      <c r="Q259" s="15">
        <f>[1]Data!Q250</f>
        <v>2750</v>
      </c>
      <c r="R259" s="1" t="str">
        <f>[1]Data!R250</f>
        <v/>
      </c>
    </row>
    <row r="260" spans="1:18" x14ac:dyDescent="0.35">
      <c r="A260" s="1" t="str">
        <f>[1]Data!A251</f>
        <v>4001396</v>
      </c>
      <c r="B260" s="1" t="str">
        <f>[1]Data!B251</f>
        <v>3300</v>
      </c>
      <c r="C260" s="1" t="str">
        <f>[1]Data!C251</f>
        <v>3001</v>
      </c>
      <c r="D260" s="1" t="str">
        <f>[1]Data!D251</f>
        <v>L</v>
      </c>
      <c r="E260" s="1" t="str">
        <f>[1]Data!E251</f>
        <v/>
      </c>
      <c r="F260" s="1" t="str">
        <f>[1]Data!F251</f>
        <v>2026</v>
      </c>
      <c r="G260" s="1" t="str">
        <f>[1]Data!G251</f>
        <v>2</v>
      </c>
      <c r="H260" s="15">
        <f>[1]Data!H251</f>
        <v>219</v>
      </c>
      <c r="I260" s="15">
        <f>[1]Data!I251</f>
        <v>0</v>
      </c>
      <c r="J260" s="1" t="str">
        <f>[1]Data!J251</f>
        <v>X</v>
      </c>
      <c r="K260" s="1" t="str">
        <f>[1]Data!K251</f>
        <v>X</v>
      </c>
      <c r="L260" s="1" t="str">
        <f>[1]Data!L251</f>
        <v>04:05:02</v>
      </c>
      <c r="M260" s="1">
        <f>[1]Data!M251</f>
        <v>45798</v>
      </c>
      <c r="N260" s="1">
        <f>[1]Data!N251</f>
        <v>44430</v>
      </c>
      <c r="O260" s="1" t="str">
        <f>[1]Data!O251</f>
        <v>X</v>
      </c>
      <c r="P260" s="1" t="str">
        <f>[1]Data!P251</f>
        <v>2025</v>
      </c>
      <c r="Q260" s="15">
        <f>[1]Data!Q251</f>
        <v>219</v>
      </c>
      <c r="R260" s="1" t="str">
        <f>[1]Data!R251</f>
        <v/>
      </c>
    </row>
    <row r="261" spans="1:18" x14ac:dyDescent="0.35">
      <c r="A261" s="1" t="str">
        <f>[1]Data!A252</f>
        <v>4001401</v>
      </c>
      <c r="B261" s="1" t="str">
        <f>[1]Data!B252</f>
        <v>3300</v>
      </c>
      <c r="C261" s="1" t="str">
        <f>[1]Data!C252</f>
        <v>3001</v>
      </c>
      <c r="D261" s="1" t="str">
        <f>[1]Data!D252</f>
        <v>L</v>
      </c>
      <c r="E261" s="1" t="str">
        <f>[1]Data!E252</f>
        <v/>
      </c>
      <c r="F261" s="1" t="str">
        <f>[1]Data!F252</f>
        <v>2026</v>
      </c>
      <c r="G261" s="1" t="str">
        <f>[1]Data!G252</f>
        <v>3</v>
      </c>
      <c r="H261" s="15">
        <f>[1]Data!H252</f>
        <v>420</v>
      </c>
      <c r="I261" s="15">
        <f>[1]Data!I252</f>
        <v>0</v>
      </c>
      <c r="J261" s="1" t="str">
        <f>[1]Data!J252</f>
        <v>X</v>
      </c>
      <c r="K261" s="1" t="str">
        <f>[1]Data!K252</f>
        <v>X</v>
      </c>
      <c r="L261" s="1" t="str">
        <f>[1]Data!L252</f>
        <v>14:12:03</v>
      </c>
      <c r="M261" s="1">
        <f>[1]Data!M252</f>
        <v>46001</v>
      </c>
      <c r="N261" s="1">
        <f>[1]Data!N252</f>
        <v>44430</v>
      </c>
      <c r="O261" s="1" t="str">
        <f>[1]Data!O252</f>
        <v>X</v>
      </c>
      <c r="P261" s="1" t="str">
        <f>[1]Data!P252</f>
        <v>2025</v>
      </c>
      <c r="Q261" s="15">
        <f>[1]Data!Q252</f>
        <v>420</v>
      </c>
      <c r="R261" s="1" t="str">
        <f>[1]Data!R252</f>
        <v/>
      </c>
    </row>
    <row r="262" spans="1:18" x14ac:dyDescent="0.35">
      <c r="A262" s="1" t="str">
        <f>[1]Data!A253</f>
        <v>4001403</v>
      </c>
      <c r="B262" s="1" t="str">
        <f>[1]Data!B253</f>
        <v>3300</v>
      </c>
      <c r="C262" s="1" t="str">
        <f>[1]Data!C253</f>
        <v>3001</v>
      </c>
      <c r="D262" s="1" t="str">
        <f>[1]Data!D253</f>
        <v>L</v>
      </c>
      <c r="E262" s="1" t="str">
        <f>[1]Data!E253</f>
        <v/>
      </c>
      <c r="F262" s="1" t="str">
        <f>[1]Data!F253</f>
        <v>2026</v>
      </c>
      <c r="G262" s="1" t="str">
        <f>[1]Data!G253</f>
        <v>3</v>
      </c>
      <c r="H262" s="15">
        <f>[1]Data!H253</f>
        <v>350</v>
      </c>
      <c r="I262" s="15">
        <f>[1]Data!I253</f>
        <v>0</v>
      </c>
      <c r="J262" s="1" t="str">
        <f>[1]Data!J253</f>
        <v>X</v>
      </c>
      <c r="K262" s="1" t="str">
        <f>[1]Data!K253</f>
        <v>X</v>
      </c>
      <c r="L262" s="1" t="str">
        <f>[1]Data!L253</f>
        <v>05:09:02</v>
      </c>
      <c r="M262" s="1">
        <f>[1]Data!M253</f>
        <v>45804</v>
      </c>
      <c r="N262" s="1">
        <f>[1]Data!N253</f>
        <v>44430</v>
      </c>
      <c r="O262" s="1" t="str">
        <f>[1]Data!O253</f>
        <v>X</v>
      </c>
      <c r="P262" s="1" t="str">
        <f>[1]Data!P253</f>
        <v>2025</v>
      </c>
      <c r="Q262" s="15">
        <f>[1]Data!Q253</f>
        <v>350</v>
      </c>
      <c r="R262" s="1" t="str">
        <f>[1]Data!R253</f>
        <v/>
      </c>
    </row>
    <row r="263" spans="1:18" x14ac:dyDescent="0.35">
      <c r="A263" s="1" t="str">
        <f>[1]Data!A254</f>
        <v>4001449</v>
      </c>
      <c r="B263" s="1" t="str">
        <f>[1]Data!B254</f>
        <v>3300</v>
      </c>
      <c r="C263" s="1" t="str">
        <f>[1]Data!C254</f>
        <v>3001</v>
      </c>
      <c r="D263" s="1" t="str">
        <f>[1]Data!D254</f>
        <v>DL</v>
      </c>
      <c r="E263" s="1" t="str">
        <f>[1]Data!E254</f>
        <v/>
      </c>
      <c r="F263" s="1" t="str">
        <f>[1]Data!F254</f>
        <v>2026</v>
      </c>
      <c r="G263" s="1" t="str">
        <f>[1]Data!G254</f>
        <v>1</v>
      </c>
      <c r="H263" s="15">
        <f>[1]Data!H254</f>
        <v>190</v>
      </c>
      <c r="I263" s="15">
        <f>[1]Data!I254</f>
        <v>0</v>
      </c>
      <c r="J263" s="1" t="str">
        <f>[1]Data!J254</f>
        <v>X</v>
      </c>
      <c r="K263" s="1" t="str">
        <f>[1]Data!K254</f>
        <v>X</v>
      </c>
      <c r="L263" s="1" t="str">
        <f>[1]Data!L254</f>
        <v>03;04;03</v>
      </c>
      <c r="M263" s="1">
        <f>[1]Data!M254</f>
        <v>45797</v>
      </c>
      <c r="N263" s="1">
        <f>[1]Data!N254</f>
        <v>44908</v>
      </c>
      <c r="O263" s="1" t="str">
        <f>[1]Data!O254</f>
        <v>X</v>
      </c>
      <c r="P263" s="1" t="str">
        <f>[1]Data!P254</f>
        <v>2025</v>
      </c>
      <c r="Q263" s="15">
        <f>[1]Data!Q254</f>
        <v>190</v>
      </c>
      <c r="R263" s="1" t="str">
        <f>[1]Data!R254</f>
        <v/>
      </c>
    </row>
    <row r="264" spans="1:18" x14ac:dyDescent="0.35">
      <c r="A264" s="1" t="str">
        <f>[1]Data!A255</f>
        <v>4001451</v>
      </c>
      <c r="B264" s="1" t="str">
        <f>[1]Data!B255</f>
        <v>3300</v>
      </c>
      <c r="C264" s="1" t="str">
        <f>[1]Data!C255</f>
        <v>3001</v>
      </c>
      <c r="D264" s="1" t="str">
        <f>[1]Data!D255</f>
        <v>L</v>
      </c>
      <c r="E264" s="1" t="str">
        <f>[1]Data!E255</f>
        <v>X</v>
      </c>
      <c r="F264" s="1" t="str">
        <f>[1]Data!F255</f>
        <v>2025</v>
      </c>
      <c r="G264" s="1" t="str">
        <f>[1]Data!G255</f>
        <v>12</v>
      </c>
      <c r="H264" s="15">
        <f>[1]Data!H255</f>
        <v>0</v>
      </c>
      <c r="I264" s="15">
        <f>[1]Data!I255</f>
        <v>0</v>
      </c>
      <c r="J264" s="1" t="str">
        <f>[1]Data!J255</f>
        <v>X</v>
      </c>
      <c r="K264" s="1" t="str">
        <f>[1]Data!K255</f>
        <v>X</v>
      </c>
      <c r="L264" s="1" t="str">
        <f>[1]Data!L255</f>
        <v>SLETTET</v>
      </c>
      <c r="M264" s="1">
        <f>[1]Data!M255</f>
        <v>45994</v>
      </c>
      <c r="N264" s="1">
        <f>[1]Data!N255</f>
        <v>44430</v>
      </c>
      <c r="O264" s="1" t="str">
        <f>[1]Data!O255</f>
        <v>X</v>
      </c>
      <c r="P264" s="1" t="str">
        <f>[1]Data!P255</f>
        <v>2025</v>
      </c>
      <c r="Q264" s="15">
        <f>[1]Data!Q255</f>
        <v>0</v>
      </c>
      <c r="R264" s="1" t="str">
        <f>[1]Data!R255</f>
        <v>INAKTIV</v>
      </c>
    </row>
    <row r="265" spans="1:18" x14ac:dyDescent="0.35">
      <c r="A265" s="1" t="str">
        <f>[1]Data!A256</f>
        <v>4001458</v>
      </c>
      <c r="B265" s="1" t="str">
        <f>[1]Data!B256</f>
        <v>3300</v>
      </c>
      <c r="C265" s="1" t="str">
        <f>[1]Data!C256</f>
        <v>3001</v>
      </c>
      <c r="D265" s="1" t="str">
        <f>[1]Data!D256</f>
        <v>DL</v>
      </c>
      <c r="E265" s="1" t="str">
        <f>[1]Data!E256</f>
        <v/>
      </c>
      <c r="F265" s="1" t="str">
        <f>[1]Data!F256</f>
        <v>2026</v>
      </c>
      <c r="G265" s="1" t="str">
        <f>[1]Data!G256</f>
        <v>2</v>
      </c>
      <c r="H265" s="15">
        <f>[1]Data!H256</f>
        <v>99</v>
      </c>
      <c r="I265" s="15">
        <f>[1]Data!I256</f>
        <v>0</v>
      </c>
      <c r="J265" s="1" t="str">
        <f>[1]Data!J256</f>
        <v>X</v>
      </c>
      <c r="K265" s="1" t="str">
        <f>[1]Data!K256</f>
        <v>X</v>
      </c>
      <c r="L265" s="1" t="str">
        <f>[1]Data!L256</f>
        <v>08:02:01</v>
      </c>
      <c r="M265" s="1">
        <f>[1]Data!M256</f>
        <v>45825</v>
      </c>
      <c r="N265" s="1">
        <f>[1]Data!N256</f>
        <v>44587</v>
      </c>
      <c r="O265" s="1" t="str">
        <f>[1]Data!O256</f>
        <v>X</v>
      </c>
      <c r="P265" s="1" t="str">
        <f>[1]Data!P256</f>
        <v>2025</v>
      </c>
      <c r="Q265" s="15">
        <f>[1]Data!Q256</f>
        <v>99</v>
      </c>
      <c r="R265" s="1" t="str">
        <f>[1]Data!R256</f>
        <v/>
      </c>
    </row>
    <row r="266" spans="1:18" x14ac:dyDescent="0.35">
      <c r="A266" s="1" t="str">
        <f>[1]Data!A257</f>
        <v>4001459</v>
      </c>
      <c r="B266" s="1" t="str">
        <f>[1]Data!B257</f>
        <v>3300</v>
      </c>
      <c r="C266" s="1" t="str">
        <f>[1]Data!C257</f>
        <v>3001</v>
      </c>
      <c r="D266" s="1" t="str">
        <f>[1]Data!D257</f>
        <v>L</v>
      </c>
      <c r="E266" s="1" t="str">
        <f>[1]Data!E257</f>
        <v>X</v>
      </c>
      <c r="F266" s="1" t="str">
        <f>[1]Data!F257</f>
        <v>2022</v>
      </c>
      <c r="G266" s="1" t="str">
        <f>[1]Data!G257</f>
        <v>11</v>
      </c>
      <c r="H266" s="15">
        <f>[1]Data!H257</f>
        <v>0</v>
      </c>
      <c r="I266" s="15">
        <f>[1]Data!I257</f>
        <v>0</v>
      </c>
      <c r="J266" s="1" t="str">
        <f>[1]Data!J257</f>
        <v>X</v>
      </c>
      <c r="K266" s="1" t="str">
        <f>[1]Data!K257</f>
        <v/>
      </c>
      <c r="L266" s="1" t="str">
        <f>[1]Data!L257</f>
        <v>SLETTET</v>
      </c>
      <c r="M266" s="1">
        <f>[1]Data!M257</f>
        <v>44568</v>
      </c>
      <c r="N266" s="1">
        <f>[1]Data!N257</f>
        <v>44430</v>
      </c>
      <c r="O266" s="1" t="str">
        <f>[1]Data!O257</f>
        <v>X</v>
      </c>
      <c r="P266" s="1" t="str">
        <f>[1]Data!P257</f>
        <v>2022</v>
      </c>
      <c r="Q266" s="15">
        <f>[1]Data!Q257</f>
        <v>0</v>
      </c>
      <c r="R266" s="1" t="str">
        <f>[1]Data!R257</f>
        <v>INAKTIV</v>
      </c>
    </row>
    <row r="267" spans="1:18" x14ac:dyDescent="0.35">
      <c r="A267" s="1" t="str">
        <f>[1]Data!A258</f>
        <v>4001461</v>
      </c>
      <c r="B267" s="1" t="str">
        <f>[1]Data!B258</f>
        <v>3300</v>
      </c>
      <c r="C267" s="1" t="str">
        <f>[1]Data!C258</f>
        <v>3001</v>
      </c>
      <c r="D267" s="1" t="str">
        <f>[1]Data!D258</f>
        <v>L</v>
      </c>
      <c r="E267" s="1" t="str">
        <f>[1]Data!E258</f>
        <v/>
      </c>
      <c r="F267" s="1" t="str">
        <f>[1]Data!F258</f>
        <v>2026</v>
      </c>
      <c r="G267" s="1" t="str">
        <f>[1]Data!G258</f>
        <v>3</v>
      </c>
      <c r="H267" s="15">
        <f>[1]Data!H258</f>
        <v>40</v>
      </c>
      <c r="I267" s="15">
        <f>[1]Data!I258</f>
        <v>0</v>
      </c>
      <c r="J267" s="1" t="str">
        <f>[1]Data!J258</f>
        <v>X</v>
      </c>
      <c r="K267" s="1" t="str">
        <f>[1]Data!K258</f>
        <v>X</v>
      </c>
      <c r="L267" s="1" t="str">
        <f>[1]Data!L258</f>
        <v>11:02:03</v>
      </c>
      <c r="M267" s="1">
        <f>[1]Data!M258</f>
        <v>45994</v>
      </c>
      <c r="N267" s="1">
        <f>[1]Data!N258</f>
        <v>44430</v>
      </c>
      <c r="O267" s="1" t="str">
        <f>[1]Data!O258</f>
        <v>X</v>
      </c>
      <c r="P267" s="1" t="str">
        <f>[1]Data!P258</f>
        <v>2025</v>
      </c>
      <c r="Q267" s="15">
        <f>[1]Data!Q258</f>
        <v>40</v>
      </c>
      <c r="R267" s="1" t="str">
        <f>[1]Data!R258</f>
        <v/>
      </c>
    </row>
    <row r="268" spans="1:18" x14ac:dyDescent="0.35">
      <c r="A268" s="1" t="str">
        <f>[1]Data!A259</f>
        <v>4001523</v>
      </c>
      <c r="B268" s="1" t="str">
        <f>[1]Data!B259</f>
        <v>3300</v>
      </c>
      <c r="C268" s="1" t="str">
        <f>[1]Data!C259</f>
        <v>3001</v>
      </c>
      <c r="D268" s="1" t="str">
        <f>[1]Data!D259</f>
        <v>L</v>
      </c>
      <c r="E268" s="1" t="str">
        <f>[1]Data!E259</f>
        <v/>
      </c>
      <c r="F268" s="1" t="str">
        <f>[1]Data!F259</f>
        <v>2026</v>
      </c>
      <c r="G268" s="1" t="str">
        <f>[1]Data!G259</f>
        <v>2</v>
      </c>
      <c r="H268" s="15">
        <f>[1]Data!H259</f>
        <v>2250</v>
      </c>
      <c r="I268" s="15">
        <f>[1]Data!I259</f>
        <v>0</v>
      </c>
      <c r="J268" s="1" t="str">
        <f>[1]Data!J259</f>
        <v>X</v>
      </c>
      <c r="K268" s="1" t="str">
        <f>[1]Data!K259</f>
        <v>X</v>
      </c>
      <c r="L268" s="1" t="str">
        <f>[1]Data!L259</f>
        <v>08:11:01</v>
      </c>
      <c r="M268" s="1">
        <f>[1]Data!M259</f>
        <v>45980</v>
      </c>
      <c r="N268" s="1">
        <f>[1]Data!N259</f>
        <v>44430</v>
      </c>
      <c r="O268" s="1" t="str">
        <f>[1]Data!O259</f>
        <v>X</v>
      </c>
      <c r="P268" s="1" t="str">
        <f>[1]Data!P259</f>
        <v>2025</v>
      </c>
      <c r="Q268" s="15">
        <f>[1]Data!Q259</f>
        <v>2250</v>
      </c>
      <c r="R268" s="1" t="str">
        <f>[1]Data!R259</f>
        <v/>
      </c>
    </row>
    <row r="269" spans="1:18" x14ac:dyDescent="0.35">
      <c r="A269" s="1" t="str">
        <f>[1]Data!A260</f>
        <v>4001524</v>
      </c>
      <c r="B269" s="1" t="str">
        <f>[1]Data!B260</f>
        <v>3300</v>
      </c>
      <c r="C269" s="1" t="str">
        <f>[1]Data!C260</f>
        <v>3001</v>
      </c>
      <c r="D269" s="1" t="str">
        <f>[1]Data!D260</f>
        <v>L</v>
      </c>
      <c r="E269" s="1" t="str">
        <f>[1]Data!E260</f>
        <v/>
      </c>
      <c r="F269" s="1" t="str">
        <f>[1]Data!F260</f>
        <v>2026</v>
      </c>
      <c r="G269" s="1" t="str">
        <f>[1]Data!G260</f>
        <v>2</v>
      </c>
      <c r="H269" s="15">
        <f>[1]Data!H260</f>
        <v>1600</v>
      </c>
      <c r="I269" s="15">
        <f>[1]Data!I260</f>
        <v>0</v>
      </c>
      <c r="J269" s="1" t="str">
        <f>[1]Data!J260</f>
        <v>X</v>
      </c>
      <c r="K269" s="1" t="str">
        <f>[1]Data!K260</f>
        <v>X</v>
      </c>
      <c r="L269" s="1" t="str">
        <f>[1]Data!L260</f>
        <v>08:11:01</v>
      </c>
      <c r="M269" s="1">
        <f>[1]Data!M260</f>
        <v>45980</v>
      </c>
      <c r="N269" s="1">
        <f>[1]Data!N260</f>
        <v>44430</v>
      </c>
      <c r="O269" s="1" t="str">
        <f>[1]Data!O260</f>
        <v>X</v>
      </c>
      <c r="P269" s="1" t="str">
        <f>[1]Data!P260</f>
        <v>2025</v>
      </c>
      <c r="Q269" s="15">
        <f>[1]Data!Q260</f>
        <v>1600</v>
      </c>
      <c r="R269" s="1" t="str">
        <f>[1]Data!R260</f>
        <v/>
      </c>
    </row>
    <row r="270" spans="1:18" x14ac:dyDescent="0.35">
      <c r="A270" s="1" t="str">
        <f>[1]Data!A261</f>
        <v>4001551</v>
      </c>
      <c r="B270" s="1" t="str">
        <f>[1]Data!B261</f>
        <v>3300</v>
      </c>
      <c r="C270" s="1" t="str">
        <f>[1]Data!C261</f>
        <v>3001</v>
      </c>
      <c r="D270" s="1" t="str">
        <f>[1]Data!D261</f>
        <v>L</v>
      </c>
      <c r="E270" s="1" t="str">
        <f>[1]Data!E261</f>
        <v/>
      </c>
      <c r="F270" s="1" t="str">
        <f>[1]Data!F261</f>
        <v>2026</v>
      </c>
      <c r="G270" s="1" t="str">
        <f>[1]Data!G261</f>
        <v>3</v>
      </c>
      <c r="H270" s="15">
        <f>[1]Data!H261</f>
        <v>2200</v>
      </c>
      <c r="I270" s="15">
        <f>[1]Data!I261</f>
        <v>0</v>
      </c>
      <c r="J270" s="1" t="str">
        <f>[1]Data!J261</f>
        <v>X</v>
      </c>
      <c r="K270" s="1" t="str">
        <f>[1]Data!K261</f>
        <v>X</v>
      </c>
      <c r="L270" s="1" t="str">
        <f>[1]Data!L261</f>
        <v>14:17:01</v>
      </c>
      <c r="M270" s="1">
        <f>[1]Data!M261</f>
        <v>46001</v>
      </c>
      <c r="N270" s="1">
        <f>[1]Data!N261</f>
        <v>44430</v>
      </c>
      <c r="O270" s="1" t="str">
        <f>[1]Data!O261</f>
        <v>X</v>
      </c>
      <c r="P270" s="1" t="str">
        <f>[1]Data!P261</f>
        <v>2025</v>
      </c>
      <c r="Q270" s="15">
        <f>[1]Data!Q261</f>
        <v>2200</v>
      </c>
      <c r="R270" s="1" t="str">
        <f>[1]Data!R261</f>
        <v/>
      </c>
    </row>
    <row r="271" spans="1:18" x14ac:dyDescent="0.35">
      <c r="A271" s="1" t="str">
        <f>[1]Data!A262</f>
        <v>4001562</v>
      </c>
      <c r="B271" s="1" t="str">
        <f>[1]Data!B262</f>
        <v>3300</v>
      </c>
      <c r="C271" s="1" t="str">
        <f>[1]Data!C262</f>
        <v>3001</v>
      </c>
      <c r="D271" s="1" t="str">
        <f>[1]Data!D262</f>
        <v>L</v>
      </c>
      <c r="E271" s="1" t="str">
        <f>[1]Data!E262</f>
        <v/>
      </c>
      <c r="F271" s="1" t="str">
        <f>[1]Data!F262</f>
        <v>2026</v>
      </c>
      <c r="G271" s="1" t="str">
        <f>[1]Data!G262</f>
        <v>3</v>
      </c>
      <c r="H271" s="15">
        <f>[1]Data!H262</f>
        <v>35</v>
      </c>
      <c r="I271" s="15">
        <f>[1]Data!I262</f>
        <v>0</v>
      </c>
      <c r="J271" s="1" t="str">
        <f>[1]Data!J262</f>
        <v>X</v>
      </c>
      <c r="K271" s="1" t="str">
        <f>[1]Data!K262</f>
        <v>X</v>
      </c>
      <c r="L271" s="1" t="str">
        <f>[1]Data!L262</f>
        <v>07:10:03</v>
      </c>
      <c r="M271" s="1">
        <f>[1]Data!M262</f>
        <v>45825</v>
      </c>
      <c r="N271" s="1">
        <f>[1]Data!N262</f>
        <v>44430</v>
      </c>
      <c r="O271" s="1" t="str">
        <f>[1]Data!O262</f>
        <v>X</v>
      </c>
      <c r="P271" s="1" t="str">
        <f>[1]Data!P262</f>
        <v>2025</v>
      </c>
      <c r="Q271" s="15">
        <f>[1]Data!Q262</f>
        <v>35</v>
      </c>
      <c r="R271" s="1" t="str">
        <f>[1]Data!R262</f>
        <v/>
      </c>
    </row>
    <row r="272" spans="1:18" x14ac:dyDescent="0.35">
      <c r="A272" s="1" t="str">
        <f>[1]Data!A263</f>
        <v>4001572</v>
      </c>
      <c r="B272" s="1" t="str">
        <f>[1]Data!B263</f>
        <v>3300</v>
      </c>
      <c r="C272" s="1" t="str">
        <f>[1]Data!C263</f>
        <v>3001</v>
      </c>
      <c r="D272" s="1" t="str">
        <f>[1]Data!D263</f>
        <v>L</v>
      </c>
      <c r="E272" s="1" t="str">
        <f>[1]Data!E263</f>
        <v/>
      </c>
      <c r="F272" s="1" t="str">
        <f>[1]Data!F263</f>
        <v>2026</v>
      </c>
      <c r="G272" s="1" t="str">
        <f>[1]Data!G263</f>
        <v>2</v>
      </c>
      <c r="H272" s="15">
        <f>[1]Data!H263</f>
        <v>840</v>
      </c>
      <c r="I272" s="15">
        <f>[1]Data!I263</f>
        <v>0</v>
      </c>
      <c r="J272" s="1" t="str">
        <f>[1]Data!J263</f>
        <v>X</v>
      </c>
      <c r="K272" s="1" t="str">
        <f>[1]Data!K263</f>
        <v>X</v>
      </c>
      <c r="L272" s="1" t="str">
        <f>[1]Data!L263</f>
        <v>06:08:02</v>
      </c>
      <c r="M272" s="1">
        <f>[1]Data!M263</f>
        <v>45819</v>
      </c>
      <c r="N272" s="1">
        <f>[1]Data!N263</f>
        <v>44430</v>
      </c>
      <c r="O272" s="1" t="str">
        <f>[1]Data!O263</f>
        <v>X</v>
      </c>
      <c r="P272" s="1" t="str">
        <f>[1]Data!P263</f>
        <v>2025</v>
      </c>
      <c r="Q272" s="15">
        <f>[1]Data!Q263</f>
        <v>840</v>
      </c>
      <c r="R272" s="1" t="str">
        <f>[1]Data!R263</f>
        <v/>
      </c>
    </row>
    <row r="273" spans="1:18" x14ac:dyDescent="0.35">
      <c r="A273" s="1" t="str">
        <f>[1]Data!A264</f>
        <v>4001573</v>
      </c>
      <c r="B273" s="1" t="str">
        <f>[1]Data!B264</f>
        <v>3300</v>
      </c>
      <c r="C273" s="1" t="str">
        <f>[1]Data!C264</f>
        <v>3001</v>
      </c>
      <c r="D273" s="1" t="str">
        <f>[1]Data!D264</f>
        <v>L</v>
      </c>
      <c r="E273" s="1" t="str">
        <f>[1]Data!E264</f>
        <v/>
      </c>
      <c r="F273" s="1" t="str">
        <f>[1]Data!F264</f>
        <v>2026</v>
      </c>
      <c r="G273" s="1" t="str">
        <f>[1]Data!G264</f>
        <v>2</v>
      </c>
      <c r="H273" s="15">
        <f>[1]Data!H264</f>
        <v>66</v>
      </c>
      <c r="I273" s="15">
        <f>[1]Data!I264</f>
        <v>0</v>
      </c>
      <c r="J273" s="1" t="str">
        <f>[1]Data!J264</f>
        <v>X</v>
      </c>
      <c r="K273" s="1" t="str">
        <f>[1]Data!K264</f>
        <v>X</v>
      </c>
      <c r="L273" s="1" t="str">
        <f>[1]Data!L264</f>
        <v>06:08:02</v>
      </c>
      <c r="M273" s="1">
        <f>[1]Data!M264</f>
        <v>45819</v>
      </c>
      <c r="N273" s="1">
        <f>[1]Data!N264</f>
        <v>44430</v>
      </c>
      <c r="O273" s="1" t="str">
        <f>[1]Data!O264</f>
        <v>X</v>
      </c>
      <c r="P273" s="1" t="str">
        <f>[1]Data!P264</f>
        <v>2025</v>
      </c>
      <c r="Q273" s="15">
        <f>[1]Data!Q264</f>
        <v>66</v>
      </c>
      <c r="R273" s="1" t="str">
        <f>[1]Data!R264</f>
        <v/>
      </c>
    </row>
    <row r="274" spans="1:18" x14ac:dyDescent="0.35">
      <c r="A274" s="1" t="str">
        <f>[1]Data!A265</f>
        <v>4001574</v>
      </c>
      <c r="B274" s="1" t="str">
        <f>[1]Data!B265</f>
        <v>3300</v>
      </c>
      <c r="C274" s="1" t="str">
        <f>[1]Data!C265</f>
        <v>3001</v>
      </c>
      <c r="D274" s="1" t="str">
        <f>[1]Data!D265</f>
        <v>L</v>
      </c>
      <c r="E274" s="1" t="str">
        <f>[1]Data!E265</f>
        <v/>
      </c>
      <c r="F274" s="1" t="str">
        <f>[1]Data!F265</f>
        <v>2026</v>
      </c>
      <c r="G274" s="1" t="str">
        <f>[1]Data!G265</f>
        <v>3</v>
      </c>
      <c r="H274" s="15">
        <f>[1]Data!H265</f>
        <v>525</v>
      </c>
      <c r="I274" s="15">
        <f>[1]Data!I265</f>
        <v>0</v>
      </c>
      <c r="J274" s="1" t="str">
        <f>[1]Data!J265</f>
        <v>X</v>
      </c>
      <c r="K274" s="1" t="str">
        <f>[1]Data!K265</f>
        <v>X</v>
      </c>
      <c r="L274" s="1" t="str">
        <f>[1]Data!L265</f>
        <v>06:08:01</v>
      </c>
      <c r="M274" s="1">
        <f>[1]Data!M265</f>
        <v>45819</v>
      </c>
      <c r="N274" s="1">
        <f>[1]Data!N265</f>
        <v>44430</v>
      </c>
      <c r="O274" s="1" t="str">
        <f>[1]Data!O265</f>
        <v>X</v>
      </c>
      <c r="P274" s="1" t="str">
        <f>[1]Data!P265</f>
        <v>2025</v>
      </c>
      <c r="Q274" s="15">
        <f>[1]Data!Q265</f>
        <v>525</v>
      </c>
      <c r="R274" s="1" t="str">
        <f>[1]Data!R265</f>
        <v/>
      </c>
    </row>
    <row r="275" spans="1:18" x14ac:dyDescent="0.35">
      <c r="A275" s="1" t="str">
        <f>[1]Data!A266</f>
        <v>4001576</v>
      </c>
      <c r="B275" s="1" t="str">
        <f>[1]Data!B266</f>
        <v>3300</v>
      </c>
      <c r="C275" s="1" t="str">
        <f>[1]Data!C266</f>
        <v>3001</v>
      </c>
      <c r="D275" s="1" t="str">
        <f>[1]Data!D266</f>
        <v>DL</v>
      </c>
      <c r="E275" s="1" t="str">
        <f>[1]Data!E266</f>
        <v/>
      </c>
      <c r="F275" s="1" t="str">
        <f>[1]Data!F266</f>
        <v>2026</v>
      </c>
      <c r="G275" s="1" t="str">
        <f>[1]Data!G266</f>
        <v>3</v>
      </c>
      <c r="H275" s="15">
        <f>[1]Data!H266</f>
        <v>1600</v>
      </c>
      <c r="I275" s="15">
        <f>[1]Data!I266</f>
        <v>0</v>
      </c>
      <c r="J275" s="1" t="str">
        <f>[1]Data!J266</f>
        <v>X</v>
      </c>
      <c r="K275" s="1" t="str">
        <f>[1]Data!K266</f>
        <v>X</v>
      </c>
      <c r="L275" s="1" t="str">
        <f>[1]Data!L266</f>
        <v>12:12:02</v>
      </c>
      <c r="M275" s="1">
        <f>[1]Data!M266</f>
        <v>45994</v>
      </c>
      <c r="N275" s="1">
        <f>[1]Data!N266</f>
        <v>44533</v>
      </c>
      <c r="O275" s="1" t="str">
        <f>[1]Data!O266</f>
        <v>X</v>
      </c>
      <c r="P275" s="1" t="str">
        <f>[1]Data!P266</f>
        <v>2025</v>
      </c>
      <c r="Q275" s="15">
        <f>[1]Data!Q266</f>
        <v>1600</v>
      </c>
      <c r="R275" s="1" t="str">
        <f>[1]Data!R266</f>
        <v/>
      </c>
    </row>
    <row r="276" spans="1:18" x14ac:dyDescent="0.35">
      <c r="A276" s="1" t="str">
        <f>[1]Data!A267</f>
        <v>4001609</v>
      </c>
      <c r="B276" s="1" t="str">
        <f>[1]Data!B267</f>
        <v>3300</v>
      </c>
      <c r="C276" s="1" t="str">
        <f>[1]Data!C267</f>
        <v>3001</v>
      </c>
      <c r="D276" s="1" t="str">
        <f>[1]Data!D267</f>
        <v>L</v>
      </c>
      <c r="E276" s="1" t="str">
        <f>[1]Data!E267</f>
        <v/>
      </c>
      <c r="F276" s="1" t="str">
        <f>[1]Data!F267</f>
        <v>2025</v>
      </c>
      <c r="G276" s="1" t="str">
        <f>[1]Data!G267</f>
        <v>12</v>
      </c>
      <c r="H276" s="15">
        <f>[1]Data!H267</f>
        <v>150</v>
      </c>
      <c r="I276" s="15">
        <f>[1]Data!I267</f>
        <v>0</v>
      </c>
      <c r="J276" s="1" t="str">
        <f>[1]Data!J267</f>
        <v>X</v>
      </c>
      <c r="K276" s="1" t="str">
        <f>[1]Data!K267</f>
        <v>X</v>
      </c>
      <c r="L276" s="1" t="str">
        <f>[1]Data!L267</f>
        <v>15:08;03*</v>
      </c>
      <c r="M276" s="1">
        <f>[1]Data!M267</f>
        <v>46001</v>
      </c>
      <c r="N276" s="1">
        <f>[1]Data!N267</f>
        <v>44430</v>
      </c>
      <c r="O276" s="1" t="str">
        <f>[1]Data!O267</f>
        <v>X</v>
      </c>
      <c r="P276" s="1" t="str">
        <f>[1]Data!P267</f>
        <v>2025</v>
      </c>
      <c r="Q276" s="15">
        <f>[1]Data!Q267</f>
        <v>150</v>
      </c>
      <c r="R276" s="1" t="str">
        <f>[1]Data!R267</f>
        <v/>
      </c>
    </row>
    <row r="277" spans="1:18" x14ac:dyDescent="0.35">
      <c r="A277" s="1" t="str">
        <f>[1]Data!A268</f>
        <v>4001630</v>
      </c>
      <c r="B277" s="1" t="str">
        <f>[1]Data!B268</f>
        <v>3300</v>
      </c>
      <c r="C277" s="1" t="str">
        <f>[1]Data!C268</f>
        <v>3001</v>
      </c>
      <c r="D277" s="1" t="str">
        <f>[1]Data!D268</f>
        <v>L</v>
      </c>
      <c r="E277" s="1" t="str">
        <f>[1]Data!E268</f>
        <v/>
      </c>
      <c r="F277" s="1" t="str">
        <f>[1]Data!F268</f>
        <v>2024</v>
      </c>
      <c r="G277" s="1" t="str">
        <f>[1]Data!G268</f>
        <v>10</v>
      </c>
      <c r="H277" s="15">
        <f>[1]Data!H268</f>
        <v>0</v>
      </c>
      <c r="I277" s="15">
        <f>[1]Data!I268</f>
        <v>0</v>
      </c>
      <c r="J277" s="1" t="str">
        <f>[1]Data!J268</f>
        <v/>
      </c>
      <c r="K277" s="1" t="str">
        <f>[1]Data!K268</f>
        <v>X</v>
      </c>
      <c r="L277" s="1" t="str">
        <f>[1]Data!L268</f>
        <v>SLETTET</v>
      </c>
      <c r="M277" s="1">
        <f>[1]Data!M268</f>
        <v>44568</v>
      </c>
      <c r="N277" s="1">
        <f>[1]Data!N268</f>
        <v>44430</v>
      </c>
      <c r="O277" s="1" t="str">
        <f>[1]Data!O268</f>
        <v>X</v>
      </c>
      <c r="P277" s="1" t="str">
        <f>[1]Data!P268</f>
        <v>2023</v>
      </c>
      <c r="Q277" s="15">
        <f>[1]Data!Q268</f>
        <v>0</v>
      </c>
      <c r="R277" s="1" t="str">
        <f>[1]Data!R268</f>
        <v>INAKTIV</v>
      </c>
    </row>
    <row r="278" spans="1:18" x14ac:dyDescent="0.35">
      <c r="A278" s="1" t="str">
        <f>[1]Data!A269</f>
        <v>4001691</v>
      </c>
      <c r="B278" s="1" t="str">
        <f>[1]Data!B269</f>
        <v>3300</v>
      </c>
      <c r="C278" s="1" t="str">
        <f>[1]Data!C269</f>
        <v>3001</v>
      </c>
      <c r="D278" s="1" t="str">
        <f>[1]Data!D269</f>
        <v>L</v>
      </c>
      <c r="E278" s="1" t="str">
        <f>[1]Data!E269</f>
        <v/>
      </c>
      <c r="F278" s="1" t="str">
        <f>[1]Data!F269</f>
        <v>2026</v>
      </c>
      <c r="G278" s="1" t="str">
        <f>[1]Data!G269</f>
        <v>2</v>
      </c>
      <c r="H278" s="15">
        <f>[1]Data!H269</f>
        <v>70</v>
      </c>
      <c r="I278" s="15">
        <f>[1]Data!I269</f>
        <v>0</v>
      </c>
      <c r="J278" s="1" t="str">
        <f>[1]Data!J269</f>
        <v>X</v>
      </c>
      <c r="K278" s="1" t="str">
        <f>[1]Data!K269</f>
        <v>X</v>
      </c>
      <c r="L278" s="1" t="str">
        <f>[1]Data!L269</f>
        <v>02:12:02</v>
      </c>
      <c r="M278" s="1">
        <f>[1]Data!M269</f>
        <v>45797</v>
      </c>
      <c r="N278" s="1">
        <f>[1]Data!N269</f>
        <v>44430</v>
      </c>
      <c r="O278" s="1" t="str">
        <f>[1]Data!O269</f>
        <v>X</v>
      </c>
      <c r="P278" s="1" t="str">
        <f>[1]Data!P269</f>
        <v>2025</v>
      </c>
      <c r="Q278" s="15">
        <f>[1]Data!Q269</f>
        <v>70</v>
      </c>
      <c r="R278" s="1" t="str">
        <f>[1]Data!R269</f>
        <v/>
      </c>
    </row>
    <row r="279" spans="1:18" x14ac:dyDescent="0.35">
      <c r="A279" s="1" t="str">
        <f>[1]Data!A270</f>
        <v>4001701</v>
      </c>
      <c r="B279" s="1" t="str">
        <f>[1]Data!B270</f>
        <v>3300</v>
      </c>
      <c r="C279" s="1" t="str">
        <f>[1]Data!C270</f>
        <v>3001</v>
      </c>
      <c r="D279" s="1" t="str">
        <f>[1]Data!D270</f>
        <v>L</v>
      </c>
      <c r="E279" s="1" t="str">
        <f>[1]Data!E270</f>
        <v/>
      </c>
      <c r="F279" s="1" t="str">
        <f>[1]Data!F270</f>
        <v>2026</v>
      </c>
      <c r="G279" s="1" t="str">
        <f>[1]Data!G270</f>
        <v>2</v>
      </c>
      <c r="H279" s="15">
        <f>[1]Data!H270</f>
        <v>52</v>
      </c>
      <c r="I279" s="15">
        <f>[1]Data!I270</f>
        <v>0</v>
      </c>
      <c r="J279" s="1" t="str">
        <f>[1]Data!J270</f>
        <v>X</v>
      </c>
      <c r="K279" s="1" t="str">
        <f>[1]Data!K270</f>
        <v>X</v>
      </c>
      <c r="L279" s="1" t="str">
        <f>[1]Data!L270</f>
        <v>02:10:02</v>
      </c>
      <c r="M279" s="1">
        <f>[1]Data!M270</f>
        <v>45797</v>
      </c>
      <c r="N279" s="1">
        <f>[1]Data!N270</f>
        <v>44430</v>
      </c>
      <c r="O279" s="1" t="str">
        <f>[1]Data!O270</f>
        <v>X</v>
      </c>
      <c r="P279" s="1" t="str">
        <f>[1]Data!P270</f>
        <v>2025</v>
      </c>
      <c r="Q279" s="15">
        <f>[1]Data!Q270</f>
        <v>52</v>
      </c>
      <c r="R279" s="1" t="str">
        <f>[1]Data!R270</f>
        <v/>
      </c>
    </row>
    <row r="280" spans="1:18" x14ac:dyDescent="0.35">
      <c r="A280" s="1" t="str">
        <f>[1]Data!A271</f>
        <v>4001754</v>
      </c>
      <c r="B280" s="1" t="str">
        <f>[1]Data!B271</f>
        <v>3300</v>
      </c>
      <c r="C280" s="1" t="str">
        <f>[1]Data!C271</f>
        <v>3001</v>
      </c>
      <c r="D280" s="1" t="str">
        <f>[1]Data!D271</f>
        <v>L</v>
      </c>
      <c r="E280" s="1" t="str">
        <f>[1]Data!E271</f>
        <v/>
      </c>
      <c r="F280" s="1" t="str">
        <f>[1]Data!F271</f>
        <v>2026</v>
      </c>
      <c r="G280" s="1" t="str">
        <f>[1]Data!G271</f>
        <v>3</v>
      </c>
      <c r="H280" s="15">
        <f>[1]Data!H271</f>
        <v>320</v>
      </c>
      <c r="I280" s="15">
        <f>[1]Data!I271</f>
        <v>0</v>
      </c>
      <c r="J280" s="1" t="str">
        <f>[1]Data!J271</f>
        <v>X</v>
      </c>
      <c r="K280" s="1" t="str">
        <f>[1]Data!K271</f>
        <v>X</v>
      </c>
      <c r="L280" s="1" t="str">
        <f>[1]Data!L271</f>
        <v>02:08:02</v>
      </c>
      <c r="M280" s="1">
        <f>[1]Data!M271</f>
        <v>45797</v>
      </c>
      <c r="N280" s="1">
        <f>[1]Data!N271</f>
        <v>44430</v>
      </c>
      <c r="O280" s="1" t="str">
        <f>[1]Data!O271</f>
        <v>X</v>
      </c>
      <c r="P280" s="1" t="str">
        <f>[1]Data!P271</f>
        <v>2025</v>
      </c>
      <c r="Q280" s="15">
        <f>[1]Data!Q271</f>
        <v>320</v>
      </c>
      <c r="R280" s="1" t="str">
        <f>[1]Data!R271</f>
        <v/>
      </c>
    </row>
    <row r="281" spans="1:18" x14ac:dyDescent="0.35">
      <c r="A281" s="1" t="str">
        <f>[1]Data!A272</f>
        <v>4001762</v>
      </c>
      <c r="B281" s="1" t="str">
        <f>[1]Data!B272</f>
        <v>3300</v>
      </c>
      <c r="C281" s="1" t="str">
        <f>[1]Data!C272</f>
        <v>3001</v>
      </c>
      <c r="D281" s="1" t="str">
        <f>[1]Data!D272</f>
        <v>L</v>
      </c>
      <c r="E281" s="1" t="str">
        <f>[1]Data!E272</f>
        <v/>
      </c>
      <c r="F281" s="1" t="str">
        <f>[1]Data!F272</f>
        <v>2026</v>
      </c>
      <c r="G281" s="1" t="str">
        <f>[1]Data!G272</f>
        <v>2</v>
      </c>
      <c r="H281" s="15">
        <f>[1]Data!H272</f>
        <v>1600</v>
      </c>
      <c r="I281" s="15">
        <f>[1]Data!I272</f>
        <v>0</v>
      </c>
      <c r="J281" s="1" t="str">
        <f>[1]Data!J272</f>
        <v>X</v>
      </c>
      <c r="K281" s="1" t="str">
        <f>[1]Data!K272</f>
        <v>X</v>
      </c>
      <c r="L281" s="1" t="str">
        <f>[1]Data!L272</f>
        <v>08:12:01</v>
      </c>
      <c r="M281" s="1">
        <f>[1]Data!M272</f>
        <v>45980</v>
      </c>
      <c r="N281" s="1">
        <f>[1]Data!N272</f>
        <v>44430</v>
      </c>
      <c r="O281" s="1" t="str">
        <f>[1]Data!O272</f>
        <v>X</v>
      </c>
      <c r="P281" s="1" t="str">
        <f>[1]Data!P272</f>
        <v>2025</v>
      </c>
      <c r="Q281" s="15">
        <f>[1]Data!Q272</f>
        <v>1600</v>
      </c>
      <c r="R281" s="1" t="str">
        <f>[1]Data!R272</f>
        <v/>
      </c>
    </row>
    <row r="282" spans="1:18" x14ac:dyDescent="0.35">
      <c r="A282" s="1" t="str">
        <f>[1]Data!A273</f>
        <v>4001763</v>
      </c>
      <c r="B282" s="1" t="str">
        <f>[1]Data!B273</f>
        <v>3300</v>
      </c>
      <c r="C282" s="1" t="str">
        <f>[1]Data!C273</f>
        <v>3001</v>
      </c>
      <c r="D282" s="1" t="str">
        <f>[1]Data!D273</f>
        <v>L</v>
      </c>
      <c r="E282" s="1" t="str">
        <f>[1]Data!E273</f>
        <v/>
      </c>
      <c r="F282" s="1" t="str">
        <f>[1]Data!F273</f>
        <v>2026</v>
      </c>
      <c r="G282" s="1" t="str">
        <f>[1]Data!G273</f>
        <v>2</v>
      </c>
      <c r="H282" s="15">
        <f>[1]Data!H273</f>
        <v>5300</v>
      </c>
      <c r="I282" s="15">
        <f>[1]Data!I273</f>
        <v>0</v>
      </c>
      <c r="J282" s="1" t="str">
        <f>[1]Data!J273</f>
        <v>X</v>
      </c>
      <c r="K282" s="1" t="str">
        <f>[1]Data!K273</f>
        <v>X</v>
      </c>
      <c r="L282" s="1" t="str">
        <f>[1]Data!L273</f>
        <v>08:12:01</v>
      </c>
      <c r="M282" s="1">
        <f>[1]Data!M273</f>
        <v>45980</v>
      </c>
      <c r="N282" s="1">
        <f>[1]Data!N273</f>
        <v>44430</v>
      </c>
      <c r="O282" s="1" t="str">
        <f>[1]Data!O273</f>
        <v>X</v>
      </c>
      <c r="P282" s="1" t="str">
        <f>[1]Data!P273</f>
        <v>2025</v>
      </c>
      <c r="Q282" s="15">
        <f>[1]Data!Q273</f>
        <v>5300</v>
      </c>
      <c r="R282" s="1" t="str">
        <f>[1]Data!R273</f>
        <v/>
      </c>
    </row>
    <row r="283" spans="1:18" x14ac:dyDescent="0.35">
      <c r="A283" s="1" t="str">
        <f>[1]Data!A274</f>
        <v>4001764</v>
      </c>
      <c r="B283" s="1" t="str">
        <f>[1]Data!B274</f>
        <v>3300</v>
      </c>
      <c r="C283" s="1" t="str">
        <f>[1]Data!C274</f>
        <v>3001</v>
      </c>
      <c r="D283" s="1" t="str">
        <f>[1]Data!D274</f>
        <v>L</v>
      </c>
      <c r="E283" s="1" t="str">
        <f>[1]Data!E274</f>
        <v/>
      </c>
      <c r="F283" s="1" t="str">
        <f>[1]Data!F274</f>
        <v>2026</v>
      </c>
      <c r="G283" s="1" t="str">
        <f>[1]Data!G274</f>
        <v>1</v>
      </c>
      <c r="H283" s="15">
        <f>[1]Data!H274</f>
        <v>1000</v>
      </c>
      <c r="I283" s="15">
        <f>[1]Data!I274</f>
        <v>0</v>
      </c>
      <c r="J283" s="1" t="str">
        <f>[1]Data!J274</f>
        <v>X</v>
      </c>
      <c r="K283" s="1" t="str">
        <f>[1]Data!K274</f>
        <v>X</v>
      </c>
      <c r="L283" s="1" t="str">
        <f>[1]Data!L274</f>
        <v>08:12:02</v>
      </c>
      <c r="M283" s="1">
        <f>[1]Data!M274</f>
        <v>45980</v>
      </c>
      <c r="N283" s="1">
        <f>[1]Data!N274</f>
        <v>44430</v>
      </c>
      <c r="O283" s="1" t="str">
        <f>[1]Data!O274</f>
        <v>X</v>
      </c>
      <c r="P283" s="1" t="str">
        <f>[1]Data!P274</f>
        <v>2025</v>
      </c>
      <c r="Q283" s="15">
        <f>[1]Data!Q274</f>
        <v>1000</v>
      </c>
      <c r="R283" s="1" t="str">
        <f>[1]Data!R274</f>
        <v/>
      </c>
    </row>
    <row r="284" spans="1:18" x14ac:dyDescent="0.35">
      <c r="A284" s="1" t="str">
        <f>[1]Data!A275</f>
        <v>4001809</v>
      </c>
      <c r="B284" s="1" t="str">
        <f>[1]Data!B275</f>
        <v>3300</v>
      </c>
      <c r="C284" s="1" t="str">
        <f>[1]Data!C275</f>
        <v>3001</v>
      </c>
      <c r="D284" s="1" t="str">
        <f>[1]Data!D275</f>
        <v>L</v>
      </c>
      <c r="E284" s="1" t="str">
        <f>[1]Data!E275</f>
        <v/>
      </c>
      <c r="F284" s="1" t="str">
        <f>[1]Data!F275</f>
        <v>2026</v>
      </c>
      <c r="G284" s="1" t="str">
        <f>[1]Data!G275</f>
        <v>3</v>
      </c>
      <c r="H284" s="15">
        <f>[1]Data!H275</f>
        <v>2800</v>
      </c>
      <c r="I284" s="15">
        <f>[1]Data!I275</f>
        <v>0</v>
      </c>
      <c r="J284" s="1" t="str">
        <f>[1]Data!J275</f>
        <v>X</v>
      </c>
      <c r="K284" s="1" t="str">
        <f>[1]Data!K275</f>
        <v>X</v>
      </c>
      <c r="L284" s="1" t="str">
        <f>[1]Data!L275</f>
        <v>05:11:00</v>
      </c>
      <c r="M284" s="1">
        <f>[1]Data!M275</f>
        <v>45804</v>
      </c>
      <c r="N284" s="1">
        <f>[1]Data!N275</f>
        <v>44430</v>
      </c>
      <c r="O284" s="1" t="str">
        <f>[1]Data!O275</f>
        <v>X</v>
      </c>
      <c r="P284" s="1" t="str">
        <f>[1]Data!P275</f>
        <v>2025</v>
      </c>
      <c r="Q284" s="15">
        <f>[1]Data!Q275</f>
        <v>2800</v>
      </c>
      <c r="R284" s="1" t="str">
        <f>[1]Data!R275</f>
        <v/>
      </c>
    </row>
    <row r="285" spans="1:18" x14ac:dyDescent="0.35">
      <c r="A285" s="1" t="str">
        <f>[1]Data!A276</f>
        <v>4001853</v>
      </c>
      <c r="B285" s="1" t="str">
        <f>[1]Data!B276</f>
        <v>3300</v>
      </c>
      <c r="C285" s="1" t="str">
        <f>[1]Data!C276</f>
        <v>3001</v>
      </c>
      <c r="D285" s="1" t="str">
        <f>[1]Data!D276</f>
        <v>L</v>
      </c>
      <c r="E285" s="1" t="str">
        <f>[1]Data!E276</f>
        <v/>
      </c>
      <c r="F285" s="1" t="str">
        <f>[1]Data!F276</f>
        <v>2026</v>
      </c>
      <c r="G285" s="1" t="str">
        <f>[1]Data!G276</f>
        <v>2</v>
      </c>
      <c r="H285" s="15">
        <f>[1]Data!H276</f>
        <v>52</v>
      </c>
      <c r="I285" s="15">
        <f>[1]Data!I276</f>
        <v>0</v>
      </c>
      <c r="J285" s="1" t="str">
        <f>[1]Data!J276</f>
        <v>X</v>
      </c>
      <c r="K285" s="1" t="str">
        <f>[1]Data!K276</f>
        <v>X</v>
      </c>
      <c r="L285" s="1" t="str">
        <f>[1]Data!L276</f>
        <v>02:03:01</v>
      </c>
      <c r="M285" s="1">
        <f>[1]Data!M276</f>
        <v>45796</v>
      </c>
      <c r="N285" s="1">
        <f>[1]Data!N276</f>
        <v>44430</v>
      </c>
      <c r="O285" s="1" t="str">
        <f>[1]Data!O276</f>
        <v>X</v>
      </c>
      <c r="P285" s="1" t="str">
        <f>[1]Data!P276</f>
        <v>2025</v>
      </c>
      <c r="Q285" s="15">
        <f>[1]Data!Q276</f>
        <v>52</v>
      </c>
      <c r="R285" s="1" t="str">
        <f>[1]Data!R276</f>
        <v/>
      </c>
    </row>
    <row r="286" spans="1:18" x14ac:dyDescent="0.35">
      <c r="A286" s="1" t="str">
        <f>[1]Data!A277</f>
        <v>4001951</v>
      </c>
      <c r="B286" s="1" t="str">
        <f>[1]Data!B277</f>
        <v>3300</v>
      </c>
      <c r="C286" s="1" t="str">
        <f>[1]Data!C277</f>
        <v>3001</v>
      </c>
      <c r="D286" s="1" t="str">
        <f>[1]Data!D277</f>
        <v>DL</v>
      </c>
      <c r="E286" s="1" t="str">
        <f>[1]Data!E277</f>
        <v/>
      </c>
      <c r="F286" s="1" t="str">
        <f>[1]Data!F277</f>
        <v>2022</v>
      </c>
      <c r="G286" s="1" t="str">
        <f>[1]Data!G277</f>
        <v>1</v>
      </c>
      <c r="H286" s="15">
        <f>[1]Data!H277</f>
        <v>0</v>
      </c>
      <c r="I286" s="15">
        <f>[1]Data!I277</f>
        <v>0</v>
      </c>
      <c r="J286" s="1" t="str">
        <f>[1]Data!J277</f>
        <v/>
      </c>
      <c r="K286" s="1" t="str">
        <f>[1]Data!K277</f>
        <v/>
      </c>
      <c r="L286" s="1" t="str">
        <f>[1]Data!L277</f>
        <v>-</v>
      </c>
      <c r="M286" s="1" t="str">
        <f>[1]Data!M277</f>
        <v/>
      </c>
      <c r="N286" s="1">
        <f>[1]Data!N277</f>
        <v>44587</v>
      </c>
      <c r="O286" s="1" t="str">
        <f>[1]Data!O277</f>
        <v>X</v>
      </c>
      <c r="P286" s="1" t="str">
        <f>[1]Data!P277</f>
        <v>2022</v>
      </c>
      <c r="Q286" s="15">
        <f>[1]Data!Q277</f>
        <v>0</v>
      </c>
      <c r="R286" s="1" t="str">
        <f>[1]Data!R277</f>
        <v>INAKTIV</v>
      </c>
    </row>
    <row r="287" spans="1:18" x14ac:dyDescent="0.35">
      <c r="A287" s="1" t="str">
        <f>[1]Data!A278</f>
        <v>4001953</v>
      </c>
      <c r="B287" s="1" t="str">
        <f>[1]Data!B278</f>
        <v>3300</v>
      </c>
      <c r="C287" s="1" t="str">
        <f>[1]Data!C278</f>
        <v>3001</v>
      </c>
      <c r="D287" s="1" t="str">
        <f>[1]Data!D278</f>
        <v>DL</v>
      </c>
      <c r="E287" s="1" t="str">
        <f>[1]Data!E278</f>
        <v/>
      </c>
      <c r="F287" s="1" t="str">
        <f>[1]Data!F278</f>
        <v>2022</v>
      </c>
      <c r="G287" s="1" t="str">
        <f>[1]Data!G278</f>
        <v>1</v>
      </c>
      <c r="H287" s="15">
        <f>[1]Data!H278</f>
        <v>0</v>
      </c>
      <c r="I287" s="15">
        <f>[1]Data!I278</f>
        <v>0</v>
      </c>
      <c r="J287" s="1" t="str">
        <f>[1]Data!J278</f>
        <v/>
      </c>
      <c r="K287" s="1" t="str">
        <f>[1]Data!K278</f>
        <v/>
      </c>
      <c r="L287" s="1" t="str">
        <f>[1]Data!L278</f>
        <v>-</v>
      </c>
      <c r="M287" s="1" t="str">
        <f>[1]Data!M278</f>
        <v/>
      </c>
      <c r="N287" s="1">
        <f>[1]Data!N278</f>
        <v>44587</v>
      </c>
      <c r="O287" s="1" t="str">
        <f>[1]Data!O278</f>
        <v>X</v>
      </c>
      <c r="P287" s="1" t="str">
        <f>[1]Data!P278</f>
        <v>2022</v>
      </c>
      <c r="Q287" s="15">
        <f>[1]Data!Q278</f>
        <v>0</v>
      </c>
      <c r="R287" s="1" t="str">
        <f>[1]Data!R278</f>
        <v>INAKTIV</v>
      </c>
    </row>
    <row r="288" spans="1:18" x14ac:dyDescent="0.35">
      <c r="A288" s="1" t="str">
        <f>[1]Data!A279</f>
        <v>4001969</v>
      </c>
      <c r="B288" s="1" t="str">
        <f>[1]Data!B279</f>
        <v>3300</v>
      </c>
      <c r="C288" s="1" t="str">
        <f>[1]Data!C279</f>
        <v>3001</v>
      </c>
      <c r="D288" s="1" t="str">
        <f>[1]Data!D279</f>
        <v>L</v>
      </c>
      <c r="E288" s="1" t="str">
        <f>[1]Data!E279</f>
        <v/>
      </c>
      <c r="F288" s="1" t="str">
        <f>[1]Data!F279</f>
        <v>2026</v>
      </c>
      <c r="G288" s="1" t="str">
        <f>[1]Data!G279</f>
        <v>3</v>
      </c>
      <c r="H288" s="15">
        <f>[1]Data!H279</f>
        <v>25</v>
      </c>
      <c r="I288" s="15">
        <f>[1]Data!I279</f>
        <v>0</v>
      </c>
      <c r="J288" s="1" t="str">
        <f>[1]Data!J279</f>
        <v>X</v>
      </c>
      <c r="K288" s="1" t="str">
        <f>[1]Data!K279</f>
        <v>X</v>
      </c>
      <c r="L288" s="1" t="str">
        <f>[1]Data!L279</f>
        <v>04:11:01</v>
      </c>
      <c r="M288" s="1">
        <f>[1]Data!M279</f>
        <v>45800</v>
      </c>
      <c r="N288" s="1">
        <f>[1]Data!N279</f>
        <v>44430</v>
      </c>
      <c r="O288" s="1" t="str">
        <f>[1]Data!O279</f>
        <v>X</v>
      </c>
      <c r="P288" s="1" t="str">
        <f>[1]Data!P279</f>
        <v>2025</v>
      </c>
      <c r="Q288" s="15">
        <f>[1]Data!Q279</f>
        <v>25</v>
      </c>
      <c r="R288" s="1" t="str">
        <f>[1]Data!R279</f>
        <v/>
      </c>
    </row>
    <row r="289" spans="1:18" x14ac:dyDescent="0.35">
      <c r="A289" s="1" t="str">
        <f>[1]Data!A280</f>
        <v>4002229</v>
      </c>
      <c r="B289" s="1" t="str">
        <f>[1]Data!B280</f>
        <v>3300</v>
      </c>
      <c r="C289" s="1" t="str">
        <f>[1]Data!C280</f>
        <v>3001</v>
      </c>
      <c r="D289" s="1" t="str">
        <f>[1]Data!D280</f>
        <v>L</v>
      </c>
      <c r="E289" s="1" t="str">
        <f>[1]Data!E280</f>
        <v/>
      </c>
      <c r="F289" s="1" t="str">
        <f>[1]Data!F280</f>
        <v>2021</v>
      </c>
      <c r="G289" s="1" t="str">
        <f>[1]Data!G280</f>
        <v>8</v>
      </c>
      <c r="H289" s="15">
        <f>[1]Data!H280</f>
        <v>0</v>
      </c>
      <c r="I289" s="15">
        <f>[1]Data!I280</f>
        <v>0</v>
      </c>
      <c r="J289" s="1" t="str">
        <f>[1]Data!J280</f>
        <v/>
      </c>
      <c r="K289" s="1" t="str">
        <f>[1]Data!K280</f>
        <v/>
      </c>
      <c r="L289" s="1" t="str">
        <f>[1]Data!L280</f>
        <v>SLETTET</v>
      </c>
      <c r="M289" s="1" t="str">
        <f>[1]Data!M280</f>
        <v/>
      </c>
      <c r="N289" s="1">
        <f>[1]Data!N280</f>
        <v>44430</v>
      </c>
      <c r="O289" s="1" t="str">
        <f>[1]Data!O280</f>
        <v>X</v>
      </c>
      <c r="P289" s="1" t="str">
        <f>[1]Data!P280</f>
        <v>2023</v>
      </c>
      <c r="Q289" s="15">
        <f>[1]Data!Q280</f>
        <v>0</v>
      </c>
      <c r="R289" s="1" t="str">
        <f>[1]Data!R280</f>
        <v>INAKTIV</v>
      </c>
    </row>
    <row r="290" spans="1:18" x14ac:dyDescent="0.35">
      <c r="A290" s="1" t="str">
        <f>[1]Data!A281</f>
        <v>4002233</v>
      </c>
      <c r="B290" s="1" t="str">
        <f>[1]Data!B281</f>
        <v>3300</v>
      </c>
      <c r="C290" s="1" t="str">
        <f>[1]Data!C281</f>
        <v>3001</v>
      </c>
      <c r="D290" s="1" t="str">
        <f>[1]Data!D281</f>
        <v>L</v>
      </c>
      <c r="E290" s="1" t="str">
        <f>[1]Data!E281</f>
        <v/>
      </c>
      <c r="F290" s="1" t="str">
        <f>[1]Data!F281</f>
        <v>2026</v>
      </c>
      <c r="G290" s="1" t="str">
        <f>[1]Data!G281</f>
        <v>3</v>
      </c>
      <c r="H290" s="15">
        <f>[1]Data!H281</f>
        <v>184</v>
      </c>
      <c r="I290" s="15">
        <f>[1]Data!I281</f>
        <v>0</v>
      </c>
      <c r="J290" s="1" t="str">
        <f>[1]Data!J281</f>
        <v>X</v>
      </c>
      <c r="K290" s="1" t="str">
        <f>[1]Data!K281</f>
        <v>X</v>
      </c>
      <c r="L290" s="1" t="str">
        <f>[1]Data!L281</f>
        <v>05:05:01</v>
      </c>
      <c r="M290" s="1">
        <f>[1]Data!M281</f>
        <v>45803</v>
      </c>
      <c r="N290" s="1">
        <f>[1]Data!N281</f>
        <v>44430</v>
      </c>
      <c r="O290" s="1" t="str">
        <f>[1]Data!O281</f>
        <v>X</v>
      </c>
      <c r="P290" s="1" t="str">
        <f>[1]Data!P281</f>
        <v>2025</v>
      </c>
      <c r="Q290" s="15">
        <f>[1]Data!Q281</f>
        <v>184</v>
      </c>
      <c r="R290" s="1" t="str">
        <f>[1]Data!R281</f>
        <v/>
      </c>
    </row>
    <row r="291" spans="1:18" x14ac:dyDescent="0.35">
      <c r="A291" s="1" t="str">
        <f>[1]Data!A282</f>
        <v>4002277</v>
      </c>
      <c r="B291" s="1" t="str">
        <f>[1]Data!B282</f>
        <v>3300</v>
      </c>
      <c r="C291" s="1" t="str">
        <f>[1]Data!C282</f>
        <v>3001</v>
      </c>
      <c r="D291" s="1" t="str">
        <f>[1]Data!D282</f>
        <v>L</v>
      </c>
      <c r="E291" s="1" t="str">
        <f>[1]Data!E282</f>
        <v/>
      </c>
      <c r="F291" s="1" t="str">
        <f>[1]Data!F282</f>
        <v>2026</v>
      </c>
      <c r="G291" s="1" t="str">
        <f>[1]Data!G282</f>
        <v>2</v>
      </c>
      <c r="H291" s="15">
        <f>[1]Data!H282</f>
        <v>90</v>
      </c>
      <c r="I291" s="15">
        <f>[1]Data!I282</f>
        <v>0</v>
      </c>
      <c r="J291" s="1" t="str">
        <f>[1]Data!J282</f>
        <v>X</v>
      </c>
      <c r="K291" s="1" t="str">
        <f>[1]Data!K282</f>
        <v>X</v>
      </c>
      <c r="L291" s="1" t="str">
        <f>[1]Data!L282</f>
        <v>06:07:01</v>
      </c>
      <c r="M291" s="1">
        <f>[1]Data!M282</f>
        <v>45819</v>
      </c>
      <c r="N291" s="1">
        <f>[1]Data!N282</f>
        <v>44430</v>
      </c>
      <c r="O291" s="1" t="str">
        <f>[1]Data!O282</f>
        <v>X</v>
      </c>
      <c r="P291" s="1" t="str">
        <f>[1]Data!P282</f>
        <v>2025</v>
      </c>
      <c r="Q291" s="15">
        <f>[1]Data!Q282</f>
        <v>90</v>
      </c>
      <c r="R291" s="1" t="str">
        <f>[1]Data!R282</f>
        <v/>
      </c>
    </row>
    <row r="292" spans="1:18" x14ac:dyDescent="0.35">
      <c r="A292" s="1" t="str">
        <f>[1]Data!A283</f>
        <v>4002292</v>
      </c>
      <c r="B292" s="1" t="str">
        <f>[1]Data!B283</f>
        <v>3300</v>
      </c>
      <c r="C292" s="1" t="str">
        <f>[1]Data!C283</f>
        <v>3001</v>
      </c>
      <c r="D292" s="1" t="str">
        <f>[1]Data!D283</f>
        <v>L</v>
      </c>
      <c r="E292" s="1" t="str">
        <f>[1]Data!E283</f>
        <v/>
      </c>
      <c r="F292" s="1" t="str">
        <f>[1]Data!F283</f>
        <v>2026</v>
      </c>
      <c r="G292" s="1" t="str">
        <f>[1]Data!G283</f>
        <v>2</v>
      </c>
      <c r="H292" s="15">
        <f>[1]Data!H283</f>
        <v>895</v>
      </c>
      <c r="I292" s="15">
        <f>[1]Data!I283</f>
        <v>0</v>
      </c>
      <c r="J292" s="1" t="str">
        <f>[1]Data!J283</f>
        <v>X</v>
      </c>
      <c r="K292" s="1" t="str">
        <f>[1]Data!K283</f>
        <v>X</v>
      </c>
      <c r="L292" s="1" t="str">
        <f>[1]Data!L283</f>
        <v>11:09:02</v>
      </c>
      <c r="M292" s="1">
        <f>[1]Data!M283</f>
        <v>45994</v>
      </c>
      <c r="N292" s="1">
        <f>[1]Data!N283</f>
        <v>44430</v>
      </c>
      <c r="O292" s="1" t="str">
        <f>[1]Data!O283</f>
        <v>X</v>
      </c>
      <c r="P292" s="1" t="str">
        <f>[1]Data!P283</f>
        <v>2025</v>
      </c>
      <c r="Q292" s="15">
        <f>[1]Data!Q283</f>
        <v>895</v>
      </c>
      <c r="R292" s="1" t="str">
        <f>[1]Data!R283</f>
        <v/>
      </c>
    </row>
    <row r="293" spans="1:18" x14ac:dyDescent="0.35">
      <c r="A293" s="1" t="str">
        <f>[1]Data!A284</f>
        <v>4002298</v>
      </c>
      <c r="B293" s="1" t="str">
        <f>[1]Data!B284</f>
        <v>3300</v>
      </c>
      <c r="C293" s="1" t="str">
        <f>[1]Data!C284</f>
        <v>3001</v>
      </c>
      <c r="D293" s="1" t="str">
        <f>[1]Data!D284</f>
        <v>L</v>
      </c>
      <c r="E293" s="1" t="str">
        <f>[1]Data!E284</f>
        <v/>
      </c>
      <c r="F293" s="1" t="str">
        <f>[1]Data!F284</f>
        <v>2026</v>
      </c>
      <c r="G293" s="1" t="str">
        <f>[1]Data!G284</f>
        <v>2</v>
      </c>
      <c r="H293" s="15">
        <f>[1]Data!H284</f>
        <v>230</v>
      </c>
      <c r="I293" s="15">
        <f>[1]Data!I284</f>
        <v>0</v>
      </c>
      <c r="J293" s="1" t="str">
        <f>[1]Data!J284</f>
        <v>X</v>
      </c>
      <c r="K293" s="1" t="str">
        <f>[1]Data!K284</f>
        <v>X</v>
      </c>
      <c r="L293" s="1" t="str">
        <f>[1]Data!L284</f>
        <v>04:11:03*</v>
      </c>
      <c r="M293" s="1">
        <f>[1]Data!M284</f>
        <v>45800</v>
      </c>
      <c r="N293" s="1">
        <f>[1]Data!N284</f>
        <v>44430</v>
      </c>
      <c r="O293" s="1" t="str">
        <f>[1]Data!O284</f>
        <v>X</v>
      </c>
      <c r="P293" s="1" t="str">
        <f>[1]Data!P284</f>
        <v>2025</v>
      </c>
      <c r="Q293" s="15">
        <f>[1]Data!Q284</f>
        <v>230</v>
      </c>
      <c r="R293" s="1" t="str">
        <f>[1]Data!R284</f>
        <v/>
      </c>
    </row>
    <row r="294" spans="1:18" x14ac:dyDescent="0.35">
      <c r="A294" s="1" t="str">
        <f>[1]Data!A285</f>
        <v>4002302</v>
      </c>
      <c r="B294" s="1" t="str">
        <f>[1]Data!B285</f>
        <v>3300</v>
      </c>
      <c r="C294" s="1" t="str">
        <f>[1]Data!C285</f>
        <v>3001</v>
      </c>
      <c r="D294" s="1" t="str">
        <f>[1]Data!D285</f>
        <v>L</v>
      </c>
      <c r="E294" s="1" t="str">
        <f>[1]Data!E285</f>
        <v>X</v>
      </c>
      <c r="F294" s="1" t="str">
        <f>[1]Data!F285</f>
        <v>2021</v>
      </c>
      <c r="G294" s="1" t="str">
        <f>[1]Data!G285</f>
        <v>8</v>
      </c>
      <c r="H294" s="15">
        <f>[1]Data!H285</f>
        <v>0</v>
      </c>
      <c r="I294" s="15">
        <f>[1]Data!I285</f>
        <v>0</v>
      </c>
      <c r="J294" s="1" t="str">
        <f>[1]Data!J285</f>
        <v/>
      </c>
      <c r="K294" s="1" t="str">
        <f>[1]Data!K285</f>
        <v/>
      </c>
      <c r="L294" s="1" t="str">
        <f>[1]Data!L285</f>
        <v>SLETTET</v>
      </c>
      <c r="M294" s="1" t="str">
        <f>[1]Data!M285</f>
        <v/>
      </c>
      <c r="N294" s="1">
        <f>[1]Data!N285</f>
        <v>44430</v>
      </c>
      <c r="O294" s="1" t="str">
        <f>[1]Data!O285</f>
        <v>X</v>
      </c>
      <c r="P294" s="1" t="str">
        <f>[1]Data!P285</f>
        <v>2023</v>
      </c>
      <c r="Q294" s="15">
        <f>[1]Data!Q285</f>
        <v>0</v>
      </c>
      <c r="R294" s="1" t="str">
        <f>[1]Data!R285</f>
        <v>INAKTIV</v>
      </c>
    </row>
    <row r="295" spans="1:18" x14ac:dyDescent="0.35">
      <c r="A295" s="1" t="str">
        <f>[1]Data!A286</f>
        <v>4002332</v>
      </c>
      <c r="B295" s="1" t="str">
        <f>[1]Data!B286</f>
        <v>3300</v>
      </c>
      <c r="C295" s="1" t="str">
        <f>[1]Data!C286</f>
        <v>3001</v>
      </c>
      <c r="D295" s="1" t="str">
        <f>[1]Data!D286</f>
        <v>L</v>
      </c>
      <c r="E295" s="1" t="str">
        <f>[1]Data!E286</f>
        <v>X</v>
      </c>
      <c r="F295" s="1" t="str">
        <f>[1]Data!F286</f>
        <v>2024</v>
      </c>
      <c r="G295" s="1" t="str">
        <f>[1]Data!G286</f>
        <v>5</v>
      </c>
      <c r="H295" s="15">
        <f>[1]Data!H286</f>
        <v>0</v>
      </c>
      <c r="I295" s="15">
        <f>[1]Data!I286</f>
        <v>0</v>
      </c>
      <c r="J295" s="1" t="str">
        <f>[1]Data!J286</f>
        <v/>
      </c>
      <c r="K295" s="1" t="str">
        <f>[1]Data!K286</f>
        <v/>
      </c>
      <c r="L295" s="1" t="str">
        <f>[1]Data!L286</f>
        <v>SLETTET</v>
      </c>
      <c r="M295" s="1">
        <f>[1]Data!M286</f>
        <v>45167</v>
      </c>
      <c r="N295" s="1">
        <f>[1]Data!N286</f>
        <v>44430</v>
      </c>
      <c r="O295" s="1" t="str">
        <f>[1]Data!O286</f>
        <v>X</v>
      </c>
      <c r="P295" s="1" t="str">
        <f>[1]Data!P286</f>
        <v>2025</v>
      </c>
      <c r="Q295" s="15">
        <f>[1]Data!Q286</f>
        <v>0</v>
      </c>
      <c r="R295" s="1" t="str">
        <f>[1]Data!R286</f>
        <v>INAKTIV</v>
      </c>
    </row>
    <row r="296" spans="1:18" x14ac:dyDescent="0.35">
      <c r="A296" s="1" t="str">
        <f>[1]Data!A287</f>
        <v>4002333</v>
      </c>
      <c r="B296" s="1" t="str">
        <f>[1]Data!B287</f>
        <v>3300</v>
      </c>
      <c r="C296" s="1" t="str">
        <f>[1]Data!C287</f>
        <v>3001</v>
      </c>
      <c r="D296" s="1" t="str">
        <f>[1]Data!D287</f>
        <v>DL</v>
      </c>
      <c r="E296" s="1" t="str">
        <f>[1]Data!E287</f>
        <v/>
      </c>
      <c r="F296" s="1" t="str">
        <f>[1]Data!F287</f>
        <v>2026</v>
      </c>
      <c r="G296" s="1" t="str">
        <f>[1]Data!G287</f>
        <v>3</v>
      </c>
      <c r="H296" s="15">
        <f>[1]Data!H287</f>
        <v>7400</v>
      </c>
      <c r="I296" s="15">
        <f>[1]Data!I287</f>
        <v>0</v>
      </c>
      <c r="J296" s="1" t="str">
        <f>[1]Data!J287</f>
        <v>X</v>
      </c>
      <c r="K296" s="1" t="str">
        <f>[1]Data!K287</f>
        <v/>
      </c>
      <c r="L296" s="1" t="str">
        <f>[1]Data!L287</f>
        <v>14:12:02</v>
      </c>
      <c r="M296" s="1">
        <f>[1]Data!M287</f>
        <v>46030</v>
      </c>
      <c r="N296" s="1">
        <f>[1]Data!N287</f>
        <v>45393</v>
      </c>
      <c r="O296" s="1" t="str">
        <f>[1]Data!O287</f>
        <v>X</v>
      </c>
      <c r="P296" s="1" t="str">
        <f>[1]Data!P287</f>
        <v>2026</v>
      </c>
      <c r="Q296" s="15">
        <f>[1]Data!Q287</f>
        <v>7400</v>
      </c>
      <c r="R296" s="1" t="str">
        <f>[1]Data!R287</f>
        <v/>
      </c>
    </row>
    <row r="297" spans="1:18" x14ac:dyDescent="0.35">
      <c r="A297" s="1" t="str">
        <f>[1]Data!A288</f>
        <v>4002335</v>
      </c>
      <c r="B297" s="1" t="str">
        <f>[1]Data!B288</f>
        <v>3300</v>
      </c>
      <c r="C297" s="1" t="str">
        <f>[1]Data!C288</f>
        <v>3001</v>
      </c>
      <c r="D297" s="1" t="str">
        <f>[1]Data!D288</f>
        <v>L</v>
      </c>
      <c r="E297" s="1" t="str">
        <f>[1]Data!E288</f>
        <v/>
      </c>
      <c r="F297" s="1" t="str">
        <f>[1]Data!F288</f>
        <v>2026</v>
      </c>
      <c r="G297" s="1" t="str">
        <f>[1]Data!G288</f>
        <v>3</v>
      </c>
      <c r="H297" s="15">
        <f>[1]Data!H288</f>
        <v>160</v>
      </c>
      <c r="I297" s="15">
        <f>[1]Data!I288</f>
        <v>0</v>
      </c>
      <c r="J297" s="1" t="str">
        <f>[1]Data!J288</f>
        <v>X</v>
      </c>
      <c r="K297" s="1" t="str">
        <f>[1]Data!K288</f>
        <v>X</v>
      </c>
      <c r="L297" s="1" t="str">
        <f>[1]Data!L288</f>
        <v>11:05:01</v>
      </c>
      <c r="M297" s="1">
        <f>[1]Data!M288</f>
        <v>45994</v>
      </c>
      <c r="N297" s="1">
        <f>[1]Data!N288</f>
        <v>44430</v>
      </c>
      <c r="O297" s="1" t="str">
        <f>[1]Data!O288</f>
        <v>X</v>
      </c>
      <c r="P297" s="1" t="str">
        <f>[1]Data!P288</f>
        <v>2025</v>
      </c>
      <c r="Q297" s="15">
        <f>[1]Data!Q288</f>
        <v>160</v>
      </c>
      <c r="R297" s="1" t="str">
        <f>[1]Data!R288</f>
        <v/>
      </c>
    </row>
    <row r="298" spans="1:18" x14ac:dyDescent="0.35">
      <c r="A298" s="1" t="str">
        <f>[1]Data!A289</f>
        <v>4002344</v>
      </c>
      <c r="B298" s="1" t="str">
        <f>[1]Data!B289</f>
        <v>3300</v>
      </c>
      <c r="C298" s="1" t="str">
        <f>[1]Data!C289</f>
        <v>3001</v>
      </c>
      <c r="D298" s="1" t="str">
        <f>[1]Data!D289</f>
        <v>L</v>
      </c>
      <c r="E298" s="1" t="str">
        <f>[1]Data!E289</f>
        <v/>
      </c>
      <c r="F298" s="1" t="str">
        <f>[1]Data!F289</f>
        <v>2026</v>
      </c>
      <c r="G298" s="1" t="str">
        <f>[1]Data!G289</f>
        <v>2</v>
      </c>
      <c r="H298" s="15">
        <f>[1]Data!H289</f>
        <v>20</v>
      </c>
      <c r="I298" s="15">
        <f>[1]Data!I289</f>
        <v>0</v>
      </c>
      <c r="J298" s="1" t="str">
        <f>[1]Data!J289</f>
        <v>X</v>
      </c>
      <c r="K298" s="1" t="str">
        <f>[1]Data!K289</f>
        <v>X</v>
      </c>
      <c r="L298" s="1" t="str">
        <f>[1]Data!L289</f>
        <v>02:01:03</v>
      </c>
      <c r="M298" s="1">
        <f>[1]Data!M289</f>
        <v>45796</v>
      </c>
      <c r="N298" s="1">
        <f>[1]Data!N289</f>
        <v>44430</v>
      </c>
      <c r="O298" s="1" t="str">
        <f>[1]Data!O289</f>
        <v>X</v>
      </c>
      <c r="P298" s="1" t="str">
        <f>[1]Data!P289</f>
        <v>2025</v>
      </c>
      <c r="Q298" s="15">
        <f>[1]Data!Q289</f>
        <v>20</v>
      </c>
      <c r="R298" s="1" t="str">
        <f>[1]Data!R289</f>
        <v/>
      </c>
    </row>
    <row r="299" spans="1:18" x14ac:dyDescent="0.35">
      <c r="A299" s="1" t="str">
        <f>[1]Data!A290</f>
        <v>4002345</v>
      </c>
      <c r="B299" s="1" t="str">
        <f>[1]Data!B290</f>
        <v>3300</v>
      </c>
      <c r="C299" s="1" t="str">
        <f>[1]Data!C290</f>
        <v>3001</v>
      </c>
      <c r="D299" s="1" t="str">
        <f>[1]Data!D290</f>
        <v>L</v>
      </c>
      <c r="E299" s="1" t="str">
        <f>[1]Data!E290</f>
        <v/>
      </c>
      <c r="F299" s="1" t="str">
        <f>[1]Data!F290</f>
        <v>2026</v>
      </c>
      <c r="G299" s="1" t="str">
        <f>[1]Data!G290</f>
        <v>3</v>
      </c>
      <c r="H299" s="15">
        <f>[1]Data!H290</f>
        <v>93</v>
      </c>
      <c r="I299" s="15">
        <f>[1]Data!I290</f>
        <v>0</v>
      </c>
      <c r="J299" s="1" t="str">
        <f>[1]Data!J290</f>
        <v>X</v>
      </c>
      <c r="K299" s="1" t="str">
        <f>[1]Data!K290</f>
        <v>X</v>
      </c>
      <c r="L299" s="1" t="str">
        <f>[1]Data!L290</f>
        <v>11:02:02</v>
      </c>
      <c r="M299" s="1">
        <f>[1]Data!M290</f>
        <v>45987</v>
      </c>
      <c r="N299" s="1">
        <f>[1]Data!N290</f>
        <v>44430</v>
      </c>
      <c r="O299" s="1" t="str">
        <f>[1]Data!O290</f>
        <v>X</v>
      </c>
      <c r="P299" s="1" t="str">
        <f>[1]Data!P290</f>
        <v>2025</v>
      </c>
      <c r="Q299" s="15">
        <f>[1]Data!Q290</f>
        <v>93</v>
      </c>
      <c r="R299" s="1" t="str">
        <f>[1]Data!R290</f>
        <v/>
      </c>
    </row>
    <row r="300" spans="1:18" x14ac:dyDescent="0.35">
      <c r="A300" s="1" t="str">
        <f>[1]Data!A291</f>
        <v>4002349</v>
      </c>
      <c r="B300" s="1" t="str">
        <f>[1]Data!B291</f>
        <v>3300</v>
      </c>
      <c r="C300" s="1" t="str">
        <f>[1]Data!C291</f>
        <v>3001</v>
      </c>
      <c r="D300" s="1" t="str">
        <f>[1]Data!D291</f>
        <v>L</v>
      </c>
      <c r="E300" s="1" t="str">
        <f>[1]Data!E291</f>
        <v/>
      </c>
      <c r="F300" s="1" t="str">
        <f>[1]Data!F291</f>
        <v>2024</v>
      </c>
      <c r="G300" s="1" t="str">
        <f>[1]Data!G291</f>
        <v>6</v>
      </c>
      <c r="H300" s="15">
        <f>[1]Data!H291</f>
        <v>0</v>
      </c>
      <c r="I300" s="15">
        <f>[1]Data!I291</f>
        <v>0</v>
      </c>
      <c r="J300" s="1" t="str">
        <f>[1]Data!J291</f>
        <v/>
      </c>
      <c r="K300" s="1" t="str">
        <f>[1]Data!K291</f>
        <v/>
      </c>
      <c r="L300" s="1" t="str">
        <f>[1]Data!L291</f>
        <v/>
      </c>
      <c r="M300" s="1" t="str">
        <f>[1]Data!M291</f>
        <v/>
      </c>
      <c r="N300" s="1">
        <f>[1]Data!N291</f>
        <v>45450</v>
      </c>
      <c r="O300" s="1" t="str">
        <f>[1]Data!O291</f>
        <v>X</v>
      </c>
      <c r="P300" s="1" t="str">
        <f>[1]Data!P291</f>
        <v>2024</v>
      </c>
      <c r="Q300" s="15">
        <f>[1]Data!Q291</f>
        <v>0</v>
      </c>
      <c r="R300" s="1" t="str">
        <f>[1]Data!R291</f>
        <v>INAKTIV</v>
      </c>
    </row>
    <row r="301" spans="1:18" x14ac:dyDescent="0.35">
      <c r="A301" s="1" t="str">
        <f>[1]Data!A292</f>
        <v>4002416</v>
      </c>
      <c r="B301" s="1" t="str">
        <f>[1]Data!B292</f>
        <v>3300</v>
      </c>
      <c r="C301" s="1" t="str">
        <f>[1]Data!C292</f>
        <v>3001</v>
      </c>
      <c r="D301" s="1" t="str">
        <f>[1]Data!D292</f>
        <v>LD</v>
      </c>
      <c r="E301" s="1" t="str">
        <f>[1]Data!E292</f>
        <v/>
      </c>
      <c r="F301" s="1" t="str">
        <f>[1]Data!F292</f>
        <v>2023</v>
      </c>
      <c r="G301" s="1" t="str">
        <f>[1]Data!G292</f>
        <v>11</v>
      </c>
      <c r="H301" s="15">
        <f>[1]Data!H292</f>
        <v>0</v>
      </c>
      <c r="I301" s="15">
        <f>[1]Data!I292</f>
        <v>0</v>
      </c>
      <c r="J301" s="1" t="str">
        <f>[1]Data!J292</f>
        <v>X</v>
      </c>
      <c r="K301" s="1" t="str">
        <f>[1]Data!K292</f>
        <v/>
      </c>
      <c r="L301" s="1" t="str">
        <f>[1]Data!L292</f>
        <v>SLETTET</v>
      </c>
      <c r="M301" s="1">
        <f>[1]Data!M292</f>
        <v>44568</v>
      </c>
      <c r="N301" s="1">
        <f>[1]Data!N292</f>
        <v>44430</v>
      </c>
      <c r="O301" s="1" t="str">
        <f>[1]Data!O292</f>
        <v>X</v>
      </c>
      <c r="P301" s="1" t="str">
        <f>[1]Data!P292</f>
        <v>2022</v>
      </c>
      <c r="Q301" s="15">
        <f>[1]Data!Q292</f>
        <v>0</v>
      </c>
      <c r="R301" s="1" t="str">
        <f>[1]Data!R292</f>
        <v>INAKTIV</v>
      </c>
    </row>
    <row r="302" spans="1:18" x14ac:dyDescent="0.35">
      <c r="A302" s="1" t="str">
        <f>[1]Data!A293</f>
        <v>4002446</v>
      </c>
      <c r="B302" s="1" t="str">
        <f>[1]Data!B293</f>
        <v>3300</v>
      </c>
      <c r="C302" s="1" t="str">
        <f>[1]Data!C293</f>
        <v>3001</v>
      </c>
      <c r="D302" s="1" t="str">
        <f>[1]Data!D293</f>
        <v>L</v>
      </c>
      <c r="E302" s="1" t="str">
        <f>[1]Data!E293</f>
        <v/>
      </c>
      <c r="F302" s="1" t="str">
        <f>[1]Data!F293</f>
        <v>2026</v>
      </c>
      <c r="G302" s="1" t="str">
        <f>[1]Data!G293</f>
        <v>3</v>
      </c>
      <c r="H302" s="15">
        <f>[1]Data!H293</f>
        <v>7760</v>
      </c>
      <c r="I302" s="15">
        <f>[1]Data!I293</f>
        <v>0</v>
      </c>
      <c r="J302" s="1" t="str">
        <f>[1]Data!J293</f>
        <v>X</v>
      </c>
      <c r="K302" s="1" t="str">
        <f>[1]Data!K293</f>
        <v>X</v>
      </c>
      <c r="L302" s="1" t="str">
        <f>[1]Data!L293</f>
        <v>14:15:04</v>
      </c>
      <c r="M302" s="1">
        <f>[1]Data!M293</f>
        <v>46001</v>
      </c>
      <c r="N302" s="1">
        <f>[1]Data!N293</f>
        <v>44430</v>
      </c>
      <c r="O302" s="1" t="str">
        <f>[1]Data!O293</f>
        <v>X</v>
      </c>
      <c r="P302" s="1" t="str">
        <f>[1]Data!P293</f>
        <v>2025</v>
      </c>
      <c r="Q302" s="15">
        <f>[1]Data!Q293</f>
        <v>7760</v>
      </c>
      <c r="R302" s="1" t="str">
        <f>[1]Data!R293</f>
        <v/>
      </c>
    </row>
    <row r="303" spans="1:18" x14ac:dyDescent="0.35">
      <c r="A303" s="1" t="str">
        <f>[1]Data!A294</f>
        <v>4002462</v>
      </c>
      <c r="B303" s="1" t="str">
        <f>[1]Data!B294</f>
        <v>3300</v>
      </c>
      <c r="C303" s="1" t="str">
        <f>[1]Data!C294</f>
        <v>3001</v>
      </c>
      <c r="D303" s="1" t="str">
        <f>[1]Data!D294</f>
        <v>L</v>
      </c>
      <c r="E303" s="1" t="str">
        <f>[1]Data!E294</f>
        <v/>
      </c>
      <c r="F303" s="1" t="str">
        <f>[1]Data!F294</f>
        <v>2026</v>
      </c>
      <c r="G303" s="1" t="str">
        <f>[1]Data!G294</f>
        <v>3</v>
      </c>
      <c r="H303" s="15">
        <f>[1]Data!H294</f>
        <v>2950</v>
      </c>
      <c r="I303" s="15">
        <f>[1]Data!I294</f>
        <v>0</v>
      </c>
      <c r="J303" s="1" t="str">
        <f>[1]Data!J294</f>
        <v>X</v>
      </c>
      <c r="K303" s="1" t="str">
        <f>[1]Data!K294</f>
        <v>X</v>
      </c>
      <c r="L303" s="1" t="str">
        <f>[1]Data!L294</f>
        <v>05:08:01</v>
      </c>
      <c r="M303" s="1">
        <f>[1]Data!M294</f>
        <v>45803</v>
      </c>
      <c r="N303" s="1">
        <f>[1]Data!N294</f>
        <v>44430</v>
      </c>
      <c r="O303" s="1" t="str">
        <f>[1]Data!O294</f>
        <v>X</v>
      </c>
      <c r="P303" s="1" t="str">
        <f>[1]Data!P294</f>
        <v>2025</v>
      </c>
      <c r="Q303" s="15">
        <f>[1]Data!Q294</f>
        <v>2950</v>
      </c>
      <c r="R303" s="1" t="str">
        <f>[1]Data!R294</f>
        <v/>
      </c>
    </row>
    <row r="304" spans="1:18" x14ac:dyDescent="0.35">
      <c r="A304" s="1" t="str">
        <f>[1]Data!A295</f>
        <v>4002465</v>
      </c>
      <c r="B304" s="1" t="str">
        <f>[1]Data!B295</f>
        <v>3300</v>
      </c>
      <c r="C304" s="1" t="str">
        <f>[1]Data!C295</f>
        <v>3001</v>
      </c>
      <c r="D304" s="1" t="str">
        <f>[1]Data!D295</f>
        <v>L</v>
      </c>
      <c r="E304" s="1" t="str">
        <f>[1]Data!E295</f>
        <v/>
      </c>
      <c r="F304" s="1" t="str">
        <f>[1]Data!F295</f>
        <v>2026</v>
      </c>
      <c r="G304" s="1" t="str">
        <f>[1]Data!G295</f>
        <v>2</v>
      </c>
      <c r="H304" s="15">
        <f>[1]Data!H295</f>
        <v>1000</v>
      </c>
      <c r="I304" s="15">
        <f>[1]Data!I295</f>
        <v>0</v>
      </c>
      <c r="J304" s="1" t="str">
        <f>[1]Data!J295</f>
        <v>X</v>
      </c>
      <c r="K304" s="1" t="str">
        <f>[1]Data!K295</f>
        <v>X</v>
      </c>
      <c r="L304" s="1" t="str">
        <f>[1]Data!L295</f>
        <v>13:01:02</v>
      </c>
      <c r="M304" s="1">
        <f>[1]Data!M295</f>
        <v>45994</v>
      </c>
      <c r="N304" s="1">
        <f>[1]Data!N295</f>
        <v>44430</v>
      </c>
      <c r="O304" s="1" t="str">
        <f>[1]Data!O295</f>
        <v>X</v>
      </c>
      <c r="P304" s="1" t="str">
        <f>[1]Data!P295</f>
        <v>2025</v>
      </c>
      <c r="Q304" s="15">
        <f>[1]Data!Q295</f>
        <v>1000</v>
      </c>
      <c r="R304" s="1" t="str">
        <f>[1]Data!R295</f>
        <v/>
      </c>
    </row>
    <row r="305" spans="1:18" x14ac:dyDescent="0.35">
      <c r="A305" s="1" t="str">
        <f>[1]Data!A296</f>
        <v>4002466</v>
      </c>
      <c r="B305" s="1" t="str">
        <f>[1]Data!B296</f>
        <v>3300</v>
      </c>
      <c r="C305" s="1" t="str">
        <f>[1]Data!C296</f>
        <v>3001</v>
      </c>
      <c r="D305" s="1" t="str">
        <f>[1]Data!D296</f>
        <v>L</v>
      </c>
      <c r="E305" s="1" t="str">
        <f>[1]Data!E296</f>
        <v/>
      </c>
      <c r="F305" s="1" t="str">
        <f>[1]Data!F296</f>
        <v>2026</v>
      </c>
      <c r="G305" s="1" t="str">
        <f>[1]Data!G296</f>
        <v>3</v>
      </c>
      <c r="H305" s="15">
        <f>[1]Data!H296</f>
        <v>650</v>
      </c>
      <c r="I305" s="15">
        <f>[1]Data!I296</f>
        <v>0</v>
      </c>
      <c r="J305" s="1" t="str">
        <f>[1]Data!J296</f>
        <v>X</v>
      </c>
      <c r="K305" s="1" t="str">
        <f>[1]Data!K296</f>
        <v>X</v>
      </c>
      <c r="L305" s="1" t="str">
        <f>[1]Data!L296</f>
        <v>13:01:03</v>
      </c>
      <c r="M305" s="1">
        <f>[1]Data!M296</f>
        <v>45994</v>
      </c>
      <c r="N305" s="1">
        <f>[1]Data!N296</f>
        <v>44430</v>
      </c>
      <c r="O305" s="1" t="str">
        <f>[1]Data!O296</f>
        <v>X</v>
      </c>
      <c r="P305" s="1" t="str">
        <f>[1]Data!P296</f>
        <v>2025</v>
      </c>
      <c r="Q305" s="15">
        <f>[1]Data!Q296</f>
        <v>650</v>
      </c>
      <c r="R305" s="1" t="str">
        <f>[1]Data!R296</f>
        <v/>
      </c>
    </row>
    <row r="306" spans="1:18" x14ac:dyDescent="0.35">
      <c r="A306" s="1" t="str">
        <f>[1]Data!A297</f>
        <v>4002467</v>
      </c>
      <c r="B306" s="1" t="str">
        <f>[1]Data!B297</f>
        <v>3300</v>
      </c>
      <c r="C306" s="1" t="str">
        <f>[1]Data!C297</f>
        <v>3001</v>
      </c>
      <c r="D306" s="1" t="str">
        <f>[1]Data!D297</f>
        <v>L</v>
      </c>
      <c r="E306" s="1" t="str">
        <f>[1]Data!E297</f>
        <v/>
      </c>
      <c r="F306" s="1" t="str">
        <f>[1]Data!F297</f>
        <v>2026</v>
      </c>
      <c r="G306" s="1" t="str">
        <f>[1]Data!G297</f>
        <v>3</v>
      </c>
      <c r="H306" s="15">
        <f>[1]Data!H297</f>
        <v>550</v>
      </c>
      <c r="I306" s="15">
        <f>[1]Data!I297</f>
        <v>0</v>
      </c>
      <c r="J306" s="1" t="str">
        <f>[1]Data!J297</f>
        <v>X</v>
      </c>
      <c r="K306" s="1" t="str">
        <f>[1]Data!K297</f>
        <v>X</v>
      </c>
      <c r="L306" s="1" t="str">
        <f>[1]Data!L297</f>
        <v>13:02:01</v>
      </c>
      <c r="M306" s="1">
        <f>[1]Data!M297</f>
        <v>45994</v>
      </c>
      <c r="N306" s="1">
        <f>[1]Data!N297</f>
        <v>44430</v>
      </c>
      <c r="O306" s="1" t="str">
        <f>[1]Data!O297</f>
        <v>X</v>
      </c>
      <c r="P306" s="1" t="str">
        <f>[1]Data!P297</f>
        <v>2025</v>
      </c>
      <c r="Q306" s="15">
        <f>[1]Data!Q297</f>
        <v>550</v>
      </c>
      <c r="R306" s="1" t="str">
        <f>[1]Data!R297</f>
        <v/>
      </c>
    </row>
    <row r="307" spans="1:18" x14ac:dyDescent="0.35">
      <c r="A307" s="1" t="str">
        <f>[1]Data!A298</f>
        <v>4002468</v>
      </c>
      <c r="B307" s="1" t="str">
        <f>[1]Data!B298</f>
        <v>3300</v>
      </c>
      <c r="C307" s="1" t="str">
        <f>[1]Data!C298</f>
        <v>3001</v>
      </c>
      <c r="D307" s="1" t="str">
        <f>[1]Data!D298</f>
        <v>L</v>
      </c>
      <c r="E307" s="1" t="str">
        <f>[1]Data!E298</f>
        <v/>
      </c>
      <c r="F307" s="1" t="str">
        <f>[1]Data!F298</f>
        <v>2026</v>
      </c>
      <c r="G307" s="1" t="str">
        <f>[1]Data!G298</f>
        <v>2</v>
      </c>
      <c r="H307" s="15">
        <f>[1]Data!H298</f>
        <v>500</v>
      </c>
      <c r="I307" s="15">
        <f>[1]Data!I298</f>
        <v>0</v>
      </c>
      <c r="J307" s="1" t="str">
        <f>[1]Data!J298</f>
        <v>X</v>
      </c>
      <c r="K307" s="1" t="str">
        <f>[1]Data!K298</f>
        <v>X</v>
      </c>
      <c r="L307" s="1" t="str">
        <f>[1]Data!L298</f>
        <v>13:02:02</v>
      </c>
      <c r="M307" s="1">
        <f>[1]Data!M298</f>
        <v>45994</v>
      </c>
      <c r="N307" s="1">
        <f>[1]Data!N298</f>
        <v>44430</v>
      </c>
      <c r="O307" s="1" t="str">
        <f>[1]Data!O298</f>
        <v>X</v>
      </c>
      <c r="P307" s="1" t="str">
        <f>[1]Data!P298</f>
        <v>2025</v>
      </c>
      <c r="Q307" s="15">
        <f>[1]Data!Q298</f>
        <v>500</v>
      </c>
      <c r="R307" s="1" t="str">
        <f>[1]Data!R298</f>
        <v/>
      </c>
    </row>
    <row r="308" spans="1:18" x14ac:dyDescent="0.35">
      <c r="A308" s="1" t="str">
        <f>[1]Data!A299</f>
        <v>4002472</v>
      </c>
      <c r="B308" s="1" t="str">
        <f>[1]Data!B299</f>
        <v>3300</v>
      </c>
      <c r="C308" s="1" t="str">
        <f>[1]Data!C299</f>
        <v>3001</v>
      </c>
      <c r="D308" s="1" t="str">
        <f>[1]Data!D299</f>
        <v>L</v>
      </c>
      <c r="E308" s="1" t="str">
        <f>[1]Data!E299</f>
        <v/>
      </c>
      <c r="F308" s="1" t="str">
        <f>[1]Data!F299</f>
        <v>2026</v>
      </c>
      <c r="G308" s="1" t="str">
        <f>[1]Data!G299</f>
        <v>3</v>
      </c>
      <c r="H308" s="15">
        <f>[1]Data!H299</f>
        <v>2954</v>
      </c>
      <c r="I308" s="15">
        <f>[1]Data!I299</f>
        <v>0</v>
      </c>
      <c r="J308" s="1" t="str">
        <f>[1]Data!J299</f>
        <v>X</v>
      </c>
      <c r="K308" s="1" t="str">
        <f>[1]Data!K299</f>
        <v>X</v>
      </c>
      <c r="L308" s="1" t="str">
        <f>[1]Data!L299</f>
        <v>15:06:00*</v>
      </c>
      <c r="M308" s="1">
        <f>[1]Data!M299</f>
        <v>46001</v>
      </c>
      <c r="N308" s="1">
        <f>[1]Data!N299</f>
        <v>44430</v>
      </c>
      <c r="O308" s="1" t="str">
        <f>[1]Data!O299</f>
        <v>X</v>
      </c>
      <c r="P308" s="1" t="str">
        <f>[1]Data!P299</f>
        <v>2025</v>
      </c>
      <c r="Q308" s="15">
        <f>[1]Data!Q299</f>
        <v>2954</v>
      </c>
      <c r="R308" s="1" t="str">
        <f>[1]Data!R299</f>
        <v/>
      </c>
    </row>
    <row r="309" spans="1:18" x14ac:dyDescent="0.35">
      <c r="A309" s="1" t="str">
        <f>[1]Data!A300</f>
        <v>4002475</v>
      </c>
      <c r="B309" s="1" t="str">
        <f>[1]Data!B300</f>
        <v>3300</v>
      </c>
      <c r="C309" s="1" t="str">
        <f>[1]Data!C300</f>
        <v>3001</v>
      </c>
      <c r="D309" s="1" t="str">
        <f>[1]Data!D300</f>
        <v>L</v>
      </c>
      <c r="E309" s="1" t="str">
        <f>[1]Data!E300</f>
        <v/>
      </c>
      <c r="F309" s="1" t="str">
        <f>[1]Data!F300</f>
        <v>2026</v>
      </c>
      <c r="G309" s="1" t="str">
        <f>[1]Data!G300</f>
        <v>2</v>
      </c>
      <c r="H309" s="15">
        <f>[1]Data!H300</f>
        <v>55</v>
      </c>
      <c r="I309" s="15">
        <f>[1]Data!I300</f>
        <v>0</v>
      </c>
      <c r="J309" s="1" t="str">
        <f>[1]Data!J300</f>
        <v>X</v>
      </c>
      <c r="K309" s="1" t="str">
        <f>[1]Data!K300</f>
        <v>X</v>
      </c>
      <c r="L309" s="1" t="str">
        <f>[1]Data!L300</f>
        <v>02:04:03</v>
      </c>
      <c r="M309" s="1">
        <f>[1]Data!M300</f>
        <v>45796</v>
      </c>
      <c r="N309" s="1">
        <f>[1]Data!N300</f>
        <v>44430</v>
      </c>
      <c r="O309" s="1" t="str">
        <f>[1]Data!O300</f>
        <v>X</v>
      </c>
      <c r="P309" s="1" t="str">
        <f>[1]Data!P300</f>
        <v>2025</v>
      </c>
      <c r="Q309" s="15">
        <f>[1]Data!Q300</f>
        <v>55</v>
      </c>
      <c r="R309" s="1" t="str">
        <f>[1]Data!R300</f>
        <v/>
      </c>
    </row>
    <row r="310" spans="1:18" x14ac:dyDescent="0.35">
      <c r="A310" s="1" t="str">
        <f>[1]Data!A301</f>
        <v>4002477</v>
      </c>
      <c r="B310" s="1" t="str">
        <f>[1]Data!B301</f>
        <v>3300</v>
      </c>
      <c r="C310" s="1" t="str">
        <f>[1]Data!C301</f>
        <v>3001</v>
      </c>
      <c r="D310" s="1" t="str">
        <f>[1]Data!D301</f>
        <v>DL</v>
      </c>
      <c r="E310" s="1" t="str">
        <f>[1]Data!E301</f>
        <v/>
      </c>
      <c r="F310" s="1" t="str">
        <f>[1]Data!F301</f>
        <v>2026</v>
      </c>
      <c r="G310" s="1" t="str">
        <f>[1]Data!G301</f>
        <v>2</v>
      </c>
      <c r="H310" s="15">
        <f>[1]Data!H301</f>
        <v>880</v>
      </c>
      <c r="I310" s="15">
        <f>[1]Data!I301</f>
        <v>0</v>
      </c>
      <c r="J310" s="1" t="str">
        <f>[1]Data!J301</f>
        <v>X</v>
      </c>
      <c r="K310" s="1" t="str">
        <f>[1]Data!K301</f>
        <v>X</v>
      </c>
      <c r="L310" s="1" t="str">
        <f>[1]Data!L301</f>
        <v>08:08:02</v>
      </c>
      <c r="M310" s="1">
        <f>[1]Data!M301</f>
        <v>45980</v>
      </c>
      <c r="N310" s="1">
        <f>[1]Data!N301</f>
        <v>44581</v>
      </c>
      <c r="O310" s="1" t="str">
        <f>[1]Data!O301</f>
        <v>X</v>
      </c>
      <c r="P310" s="1" t="str">
        <f>[1]Data!P301</f>
        <v>2025</v>
      </c>
      <c r="Q310" s="15">
        <f>[1]Data!Q301</f>
        <v>880</v>
      </c>
      <c r="R310" s="1" t="str">
        <f>[1]Data!R301</f>
        <v/>
      </c>
    </row>
    <row r="311" spans="1:18" x14ac:dyDescent="0.35">
      <c r="A311" s="1" t="str">
        <f>[1]Data!A302</f>
        <v>4002481</v>
      </c>
      <c r="B311" s="1" t="str">
        <f>[1]Data!B302</f>
        <v>3300</v>
      </c>
      <c r="C311" s="1" t="str">
        <f>[1]Data!C302</f>
        <v>3001</v>
      </c>
      <c r="D311" s="1" t="str">
        <f>[1]Data!D302</f>
        <v>L</v>
      </c>
      <c r="E311" s="1" t="str">
        <f>[1]Data!E302</f>
        <v/>
      </c>
      <c r="F311" s="1" t="str">
        <f>[1]Data!F302</f>
        <v>2026</v>
      </c>
      <c r="G311" s="1" t="str">
        <f>[1]Data!G302</f>
        <v>3</v>
      </c>
      <c r="H311" s="15">
        <f>[1]Data!H302</f>
        <v>56</v>
      </c>
      <c r="I311" s="15">
        <f>[1]Data!I302</f>
        <v>0</v>
      </c>
      <c r="J311" s="1" t="str">
        <f>[1]Data!J302</f>
        <v>X</v>
      </c>
      <c r="K311" s="1" t="str">
        <f>[1]Data!K302</f>
        <v>X</v>
      </c>
      <c r="L311" s="1" t="str">
        <f>[1]Data!L302</f>
        <v>08:06:03</v>
      </c>
      <c r="M311" s="1">
        <f>[1]Data!M302</f>
        <v>45980</v>
      </c>
      <c r="N311" s="1">
        <f>[1]Data!N302</f>
        <v>44430</v>
      </c>
      <c r="O311" s="1" t="str">
        <f>[1]Data!O302</f>
        <v>X</v>
      </c>
      <c r="P311" s="1" t="str">
        <f>[1]Data!P302</f>
        <v>2025</v>
      </c>
      <c r="Q311" s="15">
        <f>[1]Data!Q302</f>
        <v>56</v>
      </c>
      <c r="R311" s="1" t="str">
        <f>[1]Data!R302</f>
        <v/>
      </c>
    </row>
    <row r="312" spans="1:18" x14ac:dyDescent="0.35">
      <c r="A312" s="1" t="str">
        <f>[1]Data!A303</f>
        <v>4002482</v>
      </c>
      <c r="B312" s="1" t="str">
        <f>[1]Data!B303</f>
        <v>3300</v>
      </c>
      <c r="C312" s="1" t="str">
        <f>[1]Data!C303</f>
        <v>3001</v>
      </c>
      <c r="D312" s="1" t="str">
        <f>[1]Data!D303</f>
        <v>L</v>
      </c>
      <c r="E312" s="1" t="str">
        <f>[1]Data!E303</f>
        <v/>
      </c>
      <c r="F312" s="1" t="str">
        <f>[1]Data!F303</f>
        <v>2026</v>
      </c>
      <c r="G312" s="1" t="str">
        <f>[1]Data!G303</f>
        <v>3</v>
      </c>
      <c r="H312" s="15">
        <f>[1]Data!H303</f>
        <v>500</v>
      </c>
      <c r="I312" s="15">
        <f>[1]Data!I303</f>
        <v>0</v>
      </c>
      <c r="J312" s="1" t="str">
        <f>[1]Data!J303</f>
        <v>X</v>
      </c>
      <c r="K312" s="1" t="str">
        <f>[1]Data!K303</f>
        <v>X</v>
      </c>
      <c r="L312" s="1" t="str">
        <f>[1]Data!L303</f>
        <v>14:11:03</v>
      </c>
      <c r="M312" s="1">
        <f>[1]Data!M303</f>
        <v>46001</v>
      </c>
      <c r="N312" s="1">
        <f>[1]Data!N303</f>
        <v>44430</v>
      </c>
      <c r="O312" s="1" t="str">
        <f>[1]Data!O303</f>
        <v>X</v>
      </c>
      <c r="P312" s="1" t="str">
        <f>[1]Data!P303</f>
        <v>2025</v>
      </c>
      <c r="Q312" s="15">
        <f>[1]Data!Q303</f>
        <v>500</v>
      </c>
      <c r="R312" s="1" t="str">
        <f>[1]Data!R303</f>
        <v/>
      </c>
    </row>
    <row r="313" spans="1:18" x14ac:dyDescent="0.35">
      <c r="A313" s="1" t="str">
        <f>[1]Data!A304</f>
        <v>4002490</v>
      </c>
      <c r="B313" s="1" t="str">
        <f>[1]Data!B304</f>
        <v>3300</v>
      </c>
      <c r="C313" s="1" t="str">
        <f>[1]Data!C304</f>
        <v>3001</v>
      </c>
      <c r="D313" s="1" t="str">
        <f>[1]Data!D304</f>
        <v>L</v>
      </c>
      <c r="E313" s="1" t="str">
        <f>[1]Data!E304</f>
        <v/>
      </c>
      <c r="F313" s="1" t="str">
        <f>[1]Data!F304</f>
        <v>2023</v>
      </c>
      <c r="G313" s="1" t="str">
        <f>[1]Data!G304</f>
        <v>4</v>
      </c>
      <c r="H313" s="15">
        <f>[1]Data!H304</f>
        <v>0</v>
      </c>
      <c r="I313" s="15">
        <f>[1]Data!I304</f>
        <v>0</v>
      </c>
      <c r="J313" s="1" t="str">
        <f>[1]Data!J304</f>
        <v>X</v>
      </c>
      <c r="K313" s="1" t="str">
        <f>[1]Data!K304</f>
        <v/>
      </c>
      <c r="L313" s="1" t="str">
        <f>[1]Data!L304</f>
        <v>SLETTET</v>
      </c>
      <c r="M313" s="1">
        <f>[1]Data!M304</f>
        <v>45799</v>
      </c>
      <c r="N313" s="1">
        <f>[1]Data!N304</f>
        <v>44430</v>
      </c>
      <c r="O313" s="1" t="str">
        <f>[1]Data!O304</f>
        <v>X</v>
      </c>
      <c r="P313" s="1" t="str">
        <f>[1]Data!P304</f>
        <v>2025</v>
      </c>
      <c r="Q313" s="15">
        <f>[1]Data!Q304</f>
        <v>0</v>
      </c>
      <c r="R313" s="1" t="str">
        <f>[1]Data!R304</f>
        <v>INAKTIV</v>
      </c>
    </row>
    <row r="314" spans="1:18" x14ac:dyDescent="0.35">
      <c r="A314" s="1" t="str">
        <f>[1]Data!A305</f>
        <v>4002491</v>
      </c>
      <c r="B314" s="1" t="str">
        <f>[1]Data!B305</f>
        <v>3300</v>
      </c>
      <c r="C314" s="1" t="str">
        <f>[1]Data!C305</f>
        <v>3001</v>
      </c>
      <c r="D314" s="1" t="str">
        <f>[1]Data!D305</f>
        <v>L</v>
      </c>
      <c r="E314" s="1" t="str">
        <f>[1]Data!E305</f>
        <v/>
      </c>
      <c r="F314" s="1" t="str">
        <f>[1]Data!F305</f>
        <v>2026</v>
      </c>
      <c r="G314" s="1" t="str">
        <f>[1]Data!G305</f>
        <v>2</v>
      </c>
      <c r="H314" s="15">
        <f>[1]Data!H305</f>
        <v>253</v>
      </c>
      <c r="I314" s="15">
        <f>[1]Data!I305</f>
        <v>0</v>
      </c>
      <c r="J314" s="1" t="str">
        <f>[1]Data!J305</f>
        <v>X</v>
      </c>
      <c r="K314" s="1" t="str">
        <f>[1]Data!K305</f>
        <v>X</v>
      </c>
      <c r="L314" s="1" t="str">
        <f>[1]Data!L305</f>
        <v>04:02:03</v>
      </c>
      <c r="M314" s="1">
        <f>[1]Data!M305</f>
        <v>45798</v>
      </c>
      <c r="N314" s="1">
        <f>[1]Data!N305</f>
        <v>44430</v>
      </c>
      <c r="O314" s="1" t="str">
        <f>[1]Data!O305</f>
        <v>X</v>
      </c>
      <c r="P314" s="1" t="str">
        <f>[1]Data!P305</f>
        <v>2025</v>
      </c>
      <c r="Q314" s="15">
        <f>[1]Data!Q305</f>
        <v>253</v>
      </c>
      <c r="R314" s="1" t="str">
        <f>[1]Data!R305</f>
        <v/>
      </c>
    </row>
    <row r="315" spans="1:18" x14ac:dyDescent="0.35">
      <c r="A315" s="1" t="str">
        <f>[1]Data!A306</f>
        <v>4002495</v>
      </c>
      <c r="B315" s="1" t="str">
        <f>[1]Data!B306</f>
        <v>3300</v>
      </c>
      <c r="C315" s="1" t="str">
        <f>[1]Data!C306</f>
        <v>3001</v>
      </c>
      <c r="D315" s="1" t="str">
        <f>[1]Data!D306</f>
        <v>L</v>
      </c>
      <c r="E315" s="1" t="str">
        <f>[1]Data!E306</f>
        <v>X</v>
      </c>
      <c r="F315" s="1" t="str">
        <f>[1]Data!F306</f>
        <v>2023</v>
      </c>
      <c r="G315" s="1" t="str">
        <f>[1]Data!G306</f>
        <v>3</v>
      </c>
      <c r="H315" s="15">
        <f>[1]Data!H306</f>
        <v>0</v>
      </c>
      <c r="I315" s="15">
        <f>[1]Data!I306</f>
        <v>0</v>
      </c>
      <c r="J315" s="1" t="str">
        <f>[1]Data!J306</f>
        <v/>
      </c>
      <c r="K315" s="1" t="str">
        <f>[1]Data!K306</f>
        <v/>
      </c>
      <c r="L315" s="1" t="str">
        <f>[1]Data!L306</f>
        <v>SLETTET</v>
      </c>
      <c r="M315" s="1">
        <f>[1]Data!M306</f>
        <v>44568</v>
      </c>
      <c r="N315" s="1">
        <f>[1]Data!N306</f>
        <v>44430</v>
      </c>
      <c r="O315" s="1" t="str">
        <f>[1]Data!O306</f>
        <v>X</v>
      </c>
      <c r="P315" s="1" t="str">
        <f>[1]Data!P306</f>
        <v>2025</v>
      </c>
      <c r="Q315" s="15">
        <f>[1]Data!Q306</f>
        <v>0</v>
      </c>
      <c r="R315" s="1" t="str">
        <f>[1]Data!R306</f>
        <v>INAKTIV</v>
      </c>
    </row>
    <row r="316" spans="1:18" x14ac:dyDescent="0.35">
      <c r="A316" s="1" t="str">
        <f>[1]Data!A307</f>
        <v>4002545</v>
      </c>
      <c r="B316" s="1" t="str">
        <f>[1]Data!B307</f>
        <v>3300</v>
      </c>
      <c r="C316" s="1" t="str">
        <f>[1]Data!C307</f>
        <v>3001</v>
      </c>
      <c r="D316" s="1" t="str">
        <f>[1]Data!D307</f>
        <v>L</v>
      </c>
      <c r="E316" s="1" t="str">
        <f>[1]Data!E307</f>
        <v>X</v>
      </c>
      <c r="F316" s="1" t="str">
        <f>[1]Data!F307</f>
        <v>2022</v>
      </c>
      <c r="G316" s="1" t="str">
        <f>[1]Data!G307</f>
        <v>1</v>
      </c>
      <c r="H316" s="15">
        <f>[1]Data!H307</f>
        <v>0</v>
      </c>
      <c r="I316" s="15">
        <f>[1]Data!I307</f>
        <v>0</v>
      </c>
      <c r="J316" s="1" t="str">
        <f>[1]Data!J307</f>
        <v/>
      </c>
      <c r="K316" s="1" t="str">
        <f>[1]Data!K307</f>
        <v/>
      </c>
      <c r="L316" s="1" t="str">
        <f>[1]Data!L307</f>
        <v>SLETTET</v>
      </c>
      <c r="M316" s="1" t="str">
        <f>[1]Data!M307</f>
        <v/>
      </c>
      <c r="N316" s="1">
        <f>[1]Data!N307</f>
        <v>44430</v>
      </c>
      <c r="O316" s="1" t="str">
        <f>[1]Data!O307</f>
        <v>X</v>
      </c>
      <c r="P316" s="1" t="str">
        <f>[1]Data!P307</f>
        <v>2023</v>
      </c>
      <c r="Q316" s="15">
        <f>[1]Data!Q307</f>
        <v>0</v>
      </c>
      <c r="R316" s="1" t="str">
        <f>[1]Data!R307</f>
        <v>INAKTIV</v>
      </c>
    </row>
    <row r="317" spans="1:18" x14ac:dyDescent="0.35">
      <c r="A317" s="1" t="str">
        <f>[1]Data!A308</f>
        <v>4002546</v>
      </c>
      <c r="B317" s="1" t="str">
        <f>[1]Data!B308</f>
        <v>3300</v>
      </c>
      <c r="C317" s="1" t="str">
        <f>[1]Data!C308</f>
        <v>3001</v>
      </c>
      <c r="D317" s="1" t="str">
        <f>[1]Data!D308</f>
        <v>L</v>
      </c>
      <c r="E317" s="1" t="str">
        <f>[1]Data!E308</f>
        <v/>
      </c>
      <c r="F317" s="1" t="str">
        <f>[1]Data!F308</f>
        <v>2026</v>
      </c>
      <c r="G317" s="1" t="str">
        <f>[1]Data!G308</f>
        <v>3</v>
      </c>
      <c r="H317" s="15">
        <f>[1]Data!H308</f>
        <v>850</v>
      </c>
      <c r="I317" s="15">
        <f>[1]Data!I308</f>
        <v>0</v>
      </c>
      <c r="J317" s="1" t="str">
        <f>[1]Data!J308</f>
        <v>X</v>
      </c>
      <c r="K317" s="1" t="str">
        <f>[1]Data!K308</f>
        <v>X</v>
      </c>
      <c r="L317" s="1" t="str">
        <f>[1]Data!L308</f>
        <v>12:12:01</v>
      </c>
      <c r="M317" s="1">
        <f>[1]Data!M308</f>
        <v>45994</v>
      </c>
      <c r="N317" s="1">
        <f>[1]Data!N308</f>
        <v>44430</v>
      </c>
      <c r="O317" s="1" t="str">
        <f>[1]Data!O308</f>
        <v>X</v>
      </c>
      <c r="P317" s="1" t="str">
        <f>[1]Data!P308</f>
        <v>2025</v>
      </c>
      <c r="Q317" s="15">
        <f>[1]Data!Q308</f>
        <v>850</v>
      </c>
      <c r="R317" s="1" t="str">
        <f>[1]Data!R308</f>
        <v/>
      </c>
    </row>
    <row r="318" spans="1:18" x14ac:dyDescent="0.35">
      <c r="A318" s="1" t="str">
        <f>[1]Data!A309</f>
        <v>4002621</v>
      </c>
      <c r="B318" s="1" t="str">
        <f>[1]Data!B309</f>
        <v>3300</v>
      </c>
      <c r="C318" s="1" t="str">
        <f>[1]Data!C309</f>
        <v>3001</v>
      </c>
      <c r="D318" s="1" t="str">
        <f>[1]Data!D309</f>
        <v>L</v>
      </c>
      <c r="E318" s="1" t="str">
        <f>[1]Data!E309</f>
        <v/>
      </c>
      <c r="F318" s="1" t="str">
        <f>[1]Data!F309</f>
        <v>2026</v>
      </c>
      <c r="G318" s="1" t="str">
        <f>[1]Data!G309</f>
        <v>3</v>
      </c>
      <c r="H318" s="15">
        <f>[1]Data!H309</f>
        <v>71</v>
      </c>
      <c r="I318" s="15">
        <f>[1]Data!I309</f>
        <v>0</v>
      </c>
      <c r="J318" s="1" t="str">
        <f>[1]Data!J309</f>
        <v>X</v>
      </c>
      <c r="K318" s="1" t="str">
        <f>[1]Data!K309</f>
        <v>X</v>
      </c>
      <c r="L318" s="1" t="str">
        <f>[1]Data!L309</f>
        <v>03:02:02</v>
      </c>
      <c r="M318" s="1">
        <f>[1]Data!M309</f>
        <v>45798</v>
      </c>
      <c r="N318" s="1">
        <f>[1]Data!N309</f>
        <v>44430</v>
      </c>
      <c r="O318" s="1" t="str">
        <f>[1]Data!O309</f>
        <v>X</v>
      </c>
      <c r="P318" s="1" t="str">
        <f>[1]Data!P309</f>
        <v>2025</v>
      </c>
      <c r="Q318" s="15">
        <f>[1]Data!Q309</f>
        <v>71</v>
      </c>
      <c r="R318" s="1" t="str">
        <f>[1]Data!R309</f>
        <v/>
      </c>
    </row>
    <row r="319" spans="1:18" x14ac:dyDescent="0.35">
      <c r="A319" s="1" t="str">
        <f>[1]Data!A310</f>
        <v>4002637</v>
      </c>
      <c r="B319" s="1" t="str">
        <f>[1]Data!B310</f>
        <v>3300</v>
      </c>
      <c r="C319" s="1" t="str">
        <f>[1]Data!C310</f>
        <v>3001</v>
      </c>
      <c r="D319" s="1" t="str">
        <f>[1]Data!D310</f>
        <v>DL</v>
      </c>
      <c r="E319" s="1" t="str">
        <f>[1]Data!E310</f>
        <v/>
      </c>
      <c r="F319" s="1" t="str">
        <f>[1]Data!F310</f>
        <v>2022</v>
      </c>
      <c r="G319" s="1" t="str">
        <f>[1]Data!G310</f>
        <v>1</v>
      </c>
      <c r="H319" s="15">
        <f>[1]Data!H310</f>
        <v>0</v>
      </c>
      <c r="I319" s="15">
        <f>[1]Data!I310</f>
        <v>0</v>
      </c>
      <c r="J319" s="1" t="str">
        <f>[1]Data!J310</f>
        <v/>
      </c>
      <c r="K319" s="1" t="str">
        <f>[1]Data!K310</f>
        <v/>
      </c>
      <c r="L319" s="1" t="str">
        <f>[1]Data!L310</f>
        <v>-</v>
      </c>
      <c r="M319" s="1" t="str">
        <f>[1]Data!M310</f>
        <v/>
      </c>
      <c r="N319" s="1">
        <f>[1]Data!N310</f>
        <v>44587</v>
      </c>
      <c r="O319" s="1" t="str">
        <f>[1]Data!O310</f>
        <v>X</v>
      </c>
      <c r="P319" s="1" t="str">
        <f>[1]Data!P310</f>
        <v>2022</v>
      </c>
      <c r="Q319" s="15">
        <f>[1]Data!Q310</f>
        <v>0</v>
      </c>
      <c r="R319" s="1" t="str">
        <f>[1]Data!R310</f>
        <v>INAKTIV</v>
      </c>
    </row>
    <row r="320" spans="1:18" x14ac:dyDescent="0.35">
      <c r="A320" s="1" t="str">
        <f>[1]Data!A311</f>
        <v>4002667</v>
      </c>
      <c r="B320" s="1" t="str">
        <f>[1]Data!B311</f>
        <v>3300</v>
      </c>
      <c r="C320" s="1" t="str">
        <f>[1]Data!C311</f>
        <v>3001</v>
      </c>
      <c r="D320" s="1" t="str">
        <f>[1]Data!D311</f>
        <v>L</v>
      </c>
      <c r="E320" s="1" t="str">
        <f>[1]Data!E311</f>
        <v>X</v>
      </c>
      <c r="F320" s="1" t="str">
        <f>[1]Data!F311</f>
        <v>2023</v>
      </c>
      <c r="G320" s="1" t="str">
        <f>[1]Data!G311</f>
        <v>7</v>
      </c>
      <c r="H320" s="15">
        <f>[1]Data!H311</f>
        <v>0</v>
      </c>
      <c r="I320" s="15">
        <f>[1]Data!I311</f>
        <v>0</v>
      </c>
      <c r="J320" s="1" t="str">
        <f>[1]Data!J311</f>
        <v/>
      </c>
      <c r="K320" s="1" t="str">
        <f>[1]Data!K311</f>
        <v/>
      </c>
      <c r="L320" s="1" t="str">
        <f>[1]Data!L311</f>
        <v>SLETTET</v>
      </c>
      <c r="M320" s="1">
        <f>[1]Data!M311</f>
        <v>44568</v>
      </c>
      <c r="N320" s="1">
        <f>[1]Data!N311</f>
        <v>44430</v>
      </c>
      <c r="O320" s="1" t="str">
        <f>[1]Data!O311</f>
        <v>X</v>
      </c>
      <c r="P320" s="1" t="str">
        <f>[1]Data!P311</f>
        <v>2025</v>
      </c>
      <c r="Q320" s="15">
        <f>[1]Data!Q311</f>
        <v>0</v>
      </c>
      <c r="R320" s="1" t="str">
        <f>[1]Data!R311</f>
        <v>INAKTIV</v>
      </c>
    </row>
    <row r="321" spans="1:18" x14ac:dyDescent="0.35">
      <c r="A321" s="1" t="str">
        <f>[1]Data!A312</f>
        <v>4002675</v>
      </c>
      <c r="B321" s="1" t="str">
        <f>[1]Data!B312</f>
        <v>3300</v>
      </c>
      <c r="C321" s="1" t="str">
        <f>[1]Data!C312</f>
        <v>3001</v>
      </c>
      <c r="D321" s="1" t="str">
        <f>[1]Data!D312</f>
        <v>L</v>
      </c>
      <c r="E321" s="1" t="str">
        <f>[1]Data!E312</f>
        <v/>
      </c>
      <c r="F321" s="1" t="str">
        <f>[1]Data!F312</f>
        <v>2026</v>
      </c>
      <c r="G321" s="1" t="str">
        <f>[1]Data!G312</f>
        <v>2</v>
      </c>
      <c r="H321" s="15">
        <f>[1]Data!H312</f>
        <v>35</v>
      </c>
      <c r="I321" s="15">
        <f>[1]Data!I312</f>
        <v>0</v>
      </c>
      <c r="J321" s="1" t="str">
        <f>[1]Data!J312</f>
        <v>X</v>
      </c>
      <c r="K321" s="1" t="str">
        <f>[1]Data!K312</f>
        <v>X</v>
      </c>
      <c r="L321" s="1" t="str">
        <f>[1]Data!L312</f>
        <v>03:02:02</v>
      </c>
      <c r="M321" s="1">
        <f>[1]Data!M312</f>
        <v>45798</v>
      </c>
      <c r="N321" s="1">
        <f>[1]Data!N312</f>
        <v>44430</v>
      </c>
      <c r="O321" s="1" t="str">
        <f>[1]Data!O312</f>
        <v>X</v>
      </c>
      <c r="P321" s="1" t="str">
        <f>[1]Data!P312</f>
        <v>2025</v>
      </c>
      <c r="Q321" s="15">
        <f>[1]Data!Q312</f>
        <v>35</v>
      </c>
      <c r="R321" s="1" t="str">
        <f>[1]Data!R312</f>
        <v/>
      </c>
    </row>
    <row r="322" spans="1:18" x14ac:dyDescent="0.35">
      <c r="A322" s="1" t="str">
        <f>[1]Data!A313</f>
        <v>4002677</v>
      </c>
      <c r="B322" s="1" t="str">
        <f>[1]Data!B313</f>
        <v>3300</v>
      </c>
      <c r="C322" s="1" t="str">
        <f>[1]Data!C313</f>
        <v>3001</v>
      </c>
      <c r="D322" s="1" t="str">
        <f>[1]Data!D313</f>
        <v>L</v>
      </c>
      <c r="E322" s="1" t="str">
        <f>[1]Data!E313</f>
        <v/>
      </c>
      <c r="F322" s="1" t="str">
        <f>[1]Data!F313</f>
        <v>2026</v>
      </c>
      <c r="G322" s="1" t="str">
        <f>[1]Data!G313</f>
        <v>2</v>
      </c>
      <c r="H322" s="15">
        <f>[1]Data!H313</f>
        <v>200</v>
      </c>
      <c r="I322" s="15">
        <f>[1]Data!I313</f>
        <v>0</v>
      </c>
      <c r="J322" s="1" t="str">
        <f>[1]Data!J313</f>
        <v>X</v>
      </c>
      <c r="K322" s="1" t="str">
        <f>[1]Data!K313</f>
        <v>X</v>
      </c>
      <c r="L322" s="1" t="str">
        <f>[1]Data!L313</f>
        <v>06:06:03</v>
      </c>
      <c r="M322" s="1">
        <f>[1]Data!M313</f>
        <v>45819</v>
      </c>
      <c r="N322" s="1">
        <f>[1]Data!N313</f>
        <v>44430</v>
      </c>
      <c r="O322" s="1" t="str">
        <f>[1]Data!O313</f>
        <v>X</v>
      </c>
      <c r="P322" s="1" t="str">
        <f>[1]Data!P313</f>
        <v>2025</v>
      </c>
      <c r="Q322" s="15">
        <f>[1]Data!Q313</f>
        <v>200</v>
      </c>
      <c r="R322" s="1" t="str">
        <f>[1]Data!R313</f>
        <v/>
      </c>
    </row>
    <row r="323" spans="1:18" x14ac:dyDescent="0.35">
      <c r="A323" s="1" t="str">
        <f>[1]Data!A314</f>
        <v>4002679</v>
      </c>
      <c r="B323" s="1" t="str">
        <f>[1]Data!B314</f>
        <v>3300</v>
      </c>
      <c r="C323" s="1" t="str">
        <f>[1]Data!C314</f>
        <v>3001</v>
      </c>
      <c r="D323" s="1" t="str">
        <f>[1]Data!D314</f>
        <v>L</v>
      </c>
      <c r="E323" s="1" t="str">
        <f>[1]Data!E314</f>
        <v/>
      </c>
      <c r="F323" s="1" t="str">
        <f>[1]Data!F314</f>
        <v>2026</v>
      </c>
      <c r="G323" s="1" t="str">
        <f>[1]Data!G314</f>
        <v>3</v>
      </c>
      <c r="H323" s="15">
        <f>[1]Data!H314</f>
        <v>850</v>
      </c>
      <c r="I323" s="15">
        <f>[1]Data!I314</f>
        <v>0</v>
      </c>
      <c r="J323" s="1" t="str">
        <f>[1]Data!J314</f>
        <v>X</v>
      </c>
      <c r="K323" s="1" t="str">
        <f>[1]Data!K314</f>
        <v>X</v>
      </c>
      <c r="L323" s="1" t="str">
        <f>[1]Data!L314</f>
        <v>04:10:02</v>
      </c>
      <c r="M323" s="1">
        <f>[1]Data!M314</f>
        <v>45800</v>
      </c>
      <c r="N323" s="1">
        <f>[1]Data!N314</f>
        <v>44430</v>
      </c>
      <c r="O323" s="1" t="str">
        <f>[1]Data!O314</f>
        <v>X</v>
      </c>
      <c r="P323" s="1" t="str">
        <f>[1]Data!P314</f>
        <v>2025</v>
      </c>
      <c r="Q323" s="15">
        <f>[1]Data!Q314</f>
        <v>850</v>
      </c>
      <c r="R323" s="1" t="str">
        <f>[1]Data!R314</f>
        <v/>
      </c>
    </row>
    <row r="324" spans="1:18" x14ac:dyDescent="0.35">
      <c r="A324" s="1" t="str">
        <f>[1]Data!A315</f>
        <v>4002682</v>
      </c>
      <c r="B324" s="1" t="str">
        <f>[1]Data!B315</f>
        <v>3300</v>
      </c>
      <c r="C324" s="1" t="str">
        <f>[1]Data!C315</f>
        <v>3001</v>
      </c>
      <c r="D324" s="1" t="str">
        <f>[1]Data!D315</f>
        <v>L</v>
      </c>
      <c r="E324" s="1" t="str">
        <f>[1]Data!E315</f>
        <v>X</v>
      </c>
      <c r="F324" s="1" t="str">
        <f>[1]Data!F315</f>
        <v>2026</v>
      </c>
      <c r="G324" s="1" t="str">
        <f>[1]Data!G315</f>
        <v>1</v>
      </c>
      <c r="H324" s="15">
        <f>[1]Data!H315</f>
        <v>0</v>
      </c>
      <c r="I324" s="15">
        <f>[1]Data!I315</f>
        <v>0</v>
      </c>
      <c r="J324" s="1" t="str">
        <f>[1]Data!J315</f>
        <v>X</v>
      </c>
      <c r="K324" s="1" t="str">
        <f>[1]Data!K315</f>
        <v>X</v>
      </c>
      <c r="L324" s="1" t="str">
        <f>[1]Data!L315</f>
        <v>SLETTET</v>
      </c>
      <c r="M324" s="1">
        <f>[1]Data!M315</f>
        <v>45819</v>
      </c>
      <c r="N324" s="1">
        <f>[1]Data!N315</f>
        <v>44430</v>
      </c>
      <c r="O324" s="1" t="str">
        <f>[1]Data!O315</f>
        <v>X</v>
      </c>
      <c r="P324" s="1" t="str">
        <f>[1]Data!P315</f>
        <v>2025</v>
      </c>
      <c r="Q324" s="15">
        <f>[1]Data!Q315</f>
        <v>0</v>
      </c>
      <c r="R324" s="1" t="str">
        <f>[1]Data!R315</f>
        <v>INAKTIV</v>
      </c>
    </row>
    <row r="325" spans="1:18" x14ac:dyDescent="0.35">
      <c r="A325" s="1" t="str">
        <f>[1]Data!A316</f>
        <v>4002684</v>
      </c>
      <c r="B325" s="1" t="str">
        <f>[1]Data!B316</f>
        <v>3300</v>
      </c>
      <c r="C325" s="1" t="str">
        <f>[1]Data!C316</f>
        <v>3001</v>
      </c>
      <c r="D325" s="1" t="str">
        <f>[1]Data!D316</f>
        <v>L</v>
      </c>
      <c r="E325" s="1" t="str">
        <f>[1]Data!E316</f>
        <v/>
      </c>
      <c r="F325" s="1" t="str">
        <f>[1]Data!F316</f>
        <v>2026</v>
      </c>
      <c r="G325" s="1" t="str">
        <f>[1]Data!G316</f>
        <v>3</v>
      </c>
      <c r="H325" s="15">
        <f>[1]Data!H316</f>
        <v>77</v>
      </c>
      <c r="I325" s="15">
        <f>[1]Data!I316</f>
        <v>0</v>
      </c>
      <c r="J325" s="1" t="str">
        <f>[1]Data!J316</f>
        <v>X</v>
      </c>
      <c r="K325" s="1" t="str">
        <f>[1]Data!K316</f>
        <v>X</v>
      </c>
      <c r="L325" s="1" t="str">
        <f>[1]Data!L316</f>
        <v>07:01:03</v>
      </c>
      <c r="M325" s="1">
        <f>[1]Data!M316</f>
        <v>45824</v>
      </c>
      <c r="N325" s="1">
        <f>[1]Data!N316</f>
        <v>44430</v>
      </c>
      <c r="O325" s="1" t="str">
        <f>[1]Data!O316</f>
        <v>X</v>
      </c>
      <c r="P325" s="1" t="str">
        <f>[1]Data!P316</f>
        <v>2025</v>
      </c>
      <c r="Q325" s="15">
        <f>[1]Data!Q316</f>
        <v>77</v>
      </c>
      <c r="R325" s="1" t="str">
        <f>[1]Data!R316</f>
        <v/>
      </c>
    </row>
    <row r="326" spans="1:18" x14ac:dyDescent="0.35">
      <c r="A326" s="1" t="str">
        <f>[1]Data!A317</f>
        <v>4002685</v>
      </c>
      <c r="B326" s="1" t="str">
        <f>[1]Data!B317</f>
        <v>3300</v>
      </c>
      <c r="C326" s="1" t="str">
        <f>[1]Data!C317</f>
        <v>3001</v>
      </c>
      <c r="D326" s="1" t="str">
        <f>[1]Data!D317</f>
        <v>L</v>
      </c>
      <c r="E326" s="1" t="str">
        <f>[1]Data!E317</f>
        <v/>
      </c>
      <c r="F326" s="1" t="str">
        <f>[1]Data!F317</f>
        <v>2021</v>
      </c>
      <c r="G326" s="1" t="str">
        <f>[1]Data!G317</f>
        <v>10</v>
      </c>
      <c r="H326" s="15">
        <f>[1]Data!H317</f>
        <v>0</v>
      </c>
      <c r="I326" s="15">
        <f>[1]Data!I317</f>
        <v>0</v>
      </c>
      <c r="J326" s="1" t="str">
        <f>[1]Data!J317</f>
        <v/>
      </c>
      <c r="K326" s="1" t="str">
        <f>[1]Data!K317</f>
        <v>X</v>
      </c>
      <c r="L326" s="1" t="str">
        <f>[1]Data!L317</f>
        <v>SLETTET</v>
      </c>
      <c r="M326" s="1">
        <f>[1]Data!M317</f>
        <v>44568</v>
      </c>
      <c r="N326" s="1">
        <f>[1]Data!N317</f>
        <v>44430</v>
      </c>
      <c r="O326" s="1" t="str">
        <f>[1]Data!O317</f>
        <v>X</v>
      </c>
      <c r="P326" s="1" t="str">
        <f>[1]Data!P317</f>
        <v>2023</v>
      </c>
      <c r="Q326" s="15">
        <f>[1]Data!Q317</f>
        <v>0</v>
      </c>
      <c r="R326" s="1" t="str">
        <f>[1]Data!R317</f>
        <v>INAKTIV</v>
      </c>
    </row>
    <row r="327" spans="1:18" x14ac:dyDescent="0.35">
      <c r="A327" s="1" t="str">
        <f>[1]Data!A318</f>
        <v>4002686</v>
      </c>
      <c r="B327" s="1" t="str">
        <f>[1]Data!B318</f>
        <v>3300</v>
      </c>
      <c r="C327" s="1" t="str">
        <f>[1]Data!C318</f>
        <v>3001</v>
      </c>
      <c r="D327" s="1" t="str">
        <f>[1]Data!D318</f>
        <v>L</v>
      </c>
      <c r="E327" s="1" t="str">
        <f>[1]Data!E318</f>
        <v>X</v>
      </c>
      <c r="F327" s="1" t="str">
        <f>[1]Data!F318</f>
        <v>2024</v>
      </c>
      <c r="G327" s="1" t="str">
        <f>[1]Data!G318</f>
        <v>9</v>
      </c>
      <c r="H327" s="15">
        <f>[1]Data!H318</f>
        <v>0</v>
      </c>
      <c r="I327" s="15">
        <f>[1]Data!I318</f>
        <v>0</v>
      </c>
      <c r="J327" s="1" t="str">
        <f>[1]Data!J318</f>
        <v>X</v>
      </c>
      <c r="K327" s="1" t="str">
        <f>[1]Data!K318</f>
        <v>X</v>
      </c>
      <c r="L327" s="1" t="str">
        <f>[1]Data!L318</f>
        <v>SLETTET</v>
      </c>
      <c r="M327" s="1">
        <f>[1]Data!M318</f>
        <v>45450</v>
      </c>
      <c r="N327" s="1">
        <f>[1]Data!N318</f>
        <v>44430</v>
      </c>
      <c r="O327" s="1" t="str">
        <f>[1]Data!O318</f>
        <v>X</v>
      </c>
      <c r="P327" s="1" t="str">
        <f>[1]Data!P318</f>
        <v>2024</v>
      </c>
      <c r="Q327" s="15">
        <f>[1]Data!Q318</f>
        <v>0</v>
      </c>
      <c r="R327" s="1" t="str">
        <f>[1]Data!R318</f>
        <v>INAKTIV</v>
      </c>
    </row>
    <row r="328" spans="1:18" x14ac:dyDescent="0.35">
      <c r="A328" s="1" t="str">
        <f>[1]Data!A319</f>
        <v>4002688</v>
      </c>
      <c r="B328" s="1" t="str">
        <f>[1]Data!B319</f>
        <v>3300</v>
      </c>
      <c r="C328" s="1" t="str">
        <f>[1]Data!C319</f>
        <v>3001</v>
      </c>
      <c r="D328" s="1" t="str">
        <f>[1]Data!D319</f>
        <v>L</v>
      </c>
      <c r="E328" s="1" t="str">
        <f>[1]Data!E319</f>
        <v/>
      </c>
      <c r="F328" s="1" t="str">
        <f>[1]Data!F319</f>
        <v>2026</v>
      </c>
      <c r="G328" s="1" t="str">
        <f>[1]Data!G319</f>
        <v>3</v>
      </c>
      <c r="H328" s="15">
        <f>[1]Data!H319</f>
        <v>129</v>
      </c>
      <c r="I328" s="15">
        <f>[1]Data!I319</f>
        <v>0</v>
      </c>
      <c r="J328" s="1" t="str">
        <f>[1]Data!J319</f>
        <v>X</v>
      </c>
      <c r="K328" s="1" t="str">
        <f>[1]Data!K319</f>
        <v>X</v>
      </c>
      <c r="L328" s="1" t="str">
        <f>[1]Data!L319</f>
        <v>06:10:03</v>
      </c>
      <c r="M328" s="1">
        <f>[1]Data!M319</f>
        <v>45824</v>
      </c>
      <c r="N328" s="1">
        <f>[1]Data!N319</f>
        <v>44430</v>
      </c>
      <c r="O328" s="1" t="str">
        <f>[1]Data!O319</f>
        <v>X</v>
      </c>
      <c r="P328" s="1" t="str">
        <f>[1]Data!P319</f>
        <v>2025</v>
      </c>
      <c r="Q328" s="15">
        <f>[1]Data!Q319</f>
        <v>129</v>
      </c>
      <c r="R328" s="1" t="str">
        <f>[1]Data!R319</f>
        <v/>
      </c>
    </row>
    <row r="329" spans="1:18" x14ac:dyDescent="0.35">
      <c r="A329" s="1" t="str">
        <f>[1]Data!A320</f>
        <v>4002709</v>
      </c>
      <c r="B329" s="1" t="str">
        <f>[1]Data!B320</f>
        <v>3300</v>
      </c>
      <c r="C329" s="1" t="str">
        <f>[1]Data!C320</f>
        <v>3001</v>
      </c>
      <c r="D329" s="1" t="str">
        <f>[1]Data!D320</f>
        <v>L</v>
      </c>
      <c r="E329" s="1" t="str">
        <f>[1]Data!E320</f>
        <v/>
      </c>
      <c r="F329" s="1" t="str">
        <f>[1]Data!F320</f>
        <v>2025</v>
      </c>
      <c r="G329" s="1" t="str">
        <f>[1]Data!G320</f>
        <v>11</v>
      </c>
      <c r="H329" s="15">
        <f>[1]Data!H320</f>
        <v>550</v>
      </c>
      <c r="I329" s="15">
        <f>[1]Data!I320</f>
        <v>0</v>
      </c>
      <c r="J329" s="1" t="str">
        <f>[1]Data!J320</f>
        <v>X</v>
      </c>
      <c r="K329" s="1" t="str">
        <f>[1]Data!K320</f>
        <v>X</v>
      </c>
      <c r="L329" s="1" t="str">
        <f>[1]Data!L320</f>
        <v>03:06:02</v>
      </c>
      <c r="M329" s="1">
        <f>[1]Data!M320</f>
        <v>45798</v>
      </c>
      <c r="N329" s="1">
        <f>[1]Data!N320</f>
        <v>44430</v>
      </c>
      <c r="O329" s="1" t="str">
        <f>[1]Data!O320</f>
        <v>X</v>
      </c>
      <c r="P329" s="1" t="str">
        <f>[1]Data!P320</f>
        <v>2025</v>
      </c>
      <c r="Q329" s="15">
        <f>[1]Data!Q320</f>
        <v>550</v>
      </c>
      <c r="R329" s="1" t="str">
        <f>[1]Data!R320</f>
        <v/>
      </c>
    </row>
    <row r="330" spans="1:18" x14ac:dyDescent="0.35">
      <c r="A330" s="1" t="str">
        <f>[1]Data!A321</f>
        <v>4002737</v>
      </c>
      <c r="B330" s="1" t="str">
        <f>[1]Data!B321</f>
        <v>3300</v>
      </c>
      <c r="C330" s="1" t="str">
        <f>[1]Data!C321</f>
        <v>3001</v>
      </c>
      <c r="D330" s="1" t="str">
        <f>[1]Data!D321</f>
        <v>L</v>
      </c>
      <c r="E330" s="1" t="str">
        <f>[1]Data!E321</f>
        <v/>
      </c>
      <c r="F330" s="1" t="str">
        <f>[1]Data!F321</f>
        <v>2026</v>
      </c>
      <c r="G330" s="1" t="str">
        <f>[1]Data!G321</f>
        <v>3</v>
      </c>
      <c r="H330" s="15">
        <f>[1]Data!H321</f>
        <v>155</v>
      </c>
      <c r="I330" s="15">
        <f>[1]Data!I321</f>
        <v>0</v>
      </c>
      <c r="J330" s="1" t="str">
        <f>[1]Data!J321</f>
        <v>X</v>
      </c>
      <c r="K330" s="1" t="str">
        <f>[1]Data!K321</f>
        <v/>
      </c>
      <c r="L330" s="1" t="str">
        <f>[1]Data!L321</f>
        <v>09:05:03</v>
      </c>
      <c r="M330" s="1">
        <f>[1]Data!M321</f>
        <v>46030</v>
      </c>
      <c r="N330" s="1">
        <f>[1]Data!N321</f>
        <v>45363</v>
      </c>
      <c r="O330" s="1" t="str">
        <f>[1]Data!O321</f>
        <v>X</v>
      </c>
      <c r="P330" s="1" t="str">
        <f>[1]Data!P321</f>
        <v>2026</v>
      </c>
      <c r="Q330" s="15">
        <f>[1]Data!Q321</f>
        <v>155</v>
      </c>
      <c r="R330" s="1" t="str">
        <f>[1]Data!R321</f>
        <v/>
      </c>
    </row>
    <row r="331" spans="1:18" x14ac:dyDescent="0.35">
      <c r="A331" s="1" t="str">
        <f>[1]Data!A322</f>
        <v>4002738</v>
      </c>
      <c r="B331" s="1" t="str">
        <f>[1]Data!B322</f>
        <v>3300</v>
      </c>
      <c r="C331" s="1" t="str">
        <f>[1]Data!C322</f>
        <v>3001</v>
      </c>
      <c r="D331" s="1" t="str">
        <f>[1]Data!D322</f>
        <v>L</v>
      </c>
      <c r="E331" s="1" t="str">
        <f>[1]Data!E322</f>
        <v/>
      </c>
      <c r="F331" s="1" t="str">
        <f>[1]Data!F322</f>
        <v>2026</v>
      </c>
      <c r="G331" s="1" t="str">
        <f>[1]Data!G322</f>
        <v>2</v>
      </c>
      <c r="H331" s="15">
        <f>[1]Data!H322</f>
        <v>135</v>
      </c>
      <c r="I331" s="15">
        <f>[1]Data!I322</f>
        <v>0</v>
      </c>
      <c r="J331" s="1" t="str">
        <f>[1]Data!J322</f>
        <v>X</v>
      </c>
      <c r="K331" s="1" t="str">
        <f>[1]Data!K322</f>
        <v/>
      </c>
      <c r="L331" s="1" t="str">
        <f>[1]Data!L322</f>
        <v>09:05:01</v>
      </c>
      <c r="M331" s="1">
        <f>[1]Data!M322</f>
        <v>46030</v>
      </c>
      <c r="N331" s="1">
        <f>[1]Data!N322</f>
        <v>45363</v>
      </c>
      <c r="O331" s="1" t="str">
        <f>[1]Data!O322</f>
        <v>X</v>
      </c>
      <c r="P331" s="1" t="str">
        <f>[1]Data!P322</f>
        <v>2026</v>
      </c>
      <c r="Q331" s="15">
        <f>[1]Data!Q322</f>
        <v>135</v>
      </c>
      <c r="R331" s="1" t="str">
        <f>[1]Data!R322</f>
        <v/>
      </c>
    </row>
    <row r="332" spans="1:18" x14ac:dyDescent="0.35">
      <c r="A332" s="1" t="str">
        <f>[1]Data!A323</f>
        <v>4002739</v>
      </c>
      <c r="B332" s="1" t="str">
        <f>[1]Data!B323</f>
        <v>3300</v>
      </c>
      <c r="C332" s="1" t="str">
        <f>[1]Data!C323</f>
        <v>3001</v>
      </c>
      <c r="D332" s="1" t="str">
        <f>[1]Data!D323</f>
        <v>L</v>
      </c>
      <c r="E332" s="1" t="str">
        <f>[1]Data!E323</f>
        <v/>
      </c>
      <c r="F332" s="1" t="str">
        <f>[1]Data!F323</f>
        <v>2026</v>
      </c>
      <c r="G332" s="1" t="str">
        <f>[1]Data!G323</f>
        <v>3</v>
      </c>
      <c r="H332" s="15">
        <f>[1]Data!H323</f>
        <v>200</v>
      </c>
      <c r="I332" s="15">
        <f>[1]Data!I323</f>
        <v>0</v>
      </c>
      <c r="J332" s="1" t="str">
        <f>[1]Data!J323</f>
        <v>X</v>
      </c>
      <c r="K332" s="1" t="str">
        <f>[1]Data!K323</f>
        <v/>
      </c>
      <c r="L332" s="1" t="str">
        <f>[1]Data!L323</f>
        <v>09:07:02</v>
      </c>
      <c r="M332" s="1">
        <f>[1]Data!M323</f>
        <v>46030</v>
      </c>
      <c r="N332" s="1">
        <f>[1]Data!N323</f>
        <v>45363</v>
      </c>
      <c r="O332" s="1" t="str">
        <f>[1]Data!O323</f>
        <v>X</v>
      </c>
      <c r="P332" s="1" t="str">
        <f>[1]Data!P323</f>
        <v>2026</v>
      </c>
      <c r="Q332" s="15">
        <f>[1]Data!Q323</f>
        <v>200</v>
      </c>
      <c r="R332" s="1" t="str">
        <f>[1]Data!R323</f>
        <v/>
      </c>
    </row>
    <row r="333" spans="1:18" x14ac:dyDescent="0.35">
      <c r="A333" s="1" t="str">
        <f>[1]Data!A324</f>
        <v>4002740</v>
      </c>
      <c r="B333" s="1" t="str">
        <f>[1]Data!B324</f>
        <v>3300</v>
      </c>
      <c r="C333" s="1" t="str">
        <f>[1]Data!C324</f>
        <v>3001</v>
      </c>
      <c r="D333" s="1" t="str">
        <f>[1]Data!D324</f>
        <v>L</v>
      </c>
      <c r="E333" s="1" t="str">
        <f>[1]Data!E324</f>
        <v/>
      </c>
      <c r="F333" s="1" t="str">
        <f>[1]Data!F324</f>
        <v>2026</v>
      </c>
      <c r="G333" s="1" t="str">
        <f>[1]Data!G324</f>
        <v>2</v>
      </c>
      <c r="H333" s="15">
        <f>[1]Data!H324</f>
        <v>310</v>
      </c>
      <c r="I333" s="15">
        <f>[1]Data!I324</f>
        <v>0</v>
      </c>
      <c r="J333" s="1" t="str">
        <f>[1]Data!J324</f>
        <v>X</v>
      </c>
      <c r="K333" s="1" t="str">
        <f>[1]Data!K324</f>
        <v/>
      </c>
      <c r="L333" s="1" t="str">
        <f>[1]Data!L324</f>
        <v>09:07:01</v>
      </c>
      <c r="M333" s="1">
        <f>[1]Data!M324</f>
        <v>46030</v>
      </c>
      <c r="N333" s="1">
        <f>[1]Data!N324</f>
        <v>45363</v>
      </c>
      <c r="O333" s="1" t="str">
        <f>[1]Data!O324</f>
        <v>X</v>
      </c>
      <c r="P333" s="1" t="str">
        <f>[1]Data!P324</f>
        <v>2026</v>
      </c>
      <c r="Q333" s="15">
        <f>[1]Data!Q324</f>
        <v>310</v>
      </c>
      <c r="R333" s="1" t="str">
        <f>[1]Data!R324</f>
        <v/>
      </c>
    </row>
    <row r="334" spans="1:18" x14ac:dyDescent="0.35">
      <c r="A334" s="1" t="str">
        <f>[1]Data!A325</f>
        <v>4002741</v>
      </c>
      <c r="B334" s="1" t="str">
        <f>[1]Data!B325</f>
        <v>3300</v>
      </c>
      <c r="C334" s="1" t="str">
        <f>[1]Data!C325</f>
        <v>3001</v>
      </c>
      <c r="D334" s="1" t="str">
        <f>[1]Data!D325</f>
        <v>L</v>
      </c>
      <c r="E334" s="1" t="str">
        <f>[1]Data!E325</f>
        <v/>
      </c>
      <c r="F334" s="1" t="str">
        <f>[1]Data!F325</f>
        <v>2026</v>
      </c>
      <c r="G334" s="1" t="str">
        <f>[1]Data!G325</f>
        <v>2</v>
      </c>
      <c r="H334" s="15">
        <f>[1]Data!H325</f>
        <v>290</v>
      </c>
      <c r="I334" s="15">
        <f>[1]Data!I325</f>
        <v>0</v>
      </c>
      <c r="J334" s="1" t="str">
        <f>[1]Data!J325</f>
        <v>X</v>
      </c>
      <c r="K334" s="1" t="str">
        <f>[1]Data!K325</f>
        <v/>
      </c>
      <c r="L334" s="1" t="str">
        <f>[1]Data!L325</f>
        <v>09:10:02</v>
      </c>
      <c r="M334" s="1">
        <f>[1]Data!M325</f>
        <v>46030</v>
      </c>
      <c r="N334" s="1">
        <f>[1]Data!N325</f>
        <v>45363</v>
      </c>
      <c r="O334" s="1" t="str">
        <f>[1]Data!O325</f>
        <v>X</v>
      </c>
      <c r="P334" s="1" t="str">
        <f>[1]Data!P325</f>
        <v>2026</v>
      </c>
      <c r="Q334" s="15">
        <f>[1]Data!Q325</f>
        <v>290</v>
      </c>
      <c r="R334" s="1" t="str">
        <f>[1]Data!R325</f>
        <v/>
      </c>
    </row>
    <row r="335" spans="1:18" x14ac:dyDescent="0.35">
      <c r="A335" s="1" t="str">
        <f>[1]Data!A326</f>
        <v>4002742</v>
      </c>
      <c r="B335" s="1" t="str">
        <f>[1]Data!B326</f>
        <v>3300</v>
      </c>
      <c r="C335" s="1" t="str">
        <f>[1]Data!C326</f>
        <v>3001</v>
      </c>
      <c r="D335" s="1" t="str">
        <f>[1]Data!D326</f>
        <v>L</v>
      </c>
      <c r="E335" s="1" t="str">
        <f>[1]Data!E326</f>
        <v/>
      </c>
      <c r="F335" s="1" t="str">
        <f>[1]Data!F326</f>
        <v>2026</v>
      </c>
      <c r="G335" s="1" t="str">
        <f>[1]Data!G326</f>
        <v>2</v>
      </c>
      <c r="H335" s="15">
        <f>[1]Data!H326</f>
        <v>410</v>
      </c>
      <c r="I335" s="15">
        <f>[1]Data!I326</f>
        <v>0</v>
      </c>
      <c r="J335" s="1" t="str">
        <f>[1]Data!J326</f>
        <v>X</v>
      </c>
      <c r="K335" s="1" t="str">
        <f>[1]Data!K326</f>
        <v/>
      </c>
      <c r="L335" s="1" t="str">
        <f>[1]Data!L326</f>
        <v>05:07:03*</v>
      </c>
      <c r="M335" s="1">
        <f>[1]Data!M326</f>
        <v>46029</v>
      </c>
      <c r="N335" s="1">
        <f>[1]Data!N326</f>
        <v>45363</v>
      </c>
      <c r="O335" s="1" t="str">
        <f>[1]Data!O326</f>
        <v>X</v>
      </c>
      <c r="P335" s="1" t="str">
        <f>[1]Data!P326</f>
        <v>2026</v>
      </c>
      <c r="Q335" s="15">
        <f>[1]Data!Q326</f>
        <v>410</v>
      </c>
      <c r="R335" s="1" t="str">
        <f>[1]Data!R326</f>
        <v/>
      </c>
    </row>
    <row r="336" spans="1:18" x14ac:dyDescent="0.35">
      <c r="A336" s="1" t="str">
        <f>[1]Data!A327</f>
        <v>4002743</v>
      </c>
      <c r="B336" s="1" t="str">
        <f>[1]Data!B327</f>
        <v>3300</v>
      </c>
      <c r="C336" s="1" t="str">
        <f>[1]Data!C327</f>
        <v>3001</v>
      </c>
      <c r="D336" s="1" t="str">
        <f>[1]Data!D327</f>
        <v>L</v>
      </c>
      <c r="E336" s="1" t="str">
        <f>[1]Data!E327</f>
        <v/>
      </c>
      <c r="F336" s="1" t="str">
        <f>[1]Data!F327</f>
        <v>2026</v>
      </c>
      <c r="G336" s="1" t="str">
        <f>[1]Data!G327</f>
        <v>2</v>
      </c>
      <c r="H336" s="15">
        <f>[1]Data!H327</f>
        <v>200</v>
      </c>
      <c r="I336" s="15">
        <f>[1]Data!I327</f>
        <v>0</v>
      </c>
      <c r="J336" s="1" t="str">
        <f>[1]Data!J327</f>
        <v>X</v>
      </c>
      <c r="K336" s="1" t="str">
        <f>[1]Data!K327</f>
        <v/>
      </c>
      <c r="L336" s="1" t="str">
        <f>[1]Data!L327</f>
        <v>13:10:00</v>
      </c>
      <c r="M336" s="1">
        <f>[1]Data!M327</f>
        <v>46030</v>
      </c>
      <c r="N336" s="1">
        <f>[1]Data!N327</f>
        <v>45363</v>
      </c>
      <c r="O336" s="1" t="str">
        <f>[1]Data!O327</f>
        <v>X</v>
      </c>
      <c r="P336" s="1" t="str">
        <f>[1]Data!P327</f>
        <v>2026</v>
      </c>
      <c r="Q336" s="15">
        <f>[1]Data!Q327</f>
        <v>200</v>
      </c>
      <c r="R336" s="1" t="str">
        <f>[1]Data!R327</f>
        <v/>
      </c>
    </row>
    <row r="337" spans="1:18" x14ac:dyDescent="0.35">
      <c r="A337" s="1" t="str">
        <f>[1]Data!A328</f>
        <v>4002745</v>
      </c>
      <c r="B337" s="1" t="str">
        <f>[1]Data!B328</f>
        <v>3300</v>
      </c>
      <c r="C337" s="1" t="str">
        <f>[1]Data!C328</f>
        <v>3001</v>
      </c>
      <c r="D337" s="1" t="str">
        <f>[1]Data!D328</f>
        <v>L</v>
      </c>
      <c r="E337" s="1" t="str">
        <f>[1]Data!E328</f>
        <v/>
      </c>
      <c r="F337" s="1" t="str">
        <f>[1]Data!F328</f>
        <v>2026</v>
      </c>
      <c r="G337" s="1" t="str">
        <f>[1]Data!G328</f>
        <v>2</v>
      </c>
      <c r="H337" s="15">
        <f>[1]Data!H328</f>
        <v>180</v>
      </c>
      <c r="I337" s="15">
        <f>[1]Data!I328</f>
        <v>0</v>
      </c>
      <c r="J337" s="1" t="str">
        <f>[1]Data!J328</f>
        <v>X</v>
      </c>
      <c r="K337" s="1" t="str">
        <f>[1]Data!K328</f>
        <v/>
      </c>
      <c r="L337" s="1" t="str">
        <f>[1]Data!L328</f>
        <v>12:13:00</v>
      </c>
      <c r="M337" s="1">
        <f>[1]Data!M328</f>
        <v>46030</v>
      </c>
      <c r="N337" s="1">
        <f>[1]Data!N328</f>
        <v>45363</v>
      </c>
      <c r="O337" s="1" t="str">
        <f>[1]Data!O328</f>
        <v>X</v>
      </c>
      <c r="P337" s="1" t="str">
        <f>[1]Data!P328</f>
        <v>2026</v>
      </c>
      <c r="Q337" s="15">
        <f>[1]Data!Q328</f>
        <v>180</v>
      </c>
      <c r="R337" s="1" t="str">
        <f>[1]Data!R328</f>
        <v/>
      </c>
    </row>
    <row r="338" spans="1:18" x14ac:dyDescent="0.35">
      <c r="A338" s="1" t="str">
        <f>[1]Data!A329</f>
        <v>4002809</v>
      </c>
      <c r="B338" s="1" t="str">
        <f>[1]Data!B329</f>
        <v>3300</v>
      </c>
      <c r="C338" s="1" t="str">
        <f>[1]Data!C329</f>
        <v>3001</v>
      </c>
      <c r="D338" s="1" t="str">
        <f>[1]Data!D329</f>
        <v>L</v>
      </c>
      <c r="E338" s="1" t="str">
        <f>[1]Data!E329</f>
        <v/>
      </c>
      <c r="F338" s="1" t="str">
        <f>[1]Data!F329</f>
        <v>2026</v>
      </c>
      <c r="G338" s="1" t="str">
        <f>[1]Data!G329</f>
        <v>3</v>
      </c>
      <c r="H338" s="15">
        <f>[1]Data!H329</f>
        <v>5145</v>
      </c>
      <c r="I338" s="15">
        <f>[1]Data!I329</f>
        <v>0</v>
      </c>
      <c r="J338" s="1" t="str">
        <f>[1]Data!J329</f>
        <v>X</v>
      </c>
      <c r="K338" s="1" t="str">
        <f>[1]Data!K329</f>
        <v>X</v>
      </c>
      <c r="L338" s="1" t="str">
        <f>[1]Data!L329</f>
        <v>11:10:00</v>
      </c>
      <c r="M338" s="1">
        <f>[1]Data!M329</f>
        <v>45994</v>
      </c>
      <c r="N338" s="1">
        <f>[1]Data!N329</f>
        <v>44430</v>
      </c>
      <c r="O338" s="1" t="str">
        <f>[1]Data!O329</f>
        <v>X</v>
      </c>
      <c r="P338" s="1" t="str">
        <f>[1]Data!P329</f>
        <v>2025</v>
      </c>
      <c r="Q338" s="15">
        <f>[1]Data!Q329</f>
        <v>5145</v>
      </c>
      <c r="R338" s="1" t="str">
        <f>[1]Data!R329</f>
        <v/>
      </c>
    </row>
    <row r="339" spans="1:18" x14ac:dyDescent="0.35">
      <c r="A339" s="1" t="str">
        <f>[1]Data!A330</f>
        <v>4002843</v>
      </c>
      <c r="B339" s="1" t="str">
        <f>[1]Data!B330</f>
        <v>3300</v>
      </c>
      <c r="C339" s="1" t="str">
        <f>[1]Data!C330</f>
        <v>3001</v>
      </c>
      <c r="D339" s="1" t="str">
        <f>[1]Data!D330</f>
        <v>DL</v>
      </c>
      <c r="E339" s="1" t="str">
        <f>[1]Data!E330</f>
        <v/>
      </c>
      <c r="F339" s="1" t="str">
        <f>[1]Data!F330</f>
        <v>2022</v>
      </c>
      <c r="G339" s="1" t="str">
        <f>[1]Data!G330</f>
        <v>2</v>
      </c>
      <c r="H339" s="15">
        <f>[1]Data!H330</f>
        <v>0</v>
      </c>
      <c r="I339" s="15">
        <f>[1]Data!I330</f>
        <v>0</v>
      </c>
      <c r="J339" s="1" t="str">
        <f>[1]Data!J330</f>
        <v/>
      </c>
      <c r="K339" s="1" t="str">
        <f>[1]Data!K330</f>
        <v/>
      </c>
      <c r="L339" s="1" t="str">
        <f>[1]Data!L330</f>
        <v/>
      </c>
      <c r="M339" s="1" t="str">
        <f>[1]Data!M330</f>
        <v/>
      </c>
      <c r="N339" s="1">
        <f>[1]Data!N330</f>
        <v>44595</v>
      </c>
      <c r="O339" s="1" t="str">
        <f>[1]Data!O330</f>
        <v>X</v>
      </c>
      <c r="P339" s="1" t="str">
        <f>[1]Data!P330</f>
        <v>2022</v>
      </c>
      <c r="Q339" s="15">
        <f>[1]Data!Q330</f>
        <v>0</v>
      </c>
      <c r="R339" s="1" t="str">
        <f>[1]Data!R330</f>
        <v>INAKTIV</v>
      </c>
    </row>
    <row r="340" spans="1:18" x14ac:dyDescent="0.35">
      <c r="A340" s="1" t="str">
        <f>[1]Data!A331</f>
        <v>4002847</v>
      </c>
      <c r="B340" s="1" t="str">
        <f>[1]Data!B331</f>
        <v>3300</v>
      </c>
      <c r="C340" s="1" t="str">
        <f>[1]Data!C331</f>
        <v>3001</v>
      </c>
      <c r="D340" s="1" t="str">
        <f>[1]Data!D331</f>
        <v>L</v>
      </c>
      <c r="E340" s="1" t="str">
        <f>[1]Data!E331</f>
        <v/>
      </c>
      <c r="F340" s="1" t="str">
        <f>[1]Data!F331</f>
        <v>2026</v>
      </c>
      <c r="G340" s="1" t="str">
        <f>[1]Data!G331</f>
        <v>2</v>
      </c>
      <c r="H340" s="15">
        <f>[1]Data!H331</f>
        <v>120</v>
      </c>
      <c r="I340" s="15">
        <f>[1]Data!I331</f>
        <v>0</v>
      </c>
      <c r="J340" s="1" t="str">
        <f>[1]Data!J331</f>
        <v>X</v>
      </c>
      <c r="K340" s="1" t="str">
        <f>[1]Data!K331</f>
        <v>X</v>
      </c>
      <c r="L340" s="1" t="str">
        <f>[1]Data!L331</f>
        <v>05:03:01</v>
      </c>
      <c r="M340" s="1">
        <f>[1]Data!M331</f>
        <v>45803</v>
      </c>
      <c r="N340" s="1">
        <f>[1]Data!N331</f>
        <v>44430</v>
      </c>
      <c r="O340" s="1" t="str">
        <f>[1]Data!O331</f>
        <v>X</v>
      </c>
      <c r="P340" s="1" t="str">
        <f>[1]Data!P331</f>
        <v>2025</v>
      </c>
      <c r="Q340" s="15">
        <f>[1]Data!Q331</f>
        <v>120</v>
      </c>
      <c r="R340" s="1" t="str">
        <f>[1]Data!R331</f>
        <v/>
      </c>
    </row>
    <row r="341" spans="1:18" x14ac:dyDescent="0.35">
      <c r="A341" s="1" t="str">
        <f>[1]Data!A332</f>
        <v>4002874</v>
      </c>
      <c r="B341" s="1" t="str">
        <f>[1]Data!B332</f>
        <v>3300</v>
      </c>
      <c r="C341" s="1" t="str">
        <f>[1]Data!C332</f>
        <v>3001</v>
      </c>
      <c r="D341" s="1" t="str">
        <f>[1]Data!D332</f>
        <v>L</v>
      </c>
      <c r="E341" s="1" t="str">
        <f>[1]Data!E332</f>
        <v/>
      </c>
      <c r="F341" s="1" t="str">
        <f>[1]Data!F332</f>
        <v>2026</v>
      </c>
      <c r="G341" s="1" t="str">
        <f>[1]Data!G332</f>
        <v>3</v>
      </c>
      <c r="H341" s="15">
        <f>[1]Data!H332</f>
        <v>232</v>
      </c>
      <c r="I341" s="15">
        <f>[1]Data!I332</f>
        <v>0</v>
      </c>
      <c r="J341" s="1" t="str">
        <f>[1]Data!J332</f>
        <v>X</v>
      </c>
      <c r="K341" s="1" t="str">
        <f>[1]Data!K332</f>
        <v>X</v>
      </c>
      <c r="L341" s="1" t="str">
        <f>[1]Data!L332</f>
        <v>09:02:02*</v>
      </c>
      <c r="M341" s="1">
        <f>[1]Data!M332</f>
        <v>45980</v>
      </c>
      <c r="N341" s="1">
        <f>[1]Data!N332</f>
        <v>44430</v>
      </c>
      <c r="O341" s="1" t="str">
        <f>[1]Data!O332</f>
        <v>X</v>
      </c>
      <c r="P341" s="1" t="str">
        <f>[1]Data!P332</f>
        <v>2025</v>
      </c>
      <c r="Q341" s="15">
        <f>[1]Data!Q332</f>
        <v>232</v>
      </c>
      <c r="R341" s="1" t="str">
        <f>[1]Data!R332</f>
        <v/>
      </c>
    </row>
    <row r="342" spans="1:18" x14ac:dyDescent="0.35">
      <c r="A342" s="1" t="str">
        <f>[1]Data!A333</f>
        <v>4002898</v>
      </c>
      <c r="B342" s="1" t="str">
        <f>[1]Data!B333</f>
        <v>3300</v>
      </c>
      <c r="C342" s="1" t="str">
        <f>[1]Data!C333</f>
        <v>3001</v>
      </c>
      <c r="D342" s="1" t="str">
        <f>[1]Data!D333</f>
        <v>L</v>
      </c>
      <c r="E342" s="1" t="str">
        <f>[1]Data!E333</f>
        <v/>
      </c>
      <c r="F342" s="1" t="str">
        <f>[1]Data!F333</f>
        <v>2026</v>
      </c>
      <c r="G342" s="1" t="str">
        <f>[1]Data!G333</f>
        <v>2</v>
      </c>
      <c r="H342" s="15">
        <f>[1]Data!H333</f>
        <v>300</v>
      </c>
      <c r="I342" s="15">
        <f>[1]Data!I333</f>
        <v>0</v>
      </c>
      <c r="J342" s="1" t="str">
        <f>[1]Data!J333</f>
        <v>X</v>
      </c>
      <c r="K342" s="1" t="str">
        <f>[1]Data!K333</f>
        <v>X</v>
      </c>
      <c r="L342" s="1" t="str">
        <f>[1]Data!L333</f>
        <v>10:06:02</v>
      </c>
      <c r="M342" s="1">
        <f>[1]Data!M333</f>
        <v>45987</v>
      </c>
      <c r="N342" s="1">
        <f>[1]Data!N333</f>
        <v>44430</v>
      </c>
      <c r="O342" s="1" t="str">
        <f>[1]Data!O333</f>
        <v>X</v>
      </c>
      <c r="P342" s="1" t="str">
        <f>[1]Data!P333</f>
        <v>2025</v>
      </c>
      <c r="Q342" s="15">
        <f>[1]Data!Q333</f>
        <v>300</v>
      </c>
      <c r="R342" s="1" t="str">
        <f>[1]Data!R333</f>
        <v/>
      </c>
    </row>
    <row r="343" spans="1:18" x14ac:dyDescent="0.35">
      <c r="A343" s="1" t="str">
        <f>[1]Data!A334</f>
        <v>4002899</v>
      </c>
      <c r="B343" s="1" t="str">
        <f>[1]Data!B334</f>
        <v>3300</v>
      </c>
      <c r="C343" s="1" t="str">
        <f>[1]Data!C334</f>
        <v>3001</v>
      </c>
      <c r="D343" s="1" t="str">
        <f>[1]Data!D334</f>
        <v>L</v>
      </c>
      <c r="E343" s="1" t="str">
        <f>[1]Data!E334</f>
        <v/>
      </c>
      <c r="F343" s="1" t="str">
        <f>[1]Data!F334</f>
        <v>2021</v>
      </c>
      <c r="G343" s="1" t="str">
        <f>[1]Data!G334</f>
        <v>10</v>
      </c>
      <c r="H343" s="15">
        <f>[1]Data!H334</f>
        <v>0</v>
      </c>
      <c r="I343" s="15">
        <f>[1]Data!I334</f>
        <v>0</v>
      </c>
      <c r="J343" s="1" t="str">
        <f>[1]Data!J334</f>
        <v/>
      </c>
      <c r="K343" s="1" t="str">
        <f>[1]Data!K334</f>
        <v>X</v>
      </c>
      <c r="L343" s="1" t="str">
        <f>[1]Data!L334</f>
        <v>SLETTET</v>
      </c>
      <c r="M343" s="1">
        <f>[1]Data!M334</f>
        <v>44568</v>
      </c>
      <c r="N343" s="1">
        <f>[1]Data!N334</f>
        <v>44430</v>
      </c>
      <c r="O343" s="1" t="str">
        <f>[1]Data!O334</f>
        <v>X</v>
      </c>
      <c r="P343" s="1" t="str">
        <f>[1]Data!P334</f>
        <v>2023</v>
      </c>
      <c r="Q343" s="15">
        <f>[1]Data!Q334</f>
        <v>0</v>
      </c>
      <c r="R343" s="1" t="str">
        <f>[1]Data!R334</f>
        <v>INAKTIV</v>
      </c>
    </row>
    <row r="344" spans="1:18" x14ac:dyDescent="0.35">
      <c r="A344" s="1" t="str">
        <f>[1]Data!A335</f>
        <v>4002985</v>
      </c>
      <c r="B344" s="1" t="str">
        <f>[1]Data!B335</f>
        <v>3300</v>
      </c>
      <c r="C344" s="1" t="str">
        <f>[1]Data!C335</f>
        <v>3001</v>
      </c>
      <c r="D344" s="1" t="str">
        <f>[1]Data!D335</f>
        <v>DL</v>
      </c>
      <c r="E344" s="1" t="str">
        <f>[1]Data!E335</f>
        <v/>
      </c>
      <c r="F344" s="1" t="str">
        <f>[1]Data!F335</f>
        <v>2026</v>
      </c>
      <c r="G344" s="1" t="str">
        <f>[1]Data!G335</f>
        <v>2</v>
      </c>
      <c r="H344" s="15">
        <f>[1]Data!H335</f>
        <v>78</v>
      </c>
      <c r="I344" s="15">
        <f>[1]Data!I335</f>
        <v>0</v>
      </c>
      <c r="J344" s="1" t="str">
        <f>[1]Data!J335</f>
        <v>X</v>
      </c>
      <c r="K344" s="1" t="str">
        <f>[1]Data!K335</f>
        <v>X</v>
      </c>
      <c r="L344" s="1" t="str">
        <f>[1]Data!L335</f>
        <v>15:08:03</v>
      </c>
      <c r="M344" s="1">
        <f>[1]Data!M335</f>
        <v>46006</v>
      </c>
      <c r="N344" s="1">
        <f>[1]Data!N335</f>
        <v>44582</v>
      </c>
      <c r="O344" s="1" t="str">
        <f>[1]Data!O335</f>
        <v>X</v>
      </c>
      <c r="P344" s="1" t="str">
        <f>[1]Data!P335</f>
        <v>2025</v>
      </c>
      <c r="Q344" s="15">
        <f>[1]Data!Q335</f>
        <v>78</v>
      </c>
      <c r="R344" s="1" t="str">
        <f>[1]Data!R335</f>
        <v/>
      </c>
    </row>
    <row r="345" spans="1:18" x14ac:dyDescent="0.35">
      <c r="A345" s="1" t="str">
        <f>[1]Data!A336</f>
        <v>4003002</v>
      </c>
      <c r="B345" s="1" t="str">
        <f>[1]Data!B336</f>
        <v>3300</v>
      </c>
      <c r="C345" s="1" t="str">
        <f>[1]Data!C336</f>
        <v>3001</v>
      </c>
      <c r="D345" s="1" t="str">
        <f>[1]Data!D336</f>
        <v>L</v>
      </c>
      <c r="E345" s="1" t="str">
        <f>[1]Data!E336</f>
        <v/>
      </c>
      <c r="F345" s="1" t="str">
        <f>[1]Data!F336</f>
        <v>2026</v>
      </c>
      <c r="G345" s="1" t="str">
        <f>[1]Data!G336</f>
        <v>2</v>
      </c>
      <c r="H345" s="15">
        <f>[1]Data!H336</f>
        <v>68</v>
      </c>
      <c r="I345" s="15">
        <f>[1]Data!I336</f>
        <v>0</v>
      </c>
      <c r="J345" s="1" t="str">
        <f>[1]Data!J336</f>
        <v>X</v>
      </c>
      <c r="K345" s="1" t="str">
        <f>[1]Data!K336</f>
        <v>X</v>
      </c>
      <c r="L345" s="1" t="str">
        <f>[1]Data!L336</f>
        <v>13:07:01</v>
      </c>
      <c r="M345" s="1">
        <f>[1]Data!M336</f>
        <v>45994</v>
      </c>
      <c r="N345" s="1">
        <f>[1]Data!N336</f>
        <v>44430</v>
      </c>
      <c r="O345" s="1" t="str">
        <f>[1]Data!O336</f>
        <v>X</v>
      </c>
      <c r="P345" s="1" t="str">
        <f>[1]Data!P336</f>
        <v>2025</v>
      </c>
      <c r="Q345" s="15">
        <f>[1]Data!Q336</f>
        <v>68</v>
      </c>
      <c r="R345" s="1" t="str">
        <f>[1]Data!R336</f>
        <v/>
      </c>
    </row>
    <row r="346" spans="1:18" x14ac:dyDescent="0.35">
      <c r="A346" s="1" t="str">
        <f>[1]Data!A337</f>
        <v>4003004</v>
      </c>
      <c r="B346" s="1" t="str">
        <f>[1]Data!B337</f>
        <v>3300</v>
      </c>
      <c r="C346" s="1" t="str">
        <f>[1]Data!C337</f>
        <v>3001</v>
      </c>
      <c r="D346" s="1" t="str">
        <f>[1]Data!D337</f>
        <v>L</v>
      </c>
      <c r="E346" s="1" t="str">
        <f>[1]Data!E337</f>
        <v/>
      </c>
      <c r="F346" s="1" t="str">
        <f>[1]Data!F337</f>
        <v>2026</v>
      </c>
      <c r="G346" s="1" t="str">
        <f>[1]Data!G337</f>
        <v>2</v>
      </c>
      <c r="H346" s="15">
        <f>[1]Data!H337</f>
        <v>25</v>
      </c>
      <c r="I346" s="15">
        <f>[1]Data!I337</f>
        <v>0</v>
      </c>
      <c r="J346" s="1" t="str">
        <f>[1]Data!J337</f>
        <v>X</v>
      </c>
      <c r="K346" s="1" t="str">
        <f>[1]Data!K337</f>
        <v>X</v>
      </c>
      <c r="L346" s="1" t="str">
        <f>[1]Data!L337</f>
        <v>11:06:03</v>
      </c>
      <c r="M346" s="1">
        <f>[1]Data!M337</f>
        <v>45994</v>
      </c>
      <c r="N346" s="1">
        <f>[1]Data!N337</f>
        <v>44430</v>
      </c>
      <c r="O346" s="1" t="str">
        <f>[1]Data!O337</f>
        <v>X</v>
      </c>
      <c r="P346" s="1" t="str">
        <f>[1]Data!P337</f>
        <v>2025</v>
      </c>
      <c r="Q346" s="15">
        <f>[1]Data!Q337</f>
        <v>25</v>
      </c>
      <c r="R346" s="1" t="str">
        <f>[1]Data!R337</f>
        <v/>
      </c>
    </row>
    <row r="347" spans="1:18" x14ac:dyDescent="0.35">
      <c r="A347" s="1" t="str">
        <f>[1]Data!A338</f>
        <v>4003005</v>
      </c>
      <c r="B347" s="1" t="str">
        <f>[1]Data!B338</f>
        <v>3300</v>
      </c>
      <c r="C347" s="1" t="str">
        <f>[1]Data!C338</f>
        <v>3001</v>
      </c>
      <c r="D347" s="1" t="str">
        <f>[1]Data!D338</f>
        <v>L</v>
      </c>
      <c r="E347" s="1" t="str">
        <f>[1]Data!E338</f>
        <v/>
      </c>
      <c r="F347" s="1" t="str">
        <f>[1]Data!F338</f>
        <v>2026</v>
      </c>
      <c r="G347" s="1" t="str">
        <f>[1]Data!G338</f>
        <v>2</v>
      </c>
      <c r="H347" s="15">
        <f>[1]Data!H338</f>
        <v>30</v>
      </c>
      <c r="I347" s="15">
        <f>[1]Data!I338</f>
        <v>0</v>
      </c>
      <c r="J347" s="1" t="str">
        <f>[1]Data!J338</f>
        <v>X</v>
      </c>
      <c r="K347" s="1" t="str">
        <f>[1]Data!K338</f>
        <v>X</v>
      </c>
      <c r="L347" s="1" t="str">
        <f>[1]Data!L338</f>
        <v>12:07:03</v>
      </c>
      <c r="M347" s="1">
        <f>[1]Data!M338</f>
        <v>45994</v>
      </c>
      <c r="N347" s="1">
        <f>[1]Data!N338</f>
        <v>44430</v>
      </c>
      <c r="O347" s="1" t="str">
        <f>[1]Data!O338</f>
        <v>X</v>
      </c>
      <c r="P347" s="1" t="str">
        <f>[1]Data!P338</f>
        <v>2025</v>
      </c>
      <c r="Q347" s="15">
        <f>[1]Data!Q338</f>
        <v>30</v>
      </c>
      <c r="R347" s="1" t="str">
        <f>[1]Data!R338</f>
        <v/>
      </c>
    </row>
    <row r="348" spans="1:18" x14ac:dyDescent="0.35">
      <c r="A348" s="1" t="str">
        <f>[1]Data!A339</f>
        <v>4003006</v>
      </c>
      <c r="B348" s="1" t="str">
        <f>[1]Data!B339</f>
        <v>3300</v>
      </c>
      <c r="C348" s="1" t="str">
        <f>[1]Data!C339</f>
        <v>3001</v>
      </c>
      <c r="D348" s="1" t="str">
        <f>[1]Data!D339</f>
        <v>L</v>
      </c>
      <c r="E348" s="1" t="str">
        <f>[1]Data!E339</f>
        <v/>
      </c>
      <c r="F348" s="1" t="str">
        <f>[1]Data!F339</f>
        <v>2026</v>
      </c>
      <c r="G348" s="1" t="str">
        <f>[1]Data!G339</f>
        <v>2</v>
      </c>
      <c r="H348" s="15">
        <f>[1]Data!H339</f>
        <v>33</v>
      </c>
      <c r="I348" s="15">
        <f>[1]Data!I339</f>
        <v>0</v>
      </c>
      <c r="J348" s="1" t="str">
        <f>[1]Data!J339</f>
        <v>X</v>
      </c>
      <c r="K348" s="1" t="str">
        <f>[1]Data!K339</f>
        <v>X</v>
      </c>
      <c r="L348" s="1" t="str">
        <f>[1]Data!L339</f>
        <v>11:04:02</v>
      </c>
      <c r="M348" s="1">
        <f>[1]Data!M339</f>
        <v>45994</v>
      </c>
      <c r="N348" s="1">
        <f>[1]Data!N339</f>
        <v>44430</v>
      </c>
      <c r="O348" s="1" t="str">
        <f>[1]Data!O339</f>
        <v>X</v>
      </c>
      <c r="P348" s="1" t="str">
        <f>[1]Data!P339</f>
        <v>2025</v>
      </c>
      <c r="Q348" s="15">
        <f>[1]Data!Q339</f>
        <v>33</v>
      </c>
      <c r="R348" s="1" t="str">
        <f>[1]Data!R339</f>
        <v/>
      </c>
    </row>
    <row r="349" spans="1:18" x14ac:dyDescent="0.35">
      <c r="A349" s="1" t="str">
        <f>[1]Data!A340</f>
        <v>4003008</v>
      </c>
      <c r="B349" s="1" t="str">
        <f>[1]Data!B340</f>
        <v>3300</v>
      </c>
      <c r="C349" s="1" t="str">
        <f>[1]Data!C340</f>
        <v>3001</v>
      </c>
      <c r="D349" s="1" t="str">
        <f>[1]Data!D340</f>
        <v>L</v>
      </c>
      <c r="E349" s="1" t="str">
        <f>[1]Data!E340</f>
        <v/>
      </c>
      <c r="F349" s="1" t="str">
        <f>[1]Data!F340</f>
        <v>2026</v>
      </c>
      <c r="G349" s="1" t="str">
        <f>[1]Data!G340</f>
        <v>2</v>
      </c>
      <c r="H349" s="15">
        <f>[1]Data!H340</f>
        <v>160</v>
      </c>
      <c r="I349" s="15">
        <f>[1]Data!I340</f>
        <v>0</v>
      </c>
      <c r="J349" s="1" t="str">
        <f>[1]Data!J340</f>
        <v>X</v>
      </c>
      <c r="K349" s="1" t="str">
        <f>[1]Data!K340</f>
        <v>X</v>
      </c>
      <c r="L349" s="1" t="str">
        <f>[1]Data!L340</f>
        <v>12:13:03</v>
      </c>
      <c r="M349" s="1">
        <f>[1]Data!M340</f>
        <v>45994</v>
      </c>
      <c r="N349" s="1">
        <f>[1]Data!N340</f>
        <v>44430</v>
      </c>
      <c r="O349" s="1" t="str">
        <f>[1]Data!O340</f>
        <v>X</v>
      </c>
      <c r="P349" s="1" t="str">
        <f>[1]Data!P340</f>
        <v>2025</v>
      </c>
      <c r="Q349" s="15">
        <f>[1]Data!Q340</f>
        <v>160</v>
      </c>
      <c r="R349" s="1" t="str">
        <f>[1]Data!R340</f>
        <v/>
      </c>
    </row>
    <row r="350" spans="1:18" x14ac:dyDescent="0.35">
      <c r="A350" s="1" t="str">
        <f>[1]Data!A341</f>
        <v>4003208</v>
      </c>
      <c r="B350" s="1" t="str">
        <f>[1]Data!B341</f>
        <v>3300</v>
      </c>
      <c r="C350" s="1" t="str">
        <f>[1]Data!C341</f>
        <v>3001</v>
      </c>
      <c r="D350" s="1" t="str">
        <f>[1]Data!D341</f>
        <v>DL</v>
      </c>
      <c r="E350" s="1" t="str">
        <f>[1]Data!E341</f>
        <v/>
      </c>
      <c r="F350" s="1" t="str">
        <f>[1]Data!F341</f>
        <v>2026</v>
      </c>
      <c r="G350" s="1" t="str">
        <f>[1]Data!G341</f>
        <v>2</v>
      </c>
      <c r="H350" s="15">
        <f>[1]Data!H341</f>
        <v>120</v>
      </c>
      <c r="I350" s="15">
        <f>[1]Data!I341</f>
        <v>0</v>
      </c>
      <c r="J350" s="1" t="str">
        <f>[1]Data!J341</f>
        <v>X</v>
      </c>
      <c r="K350" s="1" t="str">
        <f>[1]Data!K341</f>
        <v>X</v>
      </c>
      <c r="L350" s="1" t="str">
        <f>[1]Data!L341</f>
        <v>06:07:03</v>
      </c>
      <c r="M350" s="1">
        <f>[1]Data!M341</f>
        <v>45819</v>
      </c>
      <c r="N350" s="1">
        <f>[1]Data!N341</f>
        <v>45235</v>
      </c>
      <c r="O350" s="1" t="str">
        <f>[1]Data!O341</f>
        <v>X</v>
      </c>
      <c r="P350" s="1" t="str">
        <f>[1]Data!P341</f>
        <v>2025</v>
      </c>
      <c r="Q350" s="15">
        <f>[1]Data!Q341</f>
        <v>120</v>
      </c>
      <c r="R350" s="1" t="str">
        <f>[1]Data!R341</f>
        <v/>
      </c>
    </row>
    <row r="351" spans="1:18" x14ac:dyDescent="0.35">
      <c r="A351" s="1" t="str">
        <f>[1]Data!A342</f>
        <v>4003238</v>
      </c>
      <c r="B351" s="1" t="str">
        <f>[1]Data!B342</f>
        <v>3300</v>
      </c>
      <c r="C351" s="1" t="str">
        <f>[1]Data!C342</f>
        <v>3001</v>
      </c>
      <c r="D351" s="1" t="str">
        <f>[1]Data!D342</f>
        <v>L</v>
      </c>
      <c r="E351" s="1" t="str">
        <f>[1]Data!E342</f>
        <v/>
      </c>
      <c r="F351" s="1" t="str">
        <f>[1]Data!F342</f>
        <v>2026</v>
      </c>
      <c r="G351" s="1" t="str">
        <f>[1]Data!G342</f>
        <v>2</v>
      </c>
      <c r="H351" s="15">
        <f>[1]Data!H342</f>
        <v>25</v>
      </c>
      <c r="I351" s="15">
        <f>[1]Data!I342</f>
        <v>0</v>
      </c>
      <c r="J351" s="1" t="str">
        <f>[1]Data!J342</f>
        <v>X</v>
      </c>
      <c r="K351" s="1" t="str">
        <f>[1]Data!K342</f>
        <v>X</v>
      </c>
      <c r="L351" s="1" t="str">
        <f>[1]Data!L342</f>
        <v>03:10:02</v>
      </c>
      <c r="M351" s="1">
        <f>[1]Data!M342</f>
        <v>45798</v>
      </c>
      <c r="N351" s="1">
        <f>[1]Data!N342</f>
        <v>44430</v>
      </c>
      <c r="O351" s="1" t="str">
        <f>[1]Data!O342</f>
        <v>X</v>
      </c>
      <c r="P351" s="1" t="str">
        <f>[1]Data!P342</f>
        <v>2025</v>
      </c>
      <c r="Q351" s="15">
        <f>[1]Data!Q342</f>
        <v>25</v>
      </c>
      <c r="R351" s="1" t="str">
        <f>[1]Data!R342</f>
        <v/>
      </c>
    </row>
    <row r="352" spans="1:18" x14ac:dyDescent="0.35">
      <c r="A352" s="1" t="str">
        <f>[1]Data!A343</f>
        <v>4003241</v>
      </c>
      <c r="B352" s="1" t="str">
        <f>[1]Data!B343</f>
        <v>3300</v>
      </c>
      <c r="C352" s="1" t="str">
        <f>[1]Data!C343</f>
        <v>3001</v>
      </c>
      <c r="D352" s="1" t="str">
        <f>[1]Data!D343</f>
        <v>DL</v>
      </c>
      <c r="E352" s="1" t="str">
        <f>[1]Data!E343</f>
        <v/>
      </c>
      <c r="F352" s="1" t="str">
        <f>[1]Data!F343</f>
        <v>2025</v>
      </c>
      <c r="G352" s="1" t="str">
        <f>[1]Data!G343</f>
        <v>12</v>
      </c>
      <c r="H352" s="15">
        <f>[1]Data!H343</f>
        <v>260</v>
      </c>
      <c r="I352" s="15">
        <f>[1]Data!I343</f>
        <v>0</v>
      </c>
      <c r="J352" s="1" t="str">
        <f>[1]Data!J343</f>
        <v>X</v>
      </c>
      <c r="K352" s="1" t="str">
        <f>[1]Data!K343</f>
        <v>X</v>
      </c>
      <c r="L352" s="1" t="str">
        <f>[1]Data!L343</f>
        <v>04:07:02</v>
      </c>
      <c r="M352" s="1">
        <f>[1]Data!M343</f>
        <v>45799</v>
      </c>
      <c r="N352" s="1">
        <f>[1]Data!N343</f>
        <v>44979</v>
      </c>
      <c r="O352" s="1" t="str">
        <f>[1]Data!O343</f>
        <v>X</v>
      </c>
      <c r="P352" s="1" t="str">
        <f>[1]Data!P343</f>
        <v>2025</v>
      </c>
      <c r="Q352" s="15">
        <f>[1]Data!Q343</f>
        <v>260</v>
      </c>
      <c r="R352" s="1" t="str">
        <f>[1]Data!R343</f>
        <v/>
      </c>
    </row>
    <row r="353" spans="1:18" x14ac:dyDescent="0.35">
      <c r="A353" s="1" t="str">
        <f>[1]Data!A344</f>
        <v>4003273</v>
      </c>
      <c r="B353" s="1" t="str">
        <f>[1]Data!B344</f>
        <v>3300</v>
      </c>
      <c r="C353" s="1" t="str">
        <f>[1]Data!C344</f>
        <v>3001</v>
      </c>
      <c r="D353" s="1" t="str">
        <f>[1]Data!D344</f>
        <v>L</v>
      </c>
      <c r="E353" s="1" t="str">
        <f>[1]Data!E344</f>
        <v/>
      </c>
      <c r="F353" s="1" t="str">
        <f>[1]Data!F344</f>
        <v>2023</v>
      </c>
      <c r="G353" s="1" t="str">
        <f>[1]Data!G344</f>
        <v>4</v>
      </c>
      <c r="H353" s="15">
        <f>[1]Data!H344</f>
        <v>0</v>
      </c>
      <c r="I353" s="15">
        <f>[1]Data!I344</f>
        <v>0</v>
      </c>
      <c r="J353" s="1" t="str">
        <f>[1]Data!J344</f>
        <v/>
      </c>
      <c r="K353" s="1" t="str">
        <f>[1]Data!K344</f>
        <v>X</v>
      </c>
      <c r="L353" s="1" t="str">
        <f>[1]Data!L344</f>
        <v>SLETTET</v>
      </c>
      <c r="M353" s="1">
        <f>[1]Data!M344</f>
        <v>44568</v>
      </c>
      <c r="N353" s="1">
        <f>[1]Data!N344</f>
        <v>44430</v>
      </c>
      <c r="O353" s="1" t="str">
        <f>[1]Data!O344</f>
        <v>X</v>
      </c>
      <c r="P353" s="1" t="str">
        <f>[1]Data!P344</f>
        <v>2023</v>
      </c>
      <c r="Q353" s="15">
        <f>[1]Data!Q344</f>
        <v>0</v>
      </c>
      <c r="R353" s="1" t="str">
        <f>[1]Data!R344</f>
        <v>INAKTIV</v>
      </c>
    </row>
    <row r="354" spans="1:18" x14ac:dyDescent="0.35">
      <c r="A354" s="1" t="str">
        <f>[1]Data!A345</f>
        <v>4003308</v>
      </c>
      <c r="B354" s="1" t="str">
        <f>[1]Data!B345</f>
        <v>3300</v>
      </c>
      <c r="C354" s="1" t="str">
        <f>[1]Data!C345</f>
        <v>3001</v>
      </c>
      <c r="D354" s="1" t="str">
        <f>[1]Data!D345</f>
        <v>L</v>
      </c>
      <c r="E354" s="1" t="str">
        <f>[1]Data!E345</f>
        <v/>
      </c>
      <c r="F354" s="1" t="str">
        <f>[1]Data!F345</f>
        <v>2023</v>
      </c>
      <c r="G354" s="1" t="str">
        <f>[1]Data!G345</f>
        <v>10</v>
      </c>
      <c r="H354" s="15">
        <f>[1]Data!H345</f>
        <v>0</v>
      </c>
      <c r="I354" s="15">
        <f>[1]Data!I345</f>
        <v>0</v>
      </c>
      <c r="J354" s="1" t="str">
        <f>[1]Data!J345</f>
        <v/>
      </c>
      <c r="K354" s="1" t="str">
        <f>[1]Data!K345</f>
        <v/>
      </c>
      <c r="L354" s="1" t="str">
        <f>[1]Data!L345</f>
        <v>SLETTET</v>
      </c>
      <c r="M354" s="1">
        <f>[1]Data!M345</f>
        <v>45167</v>
      </c>
      <c r="N354" s="1">
        <f>[1]Data!N345</f>
        <v>44430</v>
      </c>
      <c r="O354" s="1" t="str">
        <f>[1]Data!O345</f>
        <v>X</v>
      </c>
      <c r="P354" s="1" t="str">
        <f>[1]Data!P345</f>
        <v>2025</v>
      </c>
      <c r="Q354" s="15">
        <f>[1]Data!Q345</f>
        <v>0</v>
      </c>
      <c r="R354" s="1" t="str">
        <f>[1]Data!R345</f>
        <v>INAKTIV</v>
      </c>
    </row>
    <row r="355" spans="1:18" x14ac:dyDescent="0.35">
      <c r="A355" s="1" t="str">
        <f>[1]Data!A346</f>
        <v>4003346</v>
      </c>
      <c r="B355" s="1" t="str">
        <f>[1]Data!B346</f>
        <v>3300</v>
      </c>
      <c r="C355" s="1" t="str">
        <f>[1]Data!C346</f>
        <v>3001</v>
      </c>
      <c r="D355" s="1" t="str">
        <f>[1]Data!D346</f>
        <v>L</v>
      </c>
      <c r="E355" s="1" t="str">
        <f>[1]Data!E346</f>
        <v/>
      </c>
      <c r="F355" s="1" t="str">
        <f>[1]Data!F346</f>
        <v>2026</v>
      </c>
      <c r="G355" s="1" t="str">
        <f>[1]Data!G346</f>
        <v>3</v>
      </c>
      <c r="H355" s="15">
        <f>[1]Data!H346</f>
        <v>114</v>
      </c>
      <c r="I355" s="15">
        <f>[1]Data!I346</f>
        <v>0</v>
      </c>
      <c r="J355" s="1" t="str">
        <f>[1]Data!J346</f>
        <v>X</v>
      </c>
      <c r="K355" s="1" t="str">
        <f>[1]Data!K346</f>
        <v>X</v>
      </c>
      <c r="L355" s="1" t="str">
        <f>[1]Data!L346</f>
        <v>10:02:02</v>
      </c>
      <c r="M355" s="1">
        <f>[1]Data!M346</f>
        <v>45987</v>
      </c>
      <c r="N355" s="1">
        <f>[1]Data!N346</f>
        <v>44430</v>
      </c>
      <c r="O355" s="1" t="str">
        <f>[1]Data!O346</f>
        <v>X</v>
      </c>
      <c r="P355" s="1" t="str">
        <f>[1]Data!P346</f>
        <v>2025</v>
      </c>
      <c r="Q355" s="15">
        <f>[1]Data!Q346</f>
        <v>114</v>
      </c>
      <c r="R355" s="1" t="str">
        <f>[1]Data!R346</f>
        <v/>
      </c>
    </row>
    <row r="356" spans="1:18" x14ac:dyDescent="0.35">
      <c r="A356" s="1" t="str">
        <f>[1]Data!A347</f>
        <v>4003357</v>
      </c>
      <c r="B356" s="1" t="str">
        <f>[1]Data!B347</f>
        <v>3300</v>
      </c>
      <c r="C356" s="1" t="str">
        <f>[1]Data!C347</f>
        <v>3001</v>
      </c>
      <c r="D356" s="1" t="str">
        <f>[1]Data!D347</f>
        <v>L</v>
      </c>
      <c r="E356" s="1" t="str">
        <f>[1]Data!E347</f>
        <v>X</v>
      </c>
      <c r="F356" s="1" t="str">
        <f>[1]Data!F347</f>
        <v>2021</v>
      </c>
      <c r="G356" s="1" t="str">
        <f>[1]Data!G347</f>
        <v>11</v>
      </c>
      <c r="H356" s="15">
        <f>[1]Data!H347</f>
        <v>0</v>
      </c>
      <c r="I356" s="15">
        <f>[1]Data!I347</f>
        <v>0</v>
      </c>
      <c r="J356" s="1" t="str">
        <f>[1]Data!J347</f>
        <v/>
      </c>
      <c r="K356" s="1" t="str">
        <f>[1]Data!K347</f>
        <v/>
      </c>
      <c r="L356" s="1" t="str">
        <f>[1]Data!L347</f>
        <v>SLETTET</v>
      </c>
      <c r="M356" s="1" t="str">
        <f>[1]Data!M347</f>
        <v/>
      </c>
      <c r="N356" s="1">
        <f>[1]Data!N347</f>
        <v>44430</v>
      </c>
      <c r="O356" s="1" t="str">
        <f>[1]Data!O347</f>
        <v>X</v>
      </c>
      <c r="P356" s="1" t="str">
        <f>[1]Data!P347</f>
        <v>2023</v>
      </c>
      <c r="Q356" s="15">
        <f>[1]Data!Q347</f>
        <v>0</v>
      </c>
      <c r="R356" s="1" t="str">
        <f>[1]Data!R347</f>
        <v>INAKTIV</v>
      </c>
    </row>
    <row r="357" spans="1:18" x14ac:dyDescent="0.35">
      <c r="A357" s="1" t="str">
        <f>[1]Data!A348</f>
        <v>4003416</v>
      </c>
      <c r="B357" s="1" t="str">
        <f>[1]Data!B348</f>
        <v>3300</v>
      </c>
      <c r="C357" s="1" t="str">
        <f>[1]Data!C348</f>
        <v>3001</v>
      </c>
      <c r="D357" s="1" t="str">
        <f>[1]Data!D348</f>
        <v>L</v>
      </c>
      <c r="E357" s="1" t="str">
        <f>[1]Data!E348</f>
        <v>X</v>
      </c>
      <c r="F357" s="1" t="str">
        <f>[1]Data!F348</f>
        <v>2024</v>
      </c>
      <c r="G357" s="1" t="str">
        <f>[1]Data!G348</f>
        <v>9</v>
      </c>
      <c r="H357" s="15">
        <f>[1]Data!H348</f>
        <v>0</v>
      </c>
      <c r="I357" s="15">
        <f>[1]Data!I348</f>
        <v>0</v>
      </c>
      <c r="J357" s="1" t="str">
        <f>[1]Data!J348</f>
        <v>X</v>
      </c>
      <c r="K357" s="1" t="str">
        <f>[1]Data!K348</f>
        <v>X</v>
      </c>
      <c r="L357" s="1" t="str">
        <f>[1]Data!L348</f>
        <v>SLETTET</v>
      </c>
      <c r="M357" s="1">
        <f>[1]Data!M348</f>
        <v>45365</v>
      </c>
      <c r="N357" s="1">
        <f>[1]Data!N348</f>
        <v>44430</v>
      </c>
      <c r="O357" s="1" t="str">
        <f>[1]Data!O348</f>
        <v>X</v>
      </c>
      <c r="P357" s="1" t="str">
        <f>[1]Data!P348</f>
        <v>2024</v>
      </c>
      <c r="Q357" s="15">
        <f>[1]Data!Q348</f>
        <v>0</v>
      </c>
      <c r="R357" s="1" t="str">
        <f>[1]Data!R348</f>
        <v>INAKTIV</v>
      </c>
    </row>
    <row r="358" spans="1:18" x14ac:dyDescent="0.35">
      <c r="A358" s="1" t="str">
        <f>[1]Data!A349</f>
        <v>4003529</v>
      </c>
      <c r="B358" s="1" t="str">
        <f>[1]Data!B349</f>
        <v>3300</v>
      </c>
      <c r="C358" s="1" t="str">
        <f>[1]Data!C349</f>
        <v>3001</v>
      </c>
      <c r="D358" s="1" t="str">
        <f>[1]Data!D349</f>
        <v>L</v>
      </c>
      <c r="E358" s="1" t="str">
        <f>[1]Data!E349</f>
        <v/>
      </c>
      <c r="F358" s="1" t="str">
        <f>[1]Data!F349</f>
        <v>2026</v>
      </c>
      <c r="G358" s="1" t="str">
        <f>[1]Data!G349</f>
        <v>2</v>
      </c>
      <c r="H358" s="15">
        <f>[1]Data!H349</f>
        <v>4200</v>
      </c>
      <c r="I358" s="15">
        <f>[1]Data!I349</f>
        <v>0</v>
      </c>
      <c r="J358" s="1" t="str">
        <f>[1]Data!J349</f>
        <v>X</v>
      </c>
      <c r="K358" s="1" t="str">
        <f>[1]Data!K349</f>
        <v>X</v>
      </c>
      <c r="L358" s="1" t="str">
        <f>[1]Data!L349</f>
        <v>13:11:01</v>
      </c>
      <c r="M358" s="1">
        <f>[1]Data!M349</f>
        <v>46001</v>
      </c>
      <c r="N358" s="1">
        <f>[1]Data!N349</f>
        <v>44430</v>
      </c>
      <c r="O358" s="1" t="str">
        <f>[1]Data!O349</f>
        <v>X</v>
      </c>
      <c r="P358" s="1" t="str">
        <f>[1]Data!P349</f>
        <v>2025</v>
      </c>
      <c r="Q358" s="15">
        <f>[1]Data!Q349</f>
        <v>4200</v>
      </c>
      <c r="R358" s="1" t="str">
        <f>[1]Data!R349</f>
        <v/>
      </c>
    </row>
    <row r="359" spans="1:18" x14ac:dyDescent="0.35">
      <c r="A359" s="1" t="str">
        <f>[1]Data!A350</f>
        <v>4003611</v>
      </c>
      <c r="B359" s="1" t="str">
        <f>[1]Data!B350</f>
        <v>3300</v>
      </c>
      <c r="C359" s="1" t="str">
        <f>[1]Data!C350</f>
        <v>3001</v>
      </c>
      <c r="D359" s="1" t="str">
        <f>[1]Data!D350</f>
        <v>L</v>
      </c>
      <c r="E359" s="1" t="str">
        <f>[1]Data!E350</f>
        <v/>
      </c>
      <c r="F359" s="1" t="str">
        <f>[1]Data!F350</f>
        <v>2026</v>
      </c>
      <c r="G359" s="1" t="str">
        <f>[1]Data!G350</f>
        <v>2</v>
      </c>
      <c r="H359" s="15">
        <f>[1]Data!H350</f>
        <v>1400</v>
      </c>
      <c r="I359" s="15">
        <f>[1]Data!I350</f>
        <v>0</v>
      </c>
      <c r="J359" s="1" t="str">
        <f>[1]Data!J350</f>
        <v>X</v>
      </c>
      <c r="K359" s="1" t="str">
        <f>[1]Data!K350</f>
        <v>X</v>
      </c>
      <c r="L359" s="1" t="str">
        <f>[1]Data!L350</f>
        <v>13:08:02</v>
      </c>
      <c r="M359" s="1">
        <f>[1]Data!M350</f>
        <v>45994</v>
      </c>
      <c r="N359" s="1">
        <f>[1]Data!N350</f>
        <v>44430</v>
      </c>
      <c r="O359" s="1" t="str">
        <f>[1]Data!O350</f>
        <v>X</v>
      </c>
      <c r="P359" s="1" t="str">
        <f>[1]Data!P350</f>
        <v>2025</v>
      </c>
      <c r="Q359" s="15">
        <f>[1]Data!Q350</f>
        <v>1400</v>
      </c>
      <c r="R359" s="1" t="str">
        <f>[1]Data!R350</f>
        <v/>
      </c>
    </row>
    <row r="360" spans="1:18" x14ac:dyDescent="0.35">
      <c r="A360" s="1" t="str">
        <f>[1]Data!A351</f>
        <v>4003836</v>
      </c>
      <c r="B360" s="1" t="str">
        <f>[1]Data!B351</f>
        <v>3300</v>
      </c>
      <c r="C360" s="1" t="str">
        <f>[1]Data!C351</f>
        <v>3001</v>
      </c>
      <c r="D360" s="1" t="str">
        <f>[1]Data!D351</f>
        <v>L</v>
      </c>
      <c r="E360" s="1" t="str">
        <f>[1]Data!E351</f>
        <v>X</v>
      </c>
      <c r="F360" s="1" t="str">
        <f>[1]Data!F351</f>
        <v>2022</v>
      </c>
      <c r="G360" s="1" t="str">
        <f>[1]Data!G351</f>
        <v>2</v>
      </c>
      <c r="H360" s="15">
        <f>[1]Data!H351</f>
        <v>0</v>
      </c>
      <c r="I360" s="15">
        <f>[1]Data!I351</f>
        <v>0</v>
      </c>
      <c r="J360" s="1" t="str">
        <f>[1]Data!J351</f>
        <v>X</v>
      </c>
      <c r="K360" s="1" t="str">
        <f>[1]Data!K351</f>
        <v/>
      </c>
      <c r="L360" s="1" t="str">
        <f>[1]Data!L351</f>
        <v>SLETTET</v>
      </c>
      <c r="M360" s="1">
        <f>[1]Data!M351</f>
        <v>44568</v>
      </c>
      <c r="N360" s="1">
        <f>[1]Data!N351</f>
        <v>44430</v>
      </c>
      <c r="O360" s="1" t="str">
        <f>[1]Data!O351</f>
        <v>X</v>
      </c>
      <c r="P360" s="1" t="str">
        <f>[1]Data!P351</f>
        <v>2022</v>
      </c>
      <c r="Q360" s="15">
        <f>[1]Data!Q351</f>
        <v>0</v>
      </c>
      <c r="R360" s="1" t="str">
        <f>[1]Data!R351</f>
        <v>INAKTIV</v>
      </c>
    </row>
    <row r="361" spans="1:18" x14ac:dyDescent="0.35">
      <c r="A361" s="1" t="str">
        <f>[1]Data!A352</f>
        <v>4003844</v>
      </c>
      <c r="B361" s="1" t="str">
        <f>[1]Data!B352</f>
        <v>3300</v>
      </c>
      <c r="C361" s="1" t="str">
        <f>[1]Data!C352</f>
        <v>3001</v>
      </c>
      <c r="D361" s="1" t="str">
        <f>[1]Data!D352</f>
        <v>L</v>
      </c>
      <c r="E361" s="1" t="str">
        <f>[1]Data!E352</f>
        <v/>
      </c>
      <c r="F361" s="1" t="str">
        <f>[1]Data!F352</f>
        <v>2026</v>
      </c>
      <c r="G361" s="1" t="str">
        <f>[1]Data!G352</f>
        <v>2</v>
      </c>
      <c r="H361" s="15">
        <f>[1]Data!H352</f>
        <v>134</v>
      </c>
      <c r="I361" s="15">
        <f>[1]Data!I352</f>
        <v>0</v>
      </c>
      <c r="J361" s="1" t="str">
        <f>[1]Data!J352</f>
        <v>X</v>
      </c>
      <c r="K361" s="1" t="str">
        <f>[1]Data!K352</f>
        <v>X</v>
      </c>
      <c r="L361" s="1" t="str">
        <f>[1]Data!L352</f>
        <v>06:07:02</v>
      </c>
      <c r="M361" s="1">
        <f>[1]Data!M352</f>
        <v>45819</v>
      </c>
      <c r="N361" s="1">
        <f>[1]Data!N352</f>
        <v>44430</v>
      </c>
      <c r="O361" s="1" t="str">
        <f>[1]Data!O352</f>
        <v>X</v>
      </c>
      <c r="P361" s="1" t="str">
        <f>[1]Data!P352</f>
        <v>2025</v>
      </c>
      <c r="Q361" s="15">
        <f>[1]Data!Q352</f>
        <v>134</v>
      </c>
      <c r="R361" s="1" t="str">
        <f>[1]Data!R352</f>
        <v/>
      </c>
    </row>
    <row r="362" spans="1:18" x14ac:dyDescent="0.35">
      <c r="A362" s="1" t="str">
        <f>[1]Data!A353</f>
        <v>4003854</v>
      </c>
      <c r="B362" s="1" t="str">
        <f>[1]Data!B353</f>
        <v>3300</v>
      </c>
      <c r="C362" s="1" t="str">
        <f>[1]Data!C353</f>
        <v>3001</v>
      </c>
      <c r="D362" s="1" t="str">
        <f>[1]Data!D353</f>
        <v>L</v>
      </c>
      <c r="E362" s="1" t="str">
        <f>[1]Data!E353</f>
        <v/>
      </c>
      <c r="F362" s="1" t="str">
        <f>[1]Data!F353</f>
        <v>2021</v>
      </c>
      <c r="G362" s="1" t="str">
        <f>[1]Data!G353</f>
        <v>11</v>
      </c>
      <c r="H362" s="15">
        <f>[1]Data!H353</f>
        <v>0</v>
      </c>
      <c r="I362" s="15">
        <f>[1]Data!I353</f>
        <v>0</v>
      </c>
      <c r="J362" s="1" t="str">
        <f>[1]Data!J353</f>
        <v>X</v>
      </c>
      <c r="K362" s="1" t="str">
        <f>[1]Data!K353</f>
        <v/>
      </c>
      <c r="L362" s="1" t="str">
        <f>[1]Data!L353</f>
        <v>SLETTET</v>
      </c>
      <c r="M362" s="1">
        <f>[1]Data!M353</f>
        <v>44568</v>
      </c>
      <c r="N362" s="1">
        <f>[1]Data!N353</f>
        <v>44430</v>
      </c>
      <c r="O362" s="1" t="str">
        <f>[1]Data!O353</f>
        <v>X</v>
      </c>
      <c r="P362" s="1" t="str">
        <f>[1]Data!P353</f>
        <v>2022</v>
      </c>
      <c r="Q362" s="15">
        <f>[1]Data!Q353</f>
        <v>0</v>
      </c>
      <c r="R362" s="1" t="str">
        <f>[1]Data!R353</f>
        <v>INAKTIV</v>
      </c>
    </row>
    <row r="363" spans="1:18" x14ac:dyDescent="0.35">
      <c r="A363" s="1" t="str">
        <f>[1]Data!A354</f>
        <v>4003855</v>
      </c>
      <c r="B363" s="1" t="str">
        <f>[1]Data!B354</f>
        <v>3300</v>
      </c>
      <c r="C363" s="1" t="str">
        <f>[1]Data!C354</f>
        <v>3001</v>
      </c>
      <c r="D363" s="1" t="str">
        <f>[1]Data!D354</f>
        <v>L</v>
      </c>
      <c r="E363" s="1" t="str">
        <f>[1]Data!E354</f>
        <v/>
      </c>
      <c r="F363" s="1" t="str">
        <f>[1]Data!F354</f>
        <v>2021</v>
      </c>
      <c r="G363" s="1" t="str">
        <f>[1]Data!G354</f>
        <v>12</v>
      </c>
      <c r="H363" s="15">
        <f>[1]Data!H354</f>
        <v>0</v>
      </c>
      <c r="I363" s="15">
        <f>[1]Data!I354</f>
        <v>0</v>
      </c>
      <c r="J363" s="1" t="str">
        <f>[1]Data!J354</f>
        <v>X</v>
      </c>
      <c r="K363" s="1" t="str">
        <f>[1]Data!K354</f>
        <v/>
      </c>
      <c r="L363" s="1" t="str">
        <f>[1]Data!L354</f>
        <v>SLETTET</v>
      </c>
      <c r="M363" s="1">
        <f>[1]Data!M354</f>
        <v>44568</v>
      </c>
      <c r="N363" s="1">
        <f>[1]Data!N354</f>
        <v>44430</v>
      </c>
      <c r="O363" s="1" t="str">
        <f>[1]Data!O354</f>
        <v>X</v>
      </c>
      <c r="P363" s="1" t="str">
        <f>[1]Data!P354</f>
        <v>2022</v>
      </c>
      <c r="Q363" s="15">
        <f>[1]Data!Q354</f>
        <v>0</v>
      </c>
      <c r="R363" s="1" t="str">
        <f>[1]Data!R354</f>
        <v>INAKTIV</v>
      </c>
    </row>
    <row r="364" spans="1:18" x14ac:dyDescent="0.35">
      <c r="A364" s="1" t="str">
        <f>[1]Data!A355</f>
        <v>4003857</v>
      </c>
      <c r="B364" s="1" t="str">
        <f>[1]Data!B355</f>
        <v>3300</v>
      </c>
      <c r="C364" s="1" t="str">
        <f>[1]Data!C355</f>
        <v>3001</v>
      </c>
      <c r="D364" s="1" t="str">
        <f>[1]Data!D355</f>
        <v>L</v>
      </c>
      <c r="E364" s="1" t="str">
        <f>[1]Data!E355</f>
        <v/>
      </c>
      <c r="F364" s="1" t="str">
        <f>[1]Data!F355</f>
        <v>2026</v>
      </c>
      <c r="G364" s="1" t="str">
        <f>[1]Data!G355</f>
        <v>2</v>
      </c>
      <c r="H364" s="15">
        <f>[1]Data!H355</f>
        <v>12250</v>
      </c>
      <c r="I364" s="15">
        <f>[1]Data!I355</f>
        <v>0</v>
      </c>
      <c r="J364" s="1" t="str">
        <f>[1]Data!J355</f>
        <v>X</v>
      </c>
      <c r="K364" s="1" t="str">
        <f>[1]Data!K355</f>
        <v>X</v>
      </c>
      <c r="L364" s="1" t="str">
        <f>[1]Data!L355</f>
        <v>14:07:02*</v>
      </c>
      <c r="M364" s="1">
        <f>[1]Data!M355</f>
        <v>46001</v>
      </c>
      <c r="N364" s="1">
        <f>[1]Data!N355</f>
        <v>44430</v>
      </c>
      <c r="O364" s="1" t="str">
        <f>[1]Data!O355</f>
        <v>X</v>
      </c>
      <c r="P364" s="1" t="str">
        <f>[1]Data!P355</f>
        <v>2025</v>
      </c>
      <c r="Q364" s="15">
        <f>[1]Data!Q355</f>
        <v>12250</v>
      </c>
      <c r="R364" s="1" t="str">
        <f>[1]Data!R355</f>
        <v/>
      </c>
    </row>
    <row r="365" spans="1:18" x14ac:dyDescent="0.35">
      <c r="A365" s="1" t="str">
        <f>[1]Data!A356</f>
        <v>4003858</v>
      </c>
      <c r="B365" s="1" t="str">
        <f>[1]Data!B356</f>
        <v>3300</v>
      </c>
      <c r="C365" s="1" t="str">
        <f>[1]Data!C356</f>
        <v>3001</v>
      </c>
      <c r="D365" s="1" t="str">
        <f>[1]Data!D356</f>
        <v>L</v>
      </c>
      <c r="E365" s="1" t="str">
        <f>[1]Data!E356</f>
        <v/>
      </c>
      <c r="F365" s="1" t="str">
        <f>[1]Data!F356</f>
        <v>2026</v>
      </c>
      <c r="G365" s="1" t="str">
        <f>[1]Data!G356</f>
        <v>3</v>
      </c>
      <c r="H365" s="15">
        <f>[1]Data!H356</f>
        <v>12600</v>
      </c>
      <c r="I365" s="15">
        <f>[1]Data!I356</f>
        <v>0</v>
      </c>
      <c r="J365" s="1" t="str">
        <f>[1]Data!J356</f>
        <v>X</v>
      </c>
      <c r="K365" s="1" t="str">
        <f>[1]Data!K356</f>
        <v>X</v>
      </c>
      <c r="L365" s="1" t="str">
        <f>[1]Data!L356</f>
        <v>14:07:01*</v>
      </c>
      <c r="M365" s="1">
        <f>[1]Data!M356</f>
        <v>46001</v>
      </c>
      <c r="N365" s="1">
        <f>[1]Data!N356</f>
        <v>44430</v>
      </c>
      <c r="O365" s="1" t="str">
        <f>[1]Data!O356</f>
        <v>X</v>
      </c>
      <c r="P365" s="1" t="str">
        <f>[1]Data!P356</f>
        <v>2025</v>
      </c>
      <c r="Q365" s="15">
        <f>[1]Data!Q356</f>
        <v>12600</v>
      </c>
      <c r="R365" s="1" t="str">
        <f>[1]Data!R356</f>
        <v/>
      </c>
    </row>
    <row r="366" spans="1:18" x14ac:dyDescent="0.35">
      <c r="A366" s="1" t="str">
        <f>[1]Data!A357</f>
        <v>4003859</v>
      </c>
      <c r="B366" s="1" t="str">
        <f>[1]Data!B357</f>
        <v>3300</v>
      </c>
      <c r="C366" s="1" t="str">
        <f>[1]Data!C357</f>
        <v>3001</v>
      </c>
      <c r="D366" s="1" t="str">
        <f>[1]Data!D357</f>
        <v>L</v>
      </c>
      <c r="E366" s="1" t="str">
        <f>[1]Data!E357</f>
        <v/>
      </c>
      <c r="F366" s="1" t="str">
        <f>[1]Data!F357</f>
        <v>2026</v>
      </c>
      <c r="G366" s="1" t="str">
        <f>[1]Data!G357</f>
        <v>2</v>
      </c>
      <c r="H366" s="15">
        <f>[1]Data!H357</f>
        <v>60</v>
      </c>
      <c r="I366" s="15">
        <f>[1]Data!I357</f>
        <v>0</v>
      </c>
      <c r="J366" s="1" t="str">
        <f>[1]Data!J357</f>
        <v>X</v>
      </c>
      <c r="K366" s="1" t="str">
        <f>[1]Data!K357</f>
        <v>X</v>
      </c>
      <c r="L366" s="1" t="str">
        <f>[1]Data!L357</f>
        <v>08:08:03</v>
      </c>
      <c r="M366" s="1">
        <f>[1]Data!M357</f>
        <v>45980</v>
      </c>
      <c r="N366" s="1">
        <f>[1]Data!N357</f>
        <v>44430</v>
      </c>
      <c r="O366" s="1" t="str">
        <f>[1]Data!O357</f>
        <v>X</v>
      </c>
      <c r="P366" s="1" t="str">
        <f>[1]Data!P357</f>
        <v>2025</v>
      </c>
      <c r="Q366" s="15">
        <f>[1]Data!Q357</f>
        <v>60</v>
      </c>
      <c r="R366" s="1" t="str">
        <f>[1]Data!R357</f>
        <v/>
      </c>
    </row>
    <row r="367" spans="1:18" x14ac:dyDescent="0.35">
      <c r="A367" s="1" t="str">
        <f>[1]Data!A358</f>
        <v>4003860</v>
      </c>
      <c r="B367" s="1" t="str">
        <f>[1]Data!B358</f>
        <v>3300</v>
      </c>
      <c r="C367" s="1" t="str">
        <f>[1]Data!C358</f>
        <v>3001</v>
      </c>
      <c r="D367" s="1" t="str">
        <f>[1]Data!D358</f>
        <v>L</v>
      </c>
      <c r="E367" s="1" t="str">
        <f>[1]Data!E358</f>
        <v/>
      </c>
      <c r="F367" s="1" t="str">
        <f>[1]Data!F358</f>
        <v>2026</v>
      </c>
      <c r="G367" s="1" t="str">
        <f>[1]Data!G358</f>
        <v>2</v>
      </c>
      <c r="H367" s="15">
        <f>[1]Data!H358</f>
        <v>50</v>
      </c>
      <c r="I367" s="15">
        <f>[1]Data!I358</f>
        <v>0</v>
      </c>
      <c r="J367" s="1" t="str">
        <f>[1]Data!J358</f>
        <v>X</v>
      </c>
      <c r="K367" s="1" t="str">
        <f>[1]Data!K358</f>
        <v>X</v>
      </c>
      <c r="L367" s="1" t="str">
        <f>[1]Data!L358</f>
        <v>08:10:03</v>
      </c>
      <c r="M367" s="1">
        <f>[1]Data!M358</f>
        <v>45980</v>
      </c>
      <c r="N367" s="1">
        <f>[1]Data!N358</f>
        <v>44430</v>
      </c>
      <c r="O367" s="1" t="str">
        <f>[1]Data!O358</f>
        <v>X</v>
      </c>
      <c r="P367" s="1" t="str">
        <f>[1]Data!P358</f>
        <v>2025</v>
      </c>
      <c r="Q367" s="15">
        <f>[1]Data!Q358</f>
        <v>50</v>
      </c>
      <c r="R367" s="1" t="str">
        <f>[1]Data!R358</f>
        <v/>
      </c>
    </row>
    <row r="368" spans="1:18" x14ac:dyDescent="0.35">
      <c r="A368" s="1" t="str">
        <f>[1]Data!A359</f>
        <v>4003862</v>
      </c>
      <c r="B368" s="1" t="str">
        <f>[1]Data!B359</f>
        <v>3300</v>
      </c>
      <c r="C368" s="1" t="str">
        <f>[1]Data!C359</f>
        <v>3001</v>
      </c>
      <c r="D368" s="1" t="str">
        <f>[1]Data!D359</f>
        <v>L</v>
      </c>
      <c r="E368" s="1" t="str">
        <f>[1]Data!E359</f>
        <v/>
      </c>
      <c r="F368" s="1" t="str">
        <f>[1]Data!F359</f>
        <v>2021</v>
      </c>
      <c r="G368" s="1" t="str">
        <f>[1]Data!G359</f>
        <v>10</v>
      </c>
      <c r="H368" s="15">
        <f>[1]Data!H359</f>
        <v>0</v>
      </c>
      <c r="I368" s="15">
        <f>[1]Data!I359</f>
        <v>0</v>
      </c>
      <c r="J368" s="1" t="str">
        <f>[1]Data!J359</f>
        <v/>
      </c>
      <c r="K368" s="1" t="str">
        <f>[1]Data!K359</f>
        <v>X</v>
      </c>
      <c r="L368" s="1" t="str">
        <f>[1]Data!L359</f>
        <v>SLETTET</v>
      </c>
      <c r="M368" s="1">
        <f>[1]Data!M359</f>
        <v>44568</v>
      </c>
      <c r="N368" s="1">
        <f>[1]Data!N359</f>
        <v>44430</v>
      </c>
      <c r="O368" s="1" t="str">
        <f>[1]Data!O359</f>
        <v>X</v>
      </c>
      <c r="P368" s="1" t="str">
        <f>[1]Data!P359</f>
        <v>2023</v>
      </c>
      <c r="Q368" s="15">
        <f>[1]Data!Q359</f>
        <v>0</v>
      </c>
      <c r="R368" s="1" t="str">
        <f>[1]Data!R359</f>
        <v>INAKTIV</v>
      </c>
    </row>
    <row r="369" spans="1:18" x14ac:dyDescent="0.35">
      <c r="A369" s="1" t="str">
        <f>[1]Data!A360</f>
        <v>4003864</v>
      </c>
      <c r="B369" s="1" t="str">
        <f>[1]Data!B360</f>
        <v>3300</v>
      </c>
      <c r="C369" s="1" t="str">
        <f>[1]Data!C360</f>
        <v>3001</v>
      </c>
      <c r="D369" s="1" t="str">
        <f>[1]Data!D360</f>
        <v>L</v>
      </c>
      <c r="E369" s="1" t="str">
        <f>[1]Data!E360</f>
        <v/>
      </c>
      <c r="F369" s="1" t="str">
        <f>[1]Data!F360</f>
        <v>2026</v>
      </c>
      <c r="G369" s="1" t="str">
        <f>[1]Data!G360</f>
        <v>3</v>
      </c>
      <c r="H369" s="15">
        <f>[1]Data!H360</f>
        <v>1000</v>
      </c>
      <c r="I369" s="15">
        <f>[1]Data!I360</f>
        <v>0</v>
      </c>
      <c r="J369" s="1" t="str">
        <f>[1]Data!J360</f>
        <v>X</v>
      </c>
      <c r="K369" s="1" t="str">
        <f>[1]Data!K360</f>
        <v>X</v>
      </c>
      <c r="L369" s="1" t="str">
        <f>[1]Data!L360</f>
        <v>14:05:02</v>
      </c>
      <c r="M369" s="1">
        <f>[1]Data!M360</f>
        <v>46001</v>
      </c>
      <c r="N369" s="1">
        <f>[1]Data!N360</f>
        <v>44430</v>
      </c>
      <c r="O369" s="1" t="str">
        <f>[1]Data!O360</f>
        <v>X</v>
      </c>
      <c r="P369" s="1" t="str">
        <f>[1]Data!P360</f>
        <v>2025</v>
      </c>
      <c r="Q369" s="15">
        <f>[1]Data!Q360</f>
        <v>1000</v>
      </c>
      <c r="R369" s="1" t="str">
        <f>[1]Data!R360</f>
        <v/>
      </c>
    </row>
    <row r="370" spans="1:18" x14ac:dyDescent="0.35">
      <c r="A370" s="1" t="str">
        <f>[1]Data!A361</f>
        <v>4003887</v>
      </c>
      <c r="B370" s="1" t="str">
        <f>[1]Data!B361</f>
        <v>3300</v>
      </c>
      <c r="C370" s="1" t="str">
        <f>[1]Data!C361</f>
        <v>3001</v>
      </c>
      <c r="D370" s="1" t="str">
        <f>[1]Data!D361</f>
        <v>L</v>
      </c>
      <c r="E370" s="1" t="str">
        <f>[1]Data!E361</f>
        <v/>
      </c>
      <c r="F370" s="1" t="str">
        <f>[1]Data!F361</f>
        <v>2026</v>
      </c>
      <c r="G370" s="1" t="str">
        <f>[1]Data!G361</f>
        <v>3</v>
      </c>
      <c r="H370" s="15">
        <f>[1]Data!H361</f>
        <v>63500</v>
      </c>
      <c r="I370" s="15">
        <f>[1]Data!I361</f>
        <v>0</v>
      </c>
      <c r="J370" s="1" t="str">
        <f>[1]Data!J361</f>
        <v>X</v>
      </c>
      <c r="K370" s="1" t="str">
        <f>[1]Data!K361</f>
        <v>X</v>
      </c>
      <c r="L370" s="1" t="str">
        <f>[1]Data!L361</f>
        <v>05:02:03</v>
      </c>
      <c r="M370" s="1">
        <f>[1]Data!M361</f>
        <v>45803</v>
      </c>
      <c r="N370" s="1">
        <f>[1]Data!N361</f>
        <v>44430</v>
      </c>
      <c r="O370" s="1" t="str">
        <f>[1]Data!O361</f>
        <v>X</v>
      </c>
      <c r="P370" s="1" t="str">
        <f>[1]Data!P361</f>
        <v>2025</v>
      </c>
      <c r="Q370" s="15">
        <f>[1]Data!Q361</f>
        <v>63500</v>
      </c>
      <c r="R370" s="1" t="str">
        <f>[1]Data!R361</f>
        <v/>
      </c>
    </row>
    <row r="371" spans="1:18" x14ac:dyDescent="0.35">
      <c r="A371" s="1" t="str">
        <f>[1]Data!A362</f>
        <v>4003889</v>
      </c>
      <c r="B371" s="1" t="str">
        <f>[1]Data!B362</f>
        <v>3300</v>
      </c>
      <c r="C371" s="1" t="str">
        <f>[1]Data!C362</f>
        <v>3001</v>
      </c>
      <c r="D371" s="1" t="str">
        <f>[1]Data!D362</f>
        <v>L</v>
      </c>
      <c r="E371" s="1" t="str">
        <f>[1]Data!E362</f>
        <v>X</v>
      </c>
      <c r="F371" s="1" t="str">
        <f>[1]Data!F362</f>
        <v>2023</v>
      </c>
      <c r="G371" s="1" t="str">
        <f>[1]Data!G362</f>
        <v>9</v>
      </c>
      <c r="H371" s="15">
        <f>[1]Data!H362</f>
        <v>0</v>
      </c>
      <c r="I371" s="15">
        <f>[1]Data!I362</f>
        <v>0</v>
      </c>
      <c r="J371" s="1" t="str">
        <f>[1]Data!J362</f>
        <v/>
      </c>
      <c r="K371" s="1" t="str">
        <f>[1]Data!K362</f>
        <v/>
      </c>
      <c r="L371" s="1" t="str">
        <f>[1]Data!L362</f>
        <v>SLETTET</v>
      </c>
      <c r="M371" s="1">
        <f>[1]Data!M362</f>
        <v>45162</v>
      </c>
      <c r="N371" s="1">
        <f>[1]Data!N362</f>
        <v>44430</v>
      </c>
      <c r="O371" s="1" t="str">
        <f>[1]Data!O362</f>
        <v>X</v>
      </c>
      <c r="P371" s="1" t="str">
        <f>[1]Data!P362</f>
        <v>2025</v>
      </c>
      <c r="Q371" s="15">
        <f>[1]Data!Q362</f>
        <v>0</v>
      </c>
      <c r="R371" s="1" t="str">
        <f>[1]Data!R362</f>
        <v>INAKTIV</v>
      </c>
    </row>
    <row r="372" spans="1:18" x14ac:dyDescent="0.35">
      <c r="A372" s="1" t="str">
        <f>[1]Data!A363</f>
        <v>4003897</v>
      </c>
      <c r="B372" s="1" t="str">
        <f>[1]Data!B363</f>
        <v>3300</v>
      </c>
      <c r="C372" s="1" t="str">
        <f>[1]Data!C363</f>
        <v>3001</v>
      </c>
      <c r="D372" s="1" t="str">
        <f>[1]Data!D363</f>
        <v>DL</v>
      </c>
      <c r="E372" s="1" t="str">
        <f>[1]Data!E363</f>
        <v/>
      </c>
      <c r="F372" s="1" t="str">
        <f>[1]Data!F363</f>
        <v>2022</v>
      </c>
      <c r="G372" s="1" t="str">
        <f>[1]Data!G363</f>
        <v>2</v>
      </c>
      <c r="H372" s="15">
        <f>[1]Data!H363</f>
        <v>0</v>
      </c>
      <c r="I372" s="15">
        <f>[1]Data!I363</f>
        <v>0</v>
      </c>
      <c r="J372" s="1" t="str">
        <f>[1]Data!J363</f>
        <v/>
      </c>
      <c r="K372" s="1" t="str">
        <f>[1]Data!K363</f>
        <v/>
      </c>
      <c r="L372" s="1" t="str">
        <f>[1]Data!L363</f>
        <v/>
      </c>
      <c r="M372" s="1" t="str">
        <f>[1]Data!M363</f>
        <v/>
      </c>
      <c r="N372" s="1">
        <f>[1]Data!N363</f>
        <v>44594</v>
      </c>
      <c r="O372" s="1" t="str">
        <f>[1]Data!O363</f>
        <v>X</v>
      </c>
      <c r="P372" s="1" t="str">
        <f>[1]Data!P363</f>
        <v>2022</v>
      </c>
      <c r="Q372" s="15">
        <f>[1]Data!Q363</f>
        <v>0</v>
      </c>
      <c r="R372" s="1" t="str">
        <f>[1]Data!R363</f>
        <v>INAKTIV</v>
      </c>
    </row>
    <row r="373" spans="1:18" x14ac:dyDescent="0.35">
      <c r="A373" s="1" t="str">
        <f>[1]Data!A364</f>
        <v>4003906</v>
      </c>
      <c r="B373" s="1" t="str">
        <f>[1]Data!B364</f>
        <v>3300</v>
      </c>
      <c r="C373" s="1" t="str">
        <f>[1]Data!C364</f>
        <v>3001</v>
      </c>
      <c r="D373" s="1" t="str">
        <f>[1]Data!D364</f>
        <v>L</v>
      </c>
      <c r="E373" s="1" t="str">
        <f>[1]Data!E364</f>
        <v>X</v>
      </c>
      <c r="F373" s="1" t="str">
        <f>[1]Data!F364</f>
        <v>2026</v>
      </c>
      <c r="G373" s="1" t="str">
        <f>[1]Data!G364</f>
        <v>2</v>
      </c>
      <c r="H373" s="15">
        <f>[1]Data!H364</f>
        <v>0</v>
      </c>
      <c r="I373" s="15">
        <f>[1]Data!I364</f>
        <v>0</v>
      </c>
      <c r="J373" s="1" t="str">
        <f>[1]Data!J364</f>
        <v>X</v>
      </c>
      <c r="K373" s="1" t="str">
        <f>[1]Data!K364</f>
        <v>X</v>
      </c>
      <c r="L373" s="1" t="str">
        <f>[1]Data!L364</f>
        <v>SLETTET</v>
      </c>
      <c r="M373" s="1">
        <f>[1]Data!M364</f>
        <v>45819</v>
      </c>
      <c r="N373" s="1">
        <f>[1]Data!N364</f>
        <v>44430</v>
      </c>
      <c r="O373" s="1" t="str">
        <f>[1]Data!O364</f>
        <v>X</v>
      </c>
      <c r="P373" s="1" t="str">
        <f>[1]Data!P364</f>
        <v>2025</v>
      </c>
      <c r="Q373" s="15">
        <f>[1]Data!Q364</f>
        <v>0</v>
      </c>
      <c r="R373" s="1" t="str">
        <f>[1]Data!R364</f>
        <v>INAKTIV</v>
      </c>
    </row>
    <row r="374" spans="1:18" x14ac:dyDescent="0.35">
      <c r="A374" s="1" t="str">
        <f>[1]Data!A365</f>
        <v>4003911</v>
      </c>
      <c r="B374" s="1" t="str">
        <f>[1]Data!B365</f>
        <v>3300</v>
      </c>
      <c r="C374" s="1" t="str">
        <f>[1]Data!C365</f>
        <v>3001</v>
      </c>
      <c r="D374" s="1" t="str">
        <f>[1]Data!D365</f>
        <v>L</v>
      </c>
      <c r="E374" s="1" t="str">
        <f>[1]Data!E365</f>
        <v/>
      </c>
      <c r="F374" s="1" t="str">
        <f>[1]Data!F365</f>
        <v>2026</v>
      </c>
      <c r="G374" s="1" t="str">
        <f>[1]Data!G365</f>
        <v>2</v>
      </c>
      <c r="H374" s="15">
        <f>[1]Data!H365</f>
        <v>175</v>
      </c>
      <c r="I374" s="15">
        <f>[1]Data!I365</f>
        <v>0</v>
      </c>
      <c r="J374" s="1" t="str">
        <f>[1]Data!J365</f>
        <v>X</v>
      </c>
      <c r="K374" s="1" t="str">
        <f>[1]Data!K365</f>
        <v>X</v>
      </c>
      <c r="L374" s="1" t="str">
        <f>[1]Data!L365</f>
        <v>09:10:01</v>
      </c>
      <c r="M374" s="1">
        <f>[1]Data!M365</f>
        <v>45987</v>
      </c>
      <c r="N374" s="1">
        <f>[1]Data!N365</f>
        <v>44430</v>
      </c>
      <c r="O374" s="1" t="str">
        <f>[1]Data!O365</f>
        <v>X</v>
      </c>
      <c r="P374" s="1" t="str">
        <f>[1]Data!P365</f>
        <v>2025</v>
      </c>
      <c r="Q374" s="15">
        <f>[1]Data!Q365</f>
        <v>175</v>
      </c>
      <c r="R374" s="1" t="str">
        <f>[1]Data!R365</f>
        <v/>
      </c>
    </row>
    <row r="375" spans="1:18" x14ac:dyDescent="0.35">
      <c r="A375" s="1" t="str">
        <f>[1]Data!A366</f>
        <v>4003915</v>
      </c>
      <c r="B375" s="1" t="str">
        <f>[1]Data!B366</f>
        <v>3300</v>
      </c>
      <c r="C375" s="1" t="str">
        <f>[1]Data!C366</f>
        <v>3001</v>
      </c>
      <c r="D375" s="1" t="str">
        <f>[1]Data!D366</f>
        <v>L</v>
      </c>
      <c r="E375" s="1" t="str">
        <f>[1]Data!E366</f>
        <v/>
      </c>
      <c r="F375" s="1" t="str">
        <f>[1]Data!F366</f>
        <v>2026</v>
      </c>
      <c r="G375" s="1" t="str">
        <f>[1]Data!G366</f>
        <v>3</v>
      </c>
      <c r="H375" s="15">
        <f>[1]Data!H366</f>
        <v>280</v>
      </c>
      <c r="I375" s="15">
        <f>[1]Data!I366</f>
        <v>0</v>
      </c>
      <c r="J375" s="1" t="str">
        <f>[1]Data!J366</f>
        <v>X</v>
      </c>
      <c r="K375" s="1" t="str">
        <f>[1]Data!K366</f>
        <v>X</v>
      </c>
      <c r="L375" s="1" t="str">
        <f>[1]Data!L366</f>
        <v>08:01:02</v>
      </c>
      <c r="M375" s="1">
        <f>[1]Data!M366</f>
        <v>45825</v>
      </c>
      <c r="N375" s="1">
        <f>[1]Data!N366</f>
        <v>44430</v>
      </c>
      <c r="O375" s="1" t="str">
        <f>[1]Data!O366</f>
        <v>X</v>
      </c>
      <c r="P375" s="1" t="str">
        <f>[1]Data!P366</f>
        <v>2025</v>
      </c>
      <c r="Q375" s="15">
        <f>[1]Data!Q366</f>
        <v>280</v>
      </c>
      <c r="R375" s="1" t="str">
        <f>[1]Data!R366</f>
        <v/>
      </c>
    </row>
    <row r="376" spans="1:18" x14ac:dyDescent="0.35">
      <c r="A376" s="1" t="str">
        <f>[1]Data!A367</f>
        <v>4003916</v>
      </c>
      <c r="B376" s="1" t="str">
        <f>[1]Data!B367</f>
        <v>3300</v>
      </c>
      <c r="C376" s="1" t="str">
        <f>[1]Data!C367</f>
        <v>3001</v>
      </c>
      <c r="D376" s="1" t="str">
        <f>[1]Data!D367</f>
        <v>L</v>
      </c>
      <c r="E376" s="1" t="str">
        <f>[1]Data!E367</f>
        <v/>
      </c>
      <c r="F376" s="1" t="str">
        <f>[1]Data!F367</f>
        <v>2026</v>
      </c>
      <c r="G376" s="1" t="str">
        <f>[1]Data!G367</f>
        <v>2</v>
      </c>
      <c r="H376" s="15">
        <f>[1]Data!H367</f>
        <v>260</v>
      </c>
      <c r="I376" s="15">
        <f>[1]Data!I367</f>
        <v>0</v>
      </c>
      <c r="J376" s="1" t="str">
        <f>[1]Data!J367</f>
        <v>X</v>
      </c>
      <c r="K376" s="1" t="str">
        <f>[1]Data!K367</f>
        <v>X</v>
      </c>
      <c r="L376" s="1" t="str">
        <f>[1]Data!L367</f>
        <v>07:01:01</v>
      </c>
      <c r="M376" s="1">
        <f>[1]Data!M367</f>
        <v>45824</v>
      </c>
      <c r="N376" s="1">
        <f>[1]Data!N367</f>
        <v>44430</v>
      </c>
      <c r="O376" s="1" t="str">
        <f>[1]Data!O367</f>
        <v>X</v>
      </c>
      <c r="P376" s="1" t="str">
        <f>[1]Data!P367</f>
        <v>2025</v>
      </c>
      <c r="Q376" s="15">
        <f>[1]Data!Q367</f>
        <v>260</v>
      </c>
      <c r="R376" s="1" t="str">
        <f>[1]Data!R367</f>
        <v/>
      </c>
    </row>
    <row r="377" spans="1:18" x14ac:dyDescent="0.35">
      <c r="A377" s="1" t="str">
        <f>[1]Data!A368</f>
        <v>4003922</v>
      </c>
      <c r="B377" s="1" t="str">
        <f>[1]Data!B368</f>
        <v>3300</v>
      </c>
      <c r="C377" s="1" t="str">
        <f>[1]Data!C368</f>
        <v>3001</v>
      </c>
      <c r="D377" s="1" t="str">
        <f>[1]Data!D368</f>
        <v>DL</v>
      </c>
      <c r="E377" s="1" t="str">
        <f>[1]Data!E368</f>
        <v/>
      </c>
      <c r="F377" s="1" t="str">
        <f>[1]Data!F368</f>
        <v>2024</v>
      </c>
      <c r="G377" s="1" t="str">
        <f>[1]Data!G368</f>
        <v>1</v>
      </c>
      <c r="H377" s="15">
        <f>[1]Data!H368</f>
        <v>0</v>
      </c>
      <c r="I377" s="15">
        <f>[1]Data!I368</f>
        <v>0</v>
      </c>
      <c r="J377" s="1" t="str">
        <f>[1]Data!J368</f>
        <v/>
      </c>
      <c r="K377" s="1" t="str">
        <f>[1]Data!K368</f>
        <v/>
      </c>
      <c r="L377" s="1" t="str">
        <f>[1]Data!L368</f>
        <v>SLETTET</v>
      </c>
      <c r="M377" s="1" t="str">
        <f>[1]Data!M368</f>
        <v/>
      </c>
      <c r="N377" s="1">
        <f>[1]Data!N368</f>
        <v>45210</v>
      </c>
      <c r="O377" s="1" t="str">
        <f>[1]Data!O368</f>
        <v>X</v>
      </c>
      <c r="P377" s="1" t="str">
        <f>[1]Data!P368</f>
        <v>2023</v>
      </c>
      <c r="Q377" s="15">
        <f>[1]Data!Q368</f>
        <v>0</v>
      </c>
      <c r="R377" s="1" t="str">
        <f>[1]Data!R368</f>
        <v>INAKTIV</v>
      </c>
    </row>
    <row r="378" spans="1:18" x14ac:dyDescent="0.35">
      <c r="A378" s="1" t="str">
        <f>[1]Data!A369</f>
        <v>4004010</v>
      </c>
      <c r="B378" s="1" t="str">
        <f>[1]Data!B369</f>
        <v>3300</v>
      </c>
      <c r="C378" s="1" t="str">
        <f>[1]Data!C369</f>
        <v>3001</v>
      </c>
      <c r="D378" s="1" t="str">
        <f>[1]Data!D369</f>
        <v>L</v>
      </c>
      <c r="E378" s="1" t="str">
        <f>[1]Data!E369</f>
        <v>X</v>
      </c>
      <c r="F378" s="1" t="str">
        <f>[1]Data!F369</f>
        <v>2021</v>
      </c>
      <c r="G378" s="1" t="str">
        <f>[1]Data!G369</f>
        <v>8</v>
      </c>
      <c r="H378" s="15">
        <f>[1]Data!H369</f>
        <v>0</v>
      </c>
      <c r="I378" s="15">
        <f>[1]Data!I369</f>
        <v>0</v>
      </c>
      <c r="J378" s="1" t="str">
        <f>[1]Data!J369</f>
        <v/>
      </c>
      <c r="K378" s="1" t="str">
        <f>[1]Data!K369</f>
        <v/>
      </c>
      <c r="L378" s="1" t="str">
        <f>[1]Data!L369</f>
        <v>SLETTET</v>
      </c>
      <c r="M378" s="1" t="str">
        <f>[1]Data!M369</f>
        <v/>
      </c>
      <c r="N378" s="1">
        <f>[1]Data!N369</f>
        <v>44430</v>
      </c>
      <c r="O378" s="1" t="str">
        <f>[1]Data!O369</f>
        <v>X</v>
      </c>
      <c r="P378" s="1" t="str">
        <f>[1]Data!P369</f>
        <v>2023</v>
      </c>
      <c r="Q378" s="15">
        <f>[1]Data!Q369</f>
        <v>0</v>
      </c>
      <c r="R378" s="1" t="str">
        <f>[1]Data!R369</f>
        <v>INAKTIV</v>
      </c>
    </row>
    <row r="379" spans="1:18" x14ac:dyDescent="0.35">
      <c r="A379" s="1" t="str">
        <f>[1]Data!A370</f>
        <v>4004015</v>
      </c>
      <c r="B379" s="1" t="str">
        <f>[1]Data!B370</f>
        <v>3300</v>
      </c>
      <c r="C379" s="1" t="str">
        <f>[1]Data!C370</f>
        <v>3001</v>
      </c>
      <c r="D379" s="1" t="str">
        <f>[1]Data!D370</f>
        <v>L</v>
      </c>
      <c r="E379" s="1" t="str">
        <f>[1]Data!E370</f>
        <v/>
      </c>
      <c r="F379" s="1" t="str">
        <f>[1]Data!F370</f>
        <v>2026</v>
      </c>
      <c r="G379" s="1" t="str">
        <f>[1]Data!G370</f>
        <v>3</v>
      </c>
      <c r="H379" s="15">
        <f>[1]Data!H370</f>
        <v>1000</v>
      </c>
      <c r="I379" s="15">
        <f>[1]Data!I370</f>
        <v>0</v>
      </c>
      <c r="J379" s="1" t="str">
        <f>[1]Data!J370</f>
        <v>X</v>
      </c>
      <c r="K379" s="1" t="str">
        <f>[1]Data!K370</f>
        <v>X</v>
      </c>
      <c r="L379" s="1" t="str">
        <f>[1]Data!L370</f>
        <v>04:13:02</v>
      </c>
      <c r="M379" s="1">
        <f>[1]Data!M370</f>
        <v>45800</v>
      </c>
      <c r="N379" s="1">
        <f>[1]Data!N370</f>
        <v>44430</v>
      </c>
      <c r="O379" s="1" t="str">
        <f>[1]Data!O370</f>
        <v>X</v>
      </c>
      <c r="P379" s="1" t="str">
        <f>[1]Data!P370</f>
        <v>2025</v>
      </c>
      <c r="Q379" s="15">
        <f>[1]Data!Q370</f>
        <v>1000</v>
      </c>
      <c r="R379" s="1" t="str">
        <f>[1]Data!R370</f>
        <v/>
      </c>
    </row>
    <row r="380" spans="1:18" x14ac:dyDescent="0.35">
      <c r="A380" s="1" t="str">
        <f>[1]Data!A371</f>
        <v>4004018</v>
      </c>
      <c r="B380" s="1" t="str">
        <f>[1]Data!B371</f>
        <v>3300</v>
      </c>
      <c r="C380" s="1" t="str">
        <f>[1]Data!C371</f>
        <v>3001</v>
      </c>
      <c r="D380" s="1" t="str">
        <f>[1]Data!D371</f>
        <v>L</v>
      </c>
      <c r="E380" s="1" t="str">
        <f>[1]Data!E371</f>
        <v>X</v>
      </c>
      <c r="F380" s="1" t="str">
        <f>[1]Data!F371</f>
        <v>2022</v>
      </c>
      <c r="G380" s="1" t="str">
        <f>[1]Data!G371</f>
        <v>2</v>
      </c>
      <c r="H380" s="15">
        <f>[1]Data!H371</f>
        <v>0</v>
      </c>
      <c r="I380" s="15">
        <f>[1]Data!I371</f>
        <v>0</v>
      </c>
      <c r="J380" s="1" t="str">
        <f>[1]Data!J371</f>
        <v/>
      </c>
      <c r="K380" s="1" t="str">
        <f>[1]Data!K371</f>
        <v>X</v>
      </c>
      <c r="L380" s="1" t="str">
        <f>[1]Data!L371</f>
        <v>SLETTET</v>
      </c>
      <c r="M380" s="1">
        <f>[1]Data!M371</f>
        <v>44565</v>
      </c>
      <c r="N380" s="1">
        <f>[1]Data!N371</f>
        <v>44430</v>
      </c>
      <c r="O380" s="1" t="str">
        <f>[1]Data!O371</f>
        <v>X</v>
      </c>
      <c r="P380" s="1" t="str">
        <f>[1]Data!P371</f>
        <v>2023</v>
      </c>
      <c r="Q380" s="15">
        <f>[1]Data!Q371</f>
        <v>0</v>
      </c>
      <c r="R380" s="1" t="str">
        <f>[1]Data!R371</f>
        <v>INAKTIV</v>
      </c>
    </row>
    <row r="381" spans="1:18" x14ac:dyDescent="0.35">
      <c r="A381" s="1" t="str">
        <f>[1]Data!A372</f>
        <v>4004037</v>
      </c>
      <c r="B381" s="1" t="str">
        <f>[1]Data!B372</f>
        <v>3300</v>
      </c>
      <c r="C381" s="1" t="str">
        <f>[1]Data!C372</f>
        <v>3001</v>
      </c>
      <c r="D381" s="1" t="str">
        <f>[1]Data!D372</f>
        <v>L</v>
      </c>
      <c r="E381" s="1" t="str">
        <f>[1]Data!E372</f>
        <v/>
      </c>
      <c r="F381" s="1" t="str">
        <f>[1]Data!F372</f>
        <v>2026</v>
      </c>
      <c r="G381" s="1" t="str">
        <f>[1]Data!G372</f>
        <v>3</v>
      </c>
      <c r="H381" s="15">
        <f>[1]Data!H372</f>
        <v>90</v>
      </c>
      <c r="I381" s="15">
        <f>[1]Data!I372</f>
        <v>0</v>
      </c>
      <c r="J381" s="1" t="str">
        <f>[1]Data!J372</f>
        <v>X</v>
      </c>
      <c r="K381" s="1" t="str">
        <f>[1]Data!K372</f>
        <v>X</v>
      </c>
      <c r="L381" s="1" t="str">
        <f>[1]Data!L372</f>
        <v>11:01:03</v>
      </c>
      <c r="M381" s="1">
        <f>[1]Data!M372</f>
        <v>45987</v>
      </c>
      <c r="N381" s="1">
        <f>[1]Data!N372</f>
        <v>44430</v>
      </c>
      <c r="O381" s="1" t="str">
        <f>[1]Data!O372</f>
        <v>X</v>
      </c>
      <c r="P381" s="1" t="str">
        <f>[1]Data!P372</f>
        <v>2025</v>
      </c>
      <c r="Q381" s="15">
        <f>[1]Data!Q372</f>
        <v>90</v>
      </c>
      <c r="R381" s="1" t="str">
        <f>[1]Data!R372</f>
        <v/>
      </c>
    </row>
    <row r="382" spans="1:18" x14ac:dyDescent="0.35">
      <c r="A382" s="1" t="str">
        <f>[1]Data!A373</f>
        <v>4004039</v>
      </c>
      <c r="B382" s="1" t="str">
        <f>[1]Data!B373</f>
        <v>3300</v>
      </c>
      <c r="C382" s="1" t="str">
        <f>[1]Data!C373</f>
        <v>3001</v>
      </c>
      <c r="D382" s="1" t="str">
        <f>[1]Data!D373</f>
        <v>L</v>
      </c>
      <c r="E382" s="1" t="str">
        <f>[1]Data!E373</f>
        <v/>
      </c>
      <c r="F382" s="1" t="str">
        <f>[1]Data!F373</f>
        <v>2026</v>
      </c>
      <c r="G382" s="1" t="str">
        <f>[1]Data!G373</f>
        <v>2</v>
      </c>
      <c r="H382" s="15">
        <f>[1]Data!H373</f>
        <v>3900</v>
      </c>
      <c r="I382" s="15">
        <f>[1]Data!I373</f>
        <v>0</v>
      </c>
      <c r="J382" s="1" t="str">
        <f>[1]Data!J373</f>
        <v>X</v>
      </c>
      <c r="K382" s="1" t="str">
        <f>[1]Data!K373</f>
        <v/>
      </c>
      <c r="L382" s="1" t="str">
        <f>[1]Data!L373</f>
        <v>K3:I</v>
      </c>
      <c r="M382" s="1">
        <f>[1]Data!M373</f>
        <v>46029</v>
      </c>
      <c r="N382" s="1">
        <f>[1]Data!N373</f>
        <v>44430</v>
      </c>
      <c r="O382" s="1" t="str">
        <f>[1]Data!O373</f>
        <v>X</v>
      </c>
      <c r="P382" s="1" t="str">
        <f>[1]Data!P373</f>
        <v>2026</v>
      </c>
      <c r="Q382" s="15">
        <f>[1]Data!Q373</f>
        <v>3900</v>
      </c>
      <c r="R382" s="1" t="str">
        <f>[1]Data!R373</f>
        <v/>
      </c>
    </row>
    <row r="383" spans="1:18" x14ac:dyDescent="0.35">
      <c r="A383" s="1" t="str">
        <f>[1]Data!A374</f>
        <v>4004041</v>
      </c>
      <c r="B383" s="1" t="str">
        <f>[1]Data!B374</f>
        <v>3300</v>
      </c>
      <c r="C383" s="1" t="str">
        <f>[1]Data!C374</f>
        <v>3001</v>
      </c>
      <c r="D383" s="1" t="str">
        <f>[1]Data!D374</f>
        <v>L</v>
      </c>
      <c r="E383" s="1" t="str">
        <f>[1]Data!E374</f>
        <v/>
      </c>
      <c r="F383" s="1" t="str">
        <f>[1]Data!F374</f>
        <v>2026</v>
      </c>
      <c r="G383" s="1" t="str">
        <f>[1]Data!G374</f>
        <v>3</v>
      </c>
      <c r="H383" s="15">
        <f>[1]Data!H374</f>
        <v>800</v>
      </c>
      <c r="I383" s="15">
        <f>[1]Data!I374</f>
        <v>0</v>
      </c>
      <c r="J383" s="1" t="str">
        <f>[1]Data!J374</f>
        <v>X</v>
      </c>
      <c r="K383" s="1" t="str">
        <f>[1]Data!K374</f>
        <v>X</v>
      </c>
      <c r="L383" s="1" t="str">
        <f>[1]Data!L374</f>
        <v>08:13:01</v>
      </c>
      <c r="M383" s="1">
        <f>[1]Data!M374</f>
        <v>45980</v>
      </c>
      <c r="N383" s="1">
        <f>[1]Data!N374</f>
        <v>44430</v>
      </c>
      <c r="O383" s="1" t="str">
        <f>[1]Data!O374</f>
        <v>X</v>
      </c>
      <c r="P383" s="1" t="str">
        <f>[1]Data!P374</f>
        <v>2025</v>
      </c>
      <c r="Q383" s="15">
        <f>[1]Data!Q374</f>
        <v>800</v>
      </c>
      <c r="R383" s="1" t="str">
        <f>[1]Data!R374</f>
        <v/>
      </c>
    </row>
    <row r="384" spans="1:18" x14ac:dyDescent="0.35">
      <c r="A384" s="1" t="str">
        <f>[1]Data!A375</f>
        <v>4004049</v>
      </c>
      <c r="B384" s="1" t="str">
        <f>[1]Data!B375</f>
        <v>3300</v>
      </c>
      <c r="C384" s="1" t="str">
        <f>[1]Data!C375</f>
        <v>3001</v>
      </c>
      <c r="D384" s="1" t="str">
        <f>[1]Data!D375</f>
        <v>L</v>
      </c>
      <c r="E384" s="1" t="str">
        <f>[1]Data!E375</f>
        <v/>
      </c>
      <c r="F384" s="1" t="str">
        <f>[1]Data!F375</f>
        <v>2026</v>
      </c>
      <c r="G384" s="1" t="str">
        <f>[1]Data!G375</f>
        <v>2</v>
      </c>
      <c r="H384" s="15">
        <f>[1]Data!H375</f>
        <v>900</v>
      </c>
      <c r="I384" s="15">
        <f>[1]Data!I375</f>
        <v>0</v>
      </c>
      <c r="J384" s="1" t="str">
        <f>[1]Data!J375</f>
        <v>X</v>
      </c>
      <c r="K384" s="1" t="str">
        <f>[1]Data!K375</f>
        <v>X</v>
      </c>
      <c r="L384" s="1" t="str">
        <f>[1]Data!L375</f>
        <v>17:01:01</v>
      </c>
      <c r="M384" s="1">
        <f>[1]Data!M375</f>
        <v>46006</v>
      </c>
      <c r="N384" s="1">
        <f>[1]Data!N375</f>
        <v>44430</v>
      </c>
      <c r="O384" s="1" t="str">
        <f>[1]Data!O375</f>
        <v>X</v>
      </c>
      <c r="P384" s="1" t="str">
        <f>[1]Data!P375</f>
        <v>2025</v>
      </c>
      <c r="Q384" s="15">
        <f>[1]Data!Q375</f>
        <v>900</v>
      </c>
      <c r="R384" s="1" t="str">
        <f>[1]Data!R375</f>
        <v/>
      </c>
    </row>
    <row r="385" spans="1:18" x14ac:dyDescent="0.35">
      <c r="A385" s="1" t="str">
        <f>[1]Data!A376</f>
        <v>4004054</v>
      </c>
      <c r="B385" s="1" t="str">
        <f>[1]Data!B376</f>
        <v>3300</v>
      </c>
      <c r="C385" s="1" t="str">
        <f>[1]Data!C376</f>
        <v>3001</v>
      </c>
      <c r="D385" s="1" t="str">
        <f>[1]Data!D376</f>
        <v>L</v>
      </c>
      <c r="E385" s="1" t="str">
        <f>[1]Data!E376</f>
        <v/>
      </c>
      <c r="F385" s="1" t="str">
        <f>[1]Data!F376</f>
        <v>2026</v>
      </c>
      <c r="G385" s="1" t="str">
        <f>[1]Data!G376</f>
        <v>2</v>
      </c>
      <c r="H385" s="15">
        <f>[1]Data!H376</f>
        <v>308</v>
      </c>
      <c r="I385" s="15">
        <f>[1]Data!I376</f>
        <v>0</v>
      </c>
      <c r="J385" s="1" t="str">
        <f>[1]Data!J376</f>
        <v>X</v>
      </c>
      <c r="K385" s="1" t="str">
        <f>[1]Data!K376</f>
        <v>X</v>
      </c>
      <c r="L385" s="1" t="str">
        <f>[1]Data!L376</f>
        <v>12:03:03</v>
      </c>
      <c r="M385" s="1">
        <f>[1]Data!M376</f>
        <v>45994</v>
      </c>
      <c r="N385" s="1">
        <f>[1]Data!N376</f>
        <v>44430</v>
      </c>
      <c r="O385" s="1" t="str">
        <f>[1]Data!O376</f>
        <v>X</v>
      </c>
      <c r="P385" s="1" t="str">
        <f>[1]Data!P376</f>
        <v>2025</v>
      </c>
      <c r="Q385" s="15">
        <f>[1]Data!Q376</f>
        <v>308</v>
      </c>
      <c r="R385" s="1" t="str">
        <f>[1]Data!R376</f>
        <v/>
      </c>
    </row>
    <row r="386" spans="1:18" x14ac:dyDescent="0.35">
      <c r="A386" s="1" t="str">
        <f>[1]Data!A377</f>
        <v>4004060</v>
      </c>
      <c r="B386" s="1" t="str">
        <f>[1]Data!B377</f>
        <v>3300</v>
      </c>
      <c r="C386" s="1" t="str">
        <f>[1]Data!C377</f>
        <v>3001</v>
      </c>
      <c r="D386" s="1" t="str">
        <f>[1]Data!D377</f>
        <v>DL</v>
      </c>
      <c r="E386" s="1" t="str">
        <f>[1]Data!E377</f>
        <v/>
      </c>
      <c r="F386" s="1" t="str">
        <f>[1]Data!F377</f>
        <v>2024</v>
      </c>
      <c r="G386" s="1" t="str">
        <f>[1]Data!G377</f>
        <v>2</v>
      </c>
      <c r="H386" s="15">
        <f>[1]Data!H377</f>
        <v>0</v>
      </c>
      <c r="I386" s="15">
        <f>[1]Data!I377</f>
        <v>0</v>
      </c>
      <c r="J386" s="1" t="str">
        <f>[1]Data!J377</f>
        <v/>
      </c>
      <c r="K386" s="1" t="str">
        <f>[1]Data!K377</f>
        <v/>
      </c>
      <c r="L386" s="1" t="str">
        <f>[1]Data!L377</f>
        <v/>
      </c>
      <c r="M386" s="1" t="str">
        <f>[1]Data!M377</f>
        <v/>
      </c>
      <c r="N386" s="1">
        <f>[1]Data!N377</f>
        <v>45345</v>
      </c>
      <c r="O386" s="1" t="str">
        <f>[1]Data!O377</f>
        <v>X</v>
      </c>
      <c r="P386" s="1" t="str">
        <f>[1]Data!P377</f>
        <v>2024</v>
      </c>
      <c r="Q386" s="15">
        <f>[1]Data!Q377</f>
        <v>0</v>
      </c>
      <c r="R386" s="1" t="str">
        <f>[1]Data!R377</f>
        <v>INAKTIV</v>
      </c>
    </row>
    <row r="387" spans="1:18" x14ac:dyDescent="0.35">
      <c r="A387" s="1" t="str">
        <f>[1]Data!A378</f>
        <v>4004061</v>
      </c>
      <c r="B387" s="1" t="str">
        <f>[1]Data!B378</f>
        <v>3300</v>
      </c>
      <c r="C387" s="1" t="str">
        <f>[1]Data!C378</f>
        <v>3001</v>
      </c>
      <c r="D387" s="1" t="str">
        <f>[1]Data!D378</f>
        <v>DL</v>
      </c>
      <c r="E387" s="1" t="str">
        <f>[1]Data!E378</f>
        <v/>
      </c>
      <c r="F387" s="1" t="str">
        <f>[1]Data!F378</f>
        <v>2024</v>
      </c>
      <c r="G387" s="1" t="str">
        <f>[1]Data!G378</f>
        <v>2</v>
      </c>
      <c r="H387" s="15">
        <f>[1]Data!H378</f>
        <v>0</v>
      </c>
      <c r="I387" s="15">
        <f>[1]Data!I378</f>
        <v>0</v>
      </c>
      <c r="J387" s="1" t="str">
        <f>[1]Data!J378</f>
        <v/>
      </c>
      <c r="K387" s="1" t="str">
        <f>[1]Data!K378</f>
        <v/>
      </c>
      <c r="L387" s="1" t="str">
        <f>[1]Data!L378</f>
        <v/>
      </c>
      <c r="M387" s="1" t="str">
        <f>[1]Data!M378</f>
        <v/>
      </c>
      <c r="N387" s="1">
        <f>[1]Data!N378</f>
        <v>45345</v>
      </c>
      <c r="O387" s="1" t="str">
        <f>[1]Data!O378</f>
        <v>X</v>
      </c>
      <c r="P387" s="1" t="str">
        <f>[1]Data!P378</f>
        <v>2024</v>
      </c>
      <c r="Q387" s="15">
        <f>[1]Data!Q378</f>
        <v>0</v>
      </c>
      <c r="R387" s="1" t="str">
        <f>[1]Data!R378</f>
        <v>INAKTIV</v>
      </c>
    </row>
    <row r="388" spans="1:18" x14ac:dyDescent="0.35">
      <c r="A388" s="1" t="str">
        <f>[1]Data!A379</f>
        <v>4004067</v>
      </c>
      <c r="B388" s="1" t="str">
        <f>[1]Data!B379</f>
        <v>3300</v>
      </c>
      <c r="C388" s="1" t="str">
        <f>[1]Data!C379</f>
        <v>3001</v>
      </c>
      <c r="D388" s="1" t="str">
        <f>[1]Data!D379</f>
        <v>L</v>
      </c>
      <c r="E388" s="1" t="str">
        <f>[1]Data!E379</f>
        <v>X</v>
      </c>
      <c r="F388" s="1" t="str">
        <f>[1]Data!F379</f>
        <v>2022</v>
      </c>
      <c r="G388" s="1" t="str">
        <f>[1]Data!G379</f>
        <v>2</v>
      </c>
      <c r="H388" s="15">
        <f>[1]Data!H379</f>
        <v>0</v>
      </c>
      <c r="I388" s="15">
        <f>[1]Data!I379</f>
        <v>0</v>
      </c>
      <c r="J388" s="1" t="str">
        <f>[1]Data!J379</f>
        <v/>
      </c>
      <c r="K388" s="1" t="str">
        <f>[1]Data!K379</f>
        <v>X</v>
      </c>
      <c r="L388" s="1" t="str">
        <f>[1]Data!L379</f>
        <v>SLETTET</v>
      </c>
      <c r="M388" s="1">
        <f>[1]Data!M379</f>
        <v>44568</v>
      </c>
      <c r="N388" s="1">
        <f>[1]Data!N379</f>
        <v>44430</v>
      </c>
      <c r="O388" s="1" t="str">
        <f>[1]Data!O379</f>
        <v>X</v>
      </c>
      <c r="P388" s="1" t="str">
        <f>[1]Data!P379</f>
        <v>2023</v>
      </c>
      <c r="Q388" s="15">
        <f>[1]Data!Q379</f>
        <v>0</v>
      </c>
      <c r="R388" s="1" t="str">
        <f>[1]Data!R379</f>
        <v>INAKTIV</v>
      </c>
    </row>
    <row r="389" spans="1:18" x14ac:dyDescent="0.35">
      <c r="A389" s="1" t="str">
        <f>[1]Data!A380</f>
        <v>4004068</v>
      </c>
      <c r="B389" s="1" t="str">
        <f>[1]Data!B380</f>
        <v>3300</v>
      </c>
      <c r="C389" s="1" t="str">
        <f>[1]Data!C380</f>
        <v>3001</v>
      </c>
      <c r="D389" s="1" t="str">
        <f>[1]Data!D380</f>
        <v>L</v>
      </c>
      <c r="E389" s="1" t="str">
        <f>[1]Data!E380</f>
        <v>X</v>
      </c>
      <c r="F389" s="1" t="str">
        <f>[1]Data!F380</f>
        <v>2022</v>
      </c>
      <c r="G389" s="1" t="str">
        <f>[1]Data!G380</f>
        <v>2</v>
      </c>
      <c r="H389" s="15">
        <f>[1]Data!H380</f>
        <v>0</v>
      </c>
      <c r="I389" s="15">
        <f>[1]Data!I380</f>
        <v>0</v>
      </c>
      <c r="J389" s="1" t="str">
        <f>[1]Data!J380</f>
        <v>X</v>
      </c>
      <c r="K389" s="1" t="str">
        <f>[1]Data!K380</f>
        <v/>
      </c>
      <c r="L389" s="1" t="str">
        <f>[1]Data!L380</f>
        <v>SLETTET</v>
      </c>
      <c r="M389" s="1">
        <f>[1]Data!M380</f>
        <v>44568</v>
      </c>
      <c r="N389" s="1">
        <f>[1]Data!N380</f>
        <v>44430</v>
      </c>
      <c r="O389" s="1" t="str">
        <f>[1]Data!O380</f>
        <v>X</v>
      </c>
      <c r="P389" s="1" t="str">
        <f>[1]Data!P380</f>
        <v>2022</v>
      </c>
      <c r="Q389" s="15">
        <f>[1]Data!Q380</f>
        <v>0</v>
      </c>
      <c r="R389" s="1" t="str">
        <f>[1]Data!R380</f>
        <v>INAKTIV</v>
      </c>
    </row>
    <row r="390" spans="1:18" x14ac:dyDescent="0.35">
      <c r="A390" s="1" t="str">
        <f>[1]Data!A381</f>
        <v>4004070</v>
      </c>
      <c r="B390" s="1" t="str">
        <f>[1]Data!B381</f>
        <v>3300</v>
      </c>
      <c r="C390" s="1" t="str">
        <f>[1]Data!C381</f>
        <v>3001</v>
      </c>
      <c r="D390" s="1" t="str">
        <f>[1]Data!D381</f>
        <v>L</v>
      </c>
      <c r="E390" s="1" t="str">
        <f>[1]Data!E381</f>
        <v/>
      </c>
      <c r="F390" s="1" t="str">
        <f>[1]Data!F381</f>
        <v>2026</v>
      </c>
      <c r="G390" s="1" t="str">
        <f>[1]Data!G381</f>
        <v>2</v>
      </c>
      <c r="H390" s="15">
        <f>[1]Data!H381</f>
        <v>74</v>
      </c>
      <c r="I390" s="15">
        <f>[1]Data!I381</f>
        <v>0</v>
      </c>
      <c r="J390" s="1" t="str">
        <f>[1]Data!J381</f>
        <v>X</v>
      </c>
      <c r="K390" s="1" t="str">
        <f>[1]Data!K381</f>
        <v>X</v>
      </c>
      <c r="L390" s="1" t="str">
        <f>[1]Data!L381</f>
        <v>09:08:03</v>
      </c>
      <c r="M390" s="1">
        <f>[1]Data!M381</f>
        <v>45910</v>
      </c>
      <c r="N390" s="1">
        <f>[1]Data!N381</f>
        <v>44430</v>
      </c>
      <c r="O390" s="1" t="str">
        <f>[1]Data!O381</f>
        <v>X</v>
      </c>
      <c r="P390" s="1" t="str">
        <f>[1]Data!P381</f>
        <v>2025</v>
      </c>
      <c r="Q390" s="15">
        <f>[1]Data!Q381</f>
        <v>74</v>
      </c>
      <c r="R390" s="1" t="str">
        <f>[1]Data!R381</f>
        <v/>
      </c>
    </row>
    <row r="391" spans="1:18" x14ac:dyDescent="0.35">
      <c r="A391" s="1" t="str">
        <f>[1]Data!A382</f>
        <v>4004071</v>
      </c>
      <c r="B391" s="1" t="str">
        <f>[1]Data!B382</f>
        <v>3300</v>
      </c>
      <c r="C391" s="1" t="str">
        <f>[1]Data!C382</f>
        <v>3001</v>
      </c>
      <c r="D391" s="1" t="str">
        <f>[1]Data!D382</f>
        <v>L</v>
      </c>
      <c r="E391" s="1" t="str">
        <f>[1]Data!E382</f>
        <v/>
      </c>
      <c r="F391" s="1" t="str">
        <f>[1]Data!F382</f>
        <v>2026</v>
      </c>
      <c r="G391" s="1" t="str">
        <f>[1]Data!G382</f>
        <v>3</v>
      </c>
      <c r="H391" s="15">
        <f>[1]Data!H382</f>
        <v>94</v>
      </c>
      <c r="I391" s="15">
        <f>[1]Data!I382</f>
        <v>0</v>
      </c>
      <c r="J391" s="1" t="str">
        <f>[1]Data!J382</f>
        <v>X</v>
      </c>
      <c r="K391" s="1" t="str">
        <f>[1]Data!K382</f>
        <v>X</v>
      </c>
      <c r="L391" s="1" t="str">
        <f>[1]Data!L382</f>
        <v>09:08:01*</v>
      </c>
      <c r="M391" s="1">
        <f>[1]Data!M382</f>
        <v>45980</v>
      </c>
      <c r="N391" s="1">
        <f>[1]Data!N382</f>
        <v>44430</v>
      </c>
      <c r="O391" s="1" t="str">
        <f>[1]Data!O382</f>
        <v>X</v>
      </c>
      <c r="P391" s="1" t="str">
        <f>[1]Data!P382</f>
        <v>2025</v>
      </c>
      <c r="Q391" s="15">
        <f>[1]Data!Q382</f>
        <v>94</v>
      </c>
      <c r="R391" s="1" t="str">
        <f>[1]Data!R382</f>
        <v/>
      </c>
    </row>
    <row r="392" spans="1:18" x14ac:dyDescent="0.35">
      <c r="A392" s="1" t="str">
        <f>[1]Data!A383</f>
        <v>4004074</v>
      </c>
      <c r="B392" s="1" t="str">
        <f>[1]Data!B383</f>
        <v>3300</v>
      </c>
      <c r="C392" s="1" t="str">
        <f>[1]Data!C383</f>
        <v>3001</v>
      </c>
      <c r="D392" s="1" t="str">
        <f>[1]Data!D383</f>
        <v>L</v>
      </c>
      <c r="E392" s="1" t="str">
        <f>[1]Data!E383</f>
        <v/>
      </c>
      <c r="F392" s="1" t="str">
        <f>[1]Data!F383</f>
        <v>2026</v>
      </c>
      <c r="G392" s="1" t="str">
        <f>[1]Data!G383</f>
        <v>1</v>
      </c>
      <c r="H392" s="15">
        <f>[1]Data!H383</f>
        <v>240</v>
      </c>
      <c r="I392" s="15">
        <f>[1]Data!I383</f>
        <v>0</v>
      </c>
      <c r="J392" s="1" t="str">
        <f>[1]Data!J383</f>
        <v>X</v>
      </c>
      <c r="K392" s="1" t="str">
        <f>[1]Data!K383</f>
        <v>X</v>
      </c>
      <c r="L392" s="1" t="str">
        <f>[1]Data!L383</f>
        <v>06:10:02</v>
      </c>
      <c r="M392" s="1">
        <f>[1]Data!M383</f>
        <v>45824</v>
      </c>
      <c r="N392" s="1">
        <f>[1]Data!N383</f>
        <v>44430</v>
      </c>
      <c r="O392" s="1" t="str">
        <f>[1]Data!O383</f>
        <v>X</v>
      </c>
      <c r="P392" s="1" t="str">
        <f>[1]Data!P383</f>
        <v>2025</v>
      </c>
      <c r="Q392" s="15">
        <f>[1]Data!Q383</f>
        <v>240</v>
      </c>
      <c r="R392" s="1" t="str">
        <f>[1]Data!R383</f>
        <v/>
      </c>
    </row>
    <row r="393" spans="1:18" x14ac:dyDescent="0.35">
      <c r="A393" s="1" t="str">
        <f>[1]Data!A384</f>
        <v>4004098</v>
      </c>
      <c r="B393" s="1" t="str">
        <f>[1]Data!B384</f>
        <v>3300</v>
      </c>
      <c r="C393" s="1" t="str">
        <f>[1]Data!C384</f>
        <v>3001</v>
      </c>
      <c r="D393" s="1" t="str">
        <f>[1]Data!D384</f>
        <v>L</v>
      </c>
      <c r="E393" s="1" t="str">
        <f>[1]Data!E384</f>
        <v/>
      </c>
      <c r="F393" s="1" t="str">
        <f>[1]Data!F384</f>
        <v>2026</v>
      </c>
      <c r="G393" s="1" t="str">
        <f>[1]Data!G384</f>
        <v>2</v>
      </c>
      <c r="H393" s="15">
        <f>[1]Data!H384</f>
        <v>75</v>
      </c>
      <c r="I393" s="15">
        <f>[1]Data!I384</f>
        <v>0</v>
      </c>
      <c r="J393" s="1" t="str">
        <f>[1]Data!J384</f>
        <v>X</v>
      </c>
      <c r="K393" s="1" t="str">
        <f>[1]Data!K384</f>
        <v>X</v>
      </c>
      <c r="L393" s="1" t="str">
        <f>[1]Data!L384</f>
        <v>03:10:02</v>
      </c>
      <c r="M393" s="1">
        <f>[1]Data!M384</f>
        <v>45798</v>
      </c>
      <c r="N393" s="1">
        <f>[1]Data!N384</f>
        <v>44430</v>
      </c>
      <c r="O393" s="1" t="str">
        <f>[1]Data!O384</f>
        <v>X</v>
      </c>
      <c r="P393" s="1" t="str">
        <f>[1]Data!P384</f>
        <v>2025</v>
      </c>
      <c r="Q393" s="15">
        <f>[1]Data!Q384</f>
        <v>75</v>
      </c>
      <c r="R393" s="1" t="str">
        <f>[1]Data!R384</f>
        <v/>
      </c>
    </row>
    <row r="394" spans="1:18" x14ac:dyDescent="0.35">
      <c r="A394" s="1" t="str">
        <f>[1]Data!A385</f>
        <v>4004107</v>
      </c>
      <c r="B394" s="1" t="str">
        <f>[1]Data!B385</f>
        <v>3300</v>
      </c>
      <c r="C394" s="1" t="str">
        <f>[1]Data!C385</f>
        <v>3001</v>
      </c>
      <c r="D394" s="1" t="str">
        <f>[1]Data!D385</f>
        <v>L</v>
      </c>
      <c r="E394" s="1" t="str">
        <f>[1]Data!E385</f>
        <v/>
      </c>
      <c r="F394" s="1" t="str">
        <f>[1]Data!F385</f>
        <v>2021</v>
      </c>
      <c r="G394" s="1" t="str">
        <f>[1]Data!G385</f>
        <v>10</v>
      </c>
      <c r="H394" s="15">
        <f>[1]Data!H385</f>
        <v>0</v>
      </c>
      <c r="I394" s="15">
        <f>[1]Data!I385</f>
        <v>0</v>
      </c>
      <c r="J394" s="1" t="str">
        <f>[1]Data!J385</f>
        <v/>
      </c>
      <c r="K394" s="1" t="str">
        <f>[1]Data!K385</f>
        <v>X</v>
      </c>
      <c r="L394" s="1" t="str">
        <f>[1]Data!L385</f>
        <v>SLETTET</v>
      </c>
      <c r="M394" s="1">
        <f>[1]Data!M385</f>
        <v>44568</v>
      </c>
      <c r="N394" s="1">
        <f>[1]Data!N385</f>
        <v>44430</v>
      </c>
      <c r="O394" s="1" t="str">
        <f>[1]Data!O385</f>
        <v>X</v>
      </c>
      <c r="P394" s="1" t="str">
        <f>[1]Data!P385</f>
        <v>2023</v>
      </c>
      <c r="Q394" s="15">
        <f>[1]Data!Q385</f>
        <v>0</v>
      </c>
      <c r="R394" s="1" t="str">
        <f>[1]Data!R385</f>
        <v>INAKTIV</v>
      </c>
    </row>
    <row r="395" spans="1:18" x14ac:dyDescent="0.35">
      <c r="A395" s="1" t="str">
        <f>[1]Data!A386</f>
        <v>4004110</v>
      </c>
      <c r="B395" s="1" t="str">
        <f>[1]Data!B386</f>
        <v>3300</v>
      </c>
      <c r="C395" s="1" t="str">
        <f>[1]Data!C386</f>
        <v>3001</v>
      </c>
      <c r="D395" s="1" t="str">
        <f>[1]Data!D386</f>
        <v>L</v>
      </c>
      <c r="E395" s="1" t="str">
        <f>[1]Data!E386</f>
        <v/>
      </c>
      <c r="F395" s="1" t="str">
        <f>[1]Data!F386</f>
        <v>2026</v>
      </c>
      <c r="G395" s="1" t="str">
        <f>[1]Data!G386</f>
        <v>3</v>
      </c>
      <c r="H395" s="15">
        <f>[1]Data!H386</f>
        <v>1120</v>
      </c>
      <c r="I395" s="15">
        <f>[1]Data!I386</f>
        <v>0</v>
      </c>
      <c r="J395" s="1" t="str">
        <f>[1]Data!J386</f>
        <v>X</v>
      </c>
      <c r="K395" s="1" t="str">
        <f>[1]Data!K386</f>
        <v>X</v>
      </c>
      <c r="L395" s="1" t="str">
        <f>[1]Data!L386</f>
        <v>14:17:03</v>
      </c>
      <c r="M395" s="1">
        <f>[1]Data!M386</f>
        <v>46001</v>
      </c>
      <c r="N395" s="1">
        <f>[1]Data!N386</f>
        <v>44430</v>
      </c>
      <c r="O395" s="1" t="str">
        <f>[1]Data!O386</f>
        <v>X</v>
      </c>
      <c r="P395" s="1" t="str">
        <f>[1]Data!P386</f>
        <v>2025</v>
      </c>
      <c r="Q395" s="15">
        <f>[1]Data!Q386</f>
        <v>1120</v>
      </c>
      <c r="R395" s="1" t="str">
        <f>[1]Data!R386</f>
        <v/>
      </c>
    </row>
    <row r="396" spans="1:18" x14ac:dyDescent="0.35">
      <c r="A396" s="1" t="str">
        <f>[1]Data!A387</f>
        <v>4004111</v>
      </c>
      <c r="B396" s="1" t="str">
        <f>[1]Data!B387</f>
        <v>3300</v>
      </c>
      <c r="C396" s="1" t="str">
        <f>[1]Data!C387</f>
        <v>3001</v>
      </c>
      <c r="D396" s="1" t="str">
        <f>[1]Data!D387</f>
        <v>L</v>
      </c>
      <c r="E396" s="1" t="str">
        <f>[1]Data!E387</f>
        <v>X</v>
      </c>
      <c r="F396" s="1" t="str">
        <f>[1]Data!F387</f>
        <v>2021</v>
      </c>
      <c r="G396" s="1" t="str">
        <f>[1]Data!G387</f>
        <v>10</v>
      </c>
      <c r="H396" s="15">
        <f>[1]Data!H387</f>
        <v>0</v>
      </c>
      <c r="I396" s="15">
        <f>[1]Data!I387</f>
        <v>0</v>
      </c>
      <c r="J396" s="1" t="str">
        <f>[1]Data!J387</f>
        <v>X</v>
      </c>
      <c r="K396" s="1" t="str">
        <f>[1]Data!K387</f>
        <v/>
      </c>
      <c r="L396" s="1" t="str">
        <f>[1]Data!L387</f>
        <v>SLETTET</v>
      </c>
      <c r="M396" s="1">
        <f>[1]Data!M387</f>
        <v>44568</v>
      </c>
      <c r="N396" s="1">
        <f>[1]Data!N387</f>
        <v>44430</v>
      </c>
      <c r="O396" s="1" t="str">
        <f>[1]Data!O387</f>
        <v>X</v>
      </c>
      <c r="P396" s="1" t="str">
        <f>[1]Data!P387</f>
        <v>2022</v>
      </c>
      <c r="Q396" s="15">
        <f>[1]Data!Q387</f>
        <v>0</v>
      </c>
      <c r="R396" s="1" t="str">
        <f>[1]Data!R387</f>
        <v>INAKTIV</v>
      </c>
    </row>
    <row r="397" spans="1:18" x14ac:dyDescent="0.35">
      <c r="A397" s="1" t="str">
        <f>[1]Data!A388</f>
        <v>4004114</v>
      </c>
      <c r="B397" s="1" t="str">
        <f>[1]Data!B388</f>
        <v>3300</v>
      </c>
      <c r="C397" s="1" t="str">
        <f>[1]Data!C388</f>
        <v>3001</v>
      </c>
      <c r="D397" s="1" t="str">
        <f>[1]Data!D388</f>
        <v>L</v>
      </c>
      <c r="E397" s="1" t="str">
        <f>[1]Data!E388</f>
        <v/>
      </c>
      <c r="F397" s="1" t="str">
        <f>[1]Data!F388</f>
        <v>2026</v>
      </c>
      <c r="G397" s="1" t="str">
        <f>[1]Data!G388</f>
        <v>2</v>
      </c>
      <c r="H397" s="15">
        <f>[1]Data!H388</f>
        <v>100</v>
      </c>
      <c r="I397" s="15">
        <f>[1]Data!I388</f>
        <v>0</v>
      </c>
      <c r="J397" s="1" t="str">
        <f>[1]Data!J388</f>
        <v>X</v>
      </c>
      <c r="K397" s="1" t="str">
        <f>[1]Data!K388</f>
        <v>X</v>
      </c>
      <c r="L397" s="1" t="str">
        <f>[1]Data!L388</f>
        <v>04:05:03</v>
      </c>
      <c r="M397" s="1">
        <f>[1]Data!M388</f>
        <v>45798</v>
      </c>
      <c r="N397" s="1">
        <f>[1]Data!N388</f>
        <v>44430</v>
      </c>
      <c r="O397" s="1" t="str">
        <f>[1]Data!O388</f>
        <v>X</v>
      </c>
      <c r="P397" s="1" t="str">
        <f>[1]Data!P388</f>
        <v>2025</v>
      </c>
      <c r="Q397" s="15">
        <f>[1]Data!Q388</f>
        <v>100</v>
      </c>
      <c r="R397" s="1" t="str">
        <f>[1]Data!R388</f>
        <v/>
      </c>
    </row>
    <row r="398" spans="1:18" x14ac:dyDescent="0.35">
      <c r="A398" s="1" t="str">
        <f>[1]Data!A389</f>
        <v>4004121</v>
      </c>
      <c r="B398" s="1" t="str">
        <f>[1]Data!B389</f>
        <v>3300</v>
      </c>
      <c r="C398" s="1" t="str">
        <f>[1]Data!C389</f>
        <v>3001</v>
      </c>
      <c r="D398" s="1" t="str">
        <f>[1]Data!D389</f>
        <v>L</v>
      </c>
      <c r="E398" s="1" t="str">
        <f>[1]Data!E389</f>
        <v/>
      </c>
      <c r="F398" s="1" t="str">
        <f>[1]Data!F389</f>
        <v>2026</v>
      </c>
      <c r="G398" s="1" t="str">
        <f>[1]Data!G389</f>
        <v>2</v>
      </c>
      <c r="H398" s="15">
        <f>[1]Data!H389</f>
        <v>320</v>
      </c>
      <c r="I398" s="15">
        <f>[1]Data!I389</f>
        <v>0</v>
      </c>
      <c r="J398" s="1" t="str">
        <f>[1]Data!J389</f>
        <v>X</v>
      </c>
      <c r="K398" s="1" t="str">
        <f>[1]Data!K389</f>
        <v>X</v>
      </c>
      <c r="L398" s="1" t="str">
        <f>[1]Data!L389</f>
        <v>06:01:03</v>
      </c>
      <c r="M398" s="1">
        <f>[1]Data!M389</f>
        <v>45804</v>
      </c>
      <c r="N398" s="1">
        <f>[1]Data!N389</f>
        <v>44430</v>
      </c>
      <c r="O398" s="1" t="str">
        <f>[1]Data!O389</f>
        <v>X</v>
      </c>
      <c r="P398" s="1" t="str">
        <f>[1]Data!P389</f>
        <v>2025</v>
      </c>
      <c r="Q398" s="15">
        <f>[1]Data!Q389</f>
        <v>320</v>
      </c>
      <c r="R398" s="1" t="str">
        <f>[1]Data!R389</f>
        <v/>
      </c>
    </row>
    <row r="399" spans="1:18" x14ac:dyDescent="0.35">
      <c r="A399" s="1" t="str">
        <f>[1]Data!A390</f>
        <v>4004123</v>
      </c>
      <c r="B399" s="1" t="str">
        <f>[1]Data!B390</f>
        <v>3300</v>
      </c>
      <c r="C399" s="1" t="str">
        <f>[1]Data!C390</f>
        <v>3001</v>
      </c>
      <c r="D399" s="1" t="str">
        <f>[1]Data!D390</f>
        <v>L</v>
      </c>
      <c r="E399" s="1" t="str">
        <f>[1]Data!E390</f>
        <v/>
      </c>
      <c r="F399" s="1" t="str">
        <f>[1]Data!F390</f>
        <v>2026</v>
      </c>
      <c r="G399" s="1" t="str">
        <f>[1]Data!G390</f>
        <v>2</v>
      </c>
      <c r="H399" s="15">
        <f>[1]Data!H390</f>
        <v>320</v>
      </c>
      <c r="I399" s="15">
        <f>[1]Data!I390</f>
        <v>0</v>
      </c>
      <c r="J399" s="1" t="str">
        <f>[1]Data!J390</f>
        <v>X</v>
      </c>
      <c r="K399" s="1" t="str">
        <f>[1]Data!K390</f>
        <v>X</v>
      </c>
      <c r="L399" s="1" t="str">
        <f>[1]Data!L390</f>
        <v>15:02:05</v>
      </c>
      <c r="M399" s="1">
        <f>[1]Data!M390</f>
        <v>46001</v>
      </c>
      <c r="N399" s="1">
        <f>[1]Data!N390</f>
        <v>44430</v>
      </c>
      <c r="O399" s="1" t="str">
        <f>[1]Data!O390</f>
        <v>X</v>
      </c>
      <c r="P399" s="1" t="str">
        <f>[1]Data!P390</f>
        <v>2025</v>
      </c>
      <c r="Q399" s="15">
        <f>[1]Data!Q390</f>
        <v>320</v>
      </c>
      <c r="R399" s="1" t="str">
        <f>[1]Data!R390</f>
        <v/>
      </c>
    </row>
    <row r="400" spans="1:18" x14ac:dyDescent="0.35">
      <c r="A400" s="1" t="str">
        <f>[1]Data!A391</f>
        <v>4004124</v>
      </c>
      <c r="B400" s="1" t="str">
        <f>[1]Data!B391</f>
        <v>3300</v>
      </c>
      <c r="C400" s="1" t="str">
        <f>[1]Data!C391</f>
        <v>3001</v>
      </c>
      <c r="D400" s="1" t="str">
        <f>[1]Data!D391</f>
        <v>L</v>
      </c>
      <c r="E400" s="1" t="str">
        <f>[1]Data!E391</f>
        <v/>
      </c>
      <c r="F400" s="1" t="str">
        <f>[1]Data!F391</f>
        <v>2026</v>
      </c>
      <c r="G400" s="1" t="str">
        <f>[1]Data!G391</f>
        <v>2</v>
      </c>
      <c r="H400" s="15">
        <f>[1]Data!H391</f>
        <v>513</v>
      </c>
      <c r="I400" s="15">
        <f>[1]Data!I391</f>
        <v>0</v>
      </c>
      <c r="J400" s="1" t="str">
        <f>[1]Data!J391</f>
        <v>X</v>
      </c>
      <c r="K400" s="1" t="str">
        <f>[1]Data!K391</f>
        <v>X</v>
      </c>
      <c r="L400" s="1" t="str">
        <f>[1]Data!L391</f>
        <v>13:13:01</v>
      </c>
      <c r="M400" s="1">
        <f>[1]Data!M391</f>
        <v>46001</v>
      </c>
      <c r="N400" s="1">
        <f>[1]Data!N391</f>
        <v>44430</v>
      </c>
      <c r="O400" s="1" t="str">
        <f>[1]Data!O391</f>
        <v>X</v>
      </c>
      <c r="P400" s="1" t="str">
        <f>[1]Data!P391</f>
        <v>2025</v>
      </c>
      <c r="Q400" s="15">
        <f>[1]Data!Q391</f>
        <v>513</v>
      </c>
      <c r="R400" s="1" t="str">
        <f>[1]Data!R391</f>
        <v/>
      </c>
    </row>
    <row r="401" spans="1:18" x14ac:dyDescent="0.35">
      <c r="A401" s="1" t="str">
        <f>[1]Data!A392</f>
        <v>4004137</v>
      </c>
      <c r="B401" s="1" t="str">
        <f>[1]Data!B392</f>
        <v>3300</v>
      </c>
      <c r="C401" s="1" t="str">
        <f>[1]Data!C392</f>
        <v>3001</v>
      </c>
      <c r="D401" s="1" t="str">
        <f>[1]Data!D392</f>
        <v>L</v>
      </c>
      <c r="E401" s="1" t="str">
        <f>[1]Data!E392</f>
        <v/>
      </c>
      <c r="F401" s="1" t="str">
        <f>[1]Data!F392</f>
        <v>2026</v>
      </c>
      <c r="G401" s="1" t="str">
        <f>[1]Data!G392</f>
        <v>3</v>
      </c>
      <c r="H401" s="15">
        <f>[1]Data!H392</f>
        <v>222</v>
      </c>
      <c r="I401" s="15">
        <f>[1]Data!I392</f>
        <v>0</v>
      </c>
      <c r="J401" s="1" t="str">
        <f>[1]Data!J392</f>
        <v>X</v>
      </c>
      <c r="K401" s="1" t="str">
        <f>[1]Data!K392</f>
        <v>X</v>
      </c>
      <c r="L401" s="1" t="str">
        <f>[1]Data!L392</f>
        <v>07:05:01</v>
      </c>
      <c r="M401" s="1">
        <f>[1]Data!M392</f>
        <v>45824</v>
      </c>
      <c r="N401" s="1">
        <f>[1]Data!N392</f>
        <v>44430</v>
      </c>
      <c r="O401" s="1" t="str">
        <f>[1]Data!O392</f>
        <v>X</v>
      </c>
      <c r="P401" s="1" t="str">
        <f>[1]Data!P392</f>
        <v>2025</v>
      </c>
      <c r="Q401" s="15">
        <f>[1]Data!Q392</f>
        <v>222</v>
      </c>
      <c r="R401" s="1" t="str">
        <f>[1]Data!R392</f>
        <v/>
      </c>
    </row>
    <row r="402" spans="1:18" x14ac:dyDescent="0.35">
      <c r="A402" s="1" t="str">
        <f>[1]Data!A393</f>
        <v>4004147</v>
      </c>
      <c r="B402" s="1" t="str">
        <f>[1]Data!B393</f>
        <v>3300</v>
      </c>
      <c r="C402" s="1" t="str">
        <f>[1]Data!C393</f>
        <v>3001</v>
      </c>
      <c r="D402" s="1" t="str">
        <f>[1]Data!D393</f>
        <v>DL</v>
      </c>
      <c r="E402" s="1" t="str">
        <f>[1]Data!E393</f>
        <v/>
      </c>
      <c r="F402" s="1" t="str">
        <f>[1]Data!F393</f>
        <v>2026</v>
      </c>
      <c r="G402" s="1" t="str">
        <f>[1]Data!G393</f>
        <v>2</v>
      </c>
      <c r="H402" s="15">
        <f>[1]Data!H393</f>
        <v>594</v>
      </c>
      <c r="I402" s="15">
        <f>[1]Data!I393</f>
        <v>0</v>
      </c>
      <c r="J402" s="1" t="str">
        <f>[1]Data!J393</f>
        <v>X</v>
      </c>
      <c r="K402" s="1" t="str">
        <f>[1]Data!K393</f>
        <v>X</v>
      </c>
      <c r="L402" s="1" t="str">
        <f>[1]Data!L393</f>
        <v>08:08:01</v>
      </c>
      <c r="M402" s="1">
        <f>[1]Data!M393</f>
        <v>45980</v>
      </c>
      <c r="N402" s="1">
        <f>[1]Data!N393</f>
        <v>44581</v>
      </c>
      <c r="O402" s="1" t="str">
        <f>[1]Data!O393</f>
        <v>X</v>
      </c>
      <c r="P402" s="1" t="str">
        <f>[1]Data!P393</f>
        <v>2025</v>
      </c>
      <c r="Q402" s="15">
        <f>[1]Data!Q393</f>
        <v>594</v>
      </c>
      <c r="R402" s="1" t="str">
        <f>[1]Data!R393</f>
        <v/>
      </c>
    </row>
    <row r="403" spans="1:18" x14ac:dyDescent="0.35">
      <c r="A403" s="1" t="str">
        <f>[1]Data!A394</f>
        <v>4004149</v>
      </c>
      <c r="B403" s="1" t="str">
        <f>[1]Data!B394</f>
        <v>3300</v>
      </c>
      <c r="C403" s="1" t="str">
        <f>[1]Data!C394</f>
        <v>3001</v>
      </c>
      <c r="D403" s="1" t="str">
        <f>[1]Data!D394</f>
        <v>L</v>
      </c>
      <c r="E403" s="1" t="str">
        <f>[1]Data!E394</f>
        <v>X</v>
      </c>
      <c r="F403" s="1" t="str">
        <f>[1]Data!F394</f>
        <v>2021</v>
      </c>
      <c r="G403" s="1" t="str">
        <f>[1]Data!G394</f>
        <v>8</v>
      </c>
      <c r="H403" s="15">
        <f>[1]Data!H394</f>
        <v>0</v>
      </c>
      <c r="I403" s="15">
        <f>[1]Data!I394</f>
        <v>0</v>
      </c>
      <c r="J403" s="1" t="str">
        <f>[1]Data!J394</f>
        <v>X</v>
      </c>
      <c r="K403" s="1" t="str">
        <f>[1]Data!K394</f>
        <v/>
      </c>
      <c r="L403" s="1" t="str">
        <f>[1]Data!L394</f>
        <v>SLETTET</v>
      </c>
      <c r="M403" s="1">
        <f>[1]Data!M394</f>
        <v>44568</v>
      </c>
      <c r="N403" s="1">
        <f>[1]Data!N394</f>
        <v>44430</v>
      </c>
      <c r="O403" s="1" t="str">
        <f>[1]Data!O394</f>
        <v>X</v>
      </c>
      <c r="P403" s="1" t="str">
        <f>[1]Data!P394</f>
        <v>2022</v>
      </c>
      <c r="Q403" s="15">
        <f>[1]Data!Q394</f>
        <v>0</v>
      </c>
      <c r="R403" s="1" t="str">
        <f>[1]Data!R394</f>
        <v>INAKTIV</v>
      </c>
    </row>
    <row r="404" spans="1:18" x14ac:dyDescent="0.35">
      <c r="A404" s="1" t="str">
        <f>[1]Data!A395</f>
        <v>4004150</v>
      </c>
      <c r="B404" s="1" t="str">
        <f>[1]Data!B395</f>
        <v>3300</v>
      </c>
      <c r="C404" s="1" t="str">
        <f>[1]Data!C395</f>
        <v>3001</v>
      </c>
      <c r="D404" s="1" t="str">
        <f>[1]Data!D395</f>
        <v>L</v>
      </c>
      <c r="E404" s="1" t="str">
        <f>[1]Data!E395</f>
        <v/>
      </c>
      <c r="F404" s="1" t="str">
        <f>[1]Data!F395</f>
        <v>2026</v>
      </c>
      <c r="G404" s="1" t="str">
        <f>[1]Data!G395</f>
        <v>3</v>
      </c>
      <c r="H404" s="15">
        <f>[1]Data!H395</f>
        <v>608</v>
      </c>
      <c r="I404" s="15">
        <f>[1]Data!I395</f>
        <v>0</v>
      </c>
      <c r="J404" s="1" t="str">
        <f>[1]Data!J395</f>
        <v>X</v>
      </c>
      <c r="K404" s="1" t="str">
        <f>[1]Data!K395</f>
        <v>X</v>
      </c>
      <c r="L404" s="1" t="str">
        <f>[1]Data!L395</f>
        <v>03:05:03</v>
      </c>
      <c r="M404" s="1">
        <f>[1]Data!M395</f>
        <v>45798</v>
      </c>
      <c r="N404" s="1">
        <f>[1]Data!N395</f>
        <v>44430</v>
      </c>
      <c r="O404" s="1" t="str">
        <f>[1]Data!O395</f>
        <v>X</v>
      </c>
      <c r="P404" s="1" t="str">
        <f>[1]Data!P395</f>
        <v>2025</v>
      </c>
      <c r="Q404" s="15">
        <f>[1]Data!Q395</f>
        <v>608</v>
      </c>
      <c r="R404" s="1" t="str">
        <f>[1]Data!R395</f>
        <v/>
      </c>
    </row>
    <row r="405" spans="1:18" x14ac:dyDescent="0.35">
      <c r="A405" s="1" t="str">
        <f>[1]Data!A396</f>
        <v>4004152</v>
      </c>
      <c r="B405" s="1" t="str">
        <f>[1]Data!B396</f>
        <v>3300</v>
      </c>
      <c r="C405" s="1" t="str">
        <f>[1]Data!C396</f>
        <v>3001</v>
      </c>
      <c r="D405" s="1" t="str">
        <f>[1]Data!D396</f>
        <v>L</v>
      </c>
      <c r="E405" s="1" t="str">
        <f>[1]Data!E396</f>
        <v>X</v>
      </c>
      <c r="F405" s="1" t="str">
        <f>[1]Data!F396</f>
        <v>2021</v>
      </c>
      <c r="G405" s="1" t="str">
        <f>[1]Data!G396</f>
        <v>8</v>
      </c>
      <c r="H405" s="15">
        <f>[1]Data!H396</f>
        <v>0</v>
      </c>
      <c r="I405" s="15">
        <f>[1]Data!I396</f>
        <v>0</v>
      </c>
      <c r="J405" s="1" t="str">
        <f>[1]Data!J396</f>
        <v/>
      </c>
      <c r="K405" s="1" t="str">
        <f>[1]Data!K396</f>
        <v/>
      </c>
      <c r="L405" s="1" t="str">
        <f>[1]Data!L396</f>
        <v>SLETTET</v>
      </c>
      <c r="M405" s="1" t="str">
        <f>[1]Data!M396</f>
        <v/>
      </c>
      <c r="N405" s="1">
        <f>[1]Data!N396</f>
        <v>44430</v>
      </c>
      <c r="O405" s="1" t="str">
        <f>[1]Data!O396</f>
        <v>X</v>
      </c>
      <c r="P405" s="1" t="str">
        <f>[1]Data!P396</f>
        <v>2023</v>
      </c>
      <c r="Q405" s="15">
        <f>[1]Data!Q396</f>
        <v>0</v>
      </c>
      <c r="R405" s="1" t="str">
        <f>[1]Data!R396</f>
        <v>INAKTIV</v>
      </c>
    </row>
    <row r="406" spans="1:18" x14ac:dyDescent="0.35">
      <c r="A406" s="1" t="str">
        <f>[1]Data!A397</f>
        <v>4004157</v>
      </c>
      <c r="B406" s="1" t="str">
        <f>[1]Data!B397</f>
        <v>3300</v>
      </c>
      <c r="C406" s="1" t="str">
        <f>[1]Data!C397</f>
        <v>3001</v>
      </c>
      <c r="D406" s="1" t="str">
        <f>[1]Data!D397</f>
        <v>L</v>
      </c>
      <c r="E406" s="1" t="str">
        <f>[1]Data!E397</f>
        <v/>
      </c>
      <c r="F406" s="1" t="str">
        <f>[1]Data!F397</f>
        <v>2026</v>
      </c>
      <c r="G406" s="1" t="str">
        <f>[1]Data!G397</f>
        <v>2</v>
      </c>
      <c r="H406" s="15">
        <f>[1]Data!H397</f>
        <v>40</v>
      </c>
      <c r="I406" s="15">
        <f>[1]Data!I397</f>
        <v>0</v>
      </c>
      <c r="J406" s="1" t="str">
        <f>[1]Data!J397</f>
        <v>X</v>
      </c>
      <c r="K406" s="1" t="str">
        <f>[1]Data!K397</f>
        <v>X</v>
      </c>
      <c r="L406" s="1" t="str">
        <f>[1]Data!L397</f>
        <v>04:01:03</v>
      </c>
      <c r="M406" s="1">
        <f>[1]Data!M397</f>
        <v>45798</v>
      </c>
      <c r="N406" s="1">
        <f>[1]Data!N397</f>
        <v>44430</v>
      </c>
      <c r="O406" s="1" t="str">
        <f>[1]Data!O397</f>
        <v>X</v>
      </c>
      <c r="P406" s="1" t="str">
        <f>[1]Data!P397</f>
        <v>2025</v>
      </c>
      <c r="Q406" s="15">
        <f>[1]Data!Q397</f>
        <v>40</v>
      </c>
      <c r="R406" s="1" t="str">
        <f>[1]Data!R397</f>
        <v/>
      </c>
    </row>
    <row r="407" spans="1:18" x14ac:dyDescent="0.35">
      <c r="A407" s="1" t="str">
        <f>[1]Data!A398</f>
        <v>4004166</v>
      </c>
      <c r="B407" s="1" t="str">
        <f>[1]Data!B398</f>
        <v>3300</v>
      </c>
      <c r="C407" s="1" t="str">
        <f>[1]Data!C398</f>
        <v>3001</v>
      </c>
      <c r="D407" s="1" t="str">
        <f>[1]Data!D398</f>
        <v>L</v>
      </c>
      <c r="E407" s="1" t="str">
        <f>[1]Data!E398</f>
        <v/>
      </c>
      <c r="F407" s="1" t="str">
        <f>[1]Data!F398</f>
        <v>2026</v>
      </c>
      <c r="G407" s="1" t="str">
        <f>[1]Data!G398</f>
        <v>3</v>
      </c>
      <c r="H407" s="15">
        <f>[1]Data!H398</f>
        <v>128</v>
      </c>
      <c r="I407" s="15">
        <f>[1]Data!I398</f>
        <v>0</v>
      </c>
      <c r="J407" s="1" t="str">
        <f>[1]Data!J398</f>
        <v>X</v>
      </c>
      <c r="K407" s="1" t="str">
        <f>[1]Data!K398</f>
        <v>X</v>
      </c>
      <c r="L407" s="1" t="str">
        <f>[1]Data!L398</f>
        <v>05:13:02</v>
      </c>
      <c r="M407" s="1">
        <f>[1]Data!M398</f>
        <v>45804</v>
      </c>
      <c r="N407" s="1">
        <f>[1]Data!N398</f>
        <v>44430</v>
      </c>
      <c r="O407" s="1" t="str">
        <f>[1]Data!O398</f>
        <v>X</v>
      </c>
      <c r="P407" s="1" t="str">
        <f>[1]Data!P398</f>
        <v>2025</v>
      </c>
      <c r="Q407" s="15">
        <f>[1]Data!Q398</f>
        <v>128</v>
      </c>
      <c r="R407" s="1" t="str">
        <f>[1]Data!R398</f>
        <v/>
      </c>
    </row>
    <row r="408" spans="1:18" x14ac:dyDescent="0.35">
      <c r="A408" s="1" t="str">
        <f>[1]Data!A399</f>
        <v>4004168</v>
      </c>
      <c r="B408" s="1" t="str">
        <f>[1]Data!B399</f>
        <v>3300</v>
      </c>
      <c r="C408" s="1" t="str">
        <f>[1]Data!C399</f>
        <v>3001</v>
      </c>
      <c r="D408" s="1" t="str">
        <f>[1]Data!D399</f>
        <v>L</v>
      </c>
      <c r="E408" s="1" t="str">
        <f>[1]Data!E399</f>
        <v/>
      </c>
      <c r="F408" s="1" t="str">
        <f>[1]Data!F399</f>
        <v>2026</v>
      </c>
      <c r="G408" s="1" t="str">
        <f>[1]Data!G399</f>
        <v>2</v>
      </c>
      <c r="H408" s="15">
        <f>[1]Data!H399</f>
        <v>53</v>
      </c>
      <c r="I408" s="15">
        <f>[1]Data!I399</f>
        <v>0</v>
      </c>
      <c r="J408" s="1" t="str">
        <f>[1]Data!J399</f>
        <v>X</v>
      </c>
      <c r="K408" s="1" t="str">
        <f>[1]Data!K399</f>
        <v>X</v>
      </c>
      <c r="L408" s="1" t="str">
        <f>[1]Data!L399</f>
        <v>03:01:03</v>
      </c>
      <c r="M408" s="1">
        <f>[1]Data!M399</f>
        <v>45798</v>
      </c>
      <c r="N408" s="1">
        <f>[1]Data!N399</f>
        <v>44430</v>
      </c>
      <c r="O408" s="1" t="str">
        <f>[1]Data!O399</f>
        <v>X</v>
      </c>
      <c r="P408" s="1" t="str">
        <f>[1]Data!P399</f>
        <v>2025</v>
      </c>
      <c r="Q408" s="15">
        <f>[1]Data!Q399</f>
        <v>53</v>
      </c>
      <c r="R408" s="1" t="str">
        <f>[1]Data!R399</f>
        <v/>
      </c>
    </row>
    <row r="409" spans="1:18" x14ac:dyDescent="0.35">
      <c r="A409" s="1" t="str">
        <f>[1]Data!A400</f>
        <v>4004171</v>
      </c>
      <c r="B409" s="1" t="str">
        <f>[1]Data!B400</f>
        <v>3300</v>
      </c>
      <c r="C409" s="1" t="str">
        <f>[1]Data!C400</f>
        <v>3001</v>
      </c>
      <c r="D409" s="1" t="str">
        <f>[1]Data!D400</f>
        <v>L</v>
      </c>
      <c r="E409" s="1" t="str">
        <f>[1]Data!E400</f>
        <v/>
      </c>
      <c r="F409" s="1" t="str">
        <f>[1]Data!F400</f>
        <v>2022</v>
      </c>
      <c r="G409" s="1" t="str">
        <f>[1]Data!G400</f>
        <v>5</v>
      </c>
      <c r="H409" s="15">
        <f>[1]Data!H400</f>
        <v>0</v>
      </c>
      <c r="I409" s="15">
        <f>[1]Data!I400</f>
        <v>0</v>
      </c>
      <c r="J409" s="1" t="str">
        <f>[1]Data!J400</f>
        <v>X</v>
      </c>
      <c r="K409" s="1" t="str">
        <f>[1]Data!K400</f>
        <v/>
      </c>
      <c r="L409" s="1" t="str">
        <f>[1]Data!L400</f>
        <v>SLETTET</v>
      </c>
      <c r="M409" s="1">
        <f>[1]Data!M400</f>
        <v>44568</v>
      </c>
      <c r="N409" s="1">
        <f>[1]Data!N400</f>
        <v>44430</v>
      </c>
      <c r="O409" s="1" t="str">
        <f>[1]Data!O400</f>
        <v>X</v>
      </c>
      <c r="P409" s="1" t="str">
        <f>[1]Data!P400</f>
        <v>2022</v>
      </c>
      <c r="Q409" s="15">
        <f>[1]Data!Q400</f>
        <v>0</v>
      </c>
      <c r="R409" s="1" t="str">
        <f>[1]Data!R400</f>
        <v>INAKTIV</v>
      </c>
    </row>
    <row r="410" spans="1:18" x14ac:dyDescent="0.35">
      <c r="A410" s="1" t="str">
        <f>[1]Data!A401</f>
        <v>4004200</v>
      </c>
      <c r="B410" s="1" t="str">
        <f>[1]Data!B401</f>
        <v>3300</v>
      </c>
      <c r="C410" s="1" t="str">
        <f>[1]Data!C401</f>
        <v>3001</v>
      </c>
      <c r="D410" s="1" t="str">
        <f>[1]Data!D401</f>
        <v>L</v>
      </c>
      <c r="E410" s="1" t="str">
        <f>[1]Data!E401</f>
        <v/>
      </c>
      <c r="F410" s="1" t="str">
        <f>[1]Data!F401</f>
        <v>2026</v>
      </c>
      <c r="G410" s="1" t="str">
        <f>[1]Data!G401</f>
        <v>2</v>
      </c>
      <c r="H410" s="15">
        <f>[1]Data!H401</f>
        <v>180</v>
      </c>
      <c r="I410" s="15">
        <f>[1]Data!I401</f>
        <v>0</v>
      </c>
      <c r="J410" s="1" t="str">
        <f>[1]Data!J401</f>
        <v>X</v>
      </c>
      <c r="K410" s="1" t="str">
        <f>[1]Data!K401</f>
        <v>X</v>
      </c>
      <c r="L410" s="1" t="str">
        <f>[1]Data!L401</f>
        <v>02:10:03</v>
      </c>
      <c r="M410" s="1">
        <f>[1]Data!M401</f>
        <v>45797</v>
      </c>
      <c r="N410" s="1">
        <f>[1]Data!N401</f>
        <v>44430</v>
      </c>
      <c r="O410" s="1" t="str">
        <f>[1]Data!O401</f>
        <v>X</v>
      </c>
      <c r="P410" s="1" t="str">
        <f>[1]Data!P401</f>
        <v>2025</v>
      </c>
      <c r="Q410" s="15">
        <f>[1]Data!Q401</f>
        <v>180</v>
      </c>
      <c r="R410" s="1" t="str">
        <f>[1]Data!R401</f>
        <v/>
      </c>
    </row>
    <row r="411" spans="1:18" x14ac:dyDescent="0.35">
      <c r="A411" s="1" t="str">
        <f>[1]Data!A402</f>
        <v>4004201</v>
      </c>
      <c r="B411" s="1" t="str">
        <f>[1]Data!B402</f>
        <v>3300</v>
      </c>
      <c r="C411" s="1" t="str">
        <f>[1]Data!C402</f>
        <v>3001</v>
      </c>
      <c r="D411" s="1" t="str">
        <f>[1]Data!D402</f>
        <v>L</v>
      </c>
      <c r="E411" s="1" t="str">
        <f>[1]Data!E402</f>
        <v/>
      </c>
      <c r="F411" s="1" t="str">
        <f>[1]Data!F402</f>
        <v>2026</v>
      </c>
      <c r="G411" s="1" t="str">
        <f>[1]Data!G402</f>
        <v>3</v>
      </c>
      <c r="H411" s="15">
        <f>[1]Data!H402</f>
        <v>180</v>
      </c>
      <c r="I411" s="15">
        <f>[1]Data!I402</f>
        <v>0</v>
      </c>
      <c r="J411" s="1" t="str">
        <f>[1]Data!J402</f>
        <v>X</v>
      </c>
      <c r="K411" s="1" t="str">
        <f>[1]Data!K402</f>
        <v>X</v>
      </c>
      <c r="L411" s="1" t="str">
        <f>[1]Data!L402</f>
        <v>02:12:02</v>
      </c>
      <c r="M411" s="1">
        <f>[1]Data!M402</f>
        <v>45797</v>
      </c>
      <c r="N411" s="1">
        <f>[1]Data!N402</f>
        <v>44430</v>
      </c>
      <c r="O411" s="1" t="str">
        <f>[1]Data!O402</f>
        <v>X</v>
      </c>
      <c r="P411" s="1" t="str">
        <f>[1]Data!P402</f>
        <v>2025</v>
      </c>
      <c r="Q411" s="15">
        <f>[1]Data!Q402</f>
        <v>180</v>
      </c>
      <c r="R411" s="1" t="str">
        <f>[1]Data!R402</f>
        <v/>
      </c>
    </row>
    <row r="412" spans="1:18" x14ac:dyDescent="0.35">
      <c r="A412" s="1" t="str">
        <f>[1]Data!A403</f>
        <v>4004203</v>
      </c>
      <c r="B412" s="1" t="str">
        <f>[1]Data!B403</f>
        <v>3300</v>
      </c>
      <c r="C412" s="1" t="str">
        <f>[1]Data!C403</f>
        <v>3001</v>
      </c>
      <c r="D412" s="1" t="str">
        <f>[1]Data!D403</f>
        <v>L</v>
      </c>
      <c r="E412" s="1" t="str">
        <f>[1]Data!E403</f>
        <v/>
      </c>
      <c r="F412" s="1" t="str">
        <f>[1]Data!F403</f>
        <v>2026</v>
      </c>
      <c r="G412" s="1" t="str">
        <f>[1]Data!G403</f>
        <v>2</v>
      </c>
      <c r="H412" s="15">
        <f>[1]Data!H403</f>
        <v>3500</v>
      </c>
      <c r="I412" s="15">
        <f>[1]Data!I403</f>
        <v>0</v>
      </c>
      <c r="J412" s="1" t="str">
        <f>[1]Data!J403</f>
        <v>X</v>
      </c>
      <c r="K412" s="1" t="str">
        <f>[1]Data!K403</f>
        <v>X</v>
      </c>
      <c r="L412" s="1" t="str">
        <f>[1]Data!L403</f>
        <v>13:10:03</v>
      </c>
      <c r="M412" s="1">
        <f>[1]Data!M403</f>
        <v>45994</v>
      </c>
      <c r="N412" s="1">
        <f>[1]Data!N403</f>
        <v>44430</v>
      </c>
      <c r="O412" s="1" t="str">
        <f>[1]Data!O403</f>
        <v>X</v>
      </c>
      <c r="P412" s="1" t="str">
        <f>[1]Data!P403</f>
        <v>2025</v>
      </c>
      <c r="Q412" s="15">
        <f>[1]Data!Q403</f>
        <v>3500</v>
      </c>
      <c r="R412" s="1" t="str">
        <f>[1]Data!R403</f>
        <v/>
      </c>
    </row>
    <row r="413" spans="1:18" x14ac:dyDescent="0.35">
      <c r="A413" s="1" t="str">
        <f>[1]Data!A404</f>
        <v>4004205</v>
      </c>
      <c r="B413" s="1" t="str">
        <f>[1]Data!B404</f>
        <v>3300</v>
      </c>
      <c r="C413" s="1" t="str">
        <f>[1]Data!C404</f>
        <v>3001</v>
      </c>
      <c r="D413" s="1" t="str">
        <f>[1]Data!D404</f>
        <v>L</v>
      </c>
      <c r="E413" s="1" t="str">
        <f>[1]Data!E404</f>
        <v/>
      </c>
      <c r="F413" s="1" t="str">
        <f>[1]Data!F404</f>
        <v>2026</v>
      </c>
      <c r="G413" s="1" t="str">
        <f>[1]Data!G404</f>
        <v>3</v>
      </c>
      <c r="H413" s="15">
        <f>[1]Data!H404</f>
        <v>560</v>
      </c>
      <c r="I413" s="15">
        <f>[1]Data!I404</f>
        <v>0</v>
      </c>
      <c r="J413" s="1" t="str">
        <f>[1]Data!J404</f>
        <v>X</v>
      </c>
      <c r="K413" s="1" t="str">
        <f>[1]Data!K404</f>
        <v>X</v>
      </c>
      <c r="L413" s="1" t="str">
        <f>[1]Data!L404</f>
        <v>10:07:02</v>
      </c>
      <c r="M413" s="1">
        <f>[1]Data!M404</f>
        <v>45987</v>
      </c>
      <c r="N413" s="1">
        <f>[1]Data!N404</f>
        <v>44430</v>
      </c>
      <c r="O413" s="1" t="str">
        <f>[1]Data!O404</f>
        <v>X</v>
      </c>
      <c r="P413" s="1" t="str">
        <f>[1]Data!P404</f>
        <v>2025</v>
      </c>
      <c r="Q413" s="15">
        <f>[1]Data!Q404</f>
        <v>560</v>
      </c>
      <c r="R413" s="1" t="str">
        <f>[1]Data!R404</f>
        <v/>
      </c>
    </row>
    <row r="414" spans="1:18" x14ac:dyDescent="0.35">
      <c r="A414" s="1" t="str">
        <f>[1]Data!A405</f>
        <v>4004236</v>
      </c>
      <c r="B414" s="1" t="str">
        <f>[1]Data!B405</f>
        <v>3300</v>
      </c>
      <c r="C414" s="1" t="str">
        <f>[1]Data!C405</f>
        <v>3001</v>
      </c>
      <c r="D414" s="1" t="str">
        <f>[1]Data!D405</f>
        <v>L</v>
      </c>
      <c r="E414" s="1" t="str">
        <f>[1]Data!E405</f>
        <v/>
      </c>
      <c r="F414" s="1" t="str">
        <f>[1]Data!F405</f>
        <v>2026</v>
      </c>
      <c r="G414" s="1" t="str">
        <f>[1]Data!G405</f>
        <v>2</v>
      </c>
      <c r="H414" s="15">
        <f>[1]Data!H405</f>
        <v>130</v>
      </c>
      <c r="I414" s="15">
        <f>[1]Data!I405</f>
        <v>0</v>
      </c>
      <c r="J414" s="1" t="str">
        <f>[1]Data!J405</f>
        <v>X</v>
      </c>
      <c r="K414" s="1" t="str">
        <f>[1]Data!K405</f>
        <v>X</v>
      </c>
      <c r="L414" s="1" t="str">
        <f>[1]Data!L405</f>
        <v>12:12:03</v>
      </c>
      <c r="M414" s="1">
        <f>[1]Data!M405</f>
        <v>45994</v>
      </c>
      <c r="N414" s="1">
        <f>[1]Data!N405</f>
        <v>44430</v>
      </c>
      <c r="O414" s="1" t="str">
        <f>[1]Data!O405</f>
        <v>X</v>
      </c>
      <c r="P414" s="1" t="str">
        <f>[1]Data!P405</f>
        <v>2025</v>
      </c>
      <c r="Q414" s="15">
        <f>[1]Data!Q405</f>
        <v>130</v>
      </c>
      <c r="R414" s="1" t="str">
        <f>[1]Data!R405</f>
        <v/>
      </c>
    </row>
    <row r="415" spans="1:18" x14ac:dyDescent="0.35">
      <c r="A415" s="1" t="str">
        <f>[1]Data!A406</f>
        <v>4004237</v>
      </c>
      <c r="B415" s="1" t="str">
        <f>[1]Data!B406</f>
        <v>3300</v>
      </c>
      <c r="C415" s="1" t="str">
        <f>[1]Data!C406</f>
        <v>3001</v>
      </c>
      <c r="D415" s="1" t="str">
        <f>[1]Data!D406</f>
        <v>L</v>
      </c>
      <c r="E415" s="1" t="str">
        <f>[1]Data!E406</f>
        <v/>
      </c>
      <c r="F415" s="1" t="str">
        <f>[1]Data!F406</f>
        <v>2026</v>
      </c>
      <c r="G415" s="1" t="str">
        <f>[1]Data!G406</f>
        <v>3</v>
      </c>
      <c r="H415" s="15">
        <f>[1]Data!H406</f>
        <v>1200</v>
      </c>
      <c r="I415" s="15">
        <f>[1]Data!I406</f>
        <v>0</v>
      </c>
      <c r="J415" s="1" t="str">
        <f>[1]Data!J406</f>
        <v>X</v>
      </c>
      <c r="K415" s="1" t="str">
        <f>[1]Data!K406</f>
        <v>X</v>
      </c>
      <c r="L415" s="1" t="str">
        <f>[1]Data!L406</f>
        <v>13:08:02</v>
      </c>
      <c r="M415" s="1">
        <f>[1]Data!M406</f>
        <v>45994</v>
      </c>
      <c r="N415" s="1">
        <f>[1]Data!N406</f>
        <v>44430</v>
      </c>
      <c r="O415" s="1" t="str">
        <f>[1]Data!O406</f>
        <v>X</v>
      </c>
      <c r="P415" s="1" t="str">
        <f>[1]Data!P406</f>
        <v>2025</v>
      </c>
      <c r="Q415" s="15">
        <f>[1]Data!Q406</f>
        <v>1200</v>
      </c>
      <c r="R415" s="1" t="str">
        <f>[1]Data!R406</f>
        <v/>
      </c>
    </row>
    <row r="416" spans="1:18" x14ac:dyDescent="0.35">
      <c r="A416" s="1" t="str">
        <f>[1]Data!A407</f>
        <v>4004238</v>
      </c>
      <c r="B416" s="1" t="str">
        <f>[1]Data!B407</f>
        <v>3300</v>
      </c>
      <c r="C416" s="1" t="str">
        <f>[1]Data!C407</f>
        <v>3001</v>
      </c>
      <c r="D416" s="1" t="str">
        <f>[1]Data!D407</f>
        <v>LD</v>
      </c>
      <c r="E416" s="1" t="str">
        <f>[1]Data!E407</f>
        <v/>
      </c>
      <c r="F416" s="1" t="str">
        <f>[1]Data!F407</f>
        <v>2026</v>
      </c>
      <c r="G416" s="1" t="str">
        <f>[1]Data!G407</f>
        <v>2</v>
      </c>
      <c r="H416" s="15">
        <f>[1]Data!H407</f>
        <v>130</v>
      </c>
      <c r="I416" s="15">
        <f>[1]Data!I407</f>
        <v>0</v>
      </c>
      <c r="J416" s="1" t="str">
        <f>[1]Data!J407</f>
        <v>X</v>
      </c>
      <c r="K416" s="1" t="str">
        <f>[1]Data!K407</f>
        <v>X</v>
      </c>
      <c r="L416" s="1" t="str">
        <f>[1]Data!L407</f>
        <v>04:08:01</v>
      </c>
      <c r="M416" s="1">
        <f>[1]Data!M407</f>
        <v>45799</v>
      </c>
      <c r="N416" s="1">
        <f>[1]Data!N407</f>
        <v>44430</v>
      </c>
      <c r="O416" s="1" t="str">
        <f>[1]Data!O407</f>
        <v>X</v>
      </c>
      <c r="P416" s="1" t="str">
        <f>[1]Data!P407</f>
        <v>2025</v>
      </c>
      <c r="Q416" s="15">
        <f>[1]Data!Q407</f>
        <v>130</v>
      </c>
      <c r="R416" s="1" t="str">
        <f>[1]Data!R407</f>
        <v/>
      </c>
    </row>
    <row r="417" spans="1:18" x14ac:dyDescent="0.35">
      <c r="A417" s="1" t="str">
        <f>[1]Data!A408</f>
        <v>4004240</v>
      </c>
      <c r="B417" s="1" t="str">
        <f>[1]Data!B408</f>
        <v>3300</v>
      </c>
      <c r="C417" s="1" t="str">
        <f>[1]Data!C408</f>
        <v>3001</v>
      </c>
      <c r="D417" s="1" t="str">
        <f>[1]Data!D408</f>
        <v>L</v>
      </c>
      <c r="E417" s="1" t="str">
        <f>[1]Data!E408</f>
        <v/>
      </c>
      <c r="F417" s="1" t="str">
        <f>[1]Data!F408</f>
        <v>2026</v>
      </c>
      <c r="G417" s="1" t="str">
        <f>[1]Data!G408</f>
        <v>3</v>
      </c>
      <c r="H417" s="15">
        <f>[1]Data!H408</f>
        <v>1200</v>
      </c>
      <c r="I417" s="15">
        <f>[1]Data!I408</f>
        <v>0</v>
      </c>
      <c r="J417" s="1" t="str">
        <f>[1]Data!J408</f>
        <v>X</v>
      </c>
      <c r="K417" s="1" t="str">
        <f>[1]Data!K408</f>
        <v>X</v>
      </c>
      <c r="L417" s="1" t="str">
        <f>[1]Data!L408</f>
        <v>12:13:01</v>
      </c>
      <c r="M417" s="1">
        <f>[1]Data!M408</f>
        <v>45994</v>
      </c>
      <c r="N417" s="1">
        <f>[1]Data!N408</f>
        <v>44430</v>
      </c>
      <c r="O417" s="1" t="str">
        <f>[1]Data!O408</f>
        <v>X</v>
      </c>
      <c r="P417" s="1" t="str">
        <f>[1]Data!P408</f>
        <v>2025</v>
      </c>
      <c r="Q417" s="15">
        <f>[1]Data!Q408</f>
        <v>1200</v>
      </c>
      <c r="R417" s="1" t="str">
        <f>[1]Data!R408</f>
        <v/>
      </c>
    </row>
    <row r="418" spans="1:18" x14ac:dyDescent="0.35">
      <c r="A418" s="1" t="str">
        <f>[1]Data!A409</f>
        <v>4004241</v>
      </c>
      <c r="B418" s="1" t="str">
        <f>[1]Data!B409</f>
        <v>3300</v>
      </c>
      <c r="C418" s="1" t="str">
        <f>[1]Data!C409</f>
        <v>3001</v>
      </c>
      <c r="D418" s="1" t="str">
        <f>[1]Data!D409</f>
        <v>L</v>
      </c>
      <c r="E418" s="1" t="str">
        <f>[1]Data!E409</f>
        <v/>
      </c>
      <c r="F418" s="1" t="str">
        <f>[1]Data!F409</f>
        <v>2026</v>
      </c>
      <c r="G418" s="1" t="str">
        <f>[1]Data!G409</f>
        <v>2</v>
      </c>
      <c r="H418" s="15">
        <f>[1]Data!H409</f>
        <v>500</v>
      </c>
      <c r="I418" s="15">
        <f>[1]Data!I409</f>
        <v>0</v>
      </c>
      <c r="J418" s="1" t="str">
        <f>[1]Data!J409</f>
        <v>X</v>
      </c>
      <c r="K418" s="1" t="str">
        <f>[1]Data!K409</f>
        <v>X</v>
      </c>
      <c r="L418" s="1" t="str">
        <f>[1]Data!L409</f>
        <v>12:13:01</v>
      </c>
      <c r="M418" s="1">
        <f>[1]Data!M409</f>
        <v>45994</v>
      </c>
      <c r="N418" s="1">
        <f>[1]Data!N409</f>
        <v>44430</v>
      </c>
      <c r="O418" s="1" t="str">
        <f>[1]Data!O409</f>
        <v>X</v>
      </c>
      <c r="P418" s="1" t="str">
        <f>[1]Data!P409</f>
        <v>2025</v>
      </c>
      <c r="Q418" s="15">
        <f>[1]Data!Q409</f>
        <v>500</v>
      </c>
      <c r="R418" s="1" t="str">
        <f>[1]Data!R409</f>
        <v/>
      </c>
    </row>
    <row r="419" spans="1:18" x14ac:dyDescent="0.35">
      <c r="A419" s="1" t="str">
        <f>[1]Data!A410</f>
        <v>4004246</v>
      </c>
      <c r="B419" s="1" t="str">
        <f>[1]Data!B410</f>
        <v>3300</v>
      </c>
      <c r="C419" s="1" t="str">
        <f>[1]Data!C410</f>
        <v>3001</v>
      </c>
      <c r="D419" s="1" t="str">
        <f>[1]Data!D410</f>
        <v>DL</v>
      </c>
      <c r="E419" s="1" t="str">
        <f>[1]Data!E410</f>
        <v/>
      </c>
      <c r="F419" s="1" t="str">
        <f>[1]Data!F410</f>
        <v>2026</v>
      </c>
      <c r="G419" s="1" t="str">
        <f>[1]Data!G410</f>
        <v>2</v>
      </c>
      <c r="H419" s="15">
        <f>[1]Data!H410</f>
        <v>1400</v>
      </c>
      <c r="I419" s="15">
        <f>[1]Data!I410</f>
        <v>0</v>
      </c>
      <c r="J419" s="1" t="str">
        <f>[1]Data!J410</f>
        <v>X</v>
      </c>
      <c r="K419" s="1" t="str">
        <f>[1]Data!K410</f>
        <v>X</v>
      </c>
      <c r="L419" s="1" t="str">
        <f>[1]Data!L410</f>
        <v>02:06:03</v>
      </c>
      <c r="M419" s="1">
        <f>[1]Data!M410</f>
        <v>45796</v>
      </c>
      <c r="N419" s="1">
        <f>[1]Data!N410</f>
        <v>44587</v>
      </c>
      <c r="O419" s="1" t="str">
        <f>[1]Data!O410</f>
        <v>X</v>
      </c>
      <c r="P419" s="1" t="str">
        <f>[1]Data!P410</f>
        <v>2025</v>
      </c>
      <c r="Q419" s="15">
        <f>[1]Data!Q410</f>
        <v>1400</v>
      </c>
      <c r="R419" s="1" t="str">
        <f>[1]Data!R410</f>
        <v/>
      </c>
    </row>
    <row r="420" spans="1:18" x14ac:dyDescent="0.35">
      <c r="A420" s="1" t="str">
        <f>[1]Data!A411</f>
        <v>4004247</v>
      </c>
      <c r="B420" s="1" t="str">
        <f>[1]Data!B411</f>
        <v>3300</v>
      </c>
      <c r="C420" s="1" t="str">
        <f>[1]Data!C411</f>
        <v>3001</v>
      </c>
      <c r="D420" s="1" t="str">
        <f>[1]Data!D411</f>
        <v>DL</v>
      </c>
      <c r="E420" s="1" t="str">
        <f>[1]Data!E411</f>
        <v/>
      </c>
      <c r="F420" s="1" t="str">
        <f>[1]Data!F411</f>
        <v>2025</v>
      </c>
      <c r="G420" s="1" t="str">
        <f>[1]Data!G411</f>
        <v>6</v>
      </c>
      <c r="H420" s="15">
        <f>[1]Data!H411</f>
        <v>1090</v>
      </c>
      <c r="I420" s="15">
        <f>[1]Data!I411</f>
        <v>0</v>
      </c>
      <c r="J420" s="1" t="str">
        <f>[1]Data!J411</f>
        <v>X</v>
      </c>
      <c r="K420" s="1" t="str">
        <f>[1]Data!K411</f>
        <v/>
      </c>
      <c r="L420" s="1" t="str">
        <f>[1]Data!L411</f>
        <v>8,75347222</v>
      </c>
      <c r="M420" s="1">
        <f>[1]Data!M411</f>
        <v>46029</v>
      </c>
      <c r="N420" s="1">
        <f>[1]Data!N411</f>
        <v>44587</v>
      </c>
      <c r="O420" s="1" t="str">
        <f>[1]Data!O411</f>
        <v>X</v>
      </c>
      <c r="P420" s="1" t="str">
        <f>[1]Data!P411</f>
        <v>2026</v>
      </c>
      <c r="Q420" s="15">
        <f>[1]Data!Q411</f>
        <v>1090</v>
      </c>
      <c r="R420" s="1" t="str">
        <f>[1]Data!R411</f>
        <v/>
      </c>
    </row>
    <row r="421" spans="1:18" x14ac:dyDescent="0.35">
      <c r="A421" s="1" t="str">
        <f>[1]Data!A412</f>
        <v>4004248</v>
      </c>
      <c r="B421" s="1" t="str">
        <f>[1]Data!B412</f>
        <v>3300</v>
      </c>
      <c r="C421" s="1" t="str">
        <f>[1]Data!C412</f>
        <v>3001</v>
      </c>
      <c r="D421" s="1" t="str">
        <f>[1]Data!D412</f>
        <v>DL</v>
      </c>
      <c r="E421" s="1" t="str">
        <f>[1]Data!E412</f>
        <v/>
      </c>
      <c r="F421" s="1" t="str">
        <f>[1]Data!F412</f>
        <v>2025</v>
      </c>
      <c r="G421" s="1" t="str">
        <f>[1]Data!G412</f>
        <v>6</v>
      </c>
      <c r="H421" s="15">
        <f>[1]Data!H412</f>
        <v>2070</v>
      </c>
      <c r="I421" s="15">
        <f>[1]Data!I412</f>
        <v>0</v>
      </c>
      <c r="J421" s="1" t="str">
        <f>[1]Data!J412</f>
        <v>X</v>
      </c>
      <c r="K421" s="1" t="str">
        <f>[1]Data!K412</f>
        <v>X</v>
      </c>
      <c r="L421" s="1" t="str">
        <f>[1]Data!L412</f>
        <v>02:06:03</v>
      </c>
      <c r="M421" s="1">
        <f>[1]Data!M412</f>
        <v>45796</v>
      </c>
      <c r="N421" s="1">
        <f>[1]Data!N412</f>
        <v>44587</v>
      </c>
      <c r="O421" s="1" t="str">
        <f>[1]Data!O412</f>
        <v>X</v>
      </c>
      <c r="P421" s="1" t="str">
        <f>[1]Data!P412</f>
        <v>2025</v>
      </c>
      <c r="Q421" s="15">
        <f>[1]Data!Q412</f>
        <v>2070</v>
      </c>
      <c r="R421" s="1" t="str">
        <f>[1]Data!R412</f>
        <v/>
      </c>
    </row>
    <row r="422" spans="1:18" x14ac:dyDescent="0.35">
      <c r="A422" s="1" t="str">
        <f>[1]Data!A413</f>
        <v>4004250</v>
      </c>
      <c r="B422" s="1" t="str">
        <f>[1]Data!B413</f>
        <v>3300</v>
      </c>
      <c r="C422" s="1" t="str">
        <f>[1]Data!C413</f>
        <v>3001</v>
      </c>
      <c r="D422" s="1" t="str">
        <f>[1]Data!D413</f>
        <v>DL</v>
      </c>
      <c r="E422" s="1" t="str">
        <f>[1]Data!E413</f>
        <v/>
      </c>
      <c r="F422" s="1" t="str">
        <f>[1]Data!F413</f>
        <v>2026</v>
      </c>
      <c r="G422" s="1" t="str">
        <f>[1]Data!G413</f>
        <v>2</v>
      </c>
      <c r="H422" s="15">
        <f>[1]Data!H413</f>
        <v>1439</v>
      </c>
      <c r="I422" s="15">
        <f>[1]Data!I413</f>
        <v>0</v>
      </c>
      <c r="J422" s="1" t="str">
        <f>[1]Data!J413</f>
        <v>X</v>
      </c>
      <c r="K422" s="1" t="str">
        <f>[1]Data!K413</f>
        <v>X</v>
      </c>
      <c r="L422" s="1" t="str">
        <f>[1]Data!L413</f>
        <v>01:06:03</v>
      </c>
      <c r="M422" s="1">
        <f>[1]Data!M413</f>
        <v>45796</v>
      </c>
      <c r="N422" s="1">
        <f>[1]Data!N413</f>
        <v>44587</v>
      </c>
      <c r="O422" s="1" t="str">
        <f>[1]Data!O413</f>
        <v>X</v>
      </c>
      <c r="P422" s="1" t="str">
        <f>[1]Data!P413</f>
        <v>2025</v>
      </c>
      <c r="Q422" s="15">
        <f>[1]Data!Q413</f>
        <v>1439</v>
      </c>
      <c r="R422" s="1" t="str">
        <f>[1]Data!R413</f>
        <v/>
      </c>
    </row>
    <row r="423" spans="1:18" x14ac:dyDescent="0.35">
      <c r="A423" s="1" t="str">
        <f>[1]Data!A414</f>
        <v>4004259</v>
      </c>
      <c r="B423" s="1" t="str">
        <f>[1]Data!B414</f>
        <v>3300</v>
      </c>
      <c r="C423" s="1" t="str">
        <f>[1]Data!C414</f>
        <v>3001</v>
      </c>
      <c r="D423" s="1" t="str">
        <f>[1]Data!D414</f>
        <v>L</v>
      </c>
      <c r="E423" s="1" t="str">
        <f>[1]Data!E414</f>
        <v/>
      </c>
      <c r="F423" s="1" t="str">
        <f>[1]Data!F414</f>
        <v>2026</v>
      </c>
      <c r="G423" s="1" t="str">
        <f>[1]Data!G414</f>
        <v>1</v>
      </c>
      <c r="H423" s="15">
        <f>[1]Data!H414</f>
        <v>71</v>
      </c>
      <c r="I423" s="15">
        <f>[1]Data!I414</f>
        <v>0</v>
      </c>
      <c r="J423" s="1" t="str">
        <f>[1]Data!J414</f>
        <v>X</v>
      </c>
      <c r="K423" s="1" t="str">
        <f>[1]Data!K414</f>
        <v>X</v>
      </c>
      <c r="L423" s="1" t="str">
        <f>[1]Data!L414</f>
        <v>11:03:03</v>
      </c>
      <c r="M423" s="1">
        <f>[1]Data!M414</f>
        <v>45994</v>
      </c>
      <c r="N423" s="1">
        <f>[1]Data!N414</f>
        <v>44430</v>
      </c>
      <c r="O423" s="1" t="str">
        <f>[1]Data!O414</f>
        <v>X</v>
      </c>
      <c r="P423" s="1" t="str">
        <f>[1]Data!P414</f>
        <v>2025</v>
      </c>
      <c r="Q423" s="15">
        <f>[1]Data!Q414</f>
        <v>71</v>
      </c>
      <c r="R423" s="1" t="str">
        <f>[1]Data!R414</f>
        <v/>
      </c>
    </row>
    <row r="424" spans="1:18" x14ac:dyDescent="0.35">
      <c r="A424" s="1" t="str">
        <f>[1]Data!A415</f>
        <v>4004262</v>
      </c>
      <c r="B424" s="1" t="str">
        <f>[1]Data!B415</f>
        <v>3300</v>
      </c>
      <c r="C424" s="1" t="str">
        <f>[1]Data!C415</f>
        <v>3001</v>
      </c>
      <c r="D424" s="1" t="str">
        <f>[1]Data!D415</f>
        <v>L</v>
      </c>
      <c r="E424" s="1" t="str">
        <f>[1]Data!E415</f>
        <v/>
      </c>
      <c r="F424" s="1" t="str">
        <f>[1]Data!F415</f>
        <v>2026</v>
      </c>
      <c r="G424" s="1" t="str">
        <f>[1]Data!G415</f>
        <v>3</v>
      </c>
      <c r="H424" s="15">
        <f>[1]Data!H415</f>
        <v>40</v>
      </c>
      <c r="I424" s="15">
        <f>[1]Data!I415</f>
        <v>0</v>
      </c>
      <c r="J424" s="1" t="str">
        <f>[1]Data!J415</f>
        <v>X</v>
      </c>
      <c r="K424" s="1" t="str">
        <f>[1]Data!K415</f>
        <v>X</v>
      </c>
      <c r="L424" s="1" t="str">
        <f>[1]Data!L415</f>
        <v>10:06:03</v>
      </c>
      <c r="M424" s="1">
        <f>[1]Data!M415</f>
        <v>45987</v>
      </c>
      <c r="N424" s="1">
        <f>[1]Data!N415</f>
        <v>44430</v>
      </c>
      <c r="O424" s="1" t="str">
        <f>[1]Data!O415</f>
        <v>X</v>
      </c>
      <c r="P424" s="1" t="str">
        <f>[1]Data!P415</f>
        <v>2025</v>
      </c>
      <c r="Q424" s="15">
        <f>[1]Data!Q415</f>
        <v>40</v>
      </c>
      <c r="R424" s="1" t="str">
        <f>[1]Data!R415</f>
        <v/>
      </c>
    </row>
    <row r="425" spans="1:18" x14ac:dyDescent="0.35">
      <c r="A425" s="1" t="str">
        <f>[1]Data!A416</f>
        <v>4004269</v>
      </c>
      <c r="B425" s="1" t="str">
        <f>[1]Data!B416</f>
        <v>3300</v>
      </c>
      <c r="C425" s="1" t="str">
        <f>[1]Data!C416</f>
        <v>3001</v>
      </c>
      <c r="D425" s="1" t="str">
        <f>[1]Data!D416</f>
        <v>L</v>
      </c>
      <c r="E425" s="1" t="str">
        <f>[1]Data!E416</f>
        <v/>
      </c>
      <c r="F425" s="1" t="str">
        <f>[1]Data!F416</f>
        <v>2025</v>
      </c>
      <c r="G425" s="1" t="str">
        <f>[1]Data!G416</f>
        <v>12</v>
      </c>
      <c r="H425" s="15">
        <f>[1]Data!H416</f>
        <v>2310</v>
      </c>
      <c r="I425" s="15">
        <f>[1]Data!I416</f>
        <v>0</v>
      </c>
      <c r="J425" s="1" t="str">
        <f>[1]Data!J416</f>
        <v>X</v>
      </c>
      <c r="K425" s="1" t="str">
        <f>[1]Data!K416</f>
        <v>X</v>
      </c>
      <c r="L425" s="1" t="str">
        <f>[1]Data!L416</f>
        <v>08:12:02</v>
      </c>
      <c r="M425" s="1">
        <f>[1]Data!M416</f>
        <v>45980</v>
      </c>
      <c r="N425" s="1">
        <f>[1]Data!N416</f>
        <v>44430</v>
      </c>
      <c r="O425" s="1" t="str">
        <f>[1]Data!O416</f>
        <v>X</v>
      </c>
      <c r="P425" s="1" t="str">
        <f>[1]Data!P416</f>
        <v>2025</v>
      </c>
      <c r="Q425" s="15">
        <f>[1]Data!Q416</f>
        <v>2310</v>
      </c>
      <c r="R425" s="1" t="str">
        <f>[1]Data!R416</f>
        <v/>
      </c>
    </row>
    <row r="426" spans="1:18" x14ac:dyDescent="0.35">
      <c r="A426" s="1" t="str">
        <f>[1]Data!A417</f>
        <v>4004272</v>
      </c>
      <c r="B426" s="1" t="str">
        <f>[1]Data!B417</f>
        <v>3300</v>
      </c>
      <c r="C426" s="1" t="str">
        <f>[1]Data!C417</f>
        <v>3001</v>
      </c>
      <c r="D426" s="1" t="str">
        <f>[1]Data!D417</f>
        <v>L</v>
      </c>
      <c r="E426" s="1" t="str">
        <f>[1]Data!E417</f>
        <v>X</v>
      </c>
      <c r="F426" s="1" t="str">
        <f>[1]Data!F417</f>
        <v>2021</v>
      </c>
      <c r="G426" s="1" t="str">
        <f>[1]Data!G417</f>
        <v>8</v>
      </c>
      <c r="H426" s="15">
        <f>[1]Data!H417</f>
        <v>0</v>
      </c>
      <c r="I426" s="15">
        <f>[1]Data!I417</f>
        <v>0</v>
      </c>
      <c r="J426" s="1" t="str">
        <f>[1]Data!J417</f>
        <v/>
      </c>
      <c r="K426" s="1" t="str">
        <f>[1]Data!K417</f>
        <v/>
      </c>
      <c r="L426" s="1" t="str">
        <f>[1]Data!L417</f>
        <v>SLETTET</v>
      </c>
      <c r="M426" s="1" t="str">
        <f>[1]Data!M417</f>
        <v/>
      </c>
      <c r="N426" s="1">
        <f>[1]Data!N417</f>
        <v>44430</v>
      </c>
      <c r="O426" s="1" t="str">
        <f>[1]Data!O417</f>
        <v>X</v>
      </c>
      <c r="P426" s="1" t="str">
        <f>[1]Data!P417</f>
        <v>2023</v>
      </c>
      <c r="Q426" s="15">
        <f>[1]Data!Q417</f>
        <v>0</v>
      </c>
      <c r="R426" s="1" t="str">
        <f>[1]Data!R417</f>
        <v>INAKTIV</v>
      </c>
    </row>
    <row r="427" spans="1:18" x14ac:dyDescent="0.35">
      <c r="A427" s="1" t="str">
        <f>[1]Data!A418</f>
        <v>4004276</v>
      </c>
      <c r="B427" s="1" t="str">
        <f>[1]Data!B418</f>
        <v>3300</v>
      </c>
      <c r="C427" s="1" t="str">
        <f>[1]Data!C418</f>
        <v>3001</v>
      </c>
      <c r="D427" s="1" t="str">
        <f>[1]Data!D418</f>
        <v>L</v>
      </c>
      <c r="E427" s="1" t="str">
        <f>[1]Data!E418</f>
        <v/>
      </c>
      <c r="F427" s="1" t="str">
        <f>[1]Data!F418</f>
        <v>2026</v>
      </c>
      <c r="G427" s="1" t="str">
        <f>[1]Data!G418</f>
        <v>3</v>
      </c>
      <c r="H427" s="15">
        <f>[1]Data!H418</f>
        <v>110</v>
      </c>
      <c r="I427" s="15">
        <f>[1]Data!I418</f>
        <v>0</v>
      </c>
      <c r="J427" s="1" t="str">
        <f>[1]Data!J418</f>
        <v>X</v>
      </c>
      <c r="K427" s="1" t="str">
        <f>[1]Data!K418</f>
        <v>X</v>
      </c>
      <c r="L427" s="1" t="str">
        <f>[1]Data!L418</f>
        <v>11:07:01</v>
      </c>
      <c r="M427" s="1">
        <f>[1]Data!M418</f>
        <v>45994</v>
      </c>
      <c r="N427" s="1">
        <f>[1]Data!N418</f>
        <v>44430</v>
      </c>
      <c r="O427" s="1" t="str">
        <f>[1]Data!O418</f>
        <v>X</v>
      </c>
      <c r="P427" s="1" t="str">
        <f>[1]Data!P418</f>
        <v>2025</v>
      </c>
      <c r="Q427" s="15">
        <f>[1]Data!Q418</f>
        <v>110</v>
      </c>
      <c r="R427" s="1" t="str">
        <f>[1]Data!R418</f>
        <v/>
      </c>
    </row>
    <row r="428" spans="1:18" x14ac:dyDescent="0.35">
      <c r="A428" s="1" t="str">
        <f>[1]Data!A419</f>
        <v>4004280</v>
      </c>
      <c r="B428" s="1" t="str">
        <f>[1]Data!B419</f>
        <v>3300</v>
      </c>
      <c r="C428" s="1" t="str">
        <f>[1]Data!C419</f>
        <v>3001</v>
      </c>
      <c r="D428" s="1" t="str">
        <f>[1]Data!D419</f>
        <v>L</v>
      </c>
      <c r="E428" s="1" t="str">
        <f>[1]Data!E419</f>
        <v/>
      </c>
      <c r="F428" s="1" t="str">
        <f>[1]Data!F419</f>
        <v>2026</v>
      </c>
      <c r="G428" s="1" t="str">
        <f>[1]Data!G419</f>
        <v>2</v>
      </c>
      <c r="H428" s="15">
        <f>[1]Data!H419</f>
        <v>970</v>
      </c>
      <c r="I428" s="15">
        <f>[1]Data!I419</f>
        <v>0</v>
      </c>
      <c r="J428" s="1" t="str">
        <f>[1]Data!J419</f>
        <v>X</v>
      </c>
      <c r="K428" s="1" t="str">
        <f>[1]Data!K419</f>
        <v>X</v>
      </c>
      <c r="L428" s="1" t="str">
        <f>[1]Data!L419</f>
        <v>06:06:01</v>
      </c>
      <c r="M428" s="1">
        <f>[1]Data!M419</f>
        <v>45819</v>
      </c>
      <c r="N428" s="1">
        <f>[1]Data!N419</f>
        <v>44430</v>
      </c>
      <c r="O428" s="1" t="str">
        <f>[1]Data!O419</f>
        <v>X</v>
      </c>
      <c r="P428" s="1" t="str">
        <f>[1]Data!P419</f>
        <v>2025</v>
      </c>
      <c r="Q428" s="15">
        <f>[1]Data!Q419</f>
        <v>970</v>
      </c>
      <c r="R428" s="1" t="str">
        <f>[1]Data!R419</f>
        <v/>
      </c>
    </row>
    <row r="429" spans="1:18" x14ac:dyDescent="0.35">
      <c r="A429" s="1" t="str">
        <f>[1]Data!A420</f>
        <v>4004281</v>
      </c>
      <c r="B429" s="1" t="str">
        <f>[1]Data!B420</f>
        <v>3300</v>
      </c>
      <c r="C429" s="1" t="str">
        <f>[1]Data!C420</f>
        <v>3001</v>
      </c>
      <c r="D429" s="1" t="str">
        <f>[1]Data!D420</f>
        <v>L</v>
      </c>
      <c r="E429" s="1" t="str">
        <f>[1]Data!E420</f>
        <v/>
      </c>
      <c r="F429" s="1" t="str">
        <f>[1]Data!F420</f>
        <v>2026</v>
      </c>
      <c r="G429" s="1" t="str">
        <f>[1]Data!G420</f>
        <v>2</v>
      </c>
      <c r="H429" s="15">
        <f>[1]Data!H420</f>
        <v>500</v>
      </c>
      <c r="I429" s="15">
        <f>[1]Data!I420</f>
        <v>0</v>
      </c>
      <c r="J429" s="1" t="str">
        <f>[1]Data!J420</f>
        <v>X</v>
      </c>
      <c r="K429" s="1" t="str">
        <f>[1]Data!K420</f>
        <v>X</v>
      </c>
      <c r="L429" s="1" t="str">
        <f>[1]Data!L420</f>
        <v>06:02:03</v>
      </c>
      <c r="M429" s="1">
        <f>[1]Data!M420</f>
        <v>45819</v>
      </c>
      <c r="N429" s="1">
        <f>[1]Data!N420</f>
        <v>44430</v>
      </c>
      <c r="O429" s="1" t="str">
        <f>[1]Data!O420</f>
        <v>X</v>
      </c>
      <c r="P429" s="1" t="str">
        <f>[1]Data!P420</f>
        <v>2025</v>
      </c>
      <c r="Q429" s="15">
        <f>[1]Data!Q420</f>
        <v>500</v>
      </c>
      <c r="R429" s="1" t="str">
        <f>[1]Data!R420</f>
        <v/>
      </c>
    </row>
    <row r="430" spans="1:18" x14ac:dyDescent="0.35">
      <c r="A430" s="1" t="str">
        <f>[1]Data!A421</f>
        <v>4004319</v>
      </c>
      <c r="B430" s="1" t="str">
        <f>[1]Data!B421</f>
        <v>3300</v>
      </c>
      <c r="C430" s="1" t="str">
        <f>[1]Data!C421</f>
        <v>3001</v>
      </c>
      <c r="D430" s="1" t="str">
        <f>[1]Data!D421</f>
        <v>L</v>
      </c>
      <c r="E430" s="1" t="str">
        <f>[1]Data!E421</f>
        <v/>
      </c>
      <c r="F430" s="1" t="str">
        <f>[1]Data!F421</f>
        <v>2026</v>
      </c>
      <c r="G430" s="1" t="str">
        <f>[1]Data!G421</f>
        <v>3</v>
      </c>
      <c r="H430" s="15">
        <f>[1]Data!H421</f>
        <v>90</v>
      </c>
      <c r="I430" s="15">
        <f>[1]Data!I421</f>
        <v>0</v>
      </c>
      <c r="J430" s="1" t="str">
        <f>[1]Data!J421</f>
        <v>X</v>
      </c>
      <c r="K430" s="1" t="str">
        <f>[1]Data!K421</f>
        <v>X</v>
      </c>
      <c r="L430" s="1" t="str">
        <f>[1]Data!L421</f>
        <v>14:18:00</v>
      </c>
      <c r="M430" s="1">
        <f>[1]Data!M421</f>
        <v>46001</v>
      </c>
      <c r="N430" s="1">
        <f>[1]Data!N421</f>
        <v>44430</v>
      </c>
      <c r="O430" s="1" t="str">
        <f>[1]Data!O421</f>
        <v>X</v>
      </c>
      <c r="P430" s="1" t="str">
        <f>[1]Data!P421</f>
        <v>2025</v>
      </c>
      <c r="Q430" s="15">
        <f>[1]Data!Q421</f>
        <v>90</v>
      </c>
      <c r="R430" s="1" t="str">
        <f>[1]Data!R421</f>
        <v/>
      </c>
    </row>
    <row r="431" spans="1:18" x14ac:dyDescent="0.35">
      <c r="A431" s="1" t="str">
        <f>[1]Data!A422</f>
        <v>4004351</v>
      </c>
      <c r="B431" s="1" t="str">
        <f>[1]Data!B422</f>
        <v>3300</v>
      </c>
      <c r="C431" s="1" t="str">
        <f>[1]Data!C422</f>
        <v>3001</v>
      </c>
      <c r="D431" s="1" t="str">
        <f>[1]Data!D422</f>
        <v>DL</v>
      </c>
      <c r="E431" s="1" t="str">
        <f>[1]Data!E422</f>
        <v/>
      </c>
      <c r="F431" s="1" t="str">
        <f>[1]Data!F422</f>
        <v>2022</v>
      </c>
      <c r="G431" s="1" t="str">
        <f>[1]Data!G422</f>
        <v>12</v>
      </c>
      <c r="H431" s="15">
        <f>[1]Data!H422</f>
        <v>0</v>
      </c>
      <c r="I431" s="15">
        <f>[1]Data!I422</f>
        <v>0</v>
      </c>
      <c r="J431" s="1" t="str">
        <f>[1]Data!J422</f>
        <v/>
      </c>
      <c r="K431" s="1" t="str">
        <f>[1]Data!K422</f>
        <v/>
      </c>
      <c r="L431" s="1" t="str">
        <f>[1]Data!L422</f>
        <v>SLETTET</v>
      </c>
      <c r="M431" s="1" t="str">
        <f>[1]Data!M422</f>
        <v/>
      </c>
      <c r="N431" s="1">
        <f>[1]Data!N422</f>
        <v>44865</v>
      </c>
      <c r="O431" s="1" t="str">
        <f>[1]Data!O422</f>
        <v>X</v>
      </c>
      <c r="P431" s="1" t="str">
        <f>[1]Data!P422</f>
        <v>2025</v>
      </c>
      <c r="Q431" s="15">
        <f>[1]Data!Q422</f>
        <v>0</v>
      </c>
      <c r="R431" s="1" t="str">
        <f>[1]Data!R422</f>
        <v>INAKTIV</v>
      </c>
    </row>
    <row r="432" spans="1:18" x14ac:dyDescent="0.35">
      <c r="A432" s="1" t="str">
        <f>[1]Data!A423</f>
        <v>4004352</v>
      </c>
      <c r="B432" s="1" t="str">
        <f>[1]Data!B423</f>
        <v>3300</v>
      </c>
      <c r="C432" s="1" t="str">
        <f>[1]Data!C423</f>
        <v>3001</v>
      </c>
      <c r="D432" s="1" t="str">
        <f>[1]Data!D423</f>
        <v>L</v>
      </c>
      <c r="E432" s="1" t="str">
        <f>[1]Data!E423</f>
        <v/>
      </c>
      <c r="F432" s="1" t="str">
        <f>[1]Data!F423</f>
        <v>2022</v>
      </c>
      <c r="G432" s="1" t="str">
        <f>[1]Data!G423</f>
        <v>5</v>
      </c>
      <c r="H432" s="15">
        <f>[1]Data!H423</f>
        <v>0</v>
      </c>
      <c r="I432" s="15">
        <f>[1]Data!I423</f>
        <v>0</v>
      </c>
      <c r="J432" s="1" t="str">
        <f>[1]Data!J423</f>
        <v>X</v>
      </c>
      <c r="K432" s="1" t="str">
        <f>[1]Data!K423</f>
        <v/>
      </c>
      <c r="L432" s="1" t="str">
        <f>[1]Data!L423</f>
        <v>SLETTET</v>
      </c>
      <c r="M432" s="1">
        <f>[1]Data!M423</f>
        <v>44568</v>
      </c>
      <c r="N432" s="1">
        <f>[1]Data!N423</f>
        <v>44430</v>
      </c>
      <c r="O432" s="1" t="str">
        <f>[1]Data!O423</f>
        <v>X</v>
      </c>
      <c r="P432" s="1" t="str">
        <f>[1]Data!P423</f>
        <v>2022</v>
      </c>
      <c r="Q432" s="15">
        <f>[1]Data!Q423</f>
        <v>0</v>
      </c>
      <c r="R432" s="1" t="str">
        <f>[1]Data!R423</f>
        <v>INAKTIV</v>
      </c>
    </row>
    <row r="433" spans="1:18" x14ac:dyDescent="0.35">
      <c r="A433" s="1" t="str">
        <f>[1]Data!A424</f>
        <v>4004353</v>
      </c>
      <c r="B433" s="1" t="str">
        <f>[1]Data!B424</f>
        <v>3300</v>
      </c>
      <c r="C433" s="1" t="str">
        <f>[1]Data!C424</f>
        <v>3001</v>
      </c>
      <c r="D433" s="1" t="str">
        <f>[1]Data!D424</f>
        <v>L</v>
      </c>
      <c r="E433" s="1" t="str">
        <f>[1]Data!E424</f>
        <v/>
      </c>
      <c r="F433" s="1" t="str">
        <f>[1]Data!F424</f>
        <v>2026</v>
      </c>
      <c r="G433" s="1" t="str">
        <f>[1]Data!G424</f>
        <v>3</v>
      </c>
      <c r="H433" s="15">
        <f>[1]Data!H424</f>
        <v>345</v>
      </c>
      <c r="I433" s="15">
        <f>[1]Data!I424</f>
        <v>0</v>
      </c>
      <c r="J433" s="1" t="str">
        <f>[1]Data!J424</f>
        <v>X</v>
      </c>
      <c r="K433" s="1" t="str">
        <f>[1]Data!K424</f>
        <v>X</v>
      </c>
      <c r="L433" s="1" t="str">
        <f>[1]Data!L424</f>
        <v>08:13:02</v>
      </c>
      <c r="M433" s="1">
        <f>[1]Data!M424</f>
        <v>45980</v>
      </c>
      <c r="N433" s="1">
        <f>[1]Data!N424</f>
        <v>44430</v>
      </c>
      <c r="O433" s="1" t="str">
        <f>[1]Data!O424</f>
        <v>X</v>
      </c>
      <c r="P433" s="1" t="str">
        <f>[1]Data!P424</f>
        <v>2025</v>
      </c>
      <c r="Q433" s="15">
        <f>[1]Data!Q424</f>
        <v>345</v>
      </c>
      <c r="R433" s="1" t="str">
        <f>[1]Data!R424</f>
        <v/>
      </c>
    </row>
    <row r="434" spans="1:18" x14ac:dyDescent="0.35">
      <c r="A434" s="1" t="str">
        <f>[1]Data!A425</f>
        <v>4004354</v>
      </c>
      <c r="B434" s="1" t="str">
        <f>[1]Data!B425</f>
        <v>3300</v>
      </c>
      <c r="C434" s="1" t="str">
        <f>[1]Data!C425</f>
        <v>3001</v>
      </c>
      <c r="D434" s="1" t="str">
        <f>[1]Data!D425</f>
        <v>L</v>
      </c>
      <c r="E434" s="1" t="str">
        <f>[1]Data!E425</f>
        <v/>
      </c>
      <c r="F434" s="1" t="str">
        <f>[1]Data!F425</f>
        <v>2026</v>
      </c>
      <c r="G434" s="1" t="str">
        <f>[1]Data!G425</f>
        <v>3</v>
      </c>
      <c r="H434" s="15">
        <f>[1]Data!H425</f>
        <v>225</v>
      </c>
      <c r="I434" s="15">
        <f>[1]Data!I425</f>
        <v>0</v>
      </c>
      <c r="J434" s="1" t="str">
        <f>[1]Data!J425</f>
        <v>X</v>
      </c>
      <c r="K434" s="1" t="str">
        <f>[1]Data!K425</f>
        <v>X</v>
      </c>
      <c r="L434" s="1" t="str">
        <f>[1]Data!L425</f>
        <v>08:13:02</v>
      </c>
      <c r="M434" s="1">
        <f>[1]Data!M425</f>
        <v>45980</v>
      </c>
      <c r="N434" s="1">
        <f>[1]Data!N425</f>
        <v>44430</v>
      </c>
      <c r="O434" s="1" t="str">
        <f>[1]Data!O425</f>
        <v>X</v>
      </c>
      <c r="P434" s="1" t="str">
        <f>[1]Data!P425</f>
        <v>2025</v>
      </c>
      <c r="Q434" s="15">
        <f>[1]Data!Q425</f>
        <v>225</v>
      </c>
      <c r="R434" s="1" t="str">
        <f>[1]Data!R425</f>
        <v/>
      </c>
    </row>
    <row r="435" spans="1:18" x14ac:dyDescent="0.35">
      <c r="A435" s="1" t="str">
        <f>[1]Data!A426</f>
        <v>4004355</v>
      </c>
      <c r="B435" s="1" t="str">
        <f>[1]Data!B426</f>
        <v>3300</v>
      </c>
      <c r="C435" s="1" t="str">
        <f>[1]Data!C426</f>
        <v>3001</v>
      </c>
      <c r="D435" s="1" t="str">
        <f>[1]Data!D426</f>
        <v>L</v>
      </c>
      <c r="E435" s="1" t="str">
        <f>[1]Data!E426</f>
        <v/>
      </c>
      <c r="F435" s="1" t="str">
        <f>[1]Data!F426</f>
        <v>2026</v>
      </c>
      <c r="G435" s="1" t="str">
        <f>[1]Data!G426</f>
        <v>2</v>
      </c>
      <c r="H435" s="15">
        <f>[1]Data!H426</f>
        <v>250</v>
      </c>
      <c r="I435" s="15">
        <f>[1]Data!I426</f>
        <v>0</v>
      </c>
      <c r="J435" s="1" t="str">
        <f>[1]Data!J426</f>
        <v>X</v>
      </c>
      <c r="K435" s="1" t="str">
        <f>[1]Data!K426</f>
        <v>X</v>
      </c>
      <c r="L435" s="1" t="str">
        <f>[1]Data!L426</f>
        <v>08:13:02</v>
      </c>
      <c r="M435" s="1">
        <f>[1]Data!M426</f>
        <v>45980</v>
      </c>
      <c r="N435" s="1">
        <f>[1]Data!N426</f>
        <v>44430</v>
      </c>
      <c r="O435" s="1" t="str">
        <f>[1]Data!O426</f>
        <v>X</v>
      </c>
      <c r="P435" s="1" t="str">
        <f>[1]Data!P426</f>
        <v>2025</v>
      </c>
      <c r="Q435" s="15">
        <f>[1]Data!Q426</f>
        <v>250</v>
      </c>
      <c r="R435" s="1" t="str">
        <f>[1]Data!R426</f>
        <v/>
      </c>
    </row>
    <row r="436" spans="1:18" x14ac:dyDescent="0.35">
      <c r="A436" s="1" t="str">
        <f>[1]Data!A427</f>
        <v>4004359</v>
      </c>
      <c r="B436" s="1" t="str">
        <f>[1]Data!B427</f>
        <v>3300</v>
      </c>
      <c r="C436" s="1" t="str">
        <f>[1]Data!C427</f>
        <v>3001</v>
      </c>
      <c r="D436" s="1" t="str">
        <f>[1]Data!D427</f>
        <v>L</v>
      </c>
      <c r="E436" s="1" t="str">
        <f>[1]Data!E427</f>
        <v/>
      </c>
      <c r="F436" s="1" t="str">
        <f>[1]Data!F427</f>
        <v>2026</v>
      </c>
      <c r="G436" s="1" t="str">
        <f>[1]Data!G427</f>
        <v>3</v>
      </c>
      <c r="H436" s="15">
        <f>[1]Data!H427</f>
        <v>33</v>
      </c>
      <c r="I436" s="15">
        <f>[1]Data!I427</f>
        <v>0</v>
      </c>
      <c r="J436" s="1" t="str">
        <f>[1]Data!J427</f>
        <v>X</v>
      </c>
      <c r="K436" s="1" t="str">
        <f>[1]Data!K427</f>
        <v>X</v>
      </c>
      <c r="L436" s="1" t="str">
        <f>[1]Data!L427</f>
        <v>02:09:03</v>
      </c>
      <c r="M436" s="1">
        <f>[1]Data!M427</f>
        <v>45797</v>
      </c>
      <c r="N436" s="1">
        <f>[1]Data!N427</f>
        <v>44430</v>
      </c>
      <c r="O436" s="1" t="str">
        <f>[1]Data!O427</f>
        <v>X</v>
      </c>
      <c r="P436" s="1" t="str">
        <f>[1]Data!P427</f>
        <v>2025</v>
      </c>
      <c r="Q436" s="15">
        <f>[1]Data!Q427</f>
        <v>33</v>
      </c>
      <c r="R436" s="1" t="str">
        <f>[1]Data!R427</f>
        <v/>
      </c>
    </row>
    <row r="437" spans="1:18" x14ac:dyDescent="0.35">
      <c r="A437" s="1" t="str">
        <f>[1]Data!A428</f>
        <v>4004360</v>
      </c>
      <c r="B437" s="1" t="str">
        <f>[1]Data!B428</f>
        <v>3300</v>
      </c>
      <c r="C437" s="1" t="str">
        <f>[1]Data!C428</f>
        <v>3001</v>
      </c>
      <c r="D437" s="1" t="str">
        <f>[1]Data!D428</f>
        <v>L</v>
      </c>
      <c r="E437" s="1" t="str">
        <f>[1]Data!E428</f>
        <v/>
      </c>
      <c r="F437" s="1" t="str">
        <f>[1]Data!F428</f>
        <v>2026</v>
      </c>
      <c r="G437" s="1" t="str">
        <f>[1]Data!G428</f>
        <v>2</v>
      </c>
      <c r="H437" s="15">
        <f>[1]Data!H428</f>
        <v>1000</v>
      </c>
      <c r="I437" s="15">
        <f>[1]Data!I428</f>
        <v>0</v>
      </c>
      <c r="J437" s="1" t="str">
        <f>[1]Data!J428</f>
        <v>X</v>
      </c>
      <c r="K437" s="1" t="str">
        <f>[1]Data!K428</f>
        <v>X</v>
      </c>
      <c r="L437" s="1" t="str">
        <f>[1]Data!L428</f>
        <v>10:08:01</v>
      </c>
      <c r="M437" s="1">
        <f>[1]Data!M428</f>
        <v>45987</v>
      </c>
      <c r="N437" s="1">
        <f>[1]Data!N428</f>
        <v>44430</v>
      </c>
      <c r="O437" s="1" t="str">
        <f>[1]Data!O428</f>
        <v>X</v>
      </c>
      <c r="P437" s="1" t="str">
        <f>[1]Data!P428</f>
        <v>2025</v>
      </c>
      <c r="Q437" s="15">
        <f>[1]Data!Q428</f>
        <v>1000</v>
      </c>
      <c r="R437" s="1" t="str">
        <f>[1]Data!R428</f>
        <v/>
      </c>
    </row>
    <row r="438" spans="1:18" x14ac:dyDescent="0.35">
      <c r="A438" s="1" t="str">
        <f>[1]Data!A429</f>
        <v>4004377</v>
      </c>
      <c r="B438" s="1" t="str">
        <f>[1]Data!B429</f>
        <v>3300</v>
      </c>
      <c r="C438" s="1" t="str">
        <f>[1]Data!C429</f>
        <v>3001</v>
      </c>
      <c r="D438" s="1" t="str">
        <f>[1]Data!D429</f>
        <v>L</v>
      </c>
      <c r="E438" s="1" t="str">
        <f>[1]Data!E429</f>
        <v/>
      </c>
      <c r="F438" s="1" t="str">
        <f>[1]Data!F429</f>
        <v>2026</v>
      </c>
      <c r="G438" s="1" t="str">
        <f>[1]Data!G429</f>
        <v>2</v>
      </c>
      <c r="H438" s="15">
        <f>[1]Data!H429</f>
        <v>40</v>
      </c>
      <c r="I438" s="15">
        <f>[1]Data!I429</f>
        <v>0</v>
      </c>
      <c r="J438" s="1" t="str">
        <f>[1]Data!J429</f>
        <v>X</v>
      </c>
      <c r="K438" s="1" t="str">
        <f>[1]Data!K429</f>
        <v>X</v>
      </c>
      <c r="L438" s="1" t="str">
        <f>[1]Data!L429</f>
        <v>07:09:03</v>
      </c>
      <c r="M438" s="1">
        <f>[1]Data!M429</f>
        <v>45824</v>
      </c>
      <c r="N438" s="1">
        <f>[1]Data!N429</f>
        <v>44430</v>
      </c>
      <c r="O438" s="1" t="str">
        <f>[1]Data!O429</f>
        <v>X</v>
      </c>
      <c r="P438" s="1" t="str">
        <f>[1]Data!P429</f>
        <v>2025</v>
      </c>
      <c r="Q438" s="15">
        <f>[1]Data!Q429</f>
        <v>40</v>
      </c>
      <c r="R438" s="1" t="str">
        <f>[1]Data!R429</f>
        <v/>
      </c>
    </row>
    <row r="439" spans="1:18" x14ac:dyDescent="0.35">
      <c r="A439" s="1" t="str">
        <f>[1]Data!A430</f>
        <v>4004385</v>
      </c>
      <c r="B439" s="1" t="str">
        <f>[1]Data!B430</f>
        <v>3300</v>
      </c>
      <c r="C439" s="1" t="str">
        <f>[1]Data!C430</f>
        <v>3001</v>
      </c>
      <c r="D439" s="1" t="str">
        <f>[1]Data!D430</f>
        <v>L</v>
      </c>
      <c r="E439" s="1" t="str">
        <f>[1]Data!E430</f>
        <v/>
      </c>
      <c r="F439" s="1" t="str">
        <f>[1]Data!F430</f>
        <v>2026</v>
      </c>
      <c r="G439" s="1" t="str">
        <f>[1]Data!G430</f>
        <v>3</v>
      </c>
      <c r="H439" s="15">
        <f>[1]Data!H430</f>
        <v>1770</v>
      </c>
      <c r="I439" s="15">
        <f>[1]Data!I430</f>
        <v>0</v>
      </c>
      <c r="J439" s="1" t="str">
        <f>[1]Data!J430</f>
        <v>X</v>
      </c>
      <c r="K439" s="1" t="str">
        <f>[1]Data!K430</f>
        <v>X</v>
      </c>
      <c r="L439" s="1" t="str">
        <f>[1]Data!L430</f>
        <v>11:08:02</v>
      </c>
      <c r="M439" s="1">
        <f>[1]Data!M430</f>
        <v>45994</v>
      </c>
      <c r="N439" s="1">
        <f>[1]Data!N430</f>
        <v>44430</v>
      </c>
      <c r="O439" s="1" t="str">
        <f>[1]Data!O430</f>
        <v>X</v>
      </c>
      <c r="P439" s="1" t="str">
        <f>[1]Data!P430</f>
        <v>2025</v>
      </c>
      <c r="Q439" s="15">
        <f>[1]Data!Q430</f>
        <v>1770</v>
      </c>
      <c r="R439" s="1" t="str">
        <f>[1]Data!R430</f>
        <v/>
      </c>
    </row>
    <row r="440" spans="1:18" x14ac:dyDescent="0.35">
      <c r="A440" s="1" t="str">
        <f>[1]Data!A431</f>
        <v>4004390</v>
      </c>
      <c r="B440" s="1" t="str">
        <f>[1]Data!B431</f>
        <v>3300</v>
      </c>
      <c r="C440" s="1" t="str">
        <f>[1]Data!C431</f>
        <v>3001</v>
      </c>
      <c r="D440" s="1" t="str">
        <f>[1]Data!D431</f>
        <v>DL</v>
      </c>
      <c r="E440" s="1" t="str">
        <f>[1]Data!E431</f>
        <v/>
      </c>
      <c r="F440" s="1" t="str">
        <f>[1]Data!F431</f>
        <v>2024</v>
      </c>
      <c r="G440" s="1" t="str">
        <f>[1]Data!G431</f>
        <v>5</v>
      </c>
      <c r="H440" s="15">
        <f>[1]Data!H431</f>
        <v>0</v>
      </c>
      <c r="I440" s="15">
        <f>[1]Data!I431</f>
        <v>0</v>
      </c>
      <c r="J440" s="1" t="str">
        <f>[1]Data!J431</f>
        <v/>
      </c>
      <c r="K440" s="1" t="str">
        <f>[1]Data!K431</f>
        <v/>
      </c>
      <c r="L440" s="1" t="str">
        <f>[1]Data!L431</f>
        <v/>
      </c>
      <c r="M440" s="1" t="str">
        <f>[1]Data!M431</f>
        <v/>
      </c>
      <c r="N440" s="1">
        <f>[1]Data!N431</f>
        <v>45436</v>
      </c>
      <c r="O440" s="1" t="str">
        <f>[1]Data!O431</f>
        <v>X</v>
      </c>
      <c r="P440" s="1" t="str">
        <f>[1]Data!P431</f>
        <v>2024</v>
      </c>
      <c r="Q440" s="15">
        <f>[1]Data!Q431</f>
        <v>0</v>
      </c>
      <c r="R440" s="1" t="str">
        <f>[1]Data!R431</f>
        <v>INAKTIV</v>
      </c>
    </row>
    <row r="441" spans="1:18" x14ac:dyDescent="0.35">
      <c r="A441" s="1" t="str">
        <f>[1]Data!A432</f>
        <v>4004397</v>
      </c>
      <c r="B441" s="1" t="str">
        <f>[1]Data!B432</f>
        <v>3300</v>
      </c>
      <c r="C441" s="1" t="str">
        <f>[1]Data!C432</f>
        <v>3001</v>
      </c>
      <c r="D441" s="1" t="str">
        <f>[1]Data!D432</f>
        <v>L</v>
      </c>
      <c r="E441" s="1" t="str">
        <f>[1]Data!E432</f>
        <v/>
      </c>
      <c r="F441" s="1" t="str">
        <f>[1]Data!F432</f>
        <v>2026</v>
      </c>
      <c r="G441" s="1" t="str">
        <f>[1]Data!G432</f>
        <v>2</v>
      </c>
      <c r="H441" s="15">
        <f>[1]Data!H432</f>
        <v>420</v>
      </c>
      <c r="I441" s="15">
        <f>[1]Data!I432</f>
        <v>0</v>
      </c>
      <c r="J441" s="1" t="str">
        <f>[1]Data!J432</f>
        <v>X</v>
      </c>
      <c r="K441" s="1" t="str">
        <f>[1]Data!K432</f>
        <v>X</v>
      </c>
      <c r="L441" s="1" t="str">
        <f>[1]Data!L432</f>
        <v>05:12:03</v>
      </c>
      <c r="M441" s="1">
        <f>[1]Data!M432</f>
        <v>45804</v>
      </c>
      <c r="N441" s="1">
        <f>[1]Data!N432</f>
        <v>44430</v>
      </c>
      <c r="O441" s="1" t="str">
        <f>[1]Data!O432</f>
        <v>X</v>
      </c>
      <c r="P441" s="1" t="str">
        <f>[1]Data!P432</f>
        <v>2025</v>
      </c>
      <c r="Q441" s="15">
        <f>[1]Data!Q432</f>
        <v>420</v>
      </c>
      <c r="R441" s="1" t="str">
        <f>[1]Data!R432</f>
        <v/>
      </c>
    </row>
    <row r="442" spans="1:18" x14ac:dyDescent="0.35">
      <c r="A442" s="1" t="str">
        <f>[1]Data!A433</f>
        <v>4004401</v>
      </c>
      <c r="B442" s="1" t="str">
        <f>[1]Data!B433</f>
        <v>3300</v>
      </c>
      <c r="C442" s="1" t="str">
        <f>[1]Data!C433</f>
        <v>3001</v>
      </c>
      <c r="D442" s="1" t="str">
        <f>[1]Data!D433</f>
        <v>L</v>
      </c>
      <c r="E442" s="1" t="str">
        <f>[1]Data!E433</f>
        <v/>
      </c>
      <c r="F442" s="1" t="str">
        <f>[1]Data!F433</f>
        <v>2026</v>
      </c>
      <c r="G442" s="1" t="str">
        <f>[1]Data!G433</f>
        <v>2</v>
      </c>
      <c r="H442" s="15">
        <f>[1]Data!H433</f>
        <v>327</v>
      </c>
      <c r="I442" s="15">
        <f>[1]Data!I433</f>
        <v>0</v>
      </c>
      <c r="J442" s="1" t="str">
        <f>[1]Data!J433</f>
        <v>X</v>
      </c>
      <c r="K442" s="1" t="str">
        <f>[1]Data!K433</f>
        <v>X</v>
      </c>
      <c r="L442" s="1" t="str">
        <f>[1]Data!L433</f>
        <v>08:07:01</v>
      </c>
      <c r="M442" s="1">
        <f>[1]Data!M433</f>
        <v>45980</v>
      </c>
      <c r="N442" s="1">
        <f>[1]Data!N433</f>
        <v>44430</v>
      </c>
      <c r="O442" s="1" t="str">
        <f>[1]Data!O433</f>
        <v>X</v>
      </c>
      <c r="P442" s="1" t="str">
        <f>[1]Data!P433</f>
        <v>2025</v>
      </c>
      <c r="Q442" s="15">
        <f>[1]Data!Q433</f>
        <v>327</v>
      </c>
      <c r="R442" s="1" t="str">
        <f>[1]Data!R433</f>
        <v/>
      </c>
    </row>
    <row r="443" spans="1:18" x14ac:dyDescent="0.35">
      <c r="A443" s="1" t="str">
        <f>[1]Data!A434</f>
        <v>4004408</v>
      </c>
      <c r="B443" s="1" t="str">
        <f>[1]Data!B434</f>
        <v>3300</v>
      </c>
      <c r="C443" s="1" t="str">
        <f>[1]Data!C434</f>
        <v>3001</v>
      </c>
      <c r="D443" s="1" t="str">
        <f>[1]Data!D434</f>
        <v>L</v>
      </c>
      <c r="E443" s="1" t="str">
        <f>[1]Data!E434</f>
        <v/>
      </c>
      <c r="F443" s="1" t="str">
        <f>[1]Data!F434</f>
        <v>2026</v>
      </c>
      <c r="G443" s="1" t="str">
        <f>[1]Data!G434</f>
        <v>2</v>
      </c>
      <c r="H443" s="15">
        <f>[1]Data!H434</f>
        <v>155</v>
      </c>
      <c r="I443" s="15">
        <f>[1]Data!I434</f>
        <v>0</v>
      </c>
      <c r="J443" s="1" t="str">
        <f>[1]Data!J434</f>
        <v>X</v>
      </c>
      <c r="K443" s="1" t="str">
        <f>[1]Data!K434</f>
        <v>X</v>
      </c>
      <c r="L443" s="1" t="str">
        <f>[1]Data!L434</f>
        <v>06:05:03</v>
      </c>
      <c r="M443" s="1">
        <f>[1]Data!M434</f>
        <v>45819</v>
      </c>
      <c r="N443" s="1">
        <f>[1]Data!N434</f>
        <v>44430</v>
      </c>
      <c r="O443" s="1" t="str">
        <f>[1]Data!O434</f>
        <v>X</v>
      </c>
      <c r="P443" s="1" t="str">
        <f>[1]Data!P434</f>
        <v>2025</v>
      </c>
      <c r="Q443" s="15">
        <f>[1]Data!Q434</f>
        <v>155</v>
      </c>
      <c r="R443" s="1" t="str">
        <f>[1]Data!R434</f>
        <v/>
      </c>
    </row>
    <row r="444" spans="1:18" x14ac:dyDescent="0.35">
      <c r="A444" s="1" t="str">
        <f>[1]Data!A435</f>
        <v>4004410</v>
      </c>
      <c r="B444" s="1" t="str">
        <f>[1]Data!B435</f>
        <v>3300</v>
      </c>
      <c r="C444" s="1" t="str">
        <f>[1]Data!C435</f>
        <v>3001</v>
      </c>
      <c r="D444" s="1" t="str">
        <f>[1]Data!D435</f>
        <v>L</v>
      </c>
      <c r="E444" s="1" t="str">
        <f>[1]Data!E435</f>
        <v/>
      </c>
      <c r="F444" s="1" t="str">
        <f>[1]Data!F435</f>
        <v>2026</v>
      </c>
      <c r="G444" s="1" t="str">
        <f>[1]Data!G435</f>
        <v>3</v>
      </c>
      <c r="H444" s="15">
        <f>[1]Data!H435</f>
        <v>528</v>
      </c>
      <c r="I444" s="15">
        <f>[1]Data!I435</f>
        <v>0</v>
      </c>
      <c r="J444" s="1" t="str">
        <f>[1]Data!J435</f>
        <v>X</v>
      </c>
      <c r="K444" s="1" t="str">
        <f>[1]Data!K435</f>
        <v>X</v>
      </c>
      <c r="L444" s="1" t="str">
        <f>[1]Data!L435</f>
        <v>08:11:02</v>
      </c>
      <c r="M444" s="1">
        <f>[1]Data!M435</f>
        <v>45980</v>
      </c>
      <c r="N444" s="1">
        <f>[1]Data!N435</f>
        <v>44430</v>
      </c>
      <c r="O444" s="1" t="str">
        <f>[1]Data!O435</f>
        <v>X</v>
      </c>
      <c r="P444" s="1" t="str">
        <f>[1]Data!P435</f>
        <v>2025</v>
      </c>
      <c r="Q444" s="15">
        <f>[1]Data!Q435</f>
        <v>528</v>
      </c>
      <c r="R444" s="1" t="str">
        <f>[1]Data!R435</f>
        <v/>
      </c>
    </row>
    <row r="445" spans="1:18" x14ac:dyDescent="0.35">
      <c r="A445" s="1" t="str">
        <f>[1]Data!A436</f>
        <v>4004428</v>
      </c>
      <c r="B445" s="1" t="str">
        <f>[1]Data!B436</f>
        <v>3300</v>
      </c>
      <c r="C445" s="1" t="str">
        <f>[1]Data!C436</f>
        <v>3001</v>
      </c>
      <c r="D445" s="1" t="str">
        <f>[1]Data!D436</f>
        <v>L</v>
      </c>
      <c r="E445" s="1" t="str">
        <f>[1]Data!E436</f>
        <v>X</v>
      </c>
      <c r="F445" s="1" t="str">
        <f>[1]Data!F436</f>
        <v>2021</v>
      </c>
      <c r="G445" s="1" t="str">
        <f>[1]Data!G436</f>
        <v>8</v>
      </c>
      <c r="H445" s="15">
        <f>[1]Data!H436</f>
        <v>0</v>
      </c>
      <c r="I445" s="15">
        <f>[1]Data!I436</f>
        <v>0</v>
      </c>
      <c r="J445" s="1" t="str">
        <f>[1]Data!J436</f>
        <v/>
      </c>
      <c r="K445" s="1" t="str">
        <f>[1]Data!K436</f>
        <v/>
      </c>
      <c r="L445" s="1" t="str">
        <f>[1]Data!L436</f>
        <v>SLETTET</v>
      </c>
      <c r="M445" s="1" t="str">
        <f>[1]Data!M436</f>
        <v/>
      </c>
      <c r="N445" s="1">
        <f>[1]Data!N436</f>
        <v>44430</v>
      </c>
      <c r="O445" s="1" t="str">
        <f>[1]Data!O436</f>
        <v>X</v>
      </c>
      <c r="P445" s="1" t="str">
        <f>[1]Data!P436</f>
        <v>2023</v>
      </c>
      <c r="Q445" s="15">
        <f>[1]Data!Q436</f>
        <v>0</v>
      </c>
      <c r="R445" s="1" t="str">
        <f>[1]Data!R436</f>
        <v>INAKTIV</v>
      </c>
    </row>
    <row r="446" spans="1:18" x14ac:dyDescent="0.35">
      <c r="A446" s="1" t="str">
        <f>[1]Data!A437</f>
        <v>4004437</v>
      </c>
      <c r="B446" s="1" t="str">
        <f>[1]Data!B437</f>
        <v>3300</v>
      </c>
      <c r="C446" s="1" t="str">
        <f>[1]Data!C437</f>
        <v>3001</v>
      </c>
      <c r="D446" s="1" t="str">
        <f>[1]Data!D437</f>
        <v>L</v>
      </c>
      <c r="E446" s="1" t="str">
        <f>[1]Data!E437</f>
        <v/>
      </c>
      <c r="F446" s="1" t="str">
        <f>[1]Data!F437</f>
        <v>2026</v>
      </c>
      <c r="G446" s="1" t="str">
        <f>[1]Data!G437</f>
        <v>3</v>
      </c>
      <c r="H446" s="15">
        <f>[1]Data!H437</f>
        <v>170</v>
      </c>
      <c r="I446" s="15">
        <f>[1]Data!I437</f>
        <v>0</v>
      </c>
      <c r="J446" s="1" t="str">
        <f>[1]Data!J437</f>
        <v>X</v>
      </c>
      <c r="K446" s="1" t="str">
        <f>[1]Data!K437</f>
        <v>X</v>
      </c>
      <c r="L446" s="1" t="str">
        <f>[1]Data!L437</f>
        <v>03:09:01</v>
      </c>
      <c r="M446" s="1">
        <f>[1]Data!M437</f>
        <v>45798</v>
      </c>
      <c r="N446" s="1">
        <f>[1]Data!N437</f>
        <v>44430</v>
      </c>
      <c r="O446" s="1" t="str">
        <f>[1]Data!O437</f>
        <v>X</v>
      </c>
      <c r="P446" s="1" t="str">
        <f>[1]Data!P437</f>
        <v>2025</v>
      </c>
      <c r="Q446" s="15">
        <f>[1]Data!Q437</f>
        <v>170</v>
      </c>
      <c r="R446" s="1" t="str">
        <f>[1]Data!R437</f>
        <v/>
      </c>
    </row>
    <row r="447" spans="1:18" x14ac:dyDescent="0.35">
      <c r="A447" s="1" t="str">
        <f>[1]Data!A438</f>
        <v>4004438</v>
      </c>
      <c r="B447" s="1" t="str">
        <f>[1]Data!B438</f>
        <v>3300</v>
      </c>
      <c r="C447" s="1" t="str">
        <f>[1]Data!C438</f>
        <v>3001</v>
      </c>
      <c r="D447" s="1" t="str">
        <f>[1]Data!D438</f>
        <v>L</v>
      </c>
      <c r="E447" s="1" t="str">
        <f>[1]Data!E438</f>
        <v/>
      </c>
      <c r="F447" s="1" t="str">
        <f>[1]Data!F438</f>
        <v>2026</v>
      </c>
      <c r="G447" s="1" t="str">
        <f>[1]Data!G438</f>
        <v>3</v>
      </c>
      <c r="H447" s="15">
        <f>[1]Data!H438</f>
        <v>190</v>
      </c>
      <c r="I447" s="15">
        <f>[1]Data!I438</f>
        <v>0</v>
      </c>
      <c r="J447" s="1" t="str">
        <f>[1]Data!J438</f>
        <v>X</v>
      </c>
      <c r="K447" s="1" t="str">
        <f>[1]Data!K438</f>
        <v>X</v>
      </c>
      <c r="L447" s="1" t="str">
        <f>[1]Data!L438</f>
        <v>03:09:02</v>
      </c>
      <c r="M447" s="1">
        <f>[1]Data!M438</f>
        <v>45798</v>
      </c>
      <c r="N447" s="1">
        <f>[1]Data!N438</f>
        <v>44430</v>
      </c>
      <c r="O447" s="1" t="str">
        <f>[1]Data!O438</f>
        <v>X</v>
      </c>
      <c r="P447" s="1" t="str">
        <f>[1]Data!P438</f>
        <v>2025</v>
      </c>
      <c r="Q447" s="15">
        <f>[1]Data!Q438</f>
        <v>190</v>
      </c>
      <c r="R447" s="1" t="str">
        <f>[1]Data!R438</f>
        <v/>
      </c>
    </row>
    <row r="448" spans="1:18" x14ac:dyDescent="0.35">
      <c r="A448" s="1" t="str">
        <f>[1]Data!A439</f>
        <v>4004439</v>
      </c>
      <c r="B448" s="1" t="str">
        <f>[1]Data!B439</f>
        <v>3300</v>
      </c>
      <c r="C448" s="1" t="str">
        <f>[1]Data!C439</f>
        <v>3001</v>
      </c>
      <c r="D448" s="1" t="str">
        <f>[1]Data!D439</f>
        <v>L</v>
      </c>
      <c r="E448" s="1" t="str">
        <f>[1]Data!E439</f>
        <v/>
      </c>
      <c r="F448" s="1" t="str">
        <f>[1]Data!F439</f>
        <v>2026</v>
      </c>
      <c r="G448" s="1" t="str">
        <f>[1]Data!G439</f>
        <v>3</v>
      </c>
      <c r="H448" s="15">
        <f>[1]Data!H439</f>
        <v>75</v>
      </c>
      <c r="I448" s="15">
        <f>[1]Data!I439</f>
        <v>0</v>
      </c>
      <c r="J448" s="1" t="str">
        <f>[1]Data!J439</f>
        <v>X</v>
      </c>
      <c r="K448" s="1" t="str">
        <f>[1]Data!K439</f>
        <v>X</v>
      </c>
      <c r="L448" s="1" t="str">
        <f>[1]Data!L439</f>
        <v>03:09:03</v>
      </c>
      <c r="M448" s="1">
        <f>[1]Data!M439</f>
        <v>45798</v>
      </c>
      <c r="N448" s="1">
        <f>[1]Data!N439</f>
        <v>44430</v>
      </c>
      <c r="O448" s="1" t="str">
        <f>[1]Data!O439</f>
        <v>X</v>
      </c>
      <c r="P448" s="1" t="str">
        <f>[1]Data!P439</f>
        <v>2025</v>
      </c>
      <c r="Q448" s="15">
        <f>[1]Data!Q439</f>
        <v>75</v>
      </c>
      <c r="R448" s="1" t="str">
        <f>[1]Data!R439</f>
        <v/>
      </c>
    </row>
    <row r="449" spans="1:18" x14ac:dyDescent="0.35">
      <c r="A449" s="1" t="str">
        <f>[1]Data!A440</f>
        <v>4004440</v>
      </c>
      <c r="B449" s="1" t="str">
        <f>[1]Data!B440</f>
        <v>3300</v>
      </c>
      <c r="C449" s="1" t="str">
        <f>[1]Data!C440</f>
        <v>3001</v>
      </c>
      <c r="D449" s="1" t="str">
        <f>[1]Data!D440</f>
        <v>L</v>
      </c>
      <c r="E449" s="1" t="str">
        <f>[1]Data!E440</f>
        <v/>
      </c>
      <c r="F449" s="1" t="str">
        <f>[1]Data!F440</f>
        <v>2026</v>
      </c>
      <c r="G449" s="1" t="str">
        <f>[1]Data!G440</f>
        <v>2</v>
      </c>
      <c r="H449" s="15">
        <f>[1]Data!H440</f>
        <v>75</v>
      </c>
      <c r="I449" s="15">
        <f>[1]Data!I440</f>
        <v>0</v>
      </c>
      <c r="J449" s="1" t="str">
        <f>[1]Data!J440</f>
        <v>X</v>
      </c>
      <c r="K449" s="1" t="str">
        <f>[1]Data!K440</f>
        <v>X</v>
      </c>
      <c r="L449" s="1" t="str">
        <f>[1]Data!L440</f>
        <v>03:10:01</v>
      </c>
      <c r="M449" s="1">
        <f>[1]Data!M440</f>
        <v>45798</v>
      </c>
      <c r="N449" s="1">
        <f>[1]Data!N440</f>
        <v>44430</v>
      </c>
      <c r="O449" s="1" t="str">
        <f>[1]Data!O440</f>
        <v>X</v>
      </c>
      <c r="P449" s="1" t="str">
        <f>[1]Data!P440</f>
        <v>2025</v>
      </c>
      <c r="Q449" s="15">
        <f>[1]Data!Q440</f>
        <v>75</v>
      </c>
      <c r="R449" s="1" t="str">
        <f>[1]Data!R440</f>
        <v/>
      </c>
    </row>
    <row r="450" spans="1:18" x14ac:dyDescent="0.35">
      <c r="A450" s="1" t="str">
        <f>[1]Data!A441</f>
        <v>4004441</v>
      </c>
      <c r="B450" s="1" t="str">
        <f>[1]Data!B441</f>
        <v>3300</v>
      </c>
      <c r="C450" s="1" t="str">
        <f>[1]Data!C441</f>
        <v>3001</v>
      </c>
      <c r="D450" s="1" t="str">
        <f>[1]Data!D441</f>
        <v>L</v>
      </c>
      <c r="E450" s="1" t="str">
        <f>[1]Data!E441</f>
        <v/>
      </c>
      <c r="F450" s="1" t="str">
        <f>[1]Data!F441</f>
        <v>2025</v>
      </c>
      <c r="G450" s="1" t="str">
        <f>[1]Data!G441</f>
        <v>12</v>
      </c>
      <c r="H450" s="15">
        <f>[1]Data!H441</f>
        <v>75</v>
      </c>
      <c r="I450" s="15">
        <f>[1]Data!I441</f>
        <v>0</v>
      </c>
      <c r="J450" s="1" t="str">
        <f>[1]Data!J441</f>
        <v>X</v>
      </c>
      <c r="K450" s="1" t="str">
        <f>[1]Data!K441</f>
        <v>X</v>
      </c>
      <c r="L450" s="1" t="str">
        <f>[1]Data!L441</f>
        <v>03:10:01</v>
      </c>
      <c r="M450" s="1">
        <f>[1]Data!M441</f>
        <v>45798</v>
      </c>
      <c r="N450" s="1">
        <f>[1]Data!N441</f>
        <v>44430</v>
      </c>
      <c r="O450" s="1" t="str">
        <f>[1]Data!O441</f>
        <v>X</v>
      </c>
      <c r="P450" s="1" t="str">
        <f>[1]Data!P441</f>
        <v>2025</v>
      </c>
      <c r="Q450" s="15">
        <f>[1]Data!Q441</f>
        <v>75</v>
      </c>
      <c r="R450" s="1" t="str">
        <f>[1]Data!R441</f>
        <v/>
      </c>
    </row>
    <row r="451" spans="1:18" x14ac:dyDescent="0.35">
      <c r="A451" s="1" t="str">
        <f>[1]Data!A442</f>
        <v>4004447</v>
      </c>
      <c r="B451" s="1" t="str">
        <f>[1]Data!B442</f>
        <v>3300</v>
      </c>
      <c r="C451" s="1" t="str">
        <f>[1]Data!C442</f>
        <v>3001</v>
      </c>
      <c r="D451" s="1" t="str">
        <f>[1]Data!D442</f>
        <v>DL</v>
      </c>
      <c r="E451" s="1" t="str">
        <f>[1]Data!E442</f>
        <v/>
      </c>
      <c r="F451" s="1" t="str">
        <f>[1]Data!F442</f>
        <v>2026</v>
      </c>
      <c r="G451" s="1" t="str">
        <f>[1]Data!G442</f>
        <v>2</v>
      </c>
      <c r="H451" s="15">
        <f>[1]Data!H442</f>
        <v>605</v>
      </c>
      <c r="I451" s="15">
        <f>[1]Data!I442</f>
        <v>0</v>
      </c>
      <c r="J451" s="1" t="str">
        <f>[1]Data!J442</f>
        <v>X</v>
      </c>
      <c r="K451" s="1" t="str">
        <f>[1]Data!K442</f>
        <v>X</v>
      </c>
      <c r="L451" s="1" t="str">
        <f>[1]Data!L442</f>
        <v>07:04:01</v>
      </c>
      <c r="M451" s="1">
        <f>[1]Data!M442</f>
        <v>45824</v>
      </c>
      <c r="N451" s="1">
        <f>[1]Data!N442</f>
        <v>44581</v>
      </c>
      <c r="O451" s="1" t="str">
        <f>[1]Data!O442</f>
        <v>X</v>
      </c>
      <c r="P451" s="1" t="str">
        <f>[1]Data!P442</f>
        <v>2025</v>
      </c>
      <c r="Q451" s="15">
        <f>[1]Data!Q442</f>
        <v>605</v>
      </c>
      <c r="R451" s="1" t="str">
        <f>[1]Data!R442</f>
        <v/>
      </c>
    </row>
    <row r="452" spans="1:18" x14ac:dyDescent="0.35">
      <c r="A452" s="1" t="str">
        <f>[1]Data!A443</f>
        <v>4004450</v>
      </c>
      <c r="B452" s="1" t="str">
        <f>[1]Data!B443</f>
        <v>3300</v>
      </c>
      <c r="C452" s="1" t="str">
        <f>[1]Data!C443</f>
        <v>3001</v>
      </c>
      <c r="D452" s="1" t="str">
        <f>[1]Data!D443</f>
        <v>L</v>
      </c>
      <c r="E452" s="1" t="str">
        <f>[1]Data!E443</f>
        <v/>
      </c>
      <c r="F452" s="1" t="str">
        <f>[1]Data!F443</f>
        <v>2026</v>
      </c>
      <c r="G452" s="1" t="str">
        <f>[1]Data!G443</f>
        <v>2</v>
      </c>
      <c r="H452" s="15">
        <f>[1]Data!H443</f>
        <v>435</v>
      </c>
      <c r="I452" s="15">
        <f>[1]Data!I443</f>
        <v>0</v>
      </c>
      <c r="J452" s="1" t="str">
        <f>[1]Data!J443</f>
        <v>X</v>
      </c>
      <c r="K452" s="1" t="str">
        <f>[1]Data!K443</f>
        <v>X</v>
      </c>
      <c r="L452" s="1" t="str">
        <f>[1]Data!L443</f>
        <v>06:06:01</v>
      </c>
      <c r="M452" s="1">
        <f>[1]Data!M443</f>
        <v>45819</v>
      </c>
      <c r="N452" s="1">
        <f>[1]Data!N443</f>
        <v>44430</v>
      </c>
      <c r="O452" s="1" t="str">
        <f>[1]Data!O443</f>
        <v>X</v>
      </c>
      <c r="P452" s="1" t="str">
        <f>[1]Data!P443</f>
        <v>2025</v>
      </c>
      <c r="Q452" s="15">
        <f>[1]Data!Q443</f>
        <v>435</v>
      </c>
      <c r="R452" s="1" t="str">
        <f>[1]Data!R443</f>
        <v/>
      </c>
    </row>
    <row r="453" spans="1:18" x14ac:dyDescent="0.35">
      <c r="A453" s="1" t="str">
        <f>[1]Data!A444</f>
        <v>4004451</v>
      </c>
      <c r="B453" s="1" t="str">
        <f>[1]Data!B444</f>
        <v>3300</v>
      </c>
      <c r="C453" s="1" t="str">
        <f>[1]Data!C444</f>
        <v>3001</v>
      </c>
      <c r="D453" s="1" t="str">
        <f>[1]Data!D444</f>
        <v>L</v>
      </c>
      <c r="E453" s="1" t="str">
        <f>[1]Data!E444</f>
        <v/>
      </c>
      <c r="F453" s="1" t="str">
        <f>[1]Data!F444</f>
        <v>2026</v>
      </c>
      <c r="G453" s="1" t="str">
        <f>[1]Data!G444</f>
        <v>3</v>
      </c>
      <c r="H453" s="15">
        <f>[1]Data!H444</f>
        <v>70</v>
      </c>
      <c r="I453" s="15">
        <f>[1]Data!I444</f>
        <v>0</v>
      </c>
      <c r="J453" s="1" t="str">
        <f>[1]Data!J444</f>
        <v>X</v>
      </c>
      <c r="K453" s="1" t="str">
        <f>[1]Data!K444</f>
        <v>X</v>
      </c>
      <c r="L453" s="1" t="str">
        <f>[1]Data!L444</f>
        <v>06:06:01</v>
      </c>
      <c r="M453" s="1">
        <f>[1]Data!M444</f>
        <v>45819</v>
      </c>
      <c r="N453" s="1">
        <f>[1]Data!N444</f>
        <v>44430</v>
      </c>
      <c r="O453" s="1" t="str">
        <f>[1]Data!O444</f>
        <v>X</v>
      </c>
      <c r="P453" s="1" t="str">
        <f>[1]Data!P444</f>
        <v>2025</v>
      </c>
      <c r="Q453" s="15">
        <f>[1]Data!Q444</f>
        <v>70</v>
      </c>
      <c r="R453" s="1" t="str">
        <f>[1]Data!R444</f>
        <v/>
      </c>
    </row>
    <row r="454" spans="1:18" x14ac:dyDescent="0.35">
      <c r="A454" s="1" t="str">
        <f>[1]Data!A445</f>
        <v>4004453</v>
      </c>
      <c r="B454" s="1" t="str">
        <f>[1]Data!B445</f>
        <v>3300</v>
      </c>
      <c r="C454" s="1" t="str">
        <f>[1]Data!C445</f>
        <v>3001</v>
      </c>
      <c r="D454" s="1" t="str">
        <f>[1]Data!D445</f>
        <v>L</v>
      </c>
      <c r="E454" s="1" t="str">
        <f>[1]Data!E445</f>
        <v/>
      </c>
      <c r="F454" s="1" t="str">
        <f>[1]Data!F445</f>
        <v>2026</v>
      </c>
      <c r="G454" s="1" t="str">
        <f>[1]Data!G445</f>
        <v>3</v>
      </c>
      <c r="H454" s="15">
        <f>[1]Data!H445</f>
        <v>500</v>
      </c>
      <c r="I454" s="15">
        <f>[1]Data!I445</f>
        <v>0</v>
      </c>
      <c r="J454" s="1" t="str">
        <f>[1]Data!J445</f>
        <v>X</v>
      </c>
      <c r="K454" s="1" t="str">
        <f>[1]Data!K445</f>
        <v>X</v>
      </c>
      <c r="L454" s="1" t="str">
        <f>[1]Data!L445</f>
        <v>12:12:01</v>
      </c>
      <c r="M454" s="1">
        <f>[1]Data!M445</f>
        <v>45994</v>
      </c>
      <c r="N454" s="1">
        <f>[1]Data!N445</f>
        <v>44430</v>
      </c>
      <c r="O454" s="1" t="str">
        <f>[1]Data!O445</f>
        <v>X</v>
      </c>
      <c r="P454" s="1" t="str">
        <f>[1]Data!P445</f>
        <v>2025</v>
      </c>
      <c r="Q454" s="15">
        <f>[1]Data!Q445</f>
        <v>500</v>
      </c>
      <c r="R454" s="1" t="str">
        <f>[1]Data!R445</f>
        <v/>
      </c>
    </row>
    <row r="455" spans="1:18" x14ac:dyDescent="0.35">
      <c r="A455" s="1" t="str">
        <f>[1]Data!A446</f>
        <v>4004670</v>
      </c>
      <c r="B455" s="1" t="str">
        <f>[1]Data!B446</f>
        <v>3300</v>
      </c>
      <c r="C455" s="1" t="str">
        <f>[1]Data!C446</f>
        <v>3001</v>
      </c>
      <c r="D455" s="1" t="str">
        <f>[1]Data!D446</f>
        <v>L</v>
      </c>
      <c r="E455" s="1" t="str">
        <f>[1]Data!E446</f>
        <v>X</v>
      </c>
      <c r="F455" s="1" t="str">
        <f>[1]Data!F446</f>
        <v>2021</v>
      </c>
      <c r="G455" s="1" t="str">
        <f>[1]Data!G446</f>
        <v>10</v>
      </c>
      <c r="H455" s="15">
        <f>[1]Data!H446</f>
        <v>0</v>
      </c>
      <c r="I455" s="15">
        <f>[1]Data!I446</f>
        <v>0</v>
      </c>
      <c r="J455" s="1" t="str">
        <f>[1]Data!J446</f>
        <v>X</v>
      </c>
      <c r="K455" s="1" t="str">
        <f>[1]Data!K446</f>
        <v/>
      </c>
      <c r="L455" s="1" t="str">
        <f>[1]Data!L446</f>
        <v>SLETTET</v>
      </c>
      <c r="M455" s="1">
        <f>[1]Data!M446</f>
        <v>44568</v>
      </c>
      <c r="N455" s="1">
        <f>[1]Data!N446</f>
        <v>44430</v>
      </c>
      <c r="O455" s="1" t="str">
        <f>[1]Data!O446</f>
        <v>X</v>
      </c>
      <c r="P455" s="1" t="str">
        <f>[1]Data!P446</f>
        <v>2022</v>
      </c>
      <c r="Q455" s="15">
        <f>[1]Data!Q446</f>
        <v>0</v>
      </c>
      <c r="R455" s="1" t="str">
        <f>[1]Data!R446</f>
        <v>INAKTIV</v>
      </c>
    </row>
    <row r="456" spans="1:18" x14ac:dyDescent="0.35">
      <c r="A456" s="1" t="str">
        <f>[1]Data!A447</f>
        <v>4004674</v>
      </c>
      <c r="B456" s="1" t="str">
        <f>[1]Data!B447</f>
        <v>3300</v>
      </c>
      <c r="C456" s="1" t="str">
        <f>[1]Data!C447</f>
        <v>3001</v>
      </c>
      <c r="D456" s="1" t="str">
        <f>[1]Data!D447</f>
        <v>L</v>
      </c>
      <c r="E456" s="1" t="str">
        <f>[1]Data!E447</f>
        <v/>
      </c>
      <c r="F456" s="1" t="str">
        <f>[1]Data!F447</f>
        <v>2026</v>
      </c>
      <c r="G456" s="1" t="str">
        <f>[1]Data!G447</f>
        <v>3</v>
      </c>
      <c r="H456" s="15">
        <f>[1]Data!H447</f>
        <v>230</v>
      </c>
      <c r="I456" s="15">
        <f>[1]Data!I447</f>
        <v>0</v>
      </c>
      <c r="J456" s="1" t="str">
        <f>[1]Data!J447</f>
        <v>X</v>
      </c>
      <c r="K456" s="1" t="str">
        <f>[1]Data!K447</f>
        <v>X</v>
      </c>
      <c r="L456" s="1" t="str">
        <f>[1]Data!L447</f>
        <v>02:06:02</v>
      </c>
      <c r="M456" s="1">
        <f>[1]Data!M447</f>
        <v>45796</v>
      </c>
      <c r="N456" s="1">
        <f>[1]Data!N447</f>
        <v>44430</v>
      </c>
      <c r="O456" s="1" t="str">
        <f>[1]Data!O447</f>
        <v>X</v>
      </c>
      <c r="P456" s="1" t="str">
        <f>[1]Data!P447</f>
        <v>2025</v>
      </c>
      <c r="Q456" s="15">
        <f>[1]Data!Q447</f>
        <v>230</v>
      </c>
      <c r="R456" s="1" t="str">
        <f>[1]Data!R447</f>
        <v/>
      </c>
    </row>
    <row r="457" spans="1:18" x14ac:dyDescent="0.35">
      <c r="A457" s="1" t="str">
        <f>[1]Data!A448</f>
        <v>4004679</v>
      </c>
      <c r="B457" s="1" t="str">
        <f>[1]Data!B448</f>
        <v>3300</v>
      </c>
      <c r="C457" s="1" t="str">
        <f>[1]Data!C448</f>
        <v>3001</v>
      </c>
      <c r="D457" s="1" t="str">
        <f>[1]Data!D448</f>
        <v>DL</v>
      </c>
      <c r="E457" s="1" t="str">
        <f>[1]Data!E448</f>
        <v/>
      </c>
      <c r="F457" s="1" t="str">
        <f>[1]Data!F448</f>
        <v>2026</v>
      </c>
      <c r="G457" s="1" t="str">
        <f>[1]Data!G448</f>
        <v>1</v>
      </c>
      <c r="H457" s="15">
        <f>[1]Data!H448</f>
        <v>220</v>
      </c>
      <c r="I457" s="15">
        <f>[1]Data!I448</f>
        <v>0</v>
      </c>
      <c r="J457" s="1" t="str">
        <f>[1]Data!J448</f>
        <v>X</v>
      </c>
      <c r="K457" s="1" t="str">
        <f>[1]Data!K448</f>
        <v>X</v>
      </c>
      <c r="L457" s="1" t="str">
        <f>[1]Data!L448</f>
        <v>03:07:01</v>
      </c>
      <c r="M457" s="1">
        <f>[1]Data!M448</f>
        <v>45798</v>
      </c>
      <c r="N457" s="1">
        <f>[1]Data!N448</f>
        <v>44792</v>
      </c>
      <c r="O457" s="1" t="str">
        <f>[1]Data!O448</f>
        <v>X</v>
      </c>
      <c r="P457" s="1" t="str">
        <f>[1]Data!P448</f>
        <v>2025</v>
      </c>
      <c r="Q457" s="15">
        <f>[1]Data!Q448</f>
        <v>220</v>
      </c>
      <c r="R457" s="1" t="str">
        <f>[1]Data!R448</f>
        <v/>
      </c>
    </row>
    <row r="458" spans="1:18" x14ac:dyDescent="0.35">
      <c r="A458" s="1" t="str">
        <f>[1]Data!A449</f>
        <v>4004696</v>
      </c>
      <c r="B458" s="1" t="str">
        <f>[1]Data!B449</f>
        <v>3300</v>
      </c>
      <c r="C458" s="1" t="str">
        <f>[1]Data!C449</f>
        <v>3001</v>
      </c>
      <c r="D458" s="1" t="str">
        <f>[1]Data!D449</f>
        <v>DL</v>
      </c>
      <c r="E458" s="1" t="str">
        <f>[1]Data!E449</f>
        <v/>
      </c>
      <c r="F458" s="1" t="str">
        <f>[1]Data!F449</f>
        <v>2024</v>
      </c>
      <c r="G458" s="1" t="str">
        <f>[1]Data!G449</f>
        <v>6</v>
      </c>
      <c r="H458" s="15">
        <f>[1]Data!H449</f>
        <v>0</v>
      </c>
      <c r="I458" s="15">
        <f>[1]Data!I449</f>
        <v>0</v>
      </c>
      <c r="J458" s="1" t="str">
        <f>[1]Data!J449</f>
        <v/>
      </c>
      <c r="K458" s="1" t="str">
        <f>[1]Data!K449</f>
        <v/>
      </c>
      <c r="L458" s="1" t="str">
        <f>[1]Data!L449</f>
        <v/>
      </c>
      <c r="M458" s="1" t="str">
        <f>[1]Data!M449</f>
        <v/>
      </c>
      <c r="N458" s="1">
        <f>[1]Data!N449</f>
        <v>45462</v>
      </c>
      <c r="O458" s="1" t="str">
        <f>[1]Data!O449</f>
        <v>X</v>
      </c>
      <c r="P458" s="1" t="str">
        <f>[1]Data!P449</f>
        <v>2024</v>
      </c>
      <c r="Q458" s="15">
        <f>[1]Data!Q449</f>
        <v>0</v>
      </c>
      <c r="R458" s="1" t="str">
        <f>[1]Data!R449</f>
        <v>INAKTIV</v>
      </c>
    </row>
    <row r="459" spans="1:18" x14ac:dyDescent="0.35">
      <c r="A459" s="1" t="str">
        <f>[1]Data!A450</f>
        <v>4004700</v>
      </c>
      <c r="B459" s="1" t="str">
        <f>[1]Data!B450</f>
        <v>3300</v>
      </c>
      <c r="C459" s="1" t="str">
        <f>[1]Data!C450</f>
        <v>3001</v>
      </c>
      <c r="D459" s="1" t="str">
        <f>[1]Data!D450</f>
        <v>DL</v>
      </c>
      <c r="E459" s="1" t="str">
        <f>[1]Data!E450</f>
        <v/>
      </c>
      <c r="F459" s="1" t="str">
        <f>[1]Data!F450</f>
        <v>2026</v>
      </c>
      <c r="G459" s="1" t="str">
        <f>[1]Data!G450</f>
        <v>2</v>
      </c>
      <c r="H459" s="15">
        <f>[1]Data!H450</f>
        <v>0</v>
      </c>
      <c r="I459" s="15">
        <f>[1]Data!I450</f>
        <v>0</v>
      </c>
      <c r="J459" s="1" t="str">
        <f>[1]Data!J450</f>
        <v>X</v>
      </c>
      <c r="K459" s="1" t="str">
        <f>[1]Data!K450</f>
        <v/>
      </c>
      <c r="L459" s="1" t="str">
        <f>[1]Data!L450</f>
        <v>05:01:03</v>
      </c>
      <c r="M459" s="1">
        <f>[1]Data!M450</f>
        <v>46029</v>
      </c>
      <c r="N459" s="1">
        <f>[1]Data!N450</f>
        <v>45568</v>
      </c>
      <c r="O459" s="1" t="str">
        <f>[1]Data!O450</f>
        <v>X</v>
      </c>
      <c r="P459" s="1" t="str">
        <f>[1]Data!P450</f>
        <v>2026</v>
      </c>
      <c r="Q459" s="15">
        <f>[1]Data!Q450</f>
        <v>0</v>
      </c>
      <c r="R459" s="1" t="str">
        <f>[1]Data!R450</f>
        <v>INAKTIV</v>
      </c>
    </row>
    <row r="460" spans="1:18" x14ac:dyDescent="0.35">
      <c r="A460" s="1" t="str">
        <f>[1]Data!A451</f>
        <v>4004809</v>
      </c>
      <c r="B460" s="1" t="str">
        <f>[1]Data!B451</f>
        <v>3300</v>
      </c>
      <c r="C460" s="1" t="str">
        <f>[1]Data!C451</f>
        <v>3001</v>
      </c>
      <c r="D460" s="1" t="str">
        <f>[1]Data!D451</f>
        <v>L</v>
      </c>
      <c r="E460" s="1" t="str">
        <f>[1]Data!E451</f>
        <v/>
      </c>
      <c r="F460" s="1" t="str">
        <f>[1]Data!F451</f>
        <v>2026</v>
      </c>
      <c r="G460" s="1" t="str">
        <f>[1]Data!G451</f>
        <v>3</v>
      </c>
      <c r="H460" s="15">
        <f>[1]Data!H451</f>
        <v>210</v>
      </c>
      <c r="I460" s="15">
        <f>[1]Data!I451</f>
        <v>0</v>
      </c>
      <c r="J460" s="1" t="str">
        <f>[1]Data!J451</f>
        <v>X</v>
      </c>
      <c r="K460" s="1" t="str">
        <f>[1]Data!K451</f>
        <v>X</v>
      </c>
      <c r="L460" s="1" t="str">
        <f>[1]Data!L451</f>
        <v>05:11:03</v>
      </c>
      <c r="M460" s="1">
        <f>[1]Data!M451</f>
        <v>45804</v>
      </c>
      <c r="N460" s="1">
        <f>[1]Data!N451</f>
        <v>44430</v>
      </c>
      <c r="O460" s="1" t="str">
        <f>[1]Data!O451</f>
        <v>X</v>
      </c>
      <c r="P460" s="1" t="str">
        <f>[1]Data!P451</f>
        <v>2025</v>
      </c>
      <c r="Q460" s="15">
        <f>[1]Data!Q451</f>
        <v>210</v>
      </c>
      <c r="R460" s="1" t="str">
        <f>[1]Data!R451</f>
        <v/>
      </c>
    </row>
    <row r="461" spans="1:18" x14ac:dyDescent="0.35">
      <c r="A461" s="1" t="str">
        <f>[1]Data!A452</f>
        <v>4004810</v>
      </c>
      <c r="B461" s="1" t="str">
        <f>[1]Data!B452</f>
        <v>3300</v>
      </c>
      <c r="C461" s="1" t="str">
        <f>[1]Data!C452</f>
        <v>3001</v>
      </c>
      <c r="D461" s="1" t="str">
        <f>[1]Data!D452</f>
        <v>L</v>
      </c>
      <c r="E461" s="1" t="str">
        <f>[1]Data!E452</f>
        <v>X</v>
      </c>
      <c r="F461" s="1" t="str">
        <f>[1]Data!F452</f>
        <v>2024</v>
      </c>
      <c r="G461" s="1" t="str">
        <f>[1]Data!G452</f>
        <v>7</v>
      </c>
      <c r="H461" s="15">
        <f>[1]Data!H452</f>
        <v>0</v>
      </c>
      <c r="I461" s="15">
        <f>[1]Data!I452</f>
        <v>0</v>
      </c>
      <c r="J461" s="1" t="str">
        <f>[1]Data!J452</f>
        <v>X</v>
      </c>
      <c r="K461" s="1" t="str">
        <f>[1]Data!K452</f>
        <v>X</v>
      </c>
      <c r="L461" s="1" t="str">
        <f>[1]Data!L452</f>
        <v>SLETTET</v>
      </c>
      <c r="M461" s="1">
        <f>[1]Data!M452</f>
        <v>45804</v>
      </c>
      <c r="N461" s="1">
        <f>[1]Data!N452</f>
        <v>44430</v>
      </c>
      <c r="O461" s="1" t="str">
        <f>[1]Data!O452</f>
        <v>X</v>
      </c>
      <c r="P461" s="1" t="str">
        <f>[1]Data!P452</f>
        <v>2025</v>
      </c>
      <c r="Q461" s="15">
        <f>[1]Data!Q452</f>
        <v>0</v>
      </c>
      <c r="R461" s="1" t="str">
        <f>[1]Data!R452</f>
        <v>INAKTIV</v>
      </c>
    </row>
    <row r="462" spans="1:18" x14ac:dyDescent="0.35">
      <c r="A462" s="1" t="str">
        <f>[1]Data!A453</f>
        <v>4004825</v>
      </c>
      <c r="B462" s="1" t="str">
        <f>[1]Data!B453</f>
        <v>3300</v>
      </c>
      <c r="C462" s="1" t="str">
        <f>[1]Data!C453</f>
        <v>3001</v>
      </c>
      <c r="D462" s="1" t="str">
        <f>[1]Data!D453</f>
        <v>L</v>
      </c>
      <c r="E462" s="1" t="str">
        <f>[1]Data!E453</f>
        <v/>
      </c>
      <c r="F462" s="1" t="str">
        <f>[1]Data!F453</f>
        <v>2026</v>
      </c>
      <c r="G462" s="1" t="str">
        <f>[1]Data!G453</f>
        <v>2</v>
      </c>
      <c r="H462" s="15">
        <f>[1]Data!H453</f>
        <v>2200</v>
      </c>
      <c r="I462" s="15">
        <f>[1]Data!I453</f>
        <v>0</v>
      </c>
      <c r="J462" s="1" t="str">
        <f>[1]Data!J453</f>
        <v>X</v>
      </c>
      <c r="K462" s="1" t="str">
        <f>[1]Data!K453</f>
        <v>X</v>
      </c>
      <c r="L462" s="1" t="str">
        <f>[1]Data!L453</f>
        <v>10:10:02</v>
      </c>
      <c r="M462" s="1">
        <f>[1]Data!M453</f>
        <v>45987</v>
      </c>
      <c r="N462" s="1">
        <f>[1]Data!N453</f>
        <v>44430</v>
      </c>
      <c r="O462" s="1" t="str">
        <f>[1]Data!O453</f>
        <v>X</v>
      </c>
      <c r="P462" s="1" t="str">
        <f>[1]Data!P453</f>
        <v>2025</v>
      </c>
      <c r="Q462" s="15">
        <f>[1]Data!Q453</f>
        <v>2200</v>
      </c>
      <c r="R462" s="1" t="str">
        <f>[1]Data!R453</f>
        <v/>
      </c>
    </row>
    <row r="463" spans="1:18" x14ac:dyDescent="0.35">
      <c r="A463" s="1" t="str">
        <f>[1]Data!A454</f>
        <v>4004843</v>
      </c>
      <c r="B463" s="1" t="str">
        <f>[1]Data!B454</f>
        <v>3300</v>
      </c>
      <c r="C463" s="1" t="str">
        <f>[1]Data!C454</f>
        <v>3001</v>
      </c>
      <c r="D463" s="1" t="str">
        <f>[1]Data!D454</f>
        <v>L</v>
      </c>
      <c r="E463" s="1" t="str">
        <f>[1]Data!E454</f>
        <v/>
      </c>
      <c r="F463" s="1" t="str">
        <f>[1]Data!F454</f>
        <v>2026</v>
      </c>
      <c r="G463" s="1" t="str">
        <f>[1]Data!G454</f>
        <v>2</v>
      </c>
      <c r="H463" s="15">
        <f>[1]Data!H454</f>
        <v>165</v>
      </c>
      <c r="I463" s="15">
        <f>[1]Data!I454</f>
        <v>0</v>
      </c>
      <c r="J463" s="1" t="str">
        <f>[1]Data!J454</f>
        <v>X</v>
      </c>
      <c r="K463" s="1" t="str">
        <f>[1]Data!K454</f>
        <v>X</v>
      </c>
      <c r="L463" s="1" t="str">
        <f>[1]Data!L454</f>
        <v>15:03:07</v>
      </c>
      <c r="M463" s="1">
        <f>[1]Data!M454</f>
        <v>46001</v>
      </c>
      <c r="N463" s="1">
        <f>[1]Data!N454</f>
        <v>44430</v>
      </c>
      <c r="O463" s="1" t="str">
        <f>[1]Data!O454</f>
        <v>X</v>
      </c>
      <c r="P463" s="1" t="str">
        <f>[1]Data!P454</f>
        <v>2025</v>
      </c>
      <c r="Q463" s="15">
        <f>[1]Data!Q454</f>
        <v>165</v>
      </c>
      <c r="R463" s="1" t="str">
        <f>[1]Data!R454</f>
        <v/>
      </c>
    </row>
    <row r="464" spans="1:18" x14ac:dyDescent="0.35">
      <c r="A464" s="1" t="str">
        <f>[1]Data!A455</f>
        <v>4004889</v>
      </c>
      <c r="B464" s="1" t="str">
        <f>[1]Data!B455</f>
        <v>3300</v>
      </c>
      <c r="C464" s="1" t="str">
        <f>[1]Data!C455</f>
        <v>3001</v>
      </c>
      <c r="D464" s="1" t="str">
        <f>[1]Data!D455</f>
        <v>DL</v>
      </c>
      <c r="E464" s="1" t="str">
        <f>[1]Data!E455</f>
        <v/>
      </c>
      <c r="F464" s="1" t="str">
        <f>[1]Data!F455</f>
        <v>2026</v>
      </c>
      <c r="G464" s="1" t="str">
        <f>[1]Data!G455</f>
        <v>2</v>
      </c>
      <c r="H464" s="15">
        <f>[1]Data!H455</f>
        <v>70</v>
      </c>
      <c r="I464" s="15">
        <f>[1]Data!I455</f>
        <v>0</v>
      </c>
      <c r="J464" s="1" t="str">
        <f>[1]Data!J455</f>
        <v>X</v>
      </c>
      <c r="K464" s="1" t="str">
        <f>[1]Data!K455</f>
        <v>X</v>
      </c>
      <c r="L464" s="1" t="str">
        <f>[1]Data!L455</f>
        <v>06:09:01</v>
      </c>
      <c r="M464" s="1">
        <f>[1]Data!M455</f>
        <v>45819</v>
      </c>
      <c r="N464" s="1">
        <f>[1]Data!N455</f>
        <v>45235</v>
      </c>
      <c r="O464" s="1" t="str">
        <f>[1]Data!O455</f>
        <v>X</v>
      </c>
      <c r="P464" s="1" t="str">
        <f>[1]Data!P455</f>
        <v>2025</v>
      </c>
      <c r="Q464" s="15">
        <f>[1]Data!Q455</f>
        <v>70</v>
      </c>
      <c r="R464" s="1" t="str">
        <f>[1]Data!R455</f>
        <v/>
      </c>
    </row>
    <row r="465" spans="1:18" x14ac:dyDescent="0.35">
      <c r="A465" s="1" t="str">
        <f>[1]Data!A456</f>
        <v>4004891</v>
      </c>
      <c r="B465" s="1" t="str">
        <f>[1]Data!B456</f>
        <v>3300</v>
      </c>
      <c r="C465" s="1" t="str">
        <f>[1]Data!C456</f>
        <v>3001</v>
      </c>
      <c r="D465" s="1" t="str">
        <f>[1]Data!D456</f>
        <v>DL</v>
      </c>
      <c r="E465" s="1" t="str">
        <f>[1]Data!E456</f>
        <v/>
      </c>
      <c r="F465" s="1" t="str">
        <f>[1]Data!F456</f>
        <v>2026</v>
      </c>
      <c r="G465" s="1" t="str">
        <f>[1]Data!G456</f>
        <v>2</v>
      </c>
      <c r="H465" s="15">
        <f>[1]Data!H456</f>
        <v>139</v>
      </c>
      <c r="I465" s="15">
        <f>[1]Data!I456</f>
        <v>0</v>
      </c>
      <c r="J465" s="1" t="str">
        <f>[1]Data!J456</f>
        <v>X</v>
      </c>
      <c r="K465" s="1" t="str">
        <f>[1]Data!K456</f>
        <v>X</v>
      </c>
      <c r="L465" s="1" t="str">
        <f>[1]Data!L456</f>
        <v>06:08:01</v>
      </c>
      <c r="M465" s="1">
        <f>[1]Data!M456</f>
        <v>45819</v>
      </c>
      <c r="N465" s="1">
        <f>[1]Data!N456</f>
        <v>45235</v>
      </c>
      <c r="O465" s="1" t="str">
        <f>[1]Data!O456</f>
        <v>X</v>
      </c>
      <c r="P465" s="1" t="str">
        <f>[1]Data!P456</f>
        <v>2025</v>
      </c>
      <c r="Q465" s="15">
        <f>[1]Data!Q456</f>
        <v>139</v>
      </c>
      <c r="R465" s="1" t="str">
        <f>[1]Data!R456</f>
        <v/>
      </c>
    </row>
    <row r="466" spans="1:18" x14ac:dyDescent="0.35">
      <c r="A466" s="1" t="str">
        <f>[1]Data!A457</f>
        <v>4004920</v>
      </c>
      <c r="B466" s="1" t="str">
        <f>[1]Data!B457</f>
        <v>3300</v>
      </c>
      <c r="C466" s="1" t="str">
        <f>[1]Data!C457</f>
        <v>3001</v>
      </c>
      <c r="D466" s="1" t="str">
        <f>[1]Data!D457</f>
        <v>DL</v>
      </c>
      <c r="E466" s="1" t="str">
        <f>[1]Data!E457</f>
        <v/>
      </c>
      <c r="F466" s="1" t="str">
        <f>[1]Data!F457</f>
        <v>2026</v>
      </c>
      <c r="G466" s="1" t="str">
        <f>[1]Data!G457</f>
        <v>2</v>
      </c>
      <c r="H466" s="15">
        <f>[1]Data!H457</f>
        <v>170</v>
      </c>
      <c r="I466" s="15">
        <f>[1]Data!I457</f>
        <v>0</v>
      </c>
      <c r="J466" s="1" t="str">
        <f>[1]Data!J457</f>
        <v>X</v>
      </c>
      <c r="K466" s="1" t="str">
        <f>[1]Data!K457</f>
        <v>X</v>
      </c>
      <c r="L466" s="1" t="str">
        <f>[1]Data!L457</f>
        <v>05:02:01</v>
      </c>
      <c r="M466" s="1">
        <f>[1]Data!M457</f>
        <v>45800</v>
      </c>
      <c r="N466" s="1">
        <f>[1]Data!N457</f>
        <v>45287</v>
      </c>
      <c r="O466" s="1" t="str">
        <f>[1]Data!O457</f>
        <v>X</v>
      </c>
      <c r="P466" s="1" t="str">
        <f>[1]Data!P457</f>
        <v>2025</v>
      </c>
      <c r="Q466" s="15">
        <f>[1]Data!Q457</f>
        <v>170</v>
      </c>
      <c r="R466" s="1" t="str">
        <f>[1]Data!R457</f>
        <v/>
      </c>
    </row>
    <row r="467" spans="1:18" x14ac:dyDescent="0.35">
      <c r="A467" s="1" t="str">
        <f>[1]Data!A458</f>
        <v>4004963</v>
      </c>
      <c r="B467" s="1" t="str">
        <f>[1]Data!B458</f>
        <v>3300</v>
      </c>
      <c r="C467" s="1" t="str">
        <f>[1]Data!C458</f>
        <v>3001</v>
      </c>
      <c r="D467" s="1" t="str">
        <f>[1]Data!D458</f>
        <v>DL</v>
      </c>
      <c r="E467" s="1" t="str">
        <f>[1]Data!E458</f>
        <v/>
      </c>
      <c r="F467" s="1" t="str">
        <f>[1]Data!F458</f>
        <v>2026</v>
      </c>
      <c r="G467" s="1" t="str">
        <f>[1]Data!G458</f>
        <v>3</v>
      </c>
      <c r="H467" s="15">
        <f>[1]Data!H458</f>
        <v>96</v>
      </c>
      <c r="I467" s="15">
        <f>[1]Data!I458</f>
        <v>0</v>
      </c>
      <c r="J467" s="1" t="str">
        <f>[1]Data!J458</f>
        <v>X</v>
      </c>
      <c r="K467" s="1" t="str">
        <f>[1]Data!K458</f>
        <v/>
      </c>
      <c r="L467" s="1" t="str">
        <f>[1]Data!L458</f>
        <v>09:03:00</v>
      </c>
      <c r="M467" s="1">
        <f>[1]Data!M458</f>
        <v>46030</v>
      </c>
      <c r="N467" s="1">
        <f>[1]Data!N458</f>
        <v>45810</v>
      </c>
      <c r="O467" s="1" t="str">
        <f>[1]Data!O458</f>
        <v>X</v>
      </c>
      <c r="P467" s="1" t="str">
        <f>[1]Data!P458</f>
        <v>2026</v>
      </c>
      <c r="Q467" s="15">
        <f>[1]Data!Q458</f>
        <v>96</v>
      </c>
      <c r="R467" s="1" t="str">
        <f>[1]Data!R458</f>
        <v/>
      </c>
    </row>
    <row r="468" spans="1:18" x14ac:dyDescent="0.35">
      <c r="A468" s="1" t="str">
        <f>[1]Data!A459</f>
        <v>4004967</v>
      </c>
      <c r="B468" s="1" t="str">
        <f>[1]Data!B459</f>
        <v>3300</v>
      </c>
      <c r="C468" s="1" t="str">
        <f>[1]Data!C459</f>
        <v>3001</v>
      </c>
      <c r="D468" s="1" t="str">
        <f>[1]Data!D459</f>
        <v>L</v>
      </c>
      <c r="E468" s="1" t="str">
        <f>[1]Data!E459</f>
        <v>X</v>
      </c>
      <c r="F468" s="1" t="str">
        <f>[1]Data!F459</f>
        <v>2022</v>
      </c>
      <c r="G468" s="1" t="str">
        <f>[1]Data!G459</f>
        <v>1</v>
      </c>
      <c r="H468" s="15">
        <f>[1]Data!H459</f>
        <v>0</v>
      </c>
      <c r="I468" s="15">
        <f>[1]Data!I459</f>
        <v>0</v>
      </c>
      <c r="J468" s="1" t="str">
        <f>[1]Data!J459</f>
        <v>X</v>
      </c>
      <c r="K468" s="1" t="str">
        <f>[1]Data!K459</f>
        <v/>
      </c>
      <c r="L468" s="1" t="str">
        <f>[1]Data!L459</f>
        <v>SLETTET</v>
      </c>
      <c r="M468" s="1">
        <f>[1]Data!M459</f>
        <v>44568</v>
      </c>
      <c r="N468" s="1">
        <f>[1]Data!N459</f>
        <v>44430</v>
      </c>
      <c r="O468" s="1" t="str">
        <f>[1]Data!O459</f>
        <v>X</v>
      </c>
      <c r="P468" s="1" t="str">
        <f>[1]Data!P459</f>
        <v>2022</v>
      </c>
      <c r="Q468" s="15">
        <f>[1]Data!Q459</f>
        <v>0</v>
      </c>
      <c r="R468" s="1" t="str">
        <f>[1]Data!R459</f>
        <v>INAKTIV</v>
      </c>
    </row>
    <row r="469" spans="1:18" x14ac:dyDescent="0.35">
      <c r="A469" s="1" t="str">
        <f>[1]Data!A460</f>
        <v>4004969</v>
      </c>
      <c r="B469" s="1" t="str">
        <f>[1]Data!B460</f>
        <v>3300</v>
      </c>
      <c r="C469" s="1" t="str">
        <f>[1]Data!C460</f>
        <v>3001</v>
      </c>
      <c r="D469" s="1" t="str">
        <f>[1]Data!D460</f>
        <v>L</v>
      </c>
      <c r="E469" s="1" t="str">
        <f>[1]Data!E460</f>
        <v/>
      </c>
      <c r="F469" s="1" t="str">
        <f>[1]Data!F460</f>
        <v>2023</v>
      </c>
      <c r="G469" s="1" t="str">
        <f>[1]Data!G460</f>
        <v>3</v>
      </c>
      <c r="H469" s="15">
        <f>[1]Data!H460</f>
        <v>0</v>
      </c>
      <c r="I469" s="15">
        <f>[1]Data!I460</f>
        <v>0</v>
      </c>
      <c r="J469" s="1" t="str">
        <f>[1]Data!J460</f>
        <v>X</v>
      </c>
      <c r="K469" s="1" t="str">
        <f>[1]Data!K460</f>
        <v/>
      </c>
      <c r="L469" s="1" t="str">
        <f>[1]Data!L460</f>
        <v>SLETTET</v>
      </c>
      <c r="M469" s="1">
        <f>[1]Data!M460</f>
        <v>45799</v>
      </c>
      <c r="N469" s="1">
        <f>[1]Data!N460</f>
        <v>44430</v>
      </c>
      <c r="O469" s="1" t="str">
        <f>[1]Data!O460</f>
        <v>X</v>
      </c>
      <c r="P469" s="1" t="str">
        <f>[1]Data!P460</f>
        <v>2025</v>
      </c>
      <c r="Q469" s="15">
        <f>[1]Data!Q460</f>
        <v>0</v>
      </c>
      <c r="R469" s="1" t="str">
        <f>[1]Data!R460</f>
        <v>INAKTIV</v>
      </c>
    </row>
    <row r="470" spans="1:18" x14ac:dyDescent="0.35">
      <c r="A470" s="1" t="str">
        <f>[1]Data!A461</f>
        <v>4004972</v>
      </c>
      <c r="B470" s="1" t="str">
        <f>[1]Data!B461</f>
        <v>3300</v>
      </c>
      <c r="C470" s="1" t="str">
        <f>[1]Data!C461</f>
        <v>3001</v>
      </c>
      <c r="D470" s="1" t="str">
        <f>[1]Data!D461</f>
        <v>L</v>
      </c>
      <c r="E470" s="1" t="str">
        <f>[1]Data!E461</f>
        <v/>
      </c>
      <c r="F470" s="1" t="str">
        <f>[1]Data!F461</f>
        <v>2026</v>
      </c>
      <c r="G470" s="1" t="str">
        <f>[1]Data!G461</f>
        <v>3</v>
      </c>
      <c r="H470" s="15">
        <f>[1]Data!H461</f>
        <v>150</v>
      </c>
      <c r="I470" s="15">
        <f>[1]Data!I461</f>
        <v>0</v>
      </c>
      <c r="J470" s="1" t="str">
        <f>[1]Data!J461</f>
        <v>X</v>
      </c>
      <c r="K470" s="1" t="str">
        <f>[1]Data!K461</f>
        <v>X</v>
      </c>
      <c r="L470" s="1" t="str">
        <f>[1]Data!L461</f>
        <v>05:04:01</v>
      </c>
      <c r="M470" s="1">
        <f>[1]Data!M461</f>
        <v>45803</v>
      </c>
      <c r="N470" s="1">
        <f>[1]Data!N461</f>
        <v>44430</v>
      </c>
      <c r="O470" s="1" t="str">
        <f>[1]Data!O461</f>
        <v>X</v>
      </c>
      <c r="P470" s="1" t="str">
        <f>[1]Data!P461</f>
        <v>2025</v>
      </c>
      <c r="Q470" s="15">
        <f>[1]Data!Q461</f>
        <v>150</v>
      </c>
      <c r="R470" s="1" t="str">
        <f>[1]Data!R461</f>
        <v/>
      </c>
    </row>
    <row r="471" spans="1:18" x14ac:dyDescent="0.35">
      <c r="A471" s="1" t="str">
        <f>[1]Data!A462</f>
        <v>4004973</v>
      </c>
      <c r="B471" s="1" t="str">
        <f>[1]Data!B462</f>
        <v>3300</v>
      </c>
      <c r="C471" s="1" t="str">
        <f>[1]Data!C462</f>
        <v>3001</v>
      </c>
      <c r="D471" s="1" t="str">
        <f>[1]Data!D462</f>
        <v>L</v>
      </c>
      <c r="E471" s="1" t="str">
        <f>[1]Data!E462</f>
        <v/>
      </c>
      <c r="F471" s="1" t="str">
        <f>[1]Data!F462</f>
        <v>2026</v>
      </c>
      <c r="G471" s="1" t="str">
        <f>[1]Data!G462</f>
        <v>3</v>
      </c>
      <c r="H471" s="15">
        <f>[1]Data!H462</f>
        <v>90</v>
      </c>
      <c r="I471" s="15">
        <f>[1]Data!I462</f>
        <v>0</v>
      </c>
      <c r="J471" s="1" t="str">
        <f>[1]Data!J462</f>
        <v>X</v>
      </c>
      <c r="K471" s="1" t="str">
        <f>[1]Data!K462</f>
        <v>X</v>
      </c>
      <c r="L471" s="1" t="str">
        <f>[1]Data!L462</f>
        <v>07:09:01</v>
      </c>
      <c r="M471" s="1">
        <f>[1]Data!M462</f>
        <v>45824</v>
      </c>
      <c r="N471" s="1">
        <f>[1]Data!N462</f>
        <v>44430</v>
      </c>
      <c r="O471" s="1" t="str">
        <f>[1]Data!O462</f>
        <v>X</v>
      </c>
      <c r="P471" s="1" t="str">
        <f>[1]Data!P462</f>
        <v>2025</v>
      </c>
      <c r="Q471" s="15">
        <f>[1]Data!Q462</f>
        <v>90</v>
      </c>
      <c r="R471" s="1" t="str">
        <f>[1]Data!R462</f>
        <v/>
      </c>
    </row>
    <row r="472" spans="1:18" x14ac:dyDescent="0.35">
      <c r="A472" s="1" t="str">
        <f>[1]Data!A463</f>
        <v>4005020</v>
      </c>
      <c r="B472" s="1" t="str">
        <f>[1]Data!B463</f>
        <v>3300</v>
      </c>
      <c r="C472" s="1" t="str">
        <f>[1]Data!C463</f>
        <v>3001</v>
      </c>
      <c r="D472" s="1" t="str">
        <f>[1]Data!D463</f>
        <v>DL</v>
      </c>
      <c r="E472" s="1" t="str">
        <f>[1]Data!E463</f>
        <v/>
      </c>
      <c r="F472" s="1" t="str">
        <f>[1]Data!F463</f>
        <v>2026</v>
      </c>
      <c r="G472" s="1" t="str">
        <f>[1]Data!G463</f>
        <v>3</v>
      </c>
      <c r="H472" s="15">
        <f>[1]Data!H463</f>
        <v>110</v>
      </c>
      <c r="I472" s="15">
        <f>[1]Data!I463</f>
        <v>0</v>
      </c>
      <c r="J472" s="1" t="str">
        <f>[1]Data!J463</f>
        <v>X</v>
      </c>
      <c r="K472" s="1" t="str">
        <f>[1]Data!K463</f>
        <v>X</v>
      </c>
      <c r="L472" s="1" t="str">
        <f>[1]Data!L463</f>
        <v>05:10:03</v>
      </c>
      <c r="M472" s="1">
        <f>[1]Data!M463</f>
        <v>45804</v>
      </c>
      <c r="N472" s="1">
        <f>[1]Data!N463</f>
        <v>44883</v>
      </c>
      <c r="O472" s="1" t="str">
        <f>[1]Data!O463</f>
        <v>X</v>
      </c>
      <c r="P472" s="1" t="str">
        <f>[1]Data!P463</f>
        <v>2025</v>
      </c>
      <c r="Q472" s="15">
        <f>[1]Data!Q463</f>
        <v>110</v>
      </c>
      <c r="R472" s="1" t="str">
        <f>[1]Data!R463</f>
        <v/>
      </c>
    </row>
    <row r="473" spans="1:18" x14ac:dyDescent="0.35">
      <c r="A473" s="1" t="str">
        <f>[1]Data!A464</f>
        <v>4005032</v>
      </c>
      <c r="B473" s="1" t="str">
        <f>[1]Data!B464</f>
        <v>3300</v>
      </c>
      <c r="C473" s="1" t="str">
        <f>[1]Data!C464</f>
        <v>3001</v>
      </c>
      <c r="D473" s="1" t="str">
        <f>[1]Data!D464</f>
        <v>L</v>
      </c>
      <c r="E473" s="1" t="str">
        <f>[1]Data!E464</f>
        <v/>
      </c>
      <c r="F473" s="1" t="str">
        <f>[1]Data!F464</f>
        <v>2026</v>
      </c>
      <c r="G473" s="1" t="str">
        <f>[1]Data!G464</f>
        <v>2</v>
      </c>
      <c r="H473" s="15">
        <f>[1]Data!H464</f>
        <v>56</v>
      </c>
      <c r="I473" s="15">
        <f>[1]Data!I464</f>
        <v>0</v>
      </c>
      <c r="J473" s="1" t="str">
        <f>[1]Data!J464</f>
        <v>X</v>
      </c>
      <c r="K473" s="1" t="str">
        <f>[1]Data!K464</f>
        <v>X</v>
      </c>
      <c r="L473" s="1" t="str">
        <f>[1]Data!L464</f>
        <v>06:02:03</v>
      </c>
      <c r="M473" s="1">
        <f>[1]Data!M464</f>
        <v>45819</v>
      </c>
      <c r="N473" s="1">
        <f>[1]Data!N464</f>
        <v>44430</v>
      </c>
      <c r="O473" s="1" t="str">
        <f>[1]Data!O464</f>
        <v>X</v>
      </c>
      <c r="P473" s="1" t="str">
        <f>[1]Data!P464</f>
        <v>2025</v>
      </c>
      <c r="Q473" s="15">
        <f>[1]Data!Q464</f>
        <v>56</v>
      </c>
      <c r="R473" s="1" t="str">
        <f>[1]Data!R464</f>
        <v/>
      </c>
    </row>
    <row r="474" spans="1:18" x14ac:dyDescent="0.35">
      <c r="A474" s="1" t="str">
        <f>[1]Data!A465</f>
        <v>4005052</v>
      </c>
      <c r="B474" s="1" t="str">
        <f>[1]Data!B465</f>
        <v>3300</v>
      </c>
      <c r="C474" s="1" t="str">
        <f>[1]Data!C465</f>
        <v>3001</v>
      </c>
      <c r="D474" s="1" t="str">
        <f>[1]Data!D465</f>
        <v>DL</v>
      </c>
      <c r="E474" s="1" t="str">
        <f>[1]Data!E465</f>
        <v/>
      </c>
      <c r="F474" s="1" t="str">
        <f>[1]Data!F465</f>
        <v>2026</v>
      </c>
      <c r="G474" s="1" t="str">
        <f>[1]Data!G465</f>
        <v>2</v>
      </c>
      <c r="H474" s="15">
        <f>[1]Data!H465</f>
        <v>88</v>
      </c>
      <c r="I474" s="15">
        <f>[1]Data!I465</f>
        <v>0</v>
      </c>
      <c r="J474" s="1" t="str">
        <f>[1]Data!J465</f>
        <v>X</v>
      </c>
      <c r="K474" s="1" t="str">
        <f>[1]Data!K465</f>
        <v/>
      </c>
      <c r="L474" s="1" t="str">
        <f>[1]Data!L465</f>
        <v>09:01:00</v>
      </c>
      <c r="M474" s="1">
        <f>[1]Data!M465</f>
        <v>46030</v>
      </c>
      <c r="N474" s="1">
        <f>[1]Data!N465</f>
        <v>45810</v>
      </c>
      <c r="O474" s="1" t="str">
        <f>[1]Data!O465</f>
        <v>X</v>
      </c>
      <c r="P474" s="1" t="str">
        <f>[1]Data!P465</f>
        <v>2026</v>
      </c>
      <c r="Q474" s="15">
        <f>[1]Data!Q465</f>
        <v>88</v>
      </c>
      <c r="R474" s="1" t="str">
        <f>[1]Data!R465</f>
        <v/>
      </c>
    </row>
    <row r="475" spans="1:18" x14ac:dyDescent="0.35">
      <c r="A475" s="1" t="str">
        <f>[1]Data!A466</f>
        <v>4005446</v>
      </c>
      <c r="B475" s="1" t="str">
        <f>[1]Data!B466</f>
        <v>3300</v>
      </c>
      <c r="C475" s="1" t="str">
        <f>[1]Data!C466</f>
        <v>3001</v>
      </c>
      <c r="D475" s="1" t="str">
        <f>[1]Data!D466</f>
        <v>DL</v>
      </c>
      <c r="E475" s="1" t="str">
        <f>[1]Data!E466</f>
        <v/>
      </c>
      <c r="F475" s="1" t="str">
        <f>[1]Data!F466</f>
        <v>2026</v>
      </c>
      <c r="G475" s="1" t="str">
        <f>[1]Data!G466</f>
        <v>2</v>
      </c>
      <c r="H475" s="15">
        <f>[1]Data!H466</f>
        <v>120</v>
      </c>
      <c r="I475" s="15">
        <f>[1]Data!I466</f>
        <v>0</v>
      </c>
      <c r="J475" s="1" t="str">
        <f>[1]Data!J466</f>
        <v>X</v>
      </c>
      <c r="K475" s="1" t="str">
        <f>[1]Data!K466</f>
        <v>X</v>
      </c>
      <c r="L475" s="1" t="str">
        <f>[1]Data!L466</f>
        <v>10:05:02</v>
      </c>
      <c r="M475" s="1">
        <f>[1]Data!M466</f>
        <v>45987</v>
      </c>
      <c r="N475" s="1">
        <f>[1]Data!N466</f>
        <v>44595</v>
      </c>
      <c r="O475" s="1" t="str">
        <f>[1]Data!O466</f>
        <v>X</v>
      </c>
      <c r="P475" s="1" t="str">
        <f>[1]Data!P466</f>
        <v>2025</v>
      </c>
      <c r="Q475" s="15">
        <f>[1]Data!Q466</f>
        <v>120</v>
      </c>
      <c r="R475" s="1" t="str">
        <f>[1]Data!R466</f>
        <v/>
      </c>
    </row>
    <row r="476" spans="1:18" x14ac:dyDescent="0.35">
      <c r="A476" s="1" t="str">
        <f>[1]Data!A467</f>
        <v>4005449</v>
      </c>
      <c r="B476" s="1" t="str">
        <f>[1]Data!B467</f>
        <v>3300</v>
      </c>
      <c r="C476" s="1" t="str">
        <f>[1]Data!C467</f>
        <v>3001</v>
      </c>
      <c r="D476" s="1" t="str">
        <f>[1]Data!D467</f>
        <v>DL</v>
      </c>
      <c r="E476" s="1" t="str">
        <f>[1]Data!E467</f>
        <v/>
      </c>
      <c r="F476" s="1" t="str">
        <f>[1]Data!F467</f>
        <v>2025</v>
      </c>
      <c r="G476" s="1" t="str">
        <f>[1]Data!G467</f>
        <v>12</v>
      </c>
      <c r="H476" s="15">
        <f>[1]Data!H467</f>
        <v>165</v>
      </c>
      <c r="I476" s="15">
        <f>[1]Data!I467</f>
        <v>0</v>
      </c>
      <c r="J476" s="1" t="str">
        <f>[1]Data!J467</f>
        <v>X</v>
      </c>
      <c r="K476" s="1" t="str">
        <f>[1]Data!K467</f>
        <v>X</v>
      </c>
      <c r="L476" s="1" t="str">
        <f>[1]Data!L467</f>
        <v>03:13:01</v>
      </c>
      <c r="M476" s="1">
        <f>[1]Data!M467</f>
        <v>45798</v>
      </c>
      <c r="N476" s="1">
        <f>[1]Data!N467</f>
        <v>44908</v>
      </c>
      <c r="O476" s="1" t="str">
        <f>[1]Data!O467</f>
        <v>X</v>
      </c>
      <c r="P476" s="1" t="str">
        <f>[1]Data!P467</f>
        <v>2025</v>
      </c>
      <c r="Q476" s="15">
        <f>[1]Data!Q467</f>
        <v>165</v>
      </c>
      <c r="R476" s="1" t="str">
        <f>[1]Data!R467</f>
        <v/>
      </c>
    </row>
    <row r="477" spans="1:18" x14ac:dyDescent="0.35">
      <c r="A477" s="1" t="str">
        <f>[1]Data!A468</f>
        <v>4005454</v>
      </c>
      <c r="B477" s="1" t="str">
        <f>[1]Data!B468</f>
        <v>3300</v>
      </c>
      <c r="C477" s="1" t="str">
        <f>[1]Data!C468</f>
        <v>3001</v>
      </c>
      <c r="D477" s="1" t="str">
        <f>[1]Data!D468</f>
        <v>DL</v>
      </c>
      <c r="E477" s="1" t="str">
        <f>[1]Data!E468</f>
        <v>X</v>
      </c>
      <c r="F477" s="1" t="str">
        <f>[1]Data!F468</f>
        <v>2025</v>
      </c>
      <c r="G477" s="1" t="str">
        <f>[1]Data!G468</f>
        <v>5</v>
      </c>
      <c r="H477" s="15">
        <f>[1]Data!H468</f>
        <v>0</v>
      </c>
      <c r="I477" s="15">
        <f>[1]Data!I468</f>
        <v>0</v>
      </c>
      <c r="J477" s="1" t="str">
        <f>[1]Data!J468</f>
        <v>X</v>
      </c>
      <c r="K477" s="1" t="str">
        <f>[1]Data!K468</f>
        <v>X</v>
      </c>
      <c r="L477" s="1" t="str">
        <f>[1]Data!L468</f>
        <v>SLETTET</v>
      </c>
      <c r="M477" s="1">
        <f>[1]Data!M468</f>
        <v>45450</v>
      </c>
      <c r="N477" s="1">
        <f>[1]Data!N468</f>
        <v>44908</v>
      </c>
      <c r="O477" s="1" t="str">
        <f>[1]Data!O468</f>
        <v>X</v>
      </c>
      <c r="P477" s="1" t="str">
        <f>[1]Data!P468</f>
        <v>2024</v>
      </c>
      <c r="Q477" s="15">
        <f>[1]Data!Q468</f>
        <v>0</v>
      </c>
      <c r="R477" s="1" t="str">
        <f>[1]Data!R468</f>
        <v>INAKTIV</v>
      </c>
    </row>
    <row r="478" spans="1:18" x14ac:dyDescent="0.35">
      <c r="A478" s="1" t="str">
        <f>[1]Data!A469</f>
        <v>4005458</v>
      </c>
      <c r="B478" s="1" t="str">
        <f>[1]Data!B469</f>
        <v>3300</v>
      </c>
      <c r="C478" s="1" t="str">
        <f>[1]Data!C469</f>
        <v>3001</v>
      </c>
      <c r="D478" s="1" t="str">
        <f>[1]Data!D469</f>
        <v>L</v>
      </c>
      <c r="E478" s="1" t="str">
        <f>[1]Data!E469</f>
        <v/>
      </c>
      <c r="F478" s="1" t="str">
        <f>[1]Data!F469</f>
        <v>2022</v>
      </c>
      <c r="G478" s="1" t="str">
        <f>[1]Data!G469</f>
        <v>3</v>
      </c>
      <c r="H478" s="15">
        <f>[1]Data!H469</f>
        <v>0</v>
      </c>
      <c r="I478" s="15">
        <f>[1]Data!I469</f>
        <v>0</v>
      </c>
      <c r="J478" s="1" t="str">
        <f>[1]Data!J469</f>
        <v/>
      </c>
      <c r="K478" s="1" t="str">
        <f>[1]Data!K469</f>
        <v>X</v>
      </c>
      <c r="L478" s="1" t="str">
        <f>[1]Data!L469</f>
        <v>SLETTET</v>
      </c>
      <c r="M478" s="1">
        <f>[1]Data!M469</f>
        <v>44568</v>
      </c>
      <c r="N478" s="1">
        <f>[1]Data!N469</f>
        <v>44430</v>
      </c>
      <c r="O478" s="1" t="str">
        <f>[1]Data!O469</f>
        <v>X</v>
      </c>
      <c r="P478" s="1" t="str">
        <f>[1]Data!P469</f>
        <v>2023</v>
      </c>
      <c r="Q478" s="15">
        <f>[1]Data!Q469</f>
        <v>0</v>
      </c>
      <c r="R478" s="1" t="str">
        <f>[1]Data!R469</f>
        <v>INAKTIV</v>
      </c>
    </row>
    <row r="479" spans="1:18" x14ac:dyDescent="0.35">
      <c r="A479" s="1" t="str">
        <f>[1]Data!A470</f>
        <v>4005459</v>
      </c>
      <c r="B479" s="1" t="str">
        <f>[1]Data!B470</f>
        <v>3300</v>
      </c>
      <c r="C479" s="1" t="str">
        <f>[1]Data!C470</f>
        <v>3001</v>
      </c>
      <c r="D479" s="1" t="str">
        <f>[1]Data!D470</f>
        <v>L</v>
      </c>
      <c r="E479" s="1" t="str">
        <f>[1]Data!E470</f>
        <v/>
      </c>
      <c r="F479" s="1" t="str">
        <f>[1]Data!F470</f>
        <v>2022</v>
      </c>
      <c r="G479" s="1" t="str">
        <f>[1]Data!G470</f>
        <v>3</v>
      </c>
      <c r="H479" s="15">
        <f>[1]Data!H470</f>
        <v>0</v>
      </c>
      <c r="I479" s="15">
        <f>[1]Data!I470</f>
        <v>0</v>
      </c>
      <c r="J479" s="1" t="str">
        <f>[1]Data!J470</f>
        <v>X</v>
      </c>
      <c r="K479" s="1" t="str">
        <f>[1]Data!K470</f>
        <v/>
      </c>
      <c r="L479" s="1" t="str">
        <f>[1]Data!L470</f>
        <v>SLETTET</v>
      </c>
      <c r="M479" s="1">
        <f>[1]Data!M470</f>
        <v>44568</v>
      </c>
      <c r="N479" s="1">
        <f>[1]Data!N470</f>
        <v>44430</v>
      </c>
      <c r="O479" s="1" t="str">
        <f>[1]Data!O470</f>
        <v>X</v>
      </c>
      <c r="P479" s="1" t="str">
        <f>[1]Data!P470</f>
        <v>2022</v>
      </c>
      <c r="Q479" s="15">
        <f>[1]Data!Q470</f>
        <v>0</v>
      </c>
      <c r="R479" s="1" t="str">
        <f>[1]Data!R470</f>
        <v>INAKTIV</v>
      </c>
    </row>
    <row r="480" spans="1:18" x14ac:dyDescent="0.35">
      <c r="A480" s="1" t="str">
        <f>[1]Data!A471</f>
        <v>4005503</v>
      </c>
      <c r="B480" s="1" t="str">
        <f>[1]Data!B471</f>
        <v>3300</v>
      </c>
      <c r="C480" s="1" t="str">
        <f>[1]Data!C471</f>
        <v>3001</v>
      </c>
      <c r="D480" s="1" t="str">
        <f>[1]Data!D471</f>
        <v>DL</v>
      </c>
      <c r="E480" s="1" t="str">
        <f>[1]Data!E471</f>
        <v/>
      </c>
      <c r="F480" s="1" t="str">
        <f>[1]Data!F471</f>
        <v>2026</v>
      </c>
      <c r="G480" s="1" t="str">
        <f>[1]Data!G471</f>
        <v>3</v>
      </c>
      <c r="H480" s="15">
        <f>[1]Data!H471</f>
        <v>4020</v>
      </c>
      <c r="I480" s="15">
        <f>[1]Data!I471</f>
        <v>0</v>
      </c>
      <c r="J480" s="1" t="str">
        <f>[1]Data!J471</f>
        <v>X</v>
      </c>
      <c r="K480" s="1" t="str">
        <f>[1]Data!K471</f>
        <v>X</v>
      </c>
      <c r="L480" s="1" t="str">
        <f>[1]Data!L471</f>
        <v>10:11:01*</v>
      </c>
      <c r="M480" s="1">
        <f>[1]Data!M471</f>
        <v>45987</v>
      </c>
      <c r="N480" s="1">
        <f>[1]Data!N471</f>
        <v>44615</v>
      </c>
      <c r="O480" s="1" t="str">
        <f>[1]Data!O471</f>
        <v>X</v>
      </c>
      <c r="P480" s="1" t="str">
        <f>[1]Data!P471</f>
        <v>2025</v>
      </c>
      <c r="Q480" s="15">
        <f>[1]Data!Q471</f>
        <v>4020</v>
      </c>
      <c r="R480" s="1" t="str">
        <f>[1]Data!R471</f>
        <v/>
      </c>
    </row>
    <row r="481" spans="1:18" x14ac:dyDescent="0.35">
      <c r="A481" s="1" t="str">
        <f>[1]Data!A472</f>
        <v>4005583</v>
      </c>
      <c r="B481" s="1" t="str">
        <f>[1]Data!B472</f>
        <v>3300</v>
      </c>
      <c r="C481" s="1" t="str">
        <f>[1]Data!C472</f>
        <v>3001</v>
      </c>
      <c r="D481" s="1" t="str">
        <f>[1]Data!D472</f>
        <v>L</v>
      </c>
      <c r="E481" s="1" t="str">
        <f>[1]Data!E472</f>
        <v/>
      </c>
      <c r="F481" s="1" t="str">
        <f>[1]Data!F472</f>
        <v>2026</v>
      </c>
      <c r="G481" s="1" t="str">
        <f>[1]Data!G472</f>
        <v>2</v>
      </c>
      <c r="H481" s="15">
        <f>[1]Data!H472</f>
        <v>28080</v>
      </c>
      <c r="I481" s="15">
        <f>[1]Data!I472</f>
        <v>0</v>
      </c>
      <c r="J481" s="1" t="str">
        <f>[1]Data!J472</f>
        <v>X</v>
      </c>
      <c r="K481" s="1" t="str">
        <f>[1]Data!K472</f>
        <v>X</v>
      </c>
      <c r="L481" s="1" t="str">
        <f>[1]Data!L472</f>
        <v>14:04:01*</v>
      </c>
      <c r="M481" s="1">
        <f>[1]Data!M472</f>
        <v>46001</v>
      </c>
      <c r="N481" s="1">
        <f>[1]Data!N472</f>
        <v>44430</v>
      </c>
      <c r="O481" s="1" t="str">
        <f>[1]Data!O472</f>
        <v>X</v>
      </c>
      <c r="P481" s="1" t="str">
        <f>[1]Data!P472</f>
        <v>2025</v>
      </c>
      <c r="Q481" s="15">
        <f>[1]Data!Q472</f>
        <v>28080</v>
      </c>
      <c r="R481" s="1" t="str">
        <f>[1]Data!R472</f>
        <v/>
      </c>
    </row>
    <row r="482" spans="1:18" x14ac:dyDescent="0.35">
      <c r="A482" s="1" t="str">
        <f>[1]Data!A473</f>
        <v>4005584</v>
      </c>
      <c r="B482" s="1" t="str">
        <f>[1]Data!B473</f>
        <v>3300</v>
      </c>
      <c r="C482" s="1" t="str">
        <f>[1]Data!C473</f>
        <v>3001</v>
      </c>
      <c r="D482" s="1" t="str">
        <f>[1]Data!D473</f>
        <v>L</v>
      </c>
      <c r="E482" s="1" t="str">
        <f>[1]Data!E473</f>
        <v/>
      </c>
      <c r="F482" s="1" t="str">
        <f>[1]Data!F473</f>
        <v>2026</v>
      </c>
      <c r="G482" s="1" t="str">
        <f>[1]Data!G473</f>
        <v>3</v>
      </c>
      <c r="H482" s="15">
        <f>[1]Data!H473</f>
        <v>14760</v>
      </c>
      <c r="I482" s="15">
        <f>[1]Data!I473</f>
        <v>0</v>
      </c>
      <c r="J482" s="1" t="str">
        <f>[1]Data!J473</f>
        <v>X</v>
      </c>
      <c r="K482" s="1" t="str">
        <f>[1]Data!K473</f>
        <v>X</v>
      </c>
      <c r="L482" s="1" t="str">
        <f>[1]Data!L473</f>
        <v>14:05:02*</v>
      </c>
      <c r="M482" s="1">
        <f>[1]Data!M473</f>
        <v>46001</v>
      </c>
      <c r="N482" s="1">
        <f>[1]Data!N473</f>
        <v>44430</v>
      </c>
      <c r="O482" s="1" t="str">
        <f>[1]Data!O473</f>
        <v>X</v>
      </c>
      <c r="P482" s="1" t="str">
        <f>[1]Data!P473</f>
        <v>2025</v>
      </c>
      <c r="Q482" s="15">
        <f>[1]Data!Q473</f>
        <v>14760</v>
      </c>
      <c r="R482" s="1" t="str">
        <f>[1]Data!R473</f>
        <v/>
      </c>
    </row>
    <row r="483" spans="1:18" x14ac:dyDescent="0.35">
      <c r="A483" s="1" t="str">
        <f>[1]Data!A474</f>
        <v>4005783</v>
      </c>
      <c r="B483" s="1" t="str">
        <f>[1]Data!B474</f>
        <v>3300</v>
      </c>
      <c r="C483" s="1" t="str">
        <f>[1]Data!C474</f>
        <v>3001</v>
      </c>
      <c r="D483" s="1" t="str">
        <f>[1]Data!D474</f>
        <v>DL</v>
      </c>
      <c r="E483" s="1" t="str">
        <f>[1]Data!E474</f>
        <v/>
      </c>
      <c r="F483" s="1" t="str">
        <f>[1]Data!F474</f>
        <v>2025</v>
      </c>
      <c r="G483" s="1" t="str">
        <f>[1]Data!G474</f>
        <v>12</v>
      </c>
      <c r="H483" s="15">
        <f>[1]Data!H474</f>
        <v>98</v>
      </c>
      <c r="I483" s="15">
        <f>[1]Data!I474</f>
        <v>0</v>
      </c>
      <c r="J483" s="1" t="str">
        <f>[1]Data!J474</f>
        <v>X</v>
      </c>
      <c r="K483" s="1" t="str">
        <f>[1]Data!K474</f>
        <v>X</v>
      </c>
      <c r="L483" s="1" t="str">
        <f>[1]Data!L474</f>
        <v>05:10:01</v>
      </c>
      <c r="M483" s="1">
        <f>[1]Data!M474</f>
        <v>45804</v>
      </c>
      <c r="N483" s="1">
        <f>[1]Data!N474</f>
        <v>44594</v>
      </c>
      <c r="O483" s="1" t="str">
        <f>[1]Data!O474</f>
        <v>X</v>
      </c>
      <c r="P483" s="1" t="str">
        <f>[1]Data!P474</f>
        <v>2025</v>
      </c>
      <c r="Q483" s="15">
        <f>[1]Data!Q474</f>
        <v>98</v>
      </c>
      <c r="R483" s="1" t="str">
        <f>[1]Data!R474</f>
        <v/>
      </c>
    </row>
    <row r="484" spans="1:18" x14ac:dyDescent="0.35">
      <c r="A484" s="1" t="str">
        <f>[1]Data!A475</f>
        <v>4005791</v>
      </c>
      <c r="B484" s="1" t="str">
        <f>[1]Data!B475</f>
        <v>3300</v>
      </c>
      <c r="C484" s="1" t="str">
        <f>[1]Data!C475</f>
        <v>3001</v>
      </c>
      <c r="D484" s="1" t="str">
        <f>[1]Data!D475</f>
        <v>DL</v>
      </c>
      <c r="E484" s="1" t="str">
        <f>[1]Data!E475</f>
        <v/>
      </c>
      <c r="F484" s="1" t="str">
        <f>[1]Data!F475</f>
        <v>2026</v>
      </c>
      <c r="G484" s="1" t="str">
        <f>[1]Data!G475</f>
        <v>3</v>
      </c>
      <c r="H484" s="15">
        <f>[1]Data!H475</f>
        <v>11000</v>
      </c>
      <c r="I484" s="15">
        <f>[1]Data!I475</f>
        <v>0</v>
      </c>
      <c r="J484" s="1" t="str">
        <f>[1]Data!J475</f>
        <v>X</v>
      </c>
      <c r="K484" s="1" t="str">
        <f>[1]Data!K475</f>
        <v>X</v>
      </c>
      <c r="L484" s="1" t="str">
        <f>[1]Data!L475</f>
        <v>14:04:01</v>
      </c>
      <c r="M484" s="1">
        <f>[1]Data!M475</f>
        <v>46001</v>
      </c>
      <c r="N484" s="1">
        <f>[1]Data!N475</f>
        <v>44494</v>
      </c>
      <c r="O484" s="1" t="str">
        <f>[1]Data!O475</f>
        <v>X</v>
      </c>
      <c r="P484" s="1" t="str">
        <f>[1]Data!P475</f>
        <v>2025</v>
      </c>
      <c r="Q484" s="15">
        <f>[1]Data!Q475</f>
        <v>11000</v>
      </c>
      <c r="R484" s="1" t="str">
        <f>[1]Data!R475</f>
        <v/>
      </c>
    </row>
    <row r="485" spans="1:18" x14ac:dyDescent="0.35">
      <c r="A485" s="1" t="str">
        <f>[1]Data!A476</f>
        <v>4005792</v>
      </c>
      <c r="B485" s="1" t="str">
        <f>[1]Data!B476</f>
        <v>3300</v>
      </c>
      <c r="C485" s="1" t="str">
        <f>[1]Data!C476</f>
        <v>3001</v>
      </c>
      <c r="D485" s="1" t="str">
        <f>[1]Data!D476</f>
        <v>DL</v>
      </c>
      <c r="E485" s="1" t="str">
        <f>[1]Data!E476</f>
        <v/>
      </c>
      <c r="F485" s="1" t="str">
        <f>[1]Data!F476</f>
        <v>2026</v>
      </c>
      <c r="G485" s="1" t="str">
        <f>[1]Data!G476</f>
        <v>2</v>
      </c>
      <c r="H485" s="15">
        <f>[1]Data!H476</f>
        <v>100</v>
      </c>
      <c r="I485" s="15">
        <f>[1]Data!I476</f>
        <v>0</v>
      </c>
      <c r="J485" s="1" t="str">
        <f>[1]Data!J476</f>
        <v>X</v>
      </c>
      <c r="K485" s="1" t="str">
        <f>[1]Data!K476</f>
        <v>X</v>
      </c>
      <c r="L485" s="1" t="str">
        <f>[1]Data!L476</f>
        <v>02:07:03</v>
      </c>
      <c r="M485" s="1">
        <f>[1]Data!M476</f>
        <v>45796</v>
      </c>
      <c r="N485" s="1">
        <f>[1]Data!N476</f>
        <v>44497</v>
      </c>
      <c r="O485" s="1" t="str">
        <f>[1]Data!O476</f>
        <v>X</v>
      </c>
      <c r="P485" s="1" t="str">
        <f>[1]Data!P476</f>
        <v>2025</v>
      </c>
      <c r="Q485" s="15">
        <f>[1]Data!Q476</f>
        <v>100</v>
      </c>
      <c r="R485" s="1" t="str">
        <f>[1]Data!R476</f>
        <v/>
      </c>
    </row>
    <row r="486" spans="1:18" x14ac:dyDescent="0.35">
      <c r="A486" s="1" t="str">
        <f>[1]Data!A477</f>
        <v>4005868</v>
      </c>
      <c r="B486" s="1" t="str">
        <f>[1]Data!B477</f>
        <v>3300</v>
      </c>
      <c r="C486" s="1" t="str">
        <f>[1]Data!C477</f>
        <v>3001</v>
      </c>
      <c r="D486" s="1" t="str">
        <f>[1]Data!D477</f>
        <v>L</v>
      </c>
      <c r="E486" s="1" t="str">
        <f>[1]Data!E477</f>
        <v/>
      </c>
      <c r="F486" s="1" t="str">
        <f>[1]Data!F477</f>
        <v>2026</v>
      </c>
      <c r="G486" s="1" t="str">
        <f>[1]Data!G477</f>
        <v>2</v>
      </c>
      <c r="H486" s="15">
        <f>[1]Data!H477</f>
        <v>324</v>
      </c>
      <c r="I486" s="15">
        <f>[1]Data!I477</f>
        <v>0</v>
      </c>
      <c r="J486" s="1" t="str">
        <f>[1]Data!J477</f>
        <v>X</v>
      </c>
      <c r="K486" s="1" t="str">
        <f>[1]Data!K477</f>
        <v>X</v>
      </c>
      <c r="L486" s="1" t="str">
        <f>[1]Data!L477</f>
        <v>01:02:01</v>
      </c>
      <c r="M486" s="1">
        <f>[1]Data!M477</f>
        <v>45793</v>
      </c>
      <c r="N486" s="1">
        <f>[1]Data!N477</f>
        <v>44430</v>
      </c>
      <c r="O486" s="1" t="str">
        <f>[1]Data!O477</f>
        <v>X</v>
      </c>
      <c r="P486" s="1" t="str">
        <f>[1]Data!P477</f>
        <v>2025</v>
      </c>
      <c r="Q486" s="15">
        <f>[1]Data!Q477</f>
        <v>324</v>
      </c>
      <c r="R486" s="1" t="str">
        <f>[1]Data!R477</f>
        <v/>
      </c>
    </row>
    <row r="487" spans="1:18" x14ac:dyDescent="0.35">
      <c r="A487" s="1" t="str">
        <f>[1]Data!A478</f>
        <v>4005876</v>
      </c>
      <c r="B487" s="1" t="str">
        <f>[1]Data!B478</f>
        <v>3300</v>
      </c>
      <c r="C487" s="1" t="str">
        <f>[1]Data!C478</f>
        <v>3001</v>
      </c>
      <c r="D487" s="1" t="str">
        <f>[1]Data!D478</f>
        <v>DL</v>
      </c>
      <c r="E487" s="1" t="str">
        <f>[1]Data!E478</f>
        <v/>
      </c>
      <c r="F487" s="1" t="str">
        <f>[1]Data!F478</f>
        <v>2026</v>
      </c>
      <c r="G487" s="1" t="str">
        <f>[1]Data!G478</f>
        <v>2</v>
      </c>
      <c r="H487" s="15">
        <f>[1]Data!H478</f>
        <v>936</v>
      </c>
      <c r="I487" s="15">
        <f>[1]Data!I478</f>
        <v>0</v>
      </c>
      <c r="J487" s="1" t="str">
        <f>[1]Data!J478</f>
        <v>X</v>
      </c>
      <c r="K487" s="1" t="str">
        <f>[1]Data!K478</f>
        <v/>
      </c>
      <c r="L487" s="1" t="str">
        <f>[1]Data!L478</f>
        <v>01:01:00</v>
      </c>
      <c r="M487" s="1">
        <f>[1]Data!M478</f>
        <v>45792</v>
      </c>
      <c r="N487" s="1">
        <f>[1]Data!N478</f>
        <v>45345</v>
      </c>
      <c r="O487" s="1" t="str">
        <f>[1]Data!O478</f>
        <v>X</v>
      </c>
      <c r="P487" s="1" t="str">
        <f>[1]Data!P478</f>
        <v>2025</v>
      </c>
      <c r="Q487" s="15">
        <f>[1]Data!Q478</f>
        <v>936</v>
      </c>
      <c r="R487" s="1" t="str">
        <f>[1]Data!R478</f>
        <v/>
      </c>
    </row>
    <row r="488" spans="1:18" x14ac:dyDescent="0.35">
      <c r="A488" s="1" t="str">
        <f>[1]Data!A479</f>
        <v>4005880</v>
      </c>
      <c r="B488" s="1" t="str">
        <f>[1]Data!B479</f>
        <v>3300</v>
      </c>
      <c r="C488" s="1" t="str">
        <f>[1]Data!C479</f>
        <v>3001</v>
      </c>
      <c r="D488" s="1" t="str">
        <f>[1]Data!D479</f>
        <v>L</v>
      </c>
      <c r="E488" s="1" t="str">
        <f>[1]Data!E479</f>
        <v/>
      </c>
      <c r="F488" s="1" t="str">
        <f>[1]Data!F479</f>
        <v>2026</v>
      </c>
      <c r="G488" s="1" t="str">
        <f>[1]Data!G479</f>
        <v>2</v>
      </c>
      <c r="H488" s="15">
        <f>[1]Data!H479</f>
        <v>432</v>
      </c>
      <c r="I488" s="15">
        <f>[1]Data!I479</f>
        <v>0</v>
      </c>
      <c r="J488" s="1" t="str">
        <f>[1]Data!J479</f>
        <v>X</v>
      </c>
      <c r="K488" s="1" t="str">
        <f>[1]Data!K479</f>
        <v>X</v>
      </c>
      <c r="L488" s="1" t="str">
        <f>[1]Data!L479</f>
        <v>01:04:03</v>
      </c>
      <c r="M488" s="1">
        <f>[1]Data!M479</f>
        <v>45793</v>
      </c>
      <c r="N488" s="1">
        <f>[1]Data!N479</f>
        <v>44430</v>
      </c>
      <c r="O488" s="1" t="str">
        <f>[1]Data!O479</f>
        <v>X</v>
      </c>
      <c r="P488" s="1" t="str">
        <f>[1]Data!P479</f>
        <v>2025</v>
      </c>
      <c r="Q488" s="15">
        <f>[1]Data!Q479</f>
        <v>432</v>
      </c>
      <c r="R488" s="1" t="str">
        <f>[1]Data!R479</f>
        <v/>
      </c>
    </row>
    <row r="489" spans="1:18" x14ac:dyDescent="0.35">
      <c r="A489" s="1" t="str">
        <f>[1]Data!A480</f>
        <v>4005881</v>
      </c>
      <c r="B489" s="1" t="str">
        <f>[1]Data!B480</f>
        <v>3300</v>
      </c>
      <c r="C489" s="1" t="str">
        <f>[1]Data!C480</f>
        <v>3001</v>
      </c>
      <c r="D489" s="1" t="str">
        <f>[1]Data!D480</f>
        <v>L</v>
      </c>
      <c r="E489" s="1" t="str">
        <f>[1]Data!E480</f>
        <v/>
      </c>
      <c r="F489" s="1" t="str">
        <f>[1]Data!F480</f>
        <v>2026</v>
      </c>
      <c r="G489" s="1" t="str">
        <f>[1]Data!G480</f>
        <v>3</v>
      </c>
      <c r="H489" s="15">
        <f>[1]Data!H480</f>
        <v>324</v>
      </c>
      <c r="I489" s="15">
        <f>[1]Data!I480</f>
        <v>0</v>
      </c>
      <c r="J489" s="1" t="str">
        <f>[1]Data!J480</f>
        <v>X</v>
      </c>
      <c r="K489" s="1" t="str">
        <f>[1]Data!K480</f>
        <v>X</v>
      </c>
      <c r="L489" s="1" t="str">
        <f>[1]Data!L480</f>
        <v>01:03:01</v>
      </c>
      <c r="M489" s="1">
        <f>[1]Data!M480</f>
        <v>45793</v>
      </c>
      <c r="N489" s="1">
        <f>[1]Data!N480</f>
        <v>44430</v>
      </c>
      <c r="O489" s="1" t="str">
        <f>[1]Data!O480</f>
        <v>X</v>
      </c>
      <c r="P489" s="1" t="str">
        <f>[1]Data!P480</f>
        <v>2025</v>
      </c>
      <c r="Q489" s="15">
        <f>[1]Data!Q480</f>
        <v>324</v>
      </c>
      <c r="R489" s="1" t="str">
        <f>[1]Data!R480</f>
        <v/>
      </c>
    </row>
    <row r="490" spans="1:18" x14ac:dyDescent="0.35">
      <c r="A490" s="1" t="str">
        <f>[1]Data!A481</f>
        <v>4005883</v>
      </c>
      <c r="B490" s="1" t="str">
        <f>[1]Data!B481</f>
        <v>3300</v>
      </c>
      <c r="C490" s="1" t="str">
        <f>[1]Data!C481</f>
        <v>3001</v>
      </c>
      <c r="D490" s="1" t="str">
        <f>[1]Data!D481</f>
        <v>L</v>
      </c>
      <c r="E490" s="1" t="str">
        <f>[1]Data!E481</f>
        <v/>
      </c>
      <c r="F490" s="1" t="str">
        <f>[1]Data!F481</f>
        <v>2026</v>
      </c>
      <c r="G490" s="1" t="str">
        <f>[1]Data!G481</f>
        <v>2</v>
      </c>
      <c r="H490" s="15">
        <f>[1]Data!H481</f>
        <v>408</v>
      </c>
      <c r="I490" s="15">
        <f>[1]Data!I481</f>
        <v>0</v>
      </c>
      <c r="J490" s="1" t="str">
        <f>[1]Data!J481</f>
        <v>X</v>
      </c>
      <c r="K490" s="1" t="str">
        <f>[1]Data!K481</f>
        <v>X</v>
      </c>
      <c r="L490" s="1" t="str">
        <f>[1]Data!L481</f>
        <v>01:03:03</v>
      </c>
      <c r="M490" s="1">
        <f>[1]Data!M481</f>
        <v>45793</v>
      </c>
      <c r="N490" s="1">
        <f>[1]Data!N481</f>
        <v>44430</v>
      </c>
      <c r="O490" s="1" t="str">
        <f>[1]Data!O481</f>
        <v>X</v>
      </c>
      <c r="P490" s="1" t="str">
        <f>[1]Data!P481</f>
        <v>2025</v>
      </c>
      <c r="Q490" s="15">
        <f>[1]Data!Q481</f>
        <v>408</v>
      </c>
      <c r="R490" s="1" t="str">
        <f>[1]Data!R481</f>
        <v/>
      </c>
    </row>
    <row r="491" spans="1:18" x14ac:dyDescent="0.35">
      <c r="A491" s="1" t="str">
        <f>[1]Data!A482</f>
        <v>4005885</v>
      </c>
      <c r="B491" s="1" t="str">
        <f>[1]Data!B482</f>
        <v>3300</v>
      </c>
      <c r="C491" s="1" t="str">
        <f>[1]Data!C482</f>
        <v>3001</v>
      </c>
      <c r="D491" s="1" t="str">
        <f>[1]Data!D482</f>
        <v>L</v>
      </c>
      <c r="E491" s="1" t="str">
        <f>[1]Data!E482</f>
        <v/>
      </c>
      <c r="F491" s="1" t="str">
        <f>[1]Data!F482</f>
        <v>2026</v>
      </c>
      <c r="G491" s="1" t="str">
        <f>[1]Data!G482</f>
        <v>2</v>
      </c>
      <c r="H491" s="15">
        <f>[1]Data!H482</f>
        <v>432</v>
      </c>
      <c r="I491" s="15">
        <f>[1]Data!I482</f>
        <v>0</v>
      </c>
      <c r="J491" s="1" t="str">
        <f>[1]Data!J482</f>
        <v>X</v>
      </c>
      <c r="K491" s="1" t="str">
        <f>[1]Data!K482</f>
        <v>X</v>
      </c>
      <c r="L491" s="1" t="str">
        <f>[1]Data!L482</f>
        <v>01:01:02</v>
      </c>
      <c r="M491" s="1">
        <f>[1]Data!M482</f>
        <v>45792</v>
      </c>
      <c r="N491" s="1">
        <f>[1]Data!N482</f>
        <v>44430</v>
      </c>
      <c r="O491" s="1" t="str">
        <f>[1]Data!O482</f>
        <v>X</v>
      </c>
      <c r="P491" s="1" t="str">
        <f>[1]Data!P482</f>
        <v>2025</v>
      </c>
      <c r="Q491" s="15">
        <f>[1]Data!Q482</f>
        <v>432</v>
      </c>
      <c r="R491" s="1" t="str">
        <f>[1]Data!R482</f>
        <v/>
      </c>
    </row>
    <row r="492" spans="1:18" x14ac:dyDescent="0.35">
      <c r="A492" s="1" t="str">
        <f>[1]Data!A483</f>
        <v>4005925</v>
      </c>
      <c r="B492" s="1" t="str">
        <f>[1]Data!B483</f>
        <v>3300</v>
      </c>
      <c r="C492" s="1" t="str">
        <f>[1]Data!C483</f>
        <v>3001</v>
      </c>
      <c r="D492" s="1" t="str">
        <f>[1]Data!D483</f>
        <v>DL</v>
      </c>
      <c r="E492" s="1" t="str">
        <f>[1]Data!E483</f>
        <v/>
      </c>
      <c r="F492" s="1" t="str">
        <f>[1]Data!F483</f>
        <v>2026</v>
      </c>
      <c r="G492" s="1" t="str">
        <f>[1]Data!G483</f>
        <v>2</v>
      </c>
      <c r="H492" s="15">
        <f>[1]Data!H483</f>
        <v>336</v>
      </c>
      <c r="I492" s="15">
        <f>[1]Data!I483</f>
        <v>0</v>
      </c>
      <c r="J492" s="1" t="str">
        <f>[1]Data!J483</f>
        <v>X</v>
      </c>
      <c r="K492" s="1" t="str">
        <f>[1]Data!K483</f>
        <v/>
      </c>
      <c r="L492" s="1" t="str">
        <f>[1]Data!L483</f>
        <v>07:11:01</v>
      </c>
      <c r="M492" s="1">
        <f>[1]Data!M483</f>
        <v>46030</v>
      </c>
      <c r="N492" s="1">
        <f>[1]Data!N483</f>
        <v>45436</v>
      </c>
      <c r="O492" s="1" t="str">
        <f>[1]Data!O483</f>
        <v>X</v>
      </c>
      <c r="P492" s="1" t="str">
        <f>[1]Data!P483</f>
        <v>2026</v>
      </c>
      <c r="Q492" s="15">
        <f>[1]Data!Q483</f>
        <v>336</v>
      </c>
      <c r="R492" s="1" t="str">
        <f>[1]Data!R483</f>
        <v/>
      </c>
    </row>
    <row r="493" spans="1:18" x14ac:dyDescent="0.35">
      <c r="A493" s="1" t="str">
        <f>[1]Data!A484</f>
        <v>4005949</v>
      </c>
      <c r="B493" s="1" t="str">
        <f>[1]Data!B484</f>
        <v>3300</v>
      </c>
      <c r="C493" s="1" t="str">
        <f>[1]Data!C484</f>
        <v>3001</v>
      </c>
      <c r="D493" s="1" t="str">
        <f>[1]Data!D484</f>
        <v>DL</v>
      </c>
      <c r="E493" s="1" t="str">
        <f>[1]Data!E484</f>
        <v/>
      </c>
      <c r="F493" s="1" t="str">
        <f>[1]Data!F484</f>
        <v>2026</v>
      </c>
      <c r="G493" s="1" t="str">
        <f>[1]Data!G484</f>
        <v>2</v>
      </c>
      <c r="H493" s="15">
        <f>[1]Data!H484</f>
        <v>150</v>
      </c>
      <c r="I493" s="15">
        <f>[1]Data!I484</f>
        <v>0</v>
      </c>
      <c r="J493" s="1" t="str">
        <f>[1]Data!J484</f>
        <v>X</v>
      </c>
      <c r="K493" s="1" t="str">
        <f>[1]Data!K484</f>
        <v>X</v>
      </c>
      <c r="L493" s="1" t="str">
        <f>[1]Data!L484</f>
        <v>09:08:00</v>
      </c>
      <c r="M493" s="1">
        <f>[1]Data!M484</f>
        <v>45980</v>
      </c>
      <c r="N493" s="1">
        <f>[1]Data!N484</f>
        <v>44735</v>
      </c>
      <c r="O493" s="1" t="str">
        <f>[1]Data!O484</f>
        <v>X</v>
      </c>
      <c r="P493" s="1" t="str">
        <f>[1]Data!P484</f>
        <v>2025</v>
      </c>
      <c r="Q493" s="15">
        <f>[1]Data!Q484</f>
        <v>150</v>
      </c>
      <c r="R493" s="1" t="str">
        <f>[1]Data!R484</f>
        <v/>
      </c>
    </row>
    <row r="494" spans="1:18" x14ac:dyDescent="0.35">
      <c r="A494" s="1" t="str">
        <f>[1]Data!A485</f>
        <v>4005955</v>
      </c>
      <c r="B494" s="1" t="str">
        <f>[1]Data!B485</f>
        <v>3300</v>
      </c>
      <c r="C494" s="1" t="str">
        <f>[1]Data!C485</f>
        <v>3001</v>
      </c>
      <c r="D494" s="1" t="str">
        <f>[1]Data!D485</f>
        <v>L</v>
      </c>
      <c r="E494" s="1" t="str">
        <f>[1]Data!E485</f>
        <v/>
      </c>
      <c r="F494" s="1" t="str">
        <f>[1]Data!F485</f>
        <v>2026</v>
      </c>
      <c r="G494" s="1" t="str">
        <f>[1]Data!G485</f>
        <v>2</v>
      </c>
      <c r="H494" s="15">
        <f>[1]Data!H485</f>
        <v>750</v>
      </c>
      <c r="I494" s="15">
        <f>[1]Data!I485</f>
        <v>0</v>
      </c>
      <c r="J494" s="1" t="str">
        <f>[1]Data!J485</f>
        <v>X</v>
      </c>
      <c r="K494" s="1" t="str">
        <f>[1]Data!K485</f>
        <v>X</v>
      </c>
      <c r="L494" s="1" t="str">
        <f>[1]Data!L485</f>
        <v>05:01:01</v>
      </c>
      <c r="M494" s="1">
        <f>[1]Data!M485</f>
        <v>45800</v>
      </c>
      <c r="N494" s="1">
        <f>[1]Data!N485</f>
        <v>44430</v>
      </c>
      <c r="O494" s="1" t="str">
        <f>[1]Data!O485</f>
        <v>X</v>
      </c>
      <c r="P494" s="1" t="str">
        <f>[1]Data!P485</f>
        <v>2025</v>
      </c>
      <c r="Q494" s="15">
        <f>[1]Data!Q485</f>
        <v>750</v>
      </c>
      <c r="R494" s="1" t="str">
        <f>[1]Data!R485</f>
        <v/>
      </c>
    </row>
    <row r="495" spans="1:18" x14ac:dyDescent="0.35">
      <c r="A495" s="1" t="str">
        <f>[1]Data!A486</f>
        <v>4005962</v>
      </c>
      <c r="B495" s="1" t="str">
        <f>[1]Data!B486</f>
        <v>3300</v>
      </c>
      <c r="C495" s="1" t="str">
        <f>[1]Data!C486</f>
        <v>3001</v>
      </c>
      <c r="D495" s="1" t="str">
        <f>[1]Data!D486</f>
        <v>L</v>
      </c>
      <c r="E495" s="1" t="str">
        <f>[1]Data!E486</f>
        <v>X</v>
      </c>
      <c r="F495" s="1" t="str">
        <f>[1]Data!F486</f>
        <v>2022</v>
      </c>
      <c r="G495" s="1" t="str">
        <f>[1]Data!G486</f>
        <v>11</v>
      </c>
      <c r="H495" s="15">
        <f>[1]Data!H486</f>
        <v>0</v>
      </c>
      <c r="I495" s="15">
        <f>[1]Data!I486</f>
        <v>0</v>
      </c>
      <c r="J495" s="1" t="str">
        <f>[1]Data!J486</f>
        <v/>
      </c>
      <c r="K495" s="1" t="str">
        <f>[1]Data!K486</f>
        <v/>
      </c>
      <c r="L495" s="1" t="str">
        <f>[1]Data!L486</f>
        <v>SLETTET</v>
      </c>
      <c r="M495" s="1">
        <f>[1]Data!M486</f>
        <v>44568</v>
      </c>
      <c r="N495" s="1">
        <f>[1]Data!N486</f>
        <v>44430</v>
      </c>
      <c r="O495" s="1" t="str">
        <f>[1]Data!O486</f>
        <v>X</v>
      </c>
      <c r="P495" s="1" t="str">
        <f>[1]Data!P486</f>
        <v>2025</v>
      </c>
      <c r="Q495" s="15">
        <f>[1]Data!Q486</f>
        <v>0</v>
      </c>
      <c r="R495" s="1" t="str">
        <f>[1]Data!R486</f>
        <v>INAKTIV</v>
      </c>
    </row>
    <row r="496" spans="1:18" x14ac:dyDescent="0.35">
      <c r="A496" s="1" t="str">
        <f>[1]Data!A487</f>
        <v>4005997</v>
      </c>
      <c r="B496" s="1" t="str">
        <f>[1]Data!B487</f>
        <v>3300</v>
      </c>
      <c r="C496" s="1" t="str">
        <f>[1]Data!C487</f>
        <v>3001</v>
      </c>
      <c r="D496" s="1" t="str">
        <f>[1]Data!D487</f>
        <v>L</v>
      </c>
      <c r="E496" s="1" t="str">
        <f>[1]Data!E487</f>
        <v>X</v>
      </c>
      <c r="F496" s="1" t="str">
        <f>[1]Data!F487</f>
        <v>2021</v>
      </c>
      <c r="G496" s="1" t="str">
        <f>[1]Data!G487</f>
        <v>8</v>
      </c>
      <c r="H496" s="15">
        <f>[1]Data!H487</f>
        <v>0</v>
      </c>
      <c r="I496" s="15">
        <f>[1]Data!I487</f>
        <v>0</v>
      </c>
      <c r="J496" s="1" t="str">
        <f>[1]Data!J487</f>
        <v/>
      </c>
      <c r="K496" s="1" t="str">
        <f>[1]Data!K487</f>
        <v/>
      </c>
      <c r="L496" s="1" t="str">
        <f>[1]Data!L487</f>
        <v>SLETTET</v>
      </c>
      <c r="M496" s="1" t="str">
        <f>[1]Data!M487</f>
        <v/>
      </c>
      <c r="N496" s="1">
        <f>[1]Data!N487</f>
        <v>44430</v>
      </c>
      <c r="O496" s="1" t="str">
        <f>[1]Data!O487</f>
        <v>X</v>
      </c>
      <c r="P496" s="1" t="str">
        <f>[1]Data!P487</f>
        <v>2022</v>
      </c>
      <c r="Q496" s="15">
        <f>[1]Data!Q487</f>
        <v>0</v>
      </c>
      <c r="R496" s="1" t="str">
        <f>[1]Data!R487</f>
        <v>INAKTIV</v>
      </c>
    </row>
    <row r="497" spans="1:18" x14ac:dyDescent="0.35">
      <c r="A497" s="1" t="str">
        <f>[1]Data!A488</f>
        <v>4006009</v>
      </c>
      <c r="B497" s="1" t="str">
        <f>[1]Data!B488</f>
        <v>3300</v>
      </c>
      <c r="C497" s="1" t="str">
        <f>[1]Data!C488</f>
        <v>3001</v>
      </c>
      <c r="D497" s="1" t="str">
        <f>[1]Data!D488</f>
        <v>DL</v>
      </c>
      <c r="E497" s="1" t="str">
        <f>[1]Data!E488</f>
        <v/>
      </c>
      <c r="F497" s="1" t="str">
        <f>[1]Data!F488</f>
        <v>2026</v>
      </c>
      <c r="G497" s="1" t="str">
        <f>[1]Data!G488</f>
        <v>2</v>
      </c>
      <c r="H497" s="15">
        <f>[1]Data!H488</f>
        <v>216</v>
      </c>
      <c r="I497" s="15">
        <f>[1]Data!I488</f>
        <v>0</v>
      </c>
      <c r="J497" s="1" t="str">
        <f>[1]Data!J488</f>
        <v>X</v>
      </c>
      <c r="K497" s="1" t="str">
        <f>[1]Data!K488</f>
        <v/>
      </c>
      <c r="L497" s="1" t="str">
        <f>[1]Data!L488</f>
        <v>01:03:00</v>
      </c>
      <c r="M497" s="1">
        <f>[1]Data!M488</f>
        <v>46029</v>
      </c>
      <c r="N497" s="1">
        <f>[1]Data!N488</f>
        <v>45345</v>
      </c>
      <c r="O497" s="1" t="str">
        <f>[1]Data!O488</f>
        <v>X</v>
      </c>
      <c r="P497" s="1" t="str">
        <f>[1]Data!P488</f>
        <v>2026</v>
      </c>
      <c r="Q497" s="15">
        <f>[1]Data!Q488</f>
        <v>216</v>
      </c>
      <c r="R497" s="1" t="str">
        <f>[1]Data!R488</f>
        <v/>
      </c>
    </row>
    <row r="498" spans="1:18" x14ac:dyDescent="0.35">
      <c r="A498" s="1" t="str">
        <f>[1]Data!A489</f>
        <v>4006012</v>
      </c>
      <c r="B498" s="1" t="str">
        <f>[1]Data!B489</f>
        <v>3300</v>
      </c>
      <c r="C498" s="1" t="str">
        <f>[1]Data!C489</f>
        <v>3001</v>
      </c>
      <c r="D498" s="1" t="str">
        <f>[1]Data!D489</f>
        <v>L</v>
      </c>
      <c r="E498" s="1" t="str">
        <f>[1]Data!E489</f>
        <v/>
      </c>
      <c r="F498" s="1" t="str">
        <f>[1]Data!F489</f>
        <v>2026</v>
      </c>
      <c r="G498" s="1" t="str">
        <f>[1]Data!G489</f>
        <v>2</v>
      </c>
      <c r="H498" s="15">
        <f>[1]Data!H489</f>
        <v>684</v>
      </c>
      <c r="I498" s="15">
        <f>[1]Data!I489</f>
        <v>0</v>
      </c>
      <c r="J498" s="1" t="str">
        <f>[1]Data!J489</f>
        <v>X</v>
      </c>
      <c r="K498" s="1" t="str">
        <f>[1]Data!K489</f>
        <v>X</v>
      </c>
      <c r="L498" s="1" t="str">
        <f>[1]Data!L489</f>
        <v>03:08:01</v>
      </c>
      <c r="M498" s="1">
        <f>[1]Data!M489</f>
        <v>45798</v>
      </c>
      <c r="N498" s="1">
        <f>[1]Data!N489</f>
        <v>44430</v>
      </c>
      <c r="O498" s="1" t="str">
        <f>[1]Data!O489</f>
        <v>X</v>
      </c>
      <c r="P498" s="1" t="str">
        <f>[1]Data!P489</f>
        <v>2025</v>
      </c>
      <c r="Q498" s="15">
        <f>[1]Data!Q489</f>
        <v>684</v>
      </c>
      <c r="R498" s="1" t="str">
        <f>[1]Data!R489</f>
        <v/>
      </c>
    </row>
    <row r="499" spans="1:18" x14ac:dyDescent="0.35">
      <c r="A499" s="1" t="str">
        <f>[1]Data!A490</f>
        <v>4006014</v>
      </c>
      <c r="B499" s="1" t="str">
        <f>[1]Data!B490</f>
        <v>3300</v>
      </c>
      <c r="C499" s="1" t="str">
        <f>[1]Data!C490</f>
        <v>3001</v>
      </c>
      <c r="D499" s="1" t="str">
        <f>[1]Data!D490</f>
        <v>L</v>
      </c>
      <c r="E499" s="1" t="str">
        <f>[1]Data!E490</f>
        <v/>
      </c>
      <c r="F499" s="1" t="str">
        <f>[1]Data!F490</f>
        <v>2026</v>
      </c>
      <c r="G499" s="1" t="str">
        <f>[1]Data!G490</f>
        <v>2</v>
      </c>
      <c r="H499" s="15">
        <f>[1]Data!H490</f>
        <v>504</v>
      </c>
      <c r="I499" s="15">
        <f>[1]Data!I490</f>
        <v>0</v>
      </c>
      <c r="J499" s="1" t="str">
        <f>[1]Data!J490</f>
        <v>X</v>
      </c>
      <c r="K499" s="1" t="str">
        <f>[1]Data!K490</f>
        <v>X</v>
      </c>
      <c r="L499" s="1" t="str">
        <f>[1]Data!L490</f>
        <v>01:02:02</v>
      </c>
      <c r="M499" s="1">
        <f>[1]Data!M490</f>
        <v>45793</v>
      </c>
      <c r="N499" s="1">
        <f>[1]Data!N490</f>
        <v>44430</v>
      </c>
      <c r="O499" s="1" t="str">
        <f>[1]Data!O490</f>
        <v>X</v>
      </c>
      <c r="P499" s="1" t="str">
        <f>[1]Data!P490</f>
        <v>2025</v>
      </c>
      <c r="Q499" s="15">
        <f>[1]Data!Q490</f>
        <v>504</v>
      </c>
      <c r="R499" s="1" t="str">
        <f>[1]Data!R490</f>
        <v/>
      </c>
    </row>
    <row r="500" spans="1:18" x14ac:dyDescent="0.35">
      <c r="A500" s="1" t="str">
        <f>[1]Data!A491</f>
        <v>4006023</v>
      </c>
      <c r="B500" s="1" t="str">
        <f>[1]Data!B491</f>
        <v>3300</v>
      </c>
      <c r="C500" s="1" t="str">
        <f>[1]Data!C491</f>
        <v>3001</v>
      </c>
      <c r="D500" s="1" t="str">
        <f>[1]Data!D491</f>
        <v>L</v>
      </c>
      <c r="E500" s="1" t="str">
        <f>[1]Data!E491</f>
        <v/>
      </c>
      <c r="F500" s="1" t="str">
        <f>[1]Data!F491</f>
        <v>2026</v>
      </c>
      <c r="G500" s="1" t="str">
        <f>[1]Data!G491</f>
        <v>2</v>
      </c>
      <c r="H500" s="15">
        <f>[1]Data!H491</f>
        <v>288</v>
      </c>
      <c r="I500" s="15">
        <f>[1]Data!I491</f>
        <v>0</v>
      </c>
      <c r="J500" s="1" t="str">
        <f>[1]Data!J491</f>
        <v>X</v>
      </c>
      <c r="K500" s="1" t="str">
        <f>[1]Data!K491</f>
        <v>X</v>
      </c>
      <c r="L500" s="1" t="str">
        <f>[1]Data!L491</f>
        <v>01:04:02</v>
      </c>
      <c r="M500" s="1">
        <f>[1]Data!M491</f>
        <v>45793</v>
      </c>
      <c r="N500" s="1">
        <f>[1]Data!N491</f>
        <v>44430</v>
      </c>
      <c r="O500" s="1" t="str">
        <f>[1]Data!O491</f>
        <v>X</v>
      </c>
      <c r="P500" s="1" t="str">
        <f>[1]Data!P491</f>
        <v>2025</v>
      </c>
      <c r="Q500" s="15">
        <f>[1]Data!Q491</f>
        <v>288</v>
      </c>
      <c r="R500" s="1" t="str">
        <f>[1]Data!R491</f>
        <v/>
      </c>
    </row>
    <row r="501" spans="1:18" x14ac:dyDescent="0.35">
      <c r="A501" s="1" t="str">
        <f>[1]Data!A492</f>
        <v>4006025</v>
      </c>
      <c r="B501" s="1" t="str">
        <f>[1]Data!B492</f>
        <v>3300</v>
      </c>
      <c r="C501" s="1" t="str">
        <f>[1]Data!C492</f>
        <v>3001</v>
      </c>
      <c r="D501" s="1" t="str">
        <f>[1]Data!D492</f>
        <v>DL</v>
      </c>
      <c r="E501" s="1" t="str">
        <f>[1]Data!E492</f>
        <v/>
      </c>
      <c r="F501" s="1" t="str">
        <f>[1]Data!F492</f>
        <v>2024</v>
      </c>
      <c r="G501" s="1" t="str">
        <f>[1]Data!G492</f>
        <v>4</v>
      </c>
      <c r="H501" s="15">
        <f>[1]Data!H492</f>
        <v>0</v>
      </c>
      <c r="I501" s="15">
        <f>[1]Data!I492</f>
        <v>0</v>
      </c>
      <c r="J501" s="1" t="str">
        <f>[1]Data!J492</f>
        <v/>
      </c>
      <c r="K501" s="1" t="str">
        <f>[1]Data!K492</f>
        <v/>
      </c>
      <c r="L501" s="1" t="str">
        <f>[1]Data!L492</f>
        <v/>
      </c>
      <c r="M501" s="1" t="str">
        <f>[1]Data!M492</f>
        <v/>
      </c>
      <c r="N501" s="1">
        <f>[1]Data!N492</f>
        <v>45393</v>
      </c>
      <c r="O501" s="1" t="str">
        <f>[1]Data!O492</f>
        <v>X</v>
      </c>
      <c r="P501" s="1" t="str">
        <f>[1]Data!P492</f>
        <v>2024</v>
      </c>
      <c r="Q501" s="15">
        <f>[1]Data!Q492</f>
        <v>0</v>
      </c>
      <c r="R501" s="1" t="str">
        <f>[1]Data!R492</f>
        <v>INAKTIV</v>
      </c>
    </row>
    <row r="502" spans="1:18" x14ac:dyDescent="0.35">
      <c r="A502" s="1" t="str">
        <f>[1]Data!A493</f>
        <v>4006027</v>
      </c>
      <c r="B502" s="1" t="str">
        <f>[1]Data!B493</f>
        <v>3300</v>
      </c>
      <c r="C502" s="1" t="str">
        <f>[1]Data!C493</f>
        <v>3001</v>
      </c>
      <c r="D502" s="1" t="str">
        <f>[1]Data!D493</f>
        <v>L</v>
      </c>
      <c r="E502" s="1" t="str">
        <f>[1]Data!E493</f>
        <v/>
      </c>
      <c r="F502" s="1" t="str">
        <f>[1]Data!F493</f>
        <v>2026</v>
      </c>
      <c r="G502" s="1" t="str">
        <f>[1]Data!G493</f>
        <v>2</v>
      </c>
      <c r="H502" s="15">
        <f>[1]Data!H493</f>
        <v>1404</v>
      </c>
      <c r="I502" s="15">
        <f>[1]Data!I493</f>
        <v>0</v>
      </c>
      <c r="J502" s="1" t="str">
        <f>[1]Data!J493</f>
        <v>X</v>
      </c>
      <c r="K502" s="1" t="str">
        <f>[1]Data!K493</f>
        <v>X</v>
      </c>
      <c r="L502" s="1" t="str">
        <f>[1]Data!L493</f>
        <v>01:01:02</v>
      </c>
      <c r="M502" s="1">
        <f>[1]Data!M493</f>
        <v>45792</v>
      </c>
      <c r="N502" s="1">
        <f>[1]Data!N493</f>
        <v>44430</v>
      </c>
      <c r="O502" s="1" t="str">
        <f>[1]Data!O493</f>
        <v>X</v>
      </c>
      <c r="P502" s="1" t="str">
        <f>[1]Data!P493</f>
        <v>2025</v>
      </c>
      <c r="Q502" s="15">
        <f>[1]Data!Q493</f>
        <v>1404</v>
      </c>
      <c r="R502" s="1" t="str">
        <f>[1]Data!R493</f>
        <v/>
      </c>
    </row>
    <row r="503" spans="1:18" x14ac:dyDescent="0.35">
      <c r="A503" s="1" t="str">
        <f>[1]Data!A494</f>
        <v>4006037</v>
      </c>
      <c r="B503" s="1" t="str">
        <f>[1]Data!B494</f>
        <v>3300</v>
      </c>
      <c r="C503" s="1" t="str">
        <f>[1]Data!C494</f>
        <v>3001</v>
      </c>
      <c r="D503" s="1" t="str">
        <f>[1]Data!D494</f>
        <v>L</v>
      </c>
      <c r="E503" s="1" t="str">
        <f>[1]Data!E494</f>
        <v/>
      </c>
      <c r="F503" s="1" t="str">
        <f>[1]Data!F494</f>
        <v>2026</v>
      </c>
      <c r="G503" s="1" t="str">
        <f>[1]Data!G494</f>
        <v>2</v>
      </c>
      <c r="H503" s="15">
        <f>[1]Data!H494</f>
        <v>216</v>
      </c>
      <c r="I503" s="15">
        <f>[1]Data!I494</f>
        <v>0</v>
      </c>
      <c r="J503" s="1" t="str">
        <f>[1]Data!J494</f>
        <v>X</v>
      </c>
      <c r="K503" s="1" t="str">
        <f>[1]Data!K494</f>
        <v>X</v>
      </c>
      <c r="L503" s="1" t="str">
        <f>[1]Data!L494</f>
        <v>01:02:02</v>
      </c>
      <c r="M503" s="1">
        <f>[1]Data!M494</f>
        <v>45793</v>
      </c>
      <c r="N503" s="1">
        <f>[1]Data!N494</f>
        <v>44430</v>
      </c>
      <c r="O503" s="1" t="str">
        <f>[1]Data!O494</f>
        <v>X</v>
      </c>
      <c r="P503" s="1" t="str">
        <f>[1]Data!P494</f>
        <v>2025</v>
      </c>
      <c r="Q503" s="15">
        <f>[1]Data!Q494</f>
        <v>216</v>
      </c>
      <c r="R503" s="1" t="str">
        <f>[1]Data!R494</f>
        <v/>
      </c>
    </row>
    <row r="504" spans="1:18" x14ac:dyDescent="0.35">
      <c r="A504" s="1" t="str">
        <f>[1]Data!A495</f>
        <v>4006043</v>
      </c>
      <c r="B504" s="1" t="str">
        <f>[1]Data!B495</f>
        <v>3300</v>
      </c>
      <c r="C504" s="1" t="str">
        <f>[1]Data!C495</f>
        <v>3001</v>
      </c>
      <c r="D504" s="1" t="str">
        <f>[1]Data!D495</f>
        <v>L</v>
      </c>
      <c r="E504" s="1" t="str">
        <f>[1]Data!E495</f>
        <v/>
      </c>
      <c r="F504" s="1" t="str">
        <f>[1]Data!F495</f>
        <v>2026</v>
      </c>
      <c r="G504" s="1" t="str">
        <f>[1]Data!G495</f>
        <v>3</v>
      </c>
      <c r="H504" s="15">
        <f>[1]Data!H495</f>
        <v>2900</v>
      </c>
      <c r="I504" s="15">
        <f>[1]Data!I495</f>
        <v>0</v>
      </c>
      <c r="J504" s="1" t="str">
        <f>[1]Data!J495</f>
        <v>X</v>
      </c>
      <c r="K504" s="1" t="str">
        <f>[1]Data!K495</f>
        <v>X</v>
      </c>
      <c r="L504" s="1" t="str">
        <f>[1]Data!L495</f>
        <v>10:01:00</v>
      </c>
      <c r="M504" s="1">
        <f>[1]Data!M495</f>
        <v>45987</v>
      </c>
      <c r="N504" s="1">
        <f>[1]Data!N495</f>
        <v>44430</v>
      </c>
      <c r="O504" s="1" t="str">
        <f>[1]Data!O495</f>
        <v>X</v>
      </c>
      <c r="P504" s="1" t="str">
        <f>[1]Data!P495</f>
        <v>2025</v>
      </c>
      <c r="Q504" s="15">
        <f>[1]Data!Q495</f>
        <v>2900</v>
      </c>
      <c r="R504" s="1" t="str">
        <f>[1]Data!R495</f>
        <v/>
      </c>
    </row>
    <row r="505" spans="1:18" x14ac:dyDescent="0.35">
      <c r="A505" s="1" t="str">
        <f>[1]Data!A496</f>
        <v>4006059</v>
      </c>
      <c r="B505" s="1" t="str">
        <f>[1]Data!B496</f>
        <v>3300</v>
      </c>
      <c r="C505" s="1" t="str">
        <f>[1]Data!C496</f>
        <v>3001</v>
      </c>
      <c r="D505" s="1" t="str">
        <f>[1]Data!D496</f>
        <v>DL</v>
      </c>
      <c r="E505" s="1" t="str">
        <f>[1]Data!E496</f>
        <v/>
      </c>
      <c r="F505" s="1" t="str">
        <f>[1]Data!F496</f>
        <v>2024</v>
      </c>
      <c r="G505" s="1" t="str">
        <f>[1]Data!G496</f>
        <v>2</v>
      </c>
      <c r="H505" s="15">
        <f>[1]Data!H496</f>
        <v>0</v>
      </c>
      <c r="I505" s="15">
        <f>[1]Data!I496</f>
        <v>0</v>
      </c>
      <c r="J505" s="1" t="str">
        <f>[1]Data!J496</f>
        <v/>
      </c>
      <c r="K505" s="1" t="str">
        <f>[1]Data!K496</f>
        <v/>
      </c>
      <c r="L505" s="1" t="str">
        <f>[1]Data!L496</f>
        <v/>
      </c>
      <c r="M505" s="1" t="str">
        <f>[1]Data!M496</f>
        <v/>
      </c>
      <c r="N505" s="1">
        <f>[1]Data!N496</f>
        <v>45345</v>
      </c>
      <c r="O505" s="1" t="str">
        <f>[1]Data!O496</f>
        <v>X</v>
      </c>
      <c r="P505" s="1" t="str">
        <f>[1]Data!P496</f>
        <v>2024</v>
      </c>
      <c r="Q505" s="15">
        <f>[1]Data!Q496</f>
        <v>0</v>
      </c>
      <c r="R505" s="1" t="str">
        <f>[1]Data!R496</f>
        <v>INAKTIV</v>
      </c>
    </row>
    <row r="506" spans="1:18" x14ac:dyDescent="0.35">
      <c r="A506" s="1" t="str">
        <f>[1]Data!A497</f>
        <v>4006062</v>
      </c>
      <c r="B506" s="1" t="str">
        <f>[1]Data!B497</f>
        <v>3300</v>
      </c>
      <c r="C506" s="1" t="str">
        <f>[1]Data!C497</f>
        <v>3001</v>
      </c>
      <c r="D506" s="1" t="str">
        <f>[1]Data!D497</f>
        <v>L</v>
      </c>
      <c r="E506" s="1" t="str">
        <f>[1]Data!E497</f>
        <v/>
      </c>
      <c r="F506" s="1" t="str">
        <f>[1]Data!F497</f>
        <v>2026</v>
      </c>
      <c r="G506" s="1" t="str">
        <f>[1]Data!G497</f>
        <v>1</v>
      </c>
      <c r="H506" s="15">
        <f>[1]Data!H497</f>
        <v>144</v>
      </c>
      <c r="I506" s="15">
        <f>[1]Data!I497</f>
        <v>0</v>
      </c>
      <c r="J506" s="1" t="str">
        <f>[1]Data!J497</f>
        <v>X</v>
      </c>
      <c r="K506" s="1" t="str">
        <f>[1]Data!K497</f>
        <v>X</v>
      </c>
      <c r="L506" s="1" t="str">
        <f>[1]Data!L497</f>
        <v>01:03:02</v>
      </c>
      <c r="M506" s="1">
        <f>[1]Data!M497</f>
        <v>45793</v>
      </c>
      <c r="N506" s="1">
        <f>[1]Data!N497</f>
        <v>44430</v>
      </c>
      <c r="O506" s="1" t="str">
        <f>[1]Data!O497</f>
        <v>X</v>
      </c>
      <c r="P506" s="1" t="str">
        <f>[1]Data!P497</f>
        <v>2025</v>
      </c>
      <c r="Q506" s="15">
        <f>[1]Data!Q497</f>
        <v>144</v>
      </c>
      <c r="R506" s="1" t="str">
        <f>[1]Data!R497</f>
        <v/>
      </c>
    </row>
    <row r="507" spans="1:18" x14ac:dyDescent="0.35">
      <c r="A507" s="1" t="str">
        <f>[1]Data!A498</f>
        <v>4006066</v>
      </c>
      <c r="B507" s="1" t="str">
        <f>[1]Data!B498</f>
        <v>3300</v>
      </c>
      <c r="C507" s="1" t="str">
        <f>[1]Data!C498</f>
        <v>3001</v>
      </c>
      <c r="D507" s="1" t="str">
        <f>[1]Data!D498</f>
        <v>L</v>
      </c>
      <c r="E507" s="1" t="str">
        <f>[1]Data!E498</f>
        <v/>
      </c>
      <c r="F507" s="1" t="str">
        <f>[1]Data!F498</f>
        <v>2026</v>
      </c>
      <c r="G507" s="1" t="str">
        <f>[1]Data!G498</f>
        <v>3</v>
      </c>
      <c r="H507" s="15">
        <f>[1]Data!H498</f>
        <v>288</v>
      </c>
      <c r="I507" s="15">
        <f>[1]Data!I498</f>
        <v>0</v>
      </c>
      <c r="J507" s="1" t="str">
        <f>[1]Data!J498</f>
        <v>X</v>
      </c>
      <c r="K507" s="1" t="str">
        <f>[1]Data!K498</f>
        <v>X</v>
      </c>
      <c r="L507" s="1" t="str">
        <f>[1]Data!L498</f>
        <v>01:01:03</v>
      </c>
      <c r="M507" s="1">
        <f>[1]Data!M498</f>
        <v>45792</v>
      </c>
      <c r="N507" s="1">
        <f>[1]Data!N498</f>
        <v>44430</v>
      </c>
      <c r="O507" s="1" t="str">
        <f>[1]Data!O498</f>
        <v>X</v>
      </c>
      <c r="P507" s="1" t="str">
        <f>[1]Data!P498</f>
        <v>2025</v>
      </c>
      <c r="Q507" s="15">
        <f>[1]Data!Q498</f>
        <v>288</v>
      </c>
      <c r="R507" s="1" t="str">
        <f>[1]Data!R498</f>
        <v/>
      </c>
    </row>
    <row r="508" spans="1:18" x14ac:dyDescent="0.35">
      <c r="A508" s="1" t="str">
        <f>[1]Data!A499</f>
        <v>4006072</v>
      </c>
      <c r="B508" s="1" t="str">
        <f>[1]Data!B499</f>
        <v>3300</v>
      </c>
      <c r="C508" s="1" t="str">
        <f>[1]Data!C499</f>
        <v>3001</v>
      </c>
      <c r="D508" s="1" t="str">
        <f>[1]Data!D499</f>
        <v>DL</v>
      </c>
      <c r="E508" s="1" t="str">
        <f>[1]Data!E499</f>
        <v/>
      </c>
      <c r="F508" s="1" t="str">
        <f>[1]Data!F499</f>
        <v>2026</v>
      </c>
      <c r="G508" s="1" t="str">
        <f>[1]Data!G499</f>
        <v>2</v>
      </c>
      <c r="H508" s="15">
        <f>[1]Data!H499</f>
        <v>144</v>
      </c>
      <c r="I508" s="15">
        <f>[1]Data!I499</f>
        <v>0</v>
      </c>
      <c r="J508" s="1" t="str">
        <f>[1]Data!J499</f>
        <v>X</v>
      </c>
      <c r="K508" s="1" t="str">
        <f>[1]Data!K499</f>
        <v/>
      </c>
      <c r="L508" s="1" t="str">
        <f>[1]Data!L499</f>
        <v>01:05:00</v>
      </c>
      <c r="M508" s="1">
        <f>[1]Data!M499</f>
        <v>46029</v>
      </c>
      <c r="N508" s="1">
        <f>[1]Data!N499</f>
        <v>45345</v>
      </c>
      <c r="O508" s="1" t="str">
        <f>[1]Data!O499</f>
        <v>X</v>
      </c>
      <c r="P508" s="1" t="str">
        <f>[1]Data!P499</f>
        <v>2026</v>
      </c>
      <c r="Q508" s="15">
        <f>[1]Data!Q499</f>
        <v>144</v>
      </c>
      <c r="R508" s="1" t="str">
        <f>[1]Data!R499</f>
        <v/>
      </c>
    </row>
    <row r="509" spans="1:18" x14ac:dyDescent="0.35">
      <c r="A509" s="1" t="str">
        <f>[1]Data!A500</f>
        <v>4006088</v>
      </c>
      <c r="B509" s="1" t="str">
        <f>[1]Data!B500</f>
        <v>3300</v>
      </c>
      <c r="C509" s="1" t="str">
        <f>[1]Data!C500</f>
        <v>3001</v>
      </c>
      <c r="D509" s="1" t="str">
        <f>[1]Data!D500</f>
        <v>L</v>
      </c>
      <c r="E509" s="1" t="str">
        <f>[1]Data!E500</f>
        <v/>
      </c>
      <c r="F509" s="1" t="str">
        <f>[1]Data!F500</f>
        <v>2026</v>
      </c>
      <c r="G509" s="1" t="str">
        <f>[1]Data!G500</f>
        <v>2</v>
      </c>
      <c r="H509" s="15">
        <f>[1]Data!H500</f>
        <v>732</v>
      </c>
      <c r="I509" s="15">
        <f>[1]Data!I500</f>
        <v>0</v>
      </c>
      <c r="J509" s="1" t="str">
        <f>[1]Data!J500</f>
        <v>X</v>
      </c>
      <c r="K509" s="1" t="str">
        <f>[1]Data!K500</f>
        <v>X</v>
      </c>
      <c r="L509" s="1" t="str">
        <f>[1]Data!L500</f>
        <v>01:01:03</v>
      </c>
      <c r="M509" s="1">
        <f>[1]Data!M500</f>
        <v>45792</v>
      </c>
      <c r="N509" s="1">
        <f>[1]Data!N500</f>
        <v>44430</v>
      </c>
      <c r="O509" s="1" t="str">
        <f>[1]Data!O500</f>
        <v>X</v>
      </c>
      <c r="P509" s="1" t="str">
        <f>[1]Data!P500</f>
        <v>2025</v>
      </c>
      <c r="Q509" s="15">
        <f>[1]Data!Q500</f>
        <v>732</v>
      </c>
      <c r="R509" s="1" t="str">
        <f>[1]Data!R500</f>
        <v/>
      </c>
    </row>
    <row r="510" spans="1:18" x14ac:dyDescent="0.35">
      <c r="A510" s="1" t="str">
        <f>[1]Data!A501</f>
        <v>4006094</v>
      </c>
      <c r="B510" s="1" t="str">
        <f>[1]Data!B501</f>
        <v>3300</v>
      </c>
      <c r="C510" s="1" t="str">
        <f>[1]Data!C501</f>
        <v>3001</v>
      </c>
      <c r="D510" s="1" t="str">
        <f>[1]Data!D501</f>
        <v>L</v>
      </c>
      <c r="E510" s="1" t="str">
        <f>[1]Data!E501</f>
        <v/>
      </c>
      <c r="F510" s="1" t="str">
        <f>[1]Data!F501</f>
        <v>2026</v>
      </c>
      <c r="G510" s="1" t="str">
        <f>[1]Data!G501</f>
        <v>2</v>
      </c>
      <c r="H510" s="15">
        <f>[1]Data!H501</f>
        <v>396</v>
      </c>
      <c r="I510" s="15">
        <f>[1]Data!I501</f>
        <v>0</v>
      </c>
      <c r="J510" s="1" t="str">
        <f>[1]Data!J501</f>
        <v>X</v>
      </c>
      <c r="K510" s="1" t="str">
        <f>[1]Data!K501</f>
        <v>X</v>
      </c>
      <c r="L510" s="1" t="str">
        <f>[1]Data!L501</f>
        <v>01:05:02</v>
      </c>
      <c r="M510" s="1">
        <f>[1]Data!M501</f>
        <v>45793</v>
      </c>
      <c r="N510" s="1">
        <f>[1]Data!N501</f>
        <v>44430</v>
      </c>
      <c r="O510" s="1" t="str">
        <f>[1]Data!O501</f>
        <v>X</v>
      </c>
      <c r="P510" s="1" t="str">
        <f>[1]Data!P501</f>
        <v>2025</v>
      </c>
      <c r="Q510" s="15">
        <f>[1]Data!Q501</f>
        <v>396</v>
      </c>
      <c r="R510" s="1" t="str">
        <f>[1]Data!R501</f>
        <v/>
      </c>
    </row>
    <row r="511" spans="1:18" x14ac:dyDescent="0.35">
      <c r="A511" s="1" t="str">
        <f>[1]Data!A502</f>
        <v>4006098</v>
      </c>
      <c r="B511" s="1" t="str">
        <f>[1]Data!B502</f>
        <v>3300</v>
      </c>
      <c r="C511" s="1" t="str">
        <f>[1]Data!C502</f>
        <v>3001</v>
      </c>
      <c r="D511" s="1" t="str">
        <f>[1]Data!D502</f>
        <v>L</v>
      </c>
      <c r="E511" s="1" t="str">
        <f>[1]Data!E502</f>
        <v/>
      </c>
      <c r="F511" s="1" t="str">
        <f>[1]Data!F502</f>
        <v>2026</v>
      </c>
      <c r="G511" s="1" t="str">
        <f>[1]Data!G502</f>
        <v>2</v>
      </c>
      <c r="H511" s="15">
        <f>[1]Data!H502</f>
        <v>612</v>
      </c>
      <c r="I511" s="15">
        <f>[1]Data!I502</f>
        <v>0</v>
      </c>
      <c r="J511" s="1" t="str">
        <f>[1]Data!J502</f>
        <v>X</v>
      </c>
      <c r="K511" s="1" t="str">
        <f>[1]Data!K502</f>
        <v>X</v>
      </c>
      <c r="L511" s="1" t="str">
        <f>[1]Data!L502</f>
        <v>01:01:01</v>
      </c>
      <c r="M511" s="1">
        <f>[1]Data!M502</f>
        <v>45792</v>
      </c>
      <c r="N511" s="1">
        <f>[1]Data!N502</f>
        <v>44430</v>
      </c>
      <c r="O511" s="1" t="str">
        <f>[1]Data!O502</f>
        <v>X</v>
      </c>
      <c r="P511" s="1" t="str">
        <f>[1]Data!P502</f>
        <v>2025</v>
      </c>
      <c r="Q511" s="15">
        <f>[1]Data!Q502</f>
        <v>612</v>
      </c>
      <c r="R511" s="1" t="str">
        <f>[1]Data!R502</f>
        <v/>
      </c>
    </row>
    <row r="512" spans="1:18" x14ac:dyDescent="0.35">
      <c r="A512" s="1" t="str">
        <f>[1]Data!A503</f>
        <v>4006104</v>
      </c>
      <c r="B512" s="1" t="str">
        <f>[1]Data!B503</f>
        <v>3300</v>
      </c>
      <c r="C512" s="1" t="str">
        <f>[1]Data!C503</f>
        <v>3001</v>
      </c>
      <c r="D512" s="1" t="str">
        <f>[1]Data!D503</f>
        <v>DL</v>
      </c>
      <c r="E512" s="1" t="str">
        <f>[1]Data!E503</f>
        <v/>
      </c>
      <c r="F512" s="1" t="str">
        <f>[1]Data!F503</f>
        <v>2024</v>
      </c>
      <c r="G512" s="1" t="str">
        <f>[1]Data!G503</f>
        <v>4</v>
      </c>
      <c r="H512" s="15">
        <f>[1]Data!H503</f>
        <v>0</v>
      </c>
      <c r="I512" s="15">
        <f>[1]Data!I503</f>
        <v>0</v>
      </c>
      <c r="J512" s="1" t="str">
        <f>[1]Data!J503</f>
        <v/>
      </c>
      <c r="K512" s="1" t="str">
        <f>[1]Data!K503</f>
        <v/>
      </c>
      <c r="L512" s="1" t="str">
        <f>[1]Data!L503</f>
        <v/>
      </c>
      <c r="M512" s="1" t="str">
        <f>[1]Data!M503</f>
        <v/>
      </c>
      <c r="N512" s="1">
        <f>[1]Data!N503</f>
        <v>45393</v>
      </c>
      <c r="O512" s="1" t="str">
        <f>[1]Data!O503</f>
        <v>X</v>
      </c>
      <c r="P512" s="1" t="str">
        <f>[1]Data!P503</f>
        <v>2024</v>
      </c>
      <c r="Q512" s="15">
        <f>[1]Data!Q503</f>
        <v>0</v>
      </c>
      <c r="R512" s="1" t="str">
        <f>[1]Data!R503</f>
        <v>INAKTIV</v>
      </c>
    </row>
    <row r="513" spans="1:18" x14ac:dyDescent="0.35">
      <c r="A513" s="1" t="str">
        <f>[1]Data!A504</f>
        <v>4006114</v>
      </c>
      <c r="B513" s="1" t="str">
        <f>[1]Data!B504</f>
        <v>3300</v>
      </c>
      <c r="C513" s="1" t="str">
        <f>[1]Data!C504</f>
        <v>3001</v>
      </c>
      <c r="D513" s="1" t="str">
        <f>[1]Data!D504</f>
        <v>L</v>
      </c>
      <c r="E513" s="1" t="str">
        <f>[1]Data!E504</f>
        <v>X</v>
      </c>
      <c r="F513" s="1" t="str">
        <f>[1]Data!F504</f>
        <v>2022</v>
      </c>
      <c r="G513" s="1" t="str">
        <f>[1]Data!G504</f>
        <v>6</v>
      </c>
      <c r="H513" s="15">
        <f>[1]Data!H504</f>
        <v>0</v>
      </c>
      <c r="I513" s="15">
        <f>[1]Data!I504</f>
        <v>0</v>
      </c>
      <c r="J513" s="1" t="str">
        <f>[1]Data!J504</f>
        <v>X</v>
      </c>
      <c r="K513" s="1" t="str">
        <f>[1]Data!K504</f>
        <v/>
      </c>
      <c r="L513" s="1" t="str">
        <f>[1]Data!L504</f>
        <v>SLETTET</v>
      </c>
      <c r="M513" s="1">
        <f>[1]Data!M504</f>
        <v>44587</v>
      </c>
      <c r="N513" s="1">
        <f>[1]Data!N504</f>
        <v>44430</v>
      </c>
      <c r="O513" s="1" t="str">
        <f>[1]Data!O504</f>
        <v>X</v>
      </c>
      <c r="P513" s="1" t="str">
        <f>[1]Data!P504</f>
        <v>2022</v>
      </c>
      <c r="Q513" s="15">
        <f>[1]Data!Q504</f>
        <v>0</v>
      </c>
      <c r="R513" s="1" t="str">
        <f>[1]Data!R504</f>
        <v>INAKTIV</v>
      </c>
    </row>
    <row r="514" spans="1:18" x14ac:dyDescent="0.35">
      <c r="A514" s="1" t="str">
        <f>[1]Data!A505</f>
        <v>4006157</v>
      </c>
      <c r="B514" s="1" t="str">
        <f>[1]Data!B505</f>
        <v>3300</v>
      </c>
      <c r="C514" s="1" t="str">
        <f>[1]Data!C505</f>
        <v>3001</v>
      </c>
      <c r="D514" s="1" t="str">
        <f>[1]Data!D505</f>
        <v>DL</v>
      </c>
      <c r="E514" s="1" t="str">
        <f>[1]Data!E505</f>
        <v/>
      </c>
      <c r="F514" s="1" t="str">
        <f>[1]Data!F505</f>
        <v>2026</v>
      </c>
      <c r="G514" s="1" t="str">
        <f>[1]Data!G505</f>
        <v>2</v>
      </c>
      <c r="H514" s="15">
        <f>[1]Data!H505</f>
        <v>75</v>
      </c>
      <c r="I514" s="15">
        <f>[1]Data!I505</f>
        <v>0</v>
      </c>
      <c r="J514" s="1" t="str">
        <f>[1]Data!J505</f>
        <v>X</v>
      </c>
      <c r="K514" s="1" t="str">
        <f>[1]Data!K505</f>
        <v>X</v>
      </c>
      <c r="L514" s="1" t="str">
        <f>[1]Data!L505</f>
        <v>03:07.01</v>
      </c>
      <c r="M514" s="1">
        <f>[1]Data!M505</f>
        <v>45798</v>
      </c>
      <c r="N514" s="1">
        <f>[1]Data!N505</f>
        <v>44792</v>
      </c>
      <c r="O514" s="1" t="str">
        <f>[1]Data!O505</f>
        <v>X</v>
      </c>
      <c r="P514" s="1" t="str">
        <f>[1]Data!P505</f>
        <v>2025</v>
      </c>
      <c r="Q514" s="15">
        <f>[1]Data!Q505</f>
        <v>75</v>
      </c>
      <c r="R514" s="1" t="str">
        <f>[1]Data!R505</f>
        <v/>
      </c>
    </row>
    <row r="515" spans="1:18" x14ac:dyDescent="0.35">
      <c r="A515" s="1" t="str">
        <f>[1]Data!A506</f>
        <v>4006159</v>
      </c>
      <c r="B515" s="1" t="str">
        <f>[1]Data!B506</f>
        <v>3300</v>
      </c>
      <c r="C515" s="1" t="str">
        <f>[1]Data!C506</f>
        <v>3001</v>
      </c>
      <c r="D515" s="1" t="str">
        <f>[1]Data!D506</f>
        <v>L</v>
      </c>
      <c r="E515" s="1" t="str">
        <f>[1]Data!E506</f>
        <v/>
      </c>
      <c r="F515" s="1" t="str">
        <f>[1]Data!F506</f>
        <v>2026</v>
      </c>
      <c r="G515" s="1" t="str">
        <f>[1]Data!G506</f>
        <v>2</v>
      </c>
      <c r="H515" s="15">
        <f>[1]Data!H506</f>
        <v>2800</v>
      </c>
      <c r="I515" s="15">
        <f>[1]Data!I506</f>
        <v>0</v>
      </c>
      <c r="J515" s="1" t="str">
        <f>[1]Data!J506</f>
        <v>X</v>
      </c>
      <c r="K515" s="1" t="str">
        <f>[1]Data!K506</f>
        <v>X</v>
      </c>
      <c r="L515" s="1" t="str">
        <f>[1]Data!L506</f>
        <v>05:02:02</v>
      </c>
      <c r="M515" s="1">
        <f>[1]Data!M506</f>
        <v>45800</v>
      </c>
      <c r="N515" s="1">
        <f>[1]Data!N506</f>
        <v>44430</v>
      </c>
      <c r="O515" s="1" t="str">
        <f>[1]Data!O506</f>
        <v>X</v>
      </c>
      <c r="P515" s="1" t="str">
        <f>[1]Data!P506</f>
        <v>2025</v>
      </c>
      <c r="Q515" s="15">
        <f>[1]Data!Q506</f>
        <v>2800</v>
      </c>
      <c r="R515" s="1" t="str">
        <f>[1]Data!R506</f>
        <v/>
      </c>
    </row>
    <row r="516" spans="1:18" x14ac:dyDescent="0.35">
      <c r="A516" s="1" t="str">
        <f>[1]Data!A507</f>
        <v>4006161</v>
      </c>
      <c r="B516" s="1" t="str">
        <f>[1]Data!B507</f>
        <v>3300</v>
      </c>
      <c r="C516" s="1" t="str">
        <f>[1]Data!C507</f>
        <v>3001</v>
      </c>
      <c r="D516" s="1" t="str">
        <f>[1]Data!D507</f>
        <v>L</v>
      </c>
      <c r="E516" s="1" t="str">
        <f>[1]Data!E507</f>
        <v/>
      </c>
      <c r="F516" s="1" t="str">
        <f>[1]Data!F507</f>
        <v>2026</v>
      </c>
      <c r="G516" s="1" t="str">
        <f>[1]Data!G507</f>
        <v>3</v>
      </c>
      <c r="H516" s="15">
        <f>[1]Data!H507</f>
        <v>604</v>
      </c>
      <c r="I516" s="15">
        <f>[1]Data!I507</f>
        <v>0</v>
      </c>
      <c r="J516" s="1" t="str">
        <f>[1]Data!J507</f>
        <v>X</v>
      </c>
      <c r="K516" s="1" t="str">
        <f>[1]Data!K507</f>
        <v>X</v>
      </c>
      <c r="L516" s="1" t="str">
        <f>[1]Data!L507</f>
        <v>15:10:00*</v>
      </c>
      <c r="M516" s="1">
        <f>[1]Data!M507</f>
        <v>46006</v>
      </c>
      <c r="N516" s="1">
        <f>[1]Data!N507</f>
        <v>44430</v>
      </c>
      <c r="O516" s="1" t="str">
        <f>[1]Data!O507</f>
        <v>X</v>
      </c>
      <c r="P516" s="1" t="str">
        <f>[1]Data!P507</f>
        <v>2025</v>
      </c>
      <c r="Q516" s="15">
        <f>[1]Data!Q507</f>
        <v>604</v>
      </c>
      <c r="R516" s="1" t="str">
        <f>[1]Data!R507</f>
        <v/>
      </c>
    </row>
    <row r="517" spans="1:18" x14ac:dyDescent="0.35">
      <c r="A517" s="1" t="str">
        <f>[1]Data!A508</f>
        <v>4006163</v>
      </c>
      <c r="B517" s="1" t="str">
        <f>[1]Data!B508</f>
        <v>3300</v>
      </c>
      <c r="C517" s="1" t="str">
        <f>[1]Data!C508</f>
        <v>3001</v>
      </c>
      <c r="D517" s="1" t="str">
        <f>[1]Data!D508</f>
        <v>L</v>
      </c>
      <c r="E517" s="1" t="str">
        <f>[1]Data!E508</f>
        <v>X</v>
      </c>
      <c r="F517" s="1" t="str">
        <f>[1]Data!F508</f>
        <v>2022</v>
      </c>
      <c r="G517" s="1" t="str">
        <f>[1]Data!G508</f>
        <v>2</v>
      </c>
      <c r="H517" s="15">
        <f>[1]Data!H508</f>
        <v>0</v>
      </c>
      <c r="I517" s="15">
        <f>[1]Data!I508</f>
        <v>0</v>
      </c>
      <c r="J517" s="1" t="str">
        <f>[1]Data!J508</f>
        <v>X</v>
      </c>
      <c r="K517" s="1" t="str">
        <f>[1]Data!K508</f>
        <v/>
      </c>
      <c r="L517" s="1" t="str">
        <f>[1]Data!L508</f>
        <v>SLETTET</v>
      </c>
      <c r="M517" s="1">
        <f>[1]Data!M508</f>
        <v>44568</v>
      </c>
      <c r="N517" s="1">
        <f>[1]Data!N508</f>
        <v>44430</v>
      </c>
      <c r="O517" s="1" t="str">
        <f>[1]Data!O508</f>
        <v>X</v>
      </c>
      <c r="P517" s="1" t="str">
        <f>[1]Data!P508</f>
        <v>2022</v>
      </c>
      <c r="Q517" s="15">
        <f>[1]Data!Q508</f>
        <v>0</v>
      </c>
      <c r="R517" s="1" t="str">
        <f>[1]Data!R508</f>
        <v>INAKTIV</v>
      </c>
    </row>
    <row r="518" spans="1:18" x14ac:dyDescent="0.35">
      <c r="A518" s="1" t="str">
        <f>[1]Data!A509</f>
        <v>4006164</v>
      </c>
      <c r="B518" s="1" t="str">
        <f>[1]Data!B509</f>
        <v>3300</v>
      </c>
      <c r="C518" s="1" t="str">
        <f>[1]Data!C509</f>
        <v>3001</v>
      </c>
      <c r="D518" s="1" t="str">
        <f>[1]Data!D509</f>
        <v>L</v>
      </c>
      <c r="E518" s="1" t="str">
        <f>[1]Data!E509</f>
        <v>X</v>
      </c>
      <c r="F518" s="1" t="str">
        <f>[1]Data!F509</f>
        <v>2022</v>
      </c>
      <c r="G518" s="1" t="str">
        <f>[1]Data!G509</f>
        <v>2</v>
      </c>
      <c r="H518" s="15">
        <f>[1]Data!H509</f>
        <v>0</v>
      </c>
      <c r="I518" s="15">
        <f>[1]Data!I509</f>
        <v>0</v>
      </c>
      <c r="J518" s="1" t="str">
        <f>[1]Data!J509</f>
        <v>X</v>
      </c>
      <c r="K518" s="1" t="str">
        <f>[1]Data!K509</f>
        <v/>
      </c>
      <c r="L518" s="1" t="str">
        <f>[1]Data!L509</f>
        <v>SLETTET</v>
      </c>
      <c r="M518" s="1">
        <f>[1]Data!M509</f>
        <v>44568</v>
      </c>
      <c r="N518" s="1">
        <f>[1]Data!N509</f>
        <v>44430</v>
      </c>
      <c r="O518" s="1" t="str">
        <f>[1]Data!O509</f>
        <v>X</v>
      </c>
      <c r="P518" s="1" t="str">
        <f>[1]Data!P509</f>
        <v>2022</v>
      </c>
      <c r="Q518" s="15">
        <f>[1]Data!Q509</f>
        <v>0</v>
      </c>
      <c r="R518" s="1" t="str">
        <f>[1]Data!R509</f>
        <v>INAKTIV</v>
      </c>
    </row>
    <row r="519" spans="1:18" x14ac:dyDescent="0.35">
      <c r="A519" s="1" t="str">
        <f>[1]Data!A510</f>
        <v>4006167</v>
      </c>
      <c r="B519" s="1" t="str">
        <f>[1]Data!B510</f>
        <v>3300</v>
      </c>
      <c r="C519" s="1" t="str">
        <f>[1]Data!C510</f>
        <v>3001</v>
      </c>
      <c r="D519" s="1" t="str">
        <f>[1]Data!D510</f>
        <v>L</v>
      </c>
      <c r="E519" s="1" t="str">
        <f>[1]Data!E510</f>
        <v>X</v>
      </c>
      <c r="F519" s="1" t="str">
        <f>[1]Data!F510</f>
        <v>2022</v>
      </c>
      <c r="G519" s="1" t="str">
        <f>[1]Data!G510</f>
        <v>10</v>
      </c>
      <c r="H519" s="15">
        <f>[1]Data!H510</f>
        <v>0</v>
      </c>
      <c r="I519" s="15">
        <f>[1]Data!I510</f>
        <v>0</v>
      </c>
      <c r="J519" s="1" t="str">
        <f>[1]Data!J510</f>
        <v>X</v>
      </c>
      <c r="K519" s="1" t="str">
        <f>[1]Data!K510</f>
        <v/>
      </c>
      <c r="L519" s="1" t="str">
        <f>[1]Data!L510</f>
        <v>SLETTET</v>
      </c>
      <c r="M519" s="1">
        <f>[1]Data!M510</f>
        <v>44568</v>
      </c>
      <c r="N519" s="1">
        <f>[1]Data!N510</f>
        <v>44430</v>
      </c>
      <c r="O519" s="1" t="str">
        <f>[1]Data!O510</f>
        <v>X</v>
      </c>
      <c r="P519" s="1" t="str">
        <f>[1]Data!P510</f>
        <v>2022</v>
      </c>
      <c r="Q519" s="15">
        <f>[1]Data!Q510</f>
        <v>0</v>
      </c>
      <c r="R519" s="1" t="str">
        <f>[1]Data!R510</f>
        <v>INAKTIV</v>
      </c>
    </row>
    <row r="520" spans="1:18" x14ac:dyDescent="0.35">
      <c r="A520" s="1" t="str">
        <f>[1]Data!A511</f>
        <v>4006168</v>
      </c>
      <c r="B520" s="1" t="str">
        <f>[1]Data!B511</f>
        <v>3300</v>
      </c>
      <c r="C520" s="1" t="str">
        <f>[1]Data!C511</f>
        <v>3001</v>
      </c>
      <c r="D520" s="1" t="str">
        <f>[1]Data!D511</f>
        <v>L</v>
      </c>
      <c r="E520" s="1" t="str">
        <f>[1]Data!E511</f>
        <v/>
      </c>
      <c r="F520" s="1" t="str">
        <f>[1]Data!F511</f>
        <v>2026</v>
      </c>
      <c r="G520" s="1" t="str">
        <f>[1]Data!G511</f>
        <v>2</v>
      </c>
      <c r="H520" s="15">
        <f>[1]Data!H511</f>
        <v>145</v>
      </c>
      <c r="I520" s="15">
        <f>[1]Data!I511</f>
        <v>0</v>
      </c>
      <c r="J520" s="1" t="str">
        <f>[1]Data!J511</f>
        <v>X</v>
      </c>
      <c r="K520" s="1" t="str">
        <f>[1]Data!K511</f>
        <v>X</v>
      </c>
      <c r="L520" s="1" t="str">
        <f>[1]Data!L511</f>
        <v>02:11:01</v>
      </c>
      <c r="M520" s="1">
        <f>[1]Data!M511</f>
        <v>45797</v>
      </c>
      <c r="N520" s="1">
        <f>[1]Data!N511</f>
        <v>44430</v>
      </c>
      <c r="O520" s="1" t="str">
        <f>[1]Data!O511</f>
        <v>X</v>
      </c>
      <c r="P520" s="1" t="str">
        <f>[1]Data!P511</f>
        <v>2025</v>
      </c>
      <c r="Q520" s="15">
        <f>[1]Data!Q511</f>
        <v>145</v>
      </c>
      <c r="R520" s="1" t="str">
        <f>[1]Data!R511</f>
        <v/>
      </c>
    </row>
    <row r="521" spans="1:18" x14ac:dyDescent="0.35">
      <c r="A521" s="1" t="str">
        <f>[1]Data!A512</f>
        <v>4006169</v>
      </c>
      <c r="B521" s="1" t="str">
        <f>[1]Data!B512</f>
        <v>3300</v>
      </c>
      <c r="C521" s="1" t="str">
        <f>[1]Data!C512</f>
        <v>3001</v>
      </c>
      <c r="D521" s="1" t="str">
        <f>[1]Data!D512</f>
        <v>L</v>
      </c>
      <c r="E521" s="1" t="str">
        <f>[1]Data!E512</f>
        <v/>
      </c>
      <c r="F521" s="1" t="str">
        <f>[1]Data!F512</f>
        <v>2026</v>
      </c>
      <c r="G521" s="1" t="str">
        <f>[1]Data!G512</f>
        <v>2</v>
      </c>
      <c r="H521" s="15">
        <f>[1]Data!H512</f>
        <v>125</v>
      </c>
      <c r="I521" s="15">
        <f>[1]Data!I512</f>
        <v>0</v>
      </c>
      <c r="J521" s="1" t="str">
        <f>[1]Data!J512</f>
        <v>X</v>
      </c>
      <c r="K521" s="1" t="str">
        <f>[1]Data!K512</f>
        <v>X</v>
      </c>
      <c r="L521" s="1" t="str">
        <f>[1]Data!L512</f>
        <v>02:11:01</v>
      </c>
      <c r="M521" s="1">
        <f>[1]Data!M512</f>
        <v>45797</v>
      </c>
      <c r="N521" s="1">
        <f>[1]Data!N512</f>
        <v>44430</v>
      </c>
      <c r="O521" s="1" t="str">
        <f>[1]Data!O512</f>
        <v>X</v>
      </c>
      <c r="P521" s="1" t="str">
        <f>[1]Data!P512</f>
        <v>2025</v>
      </c>
      <c r="Q521" s="15">
        <f>[1]Data!Q512</f>
        <v>125</v>
      </c>
      <c r="R521" s="1" t="str">
        <f>[1]Data!R512</f>
        <v/>
      </c>
    </row>
    <row r="522" spans="1:18" x14ac:dyDescent="0.35">
      <c r="A522" s="1" t="str">
        <f>[1]Data!A513</f>
        <v>4006170</v>
      </c>
      <c r="B522" s="1" t="str">
        <f>[1]Data!B513</f>
        <v>3300</v>
      </c>
      <c r="C522" s="1" t="str">
        <f>[1]Data!C513</f>
        <v>3001</v>
      </c>
      <c r="D522" s="1" t="str">
        <f>[1]Data!D513</f>
        <v>DL</v>
      </c>
      <c r="E522" s="1" t="str">
        <f>[1]Data!E513</f>
        <v/>
      </c>
      <c r="F522" s="1" t="str">
        <f>[1]Data!F513</f>
        <v>2026</v>
      </c>
      <c r="G522" s="1" t="str">
        <f>[1]Data!G513</f>
        <v>1</v>
      </c>
      <c r="H522" s="15">
        <f>[1]Data!H513</f>
        <v>150</v>
      </c>
      <c r="I522" s="15">
        <f>[1]Data!I513</f>
        <v>0</v>
      </c>
      <c r="J522" s="1" t="str">
        <f>[1]Data!J513</f>
        <v>X</v>
      </c>
      <c r="K522" s="1" t="str">
        <f>[1]Data!K513</f>
        <v>X</v>
      </c>
      <c r="L522" s="1" t="str">
        <f>[1]Data!L513</f>
        <v>05:12:01</v>
      </c>
      <c r="M522" s="1">
        <f>[1]Data!M513</f>
        <v>45804</v>
      </c>
      <c r="N522" s="1">
        <f>[1]Data!N513</f>
        <v>44908</v>
      </c>
      <c r="O522" s="1" t="str">
        <f>[1]Data!O513</f>
        <v>X</v>
      </c>
      <c r="P522" s="1" t="str">
        <f>[1]Data!P513</f>
        <v>2025</v>
      </c>
      <c r="Q522" s="15">
        <f>[1]Data!Q513</f>
        <v>150</v>
      </c>
      <c r="R522" s="1" t="str">
        <f>[1]Data!R513</f>
        <v/>
      </c>
    </row>
    <row r="523" spans="1:18" x14ac:dyDescent="0.35">
      <c r="A523" s="1" t="str">
        <f>[1]Data!A514</f>
        <v>4006171</v>
      </c>
      <c r="B523" s="1" t="str">
        <f>[1]Data!B514</f>
        <v>3300</v>
      </c>
      <c r="C523" s="1" t="str">
        <f>[1]Data!C514</f>
        <v>3001</v>
      </c>
      <c r="D523" s="1" t="str">
        <f>[1]Data!D514</f>
        <v>DL</v>
      </c>
      <c r="E523" s="1" t="str">
        <f>[1]Data!E514</f>
        <v/>
      </c>
      <c r="F523" s="1" t="str">
        <f>[1]Data!F514</f>
        <v>2026</v>
      </c>
      <c r="G523" s="1" t="str">
        <f>[1]Data!G514</f>
        <v>2</v>
      </c>
      <c r="H523" s="15">
        <f>[1]Data!H514</f>
        <v>270</v>
      </c>
      <c r="I523" s="15">
        <f>[1]Data!I514</f>
        <v>0</v>
      </c>
      <c r="J523" s="1" t="str">
        <f>[1]Data!J514</f>
        <v>X</v>
      </c>
      <c r="K523" s="1" t="str">
        <f>[1]Data!K514</f>
        <v>X</v>
      </c>
      <c r="L523" s="1" t="str">
        <f>[1]Data!L514</f>
        <v>04:12:00</v>
      </c>
      <c r="M523" s="1">
        <f>[1]Data!M514</f>
        <v>45800</v>
      </c>
      <c r="N523" s="1">
        <f>[1]Data!N514</f>
        <v>44908</v>
      </c>
      <c r="O523" s="1" t="str">
        <f>[1]Data!O514</f>
        <v>X</v>
      </c>
      <c r="P523" s="1" t="str">
        <f>[1]Data!P514</f>
        <v>2025</v>
      </c>
      <c r="Q523" s="15">
        <f>[1]Data!Q514</f>
        <v>270</v>
      </c>
      <c r="R523" s="1" t="str">
        <f>[1]Data!R514</f>
        <v/>
      </c>
    </row>
    <row r="524" spans="1:18" x14ac:dyDescent="0.35">
      <c r="A524" s="1" t="str">
        <f>[1]Data!A515</f>
        <v>4006172</v>
      </c>
      <c r="B524" s="1" t="str">
        <f>[1]Data!B515</f>
        <v>3300</v>
      </c>
      <c r="C524" s="1" t="str">
        <f>[1]Data!C515</f>
        <v>3001</v>
      </c>
      <c r="D524" s="1" t="str">
        <f>[1]Data!D515</f>
        <v>L</v>
      </c>
      <c r="E524" s="1" t="str">
        <f>[1]Data!E515</f>
        <v>X</v>
      </c>
      <c r="F524" s="1" t="str">
        <f>[1]Data!F515</f>
        <v>2026</v>
      </c>
      <c r="G524" s="1" t="str">
        <f>[1]Data!G515</f>
        <v>2</v>
      </c>
      <c r="H524" s="15">
        <f>[1]Data!H515</f>
        <v>0</v>
      </c>
      <c r="I524" s="15">
        <f>[1]Data!I515</f>
        <v>0</v>
      </c>
      <c r="J524" s="1" t="str">
        <f>[1]Data!J515</f>
        <v>X</v>
      </c>
      <c r="K524" s="1" t="str">
        <f>[1]Data!K515</f>
        <v>X</v>
      </c>
      <c r="L524" s="1" t="str">
        <f>[1]Data!L515</f>
        <v>11:08:00</v>
      </c>
      <c r="M524" s="1">
        <f>[1]Data!M515</f>
        <v>45994</v>
      </c>
      <c r="N524" s="1">
        <f>[1]Data!N515</f>
        <v>44430</v>
      </c>
      <c r="O524" s="1" t="str">
        <f>[1]Data!O515</f>
        <v>X</v>
      </c>
      <c r="P524" s="1" t="str">
        <f>[1]Data!P515</f>
        <v>2025</v>
      </c>
      <c r="Q524" s="15">
        <f>[1]Data!Q515</f>
        <v>0</v>
      </c>
      <c r="R524" s="1" t="str">
        <f>[1]Data!R515</f>
        <v>INAKTIV</v>
      </c>
    </row>
    <row r="525" spans="1:18" x14ac:dyDescent="0.35">
      <c r="A525" s="1" t="str">
        <f>[1]Data!A516</f>
        <v>4006174</v>
      </c>
      <c r="B525" s="1" t="str">
        <f>[1]Data!B516</f>
        <v>3300</v>
      </c>
      <c r="C525" s="1" t="str">
        <f>[1]Data!C516</f>
        <v>3001</v>
      </c>
      <c r="D525" s="1" t="str">
        <f>[1]Data!D516</f>
        <v>L</v>
      </c>
      <c r="E525" s="1" t="str">
        <f>[1]Data!E516</f>
        <v/>
      </c>
      <c r="F525" s="1" t="str">
        <f>[1]Data!F516</f>
        <v>2026</v>
      </c>
      <c r="G525" s="1" t="str">
        <f>[1]Data!G516</f>
        <v>3</v>
      </c>
      <c r="H525" s="15">
        <f>[1]Data!H516</f>
        <v>1600</v>
      </c>
      <c r="I525" s="15">
        <f>[1]Data!I516</f>
        <v>0</v>
      </c>
      <c r="J525" s="1" t="str">
        <f>[1]Data!J516</f>
        <v>X</v>
      </c>
      <c r="K525" s="1" t="str">
        <f>[1]Data!K516</f>
        <v>X</v>
      </c>
      <c r="L525" s="1" t="str">
        <f>[1]Data!L516</f>
        <v>10:04:01</v>
      </c>
      <c r="M525" s="1">
        <f>[1]Data!M516</f>
        <v>45987</v>
      </c>
      <c r="N525" s="1">
        <f>[1]Data!N516</f>
        <v>44430</v>
      </c>
      <c r="O525" s="1" t="str">
        <f>[1]Data!O516</f>
        <v>X</v>
      </c>
      <c r="P525" s="1" t="str">
        <f>[1]Data!P516</f>
        <v>2025</v>
      </c>
      <c r="Q525" s="15">
        <f>[1]Data!Q516</f>
        <v>1600</v>
      </c>
      <c r="R525" s="1" t="str">
        <f>[1]Data!R516</f>
        <v/>
      </c>
    </row>
    <row r="526" spans="1:18" x14ac:dyDescent="0.35">
      <c r="A526" s="1" t="str">
        <f>[1]Data!A517</f>
        <v>4006175</v>
      </c>
      <c r="B526" s="1" t="str">
        <f>[1]Data!B517</f>
        <v>3300</v>
      </c>
      <c r="C526" s="1" t="str">
        <f>[1]Data!C517</f>
        <v>3001</v>
      </c>
      <c r="D526" s="1" t="str">
        <f>[1]Data!D517</f>
        <v>DL</v>
      </c>
      <c r="E526" s="1" t="str">
        <f>[1]Data!E517</f>
        <v/>
      </c>
      <c r="F526" s="1" t="str">
        <f>[1]Data!F517</f>
        <v>2024</v>
      </c>
      <c r="G526" s="1" t="str">
        <f>[1]Data!G517</f>
        <v>5</v>
      </c>
      <c r="H526" s="15">
        <f>[1]Data!H517</f>
        <v>0</v>
      </c>
      <c r="I526" s="15">
        <f>[1]Data!I517</f>
        <v>0</v>
      </c>
      <c r="J526" s="1" t="str">
        <f>[1]Data!J517</f>
        <v/>
      </c>
      <c r="K526" s="1" t="str">
        <f>[1]Data!K517</f>
        <v/>
      </c>
      <c r="L526" s="1" t="str">
        <f>[1]Data!L517</f>
        <v/>
      </c>
      <c r="M526" s="1" t="str">
        <f>[1]Data!M517</f>
        <v/>
      </c>
      <c r="N526" s="1">
        <f>[1]Data!N517</f>
        <v>45436</v>
      </c>
      <c r="O526" s="1" t="str">
        <f>[1]Data!O517</f>
        <v>X</v>
      </c>
      <c r="P526" s="1" t="str">
        <f>[1]Data!P517</f>
        <v>2024</v>
      </c>
      <c r="Q526" s="15">
        <f>[1]Data!Q517</f>
        <v>0</v>
      </c>
      <c r="R526" s="1" t="str">
        <f>[1]Data!R517</f>
        <v>INAKTIV</v>
      </c>
    </row>
    <row r="527" spans="1:18" x14ac:dyDescent="0.35">
      <c r="A527" s="1" t="str">
        <f>[1]Data!A518</f>
        <v>4006176</v>
      </c>
      <c r="B527" s="1" t="str">
        <f>[1]Data!B518</f>
        <v>3300</v>
      </c>
      <c r="C527" s="1" t="str">
        <f>[1]Data!C518</f>
        <v>3001</v>
      </c>
      <c r="D527" s="1" t="str">
        <f>[1]Data!D518</f>
        <v>L</v>
      </c>
      <c r="E527" s="1" t="str">
        <f>[1]Data!E518</f>
        <v/>
      </c>
      <c r="F527" s="1" t="str">
        <f>[1]Data!F518</f>
        <v>2026</v>
      </c>
      <c r="G527" s="1" t="str">
        <f>[1]Data!G518</f>
        <v>3</v>
      </c>
      <c r="H527" s="15">
        <f>[1]Data!H518</f>
        <v>7715</v>
      </c>
      <c r="I527" s="15">
        <f>[1]Data!I518</f>
        <v>0</v>
      </c>
      <c r="J527" s="1" t="str">
        <f>[1]Data!J518</f>
        <v>X</v>
      </c>
      <c r="K527" s="1" t="str">
        <f>[1]Data!K518</f>
        <v>X</v>
      </c>
      <c r="L527" s="1" t="str">
        <f>[1]Data!L518</f>
        <v>11:13:01</v>
      </c>
      <c r="M527" s="1">
        <f>[1]Data!M518</f>
        <v>45994</v>
      </c>
      <c r="N527" s="1">
        <f>[1]Data!N518</f>
        <v>44430</v>
      </c>
      <c r="O527" s="1" t="str">
        <f>[1]Data!O518</f>
        <v>X</v>
      </c>
      <c r="P527" s="1" t="str">
        <f>[1]Data!P518</f>
        <v>2025</v>
      </c>
      <c r="Q527" s="15">
        <f>[1]Data!Q518</f>
        <v>7715</v>
      </c>
      <c r="R527" s="1" t="str">
        <f>[1]Data!R518</f>
        <v/>
      </c>
    </row>
    <row r="528" spans="1:18" x14ac:dyDescent="0.35">
      <c r="A528" s="1" t="str">
        <f>[1]Data!A519</f>
        <v>4006177</v>
      </c>
      <c r="B528" s="1" t="str">
        <f>[1]Data!B519</f>
        <v>3300</v>
      </c>
      <c r="C528" s="1" t="str">
        <f>[1]Data!C519</f>
        <v>3001</v>
      </c>
      <c r="D528" s="1" t="str">
        <f>[1]Data!D519</f>
        <v>L</v>
      </c>
      <c r="E528" s="1" t="str">
        <f>[1]Data!E519</f>
        <v/>
      </c>
      <c r="F528" s="1" t="str">
        <f>[1]Data!F519</f>
        <v>2026</v>
      </c>
      <c r="G528" s="1" t="str">
        <f>[1]Data!G519</f>
        <v>3</v>
      </c>
      <c r="H528" s="15">
        <f>[1]Data!H519</f>
        <v>230</v>
      </c>
      <c r="I528" s="15">
        <f>[1]Data!I519</f>
        <v>0</v>
      </c>
      <c r="J528" s="1" t="str">
        <f>[1]Data!J519</f>
        <v>X</v>
      </c>
      <c r="K528" s="1" t="str">
        <f>[1]Data!K519</f>
        <v>X</v>
      </c>
      <c r="L528" s="1" t="str">
        <f>[1]Data!L519</f>
        <v>06:06:02</v>
      </c>
      <c r="M528" s="1">
        <f>[1]Data!M519</f>
        <v>45819</v>
      </c>
      <c r="N528" s="1">
        <f>[1]Data!N519</f>
        <v>44430</v>
      </c>
      <c r="O528" s="1" t="str">
        <f>[1]Data!O519</f>
        <v>X</v>
      </c>
      <c r="P528" s="1" t="str">
        <f>[1]Data!P519</f>
        <v>2025</v>
      </c>
      <c r="Q528" s="15">
        <f>[1]Data!Q519</f>
        <v>230</v>
      </c>
      <c r="R528" s="1" t="str">
        <f>[1]Data!R519</f>
        <v/>
      </c>
    </row>
    <row r="529" spans="1:18" x14ac:dyDescent="0.35">
      <c r="A529" s="1" t="str">
        <f>[1]Data!A520</f>
        <v>4006181</v>
      </c>
      <c r="B529" s="1" t="str">
        <f>[1]Data!B520</f>
        <v>3300</v>
      </c>
      <c r="C529" s="1" t="str">
        <f>[1]Data!C520</f>
        <v>3001</v>
      </c>
      <c r="D529" s="1" t="str">
        <f>[1]Data!D520</f>
        <v>L</v>
      </c>
      <c r="E529" s="1" t="str">
        <f>[1]Data!E520</f>
        <v>X</v>
      </c>
      <c r="F529" s="1" t="str">
        <f>[1]Data!F520</f>
        <v>2021</v>
      </c>
      <c r="G529" s="1" t="str">
        <f>[1]Data!G520</f>
        <v>8</v>
      </c>
      <c r="H529" s="15">
        <f>[1]Data!H520</f>
        <v>0</v>
      </c>
      <c r="I529" s="15">
        <f>[1]Data!I520</f>
        <v>0</v>
      </c>
      <c r="J529" s="1" t="str">
        <f>[1]Data!J520</f>
        <v/>
      </c>
      <c r="K529" s="1" t="str">
        <f>[1]Data!K520</f>
        <v/>
      </c>
      <c r="L529" s="1" t="str">
        <f>[1]Data!L520</f>
        <v>SLETTET</v>
      </c>
      <c r="M529" s="1" t="str">
        <f>[1]Data!M520</f>
        <v/>
      </c>
      <c r="N529" s="1">
        <f>[1]Data!N520</f>
        <v>44430</v>
      </c>
      <c r="O529" s="1" t="str">
        <f>[1]Data!O520</f>
        <v>X</v>
      </c>
      <c r="P529" s="1" t="str">
        <f>[1]Data!P520</f>
        <v>2023</v>
      </c>
      <c r="Q529" s="15">
        <f>[1]Data!Q520</f>
        <v>0</v>
      </c>
      <c r="R529" s="1" t="str">
        <f>[1]Data!R520</f>
        <v>INAKTIV</v>
      </c>
    </row>
    <row r="530" spans="1:18" x14ac:dyDescent="0.35">
      <c r="A530" s="1" t="str">
        <f>[1]Data!A521</f>
        <v>4006185</v>
      </c>
      <c r="B530" s="1" t="str">
        <f>[1]Data!B521</f>
        <v>3300</v>
      </c>
      <c r="C530" s="1" t="str">
        <f>[1]Data!C521</f>
        <v>3001</v>
      </c>
      <c r="D530" s="1" t="str">
        <f>[1]Data!D521</f>
        <v>L</v>
      </c>
      <c r="E530" s="1" t="str">
        <f>[1]Data!E521</f>
        <v/>
      </c>
      <c r="F530" s="1" t="str">
        <f>[1]Data!F521</f>
        <v>2026</v>
      </c>
      <c r="G530" s="1" t="str">
        <f>[1]Data!G521</f>
        <v>2</v>
      </c>
      <c r="H530" s="15">
        <f>[1]Data!H521</f>
        <v>160</v>
      </c>
      <c r="I530" s="15">
        <f>[1]Data!I521</f>
        <v>0</v>
      </c>
      <c r="J530" s="1" t="str">
        <f>[1]Data!J521</f>
        <v>X</v>
      </c>
      <c r="K530" s="1" t="str">
        <f>[1]Data!K521</f>
        <v>X</v>
      </c>
      <c r="L530" s="1" t="str">
        <f>[1]Data!L521</f>
        <v>02:10:03</v>
      </c>
      <c r="M530" s="1">
        <f>[1]Data!M521</f>
        <v>45797</v>
      </c>
      <c r="N530" s="1">
        <f>[1]Data!N521</f>
        <v>44430</v>
      </c>
      <c r="O530" s="1" t="str">
        <f>[1]Data!O521</f>
        <v>X</v>
      </c>
      <c r="P530" s="1" t="str">
        <f>[1]Data!P521</f>
        <v>2025</v>
      </c>
      <c r="Q530" s="15">
        <f>[1]Data!Q521</f>
        <v>160</v>
      </c>
      <c r="R530" s="1" t="str">
        <f>[1]Data!R521</f>
        <v/>
      </c>
    </row>
    <row r="531" spans="1:18" x14ac:dyDescent="0.35">
      <c r="A531" s="1" t="str">
        <f>[1]Data!A522</f>
        <v>4006187</v>
      </c>
      <c r="B531" s="1" t="str">
        <f>[1]Data!B522</f>
        <v>3300</v>
      </c>
      <c r="C531" s="1" t="str">
        <f>[1]Data!C522</f>
        <v>3001</v>
      </c>
      <c r="D531" s="1" t="str">
        <f>[1]Data!D522</f>
        <v>L</v>
      </c>
      <c r="E531" s="1" t="str">
        <f>[1]Data!E522</f>
        <v/>
      </c>
      <c r="F531" s="1" t="str">
        <f>[1]Data!F522</f>
        <v>2026</v>
      </c>
      <c r="G531" s="1" t="str">
        <f>[1]Data!G522</f>
        <v>2</v>
      </c>
      <c r="H531" s="15">
        <f>[1]Data!H522</f>
        <v>280</v>
      </c>
      <c r="I531" s="15">
        <f>[1]Data!I522</f>
        <v>0</v>
      </c>
      <c r="J531" s="1" t="str">
        <f>[1]Data!J522</f>
        <v>X</v>
      </c>
      <c r="K531" s="1" t="str">
        <f>[1]Data!K522</f>
        <v>X</v>
      </c>
      <c r="L531" s="1" t="str">
        <f>[1]Data!L522</f>
        <v>07:01:02</v>
      </c>
      <c r="M531" s="1">
        <f>[1]Data!M522</f>
        <v>45824</v>
      </c>
      <c r="N531" s="1">
        <f>[1]Data!N522</f>
        <v>44430</v>
      </c>
      <c r="O531" s="1" t="str">
        <f>[1]Data!O522</f>
        <v>X</v>
      </c>
      <c r="P531" s="1" t="str">
        <f>[1]Data!P522</f>
        <v>2025</v>
      </c>
      <c r="Q531" s="15">
        <f>[1]Data!Q522</f>
        <v>280</v>
      </c>
      <c r="R531" s="1" t="str">
        <f>[1]Data!R522</f>
        <v/>
      </c>
    </row>
    <row r="532" spans="1:18" x14ac:dyDescent="0.35">
      <c r="A532" s="1" t="str">
        <f>[1]Data!A523</f>
        <v>4006188</v>
      </c>
      <c r="B532" s="1" t="str">
        <f>[1]Data!B523</f>
        <v>3300</v>
      </c>
      <c r="C532" s="1" t="str">
        <f>[1]Data!C523</f>
        <v>3001</v>
      </c>
      <c r="D532" s="1" t="str">
        <f>[1]Data!D523</f>
        <v>L</v>
      </c>
      <c r="E532" s="1" t="str">
        <f>[1]Data!E523</f>
        <v/>
      </c>
      <c r="F532" s="1" t="str">
        <f>[1]Data!F523</f>
        <v>2026</v>
      </c>
      <c r="G532" s="1" t="str">
        <f>[1]Data!G523</f>
        <v>2</v>
      </c>
      <c r="H532" s="15">
        <f>[1]Data!H523</f>
        <v>390</v>
      </c>
      <c r="I532" s="15">
        <f>[1]Data!I523</f>
        <v>0</v>
      </c>
      <c r="J532" s="1" t="str">
        <f>[1]Data!J523</f>
        <v>X</v>
      </c>
      <c r="K532" s="1" t="str">
        <f>[1]Data!K523</f>
        <v>X</v>
      </c>
      <c r="L532" s="1" t="str">
        <f>[1]Data!L523</f>
        <v>07:04:01</v>
      </c>
      <c r="M532" s="1">
        <f>[1]Data!M523</f>
        <v>45824</v>
      </c>
      <c r="N532" s="1">
        <f>[1]Data!N523</f>
        <v>44430</v>
      </c>
      <c r="O532" s="1" t="str">
        <f>[1]Data!O523</f>
        <v>X</v>
      </c>
      <c r="P532" s="1" t="str">
        <f>[1]Data!P523</f>
        <v>2025</v>
      </c>
      <c r="Q532" s="15">
        <f>[1]Data!Q523</f>
        <v>390</v>
      </c>
      <c r="R532" s="1" t="str">
        <f>[1]Data!R523</f>
        <v/>
      </c>
    </row>
    <row r="533" spans="1:18" x14ac:dyDescent="0.35">
      <c r="A533" s="1" t="str">
        <f>[1]Data!A524</f>
        <v>4006193</v>
      </c>
      <c r="B533" s="1" t="str">
        <f>[1]Data!B524</f>
        <v>3300</v>
      </c>
      <c r="C533" s="1" t="str">
        <f>[1]Data!C524</f>
        <v>3001</v>
      </c>
      <c r="D533" s="1" t="str">
        <f>[1]Data!D524</f>
        <v>DL</v>
      </c>
      <c r="E533" s="1" t="str">
        <f>[1]Data!E524</f>
        <v/>
      </c>
      <c r="F533" s="1" t="str">
        <f>[1]Data!F524</f>
        <v>2026</v>
      </c>
      <c r="G533" s="1" t="str">
        <f>[1]Data!G524</f>
        <v>1</v>
      </c>
      <c r="H533" s="15">
        <f>[1]Data!H524</f>
        <v>290</v>
      </c>
      <c r="I533" s="15">
        <f>[1]Data!I524</f>
        <v>0</v>
      </c>
      <c r="J533" s="1" t="str">
        <f>[1]Data!J524</f>
        <v>X</v>
      </c>
      <c r="K533" s="1" t="str">
        <f>[1]Data!K524</f>
        <v>X</v>
      </c>
      <c r="L533" s="1" t="str">
        <f>[1]Data!L524</f>
        <v>03:07:02</v>
      </c>
      <c r="M533" s="1">
        <f>[1]Data!M524</f>
        <v>45798</v>
      </c>
      <c r="N533" s="1">
        <f>[1]Data!N524</f>
        <v>44792</v>
      </c>
      <c r="O533" s="1" t="str">
        <f>[1]Data!O524</f>
        <v>X</v>
      </c>
      <c r="P533" s="1" t="str">
        <f>[1]Data!P524</f>
        <v>2025</v>
      </c>
      <c r="Q533" s="15">
        <f>[1]Data!Q524</f>
        <v>290</v>
      </c>
      <c r="R533" s="1" t="str">
        <f>[1]Data!R524</f>
        <v/>
      </c>
    </row>
    <row r="534" spans="1:18" x14ac:dyDescent="0.35">
      <c r="A534" s="1" t="str">
        <f>[1]Data!A525</f>
        <v>4006210</v>
      </c>
      <c r="B534" s="1" t="str">
        <f>[1]Data!B525</f>
        <v>3300</v>
      </c>
      <c r="C534" s="1" t="str">
        <f>[1]Data!C525</f>
        <v>3001</v>
      </c>
      <c r="D534" s="1" t="str">
        <f>[1]Data!D525</f>
        <v>L</v>
      </c>
      <c r="E534" s="1" t="str">
        <f>[1]Data!E525</f>
        <v/>
      </c>
      <c r="F534" s="1" t="str">
        <f>[1]Data!F525</f>
        <v>2026</v>
      </c>
      <c r="G534" s="1" t="str">
        <f>[1]Data!G525</f>
        <v>2</v>
      </c>
      <c r="H534" s="15">
        <f>[1]Data!H525</f>
        <v>90</v>
      </c>
      <c r="I534" s="15">
        <f>[1]Data!I525</f>
        <v>0</v>
      </c>
      <c r="J534" s="1" t="str">
        <f>[1]Data!J525</f>
        <v>X</v>
      </c>
      <c r="K534" s="1" t="str">
        <f>[1]Data!K525</f>
        <v>X</v>
      </c>
      <c r="L534" s="1" t="str">
        <f>[1]Data!L525</f>
        <v>04:06:03</v>
      </c>
      <c r="M534" s="1">
        <f>[1]Data!M525</f>
        <v>45799</v>
      </c>
      <c r="N534" s="1">
        <f>[1]Data!N525</f>
        <v>44430</v>
      </c>
      <c r="O534" s="1" t="str">
        <f>[1]Data!O525</f>
        <v>X</v>
      </c>
      <c r="P534" s="1" t="str">
        <f>[1]Data!P525</f>
        <v>2025</v>
      </c>
      <c r="Q534" s="15">
        <f>[1]Data!Q525</f>
        <v>90</v>
      </c>
      <c r="R534" s="1" t="str">
        <f>[1]Data!R525</f>
        <v/>
      </c>
    </row>
    <row r="535" spans="1:18" x14ac:dyDescent="0.35">
      <c r="A535" s="1" t="str">
        <f>[1]Data!A526</f>
        <v>4006235</v>
      </c>
      <c r="B535" s="1" t="str">
        <f>[1]Data!B526</f>
        <v>3300</v>
      </c>
      <c r="C535" s="1" t="str">
        <f>[1]Data!C526</f>
        <v>3001</v>
      </c>
      <c r="D535" s="1" t="str">
        <f>[1]Data!D526</f>
        <v>DL</v>
      </c>
      <c r="E535" s="1" t="str">
        <f>[1]Data!E526</f>
        <v/>
      </c>
      <c r="F535" s="1" t="str">
        <f>[1]Data!F526</f>
        <v>2026</v>
      </c>
      <c r="G535" s="1" t="str">
        <f>[1]Data!G526</f>
        <v>2</v>
      </c>
      <c r="H535" s="15">
        <f>[1]Data!H526</f>
        <v>222</v>
      </c>
      <c r="I535" s="15">
        <f>[1]Data!I526</f>
        <v>0</v>
      </c>
      <c r="J535" s="1" t="str">
        <f>[1]Data!J526</f>
        <v>X</v>
      </c>
      <c r="K535" s="1" t="str">
        <f>[1]Data!K526</f>
        <v/>
      </c>
      <c r="L535" s="1" t="str">
        <f>[1]Data!L526</f>
        <v>11:11:02</v>
      </c>
      <c r="M535" s="1">
        <f>[1]Data!M526</f>
        <v>46030</v>
      </c>
      <c r="N535" s="1">
        <f>[1]Data!N526</f>
        <v>45345</v>
      </c>
      <c r="O535" s="1" t="str">
        <f>[1]Data!O526</f>
        <v>X</v>
      </c>
      <c r="P535" s="1" t="str">
        <f>[1]Data!P526</f>
        <v>2026</v>
      </c>
      <c r="Q535" s="15">
        <f>[1]Data!Q526</f>
        <v>222</v>
      </c>
      <c r="R535" s="1" t="str">
        <f>[1]Data!R526</f>
        <v/>
      </c>
    </row>
    <row r="536" spans="1:18" x14ac:dyDescent="0.35">
      <c r="A536" s="1" t="str">
        <f>[1]Data!A527</f>
        <v>4006236</v>
      </c>
      <c r="B536" s="1" t="str">
        <f>[1]Data!B527</f>
        <v>3300</v>
      </c>
      <c r="C536" s="1" t="str">
        <f>[1]Data!C527</f>
        <v>3001</v>
      </c>
      <c r="D536" s="1" t="str">
        <f>[1]Data!D527</f>
        <v>DL</v>
      </c>
      <c r="E536" s="1" t="str">
        <f>[1]Data!E527</f>
        <v/>
      </c>
      <c r="F536" s="1" t="str">
        <f>[1]Data!F527</f>
        <v>2026</v>
      </c>
      <c r="G536" s="1" t="str">
        <f>[1]Data!G527</f>
        <v>2</v>
      </c>
      <c r="H536" s="15">
        <f>[1]Data!H527</f>
        <v>15</v>
      </c>
      <c r="I536" s="15">
        <f>[1]Data!I527</f>
        <v>0</v>
      </c>
      <c r="J536" s="1" t="str">
        <f>[1]Data!J527</f>
        <v>X</v>
      </c>
      <c r="K536" s="1" t="str">
        <f>[1]Data!K527</f>
        <v/>
      </c>
      <c r="L536" s="1" t="str">
        <f>[1]Data!L527</f>
        <v>12:05:03</v>
      </c>
      <c r="M536" s="1">
        <f>[1]Data!M527</f>
        <v>46030</v>
      </c>
      <c r="N536" s="1">
        <f>[1]Data!N527</f>
        <v>45345</v>
      </c>
      <c r="O536" s="1" t="str">
        <f>[1]Data!O527</f>
        <v>X</v>
      </c>
      <c r="P536" s="1" t="str">
        <f>[1]Data!P527</f>
        <v>2026</v>
      </c>
      <c r="Q536" s="15">
        <f>[1]Data!Q527</f>
        <v>15</v>
      </c>
      <c r="R536" s="1" t="str">
        <f>[1]Data!R527</f>
        <v/>
      </c>
    </row>
    <row r="537" spans="1:18" x14ac:dyDescent="0.35">
      <c r="A537" s="1" t="str">
        <f>[1]Data!A528</f>
        <v>4006332</v>
      </c>
      <c r="B537" s="1" t="str">
        <f>[1]Data!B528</f>
        <v>3300</v>
      </c>
      <c r="C537" s="1" t="str">
        <f>[1]Data!C528</f>
        <v>3001</v>
      </c>
      <c r="D537" s="1" t="str">
        <f>[1]Data!D528</f>
        <v>L</v>
      </c>
      <c r="E537" s="1" t="str">
        <f>[1]Data!E528</f>
        <v/>
      </c>
      <c r="F537" s="1" t="str">
        <f>[1]Data!F528</f>
        <v>2026</v>
      </c>
      <c r="G537" s="1" t="str">
        <f>[1]Data!G528</f>
        <v>1</v>
      </c>
      <c r="H537" s="15">
        <f>[1]Data!H528</f>
        <v>230</v>
      </c>
      <c r="I537" s="15">
        <f>[1]Data!I528</f>
        <v>0</v>
      </c>
      <c r="J537" s="1" t="str">
        <f>[1]Data!J528</f>
        <v>X</v>
      </c>
      <c r="K537" s="1" t="str">
        <f>[1]Data!K528</f>
        <v>X</v>
      </c>
      <c r="L537" s="1" t="str">
        <f>[1]Data!L528</f>
        <v>02:13:03</v>
      </c>
      <c r="M537" s="1">
        <f>[1]Data!M528</f>
        <v>45797</v>
      </c>
      <c r="N537" s="1">
        <f>[1]Data!N528</f>
        <v>44430</v>
      </c>
      <c r="O537" s="1" t="str">
        <f>[1]Data!O528</f>
        <v>X</v>
      </c>
      <c r="P537" s="1" t="str">
        <f>[1]Data!P528</f>
        <v>2025</v>
      </c>
      <c r="Q537" s="15">
        <f>[1]Data!Q528</f>
        <v>230</v>
      </c>
      <c r="R537" s="1" t="str">
        <f>[1]Data!R528</f>
        <v/>
      </c>
    </row>
    <row r="538" spans="1:18" x14ac:dyDescent="0.35">
      <c r="A538" s="1" t="str">
        <f>[1]Data!A529</f>
        <v>4006333</v>
      </c>
      <c r="B538" s="1" t="str">
        <f>[1]Data!B529</f>
        <v>3300</v>
      </c>
      <c r="C538" s="1" t="str">
        <f>[1]Data!C529</f>
        <v>3001</v>
      </c>
      <c r="D538" s="1" t="str">
        <f>[1]Data!D529</f>
        <v>L</v>
      </c>
      <c r="E538" s="1" t="str">
        <f>[1]Data!E529</f>
        <v/>
      </c>
      <c r="F538" s="1" t="str">
        <f>[1]Data!F529</f>
        <v>2026</v>
      </c>
      <c r="G538" s="1" t="str">
        <f>[1]Data!G529</f>
        <v>3</v>
      </c>
      <c r="H538" s="15">
        <f>[1]Data!H529</f>
        <v>120</v>
      </c>
      <c r="I538" s="15">
        <f>[1]Data!I529</f>
        <v>0</v>
      </c>
      <c r="J538" s="1" t="str">
        <f>[1]Data!J529</f>
        <v>X</v>
      </c>
      <c r="K538" s="1" t="str">
        <f>[1]Data!K529</f>
        <v>X</v>
      </c>
      <c r="L538" s="1" t="str">
        <f>[1]Data!L529</f>
        <v>02:13:03</v>
      </c>
      <c r="M538" s="1">
        <f>[1]Data!M529</f>
        <v>45797</v>
      </c>
      <c r="N538" s="1">
        <f>[1]Data!N529</f>
        <v>44430</v>
      </c>
      <c r="O538" s="1" t="str">
        <f>[1]Data!O529</f>
        <v>X</v>
      </c>
      <c r="P538" s="1" t="str">
        <f>[1]Data!P529</f>
        <v>2025</v>
      </c>
      <c r="Q538" s="15">
        <f>[1]Data!Q529</f>
        <v>120</v>
      </c>
      <c r="R538" s="1" t="str">
        <f>[1]Data!R529</f>
        <v/>
      </c>
    </row>
    <row r="539" spans="1:18" x14ac:dyDescent="0.35">
      <c r="A539" s="1" t="str">
        <f>[1]Data!A530</f>
        <v>4006334</v>
      </c>
      <c r="B539" s="1" t="str">
        <f>[1]Data!B530</f>
        <v>3300</v>
      </c>
      <c r="C539" s="1" t="str">
        <f>[1]Data!C530</f>
        <v>3001</v>
      </c>
      <c r="D539" s="1" t="str">
        <f>[1]Data!D530</f>
        <v>L</v>
      </c>
      <c r="E539" s="1" t="str">
        <f>[1]Data!E530</f>
        <v/>
      </c>
      <c r="F539" s="1" t="str">
        <f>[1]Data!F530</f>
        <v>2024</v>
      </c>
      <c r="G539" s="1" t="str">
        <f>[1]Data!G530</f>
        <v>6</v>
      </c>
      <c r="H539" s="15">
        <f>[1]Data!H530</f>
        <v>0</v>
      </c>
      <c r="I539" s="15">
        <f>[1]Data!I530</f>
        <v>0</v>
      </c>
      <c r="J539" s="1" t="str">
        <f>[1]Data!J530</f>
        <v/>
      </c>
      <c r="K539" s="1" t="str">
        <f>[1]Data!K530</f>
        <v/>
      </c>
      <c r="L539" s="1" t="str">
        <f>[1]Data!L530</f>
        <v/>
      </c>
      <c r="M539" s="1" t="str">
        <f>[1]Data!M530</f>
        <v/>
      </c>
      <c r="N539" s="1">
        <f>[1]Data!N530</f>
        <v>45450</v>
      </c>
      <c r="O539" s="1" t="str">
        <f>[1]Data!O530</f>
        <v>X</v>
      </c>
      <c r="P539" s="1" t="str">
        <f>[1]Data!P530</f>
        <v>2024</v>
      </c>
      <c r="Q539" s="15">
        <f>[1]Data!Q530</f>
        <v>0</v>
      </c>
      <c r="R539" s="1" t="str">
        <f>[1]Data!R530</f>
        <v>INAKTIV</v>
      </c>
    </row>
    <row r="540" spans="1:18" x14ac:dyDescent="0.35">
      <c r="A540" s="1" t="str">
        <f>[1]Data!A531</f>
        <v>4006340</v>
      </c>
      <c r="B540" s="1" t="str">
        <f>[1]Data!B531</f>
        <v>3300</v>
      </c>
      <c r="C540" s="1" t="str">
        <f>[1]Data!C531</f>
        <v>3001</v>
      </c>
      <c r="D540" s="1" t="str">
        <f>[1]Data!D531</f>
        <v>DL</v>
      </c>
      <c r="E540" s="1" t="str">
        <f>[1]Data!E531</f>
        <v/>
      </c>
      <c r="F540" s="1" t="str">
        <f>[1]Data!F531</f>
        <v>2024</v>
      </c>
      <c r="G540" s="1" t="str">
        <f>[1]Data!G531</f>
        <v>6</v>
      </c>
      <c r="H540" s="15">
        <f>[1]Data!H531</f>
        <v>0</v>
      </c>
      <c r="I540" s="15">
        <f>[1]Data!I531</f>
        <v>0</v>
      </c>
      <c r="J540" s="1" t="str">
        <f>[1]Data!J531</f>
        <v/>
      </c>
      <c r="K540" s="1" t="str">
        <f>[1]Data!K531</f>
        <v/>
      </c>
      <c r="L540" s="1" t="str">
        <f>[1]Data!L531</f>
        <v/>
      </c>
      <c r="M540" s="1" t="str">
        <f>[1]Data!M531</f>
        <v/>
      </c>
      <c r="N540" s="1">
        <f>[1]Data!N531</f>
        <v>45462</v>
      </c>
      <c r="O540" s="1" t="str">
        <f>[1]Data!O531</f>
        <v>X</v>
      </c>
      <c r="P540" s="1" t="str">
        <f>[1]Data!P531</f>
        <v>2024</v>
      </c>
      <c r="Q540" s="15">
        <f>[1]Data!Q531</f>
        <v>0</v>
      </c>
      <c r="R540" s="1" t="str">
        <f>[1]Data!R531</f>
        <v>INAKTIV</v>
      </c>
    </row>
    <row r="541" spans="1:18" x14ac:dyDescent="0.35">
      <c r="A541" s="1" t="str">
        <f>[1]Data!A532</f>
        <v>4006341</v>
      </c>
      <c r="B541" s="1" t="str">
        <f>[1]Data!B532</f>
        <v>3300</v>
      </c>
      <c r="C541" s="1" t="str">
        <f>[1]Data!C532</f>
        <v>3001</v>
      </c>
      <c r="D541" s="1" t="str">
        <f>[1]Data!D532</f>
        <v>DL</v>
      </c>
      <c r="E541" s="1" t="str">
        <f>[1]Data!E532</f>
        <v/>
      </c>
      <c r="F541" s="1" t="str">
        <f>[1]Data!F532</f>
        <v>2026</v>
      </c>
      <c r="G541" s="1" t="str">
        <f>[1]Data!G532</f>
        <v>2</v>
      </c>
      <c r="H541" s="15">
        <f>[1]Data!H532</f>
        <v>350</v>
      </c>
      <c r="I541" s="15">
        <f>[1]Data!I532</f>
        <v>0</v>
      </c>
      <c r="J541" s="1" t="str">
        <f>[1]Data!J532</f>
        <v>X</v>
      </c>
      <c r="K541" s="1" t="str">
        <f>[1]Data!K532</f>
        <v/>
      </c>
      <c r="L541" s="1" t="str">
        <f>[1]Data!L532</f>
        <v>09:02:00</v>
      </c>
      <c r="M541" s="1">
        <f>[1]Data!M532</f>
        <v>46030</v>
      </c>
      <c r="N541" s="1">
        <f>[1]Data!N532</f>
        <v>45462</v>
      </c>
      <c r="O541" s="1" t="str">
        <f>[1]Data!O532</f>
        <v>X</v>
      </c>
      <c r="P541" s="1" t="str">
        <f>[1]Data!P532</f>
        <v>2026</v>
      </c>
      <c r="Q541" s="15">
        <f>[1]Data!Q532</f>
        <v>350</v>
      </c>
      <c r="R541" s="1" t="str">
        <f>[1]Data!R532</f>
        <v/>
      </c>
    </row>
    <row r="542" spans="1:18" x14ac:dyDescent="0.35">
      <c r="A542" s="1" t="str">
        <f>[1]Data!A533</f>
        <v>4006367</v>
      </c>
      <c r="B542" s="1" t="str">
        <f>[1]Data!B533</f>
        <v>3300</v>
      </c>
      <c r="C542" s="1" t="str">
        <f>[1]Data!C533</f>
        <v>3001</v>
      </c>
      <c r="D542" s="1" t="str">
        <f>[1]Data!D533</f>
        <v>L</v>
      </c>
      <c r="E542" s="1" t="str">
        <f>[1]Data!E533</f>
        <v/>
      </c>
      <c r="F542" s="1" t="str">
        <f>[1]Data!F533</f>
        <v>2026</v>
      </c>
      <c r="G542" s="1" t="str">
        <f>[1]Data!G533</f>
        <v>2</v>
      </c>
      <c r="H542" s="15">
        <f>[1]Data!H533</f>
        <v>1500</v>
      </c>
      <c r="I542" s="15">
        <f>[1]Data!I533</f>
        <v>0</v>
      </c>
      <c r="J542" s="1" t="str">
        <f>[1]Data!J533</f>
        <v>X</v>
      </c>
      <c r="K542" s="1" t="str">
        <f>[1]Data!K533</f>
        <v/>
      </c>
      <c r="L542" s="1" t="str">
        <f>[1]Data!L533</f>
        <v>K3:A</v>
      </c>
      <c r="M542" s="1">
        <f>[1]Data!M533</f>
        <v>46029</v>
      </c>
      <c r="N542" s="1">
        <f>[1]Data!N533</f>
        <v>44430</v>
      </c>
      <c r="O542" s="1" t="str">
        <f>[1]Data!O533</f>
        <v>X</v>
      </c>
      <c r="P542" s="1" t="str">
        <f>[1]Data!P533</f>
        <v>2026</v>
      </c>
      <c r="Q542" s="15">
        <f>[1]Data!Q533</f>
        <v>1500</v>
      </c>
      <c r="R542" s="1" t="str">
        <f>[1]Data!R533</f>
        <v/>
      </c>
    </row>
    <row r="543" spans="1:18" x14ac:dyDescent="0.35">
      <c r="A543" s="1" t="str">
        <f>[1]Data!A534</f>
        <v>4006368</v>
      </c>
      <c r="B543" s="1" t="str">
        <f>[1]Data!B534</f>
        <v>3300</v>
      </c>
      <c r="C543" s="1" t="str">
        <f>[1]Data!C534</f>
        <v>3001</v>
      </c>
      <c r="D543" s="1" t="str">
        <f>[1]Data!D534</f>
        <v>L</v>
      </c>
      <c r="E543" s="1" t="str">
        <f>[1]Data!E534</f>
        <v/>
      </c>
      <c r="F543" s="1" t="str">
        <f>[1]Data!F534</f>
        <v>2026</v>
      </c>
      <c r="G543" s="1" t="str">
        <f>[1]Data!G534</f>
        <v>2</v>
      </c>
      <c r="H543" s="15">
        <f>[1]Data!H534</f>
        <v>1900</v>
      </c>
      <c r="I543" s="15">
        <f>[1]Data!I534</f>
        <v>0</v>
      </c>
      <c r="J543" s="1" t="str">
        <f>[1]Data!J534</f>
        <v>X</v>
      </c>
      <c r="K543" s="1" t="str">
        <f>[1]Data!K534</f>
        <v/>
      </c>
      <c r="L543" s="1" t="str">
        <f>[1]Data!L534</f>
        <v>K3:I:01</v>
      </c>
      <c r="M543" s="1">
        <f>[1]Data!M534</f>
        <v>46029</v>
      </c>
      <c r="N543" s="1">
        <f>[1]Data!N534</f>
        <v>44430</v>
      </c>
      <c r="O543" s="1" t="str">
        <f>[1]Data!O534</f>
        <v>X</v>
      </c>
      <c r="P543" s="1" t="str">
        <f>[1]Data!P534</f>
        <v>2026</v>
      </c>
      <c r="Q543" s="15">
        <f>[1]Data!Q534</f>
        <v>1900</v>
      </c>
      <c r="R543" s="1" t="str">
        <f>[1]Data!R534</f>
        <v/>
      </c>
    </row>
    <row r="544" spans="1:18" x14ac:dyDescent="0.35">
      <c r="A544" s="1" t="str">
        <f>[1]Data!A535</f>
        <v>4006370</v>
      </c>
      <c r="B544" s="1" t="str">
        <f>[1]Data!B535</f>
        <v>3300</v>
      </c>
      <c r="C544" s="1" t="str">
        <f>[1]Data!C535</f>
        <v>3001</v>
      </c>
      <c r="D544" s="1" t="str">
        <f>[1]Data!D535</f>
        <v>L</v>
      </c>
      <c r="E544" s="1" t="str">
        <f>[1]Data!E535</f>
        <v/>
      </c>
      <c r="F544" s="1" t="str">
        <f>[1]Data!F535</f>
        <v>2026</v>
      </c>
      <c r="G544" s="1" t="str">
        <f>[1]Data!G535</f>
        <v>2</v>
      </c>
      <c r="H544" s="15">
        <f>[1]Data!H535</f>
        <v>5000</v>
      </c>
      <c r="I544" s="15">
        <f>[1]Data!I535</f>
        <v>0</v>
      </c>
      <c r="J544" s="1" t="str">
        <f>[1]Data!J535</f>
        <v>X</v>
      </c>
      <c r="K544" s="1" t="str">
        <f>[1]Data!K535</f>
        <v>X</v>
      </c>
      <c r="L544" s="1" t="str">
        <f>[1]Data!L535</f>
        <v>13:10:01</v>
      </c>
      <c r="M544" s="1">
        <f>[1]Data!M535</f>
        <v>45994</v>
      </c>
      <c r="N544" s="1">
        <f>[1]Data!N535</f>
        <v>44430</v>
      </c>
      <c r="O544" s="1" t="str">
        <f>[1]Data!O535</f>
        <v>X</v>
      </c>
      <c r="P544" s="1" t="str">
        <f>[1]Data!P535</f>
        <v>2025</v>
      </c>
      <c r="Q544" s="15">
        <f>[1]Data!Q535</f>
        <v>5000</v>
      </c>
      <c r="R544" s="1" t="str">
        <f>[1]Data!R535</f>
        <v/>
      </c>
    </row>
    <row r="545" spans="1:18" x14ac:dyDescent="0.35">
      <c r="A545" s="1" t="str">
        <f>[1]Data!A536</f>
        <v>4006372</v>
      </c>
      <c r="B545" s="1" t="str">
        <f>[1]Data!B536</f>
        <v>3300</v>
      </c>
      <c r="C545" s="1" t="str">
        <f>[1]Data!C536</f>
        <v>3001</v>
      </c>
      <c r="D545" s="1" t="str">
        <f>[1]Data!D536</f>
        <v>L</v>
      </c>
      <c r="E545" s="1" t="str">
        <f>[1]Data!E536</f>
        <v/>
      </c>
      <c r="F545" s="1" t="str">
        <f>[1]Data!F536</f>
        <v>2026</v>
      </c>
      <c r="G545" s="1" t="str">
        <f>[1]Data!G536</f>
        <v>1</v>
      </c>
      <c r="H545" s="15">
        <f>[1]Data!H536</f>
        <v>700</v>
      </c>
      <c r="I545" s="15">
        <f>[1]Data!I536</f>
        <v>0</v>
      </c>
      <c r="J545" s="1" t="str">
        <f>[1]Data!J536</f>
        <v>X</v>
      </c>
      <c r="K545" s="1" t="str">
        <f>[1]Data!K536</f>
        <v>X</v>
      </c>
      <c r="L545" s="1" t="str">
        <f>[1]Data!L536</f>
        <v>13:10:02</v>
      </c>
      <c r="M545" s="1">
        <f>[1]Data!M536</f>
        <v>45994</v>
      </c>
      <c r="N545" s="1">
        <f>[1]Data!N536</f>
        <v>44430</v>
      </c>
      <c r="O545" s="1" t="str">
        <f>[1]Data!O536</f>
        <v>X</v>
      </c>
      <c r="P545" s="1" t="str">
        <f>[1]Data!P536</f>
        <v>2025</v>
      </c>
      <c r="Q545" s="15">
        <f>[1]Data!Q536</f>
        <v>700</v>
      </c>
      <c r="R545" s="1" t="str">
        <f>[1]Data!R536</f>
        <v/>
      </c>
    </row>
    <row r="546" spans="1:18" x14ac:dyDescent="0.35">
      <c r="A546" s="1" t="str">
        <f>[1]Data!A537</f>
        <v>4006375</v>
      </c>
      <c r="B546" s="1" t="str">
        <f>[1]Data!B537</f>
        <v>3300</v>
      </c>
      <c r="C546" s="1" t="str">
        <f>[1]Data!C537</f>
        <v>3001</v>
      </c>
      <c r="D546" s="1" t="str">
        <f>[1]Data!D537</f>
        <v>L</v>
      </c>
      <c r="E546" s="1" t="str">
        <f>[1]Data!E537</f>
        <v/>
      </c>
      <c r="F546" s="1" t="str">
        <f>[1]Data!F537</f>
        <v>2026</v>
      </c>
      <c r="G546" s="1" t="str">
        <f>[1]Data!G537</f>
        <v>2</v>
      </c>
      <c r="H546" s="15">
        <f>[1]Data!H537</f>
        <v>1300</v>
      </c>
      <c r="I546" s="15">
        <f>[1]Data!I537</f>
        <v>0</v>
      </c>
      <c r="J546" s="1" t="str">
        <f>[1]Data!J537</f>
        <v>X</v>
      </c>
      <c r="K546" s="1" t="str">
        <f>[1]Data!K537</f>
        <v>X</v>
      </c>
      <c r="L546" s="1" t="str">
        <f>[1]Data!L537</f>
        <v>13:11:02</v>
      </c>
      <c r="M546" s="1">
        <f>[1]Data!M537</f>
        <v>46001</v>
      </c>
      <c r="N546" s="1">
        <f>[1]Data!N537</f>
        <v>44430</v>
      </c>
      <c r="O546" s="1" t="str">
        <f>[1]Data!O537</f>
        <v>X</v>
      </c>
      <c r="P546" s="1" t="str">
        <f>[1]Data!P537</f>
        <v>2025</v>
      </c>
      <c r="Q546" s="15">
        <f>[1]Data!Q537</f>
        <v>1300</v>
      </c>
      <c r="R546" s="1" t="str">
        <f>[1]Data!R537</f>
        <v/>
      </c>
    </row>
    <row r="547" spans="1:18" x14ac:dyDescent="0.35">
      <c r="A547" s="1" t="str">
        <f>[1]Data!A538</f>
        <v>4006377</v>
      </c>
      <c r="B547" s="1" t="str">
        <f>[1]Data!B538</f>
        <v>3300</v>
      </c>
      <c r="C547" s="1" t="str">
        <f>[1]Data!C538</f>
        <v>3001</v>
      </c>
      <c r="D547" s="1" t="str">
        <f>[1]Data!D538</f>
        <v>L</v>
      </c>
      <c r="E547" s="1" t="str">
        <f>[1]Data!E538</f>
        <v/>
      </c>
      <c r="F547" s="1" t="str">
        <f>[1]Data!F538</f>
        <v>2026</v>
      </c>
      <c r="G547" s="1" t="str">
        <f>[1]Data!G538</f>
        <v>2</v>
      </c>
      <c r="H547" s="15">
        <f>[1]Data!H538</f>
        <v>4000</v>
      </c>
      <c r="I547" s="15">
        <f>[1]Data!I538</f>
        <v>0</v>
      </c>
      <c r="J547" s="1" t="str">
        <f>[1]Data!J538</f>
        <v>X</v>
      </c>
      <c r="K547" s="1" t="str">
        <f>[1]Data!K538</f>
        <v>X</v>
      </c>
      <c r="L547" s="1" t="str">
        <f>[1]Data!L538</f>
        <v>13:11:01</v>
      </c>
      <c r="M547" s="1">
        <f>[1]Data!M538</f>
        <v>46001</v>
      </c>
      <c r="N547" s="1">
        <f>[1]Data!N538</f>
        <v>44430</v>
      </c>
      <c r="O547" s="1" t="str">
        <f>[1]Data!O538</f>
        <v>X</v>
      </c>
      <c r="P547" s="1" t="str">
        <f>[1]Data!P538</f>
        <v>2025</v>
      </c>
      <c r="Q547" s="15">
        <f>[1]Data!Q538</f>
        <v>4000</v>
      </c>
      <c r="R547" s="1" t="str">
        <f>[1]Data!R538</f>
        <v/>
      </c>
    </row>
    <row r="548" spans="1:18" x14ac:dyDescent="0.35">
      <c r="A548" s="1" t="str">
        <f>[1]Data!A539</f>
        <v>4006378</v>
      </c>
      <c r="B548" s="1" t="str">
        <f>[1]Data!B539</f>
        <v>3300</v>
      </c>
      <c r="C548" s="1" t="str">
        <f>[1]Data!C539</f>
        <v>3001</v>
      </c>
      <c r="D548" s="1" t="str">
        <f>[1]Data!D539</f>
        <v>L</v>
      </c>
      <c r="E548" s="1" t="str">
        <f>[1]Data!E539</f>
        <v/>
      </c>
      <c r="F548" s="1" t="str">
        <f>[1]Data!F539</f>
        <v>2026</v>
      </c>
      <c r="G548" s="1" t="str">
        <f>[1]Data!G539</f>
        <v>2</v>
      </c>
      <c r="H548" s="15">
        <f>[1]Data!H539</f>
        <v>1700</v>
      </c>
      <c r="I548" s="15">
        <f>[1]Data!I539</f>
        <v>0</v>
      </c>
      <c r="J548" s="1" t="str">
        <f>[1]Data!J539</f>
        <v>X</v>
      </c>
      <c r="K548" s="1" t="str">
        <f>[1]Data!K539</f>
        <v>X</v>
      </c>
      <c r="L548" s="1" t="str">
        <f>[1]Data!L539</f>
        <v>13:10:01</v>
      </c>
      <c r="M548" s="1">
        <f>[1]Data!M539</f>
        <v>45994</v>
      </c>
      <c r="N548" s="1">
        <f>[1]Data!N539</f>
        <v>44430</v>
      </c>
      <c r="O548" s="1" t="str">
        <f>[1]Data!O539</f>
        <v>X</v>
      </c>
      <c r="P548" s="1" t="str">
        <f>[1]Data!P539</f>
        <v>2025</v>
      </c>
      <c r="Q548" s="15">
        <f>[1]Data!Q539</f>
        <v>1700</v>
      </c>
      <c r="R548" s="1" t="str">
        <f>[1]Data!R539</f>
        <v/>
      </c>
    </row>
    <row r="549" spans="1:18" x14ac:dyDescent="0.35">
      <c r="A549" s="1" t="str">
        <f>[1]Data!A540</f>
        <v>4006380</v>
      </c>
      <c r="B549" s="1" t="str">
        <f>[1]Data!B540</f>
        <v>3300</v>
      </c>
      <c r="C549" s="1" t="str">
        <f>[1]Data!C540</f>
        <v>3001</v>
      </c>
      <c r="D549" s="1" t="str">
        <f>[1]Data!D540</f>
        <v>L</v>
      </c>
      <c r="E549" s="1" t="str">
        <f>[1]Data!E540</f>
        <v/>
      </c>
      <c r="F549" s="1" t="str">
        <f>[1]Data!F540</f>
        <v>2026</v>
      </c>
      <c r="G549" s="1" t="str">
        <f>[1]Data!G540</f>
        <v>2</v>
      </c>
      <c r="H549" s="15">
        <f>[1]Data!H540</f>
        <v>3900</v>
      </c>
      <c r="I549" s="15">
        <f>[1]Data!I540</f>
        <v>0</v>
      </c>
      <c r="J549" s="1" t="str">
        <f>[1]Data!J540</f>
        <v>X</v>
      </c>
      <c r="K549" s="1" t="str">
        <f>[1]Data!K540</f>
        <v>X</v>
      </c>
      <c r="L549" s="1" t="str">
        <f>[1]Data!L540</f>
        <v>13:11:03</v>
      </c>
      <c r="M549" s="1">
        <f>[1]Data!M540</f>
        <v>46001</v>
      </c>
      <c r="N549" s="1">
        <f>[1]Data!N540</f>
        <v>44430</v>
      </c>
      <c r="O549" s="1" t="str">
        <f>[1]Data!O540</f>
        <v>X</v>
      </c>
      <c r="P549" s="1" t="str">
        <f>[1]Data!P540</f>
        <v>2025</v>
      </c>
      <c r="Q549" s="15">
        <f>[1]Data!Q540</f>
        <v>3900</v>
      </c>
      <c r="R549" s="1" t="str">
        <f>[1]Data!R540</f>
        <v/>
      </c>
    </row>
    <row r="550" spans="1:18" x14ac:dyDescent="0.35">
      <c r="A550" s="1" t="str">
        <f>[1]Data!A541</f>
        <v>4006381</v>
      </c>
      <c r="B550" s="1" t="str">
        <f>[1]Data!B541</f>
        <v>3300</v>
      </c>
      <c r="C550" s="1" t="str">
        <f>[1]Data!C541</f>
        <v>3001</v>
      </c>
      <c r="D550" s="1" t="str">
        <f>[1]Data!D541</f>
        <v>L</v>
      </c>
      <c r="E550" s="1" t="str">
        <f>[1]Data!E541</f>
        <v/>
      </c>
      <c r="F550" s="1" t="str">
        <f>[1]Data!F541</f>
        <v>2026</v>
      </c>
      <c r="G550" s="1" t="str">
        <f>[1]Data!G541</f>
        <v>2</v>
      </c>
      <c r="H550" s="15">
        <f>[1]Data!H541</f>
        <v>1300</v>
      </c>
      <c r="I550" s="15">
        <f>[1]Data!I541</f>
        <v>0</v>
      </c>
      <c r="J550" s="1" t="str">
        <f>[1]Data!J541</f>
        <v>X</v>
      </c>
      <c r="K550" s="1" t="str">
        <f>[1]Data!K541</f>
        <v>X</v>
      </c>
      <c r="L550" s="1" t="str">
        <f>[1]Data!L541</f>
        <v>13:12:01</v>
      </c>
      <c r="M550" s="1">
        <f>[1]Data!M541</f>
        <v>46001</v>
      </c>
      <c r="N550" s="1">
        <f>[1]Data!N541</f>
        <v>44430</v>
      </c>
      <c r="O550" s="1" t="str">
        <f>[1]Data!O541</f>
        <v>X</v>
      </c>
      <c r="P550" s="1" t="str">
        <f>[1]Data!P541</f>
        <v>2025</v>
      </c>
      <c r="Q550" s="15">
        <f>[1]Data!Q541</f>
        <v>1300</v>
      </c>
      <c r="R550" s="1" t="str">
        <f>[1]Data!R541</f>
        <v/>
      </c>
    </row>
    <row r="551" spans="1:18" x14ac:dyDescent="0.35">
      <c r="A551" s="1" t="str">
        <f>[1]Data!A542</f>
        <v>4006387</v>
      </c>
      <c r="B551" s="1" t="str">
        <f>[1]Data!B542</f>
        <v>3300</v>
      </c>
      <c r="C551" s="1" t="str">
        <f>[1]Data!C542</f>
        <v>3001</v>
      </c>
      <c r="D551" s="1" t="str">
        <f>[1]Data!D542</f>
        <v>L</v>
      </c>
      <c r="E551" s="1" t="str">
        <f>[1]Data!E542</f>
        <v>X</v>
      </c>
      <c r="F551" s="1" t="str">
        <f>[1]Data!F542</f>
        <v>2023</v>
      </c>
      <c r="G551" s="1" t="str">
        <f>[1]Data!G542</f>
        <v>2</v>
      </c>
      <c r="H551" s="15">
        <f>[1]Data!H542</f>
        <v>0</v>
      </c>
      <c r="I551" s="15">
        <f>[1]Data!I542</f>
        <v>0</v>
      </c>
      <c r="J551" s="1" t="str">
        <f>[1]Data!J542</f>
        <v>X</v>
      </c>
      <c r="K551" s="1" t="str">
        <f>[1]Data!K542</f>
        <v/>
      </c>
      <c r="L551" s="1" t="str">
        <f>[1]Data!L542</f>
        <v>SLETTET</v>
      </c>
      <c r="M551" s="1">
        <f>[1]Data!M542</f>
        <v>44568</v>
      </c>
      <c r="N551" s="1">
        <f>[1]Data!N542</f>
        <v>44430</v>
      </c>
      <c r="O551" s="1" t="str">
        <f>[1]Data!O542</f>
        <v>X</v>
      </c>
      <c r="P551" s="1" t="str">
        <f>[1]Data!P542</f>
        <v>2022</v>
      </c>
      <c r="Q551" s="15">
        <f>[1]Data!Q542</f>
        <v>0</v>
      </c>
      <c r="R551" s="1" t="str">
        <f>[1]Data!R542</f>
        <v>INAKTIV</v>
      </c>
    </row>
    <row r="552" spans="1:18" x14ac:dyDescent="0.35">
      <c r="A552" s="1" t="str">
        <f>[1]Data!A543</f>
        <v>4006406</v>
      </c>
      <c r="B552" s="1" t="str">
        <f>[1]Data!B543</f>
        <v>3300</v>
      </c>
      <c r="C552" s="1" t="str">
        <f>[1]Data!C543</f>
        <v>3001</v>
      </c>
      <c r="D552" s="1" t="str">
        <f>[1]Data!D543</f>
        <v>L</v>
      </c>
      <c r="E552" s="1" t="str">
        <f>[1]Data!E543</f>
        <v/>
      </c>
      <c r="F552" s="1" t="str">
        <f>[1]Data!F543</f>
        <v>2026</v>
      </c>
      <c r="G552" s="1" t="str">
        <f>[1]Data!G543</f>
        <v>3</v>
      </c>
      <c r="H552" s="15">
        <f>[1]Data!H543</f>
        <v>3400</v>
      </c>
      <c r="I552" s="15">
        <f>[1]Data!I543</f>
        <v>0</v>
      </c>
      <c r="J552" s="1" t="str">
        <f>[1]Data!J543</f>
        <v>X</v>
      </c>
      <c r="K552" s="1" t="str">
        <f>[1]Data!K543</f>
        <v>X</v>
      </c>
      <c r="L552" s="1" t="str">
        <f>[1]Data!L543</f>
        <v>10:11:03</v>
      </c>
      <c r="M552" s="1">
        <f>[1]Data!M543</f>
        <v>45987</v>
      </c>
      <c r="N552" s="1">
        <f>[1]Data!N543</f>
        <v>44430</v>
      </c>
      <c r="O552" s="1" t="str">
        <f>[1]Data!O543</f>
        <v>X</v>
      </c>
      <c r="P552" s="1" t="str">
        <f>[1]Data!P543</f>
        <v>2025</v>
      </c>
      <c r="Q552" s="15">
        <f>[1]Data!Q543</f>
        <v>3400</v>
      </c>
      <c r="R552" s="1" t="str">
        <f>[1]Data!R543</f>
        <v/>
      </c>
    </row>
    <row r="553" spans="1:18" x14ac:dyDescent="0.35">
      <c r="A553" s="1" t="str">
        <f>[1]Data!A544</f>
        <v>4006407</v>
      </c>
      <c r="B553" s="1" t="str">
        <f>[1]Data!B544</f>
        <v>3300</v>
      </c>
      <c r="C553" s="1" t="str">
        <f>[1]Data!C544</f>
        <v>3001</v>
      </c>
      <c r="D553" s="1" t="str">
        <f>[1]Data!D544</f>
        <v>L</v>
      </c>
      <c r="E553" s="1" t="str">
        <f>[1]Data!E544</f>
        <v/>
      </c>
      <c r="F553" s="1" t="str">
        <f>[1]Data!F544</f>
        <v>2024</v>
      </c>
      <c r="G553" s="1" t="str">
        <f>[1]Data!G544</f>
        <v>6</v>
      </c>
      <c r="H553" s="15">
        <f>[1]Data!H544</f>
        <v>0</v>
      </c>
      <c r="I553" s="15">
        <f>[1]Data!I544</f>
        <v>0</v>
      </c>
      <c r="J553" s="1" t="str">
        <f>[1]Data!J544</f>
        <v/>
      </c>
      <c r="K553" s="1" t="str">
        <f>[1]Data!K544</f>
        <v/>
      </c>
      <c r="L553" s="1" t="str">
        <f>[1]Data!L544</f>
        <v/>
      </c>
      <c r="M553" s="1" t="str">
        <f>[1]Data!M544</f>
        <v/>
      </c>
      <c r="N553" s="1">
        <f>[1]Data!N544</f>
        <v>45450</v>
      </c>
      <c r="O553" s="1" t="str">
        <f>[1]Data!O544</f>
        <v>X</v>
      </c>
      <c r="P553" s="1" t="str">
        <f>[1]Data!P544</f>
        <v>2024</v>
      </c>
      <c r="Q553" s="15">
        <f>[1]Data!Q544</f>
        <v>0</v>
      </c>
      <c r="R553" s="1" t="str">
        <f>[1]Data!R544</f>
        <v>INAKTIV</v>
      </c>
    </row>
    <row r="554" spans="1:18" x14ac:dyDescent="0.35">
      <c r="A554" s="1" t="str">
        <f>[1]Data!A545</f>
        <v>4006417</v>
      </c>
      <c r="B554" s="1" t="str">
        <f>[1]Data!B545</f>
        <v>3300</v>
      </c>
      <c r="C554" s="1" t="str">
        <f>[1]Data!C545</f>
        <v>3001</v>
      </c>
      <c r="D554" s="1" t="str">
        <f>[1]Data!D545</f>
        <v>L</v>
      </c>
      <c r="E554" s="1" t="str">
        <f>[1]Data!E545</f>
        <v>X</v>
      </c>
      <c r="F554" s="1" t="str">
        <f>[1]Data!F545</f>
        <v>2021</v>
      </c>
      <c r="G554" s="1" t="str">
        <f>[1]Data!G545</f>
        <v>10</v>
      </c>
      <c r="H554" s="15">
        <f>[1]Data!H545</f>
        <v>0</v>
      </c>
      <c r="I554" s="15">
        <f>[1]Data!I545</f>
        <v>0</v>
      </c>
      <c r="J554" s="1" t="str">
        <f>[1]Data!J545</f>
        <v>X</v>
      </c>
      <c r="K554" s="1" t="str">
        <f>[1]Data!K545</f>
        <v/>
      </c>
      <c r="L554" s="1" t="str">
        <f>[1]Data!L545</f>
        <v>SLETTET</v>
      </c>
      <c r="M554" s="1">
        <f>[1]Data!M545</f>
        <v>44568</v>
      </c>
      <c r="N554" s="1">
        <f>[1]Data!N545</f>
        <v>44430</v>
      </c>
      <c r="O554" s="1" t="str">
        <f>[1]Data!O545</f>
        <v>X</v>
      </c>
      <c r="P554" s="1" t="str">
        <f>[1]Data!P545</f>
        <v>2022</v>
      </c>
      <c r="Q554" s="15">
        <f>[1]Data!Q545</f>
        <v>0</v>
      </c>
      <c r="R554" s="1" t="str">
        <f>[1]Data!R545</f>
        <v>INAKTIV</v>
      </c>
    </row>
    <row r="555" spans="1:18" x14ac:dyDescent="0.35">
      <c r="A555" s="1" t="str">
        <f>[1]Data!A546</f>
        <v>4006431</v>
      </c>
      <c r="B555" s="1" t="str">
        <f>[1]Data!B546</f>
        <v>3300</v>
      </c>
      <c r="C555" s="1" t="str">
        <f>[1]Data!C546</f>
        <v>3001</v>
      </c>
      <c r="D555" s="1" t="str">
        <f>[1]Data!D546</f>
        <v>L</v>
      </c>
      <c r="E555" s="1" t="str">
        <f>[1]Data!E546</f>
        <v/>
      </c>
      <c r="F555" s="1" t="str">
        <f>[1]Data!F546</f>
        <v>2026</v>
      </c>
      <c r="G555" s="1" t="str">
        <f>[1]Data!G546</f>
        <v>3</v>
      </c>
      <c r="H555" s="15">
        <f>[1]Data!H546</f>
        <v>300</v>
      </c>
      <c r="I555" s="15">
        <f>[1]Data!I546</f>
        <v>0</v>
      </c>
      <c r="J555" s="1" t="str">
        <f>[1]Data!J546</f>
        <v>X</v>
      </c>
      <c r="K555" s="1" t="str">
        <f>[1]Data!K546</f>
        <v>X</v>
      </c>
      <c r="L555" s="1" t="str">
        <f>[1]Data!L546</f>
        <v>13:06:01</v>
      </c>
      <c r="M555" s="1">
        <f>[1]Data!M546</f>
        <v>45994</v>
      </c>
      <c r="N555" s="1">
        <f>[1]Data!N546</f>
        <v>44430</v>
      </c>
      <c r="O555" s="1" t="str">
        <f>[1]Data!O546</f>
        <v>X</v>
      </c>
      <c r="P555" s="1" t="str">
        <f>[1]Data!P546</f>
        <v>2025</v>
      </c>
      <c r="Q555" s="15">
        <f>[1]Data!Q546</f>
        <v>300</v>
      </c>
      <c r="R555" s="1" t="str">
        <f>[1]Data!R546</f>
        <v/>
      </c>
    </row>
    <row r="556" spans="1:18" x14ac:dyDescent="0.35">
      <c r="A556" s="1" t="str">
        <f>[1]Data!A547</f>
        <v>4006432</v>
      </c>
      <c r="B556" s="1" t="str">
        <f>[1]Data!B547</f>
        <v>3300</v>
      </c>
      <c r="C556" s="1" t="str">
        <f>[1]Data!C547</f>
        <v>3001</v>
      </c>
      <c r="D556" s="1" t="str">
        <f>[1]Data!D547</f>
        <v>L</v>
      </c>
      <c r="E556" s="1" t="str">
        <f>[1]Data!E547</f>
        <v/>
      </c>
      <c r="F556" s="1" t="str">
        <f>[1]Data!F547</f>
        <v>2026</v>
      </c>
      <c r="G556" s="1" t="str">
        <f>[1]Data!G547</f>
        <v>2</v>
      </c>
      <c r="H556" s="15">
        <f>[1]Data!H547</f>
        <v>375</v>
      </c>
      <c r="I556" s="15">
        <f>[1]Data!I547</f>
        <v>0</v>
      </c>
      <c r="J556" s="1" t="str">
        <f>[1]Data!J547</f>
        <v>X</v>
      </c>
      <c r="K556" s="1" t="str">
        <f>[1]Data!K547</f>
        <v>X</v>
      </c>
      <c r="L556" s="1" t="str">
        <f>[1]Data!L547</f>
        <v>13:06:03</v>
      </c>
      <c r="M556" s="1">
        <f>[1]Data!M547</f>
        <v>45994</v>
      </c>
      <c r="N556" s="1">
        <f>[1]Data!N547</f>
        <v>44430</v>
      </c>
      <c r="O556" s="1" t="str">
        <f>[1]Data!O547</f>
        <v>X</v>
      </c>
      <c r="P556" s="1" t="str">
        <f>[1]Data!P547</f>
        <v>2025</v>
      </c>
      <c r="Q556" s="15">
        <f>[1]Data!Q547</f>
        <v>375</v>
      </c>
      <c r="R556" s="1" t="str">
        <f>[1]Data!R547</f>
        <v/>
      </c>
    </row>
    <row r="557" spans="1:18" x14ac:dyDescent="0.35">
      <c r="A557" s="1" t="str">
        <f>[1]Data!A548</f>
        <v>4006450</v>
      </c>
      <c r="B557" s="1" t="str">
        <f>[1]Data!B548</f>
        <v>3300</v>
      </c>
      <c r="C557" s="1" t="str">
        <f>[1]Data!C548</f>
        <v>3001</v>
      </c>
      <c r="D557" s="1" t="str">
        <f>[1]Data!D548</f>
        <v>DL</v>
      </c>
      <c r="E557" s="1" t="str">
        <f>[1]Data!E548</f>
        <v>X</v>
      </c>
      <c r="F557" s="1" t="str">
        <f>[1]Data!F548</f>
        <v>2025</v>
      </c>
      <c r="G557" s="1" t="str">
        <f>[1]Data!G548</f>
        <v>9</v>
      </c>
      <c r="H557" s="15">
        <f>[1]Data!H548</f>
        <v>0</v>
      </c>
      <c r="I557" s="15">
        <f>[1]Data!I548</f>
        <v>0</v>
      </c>
      <c r="J557" s="1" t="str">
        <f>[1]Data!J548</f>
        <v>X</v>
      </c>
      <c r="K557" s="1" t="str">
        <f>[1]Data!K548</f>
        <v>X</v>
      </c>
      <c r="L557" s="1" t="str">
        <f>[1]Data!L548</f>
        <v>SLETTET</v>
      </c>
      <c r="M557" s="1">
        <f>[1]Data!M548</f>
        <v>45994</v>
      </c>
      <c r="N557" s="1">
        <f>[1]Data!N548</f>
        <v>44883</v>
      </c>
      <c r="O557" s="1" t="str">
        <f>[1]Data!O548</f>
        <v>X</v>
      </c>
      <c r="P557" s="1" t="str">
        <f>[1]Data!P548</f>
        <v>2025</v>
      </c>
      <c r="Q557" s="15">
        <f>[1]Data!Q548</f>
        <v>0</v>
      </c>
      <c r="R557" s="1" t="str">
        <f>[1]Data!R548</f>
        <v>INAKTIV</v>
      </c>
    </row>
    <row r="558" spans="1:18" x14ac:dyDescent="0.35">
      <c r="A558" s="1" t="str">
        <f>[1]Data!A549</f>
        <v>4006451</v>
      </c>
      <c r="B558" s="1" t="str">
        <f>[1]Data!B549</f>
        <v>3300</v>
      </c>
      <c r="C558" s="1" t="str">
        <f>[1]Data!C549</f>
        <v>3001</v>
      </c>
      <c r="D558" s="1" t="str">
        <f>[1]Data!D549</f>
        <v>DL</v>
      </c>
      <c r="E558" s="1" t="str">
        <f>[1]Data!E549</f>
        <v>X</v>
      </c>
      <c r="F558" s="1" t="str">
        <f>[1]Data!F549</f>
        <v>2025</v>
      </c>
      <c r="G558" s="1" t="str">
        <f>[1]Data!G549</f>
        <v>12</v>
      </c>
      <c r="H558" s="15">
        <f>[1]Data!H549</f>
        <v>0</v>
      </c>
      <c r="I558" s="15">
        <f>[1]Data!I549</f>
        <v>0</v>
      </c>
      <c r="J558" s="1" t="str">
        <f>[1]Data!J549</f>
        <v>X</v>
      </c>
      <c r="K558" s="1" t="str">
        <f>[1]Data!K549</f>
        <v>X</v>
      </c>
      <c r="L558" s="1" t="str">
        <f>[1]Data!L549</f>
        <v>SLETTET</v>
      </c>
      <c r="M558" s="1">
        <f>[1]Data!M549</f>
        <v>45994</v>
      </c>
      <c r="N558" s="1">
        <f>[1]Data!N549</f>
        <v>44883</v>
      </c>
      <c r="O558" s="1" t="str">
        <f>[1]Data!O549</f>
        <v>X</v>
      </c>
      <c r="P558" s="1" t="str">
        <f>[1]Data!P549</f>
        <v>2025</v>
      </c>
      <c r="Q558" s="15">
        <f>[1]Data!Q549</f>
        <v>0</v>
      </c>
      <c r="R558" s="1" t="str">
        <f>[1]Data!R549</f>
        <v>INAKTIV</v>
      </c>
    </row>
    <row r="559" spans="1:18" x14ac:dyDescent="0.35">
      <c r="A559" s="1" t="str">
        <f>[1]Data!A550</f>
        <v>4006464</v>
      </c>
      <c r="B559" s="1" t="str">
        <f>[1]Data!B550</f>
        <v>3300</v>
      </c>
      <c r="C559" s="1" t="str">
        <f>[1]Data!C550</f>
        <v>3001</v>
      </c>
      <c r="D559" s="1" t="str">
        <f>[1]Data!D550</f>
        <v>L</v>
      </c>
      <c r="E559" s="1" t="str">
        <f>[1]Data!E550</f>
        <v/>
      </c>
      <c r="F559" s="1" t="str">
        <f>[1]Data!F550</f>
        <v>2026</v>
      </c>
      <c r="G559" s="1" t="str">
        <f>[1]Data!G550</f>
        <v>2</v>
      </c>
      <c r="H559" s="15">
        <f>[1]Data!H550</f>
        <v>337</v>
      </c>
      <c r="I559" s="15">
        <f>[1]Data!I550</f>
        <v>0</v>
      </c>
      <c r="J559" s="1" t="str">
        <f>[1]Data!J550</f>
        <v>X</v>
      </c>
      <c r="K559" s="1" t="str">
        <f>[1]Data!K550</f>
        <v>X</v>
      </c>
      <c r="L559" s="1" t="str">
        <f>[1]Data!L550</f>
        <v>04:07:01</v>
      </c>
      <c r="M559" s="1">
        <f>[1]Data!M550</f>
        <v>45799</v>
      </c>
      <c r="N559" s="1">
        <f>[1]Data!N550</f>
        <v>44430</v>
      </c>
      <c r="O559" s="1" t="str">
        <f>[1]Data!O550</f>
        <v>X</v>
      </c>
      <c r="P559" s="1" t="str">
        <f>[1]Data!P550</f>
        <v>2025</v>
      </c>
      <c r="Q559" s="15">
        <f>[1]Data!Q550</f>
        <v>337</v>
      </c>
      <c r="R559" s="1" t="str">
        <f>[1]Data!R550</f>
        <v/>
      </c>
    </row>
    <row r="560" spans="1:18" x14ac:dyDescent="0.35">
      <c r="A560" s="1" t="str">
        <f>[1]Data!A551</f>
        <v>4006497</v>
      </c>
      <c r="B560" s="1" t="str">
        <f>[1]Data!B551</f>
        <v>3300</v>
      </c>
      <c r="C560" s="1" t="str">
        <f>[1]Data!C551</f>
        <v>3001</v>
      </c>
      <c r="D560" s="1" t="str">
        <f>[1]Data!D551</f>
        <v>L</v>
      </c>
      <c r="E560" s="1" t="str">
        <f>[1]Data!E551</f>
        <v/>
      </c>
      <c r="F560" s="1" t="str">
        <f>[1]Data!F551</f>
        <v>2021</v>
      </c>
      <c r="G560" s="1" t="str">
        <f>[1]Data!G551</f>
        <v>10</v>
      </c>
      <c r="H560" s="15">
        <f>[1]Data!H551</f>
        <v>0</v>
      </c>
      <c r="I560" s="15">
        <f>[1]Data!I551</f>
        <v>0</v>
      </c>
      <c r="J560" s="1" t="str">
        <f>[1]Data!J551</f>
        <v>X</v>
      </c>
      <c r="K560" s="1" t="str">
        <f>[1]Data!K551</f>
        <v/>
      </c>
      <c r="L560" s="1" t="str">
        <f>[1]Data!L551</f>
        <v>SLETTET</v>
      </c>
      <c r="M560" s="1">
        <f>[1]Data!M551</f>
        <v>44568</v>
      </c>
      <c r="N560" s="1">
        <f>[1]Data!N551</f>
        <v>44430</v>
      </c>
      <c r="O560" s="1" t="str">
        <f>[1]Data!O551</f>
        <v>X</v>
      </c>
      <c r="P560" s="1" t="str">
        <f>[1]Data!P551</f>
        <v>2022</v>
      </c>
      <c r="Q560" s="15">
        <f>[1]Data!Q551</f>
        <v>0</v>
      </c>
      <c r="R560" s="1" t="str">
        <f>[1]Data!R551</f>
        <v>INAKTIV</v>
      </c>
    </row>
    <row r="561" spans="1:18" x14ac:dyDescent="0.35">
      <c r="A561" s="1" t="str">
        <f>[1]Data!A552</f>
        <v>4006498</v>
      </c>
      <c r="B561" s="1" t="str">
        <f>[1]Data!B552</f>
        <v>3300</v>
      </c>
      <c r="C561" s="1" t="str">
        <f>[1]Data!C552</f>
        <v>3001</v>
      </c>
      <c r="D561" s="1" t="str">
        <f>[1]Data!D552</f>
        <v>DL</v>
      </c>
      <c r="E561" s="1" t="str">
        <f>[1]Data!E552</f>
        <v/>
      </c>
      <c r="F561" s="1" t="str">
        <f>[1]Data!F552</f>
        <v>2022</v>
      </c>
      <c r="G561" s="1" t="str">
        <f>[1]Data!G552</f>
        <v>1</v>
      </c>
      <c r="H561" s="15">
        <f>[1]Data!H552</f>
        <v>0</v>
      </c>
      <c r="I561" s="15">
        <f>[1]Data!I552</f>
        <v>0</v>
      </c>
      <c r="J561" s="1" t="str">
        <f>[1]Data!J552</f>
        <v/>
      </c>
      <c r="K561" s="1" t="str">
        <f>[1]Data!K552</f>
        <v/>
      </c>
      <c r="L561" s="1" t="str">
        <f>[1]Data!L552</f>
        <v>-</v>
      </c>
      <c r="M561" s="1" t="str">
        <f>[1]Data!M552</f>
        <v/>
      </c>
      <c r="N561" s="1">
        <f>[1]Data!N552</f>
        <v>44587</v>
      </c>
      <c r="O561" s="1" t="str">
        <f>[1]Data!O552</f>
        <v>X</v>
      </c>
      <c r="P561" s="1" t="str">
        <f>[1]Data!P552</f>
        <v>2022</v>
      </c>
      <c r="Q561" s="15">
        <f>[1]Data!Q552</f>
        <v>0</v>
      </c>
      <c r="R561" s="1" t="str">
        <f>[1]Data!R552</f>
        <v>INAKTIV</v>
      </c>
    </row>
    <row r="562" spans="1:18" x14ac:dyDescent="0.35">
      <c r="A562" s="1" t="str">
        <f>[1]Data!A553</f>
        <v>4006499</v>
      </c>
      <c r="B562" s="1" t="str">
        <f>[1]Data!B553</f>
        <v>3300</v>
      </c>
      <c r="C562" s="1" t="str">
        <f>[1]Data!C553</f>
        <v>3001</v>
      </c>
      <c r="D562" s="1" t="str">
        <f>[1]Data!D553</f>
        <v>L</v>
      </c>
      <c r="E562" s="1" t="str">
        <f>[1]Data!E553</f>
        <v/>
      </c>
      <c r="F562" s="1" t="str">
        <f>[1]Data!F553</f>
        <v>2022</v>
      </c>
      <c r="G562" s="1" t="str">
        <f>[1]Data!G553</f>
        <v>3</v>
      </c>
      <c r="H562" s="15">
        <f>[1]Data!H553</f>
        <v>0</v>
      </c>
      <c r="I562" s="15">
        <f>[1]Data!I553</f>
        <v>0</v>
      </c>
      <c r="J562" s="1" t="str">
        <f>[1]Data!J553</f>
        <v>X</v>
      </c>
      <c r="K562" s="1" t="str">
        <f>[1]Data!K553</f>
        <v/>
      </c>
      <c r="L562" s="1" t="str">
        <f>[1]Data!L553</f>
        <v>SLETTET</v>
      </c>
      <c r="M562" s="1">
        <f>[1]Data!M553</f>
        <v>44568</v>
      </c>
      <c r="N562" s="1">
        <f>[1]Data!N553</f>
        <v>44430</v>
      </c>
      <c r="O562" s="1" t="str">
        <f>[1]Data!O553</f>
        <v>X</v>
      </c>
      <c r="P562" s="1" t="str">
        <f>[1]Data!P553</f>
        <v>2022</v>
      </c>
      <c r="Q562" s="15">
        <f>[1]Data!Q553</f>
        <v>0</v>
      </c>
      <c r="R562" s="1" t="str">
        <f>[1]Data!R553</f>
        <v>INAKTIV</v>
      </c>
    </row>
    <row r="563" spans="1:18" x14ac:dyDescent="0.35">
      <c r="A563" s="1" t="str">
        <f>[1]Data!A554</f>
        <v>4006501</v>
      </c>
      <c r="B563" s="1" t="str">
        <f>[1]Data!B554</f>
        <v>3300</v>
      </c>
      <c r="C563" s="1" t="str">
        <f>[1]Data!C554</f>
        <v>3001</v>
      </c>
      <c r="D563" s="1" t="str">
        <f>[1]Data!D554</f>
        <v>L</v>
      </c>
      <c r="E563" s="1" t="str">
        <f>[1]Data!E554</f>
        <v/>
      </c>
      <c r="F563" s="1" t="str">
        <f>[1]Data!F554</f>
        <v>2026</v>
      </c>
      <c r="G563" s="1" t="str">
        <f>[1]Data!G554</f>
        <v>3</v>
      </c>
      <c r="H563" s="15">
        <f>[1]Data!H554</f>
        <v>4800</v>
      </c>
      <c r="I563" s="15">
        <f>[1]Data!I554</f>
        <v>0</v>
      </c>
      <c r="J563" s="1" t="str">
        <f>[1]Data!J554</f>
        <v>X</v>
      </c>
      <c r="K563" s="1" t="str">
        <f>[1]Data!K554</f>
        <v>X</v>
      </c>
      <c r="L563" s="1" t="str">
        <f>[1]Data!L554</f>
        <v>14:16:03</v>
      </c>
      <c r="M563" s="1">
        <f>[1]Data!M554</f>
        <v>46001</v>
      </c>
      <c r="N563" s="1">
        <f>[1]Data!N554</f>
        <v>44430</v>
      </c>
      <c r="O563" s="1" t="str">
        <f>[1]Data!O554</f>
        <v>X</v>
      </c>
      <c r="P563" s="1" t="str">
        <f>[1]Data!P554</f>
        <v>2025</v>
      </c>
      <c r="Q563" s="15">
        <f>[1]Data!Q554</f>
        <v>4800</v>
      </c>
      <c r="R563" s="1" t="str">
        <f>[1]Data!R554</f>
        <v/>
      </c>
    </row>
    <row r="564" spans="1:18" x14ac:dyDescent="0.35">
      <c r="A564" s="1" t="str">
        <f>[1]Data!A555</f>
        <v>4006502</v>
      </c>
      <c r="B564" s="1" t="str">
        <f>[1]Data!B555</f>
        <v>3300</v>
      </c>
      <c r="C564" s="1" t="str">
        <f>[1]Data!C555</f>
        <v>3001</v>
      </c>
      <c r="D564" s="1" t="str">
        <f>[1]Data!D555</f>
        <v>L</v>
      </c>
      <c r="E564" s="1" t="str">
        <f>[1]Data!E555</f>
        <v/>
      </c>
      <c r="F564" s="1" t="str">
        <f>[1]Data!F555</f>
        <v>2026</v>
      </c>
      <c r="G564" s="1" t="str">
        <f>[1]Data!G555</f>
        <v>2</v>
      </c>
      <c r="H564" s="15">
        <f>[1]Data!H555</f>
        <v>20</v>
      </c>
      <c r="I564" s="15">
        <f>[1]Data!I555</f>
        <v>0</v>
      </c>
      <c r="J564" s="1" t="str">
        <f>[1]Data!J555</f>
        <v>X</v>
      </c>
      <c r="K564" s="1" t="str">
        <f>[1]Data!K555</f>
        <v>X</v>
      </c>
      <c r="L564" s="1" t="str">
        <f>[1]Data!L555</f>
        <v>08:12:03</v>
      </c>
      <c r="M564" s="1">
        <f>[1]Data!M555</f>
        <v>45980</v>
      </c>
      <c r="N564" s="1">
        <f>[1]Data!N555</f>
        <v>44430</v>
      </c>
      <c r="O564" s="1" t="str">
        <f>[1]Data!O555</f>
        <v>X</v>
      </c>
      <c r="P564" s="1" t="str">
        <f>[1]Data!P555</f>
        <v>2025</v>
      </c>
      <c r="Q564" s="15">
        <f>[1]Data!Q555</f>
        <v>20</v>
      </c>
      <c r="R564" s="1" t="str">
        <f>[1]Data!R555</f>
        <v/>
      </c>
    </row>
    <row r="565" spans="1:18" x14ac:dyDescent="0.35">
      <c r="A565" s="1" t="str">
        <f>[1]Data!A556</f>
        <v>4006504</v>
      </c>
      <c r="B565" s="1" t="str">
        <f>[1]Data!B556</f>
        <v>3300</v>
      </c>
      <c r="C565" s="1" t="str">
        <f>[1]Data!C556</f>
        <v>3001</v>
      </c>
      <c r="D565" s="1" t="str">
        <f>[1]Data!D556</f>
        <v>L</v>
      </c>
      <c r="E565" s="1" t="str">
        <f>[1]Data!E556</f>
        <v/>
      </c>
      <c r="F565" s="1" t="str">
        <f>[1]Data!F556</f>
        <v>2026</v>
      </c>
      <c r="G565" s="1" t="str">
        <f>[1]Data!G556</f>
        <v>3</v>
      </c>
      <c r="H565" s="15">
        <f>[1]Data!H556</f>
        <v>2100</v>
      </c>
      <c r="I565" s="15">
        <f>[1]Data!I556</f>
        <v>0</v>
      </c>
      <c r="J565" s="1" t="str">
        <f>[1]Data!J556</f>
        <v>X</v>
      </c>
      <c r="K565" s="1" t="str">
        <f>[1]Data!K556</f>
        <v>X</v>
      </c>
      <c r="L565" s="1" t="str">
        <f>[1]Data!L556</f>
        <v>15:11:03</v>
      </c>
      <c r="M565" s="1">
        <f>[1]Data!M556</f>
        <v>46006</v>
      </c>
      <c r="N565" s="1">
        <f>[1]Data!N556</f>
        <v>44430</v>
      </c>
      <c r="O565" s="1" t="str">
        <f>[1]Data!O556</f>
        <v>X</v>
      </c>
      <c r="P565" s="1" t="str">
        <f>[1]Data!P556</f>
        <v>2025</v>
      </c>
      <c r="Q565" s="15">
        <f>[1]Data!Q556</f>
        <v>2100</v>
      </c>
      <c r="R565" s="1" t="str">
        <f>[1]Data!R556</f>
        <v/>
      </c>
    </row>
    <row r="566" spans="1:18" x14ac:dyDescent="0.35">
      <c r="A566" s="1" t="str">
        <f>[1]Data!A557</f>
        <v>4006529</v>
      </c>
      <c r="B566" s="1" t="str">
        <f>[1]Data!B557</f>
        <v>3300</v>
      </c>
      <c r="C566" s="1" t="str">
        <f>[1]Data!C557</f>
        <v>3001</v>
      </c>
      <c r="D566" s="1" t="str">
        <f>[1]Data!D557</f>
        <v>DL</v>
      </c>
      <c r="E566" s="1" t="str">
        <f>[1]Data!E557</f>
        <v/>
      </c>
      <c r="F566" s="1" t="str">
        <f>[1]Data!F557</f>
        <v>2025</v>
      </c>
      <c r="G566" s="1" t="str">
        <f>[1]Data!G557</f>
        <v>12</v>
      </c>
      <c r="H566" s="15">
        <f>[1]Data!H557</f>
        <v>270</v>
      </c>
      <c r="I566" s="15">
        <f>[1]Data!I557</f>
        <v>0</v>
      </c>
      <c r="J566" s="1" t="str">
        <f>[1]Data!J557</f>
        <v>X</v>
      </c>
      <c r="K566" s="1" t="str">
        <f>[1]Data!K557</f>
        <v>X</v>
      </c>
      <c r="L566" s="1" t="str">
        <f>[1]Data!L557</f>
        <v>03:07;02</v>
      </c>
      <c r="M566" s="1">
        <f>[1]Data!M557</f>
        <v>45798</v>
      </c>
      <c r="N566" s="1">
        <f>[1]Data!N557</f>
        <v>44903</v>
      </c>
      <c r="O566" s="1" t="str">
        <f>[1]Data!O557</f>
        <v>X</v>
      </c>
      <c r="P566" s="1" t="str">
        <f>[1]Data!P557</f>
        <v>2025</v>
      </c>
      <c r="Q566" s="15">
        <f>[1]Data!Q557</f>
        <v>270</v>
      </c>
      <c r="R566" s="1" t="str">
        <f>[1]Data!R557</f>
        <v/>
      </c>
    </row>
    <row r="567" spans="1:18" x14ac:dyDescent="0.35">
      <c r="A567" s="1" t="str">
        <f>[1]Data!A558</f>
        <v>4006543</v>
      </c>
      <c r="B567" s="1" t="str">
        <f>[1]Data!B558</f>
        <v>3300</v>
      </c>
      <c r="C567" s="1" t="str">
        <f>[1]Data!C558</f>
        <v>3001</v>
      </c>
      <c r="D567" s="1" t="str">
        <f>[1]Data!D558</f>
        <v>L</v>
      </c>
      <c r="E567" s="1" t="str">
        <f>[1]Data!E558</f>
        <v/>
      </c>
      <c r="F567" s="1" t="str">
        <f>[1]Data!F558</f>
        <v>2026</v>
      </c>
      <c r="G567" s="1" t="str">
        <f>[1]Data!G558</f>
        <v>3</v>
      </c>
      <c r="H567" s="15">
        <f>[1]Data!H558</f>
        <v>17400</v>
      </c>
      <c r="I567" s="15">
        <f>[1]Data!I558</f>
        <v>0</v>
      </c>
      <c r="J567" s="1" t="str">
        <f>[1]Data!J558</f>
        <v>X</v>
      </c>
      <c r="K567" s="1" t="str">
        <f>[1]Data!K558</f>
        <v>X</v>
      </c>
      <c r="L567" s="1" t="str">
        <f>[1]Data!L558</f>
        <v>12:02:01</v>
      </c>
      <c r="M567" s="1">
        <f>[1]Data!M558</f>
        <v>45994</v>
      </c>
      <c r="N567" s="1">
        <f>[1]Data!N558</f>
        <v>44430</v>
      </c>
      <c r="O567" s="1" t="str">
        <f>[1]Data!O558</f>
        <v>X</v>
      </c>
      <c r="P567" s="1" t="str">
        <f>[1]Data!P558</f>
        <v>2025</v>
      </c>
      <c r="Q567" s="15">
        <f>[1]Data!Q558</f>
        <v>17400</v>
      </c>
      <c r="R567" s="1" t="str">
        <f>[1]Data!R558</f>
        <v/>
      </c>
    </row>
    <row r="568" spans="1:18" x14ac:dyDescent="0.35">
      <c r="A568" s="1" t="str">
        <f>[1]Data!A559</f>
        <v>4006545</v>
      </c>
      <c r="B568" s="1" t="str">
        <f>[1]Data!B559</f>
        <v>3300</v>
      </c>
      <c r="C568" s="1" t="str">
        <f>[1]Data!C559</f>
        <v>3001</v>
      </c>
      <c r="D568" s="1" t="str">
        <f>[1]Data!D559</f>
        <v>L</v>
      </c>
      <c r="E568" s="1" t="str">
        <f>[1]Data!E559</f>
        <v/>
      </c>
      <c r="F568" s="1" t="str">
        <f>[1]Data!F559</f>
        <v>2026</v>
      </c>
      <c r="G568" s="1" t="str">
        <f>[1]Data!G559</f>
        <v>2</v>
      </c>
      <c r="H568" s="15">
        <f>[1]Data!H559</f>
        <v>12700</v>
      </c>
      <c r="I568" s="15">
        <f>[1]Data!I559</f>
        <v>0</v>
      </c>
      <c r="J568" s="1" t="str">
        <f>[1]Data!J559</f>
        <v>X</v>
      </c>
      <c r="K568" s="1" t="str">
        <f>[1]Data!K559</f>
        <v>X</v>
      </c>
      <c r="L568" s="1" t="str">
        <f>[1]Data!L559</f>
        <v>09:11:01</v>
      </c>
      <c r="M568" s="1">
        <f>[1]Data!M559</f>
        <v>45987</v>
      </c>
      <c r="N568" s="1">
        <f>[1]Data!N559</f>
        <v>44430</v>
      </c>
      <c r="O568" s="1" t="str">
        <f>[1]Data!O559</f>
        <v>X</v>
      </c>
      <c r="P568" s="1" t="str">
        <f>[1]Data!P559</f>
        <v>2025</v>
      </c>
      <c r="Q568" s="15">
        <f>[1]Data!Q559</f>
        <v>12700</v>
      </c>
      <c r="R568" s="1" t="str">
        <f>[1]Data!R559</f>
        <v/>
      </c>
    </row>
    <row r="569" spans="1:18" x14ac:dyDescent="0.35">
      <c r="A569" s="1" t="str">
        <f>[1]Data!A560</f>
        <v>4006546</v>
      </c>
      <c r="B569" s="1" t="str">
        <f>[1]Data!B560</f>
        <v>3300</v>
      </c>
      <c r="C569" s="1" t="str">
        <f>[1]Data!C560</f>
        <v>3001</v>
      </c>
      <c r="D569" s="1" t="str">
        <f>[1]Data!D560</f>
        <v>DL</v>
      </c>
      <c r="E569" s="1" t="str">
        <f>[1]Data!E560</f>
        <v/>
      </c>
      <c r="F569" s="1" t="str">
        <f>[1]Data!F560</f>
        <v>2026</v>
      </c>
      <c r="G569" s="1" t="str">
        <f>[1]Data!G560</f>
        <v>2</v>
      </c>
      <c r="H569" s="15">
        <f>[1]Data!H560</f>
        <v>180</v>
      </c>
      <c r="I569" s="15">
        <f>[1]Data!I560</f>
        <v>0</v>
      </c>
      <c r="J569" s="1" t="str">
        <f>[1]Data!J560</f>
        <v>X</v>
      </c>
      <c r="K569" s="1" t="str">
        <f>[1]Data!K560</f>
        <v>X</v>
      </c>
      <c r="L569" s="1" t="str">
        <f>[1]Data!L560</f>
        <v>07:01;01</v>
      </c>
      <c r="M569" s="1">
        <f>[1]Data!M560</f>
        <v>45824</v>
      </c>
      <c r="N569" s="1">
        <f>[1]Data!N560</f>
        <v>44903</v>
      </c>
      <c r="O569" s="1" t="str">
        <f>[1]Data!O560</f>
        <v>X</v>
      </c>
      <c r="P569" s="1" t="str">
        <f>[1]Data!P560</f>
        <v>2025</v>
      </c>
      <c r="Q569" s="15">
        <f>[1]Data!Q560</f>
        <v>180</v>
      </c>
      <c r="R569" s="1" t="str">
        <f>[1]Data!R560</f>
        <v/>
      </c>
    </row>
    <row r="570" spans="1:18" x14ac:dyDescent="0.35">
      <c r="A570" s="1" t="str">
        <f>[1]Data!A561</f>
        <v>4006560</v>
      </c>
      <c r="B570" s="1" t="str">
        <f>[1]Data!B561</f>
        <v>3300</v>
      </c>
      <c r="C570" s="1" t="str">
        <f>[1]Data!C561</f>
        <v>3001</v>
      </c>
      <c r="D570" s="1" t="str">
        <f>[1]Data!D561</f>
        <v>DL</v>
      </c>
      <c r="E570" s="1" t="str">
        <f>[1]Data!E561</f>
        <v/>
      </c>
      <c r="F570" s="1" t="str">
        <f>[1]Data!F561</f>
        <v>2026</v>
      </c>
      <c r="G570" s="1" t="str">
        <f>[1]Data!G561</f>
        <v>3</v>
      </c>
      <c r="H570" s="15">
        <f>[1]Data!H561</f>
        <v>42</v>
      </c>
      <c r="I570" s="15">
        <f>[1]Data!I561</f>
        <v>0</v>
      </c>
      <c r="J570" s="1" t="str">
        <f>[1]Data!J561</f>
        <v>X</v>
      </c>
      <c r="K570" s="1" t="str">
        <f>[1]Data!K561</f>
        <v>X</v>
      </c>
      <c r="L570" s="1" t="str">
        <f>[1]Data!L561</f>
        <v>06:05:00</v>
      </c>
      <c r="M570" s="1">
        <f>[1]Data!M561</f>
        <v>45819</v>
      </c>
      <c r="N570" s="1">
        <f>[1]Data!N561</f>
        <v>45096</v>
      </c>
      <c r="O570" s="1" t="str">
        <f>[1]Data!O561</f>
        <v>X</v>
      </c>
      <c r="P570" s="1" t="str">
        <f>[1]Data!P561</f>
        <v>2025</v>
      </c>
      <c r="Q570" s="15">
        <f>[1]Data!Q561</f>
        <v>42</v>
      </c>
      <c r="R570" s="1" t="str">
        <f>[1]Data!R561</f>
        <v/>
      </c>
    </row>
    <row r="571" spans="1:18" x14ac:dyDescent="0.35">
      <c r="A571" s="1" t="str">
        <f>[1]Data!A562</f>
        <v>4006561</v>
      </c>
      <c r="B571" s="1" t="str">
        <f>[1]Data!B562</f>
        <v>3300</v>
      </c>
      <c r="C571" s="1" t="str">
        <f>[1]Data!C562</f>
        <v>3001</v>
      </c>
      <c r="D571" s="1" t="str">
        <f>[1]Data!D562</f>
        <v>DL</v>
      </c>
      <c r="E571" s="1" t="str">
        <f>[1]Data!E562</f>
        <v/>
      </c>
      <c r="F571" s="1" t="str">
        <f>[1]Data!F562</f>
        <v>2026</v>
      </c>
      <c r="G571" s="1" t="str">
        <f>[1]Data!G562</f>
        <v>3</v>
      </c>
      <c r="H571" s="15">
        <f>[1]Data!H562</f>
        <v>140</v>
      </c>
      <c r="I571" s="15">
        <f>[1]Data!I562</f>
        <v>0</v>
      </c>
      <c r="J571" s="1" t="str">
        <f>[1]Data!J562</f>
        <v>X</v>
      </c>
      <c r="K571" s="1" t="str">
        <f>[1]Data!K562</f>
        <v>X</v>
      </c>
      <c r="L571" s="1" t="str">
        <f>[1]Data!L562</f>
        <v>05:07:01</v>
      </c>
      <c r="M571" s="1">
        <f>[1]Data!M562</f>
        <v>45803</v>
      </c>
      <c r="N571" s="1">
        <f>[1]Data!N562</f>
        <v>45096</v>
      </c>
      <c r="O571" s="1" t="str">
        <f>[1]Data!O562</f>
        <v>X</v>
      </c>
      <c r="P571" s="1" t="str">
        <f>[1]Data!P562</f>
        <v>2025</v>
      </c>
      <c r="Q571" s="15">
        <f>[1]Data!Q562</f>
        <v>140</v>
      </c>
      <c r="R571" s="1" t="str">
        <f>[1]Data!R562</f>
        <v/>
      </c>
    </row>
    <row r="572" spans="1:18" x14ac:dyDescent="0.35">
      <c r="A572" s="1" t="str">
        <f>[1]Data!A563</f>
        <v>4006565</v>
      </c>
      <c r="B572" s="1" t="str">
        <f>[1]Data!B563</f>
        <v>3300</v>
      </c>
      <c r="C572" s="1" t="str">
        <f>[1]Data!C563</f>
        <v>3001</v>
      </c>
      <c r="D572" s="1" t="str">
        <f>[1]Data!D563</f>
        <v>DL</v>
      </c>
      <c r="E572" s="1" t="str">
        <f>[1]Data!E563</f>
        <v/>
      </c>
      <c r="F572" s="1" t="str">
        <f>[1]Data!F563</f>
        <v>2026</v>
      </c>
      <c r="G572" s="1" t="str">
        <f>[1]Data!G563</f>
        <v>2</v>
      </c>
      <c r="H572" s="15">
        <f>[1]Data!H563</f>
        <v>324</v>
      </c>
      <c r="I572" s="15">
        <f>[1]Data!I563</f>
        <v>0</v>
      </c>
      <c r="J572" s="1" t="str">
        <f>[1]Data!J563</f>
        <v>X</v>
      </c>
      <c r="K572" s="1" t="str">
        <f>[1]Data!K563</f>
        <v>X</v>
      </c>
      <c r="L572" s="1" t="str">
        <f>[1]Data!L563</f>
        <v>01:04:01</v>
      </c>
      <c r="M572" s="1">
        <f>[1]Data!M563</f>
        <v>45800</v>
      </c>
      <c r="N572" s="1">
        <f>[1]Data!N563</f>
        <v>45247</v>
      </c>
      <c r="O572" s="1" t="str">
        <f>[1]Data!O563</f>
        <v>X</v>
      </c>
      <c r="P572" s="1" t="str">
        <f>[1]Data!P563</f>
        <v>2025</v>
      </c>
      <c r="Q572" s="15">
        <f>[1]Data!Q563</f>
        <v>324</v>
      </c>
      <c r="R572" s="1" t="str">
        <f>[1]Data!R563</f>
        <v/>
      </c>
    </row>
    <row r="573" spans="1:18" x14ac:dyDescent="0.35">
      <c r="A573" s="1" t="str">
        <f>[1]Data!A564</f>
        <v>4006590</v>
      </c>
      <c r="B573" s="1" t="str">
        <f>[1]Data!B564</f>
        <v>3300</v>
      </c>
      <c r="C573" s="1" t="str">
        <f>[1]Data!C564</f>
        <v>3001</v>
      </c>
      <c r="D573" s="1" t="str">
        <f>[1]Data!D564</f>
        <v>L</v>
      </c>
      <c r="E573" s="1" t="str">
        <f>[1]Data!E564</f>
        <v/>
      </c>
      <c r="F573" s="1" t="str">
        <f>[1]Data!F564</f>
        <v>2026</v>
      </c>
      <c r="G573" s="1" t="str">
        <f>[1]Data!G564</f>
        <v>3</v>
      </c>
      <c r="H573" s="15">
        <f>[1]Data!H564</f>
        <v>97</v>
      </c>
      <c r="I573" s="15">
        <f>[1]Data!I564</f>
        <v>0</v>
      </c>
      <c r="J573" s="1" t="str">
        <f>[1]Data!J564</f>
        <v>X</v>
      </c>
      <c r="K573" s="1" t="str">
        <f>[1]Data!K564</f>
        <v>X</v>
      </c>
      <c r="L573" s="1" t="str">
        <f>[1]Data!L564</f>
        <v>07:06:03</v>
      </c>
      <c r="M573" s="1">
        <f>[1]Data!M564</f>
        <v>45824</v>
      </c>
      <c r="N573" s="1">
        <f>[1]Data!N564</f>
        <v>44465</v>
      </c>
      <c r="O573" s="1" t="str">
        <f>[1]Data!O564</f>
        <v>X</v>
      </c>
      <c r="P573" s="1" t="str">
        <f>[1]Data!P564</f>
        <v>2025</v>
      </c>
      <c r="Q573" s="15">
        <f>[1]Data!Q564</f>
        <v>97</v>
      </c>
      <c r="R573" s="1" t="str">
        <f>[1]Data!R564</f>
        <v/>
      </c>
    </row>
    <row r="574" spans="1:18" x14ac:dyDescent="0.35">
      <c r="A574" s="1" t="str">
        <f>[1]Data!A565</f>
        <v>4006599</v>
      </c>
      <c r="B574" s="1" t="str">
        <f>[1]Data!B565</f>
        <v>3300</v>
      </c>
      <c r="C574" s="1" t="str">
        <f>[1]Data!C565</f>
        <v>3001</v>
      </c>
      <c r="D574" s="1" t="str">
        <f>[1]Data!D565</f>
        <v>DL</v>
      </c>
      <c r="E574" s="1" t="str">
        <f>[1]Data!E565</f>
        <v/>
      </c>
      <c r="F574" s="1" t="str">
        <f>[1]Data!F565</f>
        <v>2022</v>
      </c>
      <c r="G574" s="1" t="str">
        <f>[1]Data!G565</f>
        <v>1</v>
      </c>
      <c r="H574" s="15">
        <f>[1]Data!H565</f>
        <v>0</v>
      </c>
      <c r="I574" s="15">
        <f>[1]Data!I565</f>
        <v>0</v>
      </c>
      <c r="J574" s="1" t="str">
        <f>[1]Data!J565</f>
        <v/>
      </c>
      <c r="K574" s="1" t="str">
        <f>[1]Data!K565</f>
        <v/>
      </c>
      <c r="L574" s="1" t="str">
        <f>[1]Data!L565</f>
        <v>SLETTET</v>
      </c>
      <c r="M574" s="1" t="str">
        <f>[1]Data!M565</f>
        <v/>
      </c>
      <c r="N574" s="1">
        <f>[1]Data!N565</f>
        <v>44578</v>
      </c>
      <c r="O574" s="1" t="str">
        <f>[1]Data!O565</f>
        <v>X</v>
      </c>
      <c r="P574" s="1" t="str">
        <f>[1]Data!P565</f>
        <v>2022</v>
      </c>
      <c r="Q574" s="15">
        <f>[1]Data!Q565</f>
        <v>0</v>
      </c>
      <c r="R574" s="1" t="str">
        <f>[1]Data!R565</f>
        <v>INAKTIV</v>
      </c>
    </row>
    <row r="575" spans="1:18" x14ac:dyDescent="0.35">
      <c r="A575" s="1" t="str">
        <f>[1]Data!A566</f>
        <v>4006600</v>
      </c>
      <c r="B575" s="1" t="str">
        <f>[1]Data!B566</f>
        <v>3300</v>
      </c>
      <c r="C575" s="1" t="str">
        <f>[1]Data!C566</f>
        <v>3001</v>
      </c>
      <c r="D575" s="1" t="str">
        <f>[1]Data!D566</f>
        <v>DL</v>
      </c>
      <c r="E575" s="1" t="str">
        <f>[1]Data!E566</f>
        <v/>
      </c>
      <c r="F575" s="1" t="str">
        <f>[1]Data!F566</f>
        <v>2022</v>
      </c>
      <c r="G575" s="1" t="str">
        <f>[1]Data!G566</f>
        <v>1</v>
      </c>
      <c r="H575" s="15">
        <f>[1]Data!H566</f>
        <v>0</v>
      </c>
      <c r="I575" s="15">
        <f>[1]Data!I566</f>
        <v>0</v>
      </c>
      <c r="J575" s="1" t="str">
        <f>[1]Data!J566</f>
        <v/>
      </c>
      <c r="K575" s="1" t="str">
        <f>[1]Data!K566</f>
        <v/>
      </c>
      <c r="L575" s="1" t="str">
        <f>[1]Data!L566</f>
        <v/>
      </c>
      <c r="M575" s="1" t="str">
        <f>[1]Data!M566</f>
        <v/>
      </c>
      <c r="N575" s="1">
        <f>[1]Data!N566</f>
        <v>44582</v>
      </c>
      <c r="O575" s="1" t="str">
        <f>[1]Data!O566</f>
        <v>X</v>
      </c>
      <c r="P575" s="1" t="str">
        <f>[1]Data!P566</f>
        <v>2022</v>
      </c>
      <c r="Q575" s="15">
        <f>[1]Data!Q566</f>
        <v>0</v>
      </c>
      <c r="R575" s="1" t="str">
        <f>[1]Data!R566</f>
        <v>INAKTIV</v>
      </c>
    </row>
    <row r="576" spans="1:18" x14ac:dyDescent="0.35">
      <c r="A576" s="1" t="str">
        <f>[1]Data!A567</f>
        <v>4006665</v>
      </c>
      <c r="B576" s="1" t="str">
        <f>[1]Data!B567</f>
        <v>3300</v>
      </c>
      <c r="C576" s="1" t="str">
        <f>[1]Data!C567</f>
        <v>3001</v>
      </c>
      <c r="D576" s="1" t="str">
        <f>[1]Data!D567</f>
        <v>DL</v>
      </c>
      <c r="E576" s="1" t="str">
        <f>[1]Data!E567</f>
        <v/>
      </c>
      <c r="F576" s="1" t="str">
        <f>[1]Data!F567</f>
        <v>2025</v>
      </c>
      <c r="G576" s="1" t="str">
        <f>[1]Data!G567</f>
        <v>12</v>
      </c>
      <c r="H576" s="15">
        <f>[1]Data!H567</f>
        <v>3200</v>
      </c>
      <c r="I576" s="15">
        <f>[1]Data!I567</f>
        <v>0</v>
      </c>
      <c r="J576" s="1" t="str">
        <f>[1]Data!J567</f>
        <v>X</v>
      </c>
      <c r="K576" s="1" t="str">
        <f>[1]Data!K567</f>
        <v/>
      </c>
      <c r="L576" s="1" t="str">
        <f>[1]Data!L567</f>
        <v>12:01:00</v>
      </c>
      <c r="M576" s="1">
        <f>[1]Data!M567</f>
        <v>46030</v>
      </c>
      <c r="N576" s="1">
        <f>[1]Data!N567</f>
        <v>45811</v>
      </c>
      <c r="O576" s="1" t="str">
        <f>[1]Data!O567</f>
        <v>X</v>
      </c>
      <c r="P576" s="1" t="str">
        <f>[1]Data!P567</f>
        <v>2026</v>
      </c>
      <c r="Q576" s="15">
        <f>[1]Data!Q567</f>
        <v>3200</v>
      </c>
      <c r="R576" s="1" t="str">
        <f>[1]Data!R567</f>
        <v/>
      </c>
    </row>
    <row r="577" spans="1:18" x14ac:dyDescent="0.35">
      <c r="A577" s="1" t="str">
        <f>[1]Data!A568</f>
        <v>4006678</v>
      </c>
      <c r="B577" s="1" t="str">
        <f>[1]Data!B568</f>
        <v>3300</v>
      </c>
      <c r="C577" s="1" t="str">
        <f>[1]Data!C568</f>
        <v>3001</v>
      </c>
      <c r="D577" s="1" t="str">
        <f>[1]Data!D568</f>
        <v>L</v>
      </c>
      <c r="E577" s="1" t="str">
        <f>[1]Data!E568</f>
        <v/>
      </c>
      <c r="F577" s="1" t="str">
        <f>[1]Data!F568</f>
        <v>2026</v>
      </c>
      <c r="G577" s="1" t="str">
        <f>[1]Data!G568</f>
        <v>3</v>
      </c>
      <c r="H577" s="15">
        <f>[1]Data!H568</f>
        <v>145</v>
      </c>
      <c r="I577" s="15">
        <f>[1]Data!I568</f>
        <v>0</v>
      </c>
      <c r="J577" s="1" t="str">
        <f>[1]Data!J568</f>
        <v>X</v>
      </c>
      <c r="K577" s="1" t="str">
        <f>[1]Data!K568</f>
        <v>X</v>
      </c>
      <c r="L577" s="1" t="str">
        <f>[1]Data!L568</f>
        <v>07:11:03</v>
      </c>
      <c r="M577" s="1">
        <f>[1]Data!M568</f>
        <v>45825</v>
      </c>
      <c r="N577" s="1">
        <f>[1]Data!N568</f>
        <v>44430</v>
      </c>
      <c r="O577" s="1" t="str">
        <f>[1]Data!O568</f>
        <v>X</v>
      </c>
      <c r="P577" s="1" t="str">
        <f>[1]Data!P568</f>
        <v>2025</v>
      </c>
      <c r="Q577" s="15">
        <f>[1]Data!Q568</f>
        <v>145</v>
      </c>
      <c r="R577" s="1" t="str">
        <f>[1]Data!R568</f>
        <v/>
      </c>
    </row>
    <row r="578" spans="1:18" x14ac:dyDescent="0.35">
      <c r="A578" s="1" t="str">
        <f>[1]Data!A569</f>
        <v>4006755</v>
      </c>
      <c r="B578" s="1" t="str">
        <f>[1]Data!B569</f>
        <v>3300</v>
      </c>
      <c r="C578" s="1" t="str">
        <f>[1]Data!C569</f>
        <v>3001</v>
      </c>
      <c r="D578" s="1" t="str">
        <f>[1]Data!D569</f>
        <v>L</v>
      </c>
      <c r="E578" s="1" t="str">
        <f>[1]Data!E569</f>
        <v/>
      </c>
      <c r="F578" s="1" t="str">
        <f>[1]Data!F569</f>
        <v>2026</v>
      </c>
      <c r="G578" s="1" t="str">
        <f>[1]Data!G569</f>
        <v>2</v>
      </c>
      <c r="H578" s="15">
        <f>[1]Data!H569</f>
        <v>464</v>
      </c>
      <c r="I578" s="15">
        <f>[1]Data!I569</f>
        <v>0</v>
      </c>
      <c r="J578" s="1" t="str">
        <f>[1]Data!J569</f>
        <v>X</v>
      </c>
      <c r="K578" s="1" t="str">
        <f>[1]Data!K569</f>
        <v>X</v>
      </c>
      <c r="L578" s="1" t="str">
        <f>[1]Data!L569</f>
        <v>14:08:03</v>
      </c>
      <c r="M578" s="1">
        <f>[1]Data!M569</f>
        <v>46001</v>
      </c>
      <c r="N578" s="1">
        <f>[1]Data!N569</f>
        <v>44430</v>
      </c>
      <c r="O578" s="1" t="str">
        <f>[1]Data!O569</f>
        <v>X</v>
      </c>
      <c r="P578" s="1" t="str">
        <f>[1]Data!P569</f>
        <v>2025</v>
      </c>
      <c r="Q578" s="15">
        <f>[1]Data!Q569</f>
        <v>464</v>
      </c>
      <c r="R578" s="1" t="str">
        <f>[1]Data!R569</f>
        <v/>
      </c>
    </row>
    <row r="579" spans="1:18" x14ac:dyDescent="0.35">
      <c r="A579" s="1" t="str">
        <f>[1]Data!A570</f>
        <v>4006758</v>
      </c>
      <c r="B579" s="1" t="str">
        <f>[1]Data!B570</f>
        <v>3300</v>
      </c>
      <c r="C579" s="1" t="str">
        <f>[1]Data!C570</f>
        <v>3001</v>
      </c>
      <c r="D579" s="1" t="str">
        <f>[1]Data!D570</f>
        <v>DL</v>
      </c>
      <c r="E579" s="1" t="str">
        <f>[1]Data!E570</f>
        <v/>
      </c>
      <c r="F579" s="1" t="str">
        <f>[1]Data!F570</f>
        <v>2026</v>
      </c>
      <c r="G579" s="1" t="str">
        <f>[1]Data!G570</f>
        <v>3</v>
      </c>
      <c r="H579" s="15">
        <f>[1]Data!H570</f>
        <v>304</v>
      </c>
      <c r="I579" s="15">
        <f>[1]Data!I570</f>
        <v>0</v>
      </c>
      <c r="J579" s="1" t="str">
        <f>[1]Data!J570</f>
        <v>X</v>
      </c>
      <c r="K579" s="1" t="str">
        <f>[1]Data!K570</f>
        <v>X</v>
      </c>
      <c r="L579" s="1" t="str">
        <f>[1]Data!L570</f>
        <v>05:06:03</v>
      </c>
      <c r="M579" s="1">
        <f>[1]Data!M570</f>
        <v>45803</v>
      </c>
      <c r="N579" s="1">
        <f>[1]Data!N570</f>
        <v>45096</v>
      </c>
      <c r="O579" s="1" t="str">
        <f>[1]Data!O570</f>
        <v>X</v>
      </c>
      <c r="P579" s="1" t="str">
        <f>[1]Data!P570</f>
        <v>2025</v>
      </c>
      <c r="Q579" s="15">
        <f>[1]Data!Q570</f>
        <v>304</v>
      </c>
      <c r="R579" s="1" t="str">
        <f>[1]Data!R570</f>
        <v/>
      </c>
    </row>
    <row r="580" spans="1:18" x14ac:dyDescent="0.35">
      <c r="A580" s="1" t="str">
        <f>[1]Data!A571</f>
        <v>4006770</v>
      </c>
      <c r="B580" s="1" t="str">
        <f>[1]Data!B571</f>
        <v>3300</v>
      </c>
      <c r="C580" s="1" t="str">
        <f>[1]Data!C571</f>
        <v>3001</v>
      </c>
      <c r="D580" s="1" t="str">
        <f>[1]Data!D571</f>
        <v>L</v>
      </c>
      <c r="E580" s="1" t="str">
        <f>[1]Data!E571</f>
        <v/>
      </c>
      <c r="F580" s="1" t="str">
        <f>[1]Data!F571</f>
        <v>2026</v>
      </c>
      <c r="G580" s="1" t="str">
        <f>[1]Data!G571</f>
        <v>3</v>
      </c>
      <c r="H580" s="15">
        <f>[1]Data!H571</f>
        <v>576</v>
      </c>
      <c r="I580" s="15">
        <f>[1]Data!I571</f>
        <v>0</v>
      </c>
      <c r="J580" s="1" t="str">
        <f>[1]Data!J571</f>
        <v>X</v>
      </c>
      <c r="K580" s="1" t="str">
        <f>[1]Data!K571</f>
        <v>X</v>
      </c>
      <c r="L580" s="1" t="str">
        <f>[1]Data!L571</f>
        <v>01:02:02</v>
      </c>
      <c r="M580" s="1">
        <f>[1]Data!M571</f>
        <v>45793</v>
      </c>
      <c r="N580" s="1">
        <f>[1]Data!N571</f>
        <v>44430</v>
      </c>
      <c r="O580" s="1" t="str">
        <f>[1]Data!O571</f>
        <v>X</v>
      </c>
      <c r="P580" s="1" t="str">
        <f>[1]Data!P571</f>
        <v>2025</v>
      </c>
      <c r="Q580" s="15">
        <f>[1]Data!Q571</f>
        <v>576</v>
      </c>
      <c r="R580" s="1" t="str">
        <f>[1]Data!R571</f>
        <v/>
      </c>
    </row>
    <row r="581" spans="1:18" x14ac:dyDescent="0.35">
      <c r="A581" s="1" t="str">
        <f>[1]Data!A572</f>
        <v>4006771</v>
      </c>
      <c r="B581" s="1" t="str">
        <f>[1]Data!B572</f>
        <v>3300</v>
      </c>
      <c r="C581" s="1" t="str">
        <f>[1]Data!C572</f>
        <v>3001</v>
      </c>
      <c r="D581" s="1" t="str">
        <f>[1]Data!D572</f>
        <v>L</v>
      </c>
      <c r="E581" s="1" t="str">
        <f>[1]Data!E572</f>
        <v/>
      </c>
      <c r="F581" s="1" t="str">
        <f>[1]Data!F572</f>
        <v>2026</v>
      </c>
      <c r="G581" s="1" t="str">
        <f>[1]Data!G572</f>
        <v>2</v>
      </c>
      <c r="H581" s="15">
        <f>[1]Data!H572</f>
        <v>827</v>
      </c>
      <c r="I581" s="15">
        <f>[1]Data!I572</f>
        <v>0</v>
      </c>
      <c r="J581" s="1" t="str">
        <f>[1]Data!J572</f>
        <v>X</v>
      </c>
      <c r="K581" s="1" t="str">
        <f>[1]Data!K572</f>
        <v>X</v>
      </c>
      <c r="L581" s="1" t="str">
        <f>[1]Data!L572</f>
        <v>01:01:02</v>
      </c>
      <c r="M581" s="1">
        <f>[1]Data!M572</f>
        <v>45792</v>
      </c>
      <c r="N581" s="1">
        <f>[1]Data!N572</f>
        <v>44430</v>
      </c>
      <c r="O581" s="1" t="str">
        <f>[1]Data!O572</f>
        <v>X</v>
      </c>
      <c r="P581" s="1" t="str">
        <f>[1]Data!P572</f>
        <v>2025</v>
      </c>
      <c r="Q581" s="15">
        <f>[1]Data!Q572</f>
        <v>827</v>
      </c>
      <c r="R581" s="1" t="str">
        <f>[1]Data!R572</f>
        <v/>
      </c>
    </row>
    <row r="582" spans="1:18" x14ac:dyDescent="0.35">
      <c r="A582" s="1" t="str">
        <f>[1]Data!A573</f>
        <v>4006775</v>
      </c>
      <c r="B582" s="1" t="str">
        <f>[1]Data!B573</f>
        <v>3300</v>
      </c>
      <c r="C582" s="1" t="str">
        <f>[1]Data!C573</f>
        <v>3001</v>
      </c>
      <c r="D582" s="1" t="str">
        <f>[1]Data!D573</f>
        <v>L</v>
      </c>
      <c r="E582" s="1" t="str">
        <f>[1]Data!E573</f>
        <v/>
      </c>
      <c r="F582" s="1" t="str">
        <f>[1]Data!F573</f>
        <v>2026</v>
      </c>
      <c r="G582" s="1" t="str">
        <f>[1]Data!G573</f>
        <v>2</v>
      </c>
      <c r="H582" s="15">
        <f>[1]Data!H573</f>
        <v>396</v>
      </c>
      <c r="I582" s="15">
        <f>[1]Data!I573</f>
        <v>0</v>
      </c>
      <c r="J582" s="1" t="str">
        <f>[1]Data!J573</f>
        <v>X</v>
      </c>
      <c r="K582" s="1" t="str">
        <f>[1]Data!K573</f>
        <v>X</v>
      </c>
      <c r="L582" s="1" t="str">
        <f>[1]Data!L573</f>
        <v>01:03:02</v>
      </c>
      <c r="M582" s="1">
        <f>[1]Data!M573</f>
        <v>45793</v>
      </c>
      <c r="N582" s="1">
        <f>[1]Data!N573</f>
        <v>44430</v>
      </c>
      <c r="O582" s="1" t="str">
        <f>[1]Data!O573</f>
        <v>X</v>
      </c>
      <c r="P582" s="1" t="str">
        <f>[1]Data!P573</f>
        <v>2025</v>
      </c>
      <c r="Q582" s="15">
        <f>[1]Data!Q573</f>
        <v>396</v>
      </c>
      <c r="R582" s="1" t="str">
        <f>[1]Data!R573</f>
        <v/>
      </c>
    </row>
    <row r="583" spans="1:18" x14ac:dyDescent="0.35">
      <c r="A583" s="1" t="str">
        <f>[1]Data!A574</f>
        <v>4006778</v>
      </c>
      <c r="B583" s="1" t="str">
        <f>[1]Data!B574</f>
        <v>3300</v>
      </c>
      <c r="C583" s="1" t="str">
        <f>[1]Data!C574</f>
        <v>3001</v>
      </c>
      <c r="D583" s="1" t="str">
        <f>[1]Data!D574</f>
        <v>L</v>
      </c>
      <c r="E583" s="1" t="str">
        <f>[1]Data!E574</f>
        <v/>
      </c>
      <c r="F583" s="1" t="str">
        <f>[1]Data!F574</f>
        <v>2026</v>
      </c>
      <c r="G583" s="1" t="str">
        <f>[1]Data!G574</f>
        <v>2</v>
      </c>
      <c r="H583" s="15">
        <f>[1]Data!H574</f>
        <v>648</v>
      </c>
      <c r="I583" s="15">
        <f>[1]Data!I574</f>
        <v>0</v>
      </c>
      <c r="J583" s="1" t="str">
        <f>[1]Data!J574</f>
        <v>X</v>
      </c>
      <c r="K583" s="1" t="str">
        <f>[1]Data!K574</f>
        <v>X</v>
      </c>
      <c r="L583" s="1" t="str">
        <f>[1]Data!L574</f>
        <v>01:03:03</v>
      </c>
      <c r="M583" s="1">
        <f>[1]Data!M574</f>
        <v>45793</v>
      </c>
      <c r="N583" s="1">
        <f>[1]Data!N574</f>
        <v>44430</v>
      </c>
      <c r="O583" s="1" t="str">
        <f>[1]Data!O574</f>
        <v>X</v>
      </c>
      <c r="P583" s="1" t="str">
        <f>[1]Data!P574</f>
        <v>2025</v>
      </c>
      <c r="Q583" s="15">
        <f>[1]Data!Q574</f>
        <v>648</v>
      </c>
      <c r="R583" s="1" t="str">
        <f>[1]Data!R574</f>
        <v/>
      </c>
    </row>
    <row r="584" spans="1:18" x14ac:dyDescent="0.35">
      <c r="A584" s="1" t="str">
        <f>[1]Data!A575</f>
        <v>4006780</v>
      </c>
      <c r="B584" s="1" t="str">
        <f>[1]Data!B575</f>
        <v>3300</v>
      </c>
      <c r="C584" s="1" t="str">
        <f>[1]Data!C575</f>
        <v>3001</v>
      </c>
      <c r="D584" s="1" t="str">
        <f>[1]Data!D575</f>
        <v>L</v>
      </c>
      <c r="E584" s="1" t="str">
        <f>[1]Data!E575</f>
        <v/>
      </c>
      <c r="F584" s="1" t="str">
        <f>[1]Data!F575</f>
        <v>2026</v>
      </c>
      <c r="G584" s="1" t="str">
        <f>[1]Data!G575</f>
        <v>2</v>
      </c>
      <c r="H584" s="15">
        <f>[1]Data!H575</f>
        <v>168</v>
      </c>
      <c r="I584" s="15">
        <f>[1]Data!I575</f>
        <v>0</v>
      </c>
      <c r="J584" s="1" t="str">
        <f>[1]Data!J575</f>
        <v>X</v>
      </c>
      <c r="K584" s="1" t="str">
        <f>[1]Data!K575</f>
        <v>X</v>
      </c>
      <c r="L584" s="1" t="str">
        <f>[1]Data!L575</f>
        <v>01:03:01</v>
      </c>
      <c r="M584" s="1">
        <f>[1]Data!M575</f>
        <v>45793</v>
      </c>
      <c r="N584" s="1">
        <f>[1]Data!N575</f>
        <v>44430</v>
      </c>
      <c r="O584" s="1" t="str">
        <f>[1]Data!O575</f>
        <v>X</v>
      </c>
      <c r="P584" s="1" t="str">
        <f>[1]Data!P575</f>
        <v>2025</v>
      </c>
      <c r="Q584" s="15">
        <f>[1]Data!Q575</f>
        <v>168</v>
      </c>
      <c r="R584" s="1" t="str">
        <f>[1]Data!R575</f>
        <v/>
      </c>
    </row>
    <row r="585" spans="1:18" x14ac:dyDescent="0.35">
      <c r="A585" s="1" t="str">
        <f>[1]Data!A576</f>
        <v>4006795</v>
      </c>
      <c r="B585" s="1" t="str">
        <f>[1]Data!B576</f>
        <v>3300</v>
      </c>
      <c r="C585" s="1" t="str">
        <f>[1]Data!C576</f>
        <v>3001</v>
      </c>
      <c r="D585" s="1" t="str">
        <f>[1]Data!D576</f>
        <v>L</v>
      </c>
      <c r="E585" s="1" t="str">
        <f>[1]Data!E576</f>
        <v/>
      </c>
      <c r="F585" s="1" t="str">
        <f>[1]Data!F576</f>
        <v>2026</v>
      </c>
      <c r="G585" s="1" t="str">
        <f>[1]Data!G576</f>
        <v>3</v>
      </c>
      <c r="H585" s="15">
        <f>[1]Data!H576</f>
        <v>92</v>
      </c>
      <c r="I585" s="15">
        <f>[1]Data!I576</f>
        <v>0</v>
      </c>
      <c r="J585" s="1" t="str">
        <f>[1]Data!J576</f>
        <v>X</v>
      </c>
      <c r="K585" s="1" t="str">
        <f>[1]Data!K576</f>
        <v>X</v>
      </c>
      <c r="L585" s="1" t="str">
        <f>[1]Data!L576</f>
        <v>03:02:01</v>
      </c>
      <c r="M585" s="1">
        <f>[1]Data!M576</f>
        <v>45798</v>
      </c>
      <c r="N585" s="1">
        <f>[1]Data!N576</f>
        <v>44430</v>
      </c>
      <c r="O585" s="1" t="str">
        <f>[1]Data!O576</f>
        <v>X</v>
      </c>
      <c r="P585" s="1" t="str">
        <f>[1]Data!P576</f>
        <v>2025</v>
      </c>
      <c r="Q585" s="15">
        <f>[1]Data!Q576</f>
        <v>92</v>
      </c>
      <c r="R585" s="1" t="str">
        <f>[1]Data!R576</f>
        <v/>
      </c>
    </row>
    <row r="586" spans="1:18" x14ac:dyDescent="0.35">
      <c r="A586" s="1" t="str">
        <f>[1]Data!A577</f>
        <v>4007769</v>
      </c>
      <c r="B586" s="1" t="str">
        <f>[1]Data!B577</f>
        <v>3300</v>
      </c>
      <c r="C586" s="1" t="str">
        <f>[1]Data!C577</f>
        <v>3001</v>
      </c>
      <c r="D586" s="1" t="str">
        <f>[1]Data!D577</f>
        <v>DL</v>
      </c>
      <c r="E586" s="1" t="str">
        <f>[1]Data!E577</f>
        <v/>
      </c>
      <c r="F586" s="1" t="str">
        <f>[1]Data!F577</f>
        <v>2026</v>
      </c>
      <c r="G586" s="1" t="str">
        <f>[1]Data!G577</f>
        <v>2</v>
      </c>
      <c r="H586" s="15">
        <f>[1]Data!H577</f>
        <v>648</v>
      </c>
      <c r="I586" s="15">
        <f>[1]Data!I577</f>
        <v>0</v>
      </c>
      <c r="J586" s="1" t="str">
        <f>[1]Data!J577</f>
        <v>X</v>
      </c>
      <c r="K586" s="1" t="str">
        <f>[1]Data!K577</f>
        <v/>
      </c>
      <c r="L586" s="1" t="str">
        <f>[1]Data!L577</f>
        <v>01:02:00</v>
      </c>
      <c r="M586" s="1">
        <f>[1]Data!M577</f>
        <v>45792</v>
      </c>
      <c r="N586" s="1">
        <f>[1]Data!N577</f>
        <v>45345</v>
      </c>
      <c r="O586" s="1" t="str">
        <f>[1]Data!O577</f>
        <v>X</v>
      </c>
      <c r="P586" s="1" t="str">
        <f>[1]Data!P577</f>
        <v>2025</v>
      </c>
      <c r="Q586" s="15">
        <f>[1]Data!Q577</f>
        <v>648</v>
      </c>
      <c r="R586" s="1" t="str">
        <f>[1]Data!R577</f>
        <v/>
      </c>
    </row>
    <row r="587" spans="1:18" x14ac:dyDescent="0.35">
      <c r="A587" s="1" t="str">
        <f>[1]Data!A578</f>
        <v>4007774</v>
      </c>
      <c r="B587" s="1" t="str">
        <f>[1]Data!B578</f>
        <v>3300</v>
      </c>
      <c r="C587" s="1" t="str">
        <f>[1]Data!C578</f>
        <v>3001</v>
      </c>
      <c r="D587" s="1" t="str">
        <f>[1]Data!D578</f>
        <v>DL</v>
      </c>
      <c r="E587" s="1" t="str">
        <f>[1]Data!E578</f>
        <v/>
      </c>
      <c r="F587" s="1" t="str">
        <f>[1]Data!F578</f>
        <v>2026</v>
      </c>
      <c r="G587" s="1" t="str">
        <f>[1]Data!G578</f>
        <v>2</v>
      </c>
      <c r="H587" s="15">
        <f>[1]Data!H578</f>
        <v>1606</v>
      </c>
      <c r="I587" s="15">
        <f>[1]Data!I578</f>
        <v>0</v>
      </c>
      <c r="J587" s="1" t="str">
        <f>[1]Data!J578</f>
        <v>X</v>
      </c>
      <c r="K587" s="1" t="str">
        <f>[1]Data!K578</f>
        <v/>
      </c>
      <c r="L587" s="1" t="str">
        <f>[1]Data!L578</f>
        <v>01;04:00</v>
      </c>
      <c r="M587" s="1">
        <f>[1]Data!M578</f>
        <v>45792</v>
      </c>
      <c r="N587" s="1">
        <f>[1]Data!N578</f>
        <v>45393</v>
      </c>
      <c r="O587" s="1" t="str">
        <f>[1]Data!O578</f>
        <v>X</v>
      </c>
      <c r="P587" s="1" t="str">
        <f>[1]Data!P578</f>
        <v>2025</v>
      </c>
      <c r="Q587" s="15">
        <f>[1]Data!Q578</f>
        <v>1606</v>
      </c>
      <c r="R587" s="1" t="str">
        <f>[1]Data!R578</f>
        <v/>
      </c>
    </row>
    <row r="588" spans="1:18" x14ac:dyDescent="0.35">
      <c r="A588" s="1" t="str">
        <f>[1]Data!A579</f>
        <v>4007802</v>
      </c>
      <c r="B588" s="1" t="str">
        <f>[1]Data!B579</f>
        <v>3300</v>
      </c>
      <c r="C588" s="1" t="str">
        <f>[1]Data!C579</f>
        <v>3001</v>
      </c>
      <c r="D588" s="1" t="str">
        <f>[1]Data!D579</f>
        <v>L</v>
      </c>
      <c r="E588" s="1" t="str">
        <f>[1]Data!E579</f>
        <v/>
      </c>
      <c r="F588" s="1" t="str">
        <f>[1]Data!F579</f>
        <v>2022</v>
      </c>
      <c r="G588" s="1" t="str">
        <f>[1]Data!G579</f>
        <v>3</v>
      </c>
      <c r="H588" s="15">
        <f>[1]Data!H579</f>
        <v>0</v>
      </c>
      <c r="I588" s="15">
        <f>[1]Data!I579</f>
        <v>0</v>
      </c>
      <c r="J588" s="1" t="str">
        <f>[1]Data!J579</f>
        <v>X</v>
      </c>
      <c r="K588" s="1" t="str">
        <f>[1]Data!K579</f>
        <v/>
      </c>
      <c r="L588" s="1" t="str">
        <f>[1]Data!L579</f>
        <v>SLETTET</v>
      </c>
      <c r="M588" s="1">
        <f>[1]Data!M579</f>
        <v>44568</v>
      </c>
      <c r="N588" s="1">
        <f>[1]Data!N579</f>
        <v>44430</v>
      </c>
      <c r="O588" s="1" t="str">
        <f>[1]Data!O579</f>
        <v>X</v>
      </c>
      <c r="P588" s="1" t="str">
        <f>[1]Data!P579</f>
        <v>2022</v>
      </c>
      <c r="Q588" s="15">
        <f>[1]Data!Q579</f>
        <v>0</v>
      </c>
      <c r="R588" s="1" t="str">
        <f>[1]Data!R579</f>
        <v>INAKTIV</v>
      </c>
    </row>
    <row r="589" spans="1:18" x14ac:dyDescent="0.35">
      <c r="A589" s="1" t="str">
        <f>[1]Data!A580</f>
        <v>4007817</v>
      </c>
      <c r="B589" s="1" t="str">
        <f>[1]Data!B580</f>
        <v>3300</v>
      </c>
      <c r="C589" s="1" t="str">
        <f>[1]Data!C580</f>
        <v>3001</v>
      </c>
      <c r="D589" s="1" t="str">
        <f>[1]Data!D580</f>
        <v>L</v>
      </c>
      <c r="E589" s="1" t="str">
        <f>[1]Data!E580</f>
        <v/>
      </c>
      <c r="F589" s="1" t="str">
        <f>[1]Data!F580</f>
        <v>2026</v>
      </c>
      <c r="G589" s="1" t="str">
        <f>[1]Data!G580</f>
        <v>2</v>
      </c>
      <c r="H589" s="15">
        <f>[1]Data!H580</f>
        <v>120</v>
      </c>
      <c r="I589" s="15">
        <f>[1]Data!I580</f>
        <v>0</v>
      </c>
      <c r="J589" s="1" t="str">
        <f>[1]Data!J580</f>
        <v>X</v>
      </c>
      <c r="K589" s="1" t="str">
        <f>[1]Data!K580</f>
        <v>X</v>
      </c>
      <c r="L589" s="1" t="str">
        <f>[1]Data!L580</f>
        <v>02:11:03</v>
      </c>
      <c r="M589" s="1">
        <f>[1]Data!M580</f>
        <v>45797</v>
      </c>
      <c r="N589" s="1">
        <f>[1]Data!N580</f>
        <v>44430</v>
      </c>
      <c r="O589" s="1" t="str">
        <f>[1]Data!O580</f>
        <v>X</v>
      </c>
      <c r="P589" s="1" t="str">
        <f>[1]Data!P580</f>
        <v>2025</v>
      </c>
      <c r="Q589" s="15">
        <f>[1]Data!Q580</f>
        <v>120</v>
      </c>
      <c r="R589" s="1" t="str">
        <f>[1]Data!R580</f>
        <v/>
      </c>
    </row>
    <row r="590" spans="1:18" x14ac:dyDescent="0.35">
      <c r="A590" s="1" t="str">
        <f>[1]Data!A581</f>
        <v>4007818</v>
      </c>
      <c r="B590" s="1" t="str">
        <f>[1]Data!B581</f>
        <v>3300</v>
      </c>
      <c r="C590" s="1" t="str">
        <f>[1]Data!C581</f>
        <v>3001</v>
      </c>
      <c r="D590" s="1" t="str">
        <f>[1]Data!D581</f>
        <v>L</v>
      </c>
      <c r="E590" s="1" t="str">
        <f>[1]Data!E581</f>
        <v/>
      </c>
      <c r="F590" s="1" t="str">
        <f>[1]Data!F581</f>
        <v>2026</v>
      </c>
      <c r="G590" s="1" t="str">
        <f>[1]Data!G581</f>
        <v>3</v>
      </c>
      <c r="H590" s="15">
        <f>[1]Data!H581</f>
        <v>210</v>
      </c>
      <c r="I590" s="15">
        <f>[1]Data!I581</f>
        <v>0</v>
      </c>
      <c r="J590" s="1" t="str">
        <f>[1]Data!J581</f>
        <v>X</v>
      </c>
      <c r="K590" s="1" t="str">
        <f>[1]Data!K581</f>
        <v>X</v>
      </c>
      <c r="L590" s="1" t="str">
        <f>[1]Data!L581</f>
        <v>02:11:03</v>
      </c>
      <c r="M590" s="1">
        <f>[1]Data!M581</f>
        <v>45797</v>
      </c>
      <c r="N590" s="1">
        <f>[1]Data!N581</f>
        <v>44430</v>
      </c>
      <c r="O590" s="1" t="str">
        <f>[1]Data!O581</f>
        <v>X</v>
      </c>
      <c r="P590" s="1" t="str">
        <f>[1]Data!P581</f>
        <v>2025</v>
      </c>
      <c r="Q590" s="15">
        <f>[1]Data!Q581</f>
        <v>210</v>
      </c>
      <c r="R590" s="1" t="str">
        <f>[1]Data!R581</f>
        <v/>
      </c>
    </row>
    <row r="591" spans="1:18" x14ac:dyDescent="0.35">
      <c r="A591" s="1" t="str">
        <f>[1]Data!A582</f>
        <v>4007825</v>
      </c>
      <c r="B591" s="1" t="str">
        <f>[1]Data!B582</f>
        <v>3300</v>
      </c>
      <c r="C591" s="1" t="str">
        <f>[1]Data!C582</f>
        <v>3001</v>
      </c>
      <c r="D591" s="1" t="str">
        <f>[1]Data!D582</f>
        <v>L</v>
      </c>
      <c r="E591" s="1" t="str">
        <f>[1]Data!E582</f>
        <v/>
      </c>
      <c r="F591" s="1" t="str">
        <f>[1]Data!F582</f>
        <v>2026</v>
      </c>
      <c r="G591" s="1" t="str">
        <f>[1]Data!G582</f>
        <v>2</v>
      </c>
      <c r="H591" s="15">
        <f>[1]Data!H582</f>
        <v>499</v>
      </c>
      <c r="I591" s="15">
        <f>[1]Data!I582</f>
        <v>0</v>
      </c>
      <c r="J591" s="1" t="str">
        <f>[1]Data!J582</f>
        <v>X</v>
      </c>
      <c r="K591" s="1" t="str">
        <f>[1]Data!K582</f>
        <v>X</v>
      </c>
      <c r="L591" s="1" t="str">
        <f>[1]Data!L582</f>
        <v>02:09:01</v>
      </c>
      <c r="M591" s="1">
        <f>[1]Data!M582</f>
        <v>45797</v>
      </c>
      <c r="N591" s="1">
        <f>[1]Data!N582</f>
        <v>44430</v>
      </c>
      <c r="O591" s="1" t="str">
        <f>[1]Data!O582</f>
        <v>X</v>
      </c>
      <c r="P591" s="1" t="str">
        <f>[1]Data!P582</f>
        <v>2025</v>
      </c>
      <c r="Q591" s="15">
        <f>[1]Data!Q582</f>
        <v>499</v>
      </c>
      <c r="R591" s="1" t="str">
        <f>[1]Data!R582</f>
        <v/>
      </c>
    </row>
    <row r="592" spans="1:18" x14ac:dyDescent="0.35">
      <c r="A592" s="1" t="str">
        <f>[1]Data!A583</f>
        <v>4007843</v>
      </c>
      <c r="B592" s="1" t="str">
        <f>[1]Data!B583</f>
        <v>3300</v>
      </c>
      <c r="C592" s="1" t="str">
        <f>[1]Data!C583</f>
        <v>3001</v>
      </c>
      <c r="D592" s="1" t="str">
        <f>[1]Data!D583</f>
        <v>L</v>
      </c>
      <c r="E592" s="1" t="str">
        <f>[1]Data!E583</f>
        <v/>
      </c>
      <c r="F592" s="1" t="str">
        <f>[1]Data!F583</f>
        <v>2026</v>
      </c>
      <c r="G592" s="1" t="str">
        <f>[1]Data!G583</f>
        <v>2</v>
      </c>
      <c r="H592" s="15">
        <f>[1]Data!H583</f>
        <v>1390</v>
      </c>
      <c r="I592" s="15">
        <f>[1]Data!I583</f>
        <v>0</v>
      </c>
      <c r="J592" s="1" t="str">
        <f>[1]Data!J583</f>
        <v>X</v>
      </c>
      <c r="K592" s="1" t="str">
        <f>[1]Data!K583</f>
        <v>X</v>
      </c>
      <c r="L592" s="1" t="str">
        <f>[1]Data!L583</f>
        <v>10:03:01</v>
      </c>
      <c r="M592" s="1">
        <f>[1]Data!M583</f>
        <v>45987</v>
      </c>
      <c r="N592" s="1">
        <f>[1]Data!N583</f>
        <v>44430</v>
      </c>
      <c r="O592" s="1" t="str">
        <f>[1]Data!O583</f>
        <v>X</v>
      </c>
      <c r="P592" s="1" t="str">
        <f>[1]Data!P583</f>
        <v>2025</v>
      </c>
      <c r="Q592" s="15">
        <f>[1]Data!Q583</f>
        <v>1390</v>
      </c>
      <c r="R592" s="1" t="str">
        <f>[1]Data!R583</f>
        <v/>
      </c>
    </row>
    <row r="593" spans="1:18" x14ac:dyDescent="0.35">
      <c r="A593" s="1" t="str">
        <f>[1]Data!A584</f>
        <v>4007851</v>
      </c>
      <c r="B593" s="1" t="str">
        <f>[1]Data!B584</f>
        <v>3300</v>
      </c>
      <c r="C593" s="1" t="str">
        <f>[1]Data!C584</f>
        <v>3001</v>
      </c>
      <c r="D593" s="1" t="str">
        <f>[1]Data!D584</f>
        <v>DL</v>
      </c>
      <c r="E593" s="1" t="str">
        <f>[1]Data!E584</f>
        <v/>
      </c>
      <c r="F593" s="1" t="str">
        <f>[1]Data!F584</f>
        <v>2024</v>
      </c>
      <c r="G593" s="1" t="str">
        <f>[1]Data!G584</f>
        <v>6</v>
      </c>
      <c r="H593" s="15">
        <f>[1]Data!H584</f>
        <v>0</v>
      </c>
      <c r="I593" s="15">
        <f>[1]Data!I584</f>
        <v>0</v>
      </c>
      <c r="J593" s="1" t="str">
        <f>[1]Data!J584</f>
        <v/>
      </c>
      <c r="K593" s="1" t="str">
        <f>[1]Data!K584</f>
        <v/>
      </c>
      <c r="L593" s="1" t="str">
        <f>[1]Data!L584</f>
        <v/>
      </c>
      <c r="M593" s="1" t="str">
        <f>[1]Data!M584</f>
        <v/>
      </c>
      <c r="N593" s="1">
        <f>[1]Data!N584</f>
        <v>45462</v>
      </c>
      <c r="O593" s="1" t="str">
        <f>[1]Data!O584</f>
        <v>X</v>
      </c>
      <c r="P593" s="1" t="str">
        <f>[1]Data!P584</f>
        <v>2024</v>
      </c>
      <c r="Q593" s="15">
        <f>[1]Data!Q584</f>
        <v>0</v>
      </c>
      <c r="R593" s="1" t="str">
        <f>[1]Data!R584</f>
        <v>INAKTIV</v>
      </c>
    </row>
    <row r="594" spans="1:18" x14ac:dyDescent="0.35">
      <c r="A594" s="1" t="str">
        <f>[1]Data!A585</f>
        <v>4007872</v>
      </c>
      <c r="B594" s="1" t="str">
        <f>[1]Data!B585</f>
        <v>3300</v>
      </c>
      <c r="C594" s="1" t="str">
        <f>[1]Data!C585</f>
        <v>3001</v>
      </c>
      <c r="D594" s="1" t="str">
        <f>[1]Data!D585</f>
        <v>DL</v>
      </c>
      <c r="E594" s="1" t="str">
        <f>[1]Data!E585</f>
        <v/>
      </c>
      <c r="F594" s="1" t="str">
        <f>[1]Data!F585</f>
        <v>2024</v>
      </c>
      <c r="G594" s="1" t="str">
        <f>[1]Data!G585</f>
        <v>12</v>
      </c>
      <c r="H594" s="15">
        <f>[1]Data!H585</f>
        <v>0</v>
      </c>
      <c r="I594" s="15">
        <f>[1]Data!I585</f>
        <v>0</v>
      </c>
      <c r="J594" s="1" t="str">
        <f>[1]Data!J585</f>
        <v/>
      </c>
      <c r="K594" s="1" t="str">
        <f>[1]Data!K585</f>
        <v/>
      </c>
      <c r="L594" s="1" t="str">
        <f>[1]Data!L585</f>
        <v/>
      </c>
      <c r="M594" s="1" t="str">
        <f>[1]Data!M585</f>
        <v/>
      </c>
      <c r="N594" s="1">
        <f>[1]Data!N585</f>
        <v>45630</v>
      </c>
      <c r="O594" s="1" t="str">
        <f>[1]Data!O585</f>
        <v>X</v>
      </c>
      <c r="P594" s="1" t="str">
        <f>[1]Data!P585</f>
        <v>2024</v>
      </c>
      <c r="Q594" s="15">
        <f>[1]Data!Q585</f>
        <v>0</v>
      </c>
      <c r="R594" s="1" t="str">
        <f>[1]Data!R585</f>
        <v>INAKTIV</v>
      </c>
    </row>
    <row r="595" spans="1:18" x14ac:dyDescent="0.35">
      <c r="A595" s="1" t="str">
        <f>[1]Data!A586</f>
        <v>4008002</v>
      </c>
      <c r="B595" s="1" t="str">
        <f>[1]Data!B586</f>
        <v>3300</v>
      </c>
      <c r="C595" s="1" t="str">
        <f>[1]Data!C586</f>
        <v>3001</v>
      </c>
      <c r="D595" s="1" t="str">
        <f>[1]Data!D586</f>
        <v>DL</v>
      </c>
      <c r="E595" s="1" t="str">
        <f>[1]Data!E586</f>
        <v/>
      </c>
      <c r="F595" s="1" t="str">
        <f>[1]Data!F586</f>
        <v>2026</v>
      </c>
      <c r="G595" s="1" t="str">
        <f>[1]Data!G586</f>
        <v>1</v>
      </c>
      <c r="H595" s="15">
        <f>[1]Data!H586</f>
        <v>93</v>
      </c>
      <c r="I595" s="15">
        <f>[1]Data!I586</f>
        <v>0</v>
      </c>
      <c r="J595" s="1" t="str">
        <f>[1]Data!J586</f>
        <v>X</v>
      </c>
      <c r="K595" s="1" t="str">
        <f>[1]Data!K586</f>
        <v>X</v>
      </c>
      <c r="L595" s="1" t="str">
        <f>[1]Data!L586</f>
        <v>05:13:01</v>
      </c>
      <c r="M595" s="1">
        <f>[1]Data!M586</f>
        <v>45804</v>
      </c>
      <c r="N595" s="1">
        <f>[1]Data!N586</f>
        <v>44578</v>
      </c>
      <c r="O595" s="1" t="str">
        <f>[1]Data!O586</f>
        <v>X</v>
      </c>
      <c r="P595" s="1" t="str">
        <f>[1]Data!P586</f>
        <v>2025</v>
      </c>
      <c r="Q595" s="15">
        <f>[1]Data!Q586</f>
        <v>93</v>
      </c>
      <c r="R595" s="1" t="str">
        <f>[1]Data!R586</f>
        <v/>
      </c>
    </row>
    <row r="596" spans="1:18" x14ac:dyDescent="0.35">
      <c r="A596" s="1" t="str">
        <f>[1]Data!A587</f>
        <v>4008010</v>
      </c>
      <c r="B596" s="1" t="str">
        <f>[1]Data!B587</f>
        <v>3300</v>
      </c>
      <c r="C596" s="1" t="str">
        <f>[1]Data!C587</f>
        <v>3001</v>
      </c>
      <c r="D596" s="1" t="str">
        <f>[1]Data!D587</f>
        <v>L</v>
      </c>
      <c r="E596" s="1" t="str">
        <f>[1]Data!E587</f>
        <v/>
      </c>
      <c r="F596" s="1" t="str">
        <f>[1]Data!F587</f>
        <v>2026</v>
      </c>
      <c r="G596" s="1" t="str">
        <f>[1]Data!G587</f>
        <v>2</v>
      </c>
      <c r="H596" s="15">
        <f>[1]Data!H587</f>
        <v>249</v>
      </c>
      <c r="I596" s="15">
        <f>[1]Data!I587</f>
        <v>0</v>
      </c>
      <c r="J596" s="1" t="str">
        <f>[1]Data!J587</f>
        <v>X</v>
      </c>
      <c r="K596" s="1" t="str">
        <f>[1]Data!K587</f>
        <v>X</v>
      </c>
      <c r="L596" s="1" t="str">
        <f>[1]Data!L587</f>
        <v>09:09:00</v>
      </c>
      <c r="M596" s="1">
        <f>[1]Data!M587</f>
        <v>45987</v>
      </c>
      <c r="N596" s="1">
        <f>[1]Data!N587</f>
        <v>44430</v>
      </c>
      <c r="O596" s="1" t="str">
        <f>[1]Data!O587</f>
        <v>X</v>
      </c>
      <c r="P596" s="1" t="str">
        <f>[1]Data!P587</f>
        <v>2025</v>
      </c>
      <c r="Q596" s="15">
        <f>[1]Data!Q587</f>
        <v>249</v>
      </c>
      <c r="R596" s="1" t="str">
        <f>[1]Data!R587</f>
        <v/>
      </c>
    </row>
    <row r="597" spans="1:18" x14ac:dyDescent="0.35">
      <c r="A597" s="1" t="str">
        <f>[1]Data!A588</f>
        <v>4008022</v>
      </c>
      <c r="B597" s="1" t="str">
        <f>[1]Data!B588</f>
        <v>3300</v>
      </c>
      <c r="C597" s="1" t="str">
        <f>[1]Data!C588</f>
        <v>3001</v>
      </c>
      <c r="D597" s="1" t="str">
        <f>[1]Data!D588</f>
        <v>L</v>
      </c>
      <c r="E597" s="1" t="str">
        <f>[1]Data!E588</f>
        <v/>
      </c>
      <c r="F597" s="1" t="str">
        <f>[1]Data!F588</f>
        <v>2026</v>
      </c>
      <c r="G597" s="1" t="str">
        <f>[1]Data!G588</f>
        <v>3</v>
      </c>
      <c r="H597" s="15">
        <f>[1]Data!H588</f>
        <v>40</v>
      </c>
      <c r="I597" s="15">
        <f>[1]Data!I588</f>
        <v>0</v>
      </c>
      <c r="J597" s="1" t="str">
        <f>[1]Data!J588</f>
        <v>X</v>
      </c>
      <c r="K597" s="1" t="str">
        <f>[1]Data!K588</f>
        <v>X</v>
      </c>
      <c r="L597" s="1" t="str">
        <f>[1]Data!L588</f>
        <v>07:11:01</v>
      </c>
      <c r="M597" s="1">
        <f>[1]Data!M588</f>
        <v>45825</v>
      </c>
      <c r="N597" s="1">
        <f>[1]Data!N588</f>
        <v>44430</v>
      </c>
      <c r="O597" s="1" t="str">
        <f>[1]Data!O588</f>
        <v>X</v>
      </c>
      <c r="P597" s="1" t="str">
        <f>[1]Data!P588</f>
        <v>2025</v>
      </c>
      <c r="Q597" s="15">
        <f>[1]Data!Q588</f>
        <v>40</v>
      </c>
      <c r="R597" s="1" t="str">
        <f>[1]Data!R588</f>
        <v/>
      </c>
    </row>
    <row r="598" spans="1:18" x14ac:dyDescent="0.35">
      <c r="A598" s="1" t="str">
        <f>[1]Data!A589</f>
        <v>4008023</v>
      </c>
      <c r="B598" s="1" t="str">
        <f>[1]Data!B589</f>
        <v>3300</v>
      </c>
      <c r="C598" s="1" t="str">
        <f>[1]Data!C589</f>
        <v>3001</v>
      </c>
      <c r="D598" s="1" t="str">
        <f>[1]Data!D589</f>
        <v>L</v>
      </c>
      <c r="E598" s="1" t="str">
        <f>[1]Data!E589</f>
        <v/>
      </c>
      <c r="F598" s="1" t="str">
        <f>[1]Data!F589</f>
        <v>2026</v>
      </c>
      <c r="G598" s="1" t="str">
        <f>[1]Data!G589</f>
        <v>2</v>
      </c>
      <c r="H598" s="15">
        <f>[1]Data!H589</f>
        <v>300</v>
      </c>
      <c r="I598" s="15">
        <f>[1]Data!I589</f>
        <v>0</v>
      </c>
      <c r="J598" s="1" t="str">
        <f>[1]Data!J589</f>
        <v>X</v>
      </c>
      <c r="K598" s="1" t="str">
        <f>[1]Data!K589</f>
        <v>X</v>
      </c>
      <c r="L598" s="1" t="str">
        <f>[1]Data!L589</f>
        <v>09:11:00</v>
      </c>
      <c r="M598" s="1">
        <f>[1]Data!M589</f>
        <v>45987</v>
      </c>
      <c r="N598" s="1">
        <f>[1]Data!N589</f>
        <v>44430</v>
      </c>
      <c r="O598" s="1" t="str">
        <f>[1]Data!O589</f>
        <v>X</v>
      </c>
      <c r="P598" s="1" t="str">
        <f>[1]Data!P589</f>
        <v>2025</v>
      </c>
      <c r="Q598" s="15">
        <f>[1]Data!Q589</f>
        <v>300</v>
      </c>
      <c r="R598" s="1" t="str">
        <f>[1]Data!R589</f>
        <v/>
      </c>
    </row>
    <row r="599" spans="1:18" x14ac:dyDescent="0.35">
      <c r="A599" s="1" t="str">
        <f>[1]Data!A590</f>
        <v>4008024</v>
      </c>
      <c r="B599" s="1" t="str">
        <f>[1]Data!B590</f>
        <v>3300</v>
      </c>
      <c r="C599" s="1" t="str">
        <f>[1]Data!C590</f>
        <v>3001</v>
      </c>
      <c r="D599" s="1" t="str">
        <f>[1]Data!D590</f>
        <v>L</v>
      </c>
      <c r="E599" s="1" t="str">
        <f>[1]Data!E590</f>
        <v/>
      </c>
      <c r="F599" s="1" t="str">
        <f>[1]Data!F590</f>
        <v>2022</v>
      </c>
      <c r="G599" s="1" t="str">
        <f>[1]Data!G590</f>
        <v>6</v>
      </c>
      <c r="H599" s="15">
        <f>[1]Data!H590</f>
        <v>0</v>
      </c>
      <c r="I599" s="15">
        <f>[1]Data!I590</f>
        <v>0</v>
      </c>
      <c r="J599" s="1" t="str">
        <f>[1]Data!J590</f>
        <v>X</v>
      </c>
      <c r="K599" s="1" t="str">
        <f>[1]Data!K590</f>
        <v/>
      </c>
      <c r="L599" s="1" t="str">
        <f>[1]Data!L590</f>
        <v>SLETTET</v>
      </c>
      <c r="M599" s="1">
        <f>[1]Data!M590</f>
        <v>44568</v>
      </c>
      <c r="N599" s="1">
        <f>[1]Data!N590</f>
        <v>44430</v>
      </c>
      <c r="O599" s="1" t="str">
        <f>[1]Data!O590</f>
        <v>X</v>
      </c>
      <c r="P599" s="1" t="str">
        <f>[1]Data!P590</f>
        <v>2022</v>
      </c>
      <c r="Q599" s="15">
        <f>[1]Data!Q590</f>
        <v>0</v>
      </c>
      <c r="R599" s="1" t="str">
        <f>[1]Data!R590</f>
        <v>INAKTIV</v>
      </c>
    </row>
    <row r="600" spans="1:18" x14ac:dyDescent="0.35">
      <c r="A600" s="1" t="str">
        <f>[1]Data!A591</f>
        <v>4008026</v>
      </c>
      <c r="B600" s="1" t="str">
        <f>[1]Data!B591</f>
        <v>3300</v>
      </c>
      <c r="C600" s="1" t="str">
        <f>[1]Data!C591</f>
        <v>3001</v>
      </c>
      <c r="D600" s="1" t="str">
        <f>[1]Data!D591</f>
        <v>L</v>
      </c>
      <c r="E600" s="1" t="str">
        <f>[1]Data!E591</f>
        <v/>
      </c>
      <c r="F600" s="1" t="str">
        <f>[1]Data!F591</f>
        <v>2022</v>
      </c>
      <c r="G600" s="1" t="str">
        <f>[1]Data!G591</f>
        <v>5</v>
      </c>
      <c r="H600" s="15">
        <f>[1]Data!H591</f>
        <v>0</v>
      </c>
      <c r="I600" s="15">
        <f>[1]Data!I591</f>
        <v>0</v>
      </c>
      <c r="J600" s="1" t="str">
        <f>[1]Data!J591</f>
        <v>X</v>
      </c>
      <c r="K600" s="1" t="str">
        <f>[1]Data!K591</f>
        <v/>
      </c>
      <c r="L600" s="1" t="str">
        <f>[1]Data!L591</f>
        <v>SLETTET</v>
      </c>
      <c r="M600" s="1">
        <f>[1]Data!M591</f>
        <v>44568</v>
      </c>
      <c r="N600" s="1">
        <f>[1]Data!N591</f>
        <v>44430</v>
      </c>
      <c r="O600" s="1" t="str">
        <f>[1]Data!O591</f>
        <v>X</v>
      </c>
      <c r="P600" s="1" t="str">
        <f>[1]Data!P591</f>
        <v>2022</v>
      </c>
      <c r="Q600" s="15">
        <f>[1]Data!Q591</f>
        <v>0</v>
      </c>
      <c r="R600" s="1" t="str">
        <f>[1]Data!R591</f>
        <v>INAKTIV</v>
      </c>
    </row>
    <row r="601" spans="1:18" x14ac:dyDescent="0.35">
      <c r="A601" s="1" t="str">
        <f>[1]Data!A592</f>
        <v>4008027</v>
      </c>
      <c r="B601" s="1" t="str">
        <f>[1]Data!B592</f>
        <v>3300</v>
      </c>
      <c r="C601" s="1" t="str">
        <f>[1]Data!C592</f>
        <v>3001</v>
      </c>
      <c r="D601" s="1" t="str">
        <f>[1]Data!D592</f>
        <v>L</v>
      </c>
      <c r="E601" s="1" t="str">
        <f>[1]Data!E592</f>
        <v>X</v>
      </c>
      <c r="F601" s="1" t="str">
        <f>[1]Data!F592</f>
        <v>2021</v>
      </c>
      <c r="G601" s="1" t="str">
        <f>[1]Data!G592</f>
        <v>8</v>
      </c>
      <c r="H601" s="15">
        <f>[1]Data!H592</f>
        <v>0</v>
      </c>
      <c r="I601" s="15">
        <f>[1]Data!I592</f>
        <v>0</v>
      </c>
      <c r="J601" s="1" t="str">
        <f>[1]Data!J592</f>
        <v/>
      </c>
      <c r="K601" s="1" t="str">
        <f>[1]Data!K592</f>
        <v/>
      </c>
      <c r="L601" s="1" t="str">
        <f>[1]Data!L592</f>
        <v>SLETTET</v>
      </c>
      <c r="M601" s="1" t="str">
        <f>[1]Data!M592</f>
        <v/>
      </c>
      <c r="N601" s="1">
        <f>[1]Data!N592</f>
        <v>44430</v>
      </c>
      <c r="O601" s="1" t="str">
        <f>[1]Data!O592</f>
        <v>X</v>
      </c>
      <c r="P601" s="1" t="str">
        <f>[1]Data!P592</f>
        <v>2022</v>
      </c>
      <c r="Q601" s="15">
        <f>[1]Data!Q592</f>
        <v>0</v>
      </c>
      <c r="R601" s="1" t="str">
        <f>[1]Data!R592</f>
        <v>INAKTIV</v>
      </c>
    </row>
    <row r="602" spans="1:18" x14ac:dyDescent="0.35">
      <c r="A602" s="1" t="str">
        <f>[1]Data!A593</f>
        <v>4008033</v>
      </c>
      <c r="B602" s="1" t="str">
        <f>[1]Data!B593</f>
        <v>3300</v>
      </c>
      <c r="C602" s="1" t="str">
        <f>[1]Data!C593</f>
        <v>3001</v>
      </c>
      <c r="D602" s="1" t="str">
        <f>[1]Data!D593</f>
        <v>L</v>
      </c>
      <c r="E602" s="1" t="str">
        <f>[1]Data!E593</f>
        <v/>
      </c>
      <c r="F602" s="1" t="str">
        <f>[1]Data!F593</f>
        <v>2026</v>
      </c>
      <c r="G602" s="1" t="str">
        <f>[1]Data!G593</f>
        <v>2</v>
      </c>
      <c r="H602" s="15">
        <f>[1]Data!H593</f>
        <v>38</v>
      </c>
      <c r="I602" s="15">
        <f>[1]Data!I593</f>
        <v>0</v>
      </c>
      <c r="J602" s="1" t="str">
        <f>[1]Data!J593</f>
        <v>X</v>
      </c>
      <c r="K602" s="1" t="str">
        <f>[1]Data!K593</f>
        <v>X</v>
      </c>
      <c r="L602" s="1" t="str">
        <f>[1]Data!L593</f>
        <v>08:10:01</v>
      </c>
      <c r="M602" s="1">
        <f>[1]Data!M593</f>
        <v>45980</v>
      </c>
      <c r="N602" s="1">
        <f>[1]Data!N593</f>
        <v>44430</v>
      </c>
      <c r="O602" s="1" t="str">
        <f>[1]Data!O593</f>
        <v>X</v>
      </c>
      <c r="P602" s="1" t="str">
        <f>[1]Data!P593</f>
        <v>2025</v>
      </c>
      <c r="Q602" s="15">
        <f>[1]Data!Q593</f>
        <v>38</v>
      </c>
      <c r="R602" s="1" t="str">
        <f>[1]Data!R593</f>
        <v/>
      </c>
    </row>
    <row r="603" spans="1:18" x14ac:dyDescent="0.35">
      <c r="A603" s="1" t="str">
        <f>[1]Data!A594</f>
        <v>4008034</v>
      </c>
      <c r="B603" s="1" t="str">
        <f>[1]Data!B594</f>
        <v>3300</v>
      </c>
      <c r="C603" s="1" t="str">
        <f>[1]Data!C594</f>
        <v>3001</v>
      </c>
      <c r="D603" s="1" t="str">
        <f>[1]Data!D594</f>
        <v>L</v>
      </c>
      <c r="E603" s="1" t="str">
        <f>[1]Data!E594</f>
        <v/>
      </c>
      <c r="F603" s="1" t="str">
        <f>[1]Data!F594</f>
        <v>2026</v>
      </c>
      <c r="G603" s="1" t="str">
        <f>[1]Data!G594</f>
        <v>3</v>
      </c>
      <c r="H603" s="15">
        <f>[1]Data!H594</f>
        <v>180</v>
      </c>
      <c r="I603" s="15">
        <f>[1]Data!I594</f>
        <v>0</v>
      </c>
      <c r="J603" s="1" t="str">
        <f>[1]Data!J594</f>
        <v>X</v>
      </c>
      <c r="K603" s="1" t="str">
        <f>[1]Data!K594</f>
        <v>X</v>
      </c>
      <c r="L603" s="1" t="str">
        <f>[1]Data!L594</f>
        <v>07:05:00</v>
      </c>
      <c r="M603" s="1">
        <f>[1]Data!M594</f>
        <v>45824</v>
      </c>
      <c r="N603" s="1">
        <f>[1]Data!N594</f>
        <v>44430</v>
      </c>
      <c r="O603" s="1" t="str">
        <f>[1]Data!O594</f>
        <v>X</v>
      </c>
      <c r="P603" s="1" t="str">
        <f>[1]Data!P594</f>
        <v>2025</v>
      </c>
      <c r="Q603" s="15">
        <f>[1]Data!Q594</f>
        <v>180</v>
      </c>
      <c r="R603" s="1" t="str">
        <f>[1]Data!R594</f>
        <v/>
      </c>
    </row>
    <row r="604" spans="1:18" x14ac:dyDescent="0.35">
      <c r="A604" s="1" t="str">
        <f>[1]Data!A595</f>
        <v>4008035</v>
      </c>
      <c r="B604" s="1" t="str">
        <f>[1]Data!B595</f>
        <v>3300</v>
      </c>
      <c r="C604" s="1" t="str">
        <f>[1]Data!C595</f>
        <v>3001</v>
      </c>
      <c r="D604" s="1" t="str">
        <f>[1]Data!D595</f>
        <v>L</v>
      </c>
      <c r="E604" s="1" t="str">
        <f>[1]Data!E595</f>
        <v/>
      </c>
      <c r="F604" s="1" t="str">
        <f>[1]Data!F595</f>
        <v>2025</v>
      </c>
      <c r="G604" s="1" t="str">
        <f>[1]Data!G595</f>
        <v>6</v>
      </c>
      <c r="H604" s="15">
        <f>[1]Data!H595</f>
        <v>0</v>
      </c>
      <c r="I604" s="15">
        <f>[1]Data!I595</f>
        <v>0</v>
      </c>
      <c r="J604" s="1" t="str">
        <f>[1]Data!J595</f>
        <v/>
      </c>
      <c r="K604" s="1" t="str">
        <f>[1]Data!K595</f>
        <v>X</v>
      </c>
      <c r="L604" s="1" t="str">
        <f>[1]Data!L595</f>
        <v>SLETTET</v>
      </c>
      <c r="M604" s="1">
        <f>[1]Data!M595</f>
        <v>44568</v>
      </c>
      <c r="N604" s="1">
        <f>[1]Data!N595</f>
        <v>44430</v>
      </c>
      <c r="O604" s="1" t="str">
        <f>[1]Data!O595</f>
        <v>X</v>
      </c>
      <c r="P604" s="1" t="str">
        <f>[1]Data!P595</f>
        <v>2023</v>
      </c>
      <c r="Q604" s="15">
        <f>[1]Data!Q595</f>
        <v>0</v>
      </c>
      <c r="R604" s="1" t="str">
        <f>[1]Data!R595</f>
        <v>INAKTIV</v>
      </c>
    </row>
    <row r="605" spans="1:18" x14ac:dyDescent="0.35">
      <c r="A605" s="1" t="str">
        <f>[1]Data!A596</f>
        <v>4008075</v>
      </c>
      <c r="B605" s="1" t="str">
        <f>[1]Data!B596</f>
        <v>3300</v>
      </c>
      <c r="C605" s="1" t="str">
        <f>[1]Data!C596</f>
        <v>3001</v>
      </c>
      <c r="D605" s="1" t="str">
        <f>[1]Data!D596</f>
        <v>L</v>
      </c>
      <c r="E605" s="1" t="str">
        <f>[1]Data!E596</f>
        <v/>
      </c>
      <c r="F605" s="1" t="str">
        <f>[1]Data!F596</f>
        <v>2024</v>
      </c>
      <c r="G605" s="1" t="str">
        <f>[1]Data!G596</f>
        <v>4</v>
      </c>
      <c r="H605" s="15">
        <f>[1]Data!H596</f>
        <v>0</v>
      </c>
      <c r="I605" s="15">
        <f>[1]Data!I596</f>
        <v>0</v>
      </c>
      <c r="J605" s="1" t="str">
        <f>[1]Data!J596</f>
        <v>X</v>
      </c>
      <c r="K605" s="1" t="str">
        <f>[1]Data!K596</f>
        <v>X</v>
      </c>
      <c r="L605" s="1" t="str">
        <f>[1]Data!L596</f>
        <v>SLETTET</v>
      </c>
      <c r="M605" s="1">
        <f>[1]Data!M596</f>
        <v>45797</v>
      </c>
      <c r="N605" s="1">
        <f>[1]Data!N596</f>
        <v>44430</v>
      </c>
      <c r="O605" s="1" t="str">
        <f>[1]Data!O596</f>
        <v>X</v>
      </c>
      <c r="P605" s="1" t="str">
        <f>[1]Data!P596</f>
        <v>2025</v>
      </c>
      <c r="Q605" s="15">
        <f>[1]Data!Q596</f>
        <v>0</v>
      </c>
      <c r="R605" s="1" t="str">
        <f>[1]Data!R596</f>
        <v>INAKTIV</v>
      </c>
    </row>
    <row r="606" spans="1:18" x14ac:dyDescent="0.35">
      <c r="A606" s="1" t="str">
        <f>[1]Data!A597</f>
        <v>4008076</v>
      </c>
      <c r="B606" s="1" t="str">
        <f>[1]Data!B597</f>
        <v>3300</v>
      </c>
      <c r="C606" s="1" t="str">
        <f>[1]Data!C597</f>
        <v>3001</v>
      </c>
      <c r="D606" s="1" t="str">
        <f>[1]Data!D597</f>
        <v>L</v>
      </c>
      <c r="E606" s="1" t="str">
        <f>[1]Data!E597</f>
        <v/>
      </c>
      <c r="F606" s="1" t="str">
        <f>[1]Data!F597</f>
        <v>2026</v>
      </c>
      <c r="G606" s="1" t="str">
        <f>[1]Data!G597</f>
        <v>1</v>
      </c>
      <c r="H606" s="15">
        <f>[1]Data!H597</f>
        <v>135</v>
      </c>
      <c r="I606" s="15">
        <f>[1]Data!I597</f>
        <v>0</v>
      </c>
      <c r="J606" s="1" t="str">
        <f>[1]Data!J597</f>
        <v>X</v>
      </c>
      <c r="K606" s="1" t="str">
        <f>[1]Data!K597</f>
        <v>X</v>
      </c>
      <c r="L606" s="1" t="str">
        <f>[1]Data!L597</f>
        <v>03:11:03</v>
      </c>
      <c r="M606" s="1">
        <f>[1]Data!M597</f>
        <v>45798</v>
      </c>
      <c r="N606" s="1">
        <f>[1]Data!N597</f>
        <v>44430</v>
      </c>
      <c r="O606" s="1" t="str">
        <f>[1]Data!O597</f>
        <v>X</v>
      </c>
      <c r="P606" s="1" t="str">
        <f>[1]Data!P597</f>
        <v>2025</v>
      </c>
      <c r="Q606" s="15">
        <f>[1]Data!Q597</f>
        <v>135</v>
      </c>
      <c r="R606" s="1" t="str">
        <f>[1]Data!R597</f>
        <v/>
      </c>
    </row>
    <row r="607" spans="1:18" x14ac:dyDescent="0.35">
      <c r="A607" s="1" t="str">
        <f>[1]Data!A598</f>
        <v>4008077</v>
      </c>
      <c r="B607" s="1" t="str">
        <f>[1]Data!B598</f>
        <v>3300</v>
      </c>
      <c r="C607" s="1" t="str">
        <f>[1]Data!C598</f>
        <v>3001</v>
      </c>
      <c r="D607" s="1" t="str">
        <f>[1]Data!D598</f>
        <v>L</v>
      </c>
      <c r="E607" s="1" t="str">
        <f>[1]Data!E598</f>
        <v/>
      </c>
      <c r="F607" s="1" t="str">
        <f>[1]Data!F598</f>
        <v>2026</v>
      </c>
      <c r="G607" s="1" t="str">
        <f>[1]Data!G598</f>
        <v>2</v>
      </c>
      <c r="H607" s="15">
        <f>[1]Data!H598</f>
        <v>135</v>
      </c>
      <c r="I607" s="15">
        <f>[1]Data!I598</f>
        <v>0</v>
      </c>
      <c r="J607" s="1" t="str">
        <f>[1]Data!J598</f>
        <v>X</v>
      </c>
      <c r="K607" s="1" t="str">
        <f>[1]Data!K598</f>
        <v>X</v>
      </c>
      <c r="L607" s="1" t="str">
        <f>[1]Data!L598</f>
        <v>03:11:01</v>
      </c>
      <c r="M607" s="1">
        <f>[1]Data!M598</f>
        <v>45798</v>
      </c>
      <c r="N607" s="1">
        <f>[1]Data!N598</f>
        <v>44430</v>
      </c>
      <c r="O607" s="1" t="str">
        <f>[1]Data!O598</f>
        <v>X</v>
      </c>
      <c r="P607" s="1" t="str">
        <f>[1]Data!P598</f>
        <v>2025</v>
      </c>
      <c r="Q607" s="15">
        <f>[1]Data!Q598</f>
        <v>135</v>
      </c>
      <c r="R607" s="1" t="str">
        <f>[1]Data!R598</f>
        <v/>
      </c>
    </row>
    <row r="608" spans="1:18" x14ac:dyDescent="0.35">
      <c r="A608" s="1" t="str">
        <f>[1]Data!A599</f>
        <v>4008079</v>
      </c>
      <c r="B608" s="1" t="str">
        <f>[1]Data!B599</f>
        <v>3300</v>
      </c>
      <c r="C608" s="1" t="str">
        <f>[1]Data!C599</f>
        <v>3001</v>
      </c>
      <c r="D608" s="1" t="str">
        <f>[1]Data!D599</f>
        <v>L</v>
      </c>
      <c r="E608" s="1" t="str">
        <f>[1]Data!E599</f>
        <v/>
      </c>
      <c r="F608" s="1" t="str">
        <f>[1]Data!F599</f>
        <v>2026</v>
      </c>
      <c r="G608" s="1" t="str">
        <f>[1]Data!G599</f>
        <v>2</v>
      </c>
      <c r="H608" s="15">
        <f>[1]Data!H599</f>
        <v>850</v>
      </c>
      <c r="I608" s="15">
        <f>[1]Data!I599</f>
        <v>0</v>
      </c>
      <c r="J608" s="1" t="str">
        <f>[1]Data!J599</f>
        <v>X</v>
      </c>
      <c r="K608" s="1" t="str">
        <f>[1]Data!K599</f>
        <v>X</v>
      </c>
      <c r="L608" s="1" t="str">
        <f>[1]Data!L599</f>
        <v>04:07:03</v>
      </c>
      <c r="M608" s="1">
        <f>[1]Data!M599</f>
        <v>45799</v>
      </c>
      <c r="N608" s="1">
        <f>[1]Data!N599</f>
        <v>44430</v>
      </c>
      <c r="O608" s="1" t="str">
        <f>[1]Data!O599</f>
        <v>X</v>
      </c>
      <c r="P608" s="1" t="str">
        <f>[1]Data!P599</f>
        <v>2025</v>
      </c>
      <c r="Q608" s="15">
        <f>[1]Data!Q599</f>
        <v>850</v>
      </c>
      <c r="R608" s="1" t="str">
        <f>[1]Data!R599</f>
        <v/>
      </c>
    </row>
    <row r="609" spans="1:18" x14ac:dyDescent="0.35">
      <c r="A609" s="1" t="str">
        <f>[1]Data!A600</f>
        <v>4008095</v>
      </c>
      <c r="B609" s="1" t="str">
        <f>[1]Data!B600</f>
        <v>3300</v>
      </c>
      <c r="C609" s="1" t="str">
        <f>[1]Data!C600</f>
        <v>3001</v>
      </c>
      <c r="D609" s="1" t="str">
        <f>[1]Data!D600</f>
        <v>L</v>
      </c>
      <c r="E609" s="1" t="str">
        <f>[1]Data!E600</f>
        <v/>
      </c>
      <c r="F609" s="1" t="str">
        <f>[1]Data!F600</f>
        <v>2026</v>
      </c>
      <c r="G609" s="1" t="str">
        <f>[1]Data!G600</f>
        <v>2</v>
      </c>
      <c r="H609" s="15">
        <f>[1]Data!H600</f>
        <v>1600</v>
      </c>
      <c r="I609" s="15">
        <f>[1]Data!I600</f>
        <v>0</v>
      </c>
      <c r="J609" s="1" t="str">
        <f>[1]Data!J600</f>
        <v>X</v>
      </c>
      <c r="K609" s="1" t="str">
        <f>[1]Data!K600</f>
        <v/>
      </c>
      <c r="L609" s="1" t="str">
        <f>[1]Data!L600</f>
        <v>K3:I</v>
      </c>
      <c r="M609" s="1">
        <f>[1]Data!M600</f>
        <v>46029</v>
      </c>
      <c r="N609" s="1">
        <f>[1]Data!N600</f>
        <v>44430</v>
      </c>
      <c r="O609" s="1" t="str">
        <f>[1]Data!O600</f>
        <v>X</v>
      </c>
      <c r="P609" s="1" t="str">
        <f>[1]Data!P600</f>
        <v>2026</v>
      </c>
      <c r="Q609" s="15">
        <f>[1]Data!Q600</f>
        <v>1600</v>
      </c>
      <c r="R609" s="1" t="str">
        <f>[1]Data!R600</f>
        <v/>
      </c>
    </row>
    <row r="610" spans="1:18" x14ac:dyDescent="0.35">
      <c r="A610" s="1" t="str">
        <f>[1]Data!A601</f>
        <v>4008096</v>
      </c>
      <c r="B610" s="1" t="str">
        <f>[1]Data!B601</f>
        <v>3300</v>
      </c>
      <c r="C610" s="1" t="str">
        <f>[1]Data!C601</f>
        <v>3001</v>
      </c>
      <c r="D610" s="1" t="str">
        <f>[1]Data!D601</f>
        <v>L</v>
      </c>
      <c r="E610" s="1" t="str">
        <f>[1]Data!E601</f>
        <v/>
      </c>
      <c r="F610" s="1" t="str">
        <f>[1]Data!F601</f>
        <v>2026</v>
      </c>
      <c r="G610" s="1" t="str">
        <f>[1]Data!G601</f>
        <v>3</v>
      </c>
      <c r="H610" s="15">
        <f>[1]Data!H601</f>
        <v>5166</v>
      </c>
      <c r="I610" s="15">
        <f>[1]Data!I601</f>
        <v>0</v>
      </c>
      <c r="J610" s="1" t="str">
        <f>[1]Data!J601</f>
        <v>X</v>
      </c>
      <c r="K610" s="1" t="str">
        <f>[1]Data!K601</f>
        <v/>
      </c>
      <c r="L610" s="1" t="str">
        <f>[1]Data!L601</f>
        <v>K3:I:02</v>
      </c>
      <c r="M610" s="1">
        <f>[1]Data!M601</f>
        <v>46029</v>
      </c>
      <c r="N610" s="1">
        <f>[1]Data!N601</f>
        <v>44430</v>
      </c>
      <c r="O610" s="1" t="str">
        <f>[1]Data!O601</f>
        <v>X</v>
      </c>
      <c r="P610" s="1" t="str">
        <f>[1]Data!P601</f>
        <v>2026</v>
      </c>
      <c r="Q610" s="15">
        <f>[1]Data!Q601</f>
        <v>5166</v>
      </c>
      <c r="R610" s="1" t="str">
        <f>[1]Data!R601</f>
        <v/>
      </c>
    </row>
    <row r="611" spans="1:18" x14ac:dyDescent="0.35">
      <c r="A611" s="1" t="str">
        <f>[1]Data!A602</f>
        <v>4008099</v>
      </c>
      <c r="B611" s="1" t="str">
        <f>[1]Data!B602</f>
        <v>3300</v>
      </c>
      <c r="C611" s="1" t="str">
        <f>[1]Data!C602</f>
        <v>3001</v>
      </c>
      <c r="D611" s="1" t="str">
        <f>[1]Data!D602</f>
        <v>L</v>
      </c>
      <c r="E611" s="1" t="str">
        <f>[1]Data!E602</f>
        <v/>
      </c>
      <c r="F611" s="1" t="str">
        <f>[1]Data!F602</f>
        <v>2026</v>
      </c>
      <c r="G611" s="1" t="str">
        <f>[1]Data!G602</f>
        <v>2</v>
      </c>
      <c r="H611" s="15">
        <f>[1]Data!H602</f>
        <v>500</v>
      </c>
      <c r="I611" s="15">
        <f>[1]Data!I602</f>
        <v>0</v>
      </c>
      <c r="J611" s="1" t="str">
        <f>[1]Data!J602</f>
        <v>X</v>
      </c>
      <c r="K611" s="1" t="str">
        <f>[1]Data!K602</f>
        <v/>
      </c>
      <c r="L611" s="1" t="str">
        <f>[1]Data!L602</f>
        <v>K3:I:03</v>
      </c>
      <c r="M611" s="1">
        <f>[1]Data!M602</f>
        <v>46029</v>
      </c>
      <c r="N611" s="1">
        <f>[1]Data!N602</f>
        <v>44430</v>
      </c>
      <c r="O611" s="1" t="str">
        <f>[1]Data!O602</f>
        <v>X</v>
      </c>
      <c r="P611" s="1" t="str">
        <f>[1]Data!P602</f>
        <v>2026</v>
      </c>
      <c r="Q611" s="15">
        <f>[1]Data!Q602</f>
        <v>500</v>
      </c>
      <c r="R611" s="1" t="str">
        <f>[1]Data!R602</f>
        <v/>
      </c>
    </row>
    <row r="612" spans="1:18" x14ac:dyDescent="0.35">
      <c r="A612" s="1" t="str">
        <f>[1]Data!A603</f>
        <v>4008100</v>
      </c>
      <c r="B612" s="1" t="str">
        <f>[1]Data!B603</f>
        <v>3300</v>
      </c>
      <c r="C612" s="1" t="str">
        <f>[1]Data!C603</f>
        <v>3001</v>
      </c>
      <c r="D612" s="1" t="str">
        <f>[1]Data!D603</f>
        <v>L</v>
      </c>
      <c r="E612" s="1" t="str">
        <f>[1]Data!E603</f>
        <v/>
      </c>
      <c r="F612" s="1" t="str">
        <f>[1]Data!F603</f>
        <v>2026</v>
      </c>
      <c r="G612" s="1" t="str">
        <f>[1]Data!G603</f>
        <v>2</v>
      </c>
      <c r="H612" s="15">
        <f>[1]Data!H603</f>
        <v>12</v>
      </c>
      <c r="I612" s="15">
        <f>[1]Data!I603</f>
        <v>0</v>
      </c>
      <c r="J612" s="1" t="str">
        <f>[1]Data!J603</f>
        <v>X</v>
      </c>
      <c r="K612" s="1" t="str">
        <f>[1]Data!K603</f>
        <v>X</v>
      </c>
      <c r="L612" s="1" t="str">
        <f>[1]Data!L603</f>
        <v>13:12:00</v>
      </c>
      <c r="M612" s="1">
        <f>[1]Data!M603</f>
        <v>46001</v>
      </c>
      <c r="N612" s="1">
        <f>[1]Data!N603</f>
        <v>44430</v>
      </c>
      <c r="O612" s="1" t="str">
        <f>[1]Data!O603</f>
        <v>X</v>
      </c>
      <c r="P612" s="1" t="str">
        <f>[1]Data!P603</f>
        <v>2025</v>
      </c>
      <c r="Q612" s="15">
        <f>[1]Data!Q603</f>
        <v>12</v>
      </c>
      <c r="R612" s="1" t="str">
        <f>[1]Data!R603</f>
        <v/>
      </c>
    </row>
    <row r="613" spans="1:18" x14ac:dyDescent="0.35">
      <c r="A613" s="1" t="str">
        <f>[1]Data!A604</f>
        <v>4008106</v>
      </c>
      <c r="B613" s="1" t="str">
        <f>[1]Data!B604</f>
        <v>3300</v>
      </c>
      <c r="C613" s="1" t="str">
        <f>[1]Data!C604</f>
        <v>3001</v>
      </c>
      <c r="D613" s="1" t="str">
        <f>[1]Data!D604</f>
        <v>L</v>
      </c>
      <c r="E613" s="1" t="str">
        <f>[1]Data!E604</f>
        <v/>
      </c>
      <c r="F613" s="1" t="str">
        <f>[1]Data!F604</f>
        <v>2026</v>
      </c>
      <c r="G613" s="1" t="str">
        <f>[1]Data!G604</f>
        <v>2</v>
      </c>
      <c r="H613" s="15">
        <f>[1]Data!H604</f>
        <v>1300</v>
      </c>
      <c r="I613" s="15">
        <f>[1]Data!I604</f>
        <v>0</v>
      </c>
      <c r="J613" s="1" t="str">
        <f>[1]Data!J604</f>
        <v>X</v>
      </c>
      <c r="K613" s="1" t="str">
        <f>[1]Data!K604</f>
        <v>X</v>
      </c>
      <c r="L613" s="1" t="str">
        <f>[1]Data!L604</f>
        <v>17:01:01</v>
      </c>
      <c r="M613" s="1">
        <f>[1]Data!M604</f>
        <v>46006</v>
      </c>
      <c r="N613" s="1">
        <f>[1]Data!N604</f>
        <v>44430</v>
      </c>
      <c r="O613" s="1" t="str">
        <f>[1]Data!O604</f>
        <v>X</v>
      </c>
      <c r="P613" s="1" t="str">
        <f>[1]Data!P604</f>
        <v>2025</v>
      </c>
      <c r="Q613" s="15">
        <f>[1]Data!Q604</f>
        <v>1300</v>
      </c>
      <c r="R613" s="1" t="str">
        <f>[1]Data!R604</f>
        <v/>
      </c>
    </row>
    <row r="614" spans="1:18" x14ac:dyDescent="0.35">
      <c r="A614" s="1" t="str">
        <f>[1]Data!A605</f>
        <v>4008108</v>
      </c>
      <c r="B614" s="1" t="str">
        <f>[1]Data!B605</f>
        <v>3300</v>
      </c>
      <c r="C614" s="1" t="str">
        <f>[1]Data!C605</f>
        <v>3001</v>
      </c>
      <c r="D614" s="1" t="str">
        <f>[1]Data!D605</f>
        <v>L</v>
      </c>
      <c r="E614" s="1" t="str">
        <f>[1]Data!E605</f>
        <v/>
      </c>
      <c r="F614" s="1" t="str">
        <f>[1]Data!F605</f>
        <v>2026</v>
      </c>
      <c r="G614" s="1" t="str">
        <f>[1]Data!G605</f>
        <v>2</v>
      </c>
      <c r="H614" s="15">
        <f>[1]Data!H605</f>
        <v>54</v>
      </c>
      <c r="I614" s="15">
        <f>[1]Data!I605</f>
        <v>0</v>
      </c>
      <c r="J614" s="1" t="str">
        <f>[1]Data!J605</f>
        <v>X</v>
      </c>
      <c r="K614" s="1" t="str">
        <f>[1]Data!K605</f>
        <v>X</v>
      </c>
      <c r="L614" s="1" t="str">
        <f>[1]Data!L605</f>
        <v>05:08:02</v>
      </c>
      <c r="M614" s="1">
        <f>[1]Data!M605</f>
        <v>45803</v>
      </c>
      <c r="N614" s="1">
        <f>[1]Data!N605</f>
        <v>44430</v>
      </c>
      <c r="O614" s="1" t="str">
        <f>[1]Data!O605</f>
        <v>X</v>
      </c>
      <c r="P614" s="1" t="str">
        <f>[1]Data!P605</f>
        <v>2025</v>
      </c>
      <c r="Q614" s="15">
        <f>[1]Data!Q605</f>
        <v>54</v>
      </c>
      <c r="R614" s="1" t="str">
        <f>[1]Data!R605</f>
        <v/>
      </c>
    </row>
    <row r="615" spans="1:18" x14ac:dyDescent="0.35">
      <c r="A615" s="1" t="str">
        <f>[1]Data!A606</f>
        <v>4008109</v>
      </c>
      <c r="B615" s="1" t="str">
        <f>[1]Data!B606</f>
        <v>3300</v>
      </c>
      <c r="C615" s="1" t="str">
        <f>[1]Data!C606</f>
        <v>3001</v>
      </c>
      <c r="D615" s="1" t="str">
        <f>[1]Data!D606</f>
        <v>L</v>
      </c>
      <c r="E615" s="1" t="str">
        <f>[1]Data!E606</f>
        <v/>
      </c>
      <c r="F615" s="1" t="str">
        <f>[1]Data!F606</f>
        <v>2026</v>
      </c>
      <c r="G615" s="1" t="str">
        <f>[1]Data!G606</f>
        <v>2</v>
      </c>
      <c r="H615" s="15">
        <f>[1]Data!H606</f>
        <v>250</v>
      </c>
      <c r="I615" s="15">
        <f>[1]Data!I606</f>
        <v>0</v>
      </c>
      <c r="J615" s="1" t="str">
        <f>[1]Data!J606</f>
        <v>X</v>
      </c>
      <c r="K615" s="1" t="str">
        <f>[1]Data!K606</f>
        <v>X</v>
      </c>
      <c r="L615" s="1" t="str">
        <f>[1]Data!L606</f>
        <v>13:08:01</v>
      </c>
      <c r="M615" s="1">
        <f>[1]Data!M606</f>
        <v>45994</v>
      </c>
      <c r="N615" s="1">
        <f>[1]Data!N606</f>
        <v>44430</v>
      </c>
      <c r="O615" s="1" t="str">
        <f>[1]Data!O606</f>
        <v>X</v>
      </c>
      <c r="P615" s="1" t="str">
        <f>[1]Data!P606</f>
        <v>2025</v>
      </c>
      <c r="Q615" s="15">
        <f>[1]Data!Q606</f>
        <v>250</v>
      </c>
      <c r="R615" s="1" t="str">
        <f>[1]Data!R606</f>
        <v/>
      </c>
    </row>
    <row r="616" spans="1:18" x14ac:dyDescent="0.35">
      <c r="A616" s="1" t="str">
        <f>[1]Data!A607</f>
        <v>4008110</v>
      </c>
      <c r="B616" s="1" t="str">
        <f>[1]Data!B607</f>
        <v>3300</v>
      </c>
      <c r="C616" s="1" t="str">
        <f>[1]Data!C607</f>
        <v>3001</v>
      </c>
      <c r="D616" s="1" t="str">
        <f>[1]Data!D607</f>
        <v>L</v>
      </c>
      <c r="E616" s="1" t="str">
        <f>[1]Data!E607</f>
        <v/>
      </c>
      <c r="F616" s="1" t="str">
        <f>[1]Data!F607</f>
        <v>2026</v>
      </c>
      <c r="G616" s="1" t="str">
        <f>[1]Data!G607</f>
        <v>2</v>
      </c>
      <c r="H616" s="15">
        <f>[1]Data!H607</f>
        <v>350</v>
      </c>
      <c r="I616" s="15">
        <f>[1]Data!I607</f>
        <v>0</v>
      </c>
      <c r="J616" s="1" t="str">
        <f>[1]Data!J607</f>
        <v>X</v>
      </c>
      <c r="K616" s="1" t="str">
        <f>[1]Data!K607</f>
        <v>X</v>
      </c>
      <c r="L616" s="1" t="str">
        <f>[1]Data!L607</f>
        <v>09:10:00</v>
      </c>
      <c r="M616" s="1">
        <f>[1]Data!M607</f>
        <v>45987</v>
      </c>
      <c r="N616" s="1">
        <f>[1]Data!N607</f>
        <v>44430</v>
      </c>
      <c r="O616" s="1" t="str">
        <f>[1]Data!O607</f>
        <v>X</v>
      </c>
      <c r="P616" s="1" t="str">
        <f>[1]Data!P607</f>
        <v>2025</v>
      </c>
      <c r="Q616" s="15">
        <f>[1]Data!Q607</f>
        <v>350</v>
      </c>
      <c r="R616" s="1" t="str">
        <f>[1]Data!R607</f>
        <v/>
      </c>
    </row>
    <row r="617" spans="1:18" x14ac:dyDescent="0.35">
      <c r="A617" s="1" t="str">
        <f>[1]Data!A608</f>
        <v>4008121</v>
      </c>
      <c r="B617" s="1" t="str">
        <f>[1]Data!B608</f>
        <v>3300</v>
      </c>
      <c r="C617" s="1" t="str">
        <f>[1]Data!C608</f>
        <v>3001</v>
      </c>
      <c r="D617" s="1" t="str">
        <f>[1]Data!D608</f>
        <v>L</v>
      </c>
      <c r="E617" s="1" t="str">
        <f>[1]Data!E608</f>
        <v/>
      </c>
      <c r="F617" s="1" t="str">
        <f>[1]Data!F608</f>
        <v>2026</v>
      </c>
      <c r="G617" s="1" t="str">
        <f>[1]Data!G608</f>
        <v>2</v>
      </c>
      <c r="H617" s="15">
        <f>[1]Data!H608</f>
        <v>80</v>
      </c>
      <c r="I617" s="15">
        <f>[1]Data!I608</f>
        <v>0</v>
      </c>
      <c r="J617" s="1" t="str">
        <f>[1]Data!J608</f>
        <v>X</v>
      </c>
      <c r="K617" s="1" t="str">
        <f>[1]Data!K608</f>
        <v>X</v>
      </c>
      <c r="L617" s="1" t="str">
        <f>[1]Data!L608</f>
        <v>08:01:01</v>
      </c>
      <c r="M617" s="1">
        <f>[1]Data!M608</f>
        <v>45825</v>
      </c>
      <c r="N617" s="1">
        <f>[1]Data!N608</f>
        <v>44430</v>
      </c>
      <c r="O617" s="1" t="str">
        <f>[1]Data!O608</f>
        <v>X</v>
      </c>
      <c r="P617" s="1" t="str">
        <f>[1]Data!P608</f>
        <v>2025</v>
      </c>
      <c r="Q617" s="15">
        <f>[1]Data!Q608</f>
        <v>80</v>
      </c>
      <c r="R617" s="1" t="str">
        <f>[1]Data!R608</f>
        <v/>
      </c>
    </row>
    <row r="618" spans="1:18" x14ac:dyDescent="0.35">
      <c r="A618" s="1" t="str">
        <f>[1]Data!A609</f>
        <v>4008122</v>
      </c>
      <c r="B618" s="1" t="str">
        <f>[1]Data!B609</f>
        <v>3300</v>
      </c>
      <c r="C618" s="1" t="str">
        <f>[1]Data!C609</f>
        <v>3001</v>
      </c>
      <c r="D618" s="1" t="str">
        <f>[1]Data!D609</f>
        <v>L</v>
      </c>
      <c r="E618" s="1" t="str">
        <f>[1]Data!E609</f>
        <v/>
      </c>
      <c r="F618" s="1" t="str">
        <f>[1]Data!F609</f>
        <v>2026</v>
      </c>
      <c r="G618" s="1" t="str">
        <f>[1]Data!G609</f>
        <v>2</v>
      </c>
      <c r="H618" s="15">
        <f>[1]Data!H609</f>
        <v>100</v>
      </c>
      <c r="I618" s="15">
        <f>[1]Data!I609</f>
        <v>0</v>
      </c>
      <c r="J618" s="1" t="str">
        <f>[1]Data!J609</f>
        <v>X</v>
      </c>
      <c r="K618" s="1" t="str">
        <f>[1]Data!K609</f>
        <v>X</v>
      </c>
      <c r="L618" s="1" t="str">
        <f>[1]Data!L609</f>
        <v>02:12:01</v>
      </c>
      <c r="M618" s="1">
        <f>[1]Data!M609</f>
        <v>45797</v>
      </c>
      <c r="N618" s="1">
        <f>[1]Data!N609</f>
        <v>44430</v>
      </c>
      <c r="O618" s="1" t="str">
        <f>[1]Data!O609</f>
        <v>X</v>
      </c>
      <c r="P618" s="1" t="str">
        <f>[1]Data!P609</f>
        <v>2025</v>
      </c>
      <c r="Q618" s="15">
        <f>[1]Data!Q609</f>
        <v>100</v>
      </c>
      <c r="R618" s="1" t="str">
        <f>[1]Data!R609</f>
        <v/>
      </c>
    </row>
    <row r="619" spans="1:18" x14ac:dyDescent="0.35">
      <c r="A619" s="1" t="str">
        <f>[1]Data!A610</f>
        <v>4008123</v>
      </c>
      <c r="B619" s="1" t="str">
        <f>[1]Data!B610</f>
        <v>3300</v>
      </c>
      <c r="C619" s="1" t="str">
        <f>[1]Data!C610</f>
        <v>3001</v>
      </c>
      <c r="D619" s="1" t="str">
        <f>[1]Data!D610</f>
        <v>L</v>
      </c>
      <c r="E619" s="1" t="str">
        <f>[1]Data!E610</f>
        <v/>
      </c>
      <c r="F619" s="1" t="str">
        <f>[1]Data!F610</f>
        <v>2026</v>
      </c>
      <c r="G619" s="1" t="str">
        <f>[1]Data!G610</f>
        <v>3</v>
      </c>
      <c r="H619" s="15">
        <f>[1]Data!H610</f>
        <v>67</v>
      </c>
      <c r="I619" s="15">
        <f>[1]Data!I610</f>
        <v>0</v>
      </c>
      <c r="J619" s="1" t="str">
        <f>[1]Data!J610</f>
        <v>X</v>
      </c>
      <c r="K619" s="1" t="str">
        <f>[1]Data!K610</f>
        <v>X</v>
      </c>
      <c r="L619" s="1" t="str">
        <f>[1]Data!L610</f>
        <v>02:07:03</v>
      </c>
      <c r="M619" s="1">
        <f>[1]Data!M610</f>
        <v>45796</v>
      </c>
      <c r="N619" s="1">
        <f>[1]Data!N610</f>
        <v>44430</v>
      </c>
      <c r="O619" s="1" t="str">
        <f>[1]Data!O610</f>
        <v>X</v>
      </c>
      <c r="P619" s="1" t="str">
        <f>[1]Data!P610</f>
        <v>2025</v>
      </c>
      <c r="Q619" s="15">
        <f>[1]Data!Q610</f>
        <v>67</v>
      </c>
      <c r="R619" s="1" t="str">
        <f>[1]Data!R610</f>
        <v/>
      </c>
    </row>
    <row r="620" spans="1:18" x14ac:dyDescent="0.35">
      <c r="A620" s="1" t="str">
        <f>[1]Data!A611</f>
        <v>4008124</v>
      </c>
      <c r="B620" s="1" t="str">
        <f>[1]Data!B611</f>
        <v>3300</v>
      </c>
      <c r="C620" s="1" t="str">
        <f>[1]Data!C611</f>
        <v>3001</v>
      </c>
      <c r="D620" s="1" t="str">
        <f>[1]Data!D611</f>
        <v>L</v>
      </c>
      <c r="E620" s="1" t="str">
        <f>[1]Data!E611</f>
        <v>X</v>
      </c>
      <c r="F620" s="1" t="str">
        <f>[1]Data!F611</f>
        <v>2025</v>
      </c>
      <c r="G620" s="1" t="str">
        <f>[1]Data!G611</f>
        <v>11</v>
      </c>
      <c r="H620" s="15">
        <f>[1]Data!H611</f>
        <v>0</v>
      </c>
      <c r="I620" s="15">
        <f>[1]Data!I611</f>
        <v>0</v>
      </c>
      <c r="J620" s="1" t="str">
        <f>[1]Data!J611</f>
        <v>X</v>
      </c>
      <c r="K620" s="1" t="str">
        <f>[1]Data!K611</f>
        <v>X</v>
      </c>
      <c r="L620" s="1" t="str">
        <f>[1]Data!L611</f>
        <v>SLETTET</v>
      </c>
      <c r="M620" s="1">
        <f>[1]Data!M611</f>
        <v>45793</v>
      </c>
      <c r="N620" s="1">
        <f>[1]Data!N611</f>
        <v>44430</v>
      </c>
      <c r="O620" s="1" t="str">
        <f>[1]Data!O611</f>
        <v>X</v>
      </c>
      <c r="P620" s="1" t="str">
        <f>[1]Data!P611</f>
        <v>2025</v>
      </c>
      <c r="Q620" s="15">
        <f>[1]Data!Q611</f>
        <v>0</v>
      </c>
      <c r="R620" s="1" t="str">
        <f>[1]Data!R611</f>
        <v>INAKTIV</v>
      </c>
    </row>
    <row r="621" spans="1:18" x14ac:dyDescent="0.35">
      <c r="A621" s="1" t="str">
        <f>[1]Data!A612</f>
        <v>4008133</v>
      </c>
      <c r="B621" s="1" t="str">
        <f>[1]Data!B612</f>
        <v>3300</v>
      </c>
      <c r="C621" s="1" t="str">
        <f>[1]Data!C612</f>
        <v>3001</v>
      </c>
      <c r="D621" s="1" t="str">
        <f>[1]Data!D612</f>
        <v>L</v>
      </c>
      <c r="E621" s="1" t="str">
        <f>[1]Data!E612</f>
        <v/>
      </c>
      <c r="F621" s="1" t="str">
        <f>[1]Data!F612</f>
        <v>2026</v>
      </c>
      <c r="G621" s="1" t="str">
        <f>[1]Data!G612</f>
        <v>1</v>
      </c>
      <c r="H621" s="15">
        <f>[1]Data!H612</f>
        <v>84</v>
      </c>
      <c r="I621" s="15">
        <f>[1]Data!I612</f>
        <v>0</v>
      </c>
      <c r="J621" s="1" t="str">
        <f>[1]Data!J612</f>
        <v>X</v>
      </c>
      <c r="K621" s="1" t="str">
        <f>[1]Data!K612</f>
        <v>X</v>
      </c>
      <c r="L621" s="1" t="str">
        <f>[1]Data!L612</f>
        <v>09:12:01</v>
      </c>
      <c r="M621" s="1">
        <f>[1]Data!M612</f>
        <v>45987</v>
      </c>
      <c r="N621" s="1">
        <f>[1]Data!N612</f>
        <v>44430</v>
      </c>
      <c r="O621" s="1" t="str">
        <f>[1]Data!O612</f>
        <v>X</v>
      </c>
      <c r="P621" s="1" t="str">
        <f>[1]Data!P612</f>
        <v>2025</v>
      </c>
      <c r="Q621" s="15">
        <f>[1]Data!Q612</f>
        <v>84</v>
      </c>
      <c r="R621" s="1" t="str">
        <f>[1]Data!R612</f>
        <v/>
      </c>
    </row>
    <row r="622" spans="1:18" x14ac:dyDescent="0.35">
      <c r="A622" s="1" t="str">
        <f>[1]Data!A613</f>
        <v>4008142</v>
      </c>
      <c r="B622" s="1" t="str">
        <f>[1]Data!B613</f>
        <v>3300</v>
      </c>
      <c r="C622" s="1" t="str">
        <f>[1]Data!C613</f>
        <v>3001</v>
      </c>
      <c r="D622" s="1" t="str">
        <f>[1]Data!D613</f>
        <v>L</v>
      </c>
      <c r="E622" s="1" t="str">
        <f>[1]Data!E613</f>
        <v/>
      </c>
      <c r="F622" s="1" t="str">
        <f>[1]Data!F613</f>
        <v>2026</v>
      </c>
      <c r="G622" s="1" t="str">
        <f>[1]Data!G613</f>
        <v>2</v>
      </c>
      <c r="H622" s="15">
        <f>[1]Data!H613</f>
        <v>110</v>
      </c>
      <c r="I622" s="15">
        <f>[1]Data!I613</f>
        <v>0</v>
      </c>
      <c r="J622" s="1" t="str">
        <f>[1]Data!J613</f>
        <v>X</v>
      </c>
      <c r="K622" s="1" t="str">
        <f>[1]Data!K613</f>
        <v>X</v>
      </c>
      <c r="L622" s="1" t="str">
        <f>[1]Data!L613</f>
        <v>06:10:01</v>
      </c>
      <c r="M622" s="1">
        <f>[1]Data!M613</f>
        <v>45824</v>
      </c>
      <c r="N622" s="1">
        <f>[1]Data!N613</f>
        <v>44430</v>
      </c>
      <c r="O622" s="1" t="str">
        <f>[1]Data!O613</f>
        <v>X</v>
      </c>
      <c r="P622" s="1" t="str">
        <f>[1]Data!P613</f>
        <v>2025</v>
      </c>
      <c r="Q622" s="15">
        <f>[1]Data!Q613</f>
        <v>110</v>
      </c>
      <c r="R622" s="1" t="str">
        <f>[1]Data!R613</f>
        <v/>
      </c>
    </row>
    <row r="623" spans="1:18" x14ac:dyDescent="0.35">
      <c r="A623" s="1" t="str">
        <f>[1]Data!A614</f>
        <v>4008143</v>
      </c>
      <c r="B623" s="1" t="str">
        <f>[1]Data!B614</f>
        <v>3300</v>
      </c>
      <c r="C623" s="1" t="str">
        <f>[1]Data!C614</f>
        <v>3001</v>
      </c>
      <c r="D623" s="1" t="str">
        <f>[1]Data!D614</f>
        <v>L</v>
      </c>
      <c r="E623" s="1" t="str">
        <f>[1]Data!E614</f>
        <v/>
      </c>
      <c r="F623" s="1" t="str">
        <f>[1]Data!F614</f>
        <v>2026</v>
      </c>
      <c r="G623" s="1" t="str">
        <f>[1]Data!G614</f>
        <v>1</v>
      </c>
      <c r="H623" s="15">
        <f>[1]Data!H614</f>
        <v>80</v>
      </c>
      <c r="I623" s="15">
        <f>[1]Data!I614</f>
        <v>0</v>
      </c>
      <c r="J623" s="1" t="str">
        <f>[1]Data!J614</f>
        <v>X</v>
      </c>
      <c r="K623" s="1" t="str">
        <f>[1]Data!K614</f>
        <v>X</v>
      </c>
      <c r="L623" s="1" t="str">
        <f>[1]Data!L614</f>
        <v>06:10:01</v>
      </c>
      <c r="M623" s="1">
        <f>[1]Data!M614</f>
        <v>45824</v>
      </c>
      <c r="N623" s="1">
        <f>[1]Data!N614</f>
        <v>44430</v>
      </c>
      <c r="O623" s="1" t="str">
        <f>[1]Data!O614</f>
        <v>X</v>
      </c>
      <c r="P623" s="1" t="str">
        <f>[1]Data!P614</f>
        <v>2025</v>
      </c>
      <c r="Q623" s="15">
        <f>[1]Data!Q614</f>
        <v>80</v>
      </c>
      <c r="R623" s="1" t="str">
        <f>[1]Data!R614</f>
        <v/>
      </c>
    </row>
    <row r="624" spans="1:18" x14ac:dyDescent="0.35">
      <c r="A624" s="1" t="str">
        <f>[1]Data!A615</f>
        <v>4008145</v>
      </c>
      <c r="B624" s="1" t="str">
        <f>[1]Data!B615</f>
        <v>3300</v>
      </c>
      <c r="C624" s="1" t="str">
        <f>[1]Data!C615</f>
        <v>3001</v>
      </c>
      <c r="D624" s="1" t="str">
        <f>[1]Data!D615</f>
        <v>L</v>
      </c>
      <c r="E624" s="1" t="str">
        <f>[1]Data!E615</f>
        <v/>
      </c>
      <c r="F624" s="1" t="str">
        <f>[1]Data!F615</f>
        <v>2026</v>
      </c>
      <c r="G624" s="1" t="str">
        <f>[1]Data!G615</f>
        <v>2</v>
      </c>
      <c r="H624" s="15">
        <f>[1]Data!H615</f>
        <v>2100</v>
      </c>
      <c r="I624" s="15">
        <f>[1]Data!I615</f>
        <v>0</v>
      </c>
      <c r="J624" s="1" t="str">
        <f>[1]Data!J615</f>
        <v>X</v>
      </c>
      <c r="K624" s="1" t="str">
        <f>[1]Data!K615</f>
        <v/>
      </c>
      <c r="L624" s="1" t="str">
        <f>[1]Data!L615</f>
        <v>K4:C:5*</v>
      </c>
      <c r="M624" s="1">
        <f>[1]Data!M615</f>
        <v>46029</v>
      </c>
      <c r="N624" s="1">
        <f>[1]Data!N615</f>
        <v>44430</v>
      </c>
      <c r="O624" s="1" t="str">
        <f>[1]Data!O615</f>
        <v>X</v>
      </c>
      <c r="P624" s="1" t="str">
        <f>[1]Data!P615</f>
        <v>2026</v>
      </c>
      <c r="Q624" s="15">
        <f>[1]Data!Q615</f>
        <v>2100</v>
      </c>
      <c r="R624" s="1" t="str">
        <f>[1]Data!R615</f>
        <v/>
      </c>
    </row>
    <row r="625" spans="1:18" x14ac:dyDescent="0.35">
      <c r="A625" s="1" t="str">
        <f>[1]Data!A616</f>
        <v>4008148</v>
      </c>
      <c r="B625" s="1" t="str">
        <f>[1]Data!B616</f>
        <v>3300</v>
      </c>
      <c r="C625" s="1" t="str">
        <f>[1]Data!C616</f>
        <v>3001</v>
      </c>
      <c r="D625" s="1" t="str">
        <f>[1]Data!D616</f>
        <v>L</v>
      </c>
      <c r="E625" s="1" t="str">
        <f>[1]Data!E616</f>
        <v/>
      </c>
      <c r="F625" s="1" t="str">
        <f>[1]Data!F616</f>
        <v>2026</v>
      </c>
      <c r="G625" s="1" t="str">
        <f>[1]Data!G616</f>
        <v>3</v>
      </c>
      <c r="H625" s="15">
        <f>[1]Data!H616</f>
        <v>2360</v>
      </c>
      <c r="I625" s="15">
        <f>[1]Data!I616</f>
        <v>0</v>
      </c>
      <c r="J625" s="1" t="str">
        <f>[1]Data!J616</f>
        <v>X</v>
      </c>
      <c r="K625" s="1" t="str">
        <f>[1]Data!K616</f>
        <v>X</v>
      </c>
      <c r="L625" s="1" t="str">
        <f>[1]Data!L616</f>
        <v>07:04:02</v>
      </c>
      <c r="M625" s="1">
        <f>[1]Data!M616</f>
        <v>45824</v>
      </c>
      <c r="N625" s="1">
        <f>[1]Data!N616</f>
        <v>44430</v>
      </c>
      <c r="O625" s="1" t="str">
        <f>[1]Data!O616</f>
        <v>X</v>
      </c>
      <c r="P625" s="1" t="str">
        <f>[1]Data!P616</f>
        <v>2025</v>
      </c>
      <c r="Q625" s="15">
        <f>[1]Data!Q616</f>
        <v>2360</v>
      </c>
      <c r="R625" s="1" t="str">
        <f>[1]Data!R616</f>
        <v/>
      </c>
    </row>
    <row r="626" spans="1:18" x14ac:dyDescent="0.35">
      <c r="A626" s="1" t="str">
        <f>[1]Data!A617</f>
        <v>4008152</v>
      </c>
      <c r="B626" s="1" t="str">
        <f>[1]Data!B617</f>
        <v>3300</v>
      </c>
      <c r="C626" s="1" t="str">
        <f>[1]Data!C617</f>
        <v>3001</v>
      </c>
      <c r="D626" s="1" t="str">
        <f>[1]Data!D617</f>
        <v>L</v>
      </c>
      <c r="E626" s="1" t="str">
        <f>[1]Data!E617</f>
        <v/>
      </c>
      <c r="F626" s="1" t="str">
        <f>[1]Data!F617</f>
        <v>2026</v>
      </c>
      <c r="G626" s="1" t="str">
        <f>[1]Data!G617</f>
        <v>2</v>
      </c>
      <c r="H626" s="15">
        <f>[1]Data!H617</f>
        <v>50</v>
      </c>
      <c r="I626" s="15">
        <f>[1]Data!I617</f>
        <v>0</v>
      </c>
      <c r="J626" s="1" t="str">
        <f>[1]Data!J617</f>
        <v>X</v>
      </c>
      <c r="K626" s="1" t="str">
        <f>[1]Data!K617</f>
        <v>X</v>
      </c>
      <c r="L626" s="1" t="str">
        <f>[1]Data!L617</f>
        <v>15:07:02</v>
      </c>
      <c r="M626" s="1">
        <f>[1]Data!M617</f>
        <v>46001</v>
      </c>
      <c r="N626" s="1">
        <f>[1]Data!N617</f>
        <v>44430</v>
      </c>
      <c r="O626" s="1" t="str">
        <f>[1]Data!O617</f>
        <v>X</v>
      </c>
      <c r="P626" s="1" t="str">
        <f>[1]Data!P617</f>
        <v>2025</v>
      </c>
      <c r="Q626" s="15">
        <f>[1]Data!Q617</f>
        <v>50</v>
      </c>
      <c r="R626" s="1" t="str">
        <f>[1]Data!R617</f>
        <v/>
      </c>
    </row>
    <row r="627" spans="1:18" x14ac:dyDescent="0.35">
      <c r="A627" s="1" t="str">
        <f>[1]Data!A618</f>
        <v>4008157</v>
      </c>
      <c r="B627" s="1" t="str">
        <f>[1]Data!B618</f>
        <v>3300</v>
      </c>
      <c r="C627" s="1" t="str">
        <f>[1]Data!C618</f>
        <v>3001</v>
      </c>
      <c r="D627" s="1" t="str">
        <f>[1]Data!D618</f>
        <v>L</v>
      </c>
      <c r="E627" s="1" t="str">
        <f>[1]Data!E618</f>
        <v/>
      </c>
      <c r="F627" s="1" t="str">
        <f>[1]Data!F618</f>
        <v>2026</v>
      </c>
      <c r="G627" s="1" t="str">
        <f>[1]Data!G618</f>
        <v>3</v>
      </c>
      <c r="H627" s="15">
        <f>[1]Data!H618</f>
        <v>229</v>
      </c>
      <c r="I627" s="15">
        <f>[1]Data!I618</f>
        <v>0</v>
      </c>
      <c r="J627" s="1" t="str">
        <f>[1]Data!J618</f>
        <v>X</v>
      </c>
      <c r="K627" s="1" t="str">
        <f>[1]Data!K618</f>
        <v>X</v>
      </c>
      <c r="L627" s="1" t="str">
        <f>[1]Data!L618</f>
        <v>02:08:03</v>
      </c>
      <c r="M627" s="1">
        <f>[1]Data!M618</f>
        <v>45797</v>
      </c>
      <c r="N627" s="1">
        <f>[1]Data!N618</f>
        <v>44430</v>
      </c>
      <c r="O627" s="1" t="str">
        <f>[1]Data!O618</f>
        <v>X</v>
      </c>
      <c r="P627" s="1" t="str">
        <f>[1]Data!P618</f>
        <v>2025</v>
      </c>
      <c r="Q627" s="15">
        <f>[1]Data!Q618</f>
        <v>229</v>
      </c>
      <c r="R627" s="1" t="str">
        <f>[1]Data!R618</f>
        <v/>
      </c>
    </row>
    <row r="628" spans="1:18" x14ac:dyDescent="0.35">
      <c r="A628" s="1" t="str">
        <f>[1]Data!A619</f>
        <v>4008159</v>
      </c>
      <c r="B628" s="1" t="str">
        <f>[1]Data!B619</f>
        <v>3300</v>
      </c>
      <c r="C628" s="1" t="str">
        <f>[1]Data!C619</f>
        <v>3001</v>
      </c>
      <c r="D628" s="1" t="str">
        <f>[1]Data!D619</f>
        <v>L</v>
      </c>
      <c r="E628" s="1" t="str">
        <f>[1]Data!E619</f>
        <v/>
      </c>
      <c r="F628" s="1" t="str">
        <f>[1]Data!F619</f>
        <v>2023</v>
      </c>
      <c r="G628" s="1" t="str">
        <f>[1]Data!G619</f>
        <v>9</v>
      </c>
      <c r="H628" s="15">
        <f>[1]Data!H619</f>
        <v>0</v>
      </c>
      <c r="I628" s="15">
        <f>[1]Data!I619</f>
        <v>0</v>
      </c>
      <c r="J628" s="1" t="str">
        <f>[1]Data!J619</f>
        <v>X</v>
      </c>
      <c r="K628" s="1" t="str">
        <f>[1]Data!K619</f>
        <v/>
      </c>
      <c r="L628" s="1" t="str">
        <f>[1]Data!L619</f>
        <v>SLETTET</v>
      </c>
      <c r="M628" s="1">
        <f>[1]Data!M619</f>
        <v>45799</v>
      </c>
      <c r="N628" s="1">
        <f>[1]Data!N619</f>
        <v>44430</v>
      </c>
      <c r="O628" s="1" t="str">
        <f>[1]Data!O619</f>
        <v>X</v>
      </c>
      <c r="P628" s="1" t="str">
        <f>[1]Data!P619</f>
        <v>2025</v>
      </c>
      <c r="Q628" s="15">
        <f>[1]Data!Q619</f>
        <v>0</v>
      </c>
      <c r="R628" s="1" t="str">
        <f>[1]Data!R619</f>
        <v>INAKTIV</v>
      </c>
    </row>
    <row r="629" spans="1:18" x14ac:dyDescent="0.35">
      <c r="A629" s="1" t="str">
        <f>[1]Data!A620</f>
        <v>4008161</v>
      </c>
      <c r="B629" s="1" t="str">
        <f>[1]Data!B620</f>
        <v>3300</v>
      </c>
      <c r="C629" s="1" t="str">
        <f>[1]Data!C620</f>
        <v>3001</v>
      </c>
      <c r="D629" s="1" t="str">
        <f>[1]Data!D620</f>
        <v>L</v>
      </c>
      <c r="E629" s="1" t="str">
        <f>[1]Data!E620</f>
        <v/>
      </c>
      <c r="F629" s="1" t="str">
        <f>[1]Data!F620</f>
        <v>2026</v>
      </c>
      <c r="G629" s="1" t="str">
        <f>[1]Data!G620</f>
        <v>3</v>
      </c>
      <c r="H629" s="15">
        <f>[1]Data!H620</f>
        <v>365</v>
      </c>
      <c r="I629" s="15">
        <f>[1]Data!I620</f>
        <v>0</v>
      </c>
      <c r="J629" s="1" t="str">
        <f>[1]Data!J620</f>
        <v>X</v>
      </c>
      <c r="K629" s="1" t="str">
        <f>[1]Data!K620</f>
        <v>X</v>
      </c>
      <c r="L629" s="1" t="str">
        <f>[1]Data!L620</f>
        <v>04:02:02</v>
      </c>
      <c r="M629" s="1">
        <f>[1]Data!M620</f>
        <v>45798</v>
      </c>
      <c r="N629" s="1">
        <f>[1]Data!N620</f>
        <v>44430</v>
      </c>
      <c r="O629" s="1" t="str">
        <f>[1]Data!O620</f>
        <v>X</v>
      </c>
      <c r="P629" s="1" t="str">
        <f>[1]Data!P620</f>
        <v>2025</v>
      </c>
      <c r="Q629" s="15">
        <f>[1]Data!Q620</f>
        <v>365</v>
      </c>
      <c r="R629" s="1" t="str">
        <f>[1]Data!R620</f>
        <v/>
      </c>
    </row>
    <row r="630" spans="1:18" x14ac:dyDescent="0.35">
      <c r="A630" s="1" t="str">
        <f>[1]Data!A621</f>
        <v>4008184</v>
      </c>
      <c r="B630" s="1" t="str">
        <f>[1]Data!B621</f>
        <v>3300</v>
      </c>
      <c r="C630" s="1" t="str">
        <f>[1]Data!C621</f>
        <v>3001</v>
      </c>
      <c r="D630" s="1" t="str">
        <f>[1]Data!D621</f>
        <v>L</v>
      </c>
      <c r="E630" s="1" t="str">
        <f>[1]Data!E621</f>
        <v/>
      </c>
      <c r="F630" s="1" t="str">
        <f>[1]Data!F621</f>
        <v>2026</v>
      </c>
      <c r="G630" s="1" t="str">
        <f>[1]Data!G621</f>
        <v>3</v>
      </c>
      <c r="H630" s="15">
        <f>[1]Data!H621</f>
        <v>85</v>
      </c>
      <c r="I630" s="15">
        <f>[1]Data!I621</f>
        <v>0</v>
      </c>
      <c r="J630" s="1" t="str">
        <f>[1]Data!J621</f>
        <v>X</v>
      </c>
      <c r="K630" s="1" t="str">
        <f>[1]Data!K621</f>
        <v>X</v>
      </c>
      <c r="L630" s="1" t="str">
        <f>[1]Data!L621</f>
        <v>02:07:02</v>
      </c>
      <c r="M630" s="1">
        <f>[1]Data!M621</f>
        <v>45796</v>
      </c>
      <c r="N630" s="1">
        <f>[1]Data!N621</f>
        <v>44430</v>
      </c>
      <c r="O630" s="1" t="str">
        <f>[1]Data!O621</f>
        <v>X</v>
      </c>
      <c r="P630" s="1" t="str">
        <f>[1]Data!P621</f>
        <v>2025</v>
      </c>
      <c r="Q630" s="15">
        <f>[1]Data!Q621</f>
        <v>85</v>
      </c>
      <c r="R630" s="1" t="str">
        <f>[1]Data!R621</f>
        <v/>
      </c>
    </row>
    <row r="631" spans="1:18" x14ac:dyDescent="0.35">
      <c r="A631" s="1" t="str">
        <f>[1]Data!A622</f>
        <v>4008194</v>
      </c>
      <c r="B631" s="1" t="str">
        <f>[1]Data!B622</f>
        <v>3300</v>
      </c>
      <c r="C631" s="1" t="str">
        <f>[1]Data!C622</f>
        <v>3001</v>
      </c>
      <c r="D631" s="1" t="str">
        <f>[1]Data!D622</f>
        <v>L</v>
      </c>
      <c r="E631" s="1" t="str">
        <f>[1]Data!E622</f>
        <v/>
      </c>
      <c r="F631" s="1" t="str">
        <f>[1]Data!F622</f>
        <v>2026</v>
      </c>
      <c r="G631" s="1" t="str">
        <f>[1]Data!G622</f>
        <v>2</v>
      </c>
      <c r="H631" s="15">
        <f>[1]Data!H622</f>
        <v>158</v>
      </c>
      <c r="I631" s="15">
        <f>[1]Data!I622</f>
        <v>0</v>
      </c>
      <c r="J631" s="1" t="str">
        <f>[1]Data!J622</f>
        <v>X</v>
      </c>
      <c r="K631" s="1" t="str">
        <f>[1]Data!K622</f>
        <v>X</v>
      </c>
      <c r="L631" s="1" t="str">
        <f>[1]Data!L622</f>
        <v>06:08:03</v>
      </c>
      <c r="M631" s="1">
        <f>[1]Data!M622</f>
        <v>45819</v>
      </c>
      <c r="N631" s="1">
        <f>[1]Data!N622</f>
        <v>44430</v>
      </c>
      <c r="O631" s="1" t="str">
        <f>[1]Data!O622</f>
        <v>X</v>
      </c>
      <c r="P631" s="1" t="str">
        <f>[1]Data!P622</f>
        <v>2025</v>
      </c>
      <c r="Q631" s="15">
        <f>[1]Data!Q622</f>
        <v>158</v>
      </c>
      <c r="R631" s="1" t="str">
        <f>[1]Data!R622</f>
        <v/>
      </c>
    </row>
    <row r="632" spans="1:18" x14ac:dyDescent="0.35">
      <c r="A632" s="1" t="str">
        <f>[1]Data!A623</f>
        <v>4008197</v>
      </c>
      <c r="B632" s="1" t="str">
        <f>[1]Data!B623</f>
        <v>3300</v>
      </c>
      <c r="C632" s="1" t="str">
        <f>[1]Data!C623</f>
        <v>3001</v>
      </c>
      <c r="D632" s="1" t="str">
        <f>[1]Data!D623</f>
        <v>L</v>
      </c>
      <c r="E632" s="1" t="str">
        <f>[1]Data!E623</f>
        <v/>
      </c>
      <c r="F632" s="1" t="str">
        <f>[1]Data!F623</f>
        <v>2026</v>
      </c>
      <c r="G632" s="1" t="str">
        <f>[1]Data!G623</f>
        <v>3</v>
      </c>
      <c r="H632" s="15">
        <f>[1]Data!H623</f>
        <v>36</v>
      </c>
      <c r="I632" s="15">
        <f>[1]Data!I623</f>
        <v>0</v>
      </c>
      <c r="J632" s="1" t="str">
        <f>[1]Data!J623</f>
        <v>X</v>
      </c>
      <c r="K632" s="1" t="str">
        <f>[1]Data!K623</f>
        <v>X</v>
      </c>
      <c r="L632" s="1" t="str">
        <f>[1]Data!L623</f>
        <v>06:07:03</v>
      </c>
      <c r="M632" s="1">
        <f>[1]Data!M623</f>
        <v>45819</v>
      </c>
      <c r="N632" s="1">
        <f>[1]Data!N623</f>
        <v>44430</v>
      </c>
      <c r="O632" s="1" t="str">
        <f>[1]Data!O623</f>
        <v>X</v>
      </c>
      <c r="P632" s="1" t="str">
        <f>[1]Data!P623</f>
        <v>2025</v>
      </c>
      <c r="Q632" s="15">
        <f>[1]Data!Q623</f>
        <v>36</v>
      </c>
      <c r="R632" s="1" t="str">
        <f>[1]Data!R623</f>
        <v/>
      </c>
    </row>
    <row r="633" spans="1:18" x14ac:dyDescent="0.35">
      <c r="A633" s="1" t="str">
        <f>[1]Data!A624</f>
        <v>4008198</v>
      </c>
      <c r="B633" s="1" t="str">
        <f>[1]Data!B624</f>
        <v>3300</v>
      </c>
      <c r="C633" s="1" t="str">
        <f>[1]Data!C624</f>
        <v>3001</v>
      </c>
      <c r="D633" s="1" t="str">
        <f>[1]Data!D624</f>
        <v>L</v>
      </c>
      <c r="E633" s="1" t="str">
        <f>[1]Data!E624</f>
        <v/>
      </c>
      <c r="F633" s="1" t="str">
        <f>[1]Data!F624</f>
        <v>2026</v>
      </c>
      <c r="G633" s="1" t="str">
        <f>[1]Data!G624</f>
        <v>2</v>
      </c>
      <c r="H633" s="15">
        <f>[1]Data!H624</f>
        <v>222</v>
      </c>
      <c r="I633" s="15">
        <f>[1]Data!I624</f>
        <v>0</v>
      </c>
      <c r="J633" s="1" t="str">
        <f>[1]Data!J624</f>
        <v>X</v>
      </c>
      <c r="K633" s="1" t="str">
        <f>[1]Data!K624</f>
        <v>X</v>
      </c>
      <c r="L633" s="1" t="str">
        <f>[1]Data!L624</f>
        <v>06:08:03</v>
      </c>
      <c r="M633" s="1">
        <f>[1]Data!M624</f>
        <v>45819</v>
      </c>
      <c r="N633" s="1">
        <f>[1]Data!N624</f>
        <v>44430</v>
      </c>
      <c r="O633" s="1" t="str">
        <f>[1]Data!O624</f>
        <v>X</v>
      </c>
      <c r="P633" s="1" t="str">
        <f>[1]Data!P624</f>
        <v>2025</v>
      </c>
      <c r="Q633" s="15">
        <f>[1]Data!Q624</f>
        <v>222</v>
      </c>
      <c r="R633" s="1" t="str">
        <f>[1]Data!R624</f>
        <v/>
      </c>
    </row>
    <row r="634" spans="1:18" x14ac:dyDescent="0.35">
      <c r="A634" s="1" t="str">
        <f>[1]Data!A625</f>
        <v>4008201</v>
      </c>
      <c r="B634" s="1" t="str">
        <f>[1]Data!B625</f>
        <v>3300</v>
      </c>
      <c r="C634" s="1" t="str">
        <f>[1]Data!C625</f>
        <v>3001</v>
      </c>
      <c r="D634" s="1" t="str">
        <f>[1]Data!D625</f>
        <v>L</v>
      </c>
      <c r="E634" s="1" t="str">
        <f>[1]Data!E625</f>
        <v/>
      </c>
      <c r="F634" s="1" t="str">
        <f>[1]Data!F625</f>
        <v>2026</v>
      </c>
      <c r="G634" s="1" t="str">
        <f>[1]Data!G625</f>
        <v>3</v>
      </c>
      <c r="H634" s="15">
        <f>[1]Data!H625</f>
        <v>646</v>
      </c>
      <c r="I634" s="15">
        <f>[1]Data!I625</f>
        <v>0</v>
      </c>
      <c r="J634" s="1" t="str">
        <f>[1]Data!J625</f>
        <v>X</v>
      </c>
      <c r="K634" s="1" t="str">
        <f>[1]Data!K625</f>
        <v>X</v>
      </c>
      <c r="L634" s="1" t="str">
        <f>[1]Data!L625</f>
        <v>07:06:00</v>
      </c>
      <c r="M634" s="1">
        <f>[1]Data!M625</f>
        <v>45824</v>
      </c>
      <c r="N634" s="1">
        <f>[1]Data!N625</f>
        <v>44430</v>
      </c>
      <c r="O634" s="1" t="str">
        <f>[1]Data!O625</f>
        <v>X</v>
      </c>
      <c r="P634" s="1" t="str">
        <f>[1]Data!P625</f>
        <v>2025</v>
      </c>
      <c r="Q634" s="15">
        <f>[1]Data!Q625</f>
        <v>646</v>
      </c>
      <c r="R634" s="1" t="str">
        <f>[1]Data!R625</f>
        <v/>
      </c>
    </row>
    <row r="635" spans="1:18" x14ac:dyDescent="0.35">
      <c r="A635" s="1" t="str">
        <f>[1]Data!A626</f>
        <v>4008203</v>
      </c>
      <c r="B635" s="1" t="str">
        <f>[1]Data!B626</f>
        <v>3300</v>
      </c>
      <c r="C635" s="1" t="str">
        <f>[1]Data!C626</f>
        <v>3001</v>
      </c>
      <c r="D635" s="1" t="str">
        <f>[1]Data!D626</f>
        <v>L</v>
      </c>
      <c r="E635" s="1" t="str">
        <f>[1]Data!E626</f>
        <v>X</v>
      </c>
      <c r="F635" s="1" t="str">
        <f>[1]Data!F626</f>
        <v>2022</v>
      </c>
      <c r="G635" s="1" t="str">
        <f>[1]Data!G626</f>
        <v>11</v>
      </c>
      <c r="H635" s="15">
        <f>[1]Data!H626</f>
        <v>0</v>
      </c>
      <c r="I635" s="15">
        <f>[1]Data!I626</f>
        <v>0</v>
      </c>
      <c r="J635" s="1" t="str">
        <f>[1]Data!J626</f>
        <v/>
      </c>
      <c r="K635" s="1" t="str">
        <f>[1]Data!K626</f>
        <v/>
      </c>
      <c r="L635" s="1" t="str">
        <f>[1]Data!L626</f>
        <v>SLETTET</v>
      </c>
      <c r="M635" s="1">
        <f>[1]Data!M626</f>
        <v>44568</v>
      </c>
      <c r="N635" s="1">
        <f>[1]Data!N626</f>
        <v>44430</v>
      </c>
      <c r="O635" s="1" t="str">
        <f>[1]Data!O626</f>
        <v>X</v>
      </c>
      <c r="P635" s="1" t="str">
        <f>[1]Data!P626</f>
        <v>2025</v>
      </c>
      <c r="Q635" s="15">
        <f>[1]Data!Q626</f>
        <v>0</v>
      </c>
      <c r="R635" s="1" t="str">
        <f>[1]Data!R626</f>
        <v>INAKTIV</v>
      </c>
    </row>
    <row r="636" spans="1:18" x14ac:dyDescent="0.35">
      <c r="A636" s="1" t="str">
        <f>[1]Data!A627</f>
        <v>4008204</v>
      </c>
      <c r="B636" s="1" t="str">
        <f>[1]Data!B627</f>
        <v>3300</v>
      </c>
      <c r="C636" s="1" t="str">
        <f>[1]Data!C627</f>
        <v>3001</v>
      </c>
      <c r="D636" s="1" t="str">
        <f>[1]Data!D627</f>
        <v>L</v>
      </c>
      <c r="E636" s="1" t="str">
        <f>[1]Data!E627</f>
        <v/>
      </c>
      <c r="F636" s="1" t="str">
        <f>[1]Data!F627</f>
        <v>2025</v>
      </c>
      <c r="G636" s="1" t="str">
        <f>[1]Data!G627</f>
        <v>10</v>
      </c>
      <c r="H636" s="15">
        <f>[1]Data!H627</f>
        <v>60</v>
      </c>
      <c r="I636" s="15">
        <f>[1]Data!I627</f>
        <v>0</v>
      </c>
      <c r="J636" s="1" t="str">
        <f>[1]Data!J627</f>
        <v>X</v>
      </c>
      <c r="K636" s="1" t="str">
        <f>[1]Data!K627</f>
        <v>X</v>
      </c>
      <c r="L636" s="1" t="str">
        <f>[1]Data!L627</f>
        <v>02:13:01</v>
      </c>
      <c r="M636" s="1">
        <f>[1]Data!M627</f>
        <v>45797</v>
      </c>
      <c r="N636" s="1">
        <f>[1]Data!N627</f>
        <v>44430</v>
      </c>
      <c r="O636" s="1" t="str">
        <f>[1]Data!O627</f>
        <v>X</v>
      </c>
      <c r="P636" s="1" t="str">
        <f>[1]Data!P627</f>
        <v>2025</v>
      </c>
      <c r="Q636" s="15">
        <f>[1]Data!Q627</f>
        <v>60</v>
      </c>
      <c r="R636" s="1" t="str">
        <f>[1]Data!R627</f>
        <v/>
      </c>
    </row>
    <row r="637" spans="1:18" x14ac:dyDescent="0.35">
      <c r="A637" s="1" t="str">
        <f>[1]Data!A628</f>
        <v>4008206</v>
      </c>
      <c r="B637" s="1" t="str">
        <f>[1]Data!B628</f>
        <v>3300</v>
      </c>
      <c r="C637" s="1" t="str">
        <f>[1]Data!C628</f>
        <v>3001</v>
      </c>
      <c r="D637" s="1" t="str">
        <f>[1]Data!D628</f>
        <v>L</v>
      </c>
      <c r="E637" s="1" t="str">
        <f>[1]Data!E628</f>
        <v/>
      </c>
      <c r="F637" s="1" t="str">
        <f>[1]Data!F628</f>
        <v>2026</v>
      </c>
      <c r="G637" s="1" t="str">
        <f>[1]Data!G628</f>
        <v>2</v>
      </c>
      <c r="H637" s="15">
        <f>[1]Data!H628</f>
        <v>90</v>
      </c>
      <c r="I637" s="15">
        <f>[1]Data!I628</f>
        <v>0</v>
      </c>
      <c r="J637" s="1" t="str">
        <f>[1]Data!J628</f>
        <v>X</v>
      </c>
      <c r="K637" s="1" t="str">
        <f>[1]Data!K628</f>
        <v>X</v>
      </c>
      <c r="L637" s="1" t="str">
        <f>[1]Data!L628</f>
        <v>03:10:02</v>
      </c>
      <c r="M637" s="1">
        <f>[1]Data!M628</f>
        <v>45798</v>
      </c>
      <c r="N637" s="1">
        <f>[1]Data!N628</f>
        <v>44430</v>
      </c>
      <c r="O637" s="1" t="str">
        <f>[1]Data!O628</f>
        <v>X</v>
      </c>
      <c r="P637" s="1" t="str">
        <f>[1]Data!P628</f>
        <v>2025</v>
      </c>
      <c r="Q637" s="15">
        <f>[1]Data!Q628</f>
        <v>90</v>
      </c>
      <c r="R637" s="1" t="str">
        <f>[1]Data!R628</f>
        <v/>
      </c>
    </row>
    <row r="638" spans="1:18" x14ac:dyDescent="0.35">
      <c r="A638" s="1" t="str">
        <f>[1]Data!A629</f>
        <v>4008209</v>
      </c>
      <c r="B638" s="1" t="str">
        <f>[1]Data!B629</f>
        <v>3300</v>
      </c>
      <c r="C638" s="1" t="str">
        <f>[1]Data!C629</f>
        <v>3001</v>
      </c>
      <c r="D638" s="1" t="str">
        <f>[1]Data!D629</f>
        <v>L</v>
      </c>
      <c r="E638" s="1" t="str">
        <f>[1]Data!E629</f>
        <v/>
      </c>
      <c r="F638" s="1" t="str">
        <f>[1]Data!F629</f>
        <v>2024</v>
      </c>
      <c r="G638" s="1" t="str">
        <f>[1]Data!G629</f>
        <v>4</v>
      </c>
      <c r="H638" s="15">
        <f>[1]Data!H629</f>
        <v>0</v>
      </c>
      <c r="I638" s="15">
        <f>[1]Data!I629</f>
        <v>0</v>
      </c>
      <c r="J638" s="1" t="str">
        <f>[1]Data!J629</f>
        <v>X</v>
      </c>
      <c r="K638" s="1" t="str">
        <f>[1]Data!K629</f>
        <v>X</v>
      </c>
      <c r="L638" s="1" t="str">
        <f>[1]Data!L629</f>
        <v>SLETTET</v>
      </c>
      <c r="M638" s="1">
        <f>[1]Data!M629</f>
        <v>45797</v>
      </c>
      <c r="N638" s="1">
        <f>[1]Data!N629</f>
        <v>44430</v>
      </c>
      <c r="O638" s="1" t="str">
        <f>[1]Data!O629</f>
        <v>X</v>
      </c>
      <c r="P638" s="1" t="str">
        <f>[1]Data!P629</f>
        <v>2025</v>
      </c>
      <c r="Q638" s="15">
        <f>[1]Data!Q629</f>
        <v>0</v>
      </c>
      <c r="R638" s="1" t="str">
        <f>[1]Data!R629</f>
        <v>INAKTIV</v>
      </c>
    </row>
    <row r="639" spans="1:18" x14ac:dyDescent="0.35">
      <c r="A639" s="1" t="str">
        <f>[1]Data!A630</f>
        <v>4008211</v>
      </c>
      <c r="B639" s="1" t="str">
        <f>[1]Data!B630</f>
        <v>3300</v>
      </c>
      <c r="C639" s="1" t="str">
        <f>[1]Data!C630</f>
        <v>3001</v>
      </c>
      <c r="D639" s="1" t="str">
        <f>[1]Data!D630</f>
        <v>DL</v>
      </c>
      <c r="E639" s="1" t="str">
        <f>[1]Data!E630</f>
        <v/>
      </c>
      <c r="F639" s="1" t="str">
        <f>[1]Data!F630</f>
        <v>2026</v>
      </c>
      <c r="G639" s="1" t="str">
        <f>[1]Data!G630</f>
        <v>2</v>
      </c>
      <c r="H639" s="15">
        <f>[1]Data!H630</f>
        <v>90</v>
      </c>
      <c r="I639" s="15">
        <f>[1]Data!I630</f>
        <v>0</v>
      </c>
      <c r="J639" s="1" t="str">
        <f>[1]Data!J630</f>
        <v>X</v>
      </c>
      <c r="K639" s="1" t="str">
        <f>[1]Data!K630</f>
        <v>X</v>
      </c>
      <c r="L639" s="1" t="str">
        <f>[1]Data!L630</f>
        <v>04:05:01</v>
      </c>
      <c r="M639" s="1">
        <f>[1]Data!M630</f>
        <v>45798</v>
      </c>
      <c r="N639" s="1">
        <f>[1]Data!N630</f>
        <v>45235</v>
      </c>
      <c r="O639" s="1" t="str">
        <f>[1]Data!O630</f>
        <v>X</v>
      </c>
      <c r="P639" s="1" t="str">
        <f>[1]Data!P630</f>
        <v>2025</v>
      </c>
      <c r="Q639" s="15">
        <f>[1]Data!Q630</f>
        <v>90</v>
      </c>
      <c r="R639" s="1" t="str">
        <f>[1]Data!R630</f>
        <v/>
      </c>
    </row>
    <row r="640" spans="1:18" x14ac:dyDescent="0.35">
      <c r="A640" s="1" t="str">
        <f>[1]Data!A631</f>
        <v>4008212</v>
      </c>
      <c r="B640" s="1" t="str">
        <f>[1]Data!B631</f>
        <v>3300</v>
      </c>
      <c r="C640" s="1" t="str">
        <f>[1]Data!C631</f>
        <v>3001</v>
      </c>
      <c r="D640" s="1" t="str">
        <f>[1]Data!D631</f>
        <v>DL</v>
      </c>
      <c r="E640" s="1" t="str">
        <f>[1]Data!E631</f>
        <v/>
      </c>
      <c r="F640" s="1" t="str">
        <f>[1]Data!F631</f>
        <v>2026</v>
      </c>
      <c r="G640" s="1" t="str">
        <f>[1]Data!G631</f>
        <v>2</v>
      </c>
      <c r="H640" s="15">
        <f>[1]Data!H631</f>
        <v>50</v>
      </c>
      <c r="I640" s="15">
        <f>[1]Data!I631</f>
        <v>0</v>
      </c>
      <c r="J640" s="1" t="str">
        <f>[1]Data!J631</f>
        <v>X</v>
      </c>
      <c r="K640" s="1" t="str">
        <f>[1]Data!K631</f>
        <v>X</v>
      </c>
      <c r="L640" s="1" t="str">
        <f>[1]Data!L631</f>
        <v>03:10:03</v>
      </c>
      <c r="M640" s="1">
        <f>[1]Data!M631</f>
        <v>45798</v>
      </c>
      <c r="N640" s="1">
        <f>[1]Data!N631</f>
        <v>45235</v>
      </c>
      <c r="O640" s="1" t="str">
        <f>[1]Data!O631</f>
        <v>X</v>
      </c>
      <c r="P640" s="1" t="str">
        <f>[1]Data!P631</f>
        <v>2025</v>
      </c>
      <c r="Q640" s="15">
        <f>[1]Data!Q631</f>
        <v>50</v>
      </c>
      <c r="R640" s="1" t="str">
        <f>[1]Data!R631</f>
        <v/>
      </c>
    </row>
    <row r="641" spans="1:18" x14ac:dyDescent="0.35">
      <c r="A641" s="1" t="str">
        <f>[1]Data!A632</f>
        <v>4008213</v>
      </c>
      <c r="B641" s="1" t="str">
        <f>[1]Data!B632</f>
        <v>3300</v>
      </c>
      <c r="C641" s="1" t="str">
        <f>[1]Data!C632</f>
        <v>3001</v>
      </c>
      <c r="D641" s="1" t="str">
        <f>[1]Data!D632</f>
        <v>DL</v>
      </c>
      <c r="E641" s="1" t="str">
        <f>[1]Data!E632</f>
        <v/>
      </c>
      <c r="F641" s="1" t="str">
        <f>[1]Data!F632</f>
        <v>2026</v>
      </c>
      <c r="G641" s="1" t="str">
        <f>[1]Data!G632</f>
        <v>2</v>
      </c>
      <c r="H641" s="15">
        <f>[1]Data!H632</f>
        <v>75</v>
      </c>
      <c r="I641" s="15">
        <f>[1]Data!I632</f>
        <v>0</v>
      </c>
      <c r="J641" s="1" t="str">
        <f>[1]Data!J632</f>
        <v>X</v>
      </c>
      <c r="K641" s="1" t="str">
        <f>[1]Data!K632</f>
        <v>X</v>
      </c>
      <c r="L641" s="1" t="str">
        <f>[1]Data!L632</f>
        <v>03:10:03</v>
      </c>
      <c r="M641" s="1">
        <f>[1]Data!M632</f>
        <v>45798</v>
      </c>
      <c r="N641" s="1">
        <f>[1]Data!N632</f>
        <v>45235</v>
      </c>
      <c r="O641" s="1" t="str">
        <f>[1]Data!O632</f>
        <v>X</v>
      </c>
      <c r="P641" s="1" t="str">
        <f>[1]Data!P632</f>
        <v>2025</v>
      </c>
      <c r="Q641" s="15">
        <f>[1]Data!Q632</f>
        <v>75</v>
      </c>
      <c r="R641" s="1" t="str">
        <f>[1]Data!R632</f>
        <v/>
      </c>
    </row>
    <row r="642" spans="1:18" x14ac:dyDescent="0.35">
      <c r="A642" s="1" t="str">
        <f>[1]Data!A633</f>
        <v>4008214</v>
      </c>
      <c r="B642" s="1" t="str">
        <f>[1]Data!B633</f>
        <v>3300</v>
      </c>
      <c r="C642" s="1" t="str">
        <f>[1]Data!C633</f>
        <v>3001</v>
      </c>
      <c r="D642" s="1" t="str">
        <f>[1]Data!D633</f>
        <v>DL</v>
      </c>
      <c r="E642" s="1" t="str">
        <f>[1]Data!E633</f>
        <v/>
      </c>
      <c r="F642" s="1" t="str">
        <f>[1]Data!F633</f>
        <v>2026</v>
      </c>
      <c r="G642" s="1" t="str">
        <f>[1]Data!G633</f>
        <v>2</v>
      </c>
      <c r="H642" s="15">
        <f>[1]Data!H633</f>
        <v>110</v>
      </c>
      <c r="I642" s="15">
        <f>[1]Data!I633</f>
        <v>0</v>
      </c>
      <c r="J642" s="1" t="str">
        <f>[1]Data!J633</f>
        <v>X</v>
      </c>
      <c r="K642" s="1" t="str">
        <f>[1]Data!K633</f>
        <v>X</v>
      </c>
      <c r="L642" s="1" t="str">
        <f>[1]Data!L633</f>
        <v>03:05:01</v>
      </c>
      <c r="M642" s="1">
        <f>[1]Data!M633</f>
        <v>45798</v>
      </c>
      <c r="N642" s="1">
        <f>[1]Data!N633</f>
        <v>45235</v>
      </c>
      <c r="O642" s="1" t="str">
        <f>[1]Data!O633</f>
        <v>X</v>
      </c>
      <c r="P642" s="1" t="str">
        <f>[1]Data!P633</f>
        <v>2025</v>
      </c>
      <c r="Q642" s="15">
        <f>[1]Data!Q633</f>
        <v>110</v>
      </c>
      <c r="R642" s="1" t="str">
        <f>[1]Data!R633</f>
        <v/>
      </c>
    </row>
    <row r="643" spans="1:18" x14ac:dyDescent="0.35">
      <c r="A643" s="1" t="str">
        <f>[1]Data!A634</f>
        <v>4008217</v>
      </c>
      <c r="B643" s="1" t="str">
        <f>[1]Data!B634</f>
        <v>3300</v>
      </c>
      <c r="C643" s="1" t="str">
        <f>[1]Data!C634</f>
        <v>3001</v>
      </c>
      <c r="D643" s="1" t="str">
        <f>[1]Data!D634</f>
        <v>L</v>
      </c>
      <c r="E643" s="1" t="str">
        <f>[1]Data!E634</f>
        <v/>
      </c>
      <c r="F643" s="1" t="str">
        <f>[1]Data!F634</f>
        <v>2021</v>
      </c>
      <c r="G643" s="1" t="str">
        <f>[1]Data!G634</f>
        <v>10</v>
      </c>
      <c r="H643" s="15">
        <f>[1]Data!H634</f>
        <v>0</v>
      </c>
      <c r="I643" s="15">
        <f>[1]Data!I634</f>
        <v>0</v>
      </c>
      <c r="J643" s="1" t="str">
        <f>[1]Data!J634</f>
        <v/>
      </c>
      <c r="K643" s="1" t="str">
        <f>[1]Data!K634</f>
        <v/>
      </c>
      <c r="L643" s="1" t="str">
        <f>[1]Data!L634</f>
        <v>SLETTET</v>
      </c>
      <c r="M643" s="1">
        <f>[1]Data!M634</f>
        <v>44568</v>
      </c>
      <c r="N643" s="1">
        <f>[1]Data!N634</f>
        <v>44430</v>
      </c>
      <c r="O643" s="1" t="str">
        <f>[1]Data!O634</f>
        <v>X</v>
      </c>
      <c r="P643" s="1" t="str">
        <f>[1]Data!P634</f>
        <v>2025</v>
      </c>
      <c r="Q643" s="15">
        <f>[1]Data!Q634</f>
        <v>0</v>
      </c>
      <c r="R643" s="1" t="str">
        <f>[1]Data!R634</f>
        <v>INAKTIV</v>
      </c>
    </row>
    <row r="644" spans="1:18" x14ac:dyDescent="0.35">
      <c r="A644" s="1" t="str">
        <f>[1]Data!A635</f>
        <v>4008222</v>
      </c>
      <c r="B644" s="1" t="str">
        <f>[1]Data!B635</f>
        <v>3300</v>
      </c>
      <c r="C644" s="1" t="str">
        <f>[1]Data!C635</f>
        <v>3001</v>
      </c>
      <c r="D644" s="1" t="str">
        <f>[1]Data!D635</f>
        <v>L</v>
      </c>
      <c r="E644" s="1" t="str">
        <f>[1]Data!E635</f>
        <v/>
      </c>
      <c r="F644" s="1" t="str">
        <f>[1]Data!F635</f>
        <v>2022</v>
      </c>
      <c r="G644" s="1" t="str">
        <f>[1]Data!G635</f>
        <v>3</v>
      </c>
      <c r="H644" s="15">
        <f>[1]Data!H635</f>
        <v>0</v>
      </c>
      <c r="I644" s="15">
        <f>[1]Data!I635</f>
        <v>0</v>
      </c>
      <c r="J644" s="1" t="str">
        <f>[1]Data!J635</f>
        <v/>
      </c>
      <c r="K644" s="1" t="str">
        <f>[1]Data!K635</f>
        <v/>
      </c>
      <c r="L644" s="1" t="str">
        <f>[1]Data!L635</f>
        <v>SLETTET</v>
      </c>
      <c r="M644" s="1">
        <f>[1]Data!M635</f>
        <v>44568</v>
      </c>
      <c r="N644" s="1">
        <f>[1]Data!N635</f>
        <v>44430</v>
      </c>
      <c r="O644" s="1" t="str">
        <f>[1]Data!O635</f>
        <v>X</v>
      </c>
      <c r="P644" s="1" t="str">
        <f>[1]Data!P635</f>
        <v>2025</v>
      </c>
      <c r="Q644" s="15">
        <f>[1]Data!Q635</f>
        <v>0</v>
      </c>
      <c r="R644" s="1" t="str">
        <f>[1]Data!R635</f>
        <v>INAKTIV</v>
      </c>
    </row>
    <row r="645" spans="1:18" x14ac:dyDescent="0.35">
      <c r="A645" s="1" t="str">
        <f>[1]Data!A636</f>
        <v>4008223</v>
      </c>
      <c r="B645" s="1" t="str">
        <f>[1]Data!B636</f>
        <v>3300</v>
      </c>
      <c r="C645" s="1" t="str">
        <f>[1]Data!C636</f>
        <v>3001</v>
      </c>
      <c r="D645" s="1" t="str">
        <f>[1]Data!D636</f>
        <v>L</v>
      </c>
      <c r="E645" s="1" t="str">
        <f>[1]Data!E636</f>
        <v>X</v>
      </c>
      <c r="F645" s="1" t="str">
        <f>[1]Data!F636</f>
        <v>2022</v>
      </c>
      <c r="G645" s="1" t="str">
        <f>[1]Data!G636</f>
        <v>10</v>
      </c>
      <c r="H645" s="15">
        <f>[1]Data!H636</f>
        <v>0</v>
      </c>
      <c r="I645" s="15">
        <f>[1]Data!I636</f>
        <v>0</v>
      </c>
      <c r="J645" s="1" t="str">
        <f>[1]Data!J636</f>
        <v/>
      </c>
      <c r="K645" s="1" t="str">
        <f>[1]Data!K636</f>
        <v>X</v>
      </c>
      <c r="L645" s="1" t="str">
        <f>[1]Data!L636</f>
        <v>SLETTET</v>
      </c>
      <c r="M645" s="1">
        <f>[1]Data!M636</f>
        <v>44568</v>
      </c>
      <c r="N645" s="1">
        <f>[1]Data!N636</f>
        <v>44430</v>
      </c>
      <c r="O645" s="1" t="str">
        <f>[1]Data!O636</f>
        <v>X</v>
      </c>
      <c r="P645" s="1" t="str">
        <f>[1]Data!P636</f>
        <v>2023</v>
      </c>
      <c r="Q645" s="15">
        <f>[1]Data!Q636</f>
        <v>0</v>
      </c>
      <c r="R645" s="1" t="str">
        <f>[1]Data!R636</f>
        <v>INAKTIV</v>
      </c>
    </row>
    <row r="646" spans="1:18" x14ac:dyDescent="0.35">
      <c r="A646" s="1" t="str">
        <f>[1]Data!A637</f>
        <v>4008239</v>
      </c>
      <c r="B646" s="1" t="str">
        <f>[1]Data!B637</f>
        <v>3300</v>
      </c>
      <c r="C646" s="1" t="str">
        <f>[1]Data!C637</f>
        <v>3001</v>
      </c>
      <c r="D646" s="1" t="str">
        <f>[1]Data!D637</f>
        <v>L</v>
      </c>
      <c r="E646" s="1" t="str">
        <f>[1]Data!E637</f>
        <v/>
      </c>
      <c r="F646" s="1" t="str">
        <f>[1]Data!F637</f>
        <v>2026</v>
      </c>
      <c r="G646" s="1" t="str">
        <f>[1]Data!G637</f>
        <v>2</v>
      </c>
      <c r="H646" s="15">
        <f>[1]Data!H637</f>
        <v>91</v>
      </c>
      <c r="I646" s="15">
        <f>[1]Data!I637</f>
        <v>0</v>
      </c>
      <c r="J646" s="1" t="str">
        <f>[1]Data!J637</f>
        <v>X</v>
      </c>
      <c r="K646" s="1" t="str">
        <f>[1]Data!K637</f>
        <v>X</v>
      </c>
      <c r="L646" s="1" t="str">
        <f>[1]Data!L637</f>
        <v>12:13:02</v>
      </c>
      <c r="M646" s="1">
        <f>[1]Data!M637</f>
        <v>45994</v>
      </c>
      <c r="N646" s="1">
        <f>[1]Data!N637</f>
        <v>44430</v>
      </c>
      <c r="O646" s="1" t="str">
        <f>[1]Data!O637</f>
        <v>X</v>
      </c>
      <c r="P646" s="1" t="str">
        <f>[1]Data!P637</f>
        <v>2025</v>
      </c>
      <c r="Q646" s="15">
        <f>[1]Data!Q637</f>
        <v>91</v>
      </c>
      <c r="R646" s="1" t="str">
        <f>[1]Data!R637</f>
        <v/>
      </c>
    </row>
    <row r="647" spans="1:18" x14ac:dyDescent="0.35">
      <c r="A647" s="1" t="str">
        <f>[1]Data!A638</f>
        <v>4008245</v>
      </c>
      <c r="B647" s="1" t="str">
        <f>[1]Data!B638</f>
        <v>3300</v>
      </c>
      <c r="C647" s="1" t="str">
        <f>[1]Data!C638</f>
        <v>3001</v>
      </c>
      <c r="D647" s="1" t="str">
        <f>[1]Data!D638</f>
        <v>L</v>
      </c>
      <c r="E647" s="1" t="str">
        <f>[1]Data!E638</f>
        <v>X</v>
      </c>
      <c r="F647" s="1" t="str">
        <f>[1]Data!F638</f>
        <v>2023</v>
      </c>
      <c r="G647" s="1" t="str">
        <f>[1]Data!G638</f>
        <v>2</v>
      </c>
      <c r="H647" s="15">
        <f>[1]Data!H638</f>
        <v>0</v>
      </c>
      <c r="I647" s="15">
        <f>[1]Data!I638</f>
        <v>0</v>
      </c>
      <c r="J647" s="1" t="str">
        <f>[1]Data!J638</f>
        <v/>
      </c>
      <c r="K647" s="1" t="str">
        <f>[1]Data!K638</f>
        <v>X</v>
      </c>
      <c r="L647" s="1" t="str">
        <f>[1]Data!L638</f>
        <v>SLETTET</v>
      </c>
      <c r="M647" s="1">
        <f>[1]Data!M638</f>
        <v>44568</v>
      </c>
      <c r="N647" s="1">
        <f>[1]Data!N638</f>
        <v>44430</v>
      </c>
      <c r="O647" s="1" t="str">
        <f>[1]Data!O638</f>
        <v>X</v>
      </c>
      <c r="P647" s="1" t="str">
        <f>[1]Data!P638</f>
        <v>2023</v>
      </c>
      <c r="Q647" s="15">
        <f>[1]Data!Q638</f>
        <v>0</v>
      </c>
      <c r="R647" s="1" t="str">
        <f>[1]Data!R638</f>
        <v>INAKTIV</v>
      </c>
    </row>
    <row r="648" spans="1:18" x14ac:dyDescent="0.35">
      <c r="A648" s="1" t="str">
        <f>[1]Data!A639</f>
        <v>4008247</v>
      </c>
      <c r="B648" s="1" t="str">
        <f>[1]Data!B639</f>
        <v>3300</v>
      </c>
      <c r="C648" s="1" t="str">
        <f>[1]Data!C639</f>
        <v>3001</v>
      </c>
      <c r="D648" s="1" t="str">
        <f>[1]Data!D639</f>
        <v>L</v>
      </c>
      <c r="E648" s="1" t="str">
        <f>[1]Data!E639</f>
        <v/>
      </c>
      <c r="F648" s="1" t="str">
        <f>[1]Data!F639</f>
        <v>2026</v>
      </c>
      <c r="G648" s="1" t="str">
        <f>[1]Data!G639</f>
        <v>2</v>
      </c>
      <c r="H648" s="15">
        <f>[1]Data!H639</f>
        <v>1350</v>
      </c>
      <c r="I648" s="15">
        <f>[1]Data!I639</f>
        <v>0</v>
      </c>
      <c r="J648" s="1" t="str">
        <f>[1]Data!J639</f>
        <v>X</v>
      </c>
      <c r="K648" s="1" t="str">
        <f>[1]Data!K639</f>
        <v>X</v>
      </c>
      <c r="L648" s="1" t="str">
        <f>[1]Data!L639</f>
        <v>03:06:01</v>
      </c>
      <c r="M648" s="1">
        <f>[1]Data!M639</f>
        <v>45798</v>
      </c>
      <c r="N648" s="1">
        <f>[1]Data!N639</f>
        <v>44430</v>
      </c>
      <c r="O648" s="1" t="str">
        <f>[1]Data!O639</f>
        <v>X</v>
      </c>
      <c r="P648" s="1" t="str">
        <f>[1]Data!P639</f>
        <v>2025</v>
      </c>
      <c r="Q648" s="15">
        <f>[1]Data!Q639</f>
        <v>1350</v>
      </c>
      <c r="R648" s="1" t="str">
        <f>[1]Data!R639</f>
        <v/>
      </c>
    </row>
    <row r="649" spans="1:18" x14ac:dyDescent="0.35">
      <c r="A649" s="1" t="str">
        <f>[1]Data!A640</f>
        <v>4008248</v>
      </c>
      <c r="B649" s="1" t="str">
        <f>[1]Data!B640</f>
        <v>3300</v>
      </c>
      <c r="C649" s="1" t="str">
        <f>[1]Data!C640</f>
        <v>3001</v>
      </c>
      <c r="D649" s="1" t="str">
        <f>[1]Data!D640</f>
        <v>L</v>
      </c>
      <c r="E649" s="1" t="str">
        <f>[1]Data!E640</f>
        <v/>
      </c>
      <c r="F649" s="1" t="str">
        <f>[1]Data!F640</f>
        <v>2021</v>
      </c>
      <c r="G649" s="1" t="str">
        <f>[1]Data!G640</f>
        <v>10</v>
      </c>
      <c r="H649" s="15">
        <f>[1]Data!H640</f>
        <v>0</v>
      </c>
      <c r="I649" s="15">
        <f>[1]Data!I640</f>
        <v>0</v>
      </c>
      <c r="J649" s="1" t="str">
        <f>[1]Data!J640</f>
        <v>X</v>
      </c>
      <c r="K649" s="1" t="str">
        <f>[1]Data!K640</f>
        <v/>
      </c>
      <c r="L649" s="1" t="str">
        <f>[1]Data!L640</f>
        <v>SLETTET</v>
      </c>
      <c r="M649" s="1">
        <f>[1]Data!M640</f>
        <v>44568</v>
      </c>
      <c r="N649" s="1">
        <f>[1]Data!N640</f>
        <v>44430</v>
      </c>
      <c r="O649" s="1" t="str">
        <f>[1]Data!O640</f>
        <v>X</v>
      </c>
      <c r="P649" s="1" t="str">
        <f>[1]Data!P640</f>
        <v>2022</v>
      </c>
      <c r="Q649" s="15">
        <f>[1]Data!Q640</f>
        <v>0</v>
      </c>
      <c r="R649" s="1" t="str">
        <f>[1]Data!R640</f>
        <v>INAKTIV</v>
      </c>
    </row>
    <row r="650" spans="1:18" x14ac:dyDescent="0.35">
      <c r="A650" s="1" t="str">
        <f>[1]Data!A641</f>
        <v>4008253</v>
      </c>
      <c r="B650" s="1" t="str">
        <f>[1]Data!B641</f>
        <v>3300</v>
      </c>
      <c r="C650" s="1" t="str">
        <f>[1]Data!C641</f>
        <v>3001</v>
      </c>
      <c r="D650" s="1" t="str">
        <f>[1]Data!D641</f>
        <v>L</v>
      </c>
      <c r="E650" s="1" t="str">
        <f>[1]Data!E641</f>
        <v>X</v>
      </c>
      <c r="F650" s="1" t="str">
        <f>[1]Data!F641</f>
        <v>2024</v>
      </c>
      <c r="G650" s="1" t="str">
        <f>[1]Data!G641</f>
        <v>9</v>
      </c>
      <c r="H650" s="15">
        <f>[1]Data!H641</f>
        <v>0</v>
      </c>
      <c r="I650" s="15">
        <f>[1]Data!I641</f>
        <v>0</v>
      </c>
      <c r="J650" s="1" t="str">
        <f>[1]Data!J641</f>
        <v>X</v>
      </c>
      <c r="K650" s="1" t="str">
        <f>[1]Data!K641</f>
        <v>X</v>
      </c>
      <c r="L650" s="1" t="str">
        <f>[1]Data!L641</f>
        <v>SLETTET</v>
      </c>
      <c r="M650" s="1">
        <f>[1]Data!M641</f>
        <v>45365</v>
      </c>
      <c r="N650" s="1">
        <f>[1]Data!N641</f>
        <v>44430</v>
      </c>
      <c r="O650" s="1" t="str">
        <f>[1]Data!O641</f>
        <v>X</v>
      </c>
      <c r="P650" s="1" t="str">
        <f>[1]Data!P641</f>
        <v>2024</v>
      </c>
      <c r="Q650" s="15">
        <f>[1]Data!Q641</f>
        <v>0</v>
      </c>
      <c r="R650" s="1" t="str">
        <f>[1]Data!R641</f>
        <v>INAKTIV</v>
      </c>
    </row>
    <row r="651" spans="1:18" x14ac:dyDescent="0.35">
      <c r="A651" s="1" t="str">
        <f>[1]Data!A642</f>
        <v>4008254</v>
      </c>
      <c r="B651" s="1" t="str">
        <f>[1]Data!B642</f>
        <v>3300</v>
      </c>
      <c r="C651" s="1" t="str">
        <f>[1]Data!C642</f>
        <v>3001</v>
      </c>
      <c r="D651" s="1" t="str">
        <f>[1]Data!D642</f>
        <v>L</v>
      </c>
      <c r="E651" s="1" t="str">
        <f>[1]Data!E642</f>
        <v/>
      </c>
      <c r="F651" s="1" t="str">
        <f>[1]Data!F642</f>
        <v>2026</v>
      </c>
      <c r="G651" s="1" t="str">
        <f>[1]Data!G642</f>
        <v>2</v>
      </c>
      <c r="H651" s="15">
        <f>[1]Data!H642</f>
        <v>123</v>
      </c>
      <c r="I651" s="15">
        <f>[1]Data!I642</f>
        <v>0</v>
      </c>
      <c r="J651" s="1" t="str">
        <f>[1]Data!J642</f>
        <v>X</v>
      </c>
      <c r="K651" s="1" t="str">
        <f>[1]Data!K642</f>
        <v>X</v>
      </c>
      <c r="L651" s="1" t="str">
        <f>[1]Data!L642</f>
        <v>04:01:02</v>
      </c>
      <c r="M651" s="1">
        <f>[1]Data!M642</f>
        <v>45798</v>
      </c>
      <c r="N651" s="1">
        <f>[1]Data!N642</f>
        <v>44430</v>
      </c>
      <c r="O651" s="1" t="str">
        <f>[1]Data!O642</f>
        <v>X</v>
      </c>
      <c r="P651" s="1" t="str">
        <f>[1]Data!P642</f>
        <v>2025</v>
      </c>
      <c r="Q651" s="15">
        <f>[1]Data!Q642</f>
        <v>123</v>
      </c>
      <c r="R651" s="1" t="str">
        <f>[1]Data!R642</f>
        <v/>
      </c>
    </row>
    <row r="652" spans="1:18" x14ac:dyDescent="0.35">
      <c r="A652" s="1" t="str">
        <f>[1]Data!A643</f>
        <v>4008258</v>
      </c>
      <c r="B652" s="1" t="str">
        <f>[1]Data!B643</f>
        <v>3300</v>
      </c>
      <c r="C652" s="1" t="str">
        <f>[1]Data!C643</f>
        <v>3001</v>
      </c>
      <c r="D652" s="1" t="str">
        <f>[1]Data!D643</f>
        <v>L</v>
      </c>
      <c r="E652" s="1" t="str">
        <f>[1]Data!E643</f>
        <v/>
      </c>
      <c r="F652" s="1" t="str">
        <f>[1]Data!F643</f>
        <v>2026</v>
      </c>
      <c r="G652" s="1" t="str">
        <f>[1]Data!G643</f>
        <v>2</v>
      </c>
      <c r="H652" s="15">
        <f>[1]Data!H643</f>
        <v>410</v>
      </c>
      <c r="I652" s="15">
        <f>[1]Data!I643</f>
        <v>0</v>
      </c>
      <c r="J652" s="1" t="str">
        <f>[1]Data!J643</f>
        <v>X</v>
      </c>
      <c r="K652" s="1" t="str">
        <f>[1]Data!K643</f>
        <v>X</v>
      </c>
      <c r="L652" s="1" t="str">
        <f>[1]Data!L643</f>
        <v>08:13:03</v>
      </c>
      <c r="M652" s="1">
        <f>[1]Data!M643</f>
        <v>45980</v>
      </c>
      <c r="N652" s="1">
        <f>[1]Data!N643</f>
        <v>44430</v>
      </c>
      <c r="O652" s="1" t="str">
        <f>[1]Data!O643</f>
        <v>X</v>
      </c>
      <c r="P652" s="1" t="str">
        <f>[1]Data!P643</f>
        <v>2025</v>
      </c>
      <c r="Q652" s="15">
        <f>[1]Data!Q643</f>
        <v>410</v>
      </c>
      <c r="R652" s="1" t="str">
        <f>[1]Data!R643</f>
        <v/>
      </c>
    </row>
    <row r="653" spans="1:18" x14ac:dyDescent="0.35">
      <c r="A653" s="1" t="str">
        <f>[1]Data!A644</f>
        <v>4008259</v>
      </c>
      <c r="B653" s="1" t="str">
        <f>[1]Data!B644</f>
        <v>3300</v>
      </c>
      <c r="C653" s="1" t="str">
        <f>[1]Data!C644</f>
        <v>3001</v>
      </c>
      <c r="D653" s="1" t="str">
        <f>[1]Data!D644</f>
        <v>L</v>
      </c>
      <c r="E653" s="1" t="str">
        <f>[1]Data!E644</f>
        <v/>
      </c>
      <c r="F653" s="1" t="str">
        <f>[1]Data!F644</f>
        <v>2026</v>
      </c>
      <c r="G653" s="1" t="str">
        <f>[1]Data!G644</f>
        <v>2</v>
      </c>
      <c r="H653" s="15">
        <f>[1]Data!H644</f>
        <v>180</v>
      </c>
      <c r="I653" s="15">
        <f>[1]Data!I644</f>
        <v>0</v>
      </c>
      <c r="J653" s="1" t="str">
        <f>[1]Data!J644</f>
        <v>X</v>
      </c>
      <c r="K653" s="1" t="str">
        <f>[1]Data!K644</f>
        <v>X</v>
      </c>
      <c r="L653" s="1" t="str">
        <f>[1]Data!L644</f>
        <v>04:13:03</v>
      </c>
      <c r="M653" s="1">
        <f>[1]Data!M644</f>
        <v>45800</v>
      </c>
      <c r="N653" s="1">
        <f>[1]Data!N644</f>
        <v>44430</v>
      </c>
      <c r="O653" s="1" t="str">
        <f>[1]Data!O644</f>
        <v>X</v>
      </c>
      <c r="P653" s="1" t="str">
        <f>[1]Data!P644</f>
        <v>2025</v>
      </c>
      <c r="Q653" s="15">
        <f>[1]Data!Q644</f>
        <v>180</v>
      </c>
      <c r="R653" s="1" t="str">
        <f>[1]Data!R644</f>
        <v/>
      </c>
    </row>
    <row r="654" spans="1:18" x14ac:dyDescent="0.35">
      <c r="A654" s="1" t="str">
        <f>[1]Data!A645</f>
        <v>4008263</v>
      </c>
      <c r="B654" s="1" t="str">
        <f>[1]Data!B645</f>
        <v>3300</v>
      </c>
      <c r="C654" s="1" t="str">
        <f>[1]Data!C645</f>
        <v>3001</v>
      </c>
      <c r="D654" s="1" t="str">
        <f>[1]Data!D645</f>
        <v>L</v>
      </c>
      <c r="E654" s="1" t="str">
        <f>[1]Data!E645</f>
        <v/>
      </c>
      <c r="F654" s="1" t="str">
        <f>[1]Data!F645</f>
        <v>2025</v>
      </c>
      <c r="G654" s="1" t="str">
        <f>[1]Data!G645</f>
        <v>12</v>
      </c>
      <c r="H654" s="15">
        <f>[1]Data!H645</f>
        <v>150</v>
      </c>
      <c r="I654" s="15">
        <f>[1]Data!I645</f>
        <v>0</v>
      </c>
      <c r="J654" s="1" t="str">
        <f>[1]Data!J645</f>
        <v>X</v>
      </c>
      <c r="K654" s="1" t="str">
        <f>[1]Data!K645</f>
        <v>X</v>
      </c>
      <c r="L654" s="1" t="str">
        <f>[1]Data!L645</f>
        <v>02:09:03</v>
      </c>
      <c r="M654" s="1">
        <f>[1]Data!M645</f>
        <v>45797</v>
      </c>
      <c r="N654" s="1">
        <f>[1]Data!N645</f>
        <v>44430</v>
      </c>
      <c r="O654" s="1" t="str">
        <f>[1]Data!O645</f>
        <v>X</v>
      </c>
      <c r="P654" s="1" t="str">
        <f>[1]Data!P645</f>
        <v>2025</v>
      </c>
      <c r="Q654" s="15">
        <f>[1]Data!Q645</f>
        <v>150</v>
      </c>
      <c r="R654" s="1" t="str">
        <f>[1]Data!R645</f>
        <v/>
      </c>
    </row>
    <row r="655" spans="1:18" x14ac:dyDescent="0.35">
      <c r="A655" s="1" t="str">
        <f>[1]Data!A646</f>
        <v>4008265</v>
      </c>
      <c r="B655" s="1" t="str">
        <f>[1]Data!B646</f>
        <v>3300</v>
      </c>
      <c r="C655" s="1" t="str">
        <f>[1]Data!C646</f>
        <v>3001</v>
      </c>
      <c r="D655" s="1" t="str">
        <f>[1]Data!D646</f>
        <v>L</v>
      </c>
      <c r="E655" s="1" t="str">
        <f>[1]Data!E646</f>
        <v/>
      </c>
      <c r="F655" s="1" t="str">
        <f>[1]Data!F646</f>
        <v>2026</v>
      </c>
      <c r="G655" s="1" t="str">
        <f>[1]Data!G646</f>
        <v>2</v>
      </c>
      <c r="H655" s="15">
        <f>[1]Data!H646</f>
        <v>193</v>
      </c>
      <c r="I655" s="15">
        <f>[1]Data!I646</f>
        <v>0</v>
      </c>
      <c r="J655" s="1" t="str">
        <f>[1]Data!J646</f>
        <v>X</v>
      </c>
      <c r="K655" s="1" t="str">
        <f>[1]Data!K646</f>
        <v>X</v>
      </c>
      <c r="L655" s="1" t="str">
        <f>[1]Data!L646</f>
        <v>15:07:03</v>
      </c>
      <c r="M655" s="1">
        <f>[1]Data!M646</f>
        <v>46001</v>
      </c>
      <c r="N655" s="1">
        <f>[1]Data!N646</f>
        <v>44430</v>
      </c>
      <c r="O655" s="1" t="str">
        <f>[1]Data!O646</f>
        <v>X</v>
      </c>
      <c r="P655" s="1" t="str">
        <f>[1]Data!P646</f>
        <v>2025</v>
      </c>
      <c r="Q655" s="15">
        <f>[1]Data!Q646</f>
        <v>193</v>
      </c>
      <c r="R655" s="1" t="str">
        <f>[1]Data!R646</f>
        <v/>
      </c>
    </row>
    <row r="656" spans="1:18" x14ac:dyDescent="0.35">
      <c r="A656" s="1" t="str">
        <f>[1]Data!A647</f>
        <v>4008266</v>
      </c>
      <c r="B656" s="1" t="str">
        <f>[1]Data!B647</f>
        <v>3300</v>
      </c>
      <c r="C656" s="1" t="str">
        <f>[1]Data!C647</f>
        <v>3001</v>
      </c>
      <c r="D656" s="1" t="str">
        <f>[1]Data!D647</f>
        <v>L</v>
      </c>
      <c r="E656" s="1" t="str">
        <f>[1]Data!E647</f>
        <v/>
      </c>
      <c r="F656" s="1" t="str">
        <f>[1]Data!F647</f>
        <v>2026</v>
      </c>
      <c r="G656" s="1" t="str">
        <f>[1]Data!G647</f>
        <v>3</v>
      </c>
      <c r="H656" s="15">
        <f>[1]Data!H647</f>
        <v>60</v>
      </c>
      <c r="I656" s="15">
        <f>[1]Data!I647</f>
        <v>0</v>
      </c>
      <c r="J656" s="1" t="str">
        <f>[1]Data!J647</f>
        <v>X</v>
      </c>
      <c r="K656" s="1" t="str">
        <f>[1]Data!K647</f>
        <v>X</v>
      </c>
      <c r="L656" s="1" t="str">
        <f>[1]Data!L647</f>
        <v>15:02:05</v>
      </c>
      <c r="M656" s="1">
        <f>[1]Data!M647</f>
        <v>46001</v>
      </c>
      <c r="N656" s="1">
        <f>[1]Data!N647</f>
        <v>44430</v>
      </c>
      <c r="O656" s="1" t="str">
        <f>[1]Data!O647</f>
        <v>X</v>
      </c>
      <c r="P656" s="1" t="str">
        <f>[1]Data!P647</f>
        <v>2025</v>
      </c>
      <c r="Q656" s="15">
        <f>[1]Data!Q647</f>
        <v>60</v>
      </c>
      <c r="R656" s="1" t="str">
        <f>[1]Data!R647</f>
        <v/>
      </c>
    </row>
    <row r="657" spans="1:18" x14ac:dyDescent="0.35">
      <c r="A657" s="1" t="str">
        <f>[1]Data!A648</f>
        <v>4008267</v>
      </c>
      <c r="B657" s="1" t="str">
        <f>[1]Data!B648</f>
        <v>3300</v>
      </c>
      <c r="C657" s="1" t="str">
        <f>[1]Data!C648</f>
        <v>3001</v>
      </c>
      <c r="D657" s="1" t="str">
        <f>[1]Data!D648</f>
        <v>L</v>
      </c>
      <c r="E657" s="1" t="str">
        <f>[1]Data!E648</f>
        <v/>
      </c>
      <c r="F657" s="1" t="str">
        <f>[1]Data!F648</f>
        <v>2026</v>
      </c>
      <c r="G657" s="1" t="str">
        <f>[1]Data!G648</f>
        <v>3</v>
      </c>
      <c r="H657" s="15">
        <f>[1]Data!H648</f>
        <v>590</v>
      </c>
      <c r="I657" s="15">
        <f>[1]Data!I648</f>
        <v>0</v>
      </c>
      <c r="J657" s="1" t="str">
        <f>[1]Data!J648</f>
        <v>X</v>
      </c>
      <c r="K657" s="1" t="str">
        <f>[1]Data!K648</f>
        <v>X</v>
      </c>
      <c r="L657" s="1" t="str">
        <f>[1]Data!L648</f>
        <v>16:01:01*</v>
      </c>
      <c r="M657" s="1">
        <f>[1]Data!M648</f>
        <v>46006</v>
      </c>
      <c r="N657" s="1">
        <f>[1]Data!N648</f>
        <v>44430</v>
      </c>
      <c r="O657" s="1" t="str">
        <f>[1]Data!O648</f>
        <v>X</v>
      </c>
      <c r="P657" s="1" t="str">
        <f>[1]Data!P648</f>
        <v>2025</v>
      </c>
      <c r="Q657" s="15">
        <f>[1]Data!Q648</f>
        <v>590</v>
      </c>
      <c r="R657" s="1" t="str">
        <f>[1]Data!R648</f>
        <v/>
      </c>
    </row>
    <row r="658" spans="1:18" x14ac:dyDescent="0.35">
      <c r="A658" s="1" t="str">
        <f>[1]Data!A649</f>
        <v>4008272</v>
      </c>
      <c r="B658" s="1" t="str">
        <f>[1]Data!B649</f>
        <v>3300</v>
      </c>
      <c r="C658" s="1" t="str">
        <f>[1]Data!C649</f>
        <v>3001</v>
      </c>
      <c r="D658" s="1" t="str">
        <f>[1]Data!D649</f>
        <v>L</v>
      </c>
      <c r="E658" s="1" t="str">
        <f>[1]Data!E649</f>
        <v/>
      </c>
      <c r="F658" s="1" t="str">
        <f>[1]Data!F649</f>
        <v>2026</v>
      </c>
      <c r="G658" s="1" t="str">
        <f>[1]Data!G649</f>
        <v>3</v>
      </c>
      <c r="H658" s="15">
        <f>[1]Data!H649</f>
        <v>175</v>
      </c>
      <c r="I658" s="15">
        <f>[1]Data!I649</f>
        <v>0</v>
      </c>
      <c r="J658" s="1" t="str">
        <f>[1]Data!J649</f>
        <v>X</v>
      </c>
      <c r="K658" s="1" t="str">
        <f>[1]Data!K649</f>
        <v>X</v>
      </c>
      <c r="L658" s="1" t="str">
        <f>[1]Data!L649</f>
        <v>14:02:01</v>
      </c>
      <c r="M658" s="1">
        <f>[1]Data!M649</f>
        <v>46001</v>
      </c>
      <c r="N658" s="1">
        <f>[1]Data!N649</f>
        <v>44430</v>
      </c>
      <c r="O658" s="1" t="str">
        <f>[1]Data!O649</f>
        <v>X</v>
      </c>
      <c r="P658" s="1" t="str">
        <f>[1]Data!P649</f>
        <v>2025</v>
      </c>
      <c r="Q658" s="15">
        <f>[1]Data!Q649</f>
        <v>175</v>
      </c>
      <c r="R658" s="1" t="str">
        <f>[1]Data!R649</f>
        <v/>
      </c>
    </row>
    <row r="659" spans="1:18" x14ac:dyDescent="0.35">
      <c r="A659" s="1" t="str">
        <f>[1]Data!A650</f>
        <v>4008274</v>
      </c>
      <c r="B659" s="1" t="str">
        <f>[1]Data!B650</f>
        <v>3300</v>
      </c>
      <c r="C659" s="1" t="str">
        <f>[1]Data!C650</f>
        <v>3001</v>
      </c>
      <c r="D659" s="1" t="str">
        <f>[1]Data!D650</f>
        <v>L</v>
      </c>
      <c r="E659" s="1" t="str">
        <f>[1]Data!E650</f>
        <v/>
      </c>
      <c r="F659" s="1" t="str">
        <f>[1]Data!F650</f>
        <v>2026</v>
      </c>
      <c r="G659" s="1" t="str">
        <f>[1]Data!G650</f>
        <v>2</v>
      </c>
      <c r="H659" s="15">
        <f>[1]Data!H650</f>
        <v>39</v>
      </c>
      <c r="I659" s="15">
        <f>[1]Data!I650</f>
        <v>0</v>
      </c>
      <c r="J659" s="1" t="str">
        <f>[1]Data!J650</f>
        <v>X</v>
      </c>
      <c r="K659" s="1" t="str">
        <f>[1]Data!K650</f>
        <v>X</v>
      </c>
      <c r="L659" s="1" t="str">
        <f>[1]Data!L650</f>
        <v>10:04:03</v>
      </c>
      <c r="M659" s="1">
        <f>[1]Data!M650</f>
        <v>45987</v>
      </c>
      <c r="N659" s="1">
        <f>[1]Data!N650</f>
        <v>44430</v>
      </c>
      <c r="O659" s="1" t="str">
        <f>[1]Data!O650</f>
        <v>X</v>
      </c>
      <c r="P659" s="1" t="str">
        <f>[1]Data!P650</f>
        <v>2025</v>
      </c>
      <c r="Q659" s="15">
        <f>[1]Data!Q650</f>
        <v>39</v>
      </c>
      <c r="R659" s="1" t="str">
        <f>[1]Data!R650</f>
        <v/>
      </c>
    </row>
    <row r="660" spans="1:18" x14ac:dyDescent="0.35">
      <c r="A660" s="1" t="str">
        <f>[1]Data!A651</f>
        <v>4008276</v>
      </c>
      <c r="B660" s="1" t="str">
        <f>[1]Data!B651</f>
        <v>3300</v>
      </c>
      <c r="C660" s="1" t="str">
        <f>[1]Data!C651</f>
        <v>3001</v>
      </c>
      <c r="D660" s="1" t="str">
        <f>[1]Data!D651</f>
        <v>LD</v>
      </c>
      <c r="E660" s="1" t="str">
        <f>[1]Data!E651</f>
        <v/>
      </c>
      <c r="F660" s="1" t="str">
        <f>[1]Data!F651</f>
        <v>2026</v>
      </c>
      <c r="G660" s="1" t="str">
        <f>[1]Data!G651</f>
        <v>2</v>
      </c>
      <c r="H660" s="15">
        <f>[1]Data!H651</f>
        <v>130</v>
      </c>
      <c r="I660" s="15">
        <f>[1]Data!I651</f>
        <v>33</v>
      </c>
      <c r="J660" s="1" t="str">
        <f>[1]Data!J651</f>
        <v>X</v>
      </c>
      <c r="K660" s="1" t="str">
        <f>[1]Data!K651</f>
        <v>X</v>
      </c>
      <c r="L660" s="1" t="str">
        <f>[1]Data!L651</f>
        <v>06:02:02</v>
      </c>
      <c r="M660" s="1">
        <f>[1]Data!M651</f>
        <v>45819</v>
      </c>
      <c r="N660" s="1">
        <f>[1]Data!N651</f>
        <v>44430</v>
      </c>
      <c r="O660" s="1" t="str">
        <f>[1]Data!O651</f>
        <v>X</v>
      </c>
      <c r="P660" s="1" t="str">
        <f>[1]Data!P651</f>
        <v>2025</v>
      </c>
      <c r="Q660" s="15">
        <f>[1]Data!Q651</f>
        <v>163</v>
      </c>
      <c r="R660" s="1" t="str">
        <f>[1]Data!R651</f>
        <v/>
      </c>
    </row>
    <row r="661" spans="1:18" x14ac:dyDescent="0.35">
      <c r="A661" s="1" t="str">
        <f>[1]Data!A652</f>
        <v>4008277</v>
      </c>
      <c r="B661" s="1" t="str">
        <f>[1]Data!B652</f>
        <v>3300</v>
      </c>
      <c r="C661" s="1" t="str">
        <f>[1]Data!C652</f>
        <v>3001</v>
      </c>
      <c r="D661" s="1" t="str">
        <f>[1]Data!D652</f>
        <v>L</v>
      </c>
      <c r="E661" s="1" t="str">
        <f>[1]Data!E652</f>
        <v/>
      </c>
      <c r="F661" s="1" t="str">
        <f>[1]Data!F652</f>
        <v>2025</v>
      </c>
      <c r="G661" s="1" t="str">
        <f>[1]Data!G652</f>
        <v>11</v>
      </c>
      <c r="H661" s="15">
        <f>[1]Data!H652</f>
        <v>0</v>
      </c>
      <c r="I661" s="15">
        <f>[1]Data!I652</f>
        <v>169</v>
      </c>
      <c r="J661" s="1" t="str">
        <f>[1]Data!J652</f>
        <v>X</v>
      </c>
      <c r="K661" s="1" t="str">
        <f>[1]Data!K652</f>
        <v>X</v>
      </c>
      <c r="L661" s="1" t="str">
        <f>[1]Data!L652</f>
        <v>SLETTET</v>
      </c>
      <c r="M661" s="1">
        <f>[1]Data!M652</f>
        <v>46001</v>
      </c>
      <c r="N661" s="1">
        <f>[1]Data!N652</f>
        <v>44430</v>
      </c>
      <c r="O661" s="1" t="str">
        <f>[1]Data!O652</f>
        <v>X</v>
      </c>
      <c r="P661" s="1" t="str">
        <f>[1]Data!P652</f>
        <v>2025</v>
      </c>
      <c r="Q661" s="15">
        <f>[1]Data!Q652</f>
        <v>169</v>
      </c>
      <c r="R661" s="1" t="str">
        <f>[1]Data!R652</f>
        <v/>
      </c>
    </row>
    <row r="662" spans="1:18" x14ac:dyDescent="0.35">
      <c r="A662" s="1" t="str">
        <f>[1]Data!A653</f>
        <v>4008278</v>
      </c>
      <c r="B662" s="1" t="str">
        <f>[1]Data!B653</f>
        <v>3300</v>
      </c>
      <c r="C662" s="1" t="str">
        <f>[1]Data!C653</f>
        <v>3001</v>
      </c>
      <c r="D662" s="1" t="str">
        <f>[1]Data!D653</f>
        <v>L</v>
      </c>
      <c r="E662" s="1" t="str">
        <f>[1]Data!E653</f>
        <v>X</v>
      </c>
      <c r="F662" s="1" t="str">
        <f>[1]Data!F653</f>
        <v>2025</v>
      </c>
      <c r="G662" s="1" t="str">
        <f>[1]Data!G653</f>
        <v>11</v>
      </c>
      <c r="H662" s="15">
        <f>[1]Data!H653</f>
        <v>0</v>
      </c>
      <c r="I662" s="15">
        <f>[1]Data!I653</f>
        <v>160</v>
      </c>
      <c r="J662" s="1" t="str">
        <f>[1]Data!J653</f>
        <v>X</v>
      </c>
      <c r="K662" s="1" t="str">
        <f>[1]Data!K653</f>
        <v>X</v>
      </c>
      <c r="L662" s="1" t="str">
        <f>[1]Data!L653</f>
        <v>SLETTET</v>
      </c>
      <c r="M662" s="1">
        <f>[1]Data!M653</f>
        <v>45819</v>
      </c>
      <c r="N662" s="1">
        <f>[1]Data!N653</f>
        <v>44430</v>
      </c>
      <c r="O662" s="1" t="str">
        <f>[1]Data!O653</f>
        <v>X</v>
      </c>
      <c r="P662" s="1" t="str">
        <f>[1]Data!P653</f>
        <v>2025</v>
      </c>
      <c r="Q662" s="15">
        <f>[1]Data!Q653</f>
        <v>160</v>
      </c>
      <c r="R662" s="1" t="str">
        <f>[1]Data!R653</f>
        <v/>
      </c>
    </row>
    <row r="663" spans="1:18" x14ac:dyDescent="0.35">
      <c r="A663" s="1" t="str">
        <f>[1]Data!A654</f>
        <v>4008279</v>
      </c>
      <c r="B663" s="1" t="str">
        <f>[1]Data!B654</f>
        <v>3300</v>
      </c>
      <c r="C663" s="1" t="str">
        <f>[1]Data!C654</f>
        <v>3001</v>
      </c>
      <c r="D663" s="1" t="str">
        <f>[1]Data!D654</f>
        <v>L</v>
      </c>
      <c r="E663" s="1" t="str">
        <f>[1]Data!E654</f>
        <v/>
      </c>
      <c r="F663" s="1" t="str">
        <f>[1]Data!F654</f>
        <v>2026</v>
      </c>
      <c r="G663" s="1" t="str">
        <f>[1]Data!G654</f>
        <v>2</v>
      </c>
      <c r="H663" s="15">
        <f>[1]Data!H654</f>
        <v>71</v>
      </c>
      <c r="I663" s="15">
        <f>[1]Data!I654</f>
        <v>60</v>
      </c>
      <c r="J663" s="1" t="str">
        <f>[1]Data!J654</f>
        <v>X</v>
      </c>
      <c r="K663" s="1" t="str">
        <f>[1]Data!K654</f>
        <v>X</v>
      </c>
      <c r="L663" s="1" t="str">
        <f>[1]Data!L654</f>
        <v>06:03:00</v>
      </c>
      <c r="M663" s="1">
        <f>[1]Data!M654</f>
        <v>45819</v>
      </c>
      <c r="N663" s="1">
        <f>[1]Data!N654</f>
        <v>44430</v>
      </c>
      <c r="O663" s="1" t="str">
        <f>[1]Data!O654</f>
        <v>X</v>
      </c>
      <c r="P663" s="1" t="str">
        <f>[1]Data!P654</f>
        <v>2025</v>
      </c>
      <c r="Q663" s="15">
        <f>[1]Data!Q654</f>
        <v>131</v>
      </c>
      <c r="R663" s="1" t="str">
        <f>[1]Data!R654</f>
        <v/>
      </c>
    </row>
    <row r="664" spans="1:18" x14ac:dyDescent="0.35">
      <c r="A664" s="1" t="str">
        <f>[1]Data!A655</f>
        <v>4008280</v>
      </c>
      <c r="B664" s="1" t="str">
        <f>[1]Data!B655</f>
        <v>3300</v>
      </c>
      <c r="C664" s="1" t="str">
        <f>[1]Data!C655</f>
        <v>3001</v>
      </c>
      <c r="D664" s="1" t="str">
        <f>[1]Data!D655</f>
        <v>DL</v>
      </c>
      <c r="E664" s="1" t="str">
        <f>[1]Data!E655</f>
        <v/>
      </c>
      <c r="F664" s="1" t="str">
        <f>[1]Data!F655</f>
        <v>2026</v>
      </c>
      <c r="G664" s="1" t="str">
        <f>[1]Data!G655</f>
        <v>2</v>
      </c>
      <c r="H664" s="15">
        <f>[1]Data!H655</f>
        <v>56</v>
      </c>
      <c r="I664" s="15">
        <f>[1]Data!I655</f>
        <v>0</v>
      </c>
      <c r="J664" s="1" t="str">
        <f>[1]Data!J655</f>
        <v>X</v>
      </c>
      <c r="K664" s="1" t="str">
        <f>[1]Data!K655</f>
        <v>X</v>
      </c>
      <c r="L664" s="1" t="str">
        <f>[1]Data!L655</f>
        <v>08:03:03</v>
      </c>
      <c r="M664" s="1">
        <f>[1]Data!M655</f>
        <v>45825</v>
      </c>
      <c r="N664" s="1">
        <f>[1]Data!N655</f>
        <v>45295</v>
      </c>
      <c r="O664" s="1" t="str">
        <f>[1]Data!O655</f>
        <v>X</v>
      </c>
      <c r="P664" s="1" t="str">
        <f>[1]Data!P655</f>
        <v>2025</v>
      </c>
      <c r="Q664" s="15">
        <f>[1]Data!Q655</f>
        <v>56</v>
      </c>
      <c r="R664" s="1" t="str">
        <f>[1]Data!R655</f>
        <v/>
      </c>
    </row>
    <row r="665" spans="1:18" x14ac:dyDescent="0.35">
      <c r="A665" s="1" t="str">
        <f>[1]Data!A656</f>
        <v>4008289</v>
      </c>
      <c r="B665" s="1" t="str">
        <f>[1]Data!B656</f>
        <v>3300</v>
      </c>
      <c r="C665" s="1" t="str">
        <f>[1]Data!C656</f>
        <v>3001</v>
      </c>
      <c r="D665" s="1" t="str">
        <f>[1]Data!D656</f>
        <v>L</v>
      </c>
      <c r="E665" s="1" t="str">
        <f>[1]Data!E656</f>
        <v/>
      </c>
      <c r="F665" s="1" t="str">
        <f>[1]Data!F656</f>
        <v>2026</v>
      </c>
      <c r="G665" s="1" t="str">
        <f>[1]Data!G656</f>
        <v>2</v>
      </c>
      <c r="H665" s="15">
        <f>[1]Data!H656</f>
        <v>288</v>
      </c>
      <c r="I665" s="15">
        <f>[1]Data!I656</f>
        <v>0</v>
      </c>
      <c r="J665" s="1" t="str">
        <f>[1]Data!J656</f>
        <v>X</v>
      </c>
      <c r="K665" s="1" t="str">
        <f>[1]Data!K656</f>
        <v>X</v>
      </c>
      <c r="L665" s="1" t="str">
        <f>[1]Data!L656</f>
        <v>01:05:02</v>
      </c>
      <c r="M665" s="1">
        <f>[1]Data!M656</f>
        <v>45793</v>
      </c>
      <c r="N665" s="1">
        <f>[1]Data!N656</f>
        <v>44430</v>
      </c>
      <c r="O665" s="1" t="str">
        <f>[1]Data!O656</f>
        <v>X</v>
      </c>
      <c r="P665" s="1" t="str">
        <f>[1]Data!P656</f>
        <v>2025</v>
      </c>
      <c r="Q665" s="15">
        <f>[1]Data!Q656</f>
        <v>288</v>
      </c>
      <c r="R665" s="1" t="str">
        <f>[1]Data!R656</f>
        <v/>
      </c>
    </row>
    <row r="666" spans="1:18" x14ac:dyDescent="0.35">
      <c r="A666" s="1" t="str">
        <f>[1]Data!A657</f>
        <v>4008290</v>
      </c>
      <c r="B666" s="1" t="str">
        <f>[1]Data!B657</f>
        <v>3300</v>
      </c>
      <c r="C666" s="1" t="str">
        <f>[1]Data!C657</f>
        <v>3001</v>
      </c>
      <c r="D666" s="1" t="str">
        <f>[1]Data!D657</f>
        <v>L</v>
      </c>
      <c r="E666" s="1" t="str">
        <f>[1]Data!E657</f>
        <v>X</v>
      </c>
      <c r="F666" s="1" t="str">
        <f>[1]Data!F657</f>
        <v>2021</v>
      </c>
      <c r="G666" s="1" t="str">
        <f>[1]Data!G657</f>
        <v>8</v>
      </c>
      <c r="H666" s="15">
        <f>[1]Data!H657</f>
        <v>0</v>
      </c>
      <c r="I666" s="15">
        <f>[1]Data!I657</f>
        <v>0</v>
      </c>
      <c r="J666" s="1" t="str">
        <f>[1]Data!J657</f>
        <v/>
      </c>
      <c r="K666" s="1" t="str">
        <f>[1]Data!K657</f>
        <v/>
      </c>
      <c r="L666" s="1" t="str">
        <f>[1]Data!L657</f>
        <v>SLETTET</v>
      </c>
      <c r="M666" s="1" t="str">
        <f>[1]Data!M657</f>
        <v/>
      </c>
      <c r="N666" s="1">
        <f>[1]Data!N657</f>
        <v>44430</v>
      </c>
      <c r="O666" s="1" t="str">
        <f>[1]Data!O657</f>
        <v>X</v>
      </c>
      <c r="P666" s="1" t="str">
        <f>[1]Data!P657</f>
        <v>2022</v>
      </c>
      <c r="Q666" s="15">
        <f>[1]Data!Q657</f>
        <v>0</v>
      </c>
      <c r="R666" s="1" t="str">
        <f>[1]Data!R657</f>
        <v>INAKTIV</v>
      </c>
    </row>
    <row r="667" spans="1:18" x14ac:dyDescent="0.35">
      <c r="A667" s="1" t="str">
        <f>[1]Data!A658</f>
        <v>4008291</v>
      </c>
      <c r="B667" s="1" t="str">
        <f>[1]Data!B658</f>
        <v>3300</v>
      </c>
      <c r="C667" s="1" t="str">
        <f>[1]Data!C658</f>
        <v>3001</v>
      </c>
      <c r="D667" s="1" t="str">
        <f>[1]Data!D658</f>
        <v>L</v>
      </c>
      <c r="E667" s="1" t="str">
        <f>[1]Data!E658</f>
        <v/>
      </c>
      <c r="F667" s="1" t="str">
        <f>[1]Data!F658</f>
        <v>2026</v>
      </c>
      <c r="G667" s="1" t="str">
        <f>[1]Data!G658</f>
        <v>2</v>
      </c>
      <c r="H667" s="15">
        <f>[1]Data!H658</f>
        <v>504</v>
      </c>
      <c r="I667" s="15">
        <f>[1]Data!I658</f>
        <v>0</v>
      </c>
      <c r="J667" s="1" t="str">
        <f>[1]Data!J658</f>
        <v>X</v>
      </c>
      <c r="K667" s="1" t="str">
        <f>[1]Data!K658</f>
        <v>X</v>
      </c>
      <c r="L667" s="1" t="str">
        <f>[1]Data!L658</f>
        <v>01:01:01</v>
      </c>
      <c r="M667" s="1">
        <f>[1]Data!M658</f>
        <v>45792</v>
      </c>
      <c r="N667" s="1">
        <f>[1]Data!N658</f>
        <v>44430</v>
      </c>
      <c r="O667" s="1" t="str">
        <f>[1]Data!O658</f>
        <v>X</v>
      </c>
      <c r="P667" s="1" t="str">
        <f>[1]Data!P658</f>
        <v>2025</v>
      </c>
      <c r="Q667" s="15">
        <f>[1]Data!Q658</f>
        <v>504</v>
      </c>
      <c r="R667" s="1" t="str">
        <f>[1]Data!R658</f>
        <v/>
      </c>
    </row>
    <row r="668" spans="1:18" x14ac:dyDescent="0.35">
      <c r="A668" s="1" t="str">
        <f>[1]Data!A659</f>
        <v>4008292</v>
      </c>
      <c r="B668" s="1" t="str">
        <f>[1]Data!B659</f>
        <v>3300</v>
      </c>
      <c r="C668" s="1" t="str">
        <f>[1]Data!C659</f>
        <v>3001</v>
      </c>
      <c r="D668" s="1" t="str">
        <f>[1]Data!D659</f>
        <v>L</v>
      </c>
      <c r="E668" s="1" t="str">
        <f>[1]Data!E659</f>
        <v/>
      </c>
      <c r="F668" s="1" t="str">
        <f>[1]Data!F659</f>
        <v>2026</v>
      </c>
      <c r="G668" s="1" t="str">
        <f>[1]Data!G659</f>
        <v>1</v>
      </c>
      <c r="H668" s="15">
        <f>[1]Data!H659</f>
        <v>216</v>
      </c>
      <c r="I668" s="15">
        <f>[1]Data!I659</f>
        <v>0</v>
      </c>
      <c r="J668" s="1" t="str">
        <f>[1]Data!J659</f>
        <v>X</v>
      </c>
      <c r="K668" s="1" t="str">
        <f>[1]Data!K659</f>
        <v>X</v>
      </c>
      <c r="L668" s="1" t="str">
        <f>[1]Data!L659</f>
        <v>01:03:02</v>
      </c>
      <c r="M668" s="1">
        <f>[1]Data!M659</f>
        <v>45793</v>
      </c>
      <c r="N668" s="1">
        <f>[1]Data!N659</f>
        <v>44430</v>
      </c>
      <c r="O668" s="1" t="str">
        <f>[1]Data!O659</f>
        <v>X</v>
      </c>
      <c r="P668" s="1" t="str">
        <f>[1]Data!P659</f>
        <v>2025</v>
      </c>
      <c r="Q668" s="15">
        <f>[1]Data!Q659</f>
        <v>216</v>
      </c>
      <c r="R668" s="1" t="str">
        <f>[1]Data!R659</f>
        <v/>
      </c>
    </row>
    <row r="669" spans="1:18" x14ac:dyDescent="0.35">
      <c r="A669" s="1" t="str">
        <f>[1]Data!A660</f>
        <v>4008295</v>
      </c>
      <c r="B669" s="1" t="str">
        <f>[1]Data!B660</f>
        <v>3300</v>
      </c>
      <c r="C669" s="1" t="str">
        <f>[1]Data!C660</f>
        <v>3001</v>
      </c>
      <c r="D669" s="1" t="str">
        <f>[1]Data!D660</f>
        <v>DL</v>
      </c>
      <c r="E669" s="1" t="str">
        <f>[1]Data!E660</f>
        <v/>
      </c>
      <c r="F669" s="1" t="str">
        <f>[1]Data!F660</f>
        <v>2026</v>
      </c>
      <c r="G669" s="1" t="str">
        <f>[1]Data!G660</f>
        <v>2</v>
      </c>
      <c r="H669" s="15">
        <f>[1]Data!H660</f>
        <v>1800</v>
      </c>
      <c r="I669" s="15">
        <f>[1]Data!I660</f>
        <v>0</v>
      </c>
      <c r="J669" s="1" t="str">
        <f>[1]Data!J660</f>
        <v>X</v>
      </c>
      <c r="K669" s="1" t="str">
        <f>[1]Data!K660</f>
        <v/>
      </c>
      <c r="L669" s="1" t="str">
        <f>[1]Data!L660</f>
        <v>12:01:00</v>
      </c>
      <c r="M669" s="1">
        <f>[1]Data!M660</f>
        <v>46030</v>
      </c>
      <c r="N669" s="1">
        <f>[1]Data!N660</f>
        <v>45811</v>
      </c>
      <c r="O669" s="1" t="str">
        <f>[1]Data!O660</f>
        <v>X</v>
      </c>
      <c r="P669" s="1" t="str">
        <f>[1]Data!P660</f>
        <v>2026</v>
      </c>
      <c r="Q669" s="15">
        <f>[1]Data!Q660</f>
        <v>1800</v>
      </c>
      <c r="R669" s="1" t="str">
        <f>[1]Data!R660</f>
        <v/>
      </c>
    </row>
    <row r="670" spans="1:18" x14ac:dyDescent="0.35">
      <c r="A670" s="1" t="str">
        <f>[1]Data!A661</f>
        <v>4008296</v>
      </c>
      <c r="B670" s="1" t="str">
        <f>[1]Data!B661</f>
        <v>3300</v>
      </c>
      <c r="C670" s="1" t="str">
        <f>[1]Data!C661</f>
        <v>3001</v>
      </c>
      <c r="D670" s="1" t="str">
        <f>[1]Data!D661</f>
        <v>L</v>
      </c>
      <c r="E670" s="1" t="str">
        <f>[1]Data!E661</f>
        <v/>
      </c>
      <c r="F670" s="1" t="str">
        <f>[1]Data!F661</f>
        <v>2026</v>
      </c>
      <c r="G670" s="1" t="str">
        <f>[1]Data!G661</f>
        <v>2</v>
      </c>
      <c r="H670" s="15">
        <f>[1]Data!H661</f>
        <v>449</v>
      </c>
      <c r="I670" s="15">
        <f>[1]Data!I661</f>
        <v>0</v>
      </c>
      <c r="J670" s="1" t="str">
        <f>[1]Data!J661</f>
        <v>X</v>
      </c>
      <c r="K670" s="1" t="str">
        <f>[1]Data!K661</f>
        <v>X</v>
      </c>
      <c r="L670" s="1" t="str">
        <f>[1]Data!L661</f>
        <v>08:08:02</v>
      </c>
      <c r="M670" s="1">
        <f>[1]Data!M661</f>
        <v>45980</v>
      </c>
      <c r="N670" s="1">
        <f>[1]Data!N661</f>
        <v>44430</v>
      </c>
      <c r="O670" s="1" t="str">
        <f>[1]Data!O661</f>
        <v>X</v>
      </c>
      <c r="P670" s="1" t="str">
        <f>[1]Data!P661</f>
        <v>2025</v>
      </c>
      <c r="Q670" s="15">
        <f>[1]Data!Q661</f>
        <v>449</v>
      </c>
      <c r="R670" s="1" t="str">
        <f>[1]Data!R661</f>
        <v/>
      </c>
    </row>
    <row r="671" spans="1:18" x14ac:dyDescent="0.35">
      <c r="A671" s="1" t="str">
        <f>[1]Data!A662</f>
        <v>4008297</v>
      </c>
      <c r="B671" s="1" t="str">
        <f>[1]Data!B662</f>
        <v>3300</v>
      </c>
      <c r="C671" s="1" t="str">
        <f>[1]Data!C662</f>
        <v>3001</v>
      </c>
      <c r="D671" s="1" t="str">
        <f>[1]Data!D662</f>
        <v>L</v>
      </c>
      <c r="E671" s="1" t="str">
        <f>[1]Data!E662</f>
        <v>X</v>
      </c>
      <c r="F671" s="1" t="str">
        <f>[1]Data!F662</f>
        <v>2022</v>
      </c>
      <c r="G671" s="1" t="str">
        <f>[1]Data!G662</f>
        <v>3</v>
      </c>
      <c r="H671" s="15">
        <f>[1]Data!H662</f>
        <v>0</v>
      </c>
      <c r="I671" s="15">
        <f>[1]Data!I662</f>
        <v>0</v>
      </c>
      <c r="J671" s="1" t="str">
        <f>[1]Data!J662</f>
        <v>X</v>
      </c>
      <c r="K671" s="1" t="str">
        <f>[1]Data!K662</f>
        <v>X</v>
      </c>
      <c r="L671" s="1" t="str">
        <f>[1]Data!L662</f>
        <v>SLETTET</v>
      </c>
      <c r="M671" s="1">
        <f>[1]Data!M662</f>
        <v>45796</v>
      </c>
      <c r="N671" s="1">
        <f>[1]Data!N662</f>
        <v>44430</v>
      </c>
      <c r="O671" s="1" t="str">
        <f>[1]Data!O662</f>
        <v>X</v>
      </c>
      <c r="P671" s="1" t="str">
        <f>[1]Data!P662</f>
        <v>2025</v>
      </c>
      <c r="Q671" s="15">
        <f>[1]Data!Q662</f>
        <v>0</v>
      </c>
      <c r="R671" s="1" t="str">
        <f>[1]Data!R662</f>
        <v>INAKTIV</v>
      </c>
    </row>
    <row r="672" spans="1:18" x14ac:dyDescent="0.35">
      <c r="A672" s="1" t="str">
        <f>[1]Data!A663</f>
        <v>4008299</v>
      </c>
      <c r="B672" s="1" t="str">
        <f>[1]Data!B663</f>
        <v>3300</v>
      </c>
      <c r="C672" s="1" t="str">
        <f>[1]Data!C663</f>
        <v>3001</v>
      </c>
      <c r="D672" s="1" t="str">
        <f>[1]Data!D663</f>
        <v>L</v>
      </c>
      <c r="E672" s="1" t="str">
        <f>[1]Data!E663</f>
        <v>X</v>
      </c>
      <c r="F672" s="1" t="str">
        <f>[1]Data!F663</f>
        <v>2021</v>
      </c>
      <c r="G672" s="1" t="str">
        <f>[1]Data!G663</f>
        <v>8</v>
      </c>
      <c r="H672" s="15">
        <f>[1]Data!H663</f>
        <v>0</v>
      </c>
      <c r="I672" s="15">
        <f>[1]Data!I663</f>
        <v>0</v>
      </c>
      <c r="J672" s="1" t="str">
        <f>[1]Data!J663</f>
        <v>X</v>
      </c>
      <c r="K672" s="1" t="str">
        <f>[1]Data!K663</f>
        <v/>
      </c>
      <c r="L672" s="1" t="str">
        <f>[1]Data!L663</f>
        <v>SLETTET</v>
      </c>
      <c r="M672" s="1">
        <f>[1]Data!M663</f>
        <v>44568</v>
      </c>
      <c r="N672" s="1">
        <f>[1]Data!N663</f>
        <v>44430</v>
      </c>
      <c r="O672" s="1" t="str">
        <f>[1]Data!O663</f>
        <v>X</v>
      </c>
      <c r="P672" s="1" t="str">
        <f>[1]Data!P663</f>
        <v>2022</v>
      </c>
      <c r="Q672" s="15">
        <f>[1]Data!Q663</f>
        <v>0</v>
      </c>
      <c r="R672" s="1" t="str">
        <f>[1]Data!R663</f>
        <v>INAKTIV</v>
      </c>
    </row>
    <row r="673" spans="1:18" x14ac:dyDescent="0.35">
      <c r="A673" s="1" t="str">
        <f>[1]Data!A664</f>
        <v>4008307</v>
      </c>
      <c r="B673" s="1" t="str">
        <f>[1]Data!B664</f>
        <v>3300</v>
      </c>
      <c r="C673" s="1" t="str">
        <f>[1]Data!C664</f>
        <v>3001</v>
      </c>
      <c r="D673" s="1" t="str">
        <f>[1]Data!D664</f>
        <v>L</v>
      </c>
      <c r="E673" s="1" t="str">
        <f>[1]Data!E664</f>
        <v/>
      </c>
      <c r="F673" s="1" t="str">
        <f>[1]Data!F664</f>
        <v>2022</v>
      </c>
      <c r="G673" s="1" t="str">
        <f>[1]Data!G664</f>
        <v>3</v>
      </c>
      <c r="H673" s="15">
        <f>[1]Data!H664</f>
        <v>0</v>
      </c>
      <c r="I673" s="15">
        <f>[1]Data!I664</f>
        <v>0</v>
      </c>
      <c r="J673" s="1" t="str">
        <f>[1]Data!J664</f>
        <v>X</v>
      </c>
      <c r="K673" s="1" t="str">
        <f>[1]Data!K664</f>
        <v/>
      </c>
      <c r="L673" s="1" t="str">
        <f>[1]Data!L664</f>
        <v>SLETTET</v>
      </c>
      <c r="M673" s="1">
        <f>[1]Data!M664</f>
        <v>44568</v>
      </c>
      <c r="N673" s="1">
        <f>[1]Data!N664</f>
        <v>44430</v>
      </c>
      <c r="O673" s="1" t="str">
        <f>[1]Data!O664</f>
        <v>X</v>
      </c>
      <c r="P673" s="1" t="str">
        <f>[1]Data!P664</f>
        <v>2022</v>
      </c>
      <c r="Q673" s="15">
        <f>[1]Data!Q664</f>
        <v>0</v>
      </c>
      <c r="R673" s="1" t="str">
        <f>[1]Data!R664</f>
        <v>INAKTIV</v>
      </c>
    </row>
    <row r="674" spans="1:18" x14ac:dyDescent="0.35">
      <c r="A674" s="1" t="str">
        <f>[1]Data!A665</f>
        <v>4008308</v>
      </c>
      <c r="B674" s="1" t="str">
        <f>[1]Data!B665</f>
        <v>3300</v>
      </c>
      <c r="C674" s="1" t="str">
        <f>[1]Data!C665</f>
        <v>3001</v>
      </c>
      <c r="D674" s="1" t="str">
        <f>[1]Data!D665</f>
        <v>L</v>
      </c>
      <c r="E674" s="1" t="str">
        <f>[1]Data!E665</f>
        <v/>
      </c>
      <c r="F674" s="1" t="str">
        <f>[1]Data!F665</f>
        <v>2026</v>
      </c>
      <c r="G674" s="1" t="str">
        <f>[1]Data!G665</f>
        <v>2</v>
      </c>
      <c r="H674" s="15">
        <f>[1]Data!H665</f>
        <v>25</v>
      </c>
      <c r="I674" s="15">
        <f>[1]Data!I665</f>
        <v>0</v>
      </c>
      <c r="J674" s="1" t="str">
        <f>[1]Data!J665</f>
        <v>X</v>
      </c>
      <c r="K674" s="1" t="str">
        <f>[1]Data!K665</f>
        <v>X</v>
      </c>
      <c r="L674" s="1" t="str">
        <f>[1]Data!L665</f>
        <v>03:13:02</v>
      </c>
      <c r="M674" s="1">
        <f>[1]Data!M665</f>
        <v>45798</v>
      </c>
      <c r="N674" s="1">
        <f>[1]Data!N665</f>
        <v>44430</v>
      </c>
      <c r="O674" s="1" t="str">
        <f>[1]Data!O665</f>
        <v>X</v>
      </c>
      <c r="P674" s="1" t="str">
        <f>[1]Data!P665</f>
        <v>2025</v>
      </c>
      <c r="Q674" s="15">
        <f>[1]Data!Q665</f>
        <v>25</v>
      </c>
      <c r="R674" s="1" t="str">
        <f>[1]Data!R665</f>
        <v/>
      </c>
    </row>
    <row r="675" spans="1:18" x14ac:dyDescent="0.35">
      <c r="A675" s="1" t="str">
        <f>[1]Data!A666</f>
        <v>4008314</v>
      </c>
      <c r="B675" s="1" t="str">
        <f>[1]Data!B666</f>
        <v>3300</v>
      </c>
      <c r="C675" s="1" t="str">
        <f>[1]Data!C666</f>
        <v>3001</v>
      </c>
      <c r="D675" s="1" t="str">
        <f>[1]Data!D666</f>
        <v>L</v>
      </c>
      <c r="E675" s="1" t="str">
        <f>[1]Data!E666</f>
        <v/>
      </c>
      <c r="F675" s="1" t="str">
        <f>[1]Data!F666</f>
        <v>2026</v>
      </c>
      <c r="G675" s="1" t="str">
        <f>[1]Data!G666</f>
        <v>2</v>
      </c>
      <c r="H675" s="15">
        <f>[1]Data!H666</f>
        <v>119</v>
      </c>
      <c r="I675" s="15">
        <f>[1]Data!I666</f>
        <v>0</v>
      </c>
      <c r="J675" s="1" t="str">
        <f>[1]Data!J666</f>
        <v>X</v>
      </c>
      <c r="K675" s="1" t="str">
        <f>[1]Data!K666</f>
        <v>X</v>
      </c>
      <c r="L675" s="1" t="str">
        <f>[1]Data!L666</f>
        <v>06:05:02</v>
      </c>
      <c r="M675" s="1">
        <f>[1]Data!M666</f>
        <v>45819</v>
      </c>
      <c r="N675" s="1">
        <f>[1]Data!N666</f>
        <v>44430</v>
      </c>
      <c r="O675" s="1" t="str">
        <f>[1]Data!O666</f>
        <v>X</v>
      </c>
      <c r="P675" s="1" t="str">
        <f>[1]Data!P666</f>
        <v>2025</v>
      </c>
      <c r="Q675" s="15">
        <f>[1]Data!Q666</f>
        <v>119</v>
      </c>
      <c r="R675" s="1" t="str">
        <f>[1]Data!R666</f>
        <v/>
      </c>
    </row>
    <row r="676" spans="1:18" x14ac:dyDescent="0.35">
      <c r="A676" s="1" t="str">
        <f>[1]Data!A667</f>
        <v>4008327</v>
      </c>
      <c r="B676" s="1" t="str">
        <f>[1]Data!B667</f>
        <v>3300</v>
      </c>
      <c r="C676" s="1" t="str">
        <f>[1]Data!C667</f>
        <v>3001</v>
      </c>
      <c r="D676" s="1" t="str">
        <f>[1]Data!D667</f>
        <v>L</v>
      </c>
      <c r="E676" s="1" t="str">
        <f>[1]Data!E667</f>
        <v/>
      </c>
      <c r="F676" s="1" t="str">
        <f>[1]Data!F667</f>
        <v>2026</v>
      </c>
      <c r="G676" s="1" t="str">
        <f>[1]Data!G667</f>
        <v>2</v>
      </c>
      <c r="H676" s="15">
        <f>[1]Data!H667</f>
        <v>70</v>
      </c>
      <c r="I676" s="15">
        <f>[1]Data!I667</f>
        <v>0</v>
      </c>
      <c r="J676" s="1" t="str">
        <f>[1]Data!J667</f>
        <v>X</v>
      </c>
      <c r="K676" s="1" t="str">
        <f>[1]Data!K667</f>
        <v>X</v>
      </c>
      <c r="L676" s="1" t="str">
        <f>[1]Data!L667</f>
        <v>08:06:02</v>
      </c>
      <c r="M676" s="1">
        <f>[1]Data!M667</f>
        <v>45980</v>
      </c>
      <c r="N676" s="1">
        <f>[1]Data!N667</f>
        <v>44430</v>
      </c>
      <c r="O676" s="1" t="str">
        <f>[1]Data!O667</f>
        <v>X</v>
      </c>
      <c r="P676" s="1" t="str">
        <f>[1]Data!P667</f>
        <v>2025</v>
      </c>
      <c r="Q676" s="15">
        <f>[1]Data!Q667</f>
        <v>70</v>
      </c>
      <c r="R676" s="1" t="str">
        <f>[1]Data!R667</f>
        <v/>
      </c>
    </row>
    <row r="677" spans="1:18" x14ac:dyDescent="0.35">
      <c r="A677" s="1" t="str">
        <f>[1]Data!A668</f>
        <v>4008328</v>
      </c>
      <c r="B677" s="1" t="str">
        <f>[1]Data!B668</f>
        <v>3300</v>
      </c>
      <c r="C677" s="1" t="str">
        <f>[1]Data!C668</f>
        <v>3001</v>
      </c>
      <c r="D677" s="1" t="str">
        <f>[1]Data!D668</f>
        <v>L</v>
      </c>
      <c r="E677" s="1" t="str">
        <f>[1]Data!E668</f>
        <v/>
      </c>
      <c r="F677" s="1" t="str">
        <f>[1]Data!F668</f>
        <v>2026</v>
      </c>
      <c r="G677" s="1" t="str">
        <f>[1]Data!G668</f>
        <v>3</v>
      </c>
      <c r="H677" s="15">
        <f>[1]Data!H668</f>
        <v>13980</v>
      </c>
      <c r="I677" s="15">
        <f>[1]Data!I668</f>
        <v>0</v>
      </c>
      <c r="J677" s="1" t="str">
        <f>[1]Data!J668</f>
        <v>X</v>
      </c>
      <c r="K677" s="1" t="str">
        <f>[1]Data!K668</f>
        <v>X</v>
      </c>
      <c r="L677" s="1" t="str">
        <f>[1]Data!L668</f>
        <v>12:01:01</v>
      </c>
      <c r="M677" s="1">
        <f>[1]Data!M668</f>
        <v>45994</v>
      </c>
      <c r="N677" s="1">
        <f>[1]Data!N668</f>
        <v>44430</v>
      </c>
      <c r="O677" s="1" t="str">
        <f>[1]Data!O668</f>
        <v>X</v>
      </c>
      <c r="P677" s="1" t="str">
        <f>[1]Data!P668</f>
        <v>2025</v>
      </c>
      <c r="Q677" s="15">
        <f>[1]Data!Q668</f>
        <v>13980</v>
      </c>
      <c r="R677" s="1" t="str">
        <f>[1]Data!R668</f>
        <v/>
      </c>
    </row>
    <row r="678" spans="1:18" x14ac:dyDescent="0.35">
      <c r="A678" s="1" t="str">
        <f>[1]Data!A669</f>
        <v>4008329</v>
      </c>
      <c r="B678" s="1" t="str">
        <f>[1]Data!B669</f>
        <v>3300</v>
      </c>
      <c r="C678" s="1" t="str">
        <f>[1]Data!C669</f>
        <v>3001</v>
      </c>
      <c r="D678" s="1" t="str">
        <f>[1]Data!D669</f>
        <v>DL</v>
      </c>
      <c r="E678" s="1" t="str">
        <f>[1]Data!E669</f>
        <v/>
      </c>
      <c r="F678" s="1" t="str">
        <f>[1]Data!F669</f>
        <v>2024</v>
      </c>
      <c r="G678" s="1" t="str">
        <f>[1]Data!G669</f>
        <v>6</v>
      </c>
      <c r="H678" s="15">
        <f>[1]Data!H669</f>
        <v>0</v>
      </c>
      <c r="I678" s="15">
        <f>[1]Data!I669</f>
        <v>0</v>
      </c>
      <c r="J678" s="1" t="str">
        <f>[1]Data!J669</f>
        <v/>
      </c>
      <c r="K678" s="1" t="str">
        <f>[1]Data!K669</f>
        <v/>
      </c>
      <c r="L678" s="1" t="str">
        <f>[1]Data!L669</f>
        <v/>
      </c>
      <c r="M678" s="1" t="str">
        <f>[1]Data!M669</f>
        <v/>
      </c>
      <c r="N678" s="1">
        <f>[1]Data!N669</f>
        <v>45462</v>
      </c>
      <c r="O678" s="1" t="str">
        <f>[1]Data!O669</f>
        <v>X</v>
      </c>
      <c r="P678" s="1" t="str">
        <f>[1]Data!P669</f>
        <v>2024</v>
      </c>
      <c r="Q678" s="15">
        <f>[1]Data!Q669</f>
        <v>0</v>
      </c>
      <c r="R678" s="1" t="str">
        <f>[1]Data!R669</f>
        <v>INAKTIV</v>
      </c>
    </row>
    <row r="679" spans="1:18" x14ac:dyDescent="0.35">
      <c r="A679" s="1" t="str">
        <f>[1]Data!A670</f>
        <v>4008330</v>
      </c>
      <c r="B679" s="1" t="str">
        <f>[1]Data!B670</f>
        <v>3300</v>
      </c>
      <c r="C679" s="1" t="str">
        <f>[1]Data!C670</f>
        <v>3001</v>
      </c>
      <c r="D679" s="1" t="str">
        <f>[1]Data!D670</f>
        <v>DL</v>
      </c>
      <c r="E679" s="1" t="str">
        <f>[1]Data!E670</f>
        <v/>
      </c>
      <c r="F679" s="1" t="str">
        <f>[1]Data!F670</f>
        <v>2024</v>
      </c>
      <c r="G679" s="1" t="str">
        <f>[1]Data!G670</f>
        <v>6</v>
      </c>
      <c r="H679" s="15">
        <f>[1]Data!H670</f>
        <v>0</v>
      </c>
      <c r="I679" s="15">
        <f>[1]Data!I670</f>
        <v>0</v>
      </c>
      <c r="J679" s="1" t="str">
        <f>[1]Data!J670</f>
        <v/>
      </c>
      <c r="K679" s="1" t="str">
        <f>[1]Data!K670</f>
        <v/>
      </c>
      <c r="L679" s="1" t="str">
        <f>[1]Data!L670</f>
        <v/>
      </c>
      <c r="M679" s="1" t="str">
        <f>[1]Data!M670</f>
        <v/>
      </c>
      <c r="N679" s="1">
        <f>[1]Data!N670</f>
        <v>45462</v>
      </c>
      <c r="O679" s="1" t="str">
        <f>[1]Data!O670</f>
        <v>X</v>
      </c>
      <c r="P679" s="1" t="str">
        <f>[1]Data!P670</f>
        <v>2024</v>
      </c>
      <c r="Q679" s="15">
        <f>[1]Data!Q670</f>
        <v>0</v>
      </c>
      <c r="R679" s="1" t="str">
        <f>[1]Data!R670</f>
        <v>INAKTIV</v>
      </c>
    </row>
    <row r="680" spans="1:18" x14ac:dyDescent="0.35">
      <c r="A680" s="1" t="str">
        <f>[1]Data!A671</f>
        <v>4008333</v>
      </c>
      <c r="B680" s="1" t="str">
        <f>[1]Data!B671</f>
        <v>3300</v>
      </c>
      <c r="C680" s="1" t="str">
        <f>[1]Data!C671</f>
        <v>3001</v>
      </c>
      <c r="D680" s="1" t="str">
        <f>[1]Data!D671</f>
        <v>L</v>
      </c>
      <c r="E680" s="1" t="str">
        <f>[1]Data!E671</f>
        <v/>
      </c>
      <c r="F680" s="1" t="str">
        <f>[1]Data!F671</f>
        <v>2022</v>
      </c>
      <c r="G680" s="1" t="str">
        <f>[1]Data!G671</f>
        <v>1</v>
      </c>
      <c r="H680" s="15">
        <f>[1]Data!H671</f>
        <v>0</v>
      </c>
      <c r="I680" s="15">
        <f>[1]Data!I671</f>
        <v>0</v>
      </c>
      <c r="J680" s="1" t="str">
        <f>[1]Data!J671</f>
        <v/>
      </c>
      <c r="K680" s="1" t="str">
        <f>[1]Data!K671</f>
        <v>X</v>
      </c>
      <c r="L680" s="1" t="str">
        <f>[1]Data!L671</f>
        <v>SLETTET</v>
      </c>
      <c r="M680" s="1">
        <f>[1]Data!M671</f>
        <v>44568</v>
      </c>
      <c r="N680" s="1">
        <f>[1]Data!N671</f>
        <v>44430</v>
      </c>
      <c r="O680" s="1" t="str">
        <f>[1]Data!O671</f>
        <v>X</v>
      </c>
      <c r="P680" s="1" t="str">
        <f>[1]Data!P671</f>
        <v>2023</v>
      </c>
      <c r="Q680" s="15">
        <f>[1]Data!Q671</f>
        <v>0</v>
      </c>
      <c r="R680" s="1" t="str">
        <f>[1]Data!R671</f>
        <v>INAKTIV</v>
      </c>
    </row>
    <row r="681" spans="1:18" x14ac:dyDescent="0.35">
      <c r="A681" s="1" t="str">
        <f>[1]Data!A672</f>
        <v>4008334</v>
      </c>
      <c r="B681" s="1" t="str">
        <f>[1]Data!B672</f>
        <v>3300</v>
      </c>
      <c r="C681" s="1" t="str">
        <f>[1]Data!C672</f>
        <v>3001</v>
      </c>
      <c r="D681" s="1" t="str">
        <f>[1]Data!D672</f>
        <v>L</v>
      </c>
      <c r="E681" s="1" t="str">
        <f>[1]Data!E672</f>
        <v/>
      </c>
      <c r="F681" s="1" t="str">
        <f>[1]Data!F672</f>
        <v>2026</v>
      </c>
      <c r="G681" s="1" t="str">
        <f>[1]Data!G672</f>
        <v>1</v>
      </c>
      <c r="H681" s="15">
        <f>[1]Data!H672</f>
        <v>179</v>
      </c>
      <c r="I681" s="15">
        <f>[1]Data!I672</f>
        <v>0</v>
      </c>
      <c r="J681" s="1" t="str">
        <f>[1]Data!J672</f>
        <v>X</v>
      </c>
      <c r="K681" s="1" t="str">
        <f>[1]Data!K672</f>
        <v>X</v>
      </c>
      <c r="L681" s="1" t="str">
        <f>[1]Data!L672</f>
        <v>05:12:02</v>
      </c>
      <c r="M681" s="1">
        <f>[1]Data!M672</f>
        <v>45804</v>
      </c>
      <c r="N681" s="1">
        <f>[1]Data!N672</f>
        <v>44430</v>
      </c>
      <c r="O681" s="1" t="str">
        <f>[1]Data!O672</f>
        <v>X</v>
      </c>
      <c r="P681" s="1" t="str">
        <f>[1]Data!P672</f>
        <v>2025</v>
      </c>
      <c r="Q681" s="15">
        <f>[1]Data!Q672</f>
        <v>179</v>
      </c>
      <c r="R681" s="1" t="str">
        <f>[1]Data!R672</f>
        <v/>
      </c>
    </row>
    <row r="682" spans="1:18" x14ac:dyDescent="0.35">
      <c r="A682" s="1" t="str">
        <f>[1]Data!A673</f>
        <v>4008335</v>
      </c>
      <c r="B682" s="1" t="str">
        <f>[1]Data!B673</f>
        <v>3300</v>
      </c>
      <c r="C682" s="1" t="str">
        <f>[1]Data!C673</f>
        <v>3001</v>
      </c>
      <c r="D682" s="1" t="str">
        <f>[1]Data!D673</f>
        <v>L</v>
      </c>
      <c r="E682" s="1" t="str">
        <f>[1]Data!E673</f>
        <v/>
      </c>
      <c r="F682" s="1" t="str">
        <f>[1]Data!F673</f>
        <v>2026</v>
      </c>
      <c r="G682" s="1" t="str">
        <f>[1]Data!G673</f>
        <v>3</v>
      </c>
      <c r="H682" s="15">
        <f>[1]Data!H673</f>
        <v>13760</v>
      </c>
      <c r="I682" s="15">
        <f>[1]Data!I673</f>
        <v>0</v>
      </c>
      <c r="J682" s="1" t="str">
        <f>[1]Data!J673</f>
        <v>X</v>
      </c>
      <c r="K682" s="1" t="str">
        <f>[1]Data!K673</f>
        <v>X</v>
      </c>
      <c r="L682" s="1" t="str">
        <f>[1]Data!L673</f>
        <v>11:03:01</v>
      </c>
      <c r="M682" s="1">
        <f>[1]Data!M673</f>
        <v>45994</v>
      </c>
      <c r="N682" s="1">
        <f>[1]Data!N673</f>
        <v>44430</v>
      </c>
      <c r="O682" s="1" t="str">
        <f>[1]Data!O673</f>
        <v>X</v>
      </c>
      <c r="P682" s="1" t="str">
        <f>[1]Data!P673</f>
        <v>2025</v>
      </c>
      <c r="Q682" s="15">
        <f>[1]Data!Q673</f>
        <v>13760</v>
      </c>
      <c r="R682" s="1" t="str">
        <f>[1]Data!R673</f>
        <v/>
      </c>
    </row>
    <row r="683" spans="1:18" x14ac:dyDescent="0.35">
      <c r="A683" s="1" t="str">
        <f>[1]Data!A674</f>
        <v>4008336</v>
      </c>
      <c r="B683" s="1" t="str">
        <f>[1]Data!B674</f>
        <v>3300</v>
      </c>
      <c r="C683" s="1" t="str">
        <f>[1]Data!C674</f>
        <v>3001</v>
      </c>
      <c r="D683" s="1" t="str">
        <f>[1]Data!D674</f>
        <v>L</v>
      </c>
      <c r="E683" s="1" t="str">
        <f>[1]Data!E674</f>
        <v/>
      </c>
      <c r="F683" s="1" t="str">
        <f>[1]Data!F674</f>
        <v>2026</v>
      </c>
      <c r="G683" s="1" t="str">
        <f>[1]Data!G674</f>
        <v>3</v>
      </c>
      <c r="H683" s="15">
        <f>[1]Data!H674</f>
        <v>14160</v>
      </c>
      <c r="I683" s="15">
        <f>[1]Data!I674</f>
        <v>0</v>
      </c>
      <c r="J683" s="1" t="str">
        <f>[1]Data!J674</f>
        <v>X</v>
      </c>
      <c r="K683" s="1" t="str">
        <f>[1]Data!K674</f>
        <v>X</v>
      </c>
      <c r="L683" s="1" t="str">
        <f>[1]Data!L674</f>
        <v>11:06:01</v>
      </c>
      <c r="M683" s="1">
        <f>[1]Data!M674</f>
        <v>45994</v>
      </c>
      <c r="N683" s="1">
        <f>[1]Data!N674</f>
        <v>44430</v>
      </c>
      <c r="O683" s="1" t="str">
        <f>[1]Data!O674</f>
        <v>X</v>
      </c>
      <c r="P683" s="1" t="str">
        <f>[1]Data!P674</f>
        <v>2025</v>
      </c>
      <c r="Q683" s="15">
        <f>[1]Data!Q674</f>
        <v>14160</v>
      </c>
      <c r="R683" s="1" t="str">
        <f>[1]Data!R674</f>
        <v/>
      </c>
    </row>
    <row r="684" spans="1:18" x14ac:dyDescent="0.35">
      <c r="A684" s="1" t="str">
        <f>[1]Data!A675</f>
        <v>4008337</v>
      </c>
      <c r="B684" s="1" t="str">
        <f>[1]Data!B675</f>
        <v>3300</v>
      </c>
      <c r="C684" s="1" t="str">
        <f>[1]Data!C675</f>
        <v>3001</v>
      </c>
      <c r="D684" s="1" t="str">
        <f>[1]Data!D675</f>
        <v>L</v>
      </c>
      <c r="E684" s="1" t="str">
        <f>[1]Data!E675</f>
        <v/>
      </c>
      <c r="F684" s="1" t="str">
        <f>[1]Data!F675</f>
        <v>2026</v>
      </c>
      <c r="G684" s="1" t="str">
        <f>[1]Data!G675</f>
        <v>3</v>
      </c>
      <c r="H684" s="15">
        <f>[1]Data!H675</f>
        <v>5105</v>
      </c>
      <c r="I684" s="15">
        <f>[1]Data!I675</f>
        <v>0</v>
      </c>
      <c r="J684" s="1" t="str">
        <f>[1]Data!J675</f>
        <v>X</v>
      </c>
      <c r="K684" s="1" t="str">
        <f>[1]Data!K675</f>
        <v>X</v>
      </c>
      <c r="L684" s="1" t="str">
        <f>[1]Data!L675</f>
        <v>12:04:00*</v>
      </c>
      <c r="M684" s="1">
        <f>[1]Data!M675</f>
        <v>45994</v>
      </c>
      <c r="N684" s="1">
        <f>[1]Data!N675</f>
        <v>44430</v>
      </c>
      <c r="O684" s="1" t="str">
        <f>[1]Data!O675</f>
        <v>X</v>
      </c>
      <c r="P684" s="1" t="str">
        <f>[1]Data!P675</f>
        <v>2025</v>
      </c>
      <c r="Q684" s="15">
        <f>[1]Data!Q675</f>
        <v>5105</v>
      </c>
      <c r="R684" s="1" t="str">
        <f>[1]Data!R675</f>
        <v/>
      </c>
    </row>
    <row r="685" spans="1:18" x14ac:dyDescent="0.35">
      <c r="A685" s="1" t="str">
        <f>[1]Data!A676</f>
        <v>4008338</v>
      </c>
      <c r="B685" s="1" t="str">
        <f>[1]Data!B676</f>
        <v>3300</v>
      </c>
      <c r="C685" s="1" t="str">
        <f>[1]Data!C676</f>
        <v>3001</v>
      </c>
      <c r="D685" s="1" t="str">
        <f>[1]Data!D676</f>
        <v>L</v>
      </c>
      <c r="E685" s="1" t="str">
        <f>[1]Data!E676</f>
        <v/>
      </c>
      <c r="F685" s="1" t="str">
        <f>[1]Data!F676</f>
        <v>2026</v>
      </c>
      <c r="G685" s="1" t="str">
        <f>[1]Data!G676</f>
        <v>2</v>
      </c>
      <c r="H685" s="15">
        <f>[1]Data!H676</f>
        <v>50</v>
      </c>
      <c r="I685" s="15">
        <f>[1]Data!I676</f>
        <v>0</v>
      </c>
      <c r="J685" s="1" t="str">
        <f>[1]Data!J676</f>
        <v>X</v>
      </c>
      <c r="K685" s="1" t="str">
        <f>[1]Data!K676</f>
        <v>X</v>
      </c>
      <c r="L685" s="1" t="str">
        <f>[1]Data!L676</f>
        <v>07:05:03</v>
      </c>
      <c r="M685" s="1">
        <f>[1]Data!M676</f>
        <v>45824</v>
      </c>
      <c r="N685" s="1">
        <f>[1]Data!N676</f>
        <v>44430</v>
      </c>
      <c r="O685" s="1" t="str">
        <f>[1]Data!O676</f>
        <v>X</v>
      </c>
      <c r="P685" s="1" t="str">
        <f>[1]Data!P676</f>
        <v>2025</v>
      </c>
      <c r="Q685" s="15">
        <f>[1]Data!Q676</f>
        <v>50</v>
      </c>
      <c r="R685" s="1" t="str">
        <f>[1]Data!R676</f>
        <v/>
      </c>
    </row>
    <row r="686" spans="1:18" x14ac:dyDescent="0.35">
      <c r="A686" s="1" t="str">
        <f>[1]Data!A677</f>
        <v>4008339</v>
      </c>
      <c r="B686" s="1" t="str">
        <f>[1]Data!B677</f>
        <v>3300</v>
      </c>
      <c r="C686" s="1" t="str">
        <f>[1]Data!C677</f>
        <v>3001</v>
      </c>
      <c r="D686" s="1" t="str">
        <f>[1]Data!D677</f>
        <v>L</v>
      </c>
      <c r="E686" s="1" t="str">
        <f>[1]Data!E677</f>
        <v/>
      </c>
      <c r="F686" s="1" t="str">
        <f>[1]Data!F677</f>
        <v>2026</v>
      </c>
      <c r="G686" s="1" t="str">
        <f>[1]Data!G677</f>
        <v>2</v>
      </c>
      <c r="H686" s="15">
        <f>[1]Data!H677</f>
        <v>2800</v>
      </c>
      <c r="I686" s="15">
        <f>[1]Data!I677</f>
        <v>0</v>
      </c>
      <c r="J686" s="1" t="str">
        <f>[1]Data!J677</f>
        <v>X</v>
      </c>
      <c r="K686" s="1" t="str">
        <f>[1]Data!K677</f>
        <v>X</v>
      </c>
      <c r="L686" s="1" t="str">
        <f>[1]Data!L677</f>
        <v>12:06:03</v>
      </c>
      <c r="M686" s="1">
        <f>[1]Data!M677</f>
        <v>45994</v>
      </c>
      <c r="N686" s="1">
        <f>[1]Data!N677</f>
        <v>44430</v>
      </c>
      <c r="O686" s="1" t="str">
        <f>[1]Data!O677</f>
        <v>X</v>
      </c>
      <c r="P686" s="1" t="str">
        <f>[1]Data!P677</f>
        <v>2025</v>
      </c>
      <c r="Q686" s="15">
        <f>[1]Data!Q677</f>
        <v>2800</v>
      </c>
      <c r="R686" s="1" t="str">
        <f>[1]Data!R677</f>
        <v/>
      </c>
    </row>
    <row r="687" spans="1:18" x14ac:dyDescent="0.35">
      <c r="A687" s="1" t="str">
        <f>[1]Data!A678</f>
        <v>4008340</v>
      </c>
      <c r="B687" s="1" t="str">
        <f>[1]Data!B678</f>
        <v>3300</v>
      </c>
      <c r="C687" s="1" t="str">
        <f>[1]Data!C678</f>
        <v>3001</v>
      </c>
      <c r="D687" s="1" t="str">
        <f>[1]Data!D678</f>
        <v>L</v>
      </c>
      <c r="E687" s="1" t="str">
        <f>[1]Data!E678</f>
        <v/>
      </c>
      <c r="F687" s="1" t="str">
        <f>[1]Data!F678</f>
        <v>2026</v>
      </c>
      <c r="G687" s="1" t="str">
        <f>[1]Data!G678</f>
        <v>3</v>
      </c>
      <c r="H687" s="15">
        <f>[1]Data!H678</f>
        <v>10200</v>
      </c>
      <c r="I687" s="15">
        <f>[1]Data!I678</f>
        <v>0</v>
      </c>
      <c r="J687" s="1" t="str">
        <f>[1]Data!J678</f>
        <v>X</v>
      </c>
      <c r="K687" s="1" t="str">
        <f>[1]Data!K678</f>
        <v>X</v>
      </c>
      <c r="L687" s="1" t="str">
        <f>[1]Data!L678</f>
        <v>12:03:01</v>
      </c>
      <c r="M687" s="1">
        <f>[1]Data!M678</f>
        <v>45994</v>
      </c>
      <c r="N687" s="1">
        <f>[1]Data!N678</f>
        <v>44430</v>
      </c>
      <c r="O687" s="1" t="str">
        <f>[1]Data!O678</f>
        <v>X</v>
      </c>
      <c r="P687" s="1" t="str">
        <f>[1]Data!P678</f>
        <v>2025</v>
      </c>
      <c r="Q687" s="15">
        <f>[1]Data!Q678</f>
        <v>10200</v>
      </c>
      <c r="R687" s="1" t="str">
        <f>[1]Data!R678</f>
        <v/>
      </c>
    </row>
    <row r="688" spans="1:18" x14ac:dyDescent="0.35">
      <c r="A688" s="1" t="str">
        <f>[1]Data!A679</f>
        <v>4008342</v>
      </c>
      <c r="B688" s="1" t="str">
        <f>[1]Data!B679</f>
        <v>3300</v>
      </c>
      <c r="C688" s="1" t="str">
        <f>[1]Data!C679</f>
        <v>3001</v>
      </c>
      <c r="D688" s="1" t="str">
        <f>[1]Data!D679</f>
        <v>L</v>
      </c>
      <c r="E688" s="1" t="str">
        <f>[1]Data!E679</f>
        <v/>
      </c>
      <c r="F688" s="1" t="str">
        <f>[1]Data!F679</f>
        <v>2021</v>
      </c>
      <c r="G688" s="1" t="str">
        <f>[1]Data!G679</f>
        <v>10</v>
      </c>
      <c r="H688" s="15">
        <f>[1]Data!H679</f>
        <v>0</v>
      </c>
      <c r="I688" s="15">
        <f>[1]Data!I679</f>
        <v>0</v>
      </c>
      <c r="J688" s="1" t="str">
        <f>[1]Data!J679</f>
        <v>X</v>
      </c>
      <c r="K688" s="1" t="str">
        <f>[1]Data!K679</f>
        <v/>
      </c>
      <c r="L688" s="1" t="str">
        <f>[1]Data!L679</f>
        <v>SLETTET</v>
      </c>
      <c r="M688" s="1">
        <f>[1]Data!M679</f>
        <v>44568</v>
      </c>
      <c r="N688" s="1">
        <f>[1]Data!N679</f>
        <v>44430</v>
      </c>
      <c r="O688" s="1" t="str">
        <f>[1]Data!O679</f>
        <v>X</v>
      </c>
      <c r="P688" s="1" t="str">
        <f>[1]Data!P679</f>
        <v>2022</v>
      </c>
      <c r="Q688" s="15">
        <f>[1]Data!Q679</f>
        <v>0</v>
      </c>
      <c r="R688" s="1" t="str">
        <f>[1]Data!R679</f>
        <v>INAKTIV</v>
      </c>
    </row>
    <row r="689" spans="1:18" x14ac:dyDescent="0.35">
      <c r="A689" s="1" t="str">
        <f>[1]Data!A680</f>
        <v>4008343</v>
      </c>
      <c r="B689" s="1" t="str">
        <f>[1]Data!B680</f>
        <v>3300</v>
      </c>
      <c r="C689" s="1" t="str">
        <f>[1]Data!C680</f>
        <v>3001</v>
      </c>
      <c r="D689" s="1" t="str">
        <f>[1]Data!D680</f>
        <v>L</v>
      </c>
      <c r="E689" s="1" t="str">
        <f>[1]Data!E680</f>
        <v/>
      </c>
      <c r="F689" s="1" t="str">
        <f>[1]Data!F680</f>
        <v>2026</v>
      </c>
      <c r="G689" s="1" t="str">
        <f>[1]Data!G680</f>
        <v>2</v>
      </c>
      <c r="H689" s="15">
        <f>[1]Data!H680</f>
        <v>480</v>
      </c>
      <c r="I689" s="15">
        <f>[1]Data!I680</f>
        <v>0</v>
      </c>
      <c r="J689" s="1" t="str">
        <f>[1]Data!J680</f>
        <v>X</v>
      </c>
      <c r="K689" s="1" t="str">
        <f>[1]Data!K680</f>
        <v>X</v>
      </c>
      <c r="L689" s="1" t="str">
        <f>[1]Data!L680</f>
        <v>12:10:01</v>
      </c>
      <c r="M689" s="1">
        <f>[1]Data!M680</f>
        <v>45994</v>
      </c>
      <c r="N689" s="1">
        <f>[1]Data!N680</f>
        <v>44430</v>
      </c>
      <c r="O689" s="1" t="str">
        <f>[1]Data!O680</f>
        <v>X</v>
      </c>
      <c r="P689" s="1" t="str">
        <f>[1]Data!P680</f>
        <v>2025</v>
      </c>
      <c r="Q689" s="15">
        <f>[1]Data!Q680</f>
        <v>480</v>
      </c>
      <c r="R689" s="1" t="str">
        <f>[1]Data!R680</f>
        <v/>
      </c>
    </row>
    <row r="690" spans="1:18" x14ac:dyDescent="0.35">
      <c r="A690" s="1" t="str">
        <f>[1]Data!A681</f>
        <v>4008345</v>
      </c>
      <c r="B690" s="1" t="str">
        <f>[1]Data!B681</f>
        <v>3300</v>
      </c>
      <c r="C690" s="1" t="str">
        <f>[1]Data!C681</f>
        <v>3001</v>
      </c>
      <c r="D690" s="1" t="str">
        <f>[1]Data!D681</f>
        <v>L</v>
      </c>
      <c r="E690" s="1" t="str">
        <f>[1]Data!E681</f>
        <v/>
      </c>
      <c r="F690" s="1" t="str">
        <f>[1]Data!F681</f>
        <v>2026</v>
      </c>
      <c r="G690" s="1" t="str">
        <f>[1]Data!G681</f>
        <v>2</v>
      </c>
      <c r="H690" s="15">
        <f>[1]Data!H681</f>
        <v>120</v>
      </c>
      <c r="I690" s="15">
        <f>[1]Data!I681</f>
        <v>0</v>
      </c>
      <c r="J690" s="1" t="str">
        <f>[1]Data!J681</f>
        <v>X</v>
      </c>
      <c r="K690" s="1" t="str">
        <f>[1]Data!K681</f>
        <v>X</v>
      </c>
      <c r="L690" s="1" t="str">
        <f>[1]Data!L681</f>
        <v>10:05:03</v>
      </c>
      <c r="M690" s="1">
        <f>[1]Data!M681</f>
        <v>45987</v>
      </c>
      <c r="N690" s="1">
        <f>[1]Data!N681</f>
        <v>44430</v>
      </c>
      <c r="O690" s="1" t="str">
        <f>[1]Data!O681</f>
        <v>X</v>
      </c>
      <c r="P690" s="1" t="str">
        <f>[1]Data!P681</f>
        <v>2025</v>
      </c>
      <c r="Q690" s="15">
        <f>[1]Data!Q681</f>
        <v>120</v>
      </c>
      <c r="R690" s="1" t="str">
        <f>[1]Data!R681</f>
        <v/>
      </c>
    </row>
    <row r="691" spans="1:18" x14ac:dyDescent="0.35">
      <c r="A691" s="1" t="str">
        <f>[1]Data!A682</f>
        <v>4008346</v>
      </c>
      <c r="B691" s="1" t="str">
        <f>[1]Data!B682</f>
        <v>3300</v>
      </c>
      <c r="C691" s="1" t="str">
        <f>[1]Data!C682</f>
        <v>3001</v>
      </c>
      <c r="D691" s="1" t="str">
        <f>[1]Data!D682</f>
        <v>L</v>
      </c>
      <c r="E691" s="1" t="str">
        <f>[1]Data!E682</f>
        <v/>
      </c>
      <c r="F691" s="1" t="str">
        <f>[1]Data!F682</f>
        <v>2026</v>
      </c>
      <c r="G691" s="1" t="str">
        <f>[1]Data!G682</f>
        <v>2</v>
      </c>
      <c r="H691" s="15">
        <f>[1]Data!H682</f>
        <v>8450</v>
      </c>
      <c r="I691" s="15">
        <f>[1]Data!I682</f>
        <v>0</v>
      </c>
      <c r="J691" s="1" t="str">
        <f>[1]Data!J682</f>
        <v>X</v>
      </c>
      <c r="K691" s="1" t="str">
        <f>[1]Data!K682</f>
        <v>X</v>
      </c>
      <c r="L691" s="1" t="str">
        <f>[1]Data!L682</f>
        <v>10:07:03</v>
      </c>
      <c r="M691" s="1">
        <f>[1]Data!M682</f>
        <v>45987</v>
      </c>
      <c r="N691" s="1">
        <f>[1]Data!N682</f>
        <v>44430</v>
      </c>
      <c r="O691" s="1" t="str">
        <f>[1]Data!O682</f>
        <v>X</v>
      </c>
      <c r="P691" s="1" t="str">
        <f>[1]Data!P682</f>
        <v>2025</v>
      </c>
      <c r="Q691" s="15">
        <f>[1]Data!Q682</f>
        <v>8450</v>
      </c>
      <c r="R691" s="1" t="str">
        <f>[1]Data!R682</f>
        <v/>
      </c>
    </row>
    <row r="692" spans="1:18" x14ac:dyDescent="0.35">
      <c r="A692" s="1" t="str">
        <f>[1]Data!A683</f>
        <v>4008347</v>
      </c>
      <c r="B692" s="1" t="str">
        <f>[1]Data!B683</f>
        <v>3300</v>
      </c>
      <c r="C692" s="1" t="str">
        <f>[1]Data!C683</f>
        <v>3001</v>
      </c>
      <c r="D692" s="1" t="str">
        <f>[1]Data!D683</f>
        <v>L</v>
      </c>
      <c r="E692" s="1" t="str">
        <f>[1]Data!E683</f>
        <v/>
      </c>
      <c r="F692" s="1" t="str">
        <f>[1]Data!F683</f>
        <v>2025</v>
      </c>
      <c r="G692" s="1" t="str">
        <f>[1]Data!G683</f>
        <v>11</v>
      </c>
      <c r="H692" s="15">
        <f>[1]Data!H683</f>
        <v>3400</v>
      </c>
      <c r="I692" s="15">
        <f>[1]Data!I683</f>
        <v>0</v>
      </c>
      <c r="J692" s="1" t="str">
        <f>[1]Data!J683</f>
        <v>X</v>
      </c>
      <c r="K692" s="1" t="str">
        <f>[1]Data!K683</f>
        <v>X</v>
      </c>
      <c r="L692" s="1" t="str">
        <f>[1]Data!L683</f>
        <v>09:11:02</v>
      </c>
      <c r="M692" s="1">
        <f>[1]Data!M683</f>
        <v>45987</v>
      </c>
      <c r="N692" s="1">
        <f>[1]Data!N683</f>
        <v>44430</v>
      </c>
      <c r="O692" s="1" t="str">
        <f>[1]Data!O683</f>
        <v>X</v>
      </c>
      <c r="P692" s="1" t="str">
        <f>[1]Data!P683</f>
        <v>2025</v>
      </c>
      <c r="Q692" s="15">
        <f>[1]Data!Q683</f>
        <v>3400</v>
      </c>
      <c r="R692" s="1" t="str">
        <f>[1]Data!R683</f>
        <v/>
      </c>
    </row>
    <row r="693" spans="1:18" x14ac:dyDescent="0.35">
      <c r="A693" s="1" t="str">
        <f>[1]Data!A684</f>
        <v>4008354</v>
      </c>
      <c r="B693" s="1" t="str">
        <f>[1]Data!B684</f>
        <v>3300</v>
      </c>
      <c r="C693" s="1" t="str">
        <f>[1]Data!C684</f>
        <v>3001</v>
      </c>
      <c r="D693" s="1" t="str">
        <f>[1]Data!D684</f>
        <v>L</v>
      </c>
      <c r="E693" s="1" t="str">
        <f>[1]Data!E684</f>
        <v/>
      </c>
      <c r="F693" s="1" t="str">
        <f>[1]Data!F684</f>
        <v>2026</v>
      </c>
      <c r="G693" s="1" t="str">
        <f>[1]Data!G684</f>
        <v>1</v>
      </c>
      <c r="H693" s="15">
        <f>[1]Data!H684</f>
        <v>90</v>
      </c>
      <c r="I693" s="15">
        <f>[1]Data!I684</f>
        <v>0</v>
      </c>
      <c r="J693" s="1" t="str">
        <f>[1]Data!J684</f>
        <v>X</v>
      </c>
      <c r="K693" s="1" t="str">
        <f>[1]Data!K684</f>
        <v>X</v>
      </c>
      <c r="L693" s="1" t="str">
        <f>[1]Data!L684</f>
        <v>04:02:01</v>
      </c>
      <c r="M693" s="1">
        <f>[1]Data!M684</f>
        <v>45798</v>
      </c>
      <c r="N693" s="1">
        <f>[1]Data!N684</f>
        <v>44430</v>
      </c>
      <c r="O693" s="1" t="str">
        <f>[1]Data!O684</f>
        <v>X</v>
      </c>
      <c r="P693" s="1" t="str">
        <f>[1]Data!P684</f>
        <v>2025</v>
      </c>
      <c r="Q693" s="15">
        <f>[1]Data!Q684</f>
        <v>90</v>
      </c>
      <c r="R693" s="1" t="str">
        <f>[1]Data!R684</f>
        <v/>
      </c>
    </row>
    <row r="694" spans="1:18" x14ac:dyDescent="0.35">
      <c r="A694" s="1" t="str">
        <f>[1]Data!A685</f>
        <v>4008377</v>
      </c>
      <c r="B694" s="1" t="str">
        <f>[1]Data!B685</f>
        <v>3300</v>
      </c>
      <c r="C694" s="1" t="str">
        <f>[1]Data!C685</f>
        <v>3001</v>
      </c>
      <c r="D694" s="1" t="str">
        <f>[1]Data!D685</f>
        <v>L</v>
      </c>
      <c r="E694" s="1" t="str">
        <f>[1]Data!E685</f>
        <v/>
      </c>
      <c r="F694" s="1" t="str">
        <f>[1]Data!F685</f>
        <v>2026</v>
      </c>
      <c r="G694" s="1" t="str">
        <f>[1]Data!G685</f>
        <v>3</v>
      </c>
      <c r="H694" s="15">
        <f>[1]Data!H685</f>
        <v>72</v>
      </c>
      <c r="I694" s="15">
        <f>[1]Data!I685</f>
        <v>0</v>
      </c>
      <c r="J694" s="1" t="str">
        <f>[1]Data!J685</f>
        <v>X</v>
      </c>
      <c r="K694" s="1" t="str">
        <f>[1]Data!K685</f>
        <v>X</v>
      </c>
      <c r="L694" s="1" t="str">
        <f>[1]Data!L685</f>
        <v>07:10:02</v>
      </c>
      <c r="M694" s="1">
        <f>[1]Data!M685</f>
        <v>45825</v>
      </c>
      <c r="N694" s="1">
        <f>[1]Data!N685</f>
        <v>44430</v>
      </c>
      <c r="O694" s="1" t="str">
        <f>[1]Data!O685</f>
        <v>X</v>
      </c>
      <c r="P694" s="1" t="str">
        <f>[1]Data!P685</f>
        <v>2025</v>
      </c>
      <c r="Q694" s="15">
        <f>[1]Data!Q685</f>
        <v>72</v>
      </c>
      <c r="R694" s="1" t="str">
        <f>[1]Data!R685</f>
        <v/>
      </c>
    </row>
    <row r="695" spans="1:18" x14ac:dyDescent="0.35">
      <c r="A695" s="1" t="str">
        <f>[1]Data!A686</f>
        <v>4008378</v>
      </c>
      <c r="B695" s="1" t="str">
        <f>[1]Data!B686</f>
        <v>3300</v>
      </c>
      <c r="C695" s="1" t="str">
        <f>[1]Data!C686</f>
        <v>3001</v>
      </c>
      <c r="D695" s="1" t="str">
        <f>[1]Data!D686</f>
        <v>L</v>
      </c>
      <c r="E695" s="1" t="str">
        <f>[1]Data!E686</f>
        <v/>
      </c>
      <c r="F695" s="1" t="str">
        <f>[1]Data!F686</f>
        <v>2026</v>
      </c>
      <c r="G695" s="1" t="str">
        <f>[1]Data!G686</f>
        <v>2</v>
      </c>
      <c r="H695" s="15">
        <f>[1]Data!H686</f>
        <v>240</v>
      </c>
      <c r="I695" s="15">
        <f>[1]Data!I686</f>
        <v>0</v>
      </c>
      <c r="J695" s="1" t="str">
        <f>[1]Data!J686</f>
        <v>X</v>
      </c>
      <c r="K695" s="1" t="str">
        <f>[1]Data!K686</f>
        <v>X</v>
      </c>
      <c r="L695" s="1" t="str">
        <f>[1]Data!L686</f>
        <v>07:10:01</v>
      </c>
      <c r="M695" s="1">
        <f>[1]Data!M686</f>
        <v>45824</v>
      </c>
      <c r="N695" s="1">
        <f>[1]Data!N686</f>
        <v>44430</v>
      </c>
      <c r="O695" s="1" t="str">
        <f>[1]Data!O686</f>
        <v>X</v>
      </c>
      <c r="P695" s="1" t="str">
        <f>[1]Data!P686</f>
        <v>2025</v>
      </c>
      <c r="Q695" s="15">
        <f>[1]Data!Q686</f>
        <v>240</v>
      </c>
      <c r="R695" s="1" t="str">
        <f>[1]Data!R686</f>
        <v/>
      </c>
    </row>
    <row r="696" spans="1:18" x14ac:dyDescent="0.35">
      <c r="A696" s="1" t="str">
        <f>[1]Data!A687</f>
        <v>4008379</v>
      </c>
      <c r="B696" s="1" t="str">
        <f>[1]Data!B687</f>
        <v>3300</v>
      </c>
      <c r="C696" s="1" t="str">
        <f>[1]Data!C687</f>
        <v>3001</v>
      </c>
      <c r="D696" s="1" t="str">
        <f>[1]Data!D687</f>
        <v>L</v>
      </c>
      <c r="E696" s="1" t="str">
        <f>[1]Data!E687</f>
        <v/>
      </c>
      <c r="F696" s="1" t="str">
        <f>[1]Data!F687</f>
        <v>2026</v>
      </c>
      <c r="G696" s="1" t="str">
        <f>[1]Data!G687</f>
        <v>3</v>
      </c>
      <c r="H696" s="15">
        <f>[1]Data!H687</f>
        <v>120</v>
      </c>
      <c r="I696" s="15">
        <f>[1]Data!I687</f>
        <v>0</v>
      </c>
      <c r="J696" s="1" t="str">
        <f>[1]Data!J687</f>
        <v>X</v>
      </c>
      <c r="K696" s="1" t="str">
        <f>[1]Data!K687</f>
        <v>X</v>
      </c>
      <c r="L696" s="1" t="str">
        <f>[1]Data!L687</f>
        <v>07:10:01</v>
      </c>
      <c r="M696" s="1">
        <f>[1]Data!M687</f>
        <v>45825</v>
      </c>
      <c r="N696" s="1">
        <f>[1]Data!N687</f>
        <v>44430</v>
      </c>
      <c r="O696" s="1" t="str">
        <f>[1]Data!O687</f>
        <v>X</v>
      </c>
      <c r="P696" s="1" t="str">
        <f>[1]Data!P687</f>
        <v>2025</v>
      </c>
      <c r="Q696" s="15">
        <f>[1]Data!Q687</f>
        <v>120</v>
      </c>
      <c r="R696" s="1" t="str">
        <f>[1]Data!R687</f>
        <v/>
      </c>
    </row>
    <row r="697" spans="1:18" x14ac:dyDescent="0.35">
      <c r="A697" s="1" t="str">
        <f>[1]Data!A688</f>
        <v>4008380</v>
      </c>
      <c r="B697" s="1" t="str">
        <f>[1]Data!B688</f>
        <v>3300</v>
      </c>
      <c r="C697" s="1" t="str">
        <f>[1]Data!C688</f>
        <v>3001</v>
      </c>
      <c r="D697" s="1" t="str">
        <f>[1]Data!D688</f>
        <v>L</v>
      </c>
      <c r="E697" s="1" t="str">
        <f>[1]Data!E688</f>
        <v/>
      </c>
      <c r="F697" s="1" t="str">
        <f>[1]Data!F688</f>
        <v>2026</v>
      </c>
      <c r="G697" s="1" t="str">
        <f>[1]Data!G688</f>
        <v>3</v>
      </c>
      <c r="H697" s="15">
        <f>[1]Data!H688</f>
        <v>156</v>
      </c>
      <c r="I697" s="15">
        <f>[1]Data!I688</f>
        <v>0</v>
      </c>
      <c r="J697" s="1" t="str">
        <f>[1]Data!J688</f>
        <v>X</v>
      </c>
      <c r="K697" s="1" t="str">
        <f>[1]Data!K688</f>
        <v>X</v>
      </c>
      <c r="L697" s="1" t="str">
        <f>[1]Data!L688</f>
        <v>07:08:01</v>
      </c>
      <c r="M697" s="1">
        <f>[1]Data!M688</f>
        <v>45824</v>
      </c>
      <c r="N697" s="1">
        <f>[1]Data!N688</f>
        <v>44430</v>
      </c>
      <c r="O697" s="1" t="str">
        <f>[1]Data!O688</f>
        <v>X</v>
      </c>
      <c r="P697" s="1" t="str">
        <f>[1]Data!P688</f>
        <v>2025</v>
      </c>
      <c r="Q697" s="15">
        <f>[1]Data!Q688</f>
        <v>156</v>
      </c>
      <c r="R697" s="1" t="str">
        <f>[1]Data!R688</f>
        <v/>
      </c>
    </row>
    <row r="698" spans="1:18" x14ac:dyDescent="0.35">
      <c r="A698" s="1" t="str">
        <f>[1]Data!A689</f>
        <v>4008387</v>
      </c>
      <c r="B698" s="1" t="str">
        <f>[1]Data!B689</f>
        <v>3300</v>
      </c>
      <c r="C698" s="1" t="str">
        <f>[1]Data!C689</f>
        <v>3001</v>
      </c>
      <c r="D698" s="1" t="str">
        <f>[1]Data!D689</f>
        <v>L</v>
      </c>
      <c r="E698" s="1" t="str">
        <f>[1]Data!E689</f>
        <v/>
      </c>
      <c r="F698" s="1" t="str">
        <f>[1]Data!F689</f>
        <v>2026</v>
      </c>
      <c r="G698" s="1" t="str">
        <f>[1]Data!G689</f>
        <v>2</v>
      </c>
      <c r="H698" s="15">
        <f>[1]Data!H689</f>
        <v>30</v>
      </c>
      <c r="I698" s="15">
        <f>[1]Data!I689</f>
        <v>0</v>
      </c>
      <c r="J698" s="1" t="str">
        <f>[1]Data!J689</f>
        <v>X</v>
      </c>
      <c r="K698" s="1" t="str">
        <f>[1]Data!K689</f>
        <v>X</v>
      </c>
      <c r="L698" s="1" t="str">
        <f>[1]Data!L689</f>
        <v>05:03:03</v>
      </c>
      <c r="M698" s="1">
        <f>[1]Data!M689</f>
        <v>45803</v>
      </c>
      <c r="N698" s="1">
        <f>[1]Data!N689</f>
        <v>44430</v>
      </c>
      <c r="O698" s="1" t="str">
        <f>[1]Data!O689</f>
        <v>X</v>
      </c>
      <c r="P698" s="1" t="str">
        <f>[1]Data!P689</f>
        <v>2025</v>
      </c>
      <c r="Q698" s="15">
        <f>[1]Data!Q689</f>
        <v>30</v>
      </c>
      <c r="R698" s="1" t="str">
        <f>[1]Data!R689</f>
        <v/>
      </c>
    </row>
    <row r="699" spans="1:18" x14ac:dyDescent="0.35">
      <c r="A699" s="1" t="str">
        <f>[1]Data!A690</f>
        <v>4008388</v>
      </c>
      <c r="B699" s="1" t="str">
        <f>[1]Data!B690</f>
        <v>3300</v>
      </c>
      <c r="C699" s="1" t="str">
        <f>[1]Data!C690</f>
        <v>3001</v>
      </c>
      <c r="D699" s="1" t="str">
        <f>[1]Data!D690</f>
        <v>L</v>
      </c>
      <c r="E699" s="1" t="str">
        <f>[1]Data!E690</f>
        <v/>
      </c>
      <c r="F699" s="1" t="str">
        <f>[1]Data!F690</f>
        <v>2026</v>
      </c>
      <c r="G699" s="1" t="str">
        <f>[1]Data!G690</f>
        <v>3</v>
      </c>
      <c r="H699" s="15">
        <f>[1]Data!H690</f>
        <v>700</v>
      </c>
      <c r="I699" s="15">
        <f>[1]Data!I690</f>
        <v>0</v>
      </c>
      <c r="J699" s="1" t="str">
        <f>[1]Data!J690</f>
        <v>X</v>
      </c>
      <c r="K699" s="1" t="str">
        <f>[1]Data!K690</f>
        <v>X</v>
      </c>
      <c r="L699" s="1" t="str">
        <f>[1]Data!L690</f>
        <v>07:06:02</v>
      </c>
      <c r="M699" s="1">
        <f>[1]Data!M690</f>
        <v>45824</v>
      </c>
      <c r="N699" s="1">
        <f>[1]Data!N690</f>
        <v>44430</v>
      </c>
      <c r="O699" s="1" t="str">
        <f>[1]Data!O690</f>
        <v>X</v>
      </c>
      <c r="P699" s="1" t="str">
        <f>[1]Data!P690</f>
        <v>2025</v>
      </c>
      <c r="Q699" s="15">
        <f>[1]Data!Q690</f>
        <v>700</v>
      </c>
      <c r="R699" s="1" t="str">
        <f>[1]Data!R690</f>
        <v/>
      </c>
    </row>
    <row r="700" spans="1:18" x14ac:dyDescent="0.35">
      <c r="A700" s="1" t="str">
        <f>[1]Data!A691</f>
        <v>4008411</v>
      </c>
      <c r="B700" s="1" t="str">
        <f>[1]Data!B691</f>
        <v>3300</v>
      </c>
      <c r="C700" s="1" t="str">
        <f>[1]Data!C691</f>
        <v>3001</v>
      </c>
      <c r="D700" s="1" t="str">
        <f>[1]Data!D691</f>
        <v>L</v>
      </c>
      <c r="E700" s="1" t="str">
        <f>[1]Data!E691</f>
        <v/>
      </c>
      <c r="F700" s="1" t="str">
        <f>[1]Data!F691</f>
        <v>2026</v>
      </c>
      <c r="G700" s="1" t="str">
        <f>[1]Data!G691</f>
        <v>2</v>
      </c>
      <c r="H700" s="15">
        <f>[1]Data!H691</f>
        <v>57</v>
      </c>
      <c r="I700" s="15">
        <f>[1]Data!I691</f>
        <v>0</v>
      </c>
      <c r="J700" s="1" t="str">
        <f>[1]Data!J691</f>
        <v>X</v>
      </c>
      <c r="K700" s="1" t="str">
        <f>[1]Data!K691</f>
        <v>X</v>
      </c>
      <c r="L700" s="1" t="str">
        <f>[1]Data!L691</f>
        <v>11:09:03</v>
      </c>
      <c r="M700" s="1">
        <f>[1]Data!M691</f>
        <v>45994</v>
      </c>
      <c r="N700" s="1">
        <f>[1]Data!N691</f>
        <v>44430</v>
      </c>
      <c r="O700" s="1" t="str">
        <f>[1]Data!O691</f>
        <v>X</v>
      </c>
      <c r="P700" s="1" t="str">
        <f>[1]Data!P691</f>
        <v>2025</v>
      </c>
      <c r="Q700" s="15">
        <f>[1]Data!Q691</f>
        <v>57</v>
      </c>
      <c r="R700" s="1" t="str">
        <f>[1]Data!R691</f>
        <v/>
      </c>
    </row>
    <row r="701" spans="1:18" x14ac:dyDescent="0.35">
      <c r="A701" s="1" t="str">
        <f>[1]Data!A692</f>
        <v>4008412</v>
      </c>
      <c r="B701" s="1" t="str">
        <f>[1]Data!B692</f>
        <v>3300</v>
      </c>
      <c r="C701" s="1" t="str">
        <f>[1]Data!C692</f>
        <v>3001</v>
      </c>
      <c r="D701" s="1" t="str">
        <f>[1]Data!D692</f>
        <v>L</v>
      </c>
      <c r="E701" s="1" t="str">
        <f>[1]Data!E692</f>
        <v/>
      </c>
      <c r="F701" s="1" t="str">
        <f>[1]Data!F692</f>
        <v>2026</v>
      </c>
      <c r="G701" s="1" t="str">
        <f>[1]Data!G692</f>
        <v>2</v>
      </c>
      <c r="H701" s="15">
        <f>[1]Data!H692</f>
        <v>2050</v>
      </c>
      <c r="I701" s="15">
        <f>[1]Data!I692</f>
        <v>0</v>
      </c>
      <c r="J701" s="1" t="str">
        <f>[1]Data!J692</f>
        <v>X</v>
      </c>
      <c r="K701" s="1" t="str">
        <f>[1]Data!K692</f>
        <v/>
      </c>
      <c r="L701" s="1" t="str">
        <f>[1]Data!L692</f>
        <v>17:03:02</v>
      </c>
      <c r="M701" s="1">
        <f>[1]Data!M692</f>
        <v>46029</v>
      </c>
      <c r="N701" s="1">
        <f>[1]Data!N692</f>
        <v>44430</v>
      </c>
      <c r="O701" s="1" t="str">
        <f>[1]Data!O692</f>
        <v>X</v>
      </c>
      <c r="P701" s="1" t="str">
        <f>[1]Data!P692</f>
        <v>2026</v>
      </c>
      <c r="Q701" s="15">
        <f>[1]Data!Q692</f>
        <v>2050</v>
      </c>
      <c r="R701" s="1" t="str">
        <f>[1]Data!R692</f>
        <v/>
      </c>
    </row>
    <row r="702" spans="1:18" x14ac:dyDescent="0.35">
      <c r="A702" s="1" t="str">
        <f>[1]Data!A693</f>
        <v>4008413</v>
      </c>
      <c r="B702" s="1" t="str">
        <f>[1]Data!B693</f>
        <v>3300</v>
      </c>
      <c r="C702" s="1" t="str">
        <f>[1]Data!C693</f>
        <v>3001</v>
      </c>
      <c r="D702" s="1" t="str">
        <f>[1]Data!D693</f>
        <v>L</v>
      </c>
      <c r="E702" s="1" t="str">
        <f>[1]Data!E693</f>
        <v/>
      </c>
      <c r="F702" s="1" t="str">
        <f>[1]Data!F693</f>
        <v>2026</v>
      </c>
      <c r="G702" s="1" t="str">
        <f>[1]Data!G693</f>
        <v>2</v>
      </c>
      <c r="H702" s="15">
        <f>[1]Data!H693</f>
        <v>160</v>
      </c>
      <c r="I702" s="15">
        <f>[1]Data!I693</f>
        <v>0</v>
      </c>
      <c r="J702" s="1" t="str">
        <f>[1]Data!J693</f>
        <v>X</v>
      </c>
      <c r="K702" s="1" t="str">
        <f>[1]Data!K693</f>
        <v>X</v>
      </c>
      <c r="L702" s="1" t="str">
        <f>[1]Data!L693</f>
        <v>03:03:02</v>
      </c>
      <c r="M702" s="1">
        <f>[1]Data!M693</f>
        <v>45798</v>
      </c>
      <c r="N702" s="1">
        <f>[1]Data!N693</f>
        <v>44430</v>
      </c>
      <c r="O702" s="1" t="str">
        <f>[1]Data!O693</f>
        <v>X</v>
      </c>
      <c r="P702" s="1" t="str">
        <f>[1]Data!P693</f>
        <v>2025</v>
      </c>
      <c r="Q702" s="15">
        <f>[1]Data!Q693</f>
        <v>160</v>
      </c>
      <c r="R702" s="1" t="str">
        <f>[1]Data!R693</f>
        <v/>
      </c>
    </row>
    <row r="703" spans="1:18" x14ac:dyDescent="0.35">
      <c r="A703" s="1" t="str">
        <f>[1]Data!A694</f>
        <v>4008414</v>
      </c>
      <c r="B703" s="1" t="str">
        <f>[1]Data!B694</f>
        <v>3300</v>
      </c>
      <c r="C703" s="1" t="str">
        <f>[1]Data!C694</f>
        <v>3001</v>
      </c>
      <c r="D703" s="1" t="str">
        <f>[1]Data!D694</f>
        <v>L</v>
      </c>
      <c r="E703" s="1" t="str">
        <f>[1]Data!E694</f>
        <v/>
      </c>
      <c r="F703" s="1" t="str">
        <f>[1]Data!F694</f>
        <v>2021</v>
      </c>
      <c r="G703" s="1" t="str">
        <f>[1]Data!G694</f>
        <v>10</v>
      </c>
      <c r="H703" s="15">
        <f>[1]Data!H694</f>
        <v>0</v>
      </c>
      <c r="I703" s="15">
        <f>[1]Data!I694</f>
        <v>0</v>
      </c>
      <c r="J703" s="1" t="str">
        <f>[1]Data!J694</f>
        <v/>
      </c>
      <c r="K703" s="1" t="str">
        <f>[1]Data!K694</f>
        <v>X</v>
      </c>
      <c r="L703" s="1" t="str">
        <f>[1]Data!L694</f>
        <v>SLETTET</v>
      </c>
      <c r="M703" s="1">
        <f>[1]Data!M694</f>
        <v>44568</v>
      </c>
      <c r="N703" s="1">
        <f>[1]Data!N694</f>
        <v>44430</v>
      </c>
      <c r="O703" s="1" t="str">
        <f>[1]Data!O694</f>
        <v>X</v>
      </c>
      <c r="P703" s="1" t="str">
        <f>[1]Data!P694</f>
        <v>2023</v>
      </c>
      <c r="Q703" s="15">
        <f>[1]Data!Q694</f>
        <v>0</v>
      </c>
      <c r="R703" s="1" t="str">
        <f>[1]Data!R694</f>
        <v>INAKTIV</v>
      </c>
    </row>
    <row r="704" spans="1:18" x14ac:dyDescent="0.35">
      <c r="A704" s="1" t="str">
        <f>[1]Data!A695</f>
        <v>4008419</v>
      </c>
      <c r="B704" s="1" t="str">
        <f>[1]Data!B695</f>
        <v>3300</v>
      </c>
      <c r="C704" s="1" t="str">
        <f>[1]Data!C695</f>
        <v>3001</v>
      </c>
      <c r="D704" s="1" t="str">
        <f>[1]Data!D695</f>
        <v>L</v>
      </c>
      <c r="E704" s="1" t="str">
        <f>[1]Data!E695</f>
        <v/>
      </c>
      <c r="F704" s="1" t="str">
        <f>[1]Data!F695</f>
        <v>2026</v>
      </c>
      <c r="G704" s="1" t="str">
        <f>[1]Data!G695</f>
        <v>3</v>
      </c>
      <c r="H704" s="15">
        <f>[1]Data!H695</f>
        <v>852</v>
      </c>
      <c r="I704" s="15">
        <f>[1]Data!I695</f>
        <v>0</v>
      </c>
      <c r="J704" s="1" t="str">
        <f>[1]Data!J695</f>
        <v>X</v>
      </c>
      <c r="K704" s="1" t="str">
        <f>[1]Data!K695</f>
        <v>X</v>
      </c>
      <c r="L704" s="1" t="str">
        <f>[1]Data!L695</f>
        <v>14:05:03</v>
      </c>
      <c r="M704" s="1">
        <f>[1]Data!M695</f>
        <v>46001</v>
      </c>
      <c r="N704" s="1">
        <f>[1]Data!N695</f>
        <v>44430</v>
      </c>
      <c r="O704" s="1" t="str">
        <f>[1]Data!O695</f>
        <v>X</v>
      </c>
      <c r="P704" s="1" t="str">
        <f>[1]Data!P695</f>
        <v>2025</v>
      </c>
      <c r="Q704" s="15">
        <f>[1]Data!Q695</f>
        <v>852</v>
      </c>
      <c r="R704" s="1" t="str">
        <f>[1]Data!R695</f>
        <v/>
      </c>
    </row>
    <row r="705" spans="1:18" x14ac:dyDescent="0.35">
      <c r="A705" s="1" t="str">
        <f>[1]Data!A696</f>
        <v>4008431</v>
      </c>
      <c r="B705" s="1" t="str">
        <f>[1]Data!B696</f>
        <v>3300</v>
      </c>
      <c r="C705" s="1" t="str">
        <f>[1]Data!C696</f>
        <v>3001</v>
      </c>
      <c r="D705" s="1" t="str">
        <f>[1]Data!D696</f>
        <v>L</v>
      </c>
      <c r="E705" s="1" t="str">
        <f>[1]Data!E696</f>
        <v/>
      </c>
      <c r="F705" s="1" t="str">
        <f>[1]Data!F696</f>
        <v>2025</v>
      </c>
      <c r="G705" s="1" t="str">
        <f>[1]Data!G696</f>
        <v>11</v>
      </c>
      <c r="H705" s="15">
        <f>[1]Data!H696</f>
        <v>435</v>
      </c>
      <c r="I705" s="15">
        <f>[1]Data!I696</f>
        <v>0</v>
      </c>
      <c r="J705" s="1" t="str">
        <f>[1]Data!J696</f>
        <v>X</v>
      </c>
      <c r="K705" s="1" t="str">
        <f>[1]Data!K696</f>
        <v>X</v>
      </c>
      <c r="L705" s="1" t="str">
        <f>[1]Data!L696</f>
        <v>05:13:03</v>
      </c>
      <c r="M705" s="1">
        <f>[1]Data!M696</f>
        <v>45804</v>
      </c>
      <c r="N705" s="1">
        <f>[1]Data!N696</f>
        <v>44430</v>
      </c>
      <c r="O705" s="1" t="str">
        <f>[1]Data!O696</f>
        <v>X</v>
      </c>
      <c r="P705" s="1" t="str">
        <f>[1]Data!P696</f>
        <v>2025</v>
      </c>
      <c r="Q705" s="15">
        <f>[1]Data!Q696</f>
        <v>435</v>
      </c>
      <c r="R705" s="1" t="str">
        <f>[1]Data!R696</f>
        <v/>
      </c>
    </row>
    <row r="706" spans="1:18" x14ac:dyDescent="0.35">
      <c r="A706" s="1" t="str">
        <f>[1]Data!A697</f>
        <v>4008432</v>
      </c>
      <c r="B706" s="1" t="str">
        <f>[1]Data!B697</f>
        <v>3300</v>
      </c>
      <c r="C706" s="1" t="str">
        <f>[1]Data!C697</f>
        <v>3001</v>
      </c>
      <c r="D706" s="1" t="str">
        <f>[1]Data!D697</f>
        <v>L</v>
      </c>
      <c r="E706" s="1" t="str">
        <f>[1]Data!E697</f>
        <v>X</v>
      </c>
      <c r="F706" s="1" t="str">
        <f>[1]Data!F697</f>
        <v>2021</v>
      </c>
      <c r="G706" s="1" t="str">
        <f>[1]Data!G697</f>
        <v>8</v>
      </c>
      <c r="H706" s="15">
        <f>[1]Data!H697</f>
        <v>0</v>
      </c>
      <c r="I706" s="15">
        <f>[1]Data!I697</f>
        <v>0</v>
      </c>
      <c r="J706" s="1" t="str">
        <f>[1]Data!J697</f>
        <v/>
      </c>
      <c r="K706" s="1" t="str">
        <f>[1]Data!K697</f>
        <v/>
      </c>
      <c r="L706" s="1" t="str">
        <f>[1]Data!L697</f>
        <v>SLETTET</v>
      </c>
      <c r="M706" s="1" t="str">
        <f>[1]Data!M697</f>
        <v/>
      </c>
      <c r="N706" s="1">
        <f>[1]Data!N697</f>
        <v>44430</v>
      </c>
      <c r="O706" s="1" t="str">
        <f>[1]Data!O697</f>
        <v>X</v>
      </c>
      <c r="P706" s="1" t="str">
        <f>[1]Data!P697</f>
        <v>2023</v>
      </c>
      <c r="Q706" s="15">
        <f>[1]Data!Q697</f>
        <v>0</v>
      </c>
      <c r="R706" s="1" t="str">
        <f>[1]Data!R697</f>
        <v>INAKTIV</v>
      </c>
    </row>
    <row r="707" spans="1:18" x14ac:dyDescent="0.35">
      <c r="A707" s="1" t="str">
        <f>[1]Data!A698</f>
        <v>4008436</v>
      </c>
      <c r="B707" s="1" t="str">
        <f>[1]Data!B698</f>
        <v>3300</v>
      </c>
      <c r="C707" s="1" t="str">
        <f>[1]Data!C698</f>
        <v>3001</v>
      </c>
      <c r="D707" s="1" t="str">
        <f>[1]Data!D698</f>
        <v>L</v>
      </c>
      <c r="E707" s="1" t="str">
        <f>[1]Data!E698</f>
        <v/>
      </c>
      <c r="F707" s="1" t="str">
        <f>[1]Data!F698</f>
        <v>2026</v>
      </c>
      <c r="G707" s="1" t="str">
        <f>[1]Data!G698</f>
        <v>2</v>
      </c>
      <c r="H707" s="15">
        <f>[1]Data!H698</f>
        <v>886</v>
      </c>
      <c r="I707" s="15">
        <f>[1]Data!I698</f>
        <v>0</v>
      </c>
      <c r="J707" s="1" t="str">
        <f>[1]Data!J698</f>
        <v>X</v>
      </c>
      <c r="K707" s="1" t="str">
        <f>[1]Data!K698</f>
        <v>X</v>
      </c>
      <c r="L707" s="1" t="str">
        <f>[1]Data!L698</f>
        <v>05:09:01*</v>
      </c>
      <c r="M707" s="1">
        <f>[1]Data!M698</f>
        <v>45803</v>
      </c>
      <c r="N707" s="1">
        <f>[1]Data!N698</f>
        <v>44430</v>
      </c>
      <c r="O707" s="1" t="str">
        <f>[1]Data!O698</f>
        <v>X</v>
      </c>
      <c r="P707" s="1" t="str">
        <f>[1]Data!P698</f>
        <v>2025</v>
      </c>
      <c r="Q707" s="15">
        <f>[1]Data!Q698</f>
        <v>886</v>
      </c>
      <c r="R707" s="1" t="str">
        <f>[1]Data!R698</f>
        <v/>
      </c>
    </row>
    <row r="708" spans="1:18" x14ac:dyDescent="0.35">
      <c r="A708" s="1" t="str">
        <f>[1]Data!A699</f>
        <v>4008438</v>
      </c>
      <c r="B708" s="1" t="str">
        <f>[1]Data!B699</f>
        <v>3300</v>
      </c>
      <c r="C708" s="1" t="str">
        <f>[1]Data!C699</f>
        <v>3001</v>
      </c>
      <c r="D708" s="1" t="str">
        <f>[1]Data!D699</f>
        <v>L</v>
      </c>
      <c r="E708" s="1" t="str">
        <f>[1]Data!E699</f>
        <v/>
      </c>
      <c r="F708" s="1" t="str">
        <f>[1]Data!F699</f>
        <v>2026</v>
      </c>
      <c r="G708" s="1" t="str">
        <f>[1]Data!G699</f>
        <v>2</v>
      </c>
      <c r="H708" s="15">
        <f>[1]Data!H699</f>
        <v>8200</v>
      </c>
      <c r="I708" s="15">
        <f>[1]Data!I699</f>
        <v>0</v>
      </c>
      <c r="J708" s="1" t="str">
        <f>[1]Data!J699</f>
        <v>X</v>
      </c>
      <c r="K708" s="1" t="str">
        <f>[1]Data!K699</f>
        <v>X</v>
      </c>
      <c r="L708" s="1" t="str">
        <f>[1]Data!L699</f>
        <v>05:02:02</v>
      </c>
      <c r="M708" s="1">
        <f>[1]Data!M699</f>
        <v>45803</v>
      </c>
      <c r="N708" s="1">
        <f>[1]Data!N699</f>
        <v>44430</v>
      </c>
      <c r="O708" s="1" t="str">
        <f>[1]Data!O699</f>
        <v>X</v>
      </c>
      <c r="P708" s="1" t="str">
        <f>[1]Data!P699</f>
        <v>2025</v>
      </c>
      <c r="Q708" s="15">
        <f>[1]Data!Q699</f>
        <v>8200</v>
      </c>
      <c r="R708" s="1" t="str">
        <f>[1]Data!R699</f>
        <v/>
      </c>
    </row>
    <row r="709" spans="1:18" x14ac:dyDescent="0.35">
      <c r="A709" s="1" t="str">
        <f>[1]Data!A700</f>
        <v>4008439</v>
      </c>
      <c r="B709" s="1" t="str">
        <f>[1]Data!B700</f>
        <v>3300</v>
      </c>
      <c r="C709" s="1" t="str">
        <f>[1]Data!C700</f>
        <v>3001</v>
      </c>
      <c r="D709" s="1" t="str">
        <f>[1]Data!D700</f>
        <v>L</v>
      </c>
      <c r="E709" s="1" t="str">
        <f>[1]Data!E700</f>
        <v/>
      </c>
      <c r="F709" s="1" t="str">
        <f>[1]Data!F700</f>
        <v>2026</v>
      </c>
      <c r="G709" s="1" t="str">
        <f>[1]Data!G700</f>
        <v>2</v>
      </c>
      <c r="H709" s="15">
        <f>[1]Data!H700</f>
        <v>2000</v>
      </c>
      <c r="I709" s="15">
        <f>[1]Data!I700</f>
        <v>0</v>
      </c>
      <c r="J709" s="1" t="str">
        <f>[1]Data!J700</f>
        <v>X</v>
      </c>
      <c r="K709" s="1" t="str">
        <f>[1]Data!K700</f>
        <v>X</v>
      </c>
      <c r="L709" s="1" t="str">
        <f>[1]Data!L700</f>
        <v>05:02:02</v>
      </c>
      <c r="M709" s="1">
        <f>[1]Data!M700</f>
        <v>45803</v>
      </c>
      <c r="N709" s="1">
        <f>[1]Data!N700</f>
        <v>44430</v>
      </c>
      <c r="O709" s="1" t="str">
        <f>[1]Data!O700</f>
        <v>X</v>
      </c>
      <c r="P709" s="1" t="str">
        <f>[1]Data!P700</f>
        <v>2025</v>
      </c>
      <c r="Q709" s="15">
        <f>[1]Data!Q700</f>
        <v>2000</v>
      </c>
      <c r="R709" s="1" t="str">
        <f>[1]Data!R700</f>
        <v/>
      </c>
    </row>
    <row r="710" spans="1:18" x14ac:dyDescent="0.35">
      <c r="A710" s="1" t="str">
        <f>[1]Data!A701</f>
        <v>4008440</v>
      </c>
      <c r="B710" s="1" t="str">
        <f>[1]Data!B701</f>
        <v>3300</v>
      </c>
      <c r="C710" s="1" t="str">
        <f>[1]Data!C701</f>
        <v>3001</v>
      </c>
      <c r="D710" s="1" t="str">
        <f>[1]Data!D701</f>
        <v>L</v>
      </c>
      <c r="E710" s="1" t="str">
        <f>[1]Data!E701</f>
        <v/>
      </c>
      <c r="F710" s="1" t="str">
        <f>[1]Data!F701</f>
        <v>2024</v>
      </c>
      <c r="G710" s="1" t="str">
        <f>[1]Data!G701</f>
        <v>3</v>
      </c>
      <c r="H710" s="15">
        <f>[1]Data!H701</f>
        <v>0</v>
      </c>
      <c r="I710" s="15">
        <f>[1]Data!I701</f>
        <v>0</v>
      </c>
      <c r="J710" s="1" t="str">
        <f>[1]Data!J701</f>
        <v>X</v>
      </c>
      <c r="K710" s="1" t="str">
        <f>[1]Data!K701</f>
        <v/>
      </c>
      <c r="L710" s="1" t="str">
        <f>[1]Data!L701</f>
        <v>SLETTET</v>
      </c>
      <c r="M710" s="1">
        <f>[1]Data!M701</f>
        <v>44568</v>
      </c>
      <c r="N710" s="1">
        <f>[1]Data!N701</f>
        <v>44430</v>
      </c>
      <c r="O710" s="1" t="str">
        <f>[1]Data!O701</f>
        <v>X</v>
      </c>
      <c r="P710" s="1" t="str">
        <f>[1]Data!P701</f>
        <v>2022</v>
      </c>
      <c r="Q710" s="15">
        <f>[1]Data!Q701</f>
        <v>0</v>
      </c>
      <c r="R710" s="1" t="str">
        <f>[1]Data!R701</f>
        <v>INAKTIV</v>
      </c>
    </row>
    <row r="711" spans="1:18" x14ac:dyDescent="0.35">
      <c r="A711" s="1" t="str">
        <f>[1]Data!A702</f>
        <v>4008441</v>
      </c>
      <c r="B711" s="1" t="str">
        <f>[1]Data!B702</f>
        <v>3300</v>
      </c>
      <c r="C711" s="1" t="str">
        <f>[1]Data!C702</f>
        <v>3001</v>
      </c>
      <c r="D711" s="1" t="str">
        <f>[1]Data!D702</f>
        <v>L</v>
      </c>
      <c r="E711" s="1" t="str">
        <f>[1]Data!E702</f>
        <v/>
      </c>
      <c r="F711" s="1" t="str">
        <f>[1]Data!F702</f>
        <v>2026</v>
      </c>
      <c r="G711" s="1" t="str">
        <f>[1]Data!G702</f>
        <v>2</v>
      </c>
      <c r="H711" s="15">
        <f>[1]Data!H702</f>
        <v>370</v>
      </c>
      <c r="I711" s="15">
        <f>[1]Data!I702</f>
        <v>0</v>
      </c>
      <c r="J711" s="1" t="str">
        <f>[1]Data!J702</f>
        <v>X</v>
      </c>
      <c r="K711" s="1" t="str">
        <f>[1]Data!K702</f>
        <v>X</v>
      </c>
      <c r="L711" s="1" t="str">
        <f>[1]Data!L702</f>
        <v>09:08:03</v>
      </c>
      <c r="M711" s="1">
        <f>[1]Data!M702</f>
        <v>45980</v>
      </c>
      <c r="N711" s="1">
        <f>[1]Data!N702</f>
        <v>44430</v>
      </c>
      <c r="O711" s="1" t="str">
        <f>[1]Data!O702</f>
        <v>X</v>
      </c>
      <c r="P711" s="1" t="str">
        <f>[1]Data!P702</f>
        <v>2025</v>
      </c>
      <c r="Q711" s="15">
        <f>[1]Data!Q702</f>
        <v>370</v>
      </c>
      <c r="R711" s="1" t="str">
        <f>[1]Data!R702</f>
        <v/>
      </c>
    </row>
    <row r="712" spans="1:18" x14ac:dyDescent="0.35">
      <c r="A712" s="1" t="str">
        <f>[1]Data!A703</f>
        <v>4008446</v>
      </c>
      <c r="B712" s="1" t="str">
        <f>[1]Data!B703</f>
        <v>3300</v>
      </c>
      <c r="C712" s="1" t="str">
        <f>[1]Data!C703</f>
        <v>3001</v>
      </c>
      <c r="D712" s="1" t="str">
        <f>[1]Data!D703</f>
        <v>L</v>
      </c>
      <c r="E712" s="1" t="str">
        <f>[1]Data!E703</f>
        <v/>
      </c>
      <c r="F712" s="1" t="str">
        <f>[1]Data!F703</f>
        <v>2026</v>
      </c>
      <c r="G712" s="1" t="str">
        <f>[1]Data!G703</f>
        <v>1</v>
      </c>
      <c r="H712" s="15">
        <f>[1]Data!H703</f>
        <v>30</v>
      </c>
      <c r="I712" s="15">
        <f>[1]Data!I703</f>
        <v>0</v>
      </c>
      <c r="J712" s="1" t="str">
        <f>[1]Data!J703</f>
        <v>X</v>
      </c>
      <c r="K712" s="1" t="str">
        <f>[1]Data!K703</f>
        <v>X</v>
      </c>
      <c r="L712" s="1" t="str">
        <f>[1]Data!L703</f>
        <v>10:02:03</v>
      </c>
      <c r="M712" s="1">
        <f>[1]Data!M703</f>
        <v>45987</v>
      </c>
      <c r="N712" s="1">
        <f>[1]Data!N703</f>
        <v>44430</v>
      </c>
      <c r="O712" s="1" t="str">
        <f>[1]Data!O703</f>
        <v>X</v>
      </c>
      <c r="P712" s="1" t="str">
        <f>[1]Data!P703</f>
        <v>2025</v>
      </c>
      <c r="Q712" s="15">
        <f>[1]Data!Q703</f>
        <v>30</v>
      </c>
      <c r="R712" s="1" t="str">
        <f>[1]Data!R703</f>
        <v/>
      </c>
    </row>
    <row r="713" spans="1:18" x14ac:dyDescent="0.35">
      <c r="A713" s="1" t="str">
        <f>[1]Data!A704</f>
        <v>4008447</v>
      </c>
      <c r="B713" s="1" t="str">
        <f>[1]Data!B704</f>
        <v>3300</v>
      </c>
      <c r="C713" s="1" t="str">
        <f>[1]Data!C704</f>
        <v>3001</v>
      </c>
      <c r="D713" s="1" t="str">
        <f>[1]Data!D704</f>
        <v>L</v>
      </c>
      <c r="E713" s="1" t="str">
        <f>[1]Data!E704</f>
        <v/>
      </c>
      <c r="F713" s="1" t="str">
        <f>[1]Data!F704</f>
        <v>2026</v>
      </c>
      <c r="G713" s="1" t="str">
        <f>[1]Data!G704</f>
        <v>2</v>
      </c>
      <c r="H713" s="15">
        <f>[1]Data!H704</f>
        <v>396</v>
      </c>
      <c r="I713" s="15">
        <f>[1]Data!I704</f>
        <v>0</v>
      </c>
      <c r="J713" s="1" t="str">
        <f>[1]Data!J704</f>
        <v>X</v>
      </c>
      <c r="K713" s="1" t="str">
        <f>[1]Data!K704</f>
        <v>X</v>
      </c>
      <c r="L713" s="1" t="str">
        <f>[1]Data!L704</f>
        <v>01:04:03</v>
      </c>
      <c r="M713" s="1">
        <f>[1]Data!M704</f>
        <v>45793</v>
      </c>
      <c r="N713" s="1">
        <f>[1]Data!N704</f>
        <v>44430</v>
      </c>
      <c r="O713" s="1" t="str">
        <f>[1]Data!O704</f>
        <v>X</v>
      </c>
      <c r="P713" s="1" t="str">
        <f>[1]Data!P704</f>
        <v>2025</v>
      </c>
      <c r="Q713" s="15">
        <f>[1]Data!Q704</f>
        <v>396</v>
      </c>
      <c r="R713" s="1" t="str">
        <f>[1]Data!R704</f>
        <v/>
      </c>
    </row>
    <row r="714" spans="1:18" x14ac:dyDescent="0.35">
      <c r="A714" s="1" t="str">
        <f>[1]Data!A705</f>
        <v>4008448</v>
      </c>
      <c r="B714" s="1" t="str">
        <f>[1]Data!B705</f>
        <v>3300</v>
      </c>
      <c r="C714" s="1" t="str">
        <f>[1]Data!C705</f>
        <v>3001</v>
      </c>
      <c r="D714" s="1" t="str">
        <f>[1]Data!D705</f>
        <v>L</v>
      </c>
      <c r="E714" s="1" t="str">
        <f>[1]Data!E705</f>
        <v/>
      </c>
      <c r="F714" s="1" t="str">
        <f>[1]Data!F705</f>
        <v>2026</v>
      </c>
      <c r="G714" s="1" t="str">
        <f>[1]Data!G705</f>
        <v>2</v>
      </c>
      <c r="H714" s="15">
        <f>[1]Data!H705</f>
        <v>612</v>
      </c>
      <c r="I714" s="15">
        <f>[1]Data!I705</f>
        <v>0</v>
      </c>
      <c r="J714" s="1" t="str">
        <f>[1]Data!J705</f>
        <v>X</v>
      </c>
      <c r="K714" s="1" t="str">
        <f>[1]Data!K705</f>
        <v>X</v>
      </c>
      <c r="L714" s="1" t="str">
        <f>[1]Data!L705</f>
        <v>01:02:03</v>
      </c>
      <c r="M714" s="1">
        <f>[1]Data!M705</f>
        <v>45793</v>
      </c>
      <c r="N714" s="1">
        <f>[1]Data!N705</f>
        <v>44430</v>
      </c>
      <c r="O714" s="1" t="str">
        <f>[1]Data!O705</f>
        <v>X</v>
      </c>
      <c r="P714" s="1" t="str">
        <f>[1]Data!P705</f>
        <v>2025</v>
      </c>
      <c r="Q714" s="15">
        <f>[1]Data!Q705</f>
        <v>612</v>
      </c>
      <c r="R714" s="1" t="str">
        <f>[1]Data!R705</f>
        <v/>
      </c>
    </row>
    <row r="715" spans="1:18" x14ac:dyDescent="0.35">
      <c r="A715" s="1" t="str">
        <f>[1]Data!A706</f>
        <v>4008449</v>
      </c>
      <c r="B715" s="1" t="str">
        <f>[1]Data!B706</f>
        <v>3300</v>
      </c>
      <c r="C715" s="1" t="str">
        <f>[1]Data!C706</f>
        <v>3001</v>
      </c>
      <c r="D715" s="1" t="str">
        <f>[1]Data!D706</f>
        <v>L</v>
      </c>
      <c r="E715" s="1" t="str">
        <f>[1]Data!E706</f>
        <v/>
      </c>
      <c r="F715" s="1" t="str">
        <f>[1]Data!F706</f>
        <v>2026</v>
      </c>
      <c r="G715" s="1" t="str">
        <f>[1]Data!G706</f>
        <v>1</v>
      </c>
      <c r="H715" s="15">
        <f>[1]Data!H706</f>
        <v>288</v>
      </c>
      <c r="I715" s="15">
        <f>[1]Data!I706</f>
        <v>0</v>
      </c>
      <c r="J715" s="1" t="str">
        <f>[1]Data!J706</f>
        <v>X</v>
      </c>
      <c r="K715" s="1" t="str">
        <f>[1]Data!K706</f>
        <v>X</v>
      </c>
      <c r="L715" s="1" t="str">
        <f>[1]Data!L706</f>
        <v>01:04:02</v>
      </c>
      <c r="M715" s="1">
        <f>[1]Data!M706</f>
        <v>45793</v>
      </c>
      <c r="N715" s="1">
        <f>[1]Data!N706</f>
        <v>44430</v>
      </c>
      <c r="O715" s="1" t="str">
        <f>[1]Data!O706</f>
        <v>X</v>
      </c>
      <c r="P715" s="1" t="str">
        <f>[1]Data!P706</f>
        <v>2025</v>
      </c>
      <c r="Q715" s="15">
        <f>[1]Data!Q706</f>
        <v>288</v>
      </c>
      <c r="R715" s="1" t="str">
        <f>[1]Data!R706</f>
        <v/>
      </c>
    </row>
    <row r="716" spans="1:18" x14ac:dyDescent="0.35">
      <c r="A716" s="1" t="str">
        <f>[1]Data!A707</f>
        <v>4008450</v>
      </c>
      <c r="B716" s="1" t="str">
        <f>[1]Data!B707</f>
        <v>3300</v>
      </c>
      <c r="C716" s="1" t="str">
        <f>[1]Data!C707</f>
        <v>3001</v>
      </c>
      <c r="D716" s="1" t="str">
        <f>[1]Data!D707</f>
        <v>L</v>
      </c>
      <c r="E716" s="1" t="str">
        <f>[1]Data!E707</f>
        <v>X</v>
      </c>
      <c r="F716" s="1" t="str">
        <f>[1]Data!F707</f>
        <v>2021</v>
      </c>
      <c r="G716" s="1" t="str">
        <f>[1]Data!G707</f>
        <v>8</v>
      </c>
      <c r="H716" s="15">
        <f>[1]Data!H707</f>
        <v>0</v>
      </c>
      <c r="I716" s="15">
        <f>[1]Data!I707</f>
        <v>0</v>
      </c>
      <c r="J716" s="1" t="str">
        <f>[1]Data!J707</f>
        <v>X</v>
      </c>
      <c r="K716" s="1" t="str">
        <f>[1]Data!K707</f>
        <v/>
      </c>
      <c r="L716" s="1" t="str">
        <f>[1]Data!L707</f>
        <v>SLETTET</v>
      </c>
      <c r="M716" s="1">
        <f>[1]Data!M707</f>
        <v>44568</v>
      </c>
      <c r="N716" s="1">
        <f>[1]Data!N707</f>
        <v>44430</v>
      </c>
      <c r="O716" s="1" t="str">
        <f>[1]Data!O707</f>
        <v>X</v>
      </c>
      <c r="P716" s="1" t="str">
        <f>[1]Data!P707</f>
        <v>2022</v>
      </c>
      <c r="Q716" s="15">
        <f>[1]Data!Q707</f>
        <v>0</v>
      </c>
      <c r="R716" s="1" t="str">
        <f>[1]Data!R707</f>
        <v>INAKTIV</v>
      </c>
    </row>
    <row r="717" spans="1:18" x14ac:dyDescent="0.35">
      <c r="A717" s="1" t="str">
        <f>[1]Data!A708</f>
        <v>4008451</v>
      </c>
      <c r="B717" s="1" t="str">
        <f>[1]Data!B708</f>
        <v>3300</v>
      </c>
      <c r="C717" s="1" t="str">
        <f>[1]Data!C708</f>
        <v>3001</v>
      </c>
      <c r="D717" s="1" t="str">
        <f>[1]Data!D708</f>
        <v>L</v>
      </c>
      <c r="E717" s="1" t="str">
        <f>[1]Data!E708</f>
        <v/>
      </c>
      <c r="F717" s="1" t="str">
        <f>[1]Data!F708</f>
        <v>2026</v>
      </c>
      <c r="G717" s="1" t="str">
        <f>[1]Data!G708</f>
        <v>2</v>
      </c>
      <c r="H717" s="15">
        <f>[1]Data!H708</f>
        <v>216</v>
      </c>
      <c r="I717" s="15">
        <f>[1]Data!I708</f>
        <v>0</v>
      </c>
      <c r="J717" s="1" t="str">
        <f>[1]Data!J708</f>
        <v>X</v>
      </c>
      <c r="K717" s="1" t="str">
        <f>[1]Data!K708</f>
        <v>X</v>
      </c>
      <c r="L717" s="1" t="str">
        <f>[1]Data!L708</f>
        <v>01:05:01</v>
      </c>
      <c r="M717" s="1">
        <f>[1]Data!M708</f>
        <v>45793</v>
      </c>
      <c r="N717" s="1">
        <f>[1]Data!N708</f>
        <v>44430</v>
      </c>
      <c r="O717" s="1" t="str">
        <f>[1]Data!O708</f>
        <v>X</v>
      </c>
      <c r="P717" s="1" t="str">
        <f>[1]Data!P708</f>
        <v>2025</v>
      </c>
      <c r="Q717" s="15">
        <f>[1]Data!Q708</f>
        <v>216</v>
      </c>
      <c r="R717" s="1" t="str">
        <f>[1]Data!R708</f>
        <v/>
      </c>
    </row>
    <row r="718" spans="1:18" x14ac:dyDescent="0.35">
      <c r="A718" s="1" t="str">
        <f>[1]Data!A709</f>
        <v>4008452</v>
      </c>
      <c r="B718" s="1" t="str">
        <f>[1]Data!B709</f>
        <v>3300</v>
      </c>
      <c r="C718" s="1" t="str">
        <f>[1]Data!C709</f>
        <v>3001</v>
      </c>
      <c r="D718" s="1" t="str">
        <f>[1]Data!D709</f>
        <v>L</v>
      </c>
      <c r="E718" s="1" t="str">
        <f>[1]Data!E709</f>
        <v>X</v>
      </c>
      <c r="F718" s="1" t="str">
        <f>[1]Data!F709</f>
        <v>2021</v>
      </c>
      <c r="G718" s="1" t="str">
        <f>[1]Data!G709</f>
        <v>8</v>
      </c>
      <c r="H718" s="15">
        <f>[1]Data!H709</f>
        <v>0</v>
      </c>
      <c r="I718" s="15">
        <f>[1]Data!I709</f>
        <v>0</v>
      </c>
      <c r="J718" s="1" t="str">
        <f>[1]Data!J709</f>
        <v>X</v>
      </c>
      <c r="K718" s="1" t="str">
        <f>[1]Data!K709</f>
        <v/>
      </c>
      <c r="L718" s="1" t="str">
        <f>[1]Data!L709</f>
        <v>SLETTET</v>
      </c>
      <c r="M718" s="1">
        <f>[1]Data!M709</f>
        <v>44568</v>
      </c>
      <c r="N718" s="1">
        <f>[1]Data!N709</f>
        <v>44430</v>
      </c>
      <c r="O718" s="1" t="str">
        <f>[1]Data!O709</f>
        <v>X</v>
      </c>
      <c r="P718" s="1" t="str">
        <f>[1]Data!P709</f>
        <v>2022</v>
      </c>
      <c r="Q718" s="15">
        <f>[1]Data!Q709</f>
        <v>0</v>
      </c>
      <c r="R718" s="1" t="str">
        <f>[1]Data!R709</f>
        <v>INAKTIV</v>
      </c>
    </row>
    <row r="719" spans="1:18" x14ac:dyDescent="0.35">
      <c r="A719" s="1" t="str">
        <f>[1]Data!A710</f>
        <v>4008453</v>
      </c>
      <c r="B719" s="1" t="str">
        <f>[1]Data!B710</f>
        <v>3300</v>
      </c>
      <c r="C719" s="1" t="str">
        <f>[1]Data!C710</f>
        <v>3001</v>
      </c>
      <c r="D719" s="1" t="str">
        <f>[1]Data!D710</f>
        <v>L</v>
      </c>
      <c r="E719" s="1" t="str">
        <f>[1]Data!E710</f>
        <v/>
      </c>
      <c r="F719" s="1" t="str">
        <f>[1]Data!F710</f>
        <v>2026</v>
      </c>
      <c r="G719" s="1" t="str">
        <f>[1]Data!G710</f>
        <v>2</v>
      </c>
      <c r="H719" s="15">
        <f>[1]Data!H710</f>
        <v>504</v>
      </c>
      <c r="I719" s="15">
        <f>[1]Data!I710</f>
        <v>0</v>
      </c>
      <c r="J719" s="1" t="str">
        <f>[1]Data!J710</f>
        <v>X</v>
      </c>
      <c r="K719" s="1" t="str">
        <f>[1]Data!K710</f>
        <v>X</v>
      </c>
      <c r="L719" s="1" t="str">
        <f>[1]Data!L710</f>
        <v>01:01:03</v>
      </c>
      <c r="M719" s="1">
        <f>[1]Data!M710</f>
        <v>45792</v>
      </c>
      <c r="N719" s="1">
        <f>[1]Data!N710</f>
        <v>44430</v>
      </c>
      <c r="O719" s="1" t="str">
        <f>[1]Data!O710</f>
        <v>X</v>
      </c>
      <c r="P719" s="1" t="str">
        <f>[1]Data!P710</f>
        <v>2025</v>
      </c>
      <c r="Q719" s="15">
        <f>[1]Data!Q710</f>
        <v>504</v>
      </c>
      <c r="R719" s="1" t="str">
        <f>[1]Data!R710</f>
        <v/>
      </c>
    </row>
    <row r="720" spans="1:18" x14ac:dyDescent="0.35">
      <c r="A720" s="1" t="str">
        <f>[1]Data!A711</f>
        <v>4008454</v>
      </c>
      <c r="B720" s="1" t="str">
        <f>[1]Data!B711</f>
        <v>3300</v>
      </c>
      <c r="C720" s="1" t="str">
        <f>[1]Data!C711</f>
        <v>3001</v>
      </c>
      <c r="D720" s="1" t="str">
        <f>[1]Data!D711</f>
        <v>L</v>
      </c>
      <c r="E720" s="1" t="str">
        <f>[1]Data!E711</f>
        <v/>
      </c>
      <c r="F720" s="1" t="str">
        <f>[1]Data!F711</f>
        <v>2026</v>
      </c>
      <c r="G720" s="1" t="str">
        <f>[1]Data!G711</f>
        <v>2</v>
      </c>
      <c r="H720" s="15">
        <f>[1]Data!H711</f>
        <v>432</v>
      </c>
      <c r="I720" s="15">
        <f>[1]Data!I711</f>
        <v>0</v>
      </c>
      <c r="J720" s="1" t="str">
        <f>[1]Data!J711</f>
        <v>X</v>
      </c>
      <c r="K720" s="1" t="str">
        <f>[1]Data!K711</f>
        <v>X</v>
      </c>
      <c r="L720" s="1" t="str">
        <f>[1]Data!L711</f>
        <v>01:04:02</v>
      </c>
      <c r="M720" s="1">
        <f>[1]Data!M711</f>
        <v>45793</v>
      </c>
      <c r="N720" s="1">
        <f>[1]Data!N711</f>
        <v>44430</v>
      </c>
      <c r="O720" s="1" t="str">
        <f>[1]Data!O711</f>
        <v>X</v>
      </c>
      <c r="P720" s="1" t="str">
        <f>[1]Data!P711</f>
        <v>2025</v>
      </c>
      <c r="Q720" s="15">
        <f>[1]Data!Q711</f>
        <v>432</v>
      </c>
      <c r="R720" s="1" t="str">
        <f>[1]Data!R711</f>
        <v/>
      </c>
    </row>
    <row r="721" spans="1:18" x14ac:dyDescent="0.35">
      <c r="A721" s="1" t="str">
        <f>[1]Data!A712</f>
        <v>4008455</v>
      </c>
      <c r="B721" s="1" t="str">
        <f>[1]Data!B712</f>
        <v>3300</v>
      </c>
      <c r="C721" s="1" t="str">
        <f>[1]Data!C712</f>
        <v>3001</v>
      </c>
      <c r="D721" s="1" t="str">
        <f>[1]Data!D712</f>
        <v>L</v>
      </c>
      <c r="E721" s="1" t="str">
        <f>[1]Data!E712</f>
        <v/>
      </c>
      <c r="F721" s="1" t="str">
        <f>[1]Data!F712</f>
        <v>2026</v>
      </c>
      <c r="G721" s="1" t="str">
        <f>[1]Data!G712</f>
        <v>2</v>
      </c>
      <c r="H721" s="15">
        <f>[1]Data!H712</f>
        <v>288</v>
      </c>
      <c r="I721" s="15">
        <f>[1]Data!I712</f>
        <v>0</v>
      </c>
      <c r="J721" s="1" t="str">
        <f>[1]Data!J712</f>
        <v>X</v>
      </c>
      <c r="K721" s="1" t="str">
        <f>[1]Data!K712</f>
        <v>X</v>
      </c>
      <c r="L721" s="1" t="str">
        <f>[1]Data!L712</f>
        <v>01:05:01</v>
      </c>
      <c r="M721" s="1">
        <f>[1]Data!M712</f>
        <v>45793</v>
      </c>
      <c r="N721" s="1">
        <f>[1]Data!N712</f>
        <v>44430</v>
      </c>
      <c r="O721" s="1" t="str">
        <f>[1]Data!O712</f>
        <v>X</v>
      </c>
      <c r="P721" s="1" t="str">
        <f>[1]Data!P712</f>
        <v>2025</v>
      </c>
      <c r="Q721" s="15">
        <f>[1]Data!Q712</f>
        <v>288</v>
      </c>
      <c r="R721" s="1" t="str">
        <f>[1]Data!R712</f>
        <v/>
      </c>
    </row>
    <row r="722" spans="1:18" x14ac:dyDescent="0.35">
      <c r="A722" s="1" t="str">
        <f>[1]Data!A713</f>
        <v>4008456</v>
      </c>
      <c r="B722" s="1" t="str">
        <f>[1]Data!B713</f>
        <v>3300</v>
      </c>
      <c r="C722" s="1" t="str">
        <f>[1]Data!C713</f>
        <v>3001</v>
      </c>
      <c r="D722" s="1" t="str">
        <f>[1]Data!D713</f>
        <v>L</v>
      </c>
      <c r="E722" s="1" t="str">
        <f>[1]Data!E713</f>
        <v/>
      </c>
      <c r="F722" s="1" t="str">
        <f>[1]Data!F713</f>
        <v>2025</v>
      </c>
      <c r="G722" s="1" t="str">
        <f>[1]Data!G713</f>
        <v>7</v>
      </c>
      <c r="H722" s="15">
        <f>[1]Data!H713</f>
        <v>252</v>
      </c>
      <c r="I722" s="15">
        <f>[1]Data!I713</f>
        <v>0</v>
      </c>
      <c r="J722" s="1" t="str">
        <f>[1]Data!J713</f>
        <v>X</v>
      </c>
      <c r="K722" s="1" t="str">
        <f>[1]Data!K713</f>
        <v>X</v>
      </c>
      <c r="L722" s="1" t="str">
        <f>[1]Data!L713</f>
        <v>01:02:03</v>
      </c>
      <c r="M722" s="1">
        <f>[1]Data!M713</f>
        <v>45793</v>
      </c>
      <c r="N722" s="1">
        <f>[1]Data!N713</f>
        <v>44430</v>
      </c>
      <c r="O722" s="1" t="str">
        <f>[1]Data!O713</f>
        <v>X</v>
      </c>
      <c r="P722" s="1" t="str">
        <f>[1]Data!P713</f>
        <v>2025</v>
      </c>
      <c r="Q722" s="15">
        <f>[1]Data!Q713</f>
        <v>252</v>
      </c>
      <c r="R722" s="1" t="str">
        <f>[1]Data!R713</f>
        <v/>
      </c>
    </row>
    <row r="723" spans="1:18" x14ac:dyDescent="0.35">
      <c r="A723" s="1" t="str">
        <f>[1]Data!A714</f>
        <v>4008457</v>
      </c>
      <c r="B723" s="1" t="str">
        <f>[1]Data!B714</f>
        <v>3300</v>
      </c>
      <c r="C723" s="1" t="str">
        <f>[1]Data!C714</f>
        <v>3001</v>
      </c>
      <c r="D723" s="1" t="str">
        <f>[1]Data!D714</f>
        <v>L</v>
      </c>
      <c r="E723" s="1" t="str">
        <f>[1]Data!E714</f>
        <v/>
      </c>
      <c r="F723" s="1" t="str">
        <f>[1]Data!F714</f>
        <v>2026</v>
      </c>
      <c r="G723" s="1" t="str">
        <f>[1]Data!G714</f>
        <v>2</v>
      </c>
      <c r="H723" s="15">
        <f>[1]Data!H714</f>
        <v>432</v>
      </c>
      <c r="I723" s="15">
        <f>[1]Data!I714</f>
        <v>0</v>
      </c>
      <c r="J723" s="1" t="str">
        <f>[1]Data!J714</f>
        <v>X</v>
      </c>
      <c r="K723" s="1" t="str">
        <f>[1]Data!K714</f>
        <v>X</v>
      </c>
      <c r="L723" s="1" t="str">
        <f>[1]Data!L714</f>
        <v>01:03:03</v>
      </c>
      <c r="M723" s="1">
        <f>[1]Data!M714</f>
        <v>45793</v>
      </c>
      <c r="N723" s="1">
        <f>[1]Data!N714</f>
        <v>44430</v>
      </c>
      <c r="O723" s="1" t="str">
        <f>[1]Data!O714</f>
        <v>X</v>
      </c>
      <c r="P723" s="1" t="str">
        <f>[1]Data!P714</f>
        <v>2025</v>
      </c>
      <c r="Q723" s="15">
        <f>[1]Data!Q714</f>
        <v>432</v>
      </c>
      <c r="R723" s="1" t="str">
        <f>[1]Data!R714</f>
        <v/>
      </c>
    </row>
    <row r="724" spans="1:18" x14ac:dyDescent="0.35">
      <c r="A724" s="1" t="str">
        <f>[1]Data!A715</f>
        <v>4008458</v>
      </c>
      <c r="B724" s="1" t="str">
        <f>[1]Data!B715</f>
        <v>3300</v>
      </c>
      <c r="C724" s="1" t="str">
        <f>[1]Data!C715</f>
        <v>3001</v>
      </c>
      <c r="D724" s="1" t="str">
        <f>[1]Data!D715</f>
        <v>L</v>
      </c>
      <c r="E724" s="1" t="str">
        <f>[1]Data!E715</f>
        <v/>
      </c>
      <c r="F724" s="1" t="str">
        <f>[1]Data!F715</f>
        <v>2026</v>
      </c>
      <c r="G724" s="1" t="str">
        <f>[1]Data!G715</f>
        <v>2</v>
      </c>
      <c r="H724" s="15">
        <f>[1]Data!H715</f>
        <v>180</v>
      </c>
      <c r="I724" s="15">
        <f>[1]Data!I715</f>
        <v>0</v>
      </c>
      <c r="J724" s="1" t="str">
        <f>[1]Data!J715</f>
        <v>X</v>
      </c>
      <c r="K724" s="1" t="str">
        <f>[1]Data!K715</f>
        <v/>
      </c>
      <c r="L724" s="1" t="str">
        <f>[1]Data!L715</f>
        <v>01:02:03</v>
      </c>
      <c r="M724" s="1">
        <f>[1]Data!M715</f>
        <v>45793</v>
      </c>
      <c r="N724" s="1">
        <f>[1]Data!N715</f>
        <v>44430</v>
      </c>
      <c r="O724" s="1" t="str">
        <f>[1]Data!O715</f>
        <v>X</v>
      </c>
      <c r="P724" s="1" t="str">
        <f>[1]Data!P715</f>
        <v>2025</v>
      </c>
      <c r="Q724" s="15">
        <f>[1]Data!Q715</f>
        <v>180</v>
      </c>
      <c r="R724" s="1" t="str">
        <f>[1]Data!R715</f>
        <v/>
      </c>
    </row>
    <row r="725" spans="1:18" x14ac:dyDescent="0.35">
      <c r="A725" s="1" t="str">
        <f>[1]Data!A716</f>
        <v>4008459</v>
      </c>
      <c r="B725" s="1" t="str">
        <f>[1]Data!B716</f>
        <v>3300</v>
      </c>
      <c r="C725" s="1" t="str">
        <f>[1]Data!C716</f>
        <v>3001</v>
      </c>
      <c r="D725" s="1" t="str">
        <f>[1]Data!D716</f>
        <v>L</v>
      </c>
      <c r="E725" s="1" t="str">
        <f>[1]Data!E716</f>
        <v/>
      </c>
      <c r="F725" s="1" t="str">
        <f>[1]Data!F716</f>
        <v>2021</v>
      </c>
      <c r="G725" s="1" t="str">
        <f>[1]Data!G716</f>
        <v>8</v>
      </c>
      <c r="H725" s="15">
        <f>[1]Data!H716</f>
        <v>0</v>
      </c>
      <c r="I725" s="15">
        <f>[1]Data!I716</f>
        <v>0</v>
      </c>
      <c r="J725" s="1" t="str">
        <f>[1]Data!J716</f>
        <v>X</v>
      </c>
      <c r="K725" s="1" t="str">
        <f>[1]Data!K716</f>
        <v/>
      </c>
      <c r="L725" s="1" t="str">
        <f>[1]Data!L716</f>
        <v>SLETTET</v>
      </c>
      <c r="M725" s="1">
        <f>[1]Data!M716</f>
        <v>44568</v>
      </c>
      <c r="N725" s="1">
        <f>[1]Data!N716</f>
        <v>44430</v>
      </c>
      <c r="O725" s="1" t="str">
        <f>[1]Data!O716</f>
        <v>X</v>
      </c>
      <c r="P725" s="1" t="str">
        <f>[1]Data!P716</f>
        <v>2022</v>
      </c>
      <c r="Q725" s="15">
        <f>[1]Data!Q716</f>
        <v>0</v>
      </c>
      <c r="R725" s="1" t="str">
        <f>[1]Data!R716</f>
        <v>INAKTIV</v>
      </c>
    </row>
    <row r="726" spans="1:18" x14ac:dyDescent="0.35">
      <c r="A726" s="1" t="str">
        <f>[1]Data!A717</f>
        <v>4008460</v>
      </c>
      <c r="B726" s="1" t="str">
        <f>[1]Data!B717</f>
        <v>3300</v>
      </c>
      <c r="C726" s="1" t="str">
        <f>[1]Data!C717</f>
        <v>3001</v>
      </c>
      <c r="D726" s="1" t="str">
        <f>[1]Data!D717</f>
        <v>L</v>
      </c>
      <c r="E726" s="1" t="str">
        <f>[1]Data!E717</f>
        <v/>
      </c>
      <c r="F726" s="1" t="str">
        <f>[1]Data!F717</f>
        <v>2025</v>
      </c>
      <c r="G726" s="1" t="str">
        <f>[1]Data!G717</f>
        <v>11</v>
      </c>
      <c r="H726" s="15">
        <f>[1]Data!H717</f>
        <v>180</v>
      </c>
      <c r="I726" s="15">
        <f>[1]Data!I717</f>
        <v>0</v>
      </c>
      <c r="J726" s="1" t="str">
        <f>[1]Data!J717</f>
        <v>X</v>
      </c>
      <c r="K726" s="1" t="str">
        <f>[1]Data!K717</f>
        <v>X</v>
      </c>
      <c r="L726" s="1" t="str">
        <f>[1]Data!L717</f>
        <v>01:02:00</v>
      </c>
      <c r="M726" s="1">
        <f>[1]Data!M717</f>
        <v>45792</v>
      </c>
      <c r="N726" s="1">
        <f>[1]Data!N717</f>
        <v>44430</v>
      </c>
      <c r="O726" s="1" t="str">
        <f>[1]Data!O717</f>
        <v>X</v>
      </c>
      <c r="P726" s="1" t="str">
        <f>[1]Data!P717</f>
        <v>2025</v>
      </c>
      <c r="Q726" s="15">
        <f>[1]Data!Q717</f>
        <v>180</v>
      </c>
      <c r="R726" s="1" t="str">
        <f>[1]Data!R717</f>
        <v/>
      </c>
    </row>
    <row r="727" spans="1:18" x14ac:dyDescent="0.35">
      <c r="A727" s="1" t="str">
        <f>[1]Data!A718</f>
        <v>4008461</v>
      </c>
      <c r="B727" s="1" t="str">
        <f>[1]Data!B718</f>
        <v>3300</v>
      </c>
      <c r="C727" s="1" t="str">
        <f>[1]Data!C718</f>
        <v>3001</v>
      </c>
      <c r="D727" s="1" t="str">
        <f>[1]Data!D718</f>
        <v>L</v>
      </c>
      <c r="E727" s="1" t="str">
        <f>[1]Data!E718</f>
        <v/>
      </c>
      <c r="F727" s="1" t="str">
        <f>[1]Data!F718</f>
        <v>2025</v>
      </c>
      <c r="G727" s="1" t="str">
        <f>[1]Data!G718</f>
        <v>12</v>
      </c>
      <c r="H727" s="15">
        <f>[1]Data!H718</f>
        <v>180</v>
      </c>
      <c r="I727" s="15">
        <f>[1]Data!I718</f>
        <v>0</v>
      </c>
      <c r="J727" s="1" t="str">
        <f>[1]Data!J718</f>
        <v>X</v>
      </c>
      <c r="K727" s="1" t="str">
        <f>[1]Data!K718</f>
        <v>X</v>
      </c>
      <c r="L727" s="1" t="str">
        <f>[1]Data!L718</f>
        <v>01:02:01</v>
      </c>
      <c r="M727" s="1">
        <f>[1]Data!M718</f>
        <v>45793</v>
      </c>
      <c r="N727" s="1">
        <f>[1]Data!N718</f>
        <v>44430</v>
      </c>
      <c r="O727" s="1" t="str">
        <f>[1]Data!O718</f>
        <v>X</v>
      </c>
      <c r="P727" s="1" t="str">
        <f>[1]Data!P718</f>
        <v>2025</v>
      </c>
      <c r="Q727" s="15">
        <f>[1]Data!Q718</f>
        <v>180</v>
      </c>
      <c r="R727" s="1" t="str">
        <f>[1]Data!R718</f>
        <v/>
      </c>
    </row>
    <row r="728" spans="1:18" x14ac:dyDescent="0.35">
      <c r="A728" s="1" t="str">
        <f>[1]Data!A719</f>
        <v>4008462</v>
      </c>
      <c r="B728" s="1" t="str">
        <f>[1]Data!B719</f>
        <v>3300</v>
      </c>
      <c r="C728" s="1" t="str">
        <f>[1]Data!C719</f>
        <v>3001</v>
      </c>
      <c r="D728" s="1" t="str">
        <f>[1]Data!D719</f>
        <v>L</v>
      </c>
      <c r="E728" s="1" t="str">
        <f>[1]Data!E719</f>
        <v/>
      </c>
      <c r="F728" s="1" t="str">
        <f>[1]Data!F719</f>
        <v>2026</v>
      </c>
      <c r="G728" s="1" t="str">
        <f>[1]Data!G719</f>
        <v>2</v>
      </c>
      <c r="H728" s="15">
        <f>[1]Data!H719</f>
        <v>431</v>
      </c>
      <c r="I728" s="15">
        <f>[1]Data!I719</f>
        <v>0</v>
      </c>
      <c r="J728" s="1" t="str">
        <f>[1]Data!J719</f>
        <v>X</v>
      </c>
      <c r="K728" s="1" t="str">
        <f>[1]Data!K719</f>
        <v>X</v>
      </c>
      <c r="L728" s="1" t="str">
        <f>[1]Data!L719</f>
        <v>01:04:01</v>
      </c>
      <c r="M728" s="1">
        <f>[1]Data!M719</f>
        <v>45793</v>
      </c>
      <c r="N728" s="1">
        <f>[1]Data!N719</f>
        <v>44430</v>
      </c>
      <c r="O728" s="1" t="str">
        <f>[1]Data!O719</f>
        <v>X</v>
      </c>
      <c r="P728" s="1" t="str">
        <f>[1]Data!P719</f>
        <v>2025</v>
      </c>
      <c r="Q728" s="15">
        <f>[1]Data!Q719</f>
        <v>431</v>
      </c>
      <c r="R728" s="1" t="str">
        <f>[1]Data!R719</f>
        <v/>
      </c>
    </row>
    <row r="729" spans="1:18" x14ac:dyDescent="0.35">
      <c r="A729" s="1" t="str">
        <f>[1]Data!A720</f>
        <v>4008463</v>
      </c>
      <c r="B729" s="1" t="str">
        <f>[1]Data!B720</f>
        <v>3300</v>
      </c>
      <c r="C729" s="1" t="str">
        <f>[1]Data!C720</f>
        <v>3001</v>
      </c>
      <c r="D729" s="1" t="str">
        <f>[1]Data!D720</f>
        <v>L</v>
      </c>
      <c r="E729" s="1" t="str">
        <f>[1]Data!E720</f>
        <v/>
      </c>
      <c r="F729" s="1" t="str">
        <f>[1]Data!F720</f>
        <v>2026</v>
      </c>
      <c r="G729" s="1" t="str">
        <f>[1]Data!G720</f>
        <v>2</v>
      </c>
      <c r="H729" s="15">
        <f>[1]Data!H720</f>
        <v>324</v>
      </c>
      <c r="I729" s="15">
        <f>[1]Data!I720</f>
        <v>0</v>
      </c>
      <c r="J729" s="1" t="str">
        <f>[1]Data!J720</f>
        <v>X</v>
      </c>
      <c r="K729" s="1" t="str">
        <f>[1]Data!K720</f>
        <v>X</v>
      </c>
      <c r="L729" s="1" t="str">
        <f>[1]Data!L720</f>
        <v>01:04:01</v>
      </c>
      <c r="M729" s="1">
        <f>[1]Data!M720</f>
        <v>45800</v>
      </c>
      <c r="N729" s="1">
        <f>[1]Data!N720</f>
        <v>44430</v>
      </c>
      <c r="O729" s="1" t="str">
        <f>[1]Data!O720</f>
        <v>X</v>
      </c>
      <c r="P729" s="1" t="str">
        <f>[1]Data!P720</f>
        <v>2025</v>
      </c>
      <c r="Q729" s="15">
        <f>[1]Data!Q720</f>
        <v>324</v>
      </c>
      <c r="R729" s="1" t="str">
        <f>[1]Data!R720</f>
        <v/>
      </c>
    </row>
    <row r="730" spans="1:18" x14ac:dyDescent="0.35">
      <c r="A730" s="1" t="str">
        <f>[1]Data!A721</f>
        <v>4008464</v>
      </c>
      <c r="B730" s="1" t="str">
        <f>[1]Data!B721</f>
        <v>3300</v>
      </c>
      <c r="C730" s="1" t="str">
        <f>[1]Data!C721</f>
        <v>3001</v>
      </c>
      <c r="D730" s="1" t="str">
        <f>[1]Data!D721</f>
        <v>L</v>
      </c>
      <c r="E730" s="1" t="str">
        <f>[1]Data!E721</f>
        <v/>
      </c>
      <c r="F730" s="1" t="str">
        <f>[1]Data!F721</f>
        <v>2026</v>
      </c>
      <c r="G730" s="1" t="str">
        <f>[1]Data!G721</f>
        <v>2</v>
      </c>
      <c r="H730" s="15">
        <f>[1]Data!H721</f>
        <v>156</v>
      </c>
      <c r="I730" s="15">
        <f>[1]Data!I721</f>
        <v>0</v>
      </c>
      <c r="J730" s="1" t="str">
        <f>[1]Data!J721</f>
        <v>X</v>
      </c>
      <c r="K730" s="1" t="str">
        <f>[1]Data!K721</f>
        <v>X</v>
      </c>
      <c r="L730" s="1" t="str">
        <f>[1]Data!L721</f>
        <v>01:01:01</v>
      </c>
      <c r="M730" s="1">
        <f>[1]Data!M721</f>
        <v>45792</v>
      </c>
      <c r="N730" s="1">
        <f>[1]Data!N721</f>
        <v>44430</v>
      </c>
      <c r="O730" s="1" t="str">
        <f>[1]Data!O721</f>
        <v>X</v>
      </c>
      <c r="P730" s="1" t="str">
        <f>[1]Data!P721</f>
        <v>2025</v>
      </c>
      <c r="Q730" s="15">
        <f>[1]Data!Q721</f>
        <v>156</v>
      </c>
      <c r="R730" s="1" t="str">
        <f>[1]Data!R721</f>
        <v/>
      </c>
    </row>
    <row r="731" spans="1:18" x14ac:dyDescent="0.35">
      <c r="A731" s="1" t="str">
        <f>[1]Data!A722</f>
        <v>4008465</v>
      </c>
      <c r="B731" s="1" t="str">
        <f>[1]Data!B722</f>
        <v>3300</v>
      </c>
      <c r="C731" s="1" t="str">
        <f>[1]Data!C722</f>
        <v>3001</v>
      </c>
      <c r="D731" s="1" t="str">
        <f>[1]Data!D722</f>
        <v>L</v>
      </c>
      <c r="E731" s="1" t="str">
        <f>[1]Data!E722</f>
        <v/>
      </c>
      <c r="F731" s="1" t="str">
        <f>[1]Data!F722</f>
        <v>2026</v>
      </c>
      <c r="G731" s="1" t="str">
        <f>[1]Data!G722</f>
        <v>3</v>
      </c>
      <c r="H731" s="15">
        <f>[1]Data!H722</f>
        <v>12500</v>
      </c>
      <c r="I731" s="15">
        <f>[1]Data!I722</f>
        <v>0</v>
      </c>
      <c r="J731" s="1" t="str">
        <f>[1]Data!J722</f>
        <v>X</v>
      </c>
      <c r="K731" s="1" t="str">
        <f>[1]Data!K722</f>
        <v/>
      </c>
      <c r="L731" s="1" t="str">
        <f>[1]Data!L722</f>
        <v>03:01:01*</v>
      </c>
      <c r="M731" s="1">
        <f>[1]Data!M722</f>
        <v>45798</v>
      </c>
      <c r="N731" s="1">
        <f>[1]Data!N722</f>
        <v>44430</v>
      </c>
      <c r="O731" s="1" t="str">
        <f>[1]Data!O722</f>
        <v>X</v>
      </c>
      <c r="P731" s="1" t="str">
        <f>[1]Data!P722</f>
        <v>2025</v>
      </c>
      <c r="Q731" s="15">
        <f>[1]Data!Q722</f>
        <v>12500</v>
      </c>
      <c r="R731" s="1" t="str">
        <f>[1]Data!R722</f>
        <v/>
      </c>
    </row>
    <row r="732" spans="1:18" x14ac:dyDescent="0.35">
      <c r="A732" s="1" t="str">
        <f>[1]Data!A723</f>
        <v>4008466</v>
      </c>
      <c r="B732" s="1" t="str">
        <f>[1]Data!B723</f>
        <v>3300</v>
      </c>
      <c r="C732" s="1" t="str">
        <f>[1]Data!C723</f>
        <v>3001</v>
      </c>
      <c r="D732" s="1" t="str">
        <f>[1]Data!D723</f>
        <v>L</v>
      </c>
      <c r="E732" s="1" t="str">
        <f>[1]Data!E723</f>
        <v/>
      </c>
      <c r="F732" s="1" t="str">
        <f>[1]Data!F723</f>
        <v>2026</v>
      </c>
      <c r="G732" s="1" t="str">
        <f>[1]Data!G723</f>
        <v>2</v>
      </c>
      <c r="H732" s="15">
        <f>[1]Data!H723</f>
        <v>12350</v>
      </c>
      <c r="I732" s="15">
        <f>[1]Data!I723</f>
        <v>0</v>
      </c>
      <c r="J732" s="1" t="str">
        <f>[1]Data!J723</f>
        <v>X</v>
      </c>
      <c r="K732" s="1" t="str">
        <f>[1]Data!K723</f>
        <v>X</v>
      </c>
      <c r="L732" s="1" t="str">
        <f>[1]Data!L723</f>
        <v>04:10:01*</v>
      </c>
      <c r="M732" s="1">
        <f>[1]Data!M723</f>
        <v>45800</v>
      </c>
      <c r="N732" s="1">
        <f>[1]Data!N723</f>
        <v>44430</v>
      </c>
      <c r="O732" s="1" t="str">
        <f>[1]Data!O723</f>
        <v>X</v>
      </c>
      <c r="P732" s="1" t="str">
        <f>[1]Data!P723</f>
        <v>2025</v>
      </c>
      <c r="Q732" s="15">
        <f>[1]Data!Q723</f>
        <v>12350</v>
      </c>
      <c r="R732" s="1" t="str">
        <f>[1]Data!R723</f>
        <v/>
      </c>
    </row>
    <row r="733" spans="1:18" x14ac:dyDescent="0.35">
      <c r="A733" s="1" t="str">
        <f>[1]Data!A724</f>
        <v>4008467</v>
      </c>
      <c r="B733" s="1" t="str">
        <f>[1]Data!B724</f>
        <v>3300</v>
      </c>
      <c r="C733" s="1" t="str">
        <f>[1]Data!C724</f>
        <v>3001</v>
      </c>
      <c r="D733" s="1" t="str">
        <f>[1]Data!D724</f>
        <v>L</v>
      </c>
      <c r="E733" s="1" t="str">
        <f>[1]Data!E724</f>
        <v/>
      </c>
      <c r="F733" s="1" t="str">
        <f>[1]Data!F724</f>
        <v>2022</v>
      </c>
      <c r="G733" s="1" t="str">
        <f>[1]Data!G724</f>
        <v>2</v>
      </c>
      <c r="H733" s="15">
        <f>[1]Data!H724</f>
        <v>0</v>
      </c>
      <c r="I733" s="15">
        <f>[1]Data!I724</f>
        <v>0</v>
      </c>
      <c r="J733" s="1" t="str">
        <f>[1]Data!J724</f>
        <v/>
      </c>
      <c r="K733" s="1" t="str">
        <f>[1]Data!K724</f>
        <v>X</v>
      </c>
      <c r="L733" s="1" t="str">
        <f>[1]Data!L724</f>
        <v>SLETTET</v>
      </c>
      <c r="M733" s="1">
        <f>[1]Data!M724</f>
        <v>44568</v>
      </c>
      <c r="N733" s="1">
        <f>[1]Data!N724</f>
        <v>44430</v>
      </c>
      <c r="O733" s="1" t="str">
        <f>[1]Data!O724</f>
        <v>X</v>
      </c>
      <c r="P733" s="1" t="str">
        <f>[1]Data!P724</f>
        <v>2023</v>
      </c>
      <c r="Q733" s="15">
        <f>[1]Data!Q724</f>
        <v>0</v>
      </c>
      <c r="R733" s="1" t="str">
        <f>[1]Data!R724</f>
        <v>INAKTIV</v>
      </c>
    </row>
    <row r="734" spans="1:18" x14ac:dyDescent="0.35">
      <c r="A734" s="1" t="str">
        <f>[1]Data!A725</f>
        <v>4008468</v>
      </c>
      <c r="B734" s="1" t="str">
        <f>[1]Data!B725</f>
        <v>3300</v>
      </c>
      <c r="C734" s="1" t="str">
        <f>[1]Data!C725</f>
        <v>3001</v>
      </c>
      <c r="D734" s="1" t="str">
        <f>[1]Data!D725</f>
        <v>L</v>
      </c>
      <c r="E734" s="1" t="str">
        <f>[1]Data!E725</f>
        <v/>
      </c>
      <c r="F734" s="1" t="str">
        <f>[1]Data!F725</f>
        <v>2021</v>
      </c>
      <c r="G734" s="1" t="str">
        <f>[1]Data!G725</f>
        <v>11</v>
      </c>
      <c r="H734" s="15">
        <f>[1]Data!H725</f>
        <v>0</v>
      </c>
      <c r="I734" s="15">
        <f>[1]Data!I725</f>
        <v>0</v>
      </c>
      <c r="J734" s="1" t="str">
        <f>[1]Data!J725</f>
        <v>X</v>
      </c>
      <c r="K734" s="1" t="str">
        <f>[1]Data!K725</f>
        <v/>
      </c>
      <c r="L734" s="1" t="str">
        <f>[1]Data!L725</f>
        <v>SLETTET</v>
      </c>
      <c r="M734" s="1">
        <f>[1]Data!M725</f>
        <v>44568</v>
      </c>
      <c r="N734" s="1">
        <f>[1]Data!N725</f>
        <v>44430</v>
      </c>
      <c r="O734" s="1" t="str">
        <f>[1]Data!O725</f>
        <v>X</v>
      </c>
      <c r="P734" s="1" t="str">
        <f>[1]Data!P725</f>
        <v>2022</v>
      </c>
      <c r="Q734" s="15">
        <f>[1]Data!Q725</f>
        <v>0</v>
      </c>
      <c r="R734" s="1" t="str">
        <f>[1]Data!R725</f>
        <v>INAKTIV</v>
      </c>
    </row>
    <row r="735" spans="1:18" x14ac:dyDescent="0.35">
      <c r="A735" s="1" t="str">
        <f>[1]Data!A726</f>
        <v>4008469</v>
      </c>
      <c r="B735" s="1" t="str">
        <f>[1]Data!B726</f>
        <v>3300</v>
      </c>
      <c r="C735" s="1" t="str">
        <f>[1]Data!C726</f>
        <v>3001</v>
      </c>
      <c r="D735" s="1" t="str">
        <f>[1]Data!D726</f>
        <v>L</v>
      </c>
      <c r="E735" s="1" t="str">
        <f>[1]Data!E726</f>
        <v/>
      </c>
      <c r="F735" s="1" t="str">
        <f>[1]Data!F726</f>
        <v>2021</v>
      </c>
      <c r="G735" s="1" t="str">
        <f>[1]Data!G726</f>
        <v>12</v>
      </c>
      <c r="H735" s="15">
        <f>[1]Data!H726</f>
        <v>0</v>
      </c>
      <c r="I735" s="15">
        <f>[1]Data!I726</f>
        <v>0</v>
      </c>
      <c r="J735" s="1" t="str">
        <f>[1]Data!J726</f>
        <v/>
      </c>
      <c r="K735" s="1" t="str">
        <f>[1]Data!K726</f>
        <v>X</v>
      </c>
      <c r="L735" s="1" t="str">
        <f>[1]Data!L726</f>
        <v>SLETTET</v>
      </c>
      <c r="M735" s="1">
        <f>[1]Data!M726</f>
        <v>44568</v>
      </c>
      <c r="N735" s="1">
        <f>[1]Data!N726</f>
        <v>44430</v>
      </c>
      <c r="O735" s="1" t="str">
        <f>[1]Data!O726</f>
        <v>X</v>
      </c>
      <c r="P735" s="1" t="str">
        <f>[1]Data!P726</f>
        <v>2023</v>
      </c>
      <c r="Q735" s="15">
        <f>[1]Data!Q726</f>
        <v>0</v>
      </c>
      <c r="R735" s="1" t="str">
        <f>[1]Data!R726</f>
        <v>INAKTIV</v>
      </c>
    </row>
    <row r="736" spans="1:18" x14ac:dyDescent="0.35">
      <c r="A736" s="1" t="str">
        <f>[1]Data!A727</f>
        <v>4008470</v>
      </c>
      <c r="B736" s="1" t="str">
        <f>[1]Data!B727</f>
        <v>3300</v>
      </c>
      <c r="C736" s="1" t="str">
        <f>[1]Data!C727</f>
        <v>3001</v>
      </c>
      <c r="D736" s="1" t="str">
        <f>[1]Data!D727</f>
        <v>L</v>
      </c>
      <c r="E736" s="1" t="str">
        <f>[1]Data!E727</f>
        <v>X</v>
      </c>
      <c r="F736" s="1" t="str">
        <f>[1]Data!F727</f>
        <v>2021</v>
      </c>
      <c r="G736" s="1" t="str">
        <f>[1]Data!G727</f>
        <v>8</v>
      </c>
      <c r="H736" s="15">
        <f>[1]Data!H727</f>
        <v>0</v>
      </c>
      <c r="I736" s="15">
        <f>[1]Data!I727</f>
        <v>0</v>
      </c>
      <c r="J736" s="1" t="str">
        <f>[1]Data!J727</f>
        <v>X</v>
      </c>
      <c r="K736" s="1" t="str">
        <f>[1]Data!K727</f>
        <v/>
      </c>
      <c r="L736" s="1" t="str">
        <f>[1]Data!L727</f>
        <v>SLETTET</v>
      </c>
      <c r="M736" s="1">
        <f>[1]Data!M727</f>
        <v>44568</v>
      </c>
      <c r="N736" s="1">
        <f>[1]Data!N727</f>
        <v>44430</v>
      </c>
      <c r="O736" s="1" t="str">
        <f>[1]Data!O727</f>
        <v>X</v>
      </c>
      <c r="P736" s="1" t="str">
        <f>[1]Data!P727</f>
        <v>2022</v>
      </c>
      <c r="Q736" s="15">
        <f>[1]Data!Q727</f>
        <v>0</v>
      </c>
      <c r="R736" s="1" t="str">
        <f>[1]Data!R727</f>
        <v>INAKTIV</v>
      </c>
    </row>
    <row r="737" spans="1:18" x14ac:dyDescent="0.35">
      <c r="A737" s="1" t="str">
        <f>[1]Data!A728</f>
        <v>4008471</v>
      </c>
      <c r="B737" s="1" t="str">
        <f>[1]Data!B728</f>
        <v>3300</v>
      </c>
      <c r="C737" s="1" t="str">
        <f>[1]Data!C728</f>
        <v>3001</v>
      </c>
      <c r="D737" s="1" t="str">
        <f>[1]Data!D728</f>
        <v>L</v>
      </c>
      <c r="E737" s="1" t="str">
        <f>[1]Data!E728</f>
        <v/>
      </c>
      <c r="F737" s="1" t="str">
        <f>[1]Data!F728</f>
        <v>2026</v>
      </c>
      <c r="G737" s="1" t="str">
        <f>[1]Data!G728</f>
        <v>2</v>
      </c>
      <c r="H737" s="15">
        <f>[1]Data!H728</f>
        <v>230</v>
      </c>
      <c r="I737" s="15">
        <f>[1]Data!I728</f>
        <v>0</v>
      </c>
      <c r="J737" s="1" t="str">
        <f>[1]Data!J728</f>
        <v>X</v>
      </c>
      <c r="K737" s="1" t="str">
        <f>[1]Data!K728</f>
        <v>X</v>
      </c>
      <c r="L737" s="1" t="str">
        <f>[1]Data!L728</f>
        <v>03:02:03</v>
      </c>
      <c r="M737" s="1">
        <f>[1]Data!M728</f>
        <v>45798</v>
      </c>
      <c r="N737" s="1">
        <f>[1]Data!N728</f>
        <v>44430</v>
      </c>
      <c r="O737" s="1" t="str">
        <f>[1]Data!O728</f>
        <v>X</v>
      </c>
      <c r="P737" s="1" t="str">
        <f>[1]Data!P728</f>
        <v>2025</v>
      </c>
      <c r="Q737" s="15">
        <f>[1]Data!Q728</f>
        <v>230</v>
      </c>
      <c r="R737" s="1" t="str">
        <f>[1]Data!R728</f>
        <v/>
      </c>
    </row>
    <row r="738" spans="1:18" x14ac:dyDescent="0.35">
      <c r="A738" s="1" t="str">
        <f>[1]Data!A729</f>
        <v>4008472</v>
      </c>
      <c r="B738" s="1" t="str">
        <f>[1]Data!B729</f>
        <v>3300</v>
      </c>
      <c r="C738" s="1" t="str">
        <f>[1]Data!C729</f>
        <v>3001</v>
      </c>
      <c r="D738" s="1" t="str">
        <f>[1]Data!D729</f>
        <v>L</v>
      </c>
      <c r="E738" s="1" t="str">
        <f>[1]Data!E729</f>
        <v/>
      </c>
      <c r="F738" s="1" t="str">
        <f>[1]Data!F729</f>
        <v>2022</v>
      </c>
      <c r="G738" s="1" t="str">
        <f>[1]Data!G729</f>
        <v>3</v>
      </c>
      <c r="H738" s="15">
        <f>[1]Data!H729</f>
        <v>0</v>
      </c>
      <c r="I738" s="15">
        <f>[1]Data!I729</f>
        <v>0</v>
      </c>
      <c r="J738" s="1" t="str">
        <f>[1]Data!J729</f>
        <v/>
      </c>
      <c r="K738" s="1" t="str">
        <f>[1]Data!K729</f>
        <v>X</v>
      </c>
      <c r="L738" s="1" t="str">
        <f>[1]Data!L729</f>
        <v>SLETTET</v>
      </c>
      <c r="M738" s="1">
        <f>[1]Data!M729</f>
        <v>44568</v>
      </c>
      <c r="N738" s="1">
        <f>[1]Data!N729</f>
        <v>44430</v>
      </c>
      <c r="O738" s="1" t="str">
        <f>[1]Data!O729</f>
        <v>X</v>
      </c>
      <c r="P738" s="1" t="str">
        <f>[1]Data!P729</f>
        <v>2023</v>
      </c>
      <c r="Q738" s="15">
        <f>[1]Data!Q729</f>
        <v>0</v>
      </c>
      <c r="R738" s="1" t="str">
        <f>[1]Data!R729</f>
        <v>INAKTIV</v>
      </c>
    </row>
    <row r="739" spans="1:18" x14ac:dyDescent="0.35">
      <c r="A739" s="1" t="str">
        <f>[1]Data!A730</f>
        <v>4008473</v>
      </c>
      <c r="B739" s="1" t="str">
        <f>[1]Data!B730</f>
        <v>3300</v>
      </c>
      <c r="C739" s="1" t="str">
        <f>[1]Data!C730</f>
        <v>3001</v>
      </c>
      <c r="D739" s="1" t="str">
        <f>[1]Data!D730</f>
        <v>L</v>
      </c>
      <c r="E739" s="1" t="str">
        <f>[1]Data!E730</f>
        <v/>
      </c>
      <c r="F739" s="1" t="str">
        <f>[1]Data!F730</f>
        <v>2026</v>
      </c>
      <c r="G739" s="1" t="str">
        <f>[1]Data!G730</f>
        <v>1</v>
      </c>
      <c r="H739" s="15">
        <f>[1]Data!H730</f>
        <v>100</v>
      </c>
      <c r="I739" s="15">
        <f>[1]Data!I730</f>
        <v>0</v>
      </c>
      <c r="J739" s="1" t="str">
        <f>[1]Data!J730</f>
        <v>X</v>
      </c>
      <c r="K739" s="1" t="str">
        <f>[1]Data!K730</f>
        <v>X</v>
      </c>
      <c r="L739" s="1" t="str">
        <f>[1]Data!L730</f>
        <v>02:11:02</v>
      </c>
      <c r="M739" s="1">
        <f>[1]Data!M730</f>
        <v>45797</v>
      </c>
      <c r="N739" s="1">
        <f>[1]Data!N730</f>
        <v>44430</v>
      </c>
      <c r="O739" s="1" t="str">
        <f>[1]Data!O730</f>
        <v>X</v>
      </c>
      <c r="P739" s="1" t="str">
        <f>[1]Data!P730</f>
        <v>2025</v>
      </c>
      <c r="Q739" s="15">
        <f>[1]Data!Q730</f>
        <v>100</v>
      </c>
      <c r="R739" s="1" t="str">
        <f>[1]Data!R730</f>
        <v/>
      </c>
    </row>
    <row r="740" spans="1:18" x14ac:dyDescent="0.35">
      <c r="A740" s="1" t="str">
        <f>[1]Data!A731</f>
        <v>4008474</v>
      </c>
      <c r="B740" s="1" t="str">
        <f>[1]Data!B731</f>
        <v>3300</v>
      </c>
      <c r="C740" s="1" t="str">
        <f>[1]Data!C731</f>
        <v>3001</v>
      </c>
      <c r="D740" s="1" t="str">
        <f>[1]Data!D731</f>
        <v>L</v>
      </c>
      <c r="E740" s="1" t="str">
        <f>[1]Data!E731</f>
        <v>X</v>
      </c>
      <c r="F740" s="1" t="str">
        <f>[1]Data!F731</f>
        <v>2024</v>
      </c>
      <c r="G740" s="1" t="str">
        <f>[1]Data!G731</f>
        <v>10</v>
      </c>
      <c r="H740" s="15">
        <f>[1]Data!H731</f>
        <v>0</v>
      </c>
      <c r="I740" s="15">
        <f>[1]Data!I731</f>
        <v>0</v>
      </c>
      <c r="J740" s="1" t="str">
        <f>[1]Data!J731</f>
        <v>X</v>
      </c>
      <c r="K740" s="1" t="str">
        <f>[1]Data!K731</f>
        <v>X</v>
      </c>
      <c r="L740" s="1" t="str">
        <f>[1]Data!L731</f>
        <v>SLETTET</v>
      </c>
      <c r="M740" s="1">
        <f>[1]Data!M731</f>
        <v>45365</v>
      </c>
      <c r="N740" s="1">
        <f>[1]Data!N731</f>
        <v>44430</v>
      </c>
      <c r="O740" s="1" t="str">
        <f>[1]Data!O731</f>
        <v>X</v>
      </c>
      <c r="P740" s="1" t="str">
        <f>[1]Data!P731</f>
        <v>2024</v>
      </c>
      <c r="Q740" s="15">
        <f>[1]Data!Q731</f>
        <v>0</v>
      </c>
      <c r="R740" s="1" t="str">
        <f>[1]Data!R731</f>
        <v>INAKTIV</v>
      </c>
    </row>
    <row r="741" spans="1:18" x14ac:dyDescent="0.35">
      <c r="A741" s="1" t="str">
        <f>[1]Data!A732</f>
        <v>4008475</v>
      </c>
      <c r="B741" s="1" t="str">
        <f>[1]Data!B732</f>
        <v>3300</v>
      </c>
      <c r="C741" s="1" t="str">
        <f>[1]Data!C732</f>
        <v>3001</v>
      </c>
      <c r="D741" s="1" t="str">
        <f>[1]Data!D732</f>
        <v>L</v>
      </c>
      <c r="E741" s="1" t="str">
        <f>[1]Data!E732</f>
        <v/>
      </c>
      <c r="F741" s="1" t="str">
        <f>[1]Data!F732</f>
        <v>2025</v>
      </c>
      <c r="G741" s="1" t="str">
        <f>[1]Data!G732</f>
        <v>8</v>
      </c>
      <c r="H741" s="15">
        <f>[1]Data!H732</f>
        <v>140</v>
      </c>
      <c r="I741" s="15">
        <f>[1]Data!I732</f>
        <v>0</v>
      </c>
      <c r="J741" s="1" t="str">
        <f>[1]Data!J732</f>
        <v>X</v>
      </c>
      <c r="K741" s="1" t="str">
        <f>[1]Data!K732</f>
        <v>X</v>
      </c>
      <c r="L741" s="1" t="str">
        <f>[1]Data!L732</f>
        <v>02:11:02</v>
      </c>
      <c r="M741" s="1">
        <f>[1]Data!M732</f>
        <v>45797</v>
      </c>
      <c r="N741" s="1">
        <f>[1]Data!N732</f>
        <v>44430</v>
      </c>
      <c r="O741" s="1" t="str">
        <f>[1]Data!O732</f>
        <v>X</v>
      </c>
      <c r="P741" s="1" t="str">
        <f>[1]Data!P732</f>
        <v>2025</v>
      </c>
      <c r="Q741" s="15">
        <f>[1]Data!Q732</f>
        <v>140</v>
      </c>
      <c r="R741" s="1" t="str">
        <f>[1]Data!R732</f>
        <v/>
      </c>
    </row>
    <row r="742" spans="1:18" x14ac:dyDescent="0.35">
      <c r="A742" s="1" t="str">
        <f>[1]Data!A733</f>
        <v>4008476</v>
      </c>
      <c r="B742" s="1" t="str">
        <f>[1]Data!B733</f>
        <v>3300</v>
      </c>
      <c r="C742" s="1" t="str">
        <f>[1]Data!C733</f>
        <v>3001</v>
      </c>
      <c r="D742" s="1" t="str">
        <f>[1]Data!D733</f>
        <v>L</v>
      </c>
      <c r="E742" s="1" t="str">
        <f>[1]Data!E733</f>
        <v/>
      </c>
      <c r="F742" s="1" t="str">
        <f>[1]Data!F733</f>
        <v>2025</v>
      </c>
      <c r="G742" s="1" t="str">
        <f>[1]Data!G733</f>
        <v>10</v>
      </c>
      <c r="H742" s="15">
        <f>[1]Data!H733</f>
        <v>120</v>
      </c>
      <c r="I742" s="15">
        <f>[1]Data!I733</f>
        <v>0</v>
      </c>
      <c r="J742" s="1" t="str">
        <f>[1]Data!J733</f>
        <v>X</v>
      </c>
      <c r="K742" s="1" t="str">
        <f>[1]Data!K733</f>
        <v>X</v>
      </c>
      <c r="L742" s="1" t="str">
        <f>[1]Data!L733</f>
        <v>02:10:02</v>
      </c>
      <c r="M742" s="1">
        <f>[1]Data!M733</f>
        <v>45797</v>
      </c>
      <c r="N742" s="1">
        <f>[1]Data!N733</f>
        <v>44430</v>
      </c>
      <c r="O742" s="1" t="str">
        <f>[1]Data!O733</f>
        <v>X</v>
      </c>
      <c r="P742" s="1" t="str">
        <f>[1]Data!P733</f>
        <v>2025</v>
      </c>
      <c r="Q742" s="15">
        <f>[1]Data!Q733</f>
        <v>120</v>
      </c>
      <c r="R742" s="1" t="str">
        <f>[1]Data!R733</f>
        <v/>
      </c>
    </row>
    <row r="743" spans="1:18" x14ac:dyDescent="0.35">
      <c r="A743" s="1" t="str">
        <f>[1]Data!A734</f>
        <v>4008477</v>
      </c>
      <c r="B743" s="1" t="str">
        <f>[1]Data!B734</f>
        <v>3300</v>
      </c>
      <c r="C743" s="1" t="str">
        <f>[1]Data!C734</f>
        <v>3001</v>
      </c>
      <c r="D743" s="1" t="str">
        <f>[1]Data!D734</f>
        <v>L</v>
      </c>
      <c r="E743" s="1" t="str">
        <f>[1]Data!E734</f>
        <v/>
      </c>
      <c r="F743" s="1" t="str">
        <f>[1]Data!F734</f>
        <v>2022</v>
      </c>
      <c r="G743" s="1" t="str">
        <f>[1]Data!G734</f>
        <v>10</v>
      </c>
      <c r="H743" s="15">
        <f>[1]Data!H734</f>
        <v>0</v>
      </c>
      <c r="I743" s="15">
        <f>[1]Data!I734</f>
        <v>0</v>
      </c>
      <c r="J743" s="1" t="str">
        <f>[1]Data!J734</f>
        <v/>
      </c>
      <c r="K743" s="1" t="str">
        <f>[1]Data!K734</f>
        <v/>
      </c>
      <c r="L743" s="1" t="str">
        <f>[1]Data!L734</f>
        <v>SLETTET</v>
      </c>
      <c r="M743" s="1">
        <f>[1]Data!M734</f>
        <v>44568</v>
      </c>
      <c r="N743" s="1">
        <f>[1]Data!N734</f>
        <v>44430</v>
      </c>
      <c r="O743" s="1" t="str">
        <f>[1]Data!O734</f>
        <v>X</v>
      </c>
      <c r="P743" s="1" t="str">
        <f>[1]Data!P734</f>
        <v>2025</v>
      </c>
      <c r="Q743" s="15">
        <f>[1]Data!Q734</f>
        <v>0</v>
      </c>
      <c r="R743" s="1" t="str">
        <f>[1]Data!R734</f>
        <v>INAKTIV</v>
      </c>
    </row>
    <row r="744" spans="1:18" x14ac:dyDescent="0.35">
      <c r="A744" s="1" t="str">
        <f>[1]Data!A735</f>
        <v>4008481</v>
      </c>
      <c r="B744" s="1" t="str">
        <f>[1]Data!B735</f>
        <v>3300</v>
      </c>
      <c r="C744" s="1" t="str">
        <f>[1]Data!C735</f>
        <v>3001</v>
      </c>
      <c r="D744" s="1" t="str">
        <f>[1]Data!D735</f>
        <v>L</v>
      </c>
      <c r="E744" s="1" t="str">
        <f>[1]Data!E735</f>
        <v/>
      </c>
      <c r="F744" s="1" t="str">
        <f>[1]Data!F735</f>
        <v>2025</v>
      </c>
      <c r="G744" s="1" t="str">
        <f>[1]Data!G735</f>
        <v>5</v>
      </c>
      <c r="H744" s="15">
        <f>[1]Data!H735</f>
        <v>228</v>
      </c>
      <c r="I744" s="15">
        <f>[1]Data!I735</f>
        <v>0</v>
      </c>
      <c r="J744" s="1" t="str">
        <f>[1]Data!J735</f>
        <v>X</v>
      </c>
      <c r="K744" s="1" t="str">
        <f>[1]Data!K735</f>
        <v>X</v>
      </c>
      <c r="L744" s="1" t="str">
        <f>[1]Data!L735</f>
        <v>07:11:02</v>
      </c>
      <c r="M744" s="1">
        <f>[1]Data!M735</f>
        <v>45825</v>
      </c>
      <c r="N744" s="1">
        <f>[1]Data!N735</f>
        <v>44430</v>
      </c>
      <c r="O744" s="1" t="str">
        <f>[1]Data!O735</f>
        <v>X</v>
      </c>
      <c r="P744" s="1" t="str">
        <f>[1]Data!P735</f>
        <v>2025</v>
      </c>
      <c r="Q744" s="15">
        <f>[1]Data!Q735</f>
        <v>228</v>
      </c>
      <c r="R744" s="1" t="str">
        <f>[1]Data!R735</f>
        <v/>
      </c>
    </row>
    <row r="745" spans="1:18" x14ac:dyDescent="0.35">
      <c r="A745" s="1" t="str">
        <f>[1]Data!A736</f>
        <v>4008483</v>
      </c>
      <c r="B745" s="1" t="str">
        <f>[1]Data!B736</f>
        <v>3300</v>
      </c>
      <c r="C745" s="1" t="str">
        <f>[1]Data!C736</f>
        <v>3001</v>
      </c>
      <c r="D745" s="1" t="str">
        <f>[1]Data!D736</f>
        <v>L</v>
      </c>
      <c r="E745" s="1" t="str">
        <f>[1]Data!E736</f>
        <v>X</v>
      </c>
      <c r="F745" s="1" t="str">
        <f>[1]Data!F736</f>
        <v>2021</v>
      </c>
      <c r="G745" s="1" t="str">
        <f>[1]Data!G736</f>
        <v>8</v>
      </c>
      <c r="H745" s="15">
        <f>[1]Data!H736</f>
        <v>0</v>
      </c>
      <c r="I745" s="15">
        <f>[1]Data!I736</f>
        <v>0</v>
      </c>
      <c r="J745" s="1" t="str">
        <f>[1]Data!J736</f>
        <v/>
      </c>
      <c r="K745" s="1" t="str">
        <f>[1]Data!K736</f>
        <v/>
      </c>
      <c r="L745" s="1" t="str">
        <f>[1]Data!L736</f>
        <v>SLETTET</v>
      </c>
      <c r="M745" s="1" t="str">
        <f>[1]Data!M736</f>
        <v/>
      </c>
      <c r="N745" s="1">
        <f>[1]Data!N736</f>
        <v>44432</v>
      </c>
      <c r="O745" s="1" t="str">
        <f>[1]Data!O736</f>
        <v>X</v>
      </c>
      <c r="P745" s="1" t="str">
        <f>[1]Data!P736</f>
        <v>2022</v>
      </c>
      <c r="Q745" s="15">
        <f>[1]Data!Q736</f>
        <v>0</v>
      </c>
      <c r="R745" s="1" t="str">
        <f>[1]Data!R736</f>
        <v>INAKTIV</v>
      </c>
    </row>
    <row r="746" spans="1:18" x14ac:dyDescent="0.35">
      <c r="A746" s="1" t="str">
        <f>[1]Data!A737</f>
        <v>4008484</v>
      </c>
      <c r="B746" s="1" t="str">
        <f>[1]Data!B737</f>
        <v>3300</v>
      </c>
      <c r="C746" s="1" t="str">
        <f>[1]Data!C737</f>
        <v>3001</v>
      </c>
      <c r="D746" s="1" t="str">
        <f>[1]Data!D737</f>
        <v>L</v>
      </c>
      <c r="E746" s="1" t="str">
        <f>[1]Data!E737</f>
        <v>X</v>
      </c>
      <c r="F746" s="1" t="str">
        <f>[1]Data!F737</f>
        <v>2021</v>
      </c>
      <c r="G746" s="1" t="str">
        <f>[1]Data!G737</f>
        <v>8</v>
      </c>
      <c r="H746" s="15">
        <f>[1]Data!H737</f>
        <v>0</v>
      </c>
      <c r="I746" s="15">
        <f>[1]Data!I737</f>
        <v>0</v>
      </c>
      <c r="J746" s="1" t="str">
        <f>[1]Data!J737</f>
        <v/>
      </c>
      <c r="K746" s="1" t="str">
        <f>[1]Data!K737</f>
        <v/>
      </c>
      <c r="L746" s="1" t="str">
        <f>[1]Data!L737</f>
        <v>SLETTET</v>
      </c>
      <c r="M746" s="1" t="str">
        <f>[1]Data!M737</f>
        <v/>
      </c>
      <c r="N746" s="1">
        <f>[1]Data!N737</f>
        <v>44432</v>
      </c>
      <c r="O746" s="1" t="str">
        <f>[1]Data!O737</f>
        <v>X</v>
      </c>
      <c r="P746" s="1" t="str">
        <f>[1]Data!P737</f>
        <v>2022</v>
      </c>
      <c r="Q746" s="15">
        <f>[1]Data!Q737</f>
        <v>0</v>
      </c>
      <c r="R746" s="1" t="str">
        <f>[1]Data!R737</f>
        <v>INAKTIV</v>
      </c>
    </row>
    <row r="747" spans="1:18" x14ac:dyDescent="0.35">
      <c r="A747" s="1" t="str">
        <f>[1]Data!A738</f>
        <v>4008490</v>
      </c>
      <c r="B747" s="1" t="str">
        <f>[1]Data!B738</f>
        <v>3300</v>
      </c>
      <c r="C747" s="1" t="str">
        <f>[1]Data!C738</f>
        <v>3001</v>
      </c>
      <c r="D747" s="1" t="str">
        <f>[1]Data!D738</f>
        <v>L</v>
      </c>
      <c r="E747" s="1" t="str">
        <f>[1]Data!E738</f>
        <v/>
      </c>
      <c r="F747" s="1" t="str">
        <f>[1]Data!F738</f>
        <v>2026</v>
      </c>
      <c r="G747" s="1" t="str">
        <f>[1]Data!G738</f>
        <v>2</v>
      </c>
      <c r="H747" s="15">
        <f>[1]Data!H738</f>
        <v>20</v>
      </c>
      <c r="I747" s="15">
        <f>[1]Data!I738</f>
        <v>0</v>
      </c>
      <c r="J747" s="1" t="str">
        <f>[1]Data!J738</f>
        <v>X</v>
      </c>
      <c r="K747" s="1" t="str">
        <f>[1]Data!K738</f>
        <v>X</v>
      </c>
      <c r="L747" s="1" t="str">
        <f>[1]Data!L738</f>
        <v>05:10:02</v>
      </c>
      <c r="M747" s="1">
        <f>[1]Data!M738</f>
        <v>45804</v>
      </c>
      <c r="N747" s="1">
        <f>[1]Data!N738</f>
        <v>44432</v>
      </c>
      <c r="O747" s="1" t="str">
        <f>[1]Data!O738</f>
        <v>X</v>
      </c>
      <c r="P747" s="1" t="str">
        <f>[1]Data!P738</f>
        <v>2025</v>
      </c>
      <c r="Q747" s="15">
        <f>[1]Data!Q738</f>
        <v>20</v>
      </c>
      <c r="R747" s="1" t="str">
        <f>[1]Data!R738</f>
        <v/>
      </c>
    </row>
    <row r="748" spans="1:18" x14ac:dyDescent="0.35">
      <c r="A748" s="1" t="str">
        <f>[1]Data!A739</f>
        <v>4008494</v>
      </c>
      <c r="B748" s="1" t="str">
        <f>[1]Data!B739</f>
        <v>3300</v>
      </c>
      <c r="C748" s="1" t="str">
        <f>[1]Data!C739</f>
        <v>3001</v>
      </c>
      <c r="D748" s="1" t="str">
        <f>[1]Data!D739</f>
        <v>L</v>
      </c>
      <c r="E748" s="1" t="str">
        <f>[1]Data!E739</f>
        <v>X</v>
      </c>
      <c r="F748" s="1" t="str">
        <f>[1]Data!F739</f>
        <v>2022</v>
      </c>
      <c r="G748" s="1" t="str">
        <f>[1]Data!G739</f>
        <v>11</v>
      </c>
      <c r="H748" s="15">
        <f>[1]Data!H739</f>
        <v>0</v>
      </c>
      <c r="I748" s="15">
        <f>[1]Data!I739</f>
        <v>0</v>
      </c>
      <c r="J748" s="1" t="str">
        <f>[1]Data!J739</f>
        <v/>
      </c>
      <c r="K748" s="1" t="str">
        <f>[1]Data!K739</f>
        <v/>
      </c>
      <c r="L748" s="1" t="str">
        <f>[1]Data!L739</f>
        <v>SLETTET</v>
      </c>
      <c r="M748" s="1">
        <f>[1]Data!M739</f>
        <v>44568</v>
      </c>
      <c r="N748" s="1">
        <f>[1]Data!N739</f>
        <v>44432</v>
      </c>
      <c r="O748" s="1" t="str">
        <f>[1]Data!O739</f>
        <v>X</v>
      </c>
      <c r="P748" s="1" t="str">
        <f>[1]Data!P739</f>
        <v>2025</v>
      </c>
      <c r="Q748" s="15">
        <f>[1]Data!Q739</f>
        <v>0</v>
      </c>
      <c r="R748" s="1" t="str">
        <f>[1]Data!R739</f>
        <v>INAKTIV</v>
      </c>
    </row>
    <row r="749" spans="1:18" x14ac:dyDescent="0.35">
      <c r="A749" s="1" t="str">
        <f>[1]Data!A740</f>
        <v>4008506</v>
      </c>
      <c r="B749" s="1" t="str">
        <f>[1]Data!B740</f>
        <v>3300</v>
      </c>
      <c r="C749" s="1" t="str">
        <f>[1]Data!C740</f>
        <v>3001</v>
      </c>
      <c r="D749" s="1" t="str">
        <f>[1]Data!D740</f>
        <v>DL</v>
      </c>
      <c r="E749" s="1" t="str">
        <f>[1]Data!E740</f>
        <v/>
      </c>
      <c r="F749" s="1" t="str">
        <f>[1]Data!F740</f>
        <v>2026</v>
      </c>
      <c r="G749" s="1" t="str">
        <f>[1]Data!G740</f>
        <v>3</v>
      </c>
      <c r="H749" s="15">
        <f>[1]Data!H740</f>
        <v>750</v>
      </c>
      <c r="I749" s="15">
        <f>[1]Data!I740</f>
        <v>0</v>
      </c>
      <c r="J749" s="1" t="str">
        <f>[1]Data!J740</f>
        <v>X</v>
      </c>
      <c r="K749" s="1" t="str">
        <f>[1]Data!K740</f>
        <v/>
      </c>
      <c r="L749" s="1" t="str">
        <f>[1]Data!L740</f>
        <v>14:04:03</v>
      </c>
      <c r="M749" s="1">
        <f>[1]Data!M740</f>
        <v>46030</v>
      </c>
      <c r="N749" s="1">
        <f>[1]Data!N740</f>
        <v>45294</v>
      </c>
      <c r="O749" s="1" t="str">
        <f>[1]Data!O740</f>
        <v>X</v>
      </c>
      <c r="P749" s="1" t="str">
        <f>[1]Data!P740</f>
        <v>2026</v>
      </c>
      <c r="Q749" s="15">
        <f>[1]Data!Q740</f>
        <v>750</v>
      </c>
      <c r="R749" s="1" t="str">
        <f>[1]Data!R740</f>
        <v/>
      </c>
    </row>
    <row r="750" spans="1:18" x14ac:dyDescent="0.35">
      <c r="A750" s="1" t="str">
        <f>[1]Data!A741</f>
        <v>4008507</v>
      </c>
      <c r="B750" s="1" t="str">
        <f>[1]Data!B741</f>
        <v>3300</v>
      </c>
      <c r="C750" s="1" t="str">
        <f>[1]Data!C741</f>
        <v>3001</v>
      </c>
      <c r="D750" s="1" t="str">
        <f>[1]Data!D741</f>
        <v>DL</v>
      </c>
      <c r="E750" s="1" t="str">
        <f>[1]Data!E741</f>
        <v/>
      </c>
      <c r="F750" s="1" t="str">
        <f>[1]Data!F741</f>
        <v>2026</v>
      </c>
      <c r="G750" s="1" t="str">
        <f>[1]Data!G741</f>
        <v>3</v>
      </c>
      <c r="H750" s="15">
        <f>[1]Data!H741</f>
        <v>1500</v>
      </c>
      <c r="I750" s="15">
        <f>[1]Data!I741</f>
        <v>0</v>
      </c>
      <c r="J750" s="1" t="str">
        <f>[1]Data!J741</f>
        <v>X</v>
      </c>
      <c r="K750" s="1" t="str">
        <f>[1]Data!K741</f>
        <v>X</v>
      </c>
      <c r="L750" s="1" t="str">
        <f>[1]Data!L741</f>
        <v>14:03:02</v>
      </c>
      <c r="M750" s="1">
        <f>[1]Data!M741</f>
        <v>46001</v>
      </c>
      <c r="N750" s="1">
        <f>[1]Data!N741</f>
        <v>45294</v>
      </c>
      <c r="O750" s="1" t="str">
        <f>[1]Data!O741</f>
        <v>X</v>
      </c>
      <c r="P750" s="1" t="str">
        <f>[1]Data!P741</f>
        <v>2025</v>
      </c>
      <c r="Q750" s="15">
        <f>[1]Data!Q741</f>
        <v>1500</v>
      </c>
      <c r="R750" s="1" t="str">
        <f>[1]Data!R741</f>
        <v/>
      </c>
    </row>
    <row r="751" spans="1:18" x14ac:dyDescent="0.35">
      <c r="A751" s="1" t="str">
        <f>[1]Data!A742</f>
        <v>4008508</v>
      </c>
      <c r="B751" s="1" t="str">
        <f>[1]Data!B742</f>
        <v>3300</v>
      </c>
      <c r="C751" s="1" t="str">
        <f>[1]Data!C742</f>
        <v>3001</v>
      </c>
      <c r="D751" s="1" t="str">
        <f>[1]Data!D742</f>
        <v>DL</v>
      </c>
      <c r="E751" s="1" t="str">
        <f>[1]Data!E742</f>
        <v/>
      </c>
      <c r="F751" s="1" t="str">
        <f>[1]Data!F742</f>
        <v>2026</v>
      </c>
      <c r="G751" s="1" t="str">
        <f>[1]Data!G742</f>
        <v>3</v>
      </c>
      <c r="H751" s="15">
        <f>[1]Data!H742</f>
        <v>1250</v>
      </c>
      <c r="I751" s="15">
        <f>[1]Data!I742</f>
        <v>0</v>
      </c>
      <c r="J751" s="1" t="str">
        <f>[1]Data!J742</f>
        <v>X</v>
      </c>
      <c r="K751" s="1" t="str">
        <f>[1]Data!K742</f>
        <v>X</v>
      </c>
      <c r="L751" s="1" t="str">
        <f>[1]Data!L742</f>
        <v>14:04:02</v>
      </c>
      <c r="M751" s="1">
        <f>[1]Data!M742</f>
        <v>46001</v>
      </c>
      <c r="N751" s="1">
        <f>[1]Data!N742</f>
        <v>45294</v>
      </c>
      <c r="O751" s="1" t="str">
        <f>[1]Data!O742</f>
        <v>X</v>
      </c>
      <c r="P751" s="1" t="str">
        <f>[1]Data!P742</f>
        <v>2025</v>
      </c>
      <c r="Q751" s="15">
        <f>[1]Data!Q742</f>
        <v>1250</v>
      </c>
      <c r="R751" s="1" t="str">
        <f>[1]Data!R742</f>
        <v/>
      </c>
    </row>
    <row r="752" spans="1:18" x14ac:dyDescent="0.35">
      <c r="A752" s="1" t="str">
        <f>[1]Data!A743</f>
        <v>4008509</v>
      </c>
      <c r="B752" s="1" t="str">
        <f>[1]Data!B743</f>
        <v>3300</v>
      </c>
      <c r="C752" s="1" t="str">
        <f>[1]Data!C743</f>
        <v>3001</v>
      </c>
      <c r="D752" s="1" t="str">
        <f>[1]Data!D743</f>
        <v>DL</v>
      </c>
      <c r="E752" s="1" t="str">
        <f>[1]Data!E743</f>
        <v>X</v>
      </c>
      <c r="F752" s="1" t="str">
        <f>[1]Data!F743</f>
        <v>2024</v>
      </c>
      <c r="G752" s="1" t="str">
        <f>[1]Data!G743</f>
        <v>1</v>
      </c>
      <c r="H752" s="15">
        <f>[1]Data!H743</f>
        <v>0</v>
      </c>
      <c r="I752" s="15">
        <f>[1]Data!I743</f>
        <v>0</v>
      </c>
      <c r="J752" s="1" t="str">
        <f>[1]Data!J743</f>
        <v/>
      </c>
      <c r="K752" s="1" t="str">
        <f>[1]Data!K743</f>
        <v/>
      </c>
      <c r="L752" s="1" t="str">
        <f>[1]Data!L743</f>
        <v>SLETTET</v>
      </c>
      <c r="M752" s="1" t="str">
        <f>[1]Data!M743</f>
        <v/>
      </c>
      <c r="N752" s="1">
        <f>[1]Data!N743</f>
        <v>45294</v>
      </c>
      <c r="O752" s="1" t="str">
        <f>[1]Data!O743</f>
        <v>X</v>
      </c>
      <c r="P752" s="1" t="str">
        <f>[1]Data!P743</f>
        <v>2024</v>
      </c>
      <c r="Q752" s="15">
        <f>[1]Data!Q743</f>
        <v>0</v>
      </c>
      <c r="R752" s="1" t="str">
        <f>[1]Data!R743</f>
        <v>INAKTIV</v>
      </c>
    </row>
    <row r="753" spans="1:18" x14ac:dyDescent="0.35">
      <c r="A753" s="1" t="str">
        <f>[1]Data!A744</f>
        <v>4008511</v>
      </c>
      <c r="B753" s="1" t="str">
        <f>[1]Data!B744</f>
        <v>3300</v>
      </c>
      <c r="C753" s="1" t="str">
        <f>[1]Data!C744</f>
        <v>3001</v>
      </c>
      <c r="D753" s="1" t="str">
        <f>[1]Data!D744</f>
        <v>DL</v>
      </c>
      <c r="E753" s="1" t="str">
        <f>[1]Data!E744</f>
        <v/>
      </c>
      <c r="F753" s="1" t="str">
        <f>[1]Data!F744</f>
        <v>2026</v>
      </c>
      <c r="G753" s="1" t="str">
        <f>[1]Data!G744</f>
        <v>1</v>
      </c>
      <c r="H753" s="15">
        <f>[1]Data!H744</f>
        <v>22</v>
      </c>
      <c r="I753" s="15">
        <f>[1]Data!I744</f>
        <v>0</v>
      </c>
      <c r="J753" s="1" t="str">
        <f>[1]Data!J744</f>
        <v>X</v>
      </c>
      <c r="K753" s="1" t="str">
        <f>[1]Data!K744</f>
        <v/>
      </c>
      <c r="L753" s="1" t="str">
        <f>[1]Data!L744</f>
        <v>09:01:03</v>
      </c>
      <c r="M753" s="1">
        <f>[1]Data!M744</f>
        <v>46030</v>
      </c>
      <c r="N753" s="1">
        <f>[1]Data!N744</f>
        <v>45810</v>
      </c>
      <c r="O753" s="1" t="str">
        <f>[1]Data!O744</f>
        <v>X</v>
      </c>
      <c r="P753" s="1" t="str">
        <f>[1]Data!P744</f>
        <v>2026</v>
      </c>
      <c r="Q753" s="15">
        <f>[1]Data!Q744</f>
        <v>22</v>
      </c>
      <c r="R753" s="1" t="str">
        <f>[1]Data!R744</f>
        <v/>
      </c>
    </row>
    <row r="754" spans="1:18" x14ac:dyDescent="0.35">
      <c r="A754" s="1" t="str">
        <f>[1]Data!A745</f>
        <v>4008530</v>
      </c>
      <c r="B754" s="1" t="str">
        <f>[1]Data!B745</f>
        <v>3300</v>
      </c>
      <c r="C754" s="1" t="str">
        <f>[1]Data!C745</f>
        <v>3001</v>
      </c>
      <c r="D754" s="1" t="str">
        <f>[1]Data!D745</f>
        <v>DL</v>
      </c>
      <c r="E754" s="1" t="str">
        <f>[1]Data!E745</f>
        <v/>
      </c>
      <c r="F754" s="1" t="str">
        <f>[1]Data!F745</f>
        <v>2026</v>
      </c>
      <c r="G754" s="1" t="str">
        <f>[1]Data!G745</f>
        <v>3</v>
      </c>
      <c r="H754" s="15">
        <f>[1]Data!H745</f>
        <v>85</v>
      </c>
      <c r="I754" s="15">
        <f>[1]Data!I745</f>
        <v>0</v>
      </c>
      <c r="J754" s="1" t="str">
        <f>[1]Data!J745</f>
        <v>X</v>
      </c>
      <c r="K754" s="1" t="str">
        <f>[1]Data!K745</f>
        <v/>
      </c>
      <c r="L754" s="1" t="str">
        <f>[1]Data!L745</f>
        <v>14:03:03</v>
      </c>
      <c r="M754" s="1">
        <f>[1]Data!M745</f>
        <v>46030</v>
      </c>
      <c r="N754" s="1">
        <f>[1]Data!N745</f>
        <v>44587</v>
      </c>
      <c r="O754" s="1" t="str">
        <f>[1]Data!O745</f>
        <v>X</v>
      </c>
      <c r="P754" s="1" t="str">
        <f>[1]Data!P745</f>
        <v>2026</v>
      </c>
      <c r="Q754" s="15">
        <f>[1]Data!Q745</f>
        <v>85</v>
      </c>
      <c r="R754" s="1" t="str">
        <f>[1]Data!R745</f>
        <v/>
      </c>
    </row>
    <row r="755" spans="1:18" x14ac:dyDescent="0.35">
      <c r="A755" s="1" t="str">
        <f>[1]Data!A746</f>
        <v>4008555</v>
      </c>
      <c r="B755" s="1" t="str">
        <f>[1]Data!B746</f>
        <v>3300</v>
      </c>
      <c r="C755" s="1" t="str">
        <f>[1]Data!C746</f>
        <v>3001</v>
      </c>
      <c r="D755" s="1" t="str">
        <f>[1]Data!D746</f>
        <v>DL</v>
      </c>
      <c r="E755" s="1" t="str">
        <f>[1]Data!E746</f>
        <v/>
      </c>
      <c r="F755" s="1" t="str">
        <f>[1]Data!F746</f>
        <v>2022</v>
      </c>
      <c r="G755" s="1" t="str">
        <f>[1]Data!G746</f>
        <v>12</v>
      </c>
      <c r="H755" s="15">
        <f>[1]Data!H746</f>
        <v>0</v>
      </c>
      <c r="I755" s="15">
        <f>[1]Data!I746</f>
        <v>0</v>
      </c>
      <c r="J755" s="1" t="str">
        <f>[1]Data!J746</f>
        <v/>
      </c>
      <c r="K755" s="1" t="str">
        <f>[1]Data!K746</f>
        <v/>
      </c>
      <c r="L755" s="1" t="str">
        <f>[1]Data!L746</f>
        <v/>
      </c>
      <c r="M755" s="1" t="str">
        <f>[1]Data!M746</f>
        <v/>
      </c>
      <c r="N755" s="1">
        <f>[1]Data!N746</f>
        <v>44903</v>
      </c>
      <c r="O755" s="1" t="str">
        <f>[1]Data!O746</f>
        <v>X</v>
      </c>
      <c r="P755" s="1" t="str">
        <f>[1]Data!P746</f>
        <v>2022</v>
      </c>
      <c r="Q755" s="15">
        <f>[1]Data!Q746</f>
        <v>0</v>
      </c>
      <c r="R755" s="1" t="str">
        <f>[1]Data!R746</f>
        <v>INAKTIV</v>
      </c>
    </row>
    <row r="756" spans="1:18" x14ac:dyDescent="0.35">
      <c r="A756" s="1" t="str">
        <f>[1]Data!A747</f>
        <v>4008556</v>
      </c>
      <c r="B756" s="1" t="str">
        <f>[1]Data!B747</f>
        <v>3300</v>
      </c>
      <c r="C756" s="1" t="str">
        <f>[1]Data!C747</f>
        <v>3001</v>
      </c>
      <c r="D756" s="1" t="str">
        <f>[1]Data!D747</f>
        <v>L</v>
      </c>
      <c r="E756" s="1" t="str">
        <f>[1]Data!E747</f>
        <v/>
      </c>
      <c r="F756" s="1" t="str">
        <f>[1]Data!F747</f>
        <v>2024</v>
      </c>
      <c r="G756" s="1" t="str">
        <f>[1]Data!G747</f>
        <v>6</v>
      </c>
      <c r="H756" s="15">
        <f>[1]Data!H747</f>
        <v>0</v>
      </c>
      <c r="I756" s="15">
        <f>[1]Data!I747</f>
        <v>0</v>
      </c>
      <c r="J756" s="1" t="str">
        <f>[1]Data!J747</f>
        <v/>
      </c>
      <c r="K756" s="1" t="str">
        <f>[1]Data!K747</f>
        <v/>
      </c>
      <c r="L756" s="1" t="str">
        <f>[1]Data!L747</f>
        <v/>
      </c>
      <c r="M756" s="1" t="str">
        <f>[1]Data!M747</f>
        <v/>
      </c>
      <c r="N756" s="1">
        <f>[1]Data!N747</f>
        <v>45450</v>
      </c>
      <c r="O756" s="1" t="str">
        <f>[1]Data!O747</f>
        <v>X</v>
      </c>
      <c r="P756" s="1" t="str">
        <f>[1]Data!P747</f>
        <v>2024</v>
      </c>
      <c r="Q756" s="15">
        <f>[1]Data!Q747</f>
        <v>0</v>
      </c>
      <c r="R756" s="1" t="str">
        <f>[1]Data!R747</f>
        <v>INAKTIV</v>
      </c>
    </row>
    <row r="757" spans="1:18" x14ac:dyDescent="0.35">
      <c r="A757" s="1" t="str">
        <f>[1]Data!A748</f>
        <v>4008559</v>
      </c>
      <c r="B757" s="1" t="str">
        <f>[1]Data!B748</f>
        <v>3300</v>
      </c>
      <c r="C757" s="1" t="str">
        <f>[1]Data!C748</f>
        <v>3001</v>
      </c>
      <c r="D757" s="1" t="str">
        <f>[1]Data!D748</f>
        <v>DL</v>
      </c>
      <c r="E757" s="1" t="str">
        <f>[1]Data!E748</f>
        <v/>
      </c>
      <c r="F757" s="1" t="str">
        <f>[1]Data!F748</f>
        <v>2026</v>
      </c>
      <c r="G757" s="1" t="str">
        <f>[1]Data!G748</f>
        <v>2</v>
      </c>
      <c r="H757" s="15">
        <f>[1]Data!H748</f>
        <v>100</v>
      </c>
      <c r="I757" s="15">
        <f>[1]Data!I748</f>
        <v>0</v>
      </c>
      <c r="J757" s="1" t="str">
        <f>[1]Data!J748</f>
        <v>X</v>
      </c>
      <c r="K757" s="1" t="str">
        <f>[1]Data!K748</f>
        <v>X</v>
      </c>
      <c r="L757" s="1" t="str">
        <f>[1]Data!L748</f>
        <v>08:11:01</v>
      </c>
      <c r="M757" s="1">
        <f>[1]Data!M748</f>
        <v>45980</v>
      </c>
      <c r="N757" s="1">
        <f>[1]Data!N748</f>
        <v>44910</v>
      </c>
      <c r="O757" s="1" t="str">
        <f>[1]Data!O748</f>
        <v>X</v>
      </c>
      <c r="P757" s="1" t="str">
        <f>[1]Data!P748</f>
        <v>2025</v>
      </c>
      <c r="Q757" s="15">
        <f>[1]Data!Q748</f>
        <v>100</v>
      </c>
      <c r="R757" s="1" t="str">
        <f>[1]Data!R748</f>
        <v/>
      </c>
    </row>
    <row r="758" spans="1:18" x14ac:dyDescent="0.35">
      <c r="A758" s="1" t="str">
        <f>[1]Data!A749</f>
        <v>4008583</v>
      </c>
      <c r="B758" s="1" t="str">
        <f>[1]Data!B749</f>
        <v>3300</v>
      </c>
      <c r="C758" s="1" t="str">
        <f>[1]Data!C749</f>
        <v>3001</v>
      </c>
      <c r="D758" s="1" t="str">
        <f>[1]Data!D749</f>
        <v>DL</v>
      </c>
      <c r="E758" s="1" t="str">
        <f>[1]Data!E749</f>
        <v>X</v>
      </c>
      <c r="F758" s="1" t="str">
        <f>[1]Data!F749</f>
        <v>2026</v>
      </c>
      <c r="G758" s="1" t="str">
        <f>[1]Data!G749</f>
        <v>1</v>
      </c>
      <c r="H758" s="15">
        <f>[1]Data!H749</f>
        <v>0</v>
      </c>
      <c r="I758" s="15">
        <f>[1]Data!I749</f>
        <v>0</v>
      </c>
      <c r="J758" s="1" t="str">
        <f>[1]Data!J749</f>
        <v>X</v>
      </c>
      <c r="K758" s="1" t="str">
        <f>[1]Data!K749</f>
        <v>X</v>
      </c>
      <c r="L758" s="1" t="str">
        <f>[1]Data!L749</f>
        <v>SLETTET</v>
      </c>
      <c r="M758" s="1">
        <f>[1]Data!M749</f>
        <v>45825</v>
      </c>
      <c r="N758" s="1">
        <f>[1]Data!N749</f>
        <v>45148</v>
      </c>
      <c r="O758" s="1" t="str">
        <f>[1]Data!O749</f>
        <v>X</v>
      </c>
      <c r="P758" s="1" t="str">
        <f>[1]Data!P749</f>
        <v>2025</v>
      </c>
      <c r="Q758" s="15">
        <f>[1]Data!Q749</f>
        <v>0</v>
      </c>
      <c r="R758" s="1" t="str">
        <f>[1]Data!R749</f>
        <v>INAKTIV</v>
      </c>
    </row>
    <row r="759" spans="1:18" x14ac:dyDescent="0.35">
      <c r="A759" s="1" t="str">
        <f>[1]Data!A750</f>
        <v>4008589</v>
      </c>
      <c r="B759" s="1" t="str">
        <f>[1]Data!B750</f>
        <v>3300</v>
      </c>
      <c r="C759" s="1" t="str">
        <f>[1]Data!C750</f>
        <v>3001</v>
      </c>
      <c r="D759" s="1" t="str">
        <f>[1]Data!D750</f>
        <v>DL</v>
      </c>
      <c r="E759" s="1" t="str">
        <f>[1]Data!E750</f>
        <v/>
      </c>
      <c r="F759" s="1" t="str">
        <f>[1]Data!F750</f>
        <v>2026</v>
      </c>
      <c r="G759" s="1" t="str">
        <f>[1]Data!G750</f>
        <v>3</v>
      </c>
      <c r="H759" s="15">
        <f>[1]Data!H750</f>
        <v>60</v>
      </c>
      <c r="I759" s="15">
        <f>[1]Data!I750</f>
        <v>0</v>
      </c>
      <c r="J759" s="1" t="str">
        <f>[1]Data!J750</f>
        <v>X</v>
      </c>
      <c r="K759" s="1" t="str">
        <f>[1]Data!K750</f>
        <v>X</v>
      </c>
      <c r="L759" s="1" t="str">
        <f>[1]Data!L750</f>
        <v>08:07:03</v>
      </c>
      <c r="M759" s="1">
        <f>[1]Data!M750</f>
        <v>45980</v>
      </c>
      <c r="N759" s="1">
        <f>[1]Data!N750</f>
        <v>44903</v>
      </c>
      <c r="O759" s="1" t="str">
        <f>[1]Data!O750</f>
        <v>X</v>
      </c>
      <c r="P759" s="1" t="str">
        <f>[1]Data!P750</f>
        <v>2025</v>
      </c>
      <c r="Q759" s="15">
        <f>[1]Data!Q750</f>
        <v>60</v>
      </c>
      <c r="R759" s="1" t="str">
        <f>[1]Data!R750</f>
        <v/>
      </c>
    </row>
    <row r="760" spans="1:18" x14ac:dyDescent="0.35">
      <c r="A760" s="1" t="str">
        <f>[1]Data!A751</f>
        <v>4008609</v>
      </c>
      <c r="B760" s="1" t="str">
        <f>[1]Data!B751</f>
        <v>3300</v>
      </c>
      <c r="C760" s="1" t="str">
        <f>[1]Data!C751</f>
        <v>3001</v>
      </c>
      <c r="D760" s="1" t="str">
        <f>[1]Data!D751</f>
        <v>L</v>
      </c>
      <c r="E760" s="1" t="str">
        <f>[1]Data!E751</f>
        <v/>
      </c>
      <c r="F760" s="1" t="str">
        <f>[1]Data!F751</f>
        <v>2025</v>
      </c>
      <c r="G760" s="1" t="str">
        <f>[1]Data!G751</f>
        <v>12</v>
      </c>
      <c r="H760" s="15">
        <f>[1]Data!H751</f>
        <v>144</v>
      </c>
      <c r="I760" s="15">
        <f>[1]Data!I751</f>
        <v>0</v>
      </c>
      <c r="J760" s="1" t="str">
        <f>[1]Data!J751</f>
        <v>X</v>
      </c>
      <c r="K760" s="1" t="str">
        <f>[1]Data!K751</f>
        <v>X</v>
      </c>
      <c r="L760" s="1" t="str">
        <f>[1]Data!L751</f>
        <v>01:02:01</v>
      </c>
      <c r="M760" s="1">
        <f>[1]Data!M751</f>
        <v>45793</v>
      </c>
      <c r="N760" s="1">
        <f>[1]Data!N751</f>
        <v>44432</v>
      </c>
      <c r="O760" s="1" t="str">
        <f>[1]Data!O751</f>
        <v>X</v>
      </c>
      <c r="P760" s="1" t="str">
        <f>[1]Data!P751</f>
        <v>2025</v>
      </c>
      <c r="Q760" s="15">
        <f>[1]Data!Q751</f>
        <v>144</v>
      </c>
      <c r="R760" s="1" t="str">
        <f>[1]Data!R751</f>
        <v/>
      </c>
    </row>
    <row r="761" spans="1:18" x14ac:dyDescent="0.35">
      <c r="A761" s="1" t="str">
        <f>[1]Data!A752</f>
        <v>4008615</v>
      </c>
      <c r="B761" s="1" t="str">
        <f>[1]Data!B752</f>
        <v>3300</v>
      </c>
      <c r="C761" s="1" t="str">
        <f>[1]Data!C752</f>
        <v>3001</v>
      </c>
      <c r="D761" s="1" t="str">
        <f>[1]Data!D752</f>
        <v>DL</v>
      </c>
      <c r="E761" s="1" t="str">
        <f>[1]Data!E752</f>
        <v>X</v>
      </c>
      <c r="F761" s="1" t="str">
        <f>[1]Data!F752</f>
        <v>2024</v>
      </c>
      <c r="G761" s="1" t="str">
        <f>[1]Data!G752</f>
        <v>1</v>
      </c>
      <c r="H761" s="15">
        <f>[1]Data!H752</f>
        <v>0</v>
      </c>
      <c r="I761" s="15">
        <f>[1]Data!I752</f>
        <v>0</v>
      </c>
      <c r="J761" s="1" t="str">
        <f>[1]Data!J752</f>
        <v/>
      </c>
      <c r="K761" s="1" t="str">
        <f>[1]Data!K752</f>
        <v/>
      </c>
      <c r="L761" s="1" t="str">
        <f>[1]Data!L752</f>
        <v>SLETTET</v>
      </c>
      <c r="M761" s="1">
        <f>[1]Data!M752</f>
        <v>45162</v>
      </c>
      <c r="N761" s="1">
        <f>[1]Data!N752</f>
        <v>44903</v>
      </c>
      <c r="O761" s="1" t="str">
        <f>[1]Data!O752</f>
        <v>X</v>
      </c>
      <c r="P761" s="1" t="str">
        <f>[1]Data!P752</f>
        <v>2025</v>
      </c>
      <c r="Q761" s="15">
        <f>[1]Data!Q752</f>
        <v>0</v>
      </c>
      <c r="R761" s="1" t="str">
        <f>[1]Data!R752</f>
        <v>INAKTIV</v>
      </c>
    </row>
    <row r="762" spans="1:18" x14ac:dyDescent="0.35">
      <c r="A762" s="1" t="str">
        <f>[1]Data!A753</f>
        <v>4009078</v>
      </c>
      <c r="B762" s="1" t="str">
        <f>[1]Data!B753</f>
        <v>3300</v>
      </c>
      <c r="C762" s="1" t="str">
        <f>[1]Data!C753</f>
        <v>3001</v>
      </c>
      <c r="D762" s="1" t="str">
        <f>[1]Data!D753</f>
        <v>L</v>
      </c>
      <c r="E762" s="1" t="str">
        <f>[1]Data!E753</f>
        <v/>
      </c>
      <c r="F762" s="1" t="str">
        <f>[1]Data!F753</f>
        <v>2026</v>
      </c>
      <c r="G762" s="1" t="str">
        <f>[1]Data!G753</f>
        <v>3</v>
      </c>
      <c r="H762" s="15">
        <f>[1]Data!H753</f>
        <v>638</v>
      </c>
      <c r="I762" s="15">
        <f>[1]Data!I753</f>
        <v>0</v>
      </c>
      <c r="J762" s="1" t="str">
        <f>[1]Data!J753</f>
        <v>X</v>
      </c>
      <c r="K762" s="1" t="str">
        <f>[1]Data!K753</f>
        <v>X</v>
      </c>
      <c r="L762" s="1" t="str">
        <f>[1]Data!L753</f>
        <v>09:02:03</v>
      </c>
      <c r="M762" s="1">
        <f>[1]Data!M753</f>
        <v>45980</v>
      </c>
      <c r="N762" s="1">
        <f>[1]Data!N753</f>
        <v>44465</v>
      </c>
      <c r="O762" s="1" t="str">
        <f>[1]Data!O753</f>
        <v>X</v>
      </c>
      <c r="P762" s="1" t="str">
        <f>[1]Data!P753</f>
        <v>2025</v>
      </c>
      <c r="Q762" s="15">
        <f>[1]Data!Q753</f>
        <v>638</v>
      </c>
      <c r="R762" s="1" t="str">
        <f>[1]Data!R753</f>
        <v/>
      </c>
    </row>
    <row r="763" spans="1:18" x14ac:dyDescent="0.35">
      <c r="A763" s="1" t="str">
        <f>[1]Data!A754</f>
        <v>4009081</v>
      </c>
      <c r="B763" s="1" t="str">
        <f>[1]Data!B754</f>
        <v>3300</v>
      </c>
      <c r="C763" s="1" t="str">
        <f>[1]Data!C754</f>
        <v>3001</v>
      </c>
      <c r="D763" s="1" t="str">
        <f>[1]Data!D754</f>
        <v>L</v>
      </c>
      <c r="E763" s="1" t="str">
        <f>[1]Data!E754</f>
        <v/>
      </c>
      <c r="F763" s="1" t="str">
        <f>[1]Data!F754</f>
        <v>2026</v>
      </c>
      <c r="G763" s="1" t="str">
        <f>[1]Data!G754</f>
        <v>2</v>
      </c>
      <c r="H763" s="15">
        <f>[1]Data!H754</f>
        <v>180</v>
      </c>
      <c r="I763" s="15">
        <f>[1]Data!I754</f>
        <v>0</v>
      </c>
      <c r="J763" s="1" t="str">
        <f>[1]Data!J754</f>
        <v>X</v>
      </c>
      <c r="K763" s="1" t="str">
        <f>[1]Data!K754</f>
        <v/>
      </c>
      <c r="L763" s="1" t="str">
        <f>[1]Data!L754</f>
        <v>K3:G:04:01</v>
      </c>
      <c r="M763" s="1">
        <f>[1]Data!M754</f>
        <v>46029</v>
      </c>
      <c r="N763" s="1">
        <f>[1]Data!N754</f>
        <v>44469</v>
      </c>
      <c r="O763" s="1" t="str">
        <f>[1]Data!O754</f>
        <v>X</v>
      </c>
      <c r="P763" s="1" t="str">
        <f>[1]Data!P754</f>
        <v>2026</v>
      </c>
      <c r="Q763" s="15">
        <f>[1]Data!Q754</f>
        <v>180</v>
      </c>
      <c r="R763" s="1" t="str">
        <f>[1]Data!R754</f>
        <v/>
      </c>
    </row>
    <row r="764" spans="1:18" x14ac:dyDescent="0.35">
      <c r="A764" s="1" t="str">
        <f>[1]Data!A755</f>
        <v>4009082</v>
      </c>
      <c r="B764" s="1" t="str">
        <f>[1]Data!B755</f>
        <v>3300</v>
      </c>
      <c r="C764" s="1" t="str">
        <f>[1]Data!C755</f>
        <v>3001</v>
      </c>
      <c r="D764" s="1" t="str">
        <f>[1]Data!D755</f>
        <v>L</v>
      </c>
      <c r="E764" s="1" t="str">
        <f>[1]Data!E755</f>
        <v/>
      </c>
      <c r="F764" s="1" t="str">
        <f>[1]Data!F755</f>
        <v>2025</v>
      </c>
      <c r="G764" s="1" t="str">
        <f>[1]Data!G755</f>
        <v>2</v>
      </c>
      <c r="H764" s="15">
        <f>[1]Data!H755</f>
        <v>0</v>
      </c>
      <c r="I764" s="15">
        <f>[1]Data!I755</f>
        <v>0</v>
      </c>
      <c r="J764" s="1" t="str">
        <f>[1]Data!J755</f>
        <v>X</v>
      </c>
      <c r="K764" s="1" t="str">
        <f>[1]Data!K755</f>
        <v>X</v>
      </c>
      <c r="L764" s="1" t="str">
        <f>[1]Data!L755</f>
        <v>SLETTET</v>
      </c>
      <c r="M764" s="1">
        <f>[1]Data!M755</f>
        <v>45454</v>
      </c>
      <c r="N764" s="1">
        <f>[1]Data!N755</f>
        <v>44476</v>
      </c>
      <c r="O764" s="1" t="str">
        <f>[1]Data!O755</f>
        <v>X</v>
      </c>
      <c r="P764" s="1" t="str">
        <f>[1]Data!P755</f>
        <v>2024</v>
      </c>
      <c r="Q764" s="15">
        <f>[1]Data!Q755</f>
        <v>0</v>
      </c>
      <c r="R764" s="1" t="str">
        <f>[1]Data!R755</f>
        <v>INAKTIV</v>
      </c>
    </row>
    <row r="765" spans="1:18" x14ac:dyDescent="0.35">
      <c r="A765" s="1" t="str">
        <f>[1]Data!A756</f>
        <v>4009084</v>
      </c>
      <c r="B765" s="1" t="str">
        <f>[1]Data!B756</f>
        <v>3300</v>
      </c>
      <c r="C765" s="1" t="str">
        <f>[1]Data!C756</f>
        <v>3001</v>
      </c>
      <c r="D765" s="1" t="str">
        <f>[1]Data!D756</f>
        <v>L</v>
      </c>
      <c r="E765" s="1" t="str">
        <f>[1]Data!E756</f>
        <v/>
      </c>
      <c r="F765" s="1" t="str">
        <f>[1]Data!F756</f>
        <v>2026</v>
      </c>
      <c r="G765" s="1" t="str">
        <f>[1]Data!G756</f>
        <v>3</v>
      </c>
      <c r="H765" s="15">
        <f>[1]Data!H756</f>
        <v>270</v>
      </c>
      <c r="I765" s="15">
        <f>[1]Data!I756</f>
        <v>0</v>
      </c>
      <c r="J765" s="1" t="str">
        <f>[1]Data!J756</f>
        <v>X</v>
      </c>
      <c r="K765" s="1" t="str">
        <f>[1]Data!K756</f>
        <v>X</v>
      </c>
      <c r="L765" s="1" t="str">
        <f>[1]Data!L756</f>
        <v>14:17:02</v>
      </c>
      <c r="M765" s="1">
        <f>[1]Data!M756</f>
        <v>46001</v>
      </c>
      <c r="N765" s="1">
        <f>[1]Data!N756</f>
        <v>44476</v>
      </c>
      <c r="O765" s="1" t="str">
        <f>[1]Data!O756</f>
        <v>X</v>
      </c>
      <c r="P765" s="1" t="str">
        <f>[1]Data!P756</f>
        <v>2025</v>
      </c>
      <c r="Q765" s="15">
        <f>[1]Data!Q756</f>
        <v>270</v>
      </c>
      <c r="R765" s="1" t="str">
        <f>[1]Data!R756</f>
        <v/>
      </c>
    </row>
    <row r="766" spans="1:18" x14ac:dyDescent="0.35">
      <c r="A766" s="1" t="str">
        <f>[1]Data!A757</f>
        <v>4009085</v>
      </c>
      <c r="B766" s="1" t="str">
        <f>[1]Data!B757</f>
        <v>3300</v>
      </c>
      <c r="C766" s="1" t="str">
        <f>[1]Data!C757</f>
        <v>3001</v>
      </c>
      <c r="D766" s="1" t="str">
        <f>[1]Data!D757</f>
        <v>L</v>
      </c>
      <c r="E766" s="1" t="str">
        <f>[1]Data!E757</f>
        <v/>
      </c>
      <c r="F766" s="1" t="str">
        <f>[1]Data!F757</f>
        <v>2022</v>
      </c>
      <c r="G766" s="1" t="str">
        <f>[1]Data!G757</f>
        <v>9</v>
      </c>
      <c r="H766" s="15">
        <f>[1]Data!H757</f>
        <v>0</v>
      </c>
      <c r="I766" s="15">
        <f>[1]Data!I757</f>
        <v>0</v>
      </c>
      <c r="J766" s="1" t="str">
        <f>[1]Data!J757</f>
        <v/>
      </c>
      <c r="K766" s="1" t="str">
        <f>[1]Data!K757</f>
        <v>X</v>
      </c>
      <c r="L766" s="1" t="str">
        <f>[1]Data!L757</f>
        <v>SLETTET</v>
      </c>
      <c r="M766" s="1">
        <f>[1]Data!M757</f>
        <v>44568</v>
      </c>
      <c r="N766" s="1">
        <f>[1]Data!N757</f>
        <v>44476</v>
      </c>
      <c r="O766" s="1" t="str">
        <f>[1]Data!O757</f>
        <v>X</v>
      </c>
      <c r="P766" s="1" t="str">
        <f>[1]Data!P757</f>
        <v>2023</v>
      </c>
      <c r="Q766" s="15">
        <f>[1]Data!Q757</f>
        <v>0</v>
      </c>
      <c r="R766" s="1" t="str">
        <f>[1]Data!R757</f>
        <v>INAKTIV</v>
      </c>
    </row>
    <row r="767" spans="1:18" x14ac:dyDescent="0.35">
      <c r="A767" s="1" t="str">
        <f>[1]Data!A758</f>
        <v>4009086</v>
      </c>
      <c r="B767" s="1" t="str">
        <f>[1]Data!B758</f>
        <v>3300</v>
      </c>
      <c r="C767" s="1" t="str">
        <f>[1]Data!C758</f>
        <v>3001</v>
      </c>
      <c r="D767" s="1" t="str">
        <f>[1]Data!D758</f>
        <v>L</v>
      </c>
      <c r="E767" s="1" t="str">
        <f>[1]Data!E758</f>
        <v>X</v>
      </c>
      <c r="F767" s="1" t="str">
        <f>[1]Data!F758</f>
        <v>2022</v>
      </c>
      <c r="G767" s="1" t="str">
        <f>[1]Data!G758</f>
        <v>10</v>
      </c>
      <c r="H767" s="15">
        <f>[1]Data!H758</f>
        <v>0</v>
      </c>
      <c r="I767" s="15">
        <f>[1]Data!I758</f>
        <v>0</v>
      </c>
      <c r="J767" s="1" t="str">
        <f>[1]Data!J758</f>
        <v>X</v>
      </c>
      <c r="K767" s="1" t="str">
        <f>[1]Data!K758</f>
        <v/>
      </c>
      <c r="L767" s="1" t="str">
        <f>[1]Data!L758</f>
        <v>SLETTET</v>
      </c>
      <c r="M767" s="1">
        <f>[1]Data!M758</f>
        <v>44568</v>
      </c>
      <c r="N767" s="1">
        <f>[1]Data!N758</f>
        <v>44476</v>
      </c>
      <c r="O767" s="1" t="str">
        <f>[1]Data!O758</f>
        <v>X</v>
      </c>
      <c r="P767" s="1" t="str">
        <f>[1]Data!P758</f>
        <v>2022</v>
      </c>
      <c r="Q767" s="15">
        <f>[1]Data!Q758</f>
        <v>0</v>
      </c>
      <c r="R767" s="1" t="str">
        <f>[1]Data!R758</f>
        <v>INAKTIV</v>
      </c>
    </row>
    <row r="768" spans="1:18" x14ac:dyDescent="0.35">
      <c r="A768" s="1" t="str">
        <f>[1]Data!A759</f>
        <v>4009089</v>
      </c>
      <c r="B768" s="1" t="str">
        <f>[1]Data!B759</f>
        <v>3300</v>
      </c>
      <c r="C768" s="1" t="str">
        <f>[1]Data!C759</f>
        <v>3001</v>
      </c>
      <c r="D768" s="1" t="str">
        <f>[1]Data!D759</f>
        <v>L</v>
      </c>
      <c r="E768" s="1" t="str">
        <f>[1]Data!E759</f>
        <v>X</v>
      </c>
      <c r="F768" s="1" t="str">
        <f>[1]Data!F759</f>
        <v>2025</v>
      </c>
      <c r="G768" s="1" t="str">
        <f>[1]Data!G759</f>
        <v>3</v>
      </c>
      <c r="H768" s="15">
        <f>[1]Data!H759</f>
        <v>0</v>
      </c>
      <c r="I768" s="15">
        <f>[1]Data!I759</f>
        <v>0</v>
      </c>
      <c r="J768" s="1" t="str">
        <f>[1]Data!J759</f>
        <v>X</v>
      </c>
      <c r="K768" s="1" t="str">
        <f>[1]Data!K759</f>
        <v>X</v>
      </c>
      <c r="L768" s="1" t="str">
        <f>[1]Data!L759</f>
        <v>SLETTET</v>
      </c>
      <c r="M768" s="1">
        <f>[1]Data!M759</f>
        <v>45449</v>
      </c>
      <c r="N768" s="1">
        <f>[1]Data!N759</f>
        <v>44476</v>
      </c>
      <c r="O768" s="1" t="str">
        <f>[1]Data!O759</f>
        <v>X</v>
      </c>
      <c r="P768" s="1" t="str">
        <f>[1]Data!P759</f>
        <v>2024</v>
      </c>
      <c r="Q768" s="15">
        <f>[1]Data!Q759</f>
        <v>0</v>
      </c>
      <c r="R768" s="1" t="str">
        <f>[1]Data!R759</f>
        <v>INAKTIV</v>
      </c>
    </row>
    <row r="769" spans="1:18" x14ac:dyDescent="0.35">
      <c r="A769" s="1" t="str">
        <f>[1]Data!A760</f>
        <v>4009091</v>
      </c>
      <c r="B769" s="1" t="str">
        <f>[1]Data!B760</f>
        <v>3300</v>
      </c>
      <c r="C769" s="1" t="str">
        <f>[1]Data!C760</f>
        <v>3001</v>
      </c>
      <c r="D769" s="1" t="str">
        <f>[1]Data!D760</f>
        <v>L</v>
      </c>
      <c r="E769" s="1" t="str">
        <f>[1]Data!E760</f>
        <v/>
      </c>
      <c r="F769" s="1" t="str">
        <f>[1]Data!F760</f>
        <v>2023</v>
      </c>
      <c r="G769" s="1" t="str">
        <f>[1]Data!G760</f>
        <v>1</v>
      </c>
      <c r="H769" s="15">
        <f>[1]Data!H760</f>
        <v>0</v>
      </c>
      <c r="I769" s="15">
        <f>[1]Data!I760</f>
        <v>0</v>
      </c>
      <c r="J769" s="1" t="str">
        <f>[1]Data!J760</f>
        <v>X</v>
      </c>
      <c r="K769" s="1" t="str">
        <f>[1]Data!K760</f>
        <v/>
      </c>
      <c r="L769" s="1" t="str">
        <f>[1]Data!L760</f>
        <v>SLETTET</v>
      </c>
      <c r="M769" s="1">
        <f>[1]Data!M760</f>
        <v>45448</v>
      </c>
      <c r="N769" s="1">
        <f>[1]Data!N760</f>
        <v>44476</v>
      </c>
      <c r="O769" s="1" t="str">
        <f>[1]Data!O760</f>
        <v>X</v>
      </c>
      <c r="P769" s="1" t="str">
        <f>[1]Data!P760</f>
        <v>2024</v>
      </c>
      <c r="Q769" s="15">
        <f>[1]Data!Q760</f>
        <v>0</v>
      </c>
      <c r="R769" s="1" t="str">
        <f>[1]Data!R760</f>
        <v>INAKTIV</v>
      </c>
    </row>
    <row r="770" spans="1:18" x14ac:dyDescent="0.35">
      <c r="A770" s="1" t="str">
        <f>[1]Data!A761</f>
        <v>4009092</v>
      </c>
      <c r="B770" s="1" t="str">
        <f>[1]Data!B761</f>
        <v>3300</v>
      </c>
      <c r="C770" s="1" t="str">
        <f>[1]Data!C761</f>
        <v>3001</v>
      </c>
      <c r="D770" s="1" t="str">
        <f>[1]Data!D761</f>
        <v>DL</v>
      </c>
      <c r="E770" s="1" t="str">
        <f>[1]Data!E761</f>
        <v/>
      </c>
      <c r="F770" s="1" t="str">
        <f>[1]Data!F761</f>
        <v>2026</v>
      </c>
      <c r="G770" s="1" t="str">
        <f>[1]Data!G761</f>
        <v>2</v>
      </c>
      <c r="H770" s="15">
        <f>[1]Data!H761</f>
        <v>65</v>
      </c>
      <c r="I770" s="15">
        <f>[1]Data!I761</f>
        <v>0</v>
      </c>
      <c r="J770" s="1" t="str">
        <f>[1]Data!J761</f>
        <v>X</v>
      </c>
      <c r="K770" s="1" t="str">
        <f>[1]Data!K761</f>
        <v>X</v>
      </c>
      <c r="L770" s="1" t="str">
        <f>[1]Data!L761</f>
        <v>05:01:02</v>
      </c>
      <c r="M770" s="1">
        <f>[1]Data!M761</f>
        <v>45800</v>
      </c>
      <c r="N770" s="1">
        <f>[1]Data!N761</f>
        <v>44510</v>
      </c>
      <c r="O770" s="1" t="str">
        <f>[1]Data!O761</f>
        <v>X</v>
      </c>
      <c r="P770" s="1" t="str">
        <f>[1]Data!P761</f>
        <v>2025</v>
      </c>
      <c r="Q770" s="15">
        <f>[1]Data!Q761</f>
        <v>65</v>
      </c>
      <c r="R770" s="1" t="str">
        <f>[1]Data!R761</f>
        <v/>
      </c>
    </row>
    <row r="771" spans="1:18" x14ac:dyDescent="0.35">
      <c r="A771" s="1" t="str">
        <f>[1]Data!A762</f>
        <v>4009221</v>
      </c>
      <c r="B771" s="1" t="str">
        <f>[1]Data!B762</f>
        <v>3300</v>
      </c>
      <c r="C771" s="1" t="str">
        <f>[1]Data!C762</f>
        <v>3001</v>
      </c>
      <c r="D771" s="1" t="str">
        <f>[1]Data!D762</f>
        <v>DL</v>
      </c>
      <c r="E771" s="1" t="str">
        <f>[1]Data!E762</f>
        <v/>
      </c>
      <c r="F771" s="1" t="str">
        <f>[1]Data!F762</f>
        <v>2026</v>
      </c>
      <c r="G771" s="1" t="str">
        <f>[1]Data!G762</f>
        <v>2</v>
      </c>
      <c r="H771" s="15">
        <f>[1]Data!H762</f>
        <v>115</v>
      </c>
      <c r="I771" s="15">
        <f>[1]Data!I762</f>
        <v>0</v>
      </c>
      <c r="J771" s="1" t="str">
        <f>[1]Data!J762</f>
        <v>X</v>
      </c>
      <c r="K771" s="1" t="str">
        <f>[1]Data!K762</f>
        <v>X</v>
      </c>
      <c r="L771" s="1" t="str">
        <f>[1]Data!L762</f>
        <v>02:08:01</v>
      </c>
      <c r="M771" s="1">
        <f>[1]Data!M762</f>
        <v>45797</v>
      </c>
      <c r="N771" s="1">
        <f>[1]Data!N762</f>
        <v>44589</v>
      </c>
      <c r="O771" s="1" t="str">
        <f>[1]Data!O762</f>
        <v>X</v>
      </c>
      <c r="P771" s="1" t="str">
        <f>[1]Data!P762</f>
        <v>2025</v>
      </c>
      <c r="Q771" s="15">
        <f>[1]Data!Q762</f>
        <v>115</v>
      </c>
      <c r="R771" s="1" t="str">
        <f>[1]Data!R762</f>
        <v/>
      </c>
    </row>
    <row r="772" spans="1:18" x14ac:dyDescent="0.35">
      <c r="A772" s="1" t="str">
        <f>[1]Data!A763</f>
        <v>4009223</v>
      </c>
      <c r="B772" s="1" t="str">
        <f>[1]Data!B763</f>
        <v>3300</v>
      </c>
      <c r="C772" s="1" t="str">
        <f>[1]Data!C763</f>
        <v>3001</v>
      </c>
      <c r="D772" s="1" t="str">
        <f>[1]Data!D763</f>
        <v>DL</v>
      </c>
      <c r="E772" s="1" t="str">
        <f>[1]Data!E763</f>
        <v/>
      </c>
      <c r="F772" s="1" t="str">
        <f>[1]Data!F763</f>
        <v>2026</v>
      </c>
      <c r="G772" s="1" t="str">
        <f>[1]Data!G763</f>
        <v>2</v>
      </c>
      <c r="H772" s="15">
        <f>[1]Data!H763</f>
        <v>26</v>
      </c>
      <c r="I772" s="15">
        <f>[1]Data!I763</f>
        <v>0</v>
      </c>
      <c r="J772" s="1" t="str">
        <f>[1]Data!J763</f>
        <v>X</v>
      </c>
      <c r="K772" s="1" t="str">
        <f>[1]Data!K763</f>
        <v>X</v>
      </c>
      <c r="L772" s="1" t="str">
        <f>[1]Data!L763</f>
        <v>01:06:01</v>
      </c>
      <c r="M772" s="1">
        <f>[1]Data!M763</f>
        <v>45793</v>
      </c>
      <c r="N772" s="1">
        <f>[1]Data!N763</f>
        <v>44589</v>
      </c>
      <c r="O772" s="1" t="str">
        <f>[1]Data!O763</f>
        <v>X</v>
      </c>
      <c r="P772" s="1" t="str">
        <f>[1]Data!P763</f>
        <v>2025</v>
      </c>
      <c r="Q772" s="15">
        <f>[1]Data!Q763</f>
        <v>26</v>
      </c>
      <c r="R772" s="1" t="str">
        <f>[1]Data!R763</f>
        <v/>
      </c>
    </row>
    <row r="773" spans="1:18" x14ac:dyDescent="0.35">
      <c r="A773" s="1" t="str">
        <f>[1]Data!A764</f>
        <v>4009225</v>
      </c>
      <c r="B773" s="1" t="str">
        <f>[1]Data!B764</f>
        <v>3300</v>
      </c>
      <c r="C773" s="1" t="str">
        <f>[1]Data!C764</f>
        <v>3001</v>
      </c>
      <c r="D773" s="1" t="str">
        <f>[1]Data!D764</f>
        <v>DL</v>
      </c>
      <c r="E773" s="1" t="str">
        <f>[1]Data!E764</f>
        <v/>
      </c>
      <c r="F773" s="1" t="str">
        <f>[1]Data!F764</f>
        <v>2026</v>
      </c>
      <c r="G773" s="1" t="str">
        <f>[1]Data!G764</f>
        <v>2</v>
      </c>
      <c r="H773" s="15">
        <f>[1]Data!H764</f>
        <v>60</v>
      </c>
      <c r="I773" s="15">
        <f>[1]Data!I764</f>
        <v>0</v>
      </c>
      <c r="J773" s="1" t="str">
        <f>[1]Data!J764</f>
        <v>X</v>
      </c>
      <c r="K773" s="1" t="str">
        <f>[1]Data!K764</f>
        <v>X</v>
      </c>
      <c r="L773" s="1" t="str">
        <f>[1]Data!L764</f>
        <v>01:06:02</v>
      </c>
      <c r="M773" s="1">
        <f>[1]Data!M764</f>
        <v>45793</v>
      </c>
      <c r="N773" s="1">
        <f>[1]Data!N764</f>
        <v>44589</v>
      </c>
      <c r="O773" s="1" t="str">
        <f>[1]Data!O764</f>
        <v>X</v>
      </c>
      <c r="P773" s="1" t="str">
        <f>[1]Data!P764</f>
        <v>2025</v>
      </c>
      <c r="Q773" s="15">
        <f>[1]Data!Q764</f>
        <v>60</v>
      </c>
      <c r="R773" s="1" t="str">
        <f>[1]Data!R764</f>
        <v/>
      </c>
    </row>
    <row r="774" spans="1:18" x14ac:dyDescent="0.35">
      <c r="A774" s="1" t="str">
        <f>[1]Data!A765</f>
        <v>4009232</v>
      </c>
      <c r="B774" s="1" t="str">
        <f>[1]Data!B765</f>
        <v>3300</v>
      </c>
      <c r="C774" s="1" t="str">
        <f>[1]Data!C765</f>
        <v>3001</v>
      </c>
      <c r="D774" s="1" t="str">
        <f>[1]Data!D765</f>
        <v>DL</v>
      </c>
      <c r="E774" s="1" t="str">
        <f>[1]Data!E765</f>
        <v/>
      </c>
      <c r="F774" s="1" t="str">
        <f>[1]Data!F765</f>
        <v>2022</v>
      </c>
      <c r="G774" s="1" t="str">
        <f>[1]Data!G765</f>
        <v>1</v>
      </c>
      <c r="H774" s="15">
        <f>[1]Data!H765</f>
        <v>0</v>
      </c>
      <c r="I774" s="15">
        <f>[1]Data!I765</f>
        <v>0</v>
      </c>
      <c r="J774" s="1" t="str">
        <f>[1]Data!J765</f>
        <v/>
      </c>
      <c r="K774" s="1" t="str">
        <f>[1]Data!K765</f>
        <v/>
      </c>
      <c r="L774" s="1" t="str">
        <f>[1]Data!L765</f>
        <v>-</v>
      </c>
      <c r="M774" s="1" t="str">
        <f>[1]Data!M765</f>
        <v/>
      </c>
      <c r="N774" s="1">
        <f>[1]Data!N765</f>
        <v>44587</v>
      </c>
      <c r="O774" s="1" t="str">
        <f>[1]Data!O765</f>
        <v>X</v>
      </c>
      <c r="P774" s="1" t="str">
        <f>[1]Data!P765</f>
        <v>2022</v>
      </c>
      <c r="Q774" s="15">
        <f>[1]Data!Q765</f>
        <v>0</v>
      </c>
      <c r="R774" s="1" t="str">
        <f>[1]Data!R765</f>
        <v>INAKTIV</v>
      </c>
    </row>
    <row r="775" spans="1:18" x14ac:dyDescent="0.35">
      <c r="A775" s="1" t="str">
        <f>[1]Data!A766</f>
        <v>4009249</v>
      </c>
      <c r="B775" s="1" t="str">
        <f>[1]Data!B766</f>
        <v>3300</v>
      </c>
      <c r="C775" s="1" t="str">
        <f>[1]Data!C766</f>
        <v>3001</v>
      </c>
      <c r="D775" s="1" t="str">
        <f>[1]Data!D766</f>
        <v>DL</v>
      </c>
      <c r="E775" s="1" t="str">
        <f>[1]Data!E766</f>
        <v/>
      </c>
      <c r="F775" s="1" t="str">
        <f>[1]Data!F766</f>
        <v>2024</v>
      </c>
      <c r="G775" s="1" t="str">
        <f>[1]Data!G766</f>
        <v>11</v>
      </c>
      <c r="H775" s="15">
        <f>[1]Data!H766</f>
        <v>0</v>
      </c>
      <c r="I775" s="15">
        <f>[1]Data!I766</f>
        <v>0</v>
      </c>
      <c r="J775" s="1" t="str">
        <f>[1]Data!J766</f>
        <v>X</v>
      </c>
      <c r="K775" s="1" t="str">
        <f>[1]Data!K766</f>
        <v>X</v>
      </c>
      <c r="L775" s="1" t="str">
        <f>[1]Data!L766</f>
        <v>SLETTET</v>
      </c>
      <c r="M775" s="1">
        <f>[1]Data!M766</f>
        <v>45799</v>
      </c>
      <c r="N775" s="1">
        <f>[1]Data!N766</f>
        <v>44595</v>
      </c>
      <c r="O775" s="1" t="str">
        <f>[1]Data!O766</f>
        <v>X</v>
      </c>
      <c r="P775" s="1" t="str">
        <f>[1]Data!P766</f>
        <v>2025</v>
      </c>
      <c r="Q775" s="15">
        <f>[1]Data!Q766</f>
        <v>0</v>
      </c>
      <c r="R775" s="1" t="str">
        <f>[1]Data!R766</f>
        <v>INAKTIV</v>
      </c>
    </row>
    <row r="776" spans="1:18" x14ac:dyDescent="0.35">
      <c r="A776" s="1" t="str">
        <f>[1]Data!A767</f>
        <v>4009250</v>
      </c>
      <c r="B776" s="1" t="str">
        <f>[1]Data!B767</f>
        <v>3300</v>
      </c>
      <c r="C776" s="1" t="str">
        <f>[1]Data!C767</f>
        <v>3001</v>
      </c>
      <c r="D776" s="1" t="str">
        <f>[1]Data!D767</f>
        <v>DL</v>
      </c>
      <c r="E776" s="1" t="str">
        <f>[1]Data!E767</f>
        <v/>
      </c>
      <c r="F776" s="1" t="str">
        <f>[1]Data!F767</f>
        <v>2026</v>
      </c>
      <c r="G776" s="1" t="str">
        <f>[1]Data!G767</f>
        <v>3</v>
      </c>
      <c r="H776" s="15">
        <f>[1]Data!H767</f>
        <v>192</v>
      </c>
      <c r="I776" s="15">
        <f>[1]Data!I767</f>
        <v>0</v>
      </c>
      <c r="J776" s="1" t="str">
        <f>[1]Data!J767</f>
        <v>X</v>
      </c>
      <c r="K776" s="1" t="str">
        <f>[1]Data!K767</f>
        <v>X</v>
      </c>
      <c r="L776" s="1" t="str">
        <f>[1]Data!L767</f>
        <v>09:12:02</v>
      </c>
      <c r="M776" s="1">
        <f>[1]Data!M767</f>
        <v>45987</v>
      </c>
      <c r="N776" s="1">
        <f>[1]Data!N767</f>
        <v>44600</v>
      </c>
      <c r="O776" s="1" t="str">
        <f>[1]Data!O767</f>
        <v>X</v>
      </c>
      <c r="P776" s="1" t="str">
        <f>[1]Data!P767</f>
        <v>2025</v>
      </c>
      <c r="Q776" s="15">
        <f>[1]Data!Q767</f>
        <v>192</v>
      </c>
      <c r="R776" s="1" t="str">
        <f>[1]Data!R767</f>
        <v/>
      </c>
    </row>
    <row r="777" spans="1:18" x14ac:dyDescent="0.35">
      <c r="A777" s="1" t="str">
        <f>[1]Data!A768</f>
        <v>4009251</v>
      </c>
      <c r="B777" s="1" t="str">
        <f>[1]Data!B768</f>
        <v>3300</v>
      </c>
      <c r="C777" s="1" t="str">
        <f>[1]Data!C768</f>
        <v>3001</v>
      </c>
      <c r="D777" s="1" t="str">
        <f>[1]Data!D768</f>
        <v>DL</v>
      </c>
      <c r="E777" s="1" t="str">
        <f>[1]Data!E768</f>
        <v/>
      </c>
      <c r="F777" s="1" t="str">
        <f>[1]Data!F768</f>
        <v>2026</v>
      </c>
      <c r="G777" s="1" t="str">
        <f>[1]Data!G768</f>
        <v>2</v>
      </c>
      <c r="H777" s="15">
        <f>[1]Data!H768</f>
        <v>100</v>
      </c>
      <c r="I777" s="15">
        <f>[1]Data!I768</f>
        <v>0</v>
      </c>
      <c r="J777" s="1" t="str">
        <f>[1]Data!J768</f>
        <v>X</v>
      </c>
      <c r="K777" s="1" t="str">
        <f>[1]Data!K768</f>
        <v>X</v>
      </c>
      <c r="L777" s="1" t="str">
        <f>[1]Data!L768</f>
        <v>09:11:03</v>
      </c>
      <c r="M777" s="1">
        <f>[1]Data!M768</f>
        <v>45987</v>
      </c>
      <c r="N777" s="1">
        <f>[1]Data!N768</f>
        <v>44595</v>
      </c>
      <c r="O777" s="1" t="str">
        <f>[1]Data!O768</f>
        <v>X</v>
      </c>
      <c r="P777" s="1" t="str">
        <f>[1]Data!P768</f>
        <v>2025</v>
      </c>
      <c r="Q777" s="15">
        <f>[1]Data!Q768</f>
        <v>100</v>
      </c>
      <c r="R777" s="1" t="str">
        <f>[1]Data!R768</f>
        <v/>
      </c>
    </row>
    <row r="778" spans="1:18" x14ac:dyDescent="0.35">
      <c r="A778" s="1" t="str">
        <f>[1]Data!A769</f>
        <v>4009254</v>
      </c>
      <c r="B778" s="1" t="str">
        <f>[1]Data!B769</f>
        <v>3300</v>
      </c>
      <c r="C778" s="1" t="str">
        <f>[1]Data!C769</f>
        <v>3001</v>
      </c>
      <c r="D778" s="1" t="str">
        <f>[1]Data!D769</f>
        <v>DL</v>
      </c>
      <c r="E778" s="1" t="str">
        <f>[1]Data!E769</f>
        <v/>
      </c>
      <c r="F778" s="1" t="str">
        <f>[1]Data!F769</f>
        <v>2026</v>
      </c>
      <c r="G778" s="1" t="str">
        <f>[1]Data!G769</f>
        <v>2</v>
      </c>
      <c r="H778" s="15">
        <f>[1]Data!H769</f>
        <v>22</v>
      </c>
      <c r="I778" s="15">
        <f>[1]Data!I769</f>
        <v>0</v>
      </c>
      <c r="J778" s="1" t="str">
        <f>[1]Data!J769</f>
        <v>X</v>
      </c>
      <c r="K778" s="1" t="str">
        <f>[1]Data!K769</f>
        <v>X</v>
      </c>
      <c r="L778" s="1" t="str">
        <f>[1]Data!L769</f>
        <v>08:07:03</v>
      </c>
      <c r="M778" s="1">
        <f>[1]Data!M769</f>
        <v>45980</v>
      </c>
      <c r="N778" s="1">
        <f>[1]Data!N769</f>
        <v>44595</v>
      </c>
      <c r="O778" s="1" t="str">
        <f>[1]Data!O769</f>
        <v>X</v>
      </c>
      <c r="P778" s="1" t="str">
        <f>[1]Data!P769</f>
        <v>2025</v>
      </c>
      <c r="Q778" s="15">
        <f>[1]Data!Q769</f>
        <v>22</v>
      </c>
      <c r="R778" s="1" t="str">
        <f>[1]Data!R769</f>
        <v/>
      </c>
    </row>
    <row r="779" spans="1:18" x14ac:dyDescent="0.35">
      <c r="A779" s="1" t="str">
        <f>[1]Data!A770</f>
        <v>4009255</v>
      </c>
      <c r="B779" s="1" t="str">
        <f>[1]Data!B770</f>
        <v>3300</v>
      </c>
      <c r="C779" s="1" t="str">
        <f>[1]Data!C770</f>
        <v>3001</v>
      </c>
      <c r="D779" s="1" t="str">
        <f>[1]Data!D770</f>
        <v>DL</v>
      </c>
      <c r="E779" s="1" t="str">
        <f>[1]Data!E770</f>
        <v>X</v>
      </c>
      <c r="F779" s="1" t="str">
        <f>[1]Data!F770</f>
        <v>2022</v>
      </c>
      <c r="G779" s="1" t="str">
        <f>[1]Data!G770</f>
        <v>2</v>
      </c>
      <c r="H779" s="15">
        <f>[1]Data!H770</f>
        <v>0</v>
      </c>
      <c r="I779" s="15">
        <f>[1]Data!I770</f>
        <v>0</v>
      </c>
      <c r="J779" s="1" t="str">
        <f>[1]Data!J770</f>
        <v/>
      </c>
      <c r="K779" s="1" t="str">
        <f>[1]Data!K770</f>
        <v/>
      </c>
      <c r="L779" s="1" t="str">
        <f>[1]Data!L770</f>
        <v/>
      </c>
      <c r="M779" s="1" t="str">
        <f>[1]Data!M770</f>
        <v/>
      </c>
      <c r="N779" s="1">
        <f>[1]Data!N770</f>
        <v>44595</v>
      </c>
      <c r="O779" s="1" t="str">
        <f>[1]Data!O770</f>
        <v>X</v>
      </c>
      <c r="P779" s="1" t="str">
        <f>[1]Data!P770</f>
        <v>2022</v>
      </c>
      <c r="Q779" s="15">
        <f>[1]Data!Q770</f>
        <v>0</v>
      </c>
      <c r="R779" s="1" t="str">
        <f>[1]Data!R770</f>
        <v>INAKTIV</v>
      </c>
    </row>
    <row r="780" spans="1:18" x14ac:dyDescent="0.35">
      <c r="A780" s="1" t="str">
        <f>[1]Data!A771</f>
        <v>4009256</v>
      </c>
      <c r="B780" s="1" t="str">
        <f>[1]Data!B771</f>
        <v>3300</v>
      </c>
      <c r="C780" s="1" t="str">
        <f>[1]Data!C771</f>
        <v>3001</v>
      </c>
      <c r="D780" s="1" t="str">
        <f>[1]Data!D771</f>
        <v>DL</v>
      </c>
      <c r="E780" s="1" t="str">
        <f>[1]Data!E771</f>
        <v/>
      </c>
      <c r="F780" s="1" t="str">
        <f>[1]Data!F771</f>
        <v>2026</v>
      </c>
      <c r="G780" s="1" t="str">
        <f>[1]Data!G771</f>
        <v>3</v>
      </c>
      <c r="H780" s="15">
        <f>[1]Data!H771</f>
        <v>96</v>
      </c>
      <c r="I780" s="15">
        <f>[1]Data!I771</f>
        <v>0</v>
      </c>
      <c r="J780" s="1" t="str">
        <f>[1]Data!J771</f>
        <v>X</v>
      </c>
      <c r="K780" s="1" t="str">
        <f>[1]Data!K771</f>
        <v>X</v>
      </c>
      <c r="L780" s="1" t="str">
        <f>[1]Data!L771</f>
        <v>08:02:02</v>
      </c>
      <c r="M780" s="1">
        <f>[1]Data!M771</f>
        <v>45825</v>
      </c>
      <c r="N780" s="1">
        <f>[1]Data!N771</f>
        <v>44600</v>
      </c>
      <c r="O780" s="1" t="str">
        <f>[1]Data!O771</f>
        <v>X</v>
      </c>
      <c r="P780" s="1" t="str">
        <f>[1]Data!P771</f>
        <v>2025</v>
      </c>
      <c r="Q780" s="15">
        <f>[1]Data!Q771</f>
        <v>96</v>
      </c>
      <c r="R780" s="1" t="str">
        <f>[1]Data!R771</f>
        <v/>
      </c>
    </row>
    <row r="781" spans="1:18" x14ac:dyDescent="0.35">
      <c r="A781" s="1" t="str">
        <f>[1]Data!A772</f>
        <v>4009257</v>
      </c>
      <c r="B781" s="1" t="str">
        <f>[1]Data!B772</f>
        <v>3300</v>
      </c>
      <c r="C781" s="1" t="str">
        <f>[1]Data!C772</f>
        <v>3001</v>
      </c>
      <c r="D781" s="1" t="str">
        <f>[1]Data!D772</f>
        <v>DL</v>
      </c>
      <c r="E781" s="1" t="str">
        <f>[1]Data!E772</f>
        <v/>
      </c>
      <c r="F781" s="1" t="str">
        <f>[1]Data!F772</f>
        <v>2026</v>
      </c>
      <c r="G781" s="1" t="str">
        <f>[1]Data!G772</f>
        <v>2</v>
      </c>
      <c r="H781" s="15">
        <f>[1]Data!H772</f>
        <v>210</v>
      </c>
      <c r="I781" s="15">
        <f>[1]Data!I772</f>
        <v>0</v>
      </c>
      <c r="J781" s="1" t="str">
        <f>[1]Data!J772</f>
        <v>X</v>
      </c>
      <c r="K781" s="1" t="str">
        <f>[1]Data!K772</f>
        <v>X</v>
      </c>
      <c r="L781" s="1" t="str">
        <f>[1]Data!L772</f>
        <v>09:12:03</v>
      </c>
      <c r="M781" s="1">
        <f>[1]Data!M772</f>
        <v>45987</v>
      </c>
      <c r="N781" s="1">
        <f>[1]Data!N772</f>
        <v>44600</v>
      </c>
      <c r="O781" s="1" t="str">
        <f>[1]Data!O772</f>
        <v>X</v>
      </c>
      <c r="P781" s="1" t="str">
        <f>[1]Data!P772</f>
        <v>2025</v>
      </c>
      <c r="Q781" s="15">
        <f>[1]Data!Q772</f>
        <v>210</v>
      </c>
      <c r="R781" s="1" t="str">
        <f>[1]Data!R772</f>
        <v/>
      </c>
    </row>
    <row r="782" spans="1:18" x14ac:dyDescent="0.35">
      <c r="A782" s="1" t="str">
        <f>[1]Data!A773</f>
        <v>4009261</v>
      </c>
      <c r="B782" s="1" t="str">
        <f>[1]Data!B773</f>
        <v>3300</v>
      </c>
      <c r="C782" s="1" t="str">
        <f>[1]Data!C773</f>
        <v>3001</v>
      </c>
      <c r="D782" s="1" t="str">
        <f>[1]Data!D773</f>
        <v>DL</v>
      </c>
      <c r="E782" s="1" t="str">
        <f>[1]Data!E773</f>
        <v/>
      </c>
      <c r="F782" s="1" t="str">
        <f>[1]Data!F773</f>
        <v>2026</v>
      </c>
      <c r="G782" s="1" t="str">
        <f>[1]Data!G773</f>
        <v>2</v>
      </c>
      <c r="H782" s="15">
        <f>[1]Data!H773</f>
        <v>204</v>
      </c>
      <c r="I782" s="15">
        <f>[1]Data!I773</f>
        <v>0</v>
      </c>
      <c r="J782" s="1" t="str">
        <f>[1]Data!J773</f>
        <v>X</v>
      </c>
      <c r="K782" s="1" t="str">
        <f>[1]Data!K773</f>
        <v>X</v>
      </c>
      <c r="L782" s="1" t="str">
        <f>[1]Data!L773</f>
        <v>09:13:01</v>
      </c>
      <c r="M782" s="1">
        <f>[1]Data!M773</f>
        <v>45987</v>
      </c>
      <c r="N782" s="1">
        <f>[1]Data!N773</f>
        <v>44600</v>
      </c>
      <c r="O782" s="1" t="str">
        <f>[1]Data!O773</f>
        <v>X</v>
      </c>
      <c r="P782" s="1" t="str">
        <f>[1]Data!P773</f>
        <v>2025</v>
      </c>
      <c r="Q782" s="15">
        <f>[1]Data!Q773</f>
        <v>204</v>
      </c>
      <c r="R782" s="1" t="str">
        <f>[1]Data!R773</f>
        <v/>
      </c>
    </row>
    <row r="783" spans="1:18" x14ac:dyDescent="0.35">
      <c r="A783" s="1" t="str">
        <f>[1]Data!A774</f>
        <v>4009476</v>
      </c>
      <c r="B783" s="1" t="str">
        <f>[1]Data!B774</f>
        <v>3300</v>
      </c>
      <c r="C783" s="1" t="str">
        <f>[1]Data!C774</f>
        <v>3001</v>
      </c>
      <c r="D783" s="1" t="str">
        <f>[1]Data!D774</f>
        <v>DL</v>
      </c>
      <c r="E783" s="1" t="str">
        <f>[1]Data!E774</f>
        <v/>
      </c>
      <c r="F783" s="1" t="str">
        <f>[1]Data!F774</f>
        <v>2026</v>
      </c>
      <c r="G783" s="1" t="str">
        <f>[1]Data!G774</f>
        <v>2</v>
      </c>
      <c r="H783" s="15">
        <f>[1]Data!H774</f>
        <v>180</v>
      </c>
      <c r="I783" s="15">
        <f>[1]Data!I774</f>
        <v>0</v>
      </c>
      <c r="J783" s="1" t="str">
        <f>[1]Data!J774</f>
        <v>X</v>
      </c>
      <c r="K783" s="1" t="str">
        <f>[1]Data!K774</f>
        <v>X</v>
      </c>
      <c r="L783" s="1" t="str">
        <f>[1]Data!L774</f>
        <v>14:03:01</v>
      </c>
      <c r="M783" s="1">
        <f>[1]Data!M774</f>
        <v>46001</v>
      </c>
      <c r="N783" s="1">
        <f>[1]Data!N774</f>
        <v>44782</v>
      </c>
      <c r="O783" s="1" t="str">
        <f>[1]Data!O774</f>
        <v>X</v>
      </c>
      <c r="P783" s="1" t="str">
        <f>[1]Data!P774</f>
        <v>2025</v>
      </c>
      <c r="Q783" s="15">
        <f>[1]Data!Q774</f>
        <v>180</v>
      </c>
      <c r="R783" s="1" t="str">
        <f>[1]Data!R774</f>
        <v/>
      </c>
    </row>
    <row r="784" spans="1:18" x14ac:dyDescent="0.35">
      <c r="A784" s="1" t="str">
        <f>[1]Data!A775</f>
        <v>4009658</v>
      </c>
      <c r="B784" s="1" t="str">
        <f>[1]Data!B775</f>
        <v>3300</v>
      </c>
      <c r="C784" s="1" t="str">
        <f>[1]Data!C775</f>
        <v>3001</v>
      </c>
      <c r="D784" s="1" t="str">
        <f>[1]Data!D775</f>
        <v>DL</v>
      </c>
      <c r="E784" s="1" t="str">
        <f>[1]Data!E775</f>
        <v/>
      </c>
      <c r="F784" s="1" t="str">
        <f>[1]Data!F775</f>
        <v>2024</v>
      </c>
      <c r="G784" s="1" t="str">
        <f>[1]Data!G775</f>
        <v>5</v>
      </c>
      <c r="H784" s="15">
        <f>[1]Data!H775</f>
        <v>0</v>
      </c>
      <c r="I784" s="15">
        <f>[1]Data!I775</f>
        <v>0</v>
      </c>
      <c r="J784" s="1" t="str">
        <f>[1]Data!J775</f>
        <v/>
      </c>
      <c r="K784" s="1" t="str">
        <f>[1]Data!K775</f>
        <v/>
      </c>
      <c r="L784" s="1" t="str">
        <f>[1]Data!L775</f>
        <v/>
      </c>
      <c r="M784" s="1" t="str">
        <f>[1]Data!M775</f>
        <v/>
      </c>
      <c r="N784" s="1">
        <f>[1]Data!N775</f>
        <v>45436</v>
      </c>
      <c r="O784" s="1" t="str">
        <f>[1]Data!O775</f>
        <v>X</v>
      </c>
      <c r="P784" s="1" t="str">
        <f>[1]Data!P775</f>
        <v>2024</v>
      </c>
      <c r="Q784" s="15">
        <f>[1]Data!Q775</f>
        <v>0</v>
      </c>
      <c r="R784" s="1" t="str">
        <f>[1]Data!R775</f>
        <v>INAKTIV</v>
      </c>
    </row>
    <row r="785" spans="1:18" x14ac:dyDescent="0.35">
      <c r="A785" s="1" t="str">
        <f>[1]Data!A776</f>
        <v>4009675</v>
      </c>
      <c r="B785" s="1" t="str">
        <f>[1]Data!B776</f>
        <v>3300</v>
      </c>
      <c r="C785" s="1" t="str">
        <f>[1]Data!C776</f>
        <v>3001</v>
      </c>
      <c r="D785" s="1" t="str">
        <f>[1]Data!D776</f>
        <v>DL</v>
      </c>
      <c r="E785" s="1" t="str">
        <f>[1]Data!E776</f>
        <v>X</v>
      </c>
      <c r="F785" s="1" t="str">
        <f>[1]Data!F776</f>
        <v>2024</v>
      </c>
      <c r="G785" s="1" t="str">
        <f>[1]Data!G776</f>
        <v>2</v>
      </c>
      <c r="H785" s="15">
        <f>[1]Data!H776</f>
        <v>0</v>
      </c>
      <c r="I785" s="15">
        <f>[1]Data!I776</f>
        <v>0</v>
      </c>
      <c r="J785" s="1" t="str">
        <f>[1]Data!J776</f>
        <v/>
      </c>
      <c r="K785" s="1" t="str">
        <f>[1]Data!K776</f>
        <v/>
      </c>
      <c r="L785" s="1" t="str">
        <f>[1]Data!L776</f>
        <v>SLETTET</v>
      </c>
      <c r="M785" s="1" t="str">
        <f>[1]Data!M776</f>
        <v/>
      </c>
      <c r="N785" s="1">
        <f>[1]Data!N776</f>
        <v>45345</v>
      </c>
      <c r="O785" s="1" t="str">
        <f>[1]Data!O776</f>
        <v>X</v>
      </c>
      <c r="P785" s="1" t="str">
        <f>[1]Data!P776</f>
        <v>2024</v>
      </c>
      <c r="Q785" s="15">
        <f>[1]Data!Q776</f>
        <v>0</v>
      </c>
      <c r="R785" s="1" t="str">
        <f>[1]Data!R776</f>
        <v>INAKTIV</v>
      </c>
    </row>
    <row r="786" spans="1:18" x14ac:dyDescent="0.35">
      <c r="A786" s="1" t="str">
        <f>[1]Data!A777</f>
        <v>4009677</v>
      </c>
      <c r="B786" s="1" t="str">
        <f>[1]Data!B777</f>
        <v>3300</v>
      </c>
      <c r="C786" s="1" t="str">
        <f>[1]Data!C777</f>
        <v>3001</v>
      </c>
      <c r="D786" s="1" t="str">
        <f>[1]Data!D777</f>
        <v>DL</v>
      </c>
      <c r="E786" s="1" t="str">
        <f>[1]Data!E777</f>
        <v>X</v>
      </c>
      <c r="F786" s="1" t="str">
        <f>[1]Data!F777</f>
        <v>2024</v>
      </c>
      <c r="G786" s="1" t="str">
        <f>[1]Data!G777</f>
        <v>2</v>
      </c>
      <c r="H786" s="15">
        <f>[1]Data!H777</f>
        <v>0</v>
      </c>
      <c r="I786" s="15">
        <f>[1]Data!I777</f>
        <v>0</v>
      </c>
      <c r="J786" s="1" t="str">
        <f>[1]Data!J777</f>
        <v/>
      </c>
      <c r="K786" s="1" t="str">
        <f>[1]Data!K777</f>
        <v/>
      </c>
      <c r="L786" s="1" t="str">
        <f>[1]Data!L777</f>
        <v>SLETTET</v>
      </c>
      <c r="M786" s="1" t="str">
        <f>[1]Data!M777</f>
        <v/>
      </c>
      <c r="N786" s="1">
        <f>[1]Data!N777</f>
        <v>45345</v>
      </c>
      <c r="O786" s="1" t="str">
        <f>[1]Data!O777</f>
        <v>X</v>
      </c>
      <c r="P786" s="1" t="str">
        <f>[1]Data!P777</f>
        <v>2024</v>
      </c>
      <c r="Q786" s="15">
        <f>[1]Data!Q777</f>
        <v>0</v>
      </c>
      <c r="R786" s="1" t="str">
        <f>[1]Data!R777</f>
        <v>INAKTIV</v>
      </c>
    </row>
    <row r="787" spans="1:18" x14ac:dyDescent="0.35">
      <c r="A787" s="1" t="str">
        <f>[1]Data!A778</f>
        <v>4009686</v>
      </c>
      <c r="B787" s="1" t="str">
        <f>[1]Data!B778</f>
        <v>3300</v>
      </c>
      <c r="C787" s="1" t="str">
        <f>[1]Data!C778</f>
        <v>3001</v>
      </c>
      <c r="D787" s="1" t="str">
        <f>[1]Data!D778</f>
        <v>DL</v>
      </c>
      <c r="E787" s="1" t="str">
        <f>[1]Data!E778</f>
        <v>X</v>
      </c>
      <c r="F787" s="1" t="str">
        <f>[1]Data!F778</f>
        <v>2024</v>
      </c>
      <c r="G787" s="1" t="str">
        <f>[1]Data!G778</f>
        <v>5</v>
      </c>
      <c r="H787" s="15">
        <f>[1]Data!H778</f>
        <v>0</v>
      </c>
      <c r="I787" s="15">
        <f>[1]Data!I778</f>
        <v>0</v>
      </c>
      <c r="J787" s="1" t="str">
        <f>[1]Data!J778</f>
        <v/>
      </c>
      <c r="K787" s="1" t="str">
        <f>[1]Data!K778</f>
        <v/>
      </c>
      <c r="L787" s="1" t="str">
        <f>[1]Data!L778</f>
        <v>SLETTET</v>
      </c>
      <c r="M787" s="1" t="str">
        <f>[1]Data!M778</f>
        <v/>
      </c>
      <c r="N787" s="1">
        <f>[1]Data!N778</f>
        <v>44841</v>
      </c>
      <c r="O787" s="1" t="str">
        <f>[1]Data!O778</f>
        <v>X</v>
      </c>
      <c r="P787" s="1" t="str">
        <f>[1]Data!P778</f>
        <v>2025</v>
      </c>
      <c r="Q787" s="15">
        <f>[1]Data!Q778</f>
        <v>0</v>
      </c>
      <c r="R787" s="1" t="str">
        <f>[1]Data!R778</f>
        <v>INAKTIV</v>
      </c>
    </row>
    <row r="788" spans="1:18" x14ac:dyDescent="0.35">
      <c r="A788" s="1" t="str">
        <f>[1]Data!A779</f>
        <v>4009745</v>
      </c>
      <c r="B788" s="1" t="str">
        <f>[1]Data!B779</f>
        <v>3300</v>
      </c>
      <c r="C788" s="1" t="str">
        <f>[1]Data!C779</f>
        <v>3001</v>
      </c>
      <c r="D788" s="1" t="str">
        <f>[1]Data!D779</f>
        <v>DL</v>
      </c>
      <c r="E788" s="1" t="str">
        <f>[1]Data!E779</f>
        <v/>
      </c>
      <c r="F788" s="1" t="str">
        <f>[1]Data!F779</f>
        <v>2026</v>
      </c>
      <c r="G788" s="1" t="str">
        <f>[1]Data!G779</f>
        <v>2</v>
      </c>
      <c r="H788" s="15">
        <f>[1]Data!H779</f>
        <v>380</v>
      </c>
      <c r="I788" s="15">
        <f>[1]Data!I779</f>
        <v>0</v>
      </c>
      <c r="J788" s="1" t="str">
        <f>[1]Data!J779</f>
        <v>X</v>
      </c>
      <c r="K788" s="1" t="str">
        <f>[1]Data!K779</f>
        <v>X</v>
      </c>
      <c r="L788" s="1" t="str">
        <f>[1]Data!L779</f>
        <v>09:13:03</v>
      </c>
      <c r="M788" s="1">
        <f>[1]Data!M779</f>
        <v>45987</v>
      </c>
      <c r="N788" s="1">
        <f>[1]Data!N779</f>
        <v>44855</v>
      </c>
      <c r="O788" s="1" t="str">
        <f>[1]Data!O779</f>
        <v>X</v>
      </c>
      <c r="P788" s="1" t="str">
        <f>[1]Data!P779</f>
        <v>2025</v>
      </c>
      <c r="Q788" s="15">
        <f>[1]Data!Q779</f>
        <v>380</v>
      </c>
      <c r="R788" s="1" t="str">
        <f>[1]Data!R779</f>
        <v/>
      </c>
    </row>
    <row r="789" spans="1:18" x14ac:dyDescent="0.35">
      <c r="A789" s="1" t="str">
        <f>[1]Data!A780</f>
        <v>4009890</v>
      </c>
      <c r="B789" s="1" t="str">
        <f>[1]Data!B780</f>
        <v>3300</v>
      </c>
      <c r="C789" s="1" t="str">
        <f>[1]Data!C780</f>
        <v>3001</v>
      </c>
      <c r="D789" s="1" t="str">
        <f>[1]Data!D780</f>
        <v>DL</v>
      </c>
      <c r="E789" s="1" t="str">
        <f>[1]Data!E780</f>
        <v/>
      </c>
      <c r="F789" s="1" t="str">
        <f>[1]Data!F780</f>
        <v>2022</v>
      </c>
      <c r="G789" s="1" t="str">
        <f>[1]Data!G780</f>
        <v>12</v>
      </c>
      <c r="H789" s="15">
        <f>[1]Data!H780</f>
        <v>0</v>
      </c>
      <c r="I789" s="15">
        <f>[1]Data!I780</f>
        <v>0</v>
      </c>
      <c r="J789" s="1" t="str">
        <f>[1]Data!J780</f>
        <v/>
      </c>
      <c r="K789" s="1" t="str">
        <f>[1]Data!K780</f>
        <v/>
      </c>
      <c r="L789" s="1" t="str">
        <f>[1]Data!L780</f>
        <v/>
      </c>
      <c r="M789" s="1" t="str">
        <f>[1]Data!M780</f>
        <v/>
      </c>
      <c r="N789" s="1">
        <f>[1]Data!N780</f>
        <v>44901</v>
      </c>
      <c r="O789" s="1" t="str">
        <f>[1]Data!O780</f>
        <v>X</v>
      </c>
      <c r="P789" s="1" t="str">
        <f>[1]Data!P780</f>
        <v>2022</v>
      </c>
      <c r="Q789" s="15">
        <f>[1]Data!Q780</f>
        <v>0</v>
      </c>
      <c r="R789" s="1" t="str">
        <f>[1]Data!R780</f>
        <v>INAKTIV</v>
      </c>
    </row>
    <row r="790" spans="1:18" x14ac:dyDescent="0.35">
      <c r="A790" s="1" t="str">
        <f>[1]Data!A781</f>
        <v>4009893</v>
      </c>
      <c r="B790" s="1" t="str">
        <f>[1]Data!B781</f>
        <v>3300</v>
      </c>
      <c r="C790" s="1" t="str">
        <f>[1]Data!C781</f>
        <v>3001</v>
      </c>
      <c r="D790" s="1" t="str">
        <f>[1]Data!D781</f>
        <v>DL</v>
      </c>
      <c r="E790" s="1" t="str">
        <f>[1]Data!E781</f>
        <v/>
      </c>
      <c r="F790" s="1" t="str">
        <f>[1]Data!F781</f>
        <v>2023</v>
      </c>
      <c r="G790" s="1" t="str">
        <f>[1]Data!G781</f>
        <v>1</v>
      </c>
      <c r="H790" s="15">
        <f>[1]Data!H781</f>
        <v>0</v>
      </c>
      <c r="I790" s="15">
        <f>[1]Data!I781</f>
        <v>0</v>
      </c>
      <c r="J790" s="1" t="str">
        <f>[1]Data!J781</f>
        <v/>
      </c>
      <c r="K790" s="1" t="str">
        <f>[1]Data!K781</f>
        <v/>
      </c>
      <c r="L790" s="1" t="str">
        <f>[1]Data!L781</f>
        <v>SLETTET</v>
      </c>
      <c r="M790" s="1" t="str">
        <f>[1]Data!M781</f>
        <v/>
      </c>
      <c r="N790" s="1">
        <f>[1]Data!N781</f>
        <v>44900</v>
      </c>
      <c r="O790" s="1" t="str">
        <f>[1]Data!O781</f>
        <v>X</v>
      </c>
      <c r="P790" s="1" t="str">
        <f>[1]Data!P781</f>
        <v>2022</v>
      </c>
      <c r="Q790" s="15">
        <f>[1]Data!Q781</f>
        <v>0</v>
      </c>
      <c r="R790" s="1" t="str">
        <f>[1]Data!R781</f>
        <v>INAKTIV</v>
      </c>
    </row>
    <row r="791" spans="1:18" x14ac:dyDescent="0.35">
      <c r="A791" s="1" t="str">
        <f>[1]Data!A782</f>
        <v>4009895</v>
      </c>
      <c r="B791" s="1" t="str">
        <f>[1]Data!B782</f>
        <v>3300</v>
      </c>
      <c r="C791" s="1" t="str">
        <f>[1]Data!C782</f>
        <v>3001</v>
      </c>
      <c r="D791" s="1" t="str">
        <f>[1]Data!D782</f>
        <v>DL</v>
      </c>
      <c r="E791" s="1" t="str">
        <f>[1]Data!E782</f>
        <v/>
      </c>
      <c r="F791" s="1" t="str">
        <f>[1]Data!F782</f>
        <v>2025</v>
      </c>
      <c r="G791" s="1" t="str">
        <f>[1]Data!G782</f>
        <v>11</v>
      </c>
      <c r="H791" s="15">
        <f>[1]Data!H782</f>
        <v>100</v>
      </c>
      <c r="I791" s="15">
        <f>[1]Data!I782</f>
        <v>0</v>
      </c>
      <c r="J791" s="1" t="str">
        <f>[1]Data!J782</f>
        <v>X</v>
      </c>
      <c r="K791" s="1" t="str">
        <f>[1]Data!K782</f>
        <v>X</v>
      </c>
      <c r="L791" s="1" t="str">
        <f>[1]Data!L782</f>
        <v>09:09:00</v>
      </c>
      <c r="M791" s="1">
        <f>[1]Data!M782</f>
        <v>45987</v>
      </c>
      <c r="N791" s="1">
        <f>[1]Data!N782</f>
        <v>44903</v>
      </c>
      <c r="O791" s="1" t="str">
        <f>[1]Data!O782</f>
        <v>X</v>
      </c>
      <c r="P791" s="1" t="str">
        <f>[1]Data!P782</f>
        <v>2025</v>
      </c>
      <c r="Q791" s="15">
        <f>[1]Data!Q782</f>
        <v>100</v>
      </c>
      <c r="R791" s="1" t="str">
        <f>[1]Data!R782</f>
        <v/>
      </c>
    </row>
    <row r="792" spans="1:18" x14ac:dyDescent="0.35">
      <c r="A792" s="1" t="str">
        <f>[1]Data!A783</f>
        <v>4009896</v>
      </c>
      <c r="B792" s="1" t="str">
        <f>[1]Data!B783</f>
        <v>3300</v>
      </c>
      <c r="C792" s="1" t="str">
        <f>[1]Data!C783</f>
        <v>3001</v>
      </c>
      <c r="D792" s="1" t="str">
        <f>[1]Data!D783</f>
        <v>DL</v>
      </c>
      <c r="E792" s="1" t="str">
        <f>[1]Data!E783</f>
        <v>X</v>
      </c>
      <c r="F792" s="1" t="str">
        <f>[1]Data!F783</f>
        <v>2025</v>
      </c>
      <c r="G792" s="1" t="str">
        <f>[1]Data!G783</f>
        <v>8</v>
      </c>
      <c r="H792" s="15">
        <f>[1]Data!H783</f>
        <v>0</v>
      </c>
      <c r="I792" s="15">
        <f>[1]Data!I783</f>
        <v>0</v>
      </c>
      <c r="J792" s="1" t="str">
        <f>[1]Data!J783</f>
        <v>X</v>
      </c>
      <c r="K792" s="1" t="str">
        <f>[1]Data!K783</f>
        <v>X</v>
      </c>
      <c r="L792" s="1" t="str">
        <f>[1]Data!L783</f>
        <v>SLETTET</v>
      </c>
      <c r="M792" s="1">
        <f>[1]Data!M783</f>
        <v>45455</v>
      </c>
      <c r="N792" s="1">
        <f>[1]Data!N783</f>
        <v>44903</v>
      </c>
      <c r="O792" s="1" t="str">
        <f>[1]Data!O783</f>
        <v>X</v>
      </c>
      <c r="P792" s="1" t="str">
        <f>[1]Data!P783</f>
        <v>2024</v>
      </c>
      <c r="Q792" s="15">
        <f>[1]Data!Q783</f>
        <v>0</v>
      </c>
      <c r="R792" s="1" t="str">
        <f>[1]Data!R783</f>
        <v>INAKTIV</v>
      </c>
    </row>
    <row r="793" spans="1:18" x14ac:dyDescent="0.35">
      <c r="A793" s="1" t="str">
        <f>[1]Data!A784</f>
        <v>4009897</v>
      </c>
      <c r="B793" s="1" t="str">
        <f>[1]Data!B784</f>
        <v>3300</v>
      </c>
      <c r="C793" s="1" t="str">
        <f>[1]Data!C784</f>
        <v>3001</v>
      </c>
      <c r="D793" s="1" t="str">
        <f>[1]Data!D784</f>
        <v>DL</v>
      </c>
      <c r="E793" s="1" t="str">
        <f>[1]Data!E784</f>
        <v/>
      </c>
      <c r="F793" s="1" t="str">
        <f>[1]Data!F784</f>
        <v>2022</v>
      </c>
      <c r="G793" s="1" t="str">
        <f>[1]Data!G784</f>
        <v>12</v>
      </c>
      <c r="H793" s="15">
        <f>[1]Data!H784</f>
        <v>0</v>
      </c>
      <c r="I793" s="15">
        <f>[1]Data!I784</f>
        <v>0</v>
      </c>
      <c r="J793" s="1" t="str">
        <f>[1]Data!J784</f>
        <v/>
      </c>
      <c r="K793" s="1" t="str">
        <f>[1]Data!K784</f>
        <v/>
      </c>
      <c r="L793" s="1" t="str">
        <f>[1]Data!L784</f>
        <v>SLETTET</v>
      </c>
      <c r="M793" s="1" t="str">
        <f>[1]Data!M784</f>
        <v/>
      </c>
      <c r="N793" s="1">
        <f>[1]Data!N784</f>
        <v>44903</v>
      </c>
      <c r="O793" s="1" t="str">
        <f>[1]Data!O784</f>
        <v>X</v>
      </c>
      <c r="P793" s="1" t="str">
        <f>[1]Data!P784</f>
        <v>2025</v>
      </c>
      <c r="Q793" s="15">
        <f>[1]Data!Q784</f>
        <v>0</v>
      </c>
      <c r="R793" s="1" t="str">
        <f>[1]Data!R784</f>
        <v>INAKTIV</v>
      </c>
    </row>
    <row r="794" spans="1:18" x14ac:dyDescent="0.35">
      <c r="A794" s="1" t="str">
        <f>[1]Data!A785</f>
        <v>4009898</v>
      </c>
      <c r="B794" s="1" t="str">
        <f>[1]Data!B785</f>
        <v>3300</v>
      </c>
      <c r="C794" s="1" t="str">
        <f>[1]Data!C785</f>
        <v>3001</v>
      </c>
      <c r="D794" s="1" t="str">
        <f>[1]Data!D785</f>
        <v>DL</v>
      </c>
      <c r="E794" s="1" t="str">
        <f>[1]Data!E785</f>
        <v/>
      </c>
      <c r="F794" s="1" t="str">
        <f>[1]Data!F785</f>
        <v>2026</v>
      </c>
      <c r="G794" s="1" t="str">
        <f>[1]Data!G785</f>
        <v>2</v>
      </c>
      <c r="H794" s="15">
        <f>[1]Data!H785</f>
        <v>270</v>
      </c>
      <c r="I794" s="15">
        <f>[1]Data!I785</f>
        <v>0</v>
      </c>
      <c r="J794" s="1" t="str">
        <f>[1]Data!J785</f>
        <v>X</v>
      </c>
      <c r="K794" s="1" t="str">
        <f>[1]Data!K785</f>
        <v>X</v>
      </c>
      <c r="L794" s="1" t="str">
        <f>[1]Data!L785</f>
        <v>07:04:03</v>
      </c>
      <c r="M794" s="1">
        <f>[1]Data!M785</f>
        <v>45824</v>
      </c>
      <c r="N794" s="1">
        <f>[1]Data!N785</f>
        <v>44903</v>
      </c>
      <c r="O794" s="1" t="str">
        <f>[1]Data!O785</f>
        <v>X</v>
      </c>
      <c r="P794" s="1" t="str">
        <f>[1]Data!P785</f>
        <v>2025</v>
      </c>
      <c r="Q794" s="15">
        <f>[1]Data!Q785</f>
        <v>270</v>
      </c>
      <c r="R794" s="1" t="str">
        <f>[1]Data!R785</f>
        <v/>
      </c>
    </row>
    <row r="795" spans="1:18" x14ac:dyDescent="0.35">
      <c r="A795" s="1" t="str">
        <f>[1]Data!A786</f>
        <v>4009899</v>
      </c>
      <c r="B795" s="1" t="str">
        <f>[1]Data!B786</f>
        <v>3300</v>
      </c>
      <c r="C795" s="1" t="str">
        <f>[1]Data!C786</f>
        <v>3001</v>
      </c>
      <c r="D795" s="1" t="str">
        <f>[1]Data!D786</f>
        <v>DL</v>
      </c>
      <c r="E795" s="1" t="str">
        <f>[1]Data!E786</f>
        <v/>
      </c>
      <c r="F795" s="1" t="str">
        <f>[1]Data!F786</f>
        <v>2026</v>
      </c>
      <c r="G795" s="1" t="str">
        <f>[1]Data!G786</f>
        <v>3</v>
      </c>
      <c r="H795" s="15">
        <f>[1]Data!H786</f>
        <v>290</v>
      </c>
      <c r="I795" s="15">
        <f>[1]Data!I786</f>
        <v>0</v>
      </c>
      <c r="J795" s="1" t="str">
        <f>[1]Data!J786</f>
        <v>X</v>
      </c>
      <c r="K795" s="1" t="str">
        <f>[1]Data!K786</f>
        <v>X</v>
      </c>
      <c r="L795" s="1" t="str">
        <f>[1]Data!L786</f>
        <v>08:07:02</v>
      </c>
      <c r="M795" s="1">
        <f>[1]Data!M786</f>
        <v>45980</v>
      </c>
      <c r="N795" s="1">
        <f>[1]Data!N786</f>
        <v>44903</v>
      </c>
      <c r="O795" s="1" t="str">
        <f>[1]Data!O786</f>
        <v>X</v>
      </c>
      <c r="P795" s="1" t="str">
        <f>[1]Data!P786</f>
        <v>2025</v>
      </c>
      <c r="Q795" s="15">
        <f>[1]Data!Q786</f>
        <v>290</v>
      </c>
      <c r="R795" s="1" t="str">
        <f>[1]Data!R786</f>
        <v/>
      </c>
    </row>
    <row r="796" spans="1:18" x14ac:dyDescent="0.35">
      <c r="A796" s="1" t="str">
        <f>[1]Data!A787</f>
        <v>4009901</v>
      </c>
      <c r="B796" s="1" t="str">
        <f>[1]Data!B787</f>
        <v>3300</v>
      </c>
      <c r="C796" s="1" t="str">
        <f>[1]Data!C787</f>
        <v>3001</v>
      </c>
      <c r="D796" s="1" t="str">
        <f>[1]Data!D787</f>
        <v>DL</v>
      </c>
      <c r="E796" s="1" t="str">
        <f>[1]Data!E787</f>
        <v/>
      </c>
      <c r="F796" s="1" t="str">
        <f>[1]Data!F787</f>
        <v>2022</v>
      </c>
      <c r="G796" s="1" t="str">
        <f>[1]Data!G787</f>
        <v>12</v>
      </c>
      <c r="H796" s="15">
        <f>[1]Data!H787</f>
        <v>0</v>
      </c>
      <c r="I796" s="15">
        <f>[1]Data!I787</f>
        <v>0</v>
      </c>
      <c r="J796" s="1" t="str">
        <f>[1]Data!J787</f>
        <v/>
      </c>
      <c r="K796" s="1" t="str">
        <f>[1]Data!K787</f>
        <v/>
      </c>
      <c r="L796" s="1" t="str">
        <f>[1]Data!L787</f>
        <v/>
      </c>
      <c r="M796" s="1" t="str">
        <f>[1]Data!M787</f>
        <v/>
      </c>
      <c r="N796" s="1">
        <f>[1]Data!N787</f>
        <v>44901</v>
      </c>
      <c r="O796" s="1" t="str">
        <f>[1]Data!O787</f>
        <v>X</v>
      </c>
      <c r="P796" s="1" t="str">
        <f>[1]Data!P787</f>
        <v>2022</v>
      </c>
      <c r="Q796" s="15">
        <f>[1]Data!Q787</f>
        <v>0</v>
      </c>
      <c r="R796" s="1" t="str">
        <f>[1]Data!R787</f>
        <v>INAKTIV</v>
      </c>
    </row>
    <row r="797" spans="1:18" x14ac:dyDescent="0.35">
      <c r="A797" s="1" t="str">
        <f>[1]Data!A788</f>
        <v>4009902</v>
      </c>
      <c r="B797" s="1" t="str">
        <f>[1]Data!B788</f>
        <v>3300</v>
      </c>
      <c r="C797" s="1" t="str">
        <f>[1]Data!C788</f>
        <v>3001</v>
      </c>
      <c r="D797" s="1" t="str">
        <f>[1]Data!D788</f>
        <v>DL</v>
      </c>
      <c r="E797" s="1" t="str">
        <f>[1]Data!E788</f>
        <v/>
      </c>
      <c r="F797" s="1" t="str">
        <f>[1]Data!F788</f>
        <v>2022</v>
      </c>
      <c r="G797" s="1" t="str">
        <f>[1]Data!G788</f>
        <v>12</v>
      </c>
      <c r="H797" s="15">
        <f>[1]Data!H788</f>
        <v>0</v>
      </c>
      <c r="I797" s="15">
        <f>[1]Data!I788</f>
        <v>0</v>
      </c>
      <c r="J797" s="1" t="str">
        <f>[1]Data!J788</f>
        <v/>
      </c>
      <c r="K797" s="1" t="str">
        <f>[1]Data!K788</f>
        <v/>
      </c>
      <c r="L797" s="1" t="str">
        <f>[1]Data!L788</f>
        <v/>
      </c>
      <c r="M797" s="1" t="str">
        <f>[1]Data!M788</f>
        <v/>
      </c>
      <c r="N797" s="1">
        <f>[1]Data!N788</f>
        <v>44901</v>
      </c>
      <c r="O797" s="1" t="str">
        <f>[1]Data!O788</f>
        <v>X</v>
      </c>
      <c r="P797" s="1" t="str">
        <f>[1]Data!P788</f>
        <v>2022</v>
      </c>
      <c r="Q797" s="15">
        <f>[1]Data!Q788</f>
        <v>0</v>
      </c>
      <c r="R797" s="1" t="str">
        <f>[1]Data!R788</f>
        <v>INAKTIV</v>
      </c>
    </row>
    <row r="798" spans="1:18" x14ac:dyDescent="0.35">
      <c r="A798" s="1" t="str">
        <f>[1]Data!A789</f>
        <v>4009903</v>
      </c>
      <c r="B798" s="1" t="str">
        <f>[1]Data!B789</f>
        <v>3300</v>
      </c>
      <c r="C798" s="1" t="str">
        <f>[1]Data!C789</f>
        <v>3001</v>
      </c>
      <c r="D798" s="1" t="str">
        <f>[1]Data!D789</f>
        <v>DL</v>
      </c>
      <c r="E798" s="1" t="str">
        <f>[1]Data!E789</f>
        <v/>
      </c>
      <c r="F798" s="1" t="str">
        <f>[1]Data!F789</f>
        <v>2022</v>
      </c>
      <c r="G798" s="1" t="str">
        <f>[1]Data!G789</f>
        <v>12</v>
      </c>
      <c r="H798" s="15">
        <f>[1]Data!H789</f>
        <v>0</v>
      </c>
      <c r="I798" s="15">
        <f>[1]Data!I789</f>
        <v>0</v>
      </c>
      <c r="J798" s="1" t="str">
        <f>[1]Data!J789</f>
        <v/>
      </c>
      <c r="K798" s="1" t="str">
        <f>[1]Data!K789</f>
        <v/>
      </c>
      <c r="L798" s="1" t="str">
        <f>[1]Data!L789</f>
        <v/>
      </c>
      <c r="M798" s="1" t="str">
        <f>[1]Data!M789</f>
        <v/>
      </c>
      <c r="N798" s="1">
        <f>[1]Data!N789</f>
        <v>44901</v>
      </c>
      <c r="O798" s="1" t="str">
        <f>[1]Data!O789</f>
        <v>X</v>
      </c>
      <c r="P798" s="1" t="str">
        <f>[1]Data!P789</f>
        <v>2022</v>
      </c>
      <c r="Q798" s="15">
        <f>[1]Data!Q789</f>
        <v>0</v>
      </c>
      <c r="R798" s="1" t="str">
        <f>[1]Data!R789</f>
        <v>INAKTIV</v>
      </c>
    </row>
    <row r="799" spans="1:18" x14ac:dyDescent="0.35">
      <c r="A799" s="1" t="str">
        <f>[1]Data!A790</f>
        <v>4009908</v>
      </c>
      <c r="B799" s="1" t="str">
        <f>[1]Data!B790</f>
        <v>3300</v>
      </c>
      <c r="C799" s="1" t="str">
        <f>[1]Data!C790</f>
        <v>3001</v>
      </c>
      <c r="D799" s="1" t="str">
        <f>[1]Data!D790</f>
        <v>DL</v>
      </c>
      <c r="E799" s="1" t="str">
        <f>[1]Data!E790</f>
        <v/>
      </c>
      <c r="F799" s="1" t="str">
        <f>[1]Data!F790</f>
        <v>2023</v>
      </c>
      <c r="G799" s="1" t="str">
        <f>[1]Data!G790</f>
        <v>1</v>
      </c>
      <c r="H799" s="15">
        <f>[1]Data!H790</f>
        <v>0</v>
      </c>
      <c r="I799" s="15">
        <f>[1]Data!I790</f>
        <v>0</v>
      </c>
      <c r="J799" s="1" t="str">
        <f>[1]Data!J790</f>
        <v/>
      </c>
      <c r="K799" s="1" t="str">
        <f>[1]Data!K790</f>
        <v/>
      </c>
      <c r="L799" s="1" t="str">
        <f>[1]Data!L790</f>
        <v>SLETTET</v>
      </c>
      <c r="M799" s="1" t="str">
        <f>[1]Data!M790</f>
        <v/>
      </c>
      <c r="N799" s="1">
        <f>[1]Data!N790</f>
        <v>44904</v>
      </c>
      <c r="O799" s="1" t="str">
        <f>[1]Data!O790</f>
        <v>X</v>
      </c>
      <c r="P799" s="1" t="str">
        <f>[1]Data!P790</f>
        <v>2025</v>
      </c>
      <c r="Q799" s="15">
        <f>[1]Data!Q790</f>
        <v>0</v>
      </c>
      <c r="R799" s="1" t="str">
        <f>[1]Data!R790</f>
        <v>INAKTIV</v>
      </c>
    </row>
    <row r="800" spans="1:18" x14ac:dyDescent="0.35">
      <c r="A800" s="1" t="str">
        <f>[1]Data!A791</f>
        <v>4009909</v>
      </c>
      <c r="B800" s="1" t="str">
        <f>[1]Data!B791</f>
        <v>3300</v>
      </c>
      <c r="C800" s="1" t="str">
        <f>[1]Data!C791</f>
        <v>3001</v>
      </c>
      <c r="D800" s="1" t="str">
        <f>[1]Data!D791</f>
        <v>DL</v>
      </c>
      <c r="E800" s="1" t="str">
        <f>[1]Data!E791</f>
        <v/>
      </c>
      <c r="F800" s="1" t="str">
        <f>[1]Data!F791</f>
        <v>2026</v>
      </c>
      <c r="G800" s="1" t="str">
        <f>[1]Data!G791</f>
        <v>2</v>
      </c>
      <c r="H800" s="15">
        <f>[1]Data!H791</f>
        <v>264</v>
      </c>
      <c r="I800" s="15">
        <f>[1]Data!I791</f>
        <v>0</v>
      </c>
      <c r="J800" s="1" t="str">
        <f>[1]Data!J791</f>
        <v>X</v>
      </c>
      <c r="K800" s="1" t="str">
        <f>[1]Data!K791</f>
        <v>X</v>
      </c>
      <c r="L800" s="1" t="str">
        <f>[1]Data!L791</f>
        <v>05:04:03</v>
      </c>
      <c r="M800" s="1">
        <f>[1]Data!M791</f>
        <v>45803</v>
      </c>
      <c r="N800" s="1">
        <f>[1]Data!N791</f>
        <v>44904</v>
      </c>
      <c r="O800" s="1" t="str">
        <f>[1]Data!O791</f>
        <v>X</v>
      </c>
      <c r="P800" s="1" t="str">
        <f>[1]Data!P791</f>
        <v>2025</v>
      </c>
      <c r="Q800" s="15">
        <f>[1]Data!Q791</f>
        <v>264</v>
      </c>
      <c r="R800" s="1" t="str">
        <f>[1]Data!R791</f>
        <v/>
      </c>
    </row>
    <row r="801" spans="1:18" x14ac:dyDescent="0.35">
      <c r="A801" s="1" t="str">
        <f>[1]Data!A792</f>
        <v>4009910</v>
      </c>
      <c r="B801" s="1" t="str">
        <f>[1]Data!B792</f>
        <v>3300</v>
      </c>
      <c r="C801" s="1" t="str">
        <f>[1]Data!C792</f>
        <v>3001</v>
      </c>
      <c r="D801" s="1" t="str">
        <f>[1]Data!D792</f>
        <v>DL</v>
      </c>
      <c r="E801" s="1" t="str">
        <f>[1]Data!E792</f>
        <v/>
      </c>
      <c r="F801" s="1" t="str">
        <f>[1]Data!F792</f>
        <v>2026</v>
      </c>
      <c r="G801" s="1" t="str">
        <f>[1]Data!G792</f>
        <v>2</v>
      </c>
      <c r="H801" s="15">
        <f>[1]Data!H792</f>
        <v>275</v>
      </c>
      <c r="I801" s="15">
        <f>[1]Data!I792</f>
        <v>0</v>
      </c>
      <c r="J801" s="1" t="str">
        <f>[1]Data!J792</f>
        <v>X</v>
      </c>
      <c r="K801" s="1" t="str">
        <f>[1]Data!K792</f>
        <v>X</v>
      </c>
      <c r="L801" s="1" t="str">
        <f>[1]Data!L792</f>
        <v>03;13:01</v>
      </c>
      <c r="M801" s="1">
        <f>[1]Data!M792</f>
        <v>45798</v>
      </c>
      <c r="N801" s="1">
        <f>[1]Data!N792</f>
        <v>44904</v>
      </c>
      <c r="O801" s="1" t="str">
        <f>[1]Data!O792</f>
        <v>X</v>
      </c>
      <c r="P801" s="1" t="str">
        <f>[1]Data!P792</f>
        <v>2025</v>
      </c>
      <c r="Q801" s="15">
        <f>[1]Data!Q792</f>
        <v>275</v>
      </c>
      <c r="R801" s="1" t="str">
        <f>[1]Data!R792</f>
        <v/>
      </c>
    </row>
    <row r="802" spans="1:18" x14ac:dyDescent="0.35">
      <c r="A802" s="1" t="str">
        <f>[1]Data!A793</f>
        <v>4009911</v>
      </c>
      <c r="B802" s="1" t="str">
        <f>[1]Data!B793</f>
        <v>3300</v>
      </c>
      <c r="C802" s="1" t="str">
        <f>[1]Data!C793</f>
        <v>3001</v>
      </c>
      <c r="D802" s="1" t="str">
        <f>[1]Data!D793</f>
        <v>DL</v>
      </c>
      <c r="E802" s="1" t="str">
        <f>[1]Data!E793</f>
        <v/>
      </c>
      <c r="F802" s="1" t="str">
        <f>[1]Data!F793</f>
        <v>2026</v>
      </c>
      <c r="G802" s="1" t="str">
        <f>[1]Data!G793</f>
        <v>2</v>
      </c>
      <c r="H802" s="15">
        <f>[1]Data!H793</f>
        <v>75</v>
      </c>
      <c r="I802" s="15">
        <f>[1]Data!I793</f>
        <v>0</v>
      </c>
      <c r="J802" s="1" t="str">
        <f>[1]Data!J793</f>
        <v>X</v>
      </c>
      <c r="K802" s="1" t="str">
        <f>[1]Data!K793</f>
        <v>X</v>
      </c>
      <c r="L802" s="1" t="str">
        <f>[1]Data!L793</f>
        <v>09:10:00</v>
      </c>
      <c r="M802" s="1">
        <f>[1]Data!M793</f>
        <v>45987</v>
      </c>
      <c r="N802" s="1">
        <f>[1]Data!N793</f>
        <v>44904</v>
      </c>
      <c r="O802" s="1" t="str">
        <f>[1]Data!O793</f>
        <v>X</v>
      </c>
      <c r="P802" s="1" t="str">
        <f>[1]Data!P793</f>
        <v>2025</v>
      </c>
      <c r="Q802" s="15">
        <f>[1]Data!Q793</f>
        <v>75</v>
      </c>
      <c r="R802" s="1" t="str">
        <f>[1]Data!R793</f>
        <v/>
      </c>
    </row>
    <row r="803" spans="1:18" x14ac:dyDescent="0.35">
      <c r="A803" s="1" t="str">
        <f>[1]Data!A794</f>
        <v>4009912</v>
      </c>
      <c r="B803" s="1" t="str">
        <f>[1]Data!B794</f>
        <v>3300</v>
      </c>
      <c r="C803" s="1" t="str">
        <f>[1]Data!C794</f>
        <v>3001</v>
      </c>
      <c r="D803" s="1" t="str">
        <f>[1]Data!D794</f>
        <v>DL</v>
      </c>
      <c r="E803" s="1" t="str">
        <f>[1]Data!E794</f>
        <v/>
      </c>
      <c r="F803" s="1" t="str">
        <f>[1]Data!F794</f>
        <v>2026</v>
      </c>
      <c r="G803" s="1" t="str">
        <f>[1]Data!G794</f>
        <v>2</v>
      </c>
      <c r="H803" s="15">
        <f>[1]Data!H794</f>
        <v>450</v>
      </c>
      <c r="I803" s="15">
        <f>[1]Data!I794</f>
        <v>0</v>
      </c>
      <c r="J803" s="1" t="str">
        <f>[1]Data!J794</f>
        <v>X</v>
      </c>
      <c r="K803" s="1" t="str">
        <f>[1]Data!K794</f>
        <v>X</v>
      </c>
      <c r="L803" s="1" t="str">
        <f>[1]Data!L794</f>
        <v>09:11:00</v>
      </c>
      <c r="M803" s="1">
        <f>[1]Data!M794</f>
        <v>45987</v>
      </c>
      <c r="N803" s="1">
        <f>[1]Data!N794</f>
        <v>44904</v>
      </c>
      <c r="O803" s="1" t="str">
        <f>[1]Data!O794</f>
        <v>X</v>
      </c>
      <c r="P803" s="1" t="str">
        <f>[1]Data!P794</f>
        <v>2025</v>
      </c>
      <c r="Q803" s="15">
        <f>[1]Data!Q794</f>
        <v>450</v>
      </c>
      <c r="R803" s="1" t="str">
        <f>[1]Data!R794</f>
        <v/>
      </c>
    </row>
    <row r="804" spans="1:18" x14ac:dyDescent="0.35">
      <c r="A804" s="1" t="str">
        <f>[1]Data!A795</f>
        <v>4009913</v>
      </c>
      <c r="B804" s="1" t="str">
        <f>[1]Data!B795</f>
        <v>3300</v>
      </c>
      <c r="C804" s="1" t="str">
        <f>[1]Data!C795</f>
        <v>3001</v>
      </c>
      <c r="D804" s="1" t="str">
        <f>[1]Data!D795</f>
        <v>DL</v>
      </c>
      <c r="E804" s="1" t="str">
        <f>[1]Data!E795</f>
        <v/>
      </c>
      <c r="F804" s="1" t="str">
        <f>[1]Data!F795</f>
        <v>2026</v>
      </c>
      <c r="G804" s="1" t="str">
        <f>[1]Data!G795</f>
        <v>2</v>
      </c>
      <c r="H804" s="15">
        <f>[1]Data!H795</f>
        <v>400</v>
      </c>
      <c r="I804" s="15">
        <f>[1]Data!I795</f>
        <v>0</v>
      </c>
      <c r="J804" s="1" t="str">
        <f>[1]Data!J795</f>
        <v>X</v>
      </c>
      <c r="K804" s="1" t="str">
        <f>[1]Data!K795</f>
        <v>X</v>
      </c>
      <c r="L804" s="1" t="str">
        <f>[1]Data!L795</f>
        <v>09:11:00</v>
      </c>
      <c r="M804" s="1">
        <f>[1]Data!M795</f>
        <v>45987</v>
      </c>
      <c r="N804" s="1">
        <f>[1]Data!N795</f>
        <v>44904</v>
      </c>
      <c r="O804" s="1" t="str">
        <f>[1]Data!O795</f>
        <v>X</v>
      </c>
      <c r="P804" s="1" t="str">
        <f>[1]Data!P795</f>
        <v>2025</v>
      </c>
      <c r="Q804" s="15">
        <f>[1]Data!Q795</f>
        <v>400</v>
      </c>
      <c r="R804" s="1" t="str">
        <f>[1]Data!R795</f>
        <v/>
      </c>
    </row>
    <row r="805" spans="1:18" x14ac:dyDescent="0.35">
      <c r="A805" s="1" t="str">
        <f>[1]Data!A796</f>
        <v>4009914</v>
      </c>
      <c r="B805" s="1" t="str">
        <f>[1]Data!B796</f>
        <v>3300</v>
      </c>
      <c r="C805" s="1" t="str">
        <f>[1]Data!C796</f>
        <v>3001</v>
      </c>
      <c r="D805" s="1" t="str">
        <f>[1]Data!D796</f>
        <v>DL</v>
      </c>
      <c r="E805" s="1" t="str">
        <f>[1]Data!E796</f>
        <v/>
      </c>
      <c r="F805" s="1" t="str">
        <f>[1]Data!F796</f>
        <v>2023</v>
      </c>
      <c r="G805" s="1" t="str">
        <f>[1]Data!G796</f>
        <v>2</v>
      </c>
      <c r="H805" s="15">
        <f>[1]Data!H796</f>
        <v>0</v>
      </c>
      <c r="I805" s="15">
        <f>[1]Data!I796</f>
        <v>0</v>
      </c>
      <c r="J805" s="1" t="str">
        <f>[1]Data!J796</f>
        <v/>
      </c>
      <c r="K805" s="1" t="str">
        <f>[1]Data!K796</f>
        <v/>
      </c>
      <c r="L805" s="1" t="str">
        <f>[1]Data!L796</f>
        <v>SLETTET</v>
      </c>
      <c r="M805" s="1" t="str">
        <f>[1]Data!M796</f>
        <v/>
      </c>
      <c r="N805" s="1">
        <f>[1]Data!N796</f>
        <v>44908</v>
      </c>
      <c r="O805" s="1" t="str">
        <f>[1]Data!O796</f>
        <v>X</v>
      </c>
      <c r="P805" s="1" t="str">
        <f>[1]Data!P796</f>
        <v>2025</v>
      </c>
      <c r="Q805" s="15">
        <f>[1]Data!Q796</f>
        <v>0</v>
      </c>
      <c r="R805" s="1" t="str">
        <f>[1]Data!R796</f>
        <v>INAKTIV</v>
      </c>
    </row>
    <row r="806" spans="1:18" x14ac:dyDescent="0.35">
      <c r="A806" s="1" t="str">
        <f>[1]Data!A797</f>
        <v>4009916</v>
      </c>
      <c r="B806" s="1" t="str">
        <f>[1]Data!B797</f>
        <v>3300</v>
      </c>
      <c r="C806" s="1" t="str">
        <f>[1]Data!C797</f>
        <v>3001</v>
      </c>
      <c r="D806" s="1" t="str">
        <f>[1]Data!D797</f>
        <v>DL</v>
      </c>
      <c r="E806" s="1" t="str">
        <f>[1]Data!E797</f>
        <v/>
      </c>
      <c r="F806" s="1" t="str">
        <f>[1]Data!F797</f>
        <v>2023</v>
      </c>
      <c r="G806" s="1" t="str">
        <f>[1]Data!G797</f>
        <v>7</v>
      </c>
      <c r="H806" s="15">
        <f>[1]Data!H797</f>
        <v>0</v>
      </c>
      <c r="I806" s="15">
        <f>[1]Data!I797</f>
        <v>0</v>
      </c>
      <c r="J806" s="1" t="str">
        <f>[1]Data!J797</f>
        <v/>
      </c>
      <c r="K806" s="1" t="str">
        <f>[1]Data!K797</f>
        <v/>
      </c>
      <c r="L806" s="1" t="str">
        <f>[1]Data!L797</f>
        <v>SLETTET</v>
      </c>
      <c r="M806" s="1" t="str">
        <f>[1]Data!M797</f>
        <v/>
      </c>
      <c r="N806" s="1">
        <f>[1]Data!N797</f>
        <v>44908</v>
      </c>
      <c r="O806" s="1" t="str">
        <f>[1]Data!O797</f>
        <v>X</v>
      </c>
      <c r="P806" s="1" t="str">
        <f>[1]Data!P797</f>
        <v>2024</v>
      </c>
      <c r="Q806" s="15">
        <f>[1]Data!Q797</f>
        <v>0</v>
      </c>
      <c r="R806" s="1" t="str">
        <f>[1]Data!R797</f>
        <v>INAKTIV</v>
      </c>
    </row>
    <row r="807" spans="1:18" x14ac:dyDescent="0.35">
      <c r="A807" s="1" t="str">
        <f>[1]Data!A798</f>
        <v>4015482</v>
      </c>
      <c r="B807" s="1" t="str">
        <f>[1]Data!B798</f>
        <v>3300</v>
      </c>
      <c r="C807" s="1" t="str">
        <f>[1]Data!C798</f>
        <v>3001</v>
      </c>
      <c r="D807" s="1" t="str">
        <f>[1]Data!D798</f>
        <v>DL</v>
      </c>
      <c r="E807" s="1" t="str">
        <f>[1]Data!E798</f>
        <v/>
      </c>
      <c r="F807" s="1" t="str">
        <f>[1]Data!F798</f>
        <v>2026</v>
      </c>
      <c r="G807" s="1" t="str">
        <f>[1]Data!G798</f>
        <v>3</v>
      </c>
      <c r="H807" s="15">
        <f>[1]Data!H798</f>
        <v>440</v>
      </c>
      <c r="I807" s="15">
        <f>[1]Data!I798</f>
        <v>0</v>
      </c>
      <c r="J807" s="1" t="str">
        <f>[1]Data!J798</f>
        <v>X</v>
      </c>
      <c r="K807" s="1" t="str">
        <f>[1]Data!K798</f>
        <v>X</v>
      </c>
      <c r="L807" s="1" t="str">
        <f>[1]Data!L798</f>
        <v>03:12:03</v>
      </c>
      <c r="M807" s="1">
        <f>[1]Data!M798</f>
        <v>45798</v>
      </c>
      <c r="N807" s="1">
        <f>[1]Data!N798</f>
        <v>44918</v>
      </c>
      <c r="O807" s="1" t="str">
        <f>[1]Data!O798</f>
        <v>X</v>
      </c>
      <c r="P807" s="1" t="str">
        <f>[1]Data!P798</f>
        <v>2025</v>
      </c>
      <c r="Q807" s="15">
        <f>[1]Data!Q798</f>
        <v>440</v>
      </c>
      <c r="R807" s="1" t="str">
        <f>[1]Data!R798</f>
        <v/>
      </c>
    </row>
    <row r="808" spans="1:18" x14ac:dyDescent="0.35">
      <c r="A808" s="1" t="str">
        <f>[1]Data!A799</f>
        <v>4015483</v>
      </c>
      <c r="B808" s="1" t="str">
        <f>[1]Data!B799</f>
        <v>3300</v>
      </c>
      <c r="C808" s="1" t="str">
        <f>[1]Data!C799</f>
        <v>3001</v>
      </c>
      <c r="D808" s="1" t="str">
        <f>[1]Data!D799</f>
        <v>DL</v>
      </c>
      <c r="E808" s="1" t="str">
        <f>[1]Data!E799</f>
        <v/>
      </c>
      <c r="F808" s="1" t="str">
        <f>[1]Data!F799</f>
        <v>2026</v>
      </c>
      <c r="G808" s="1" t="str">
        <f>[1]Data!G799</f>
        <v>3</v>
      </c>
      <c r="H808" s="15">
        <f>[1]Data!H799</f>
        <v>455</v>
      </c>
      <c r="I808" s="15">
        <f>[1]Data!I799</f>
        <v>0</v>
      </c>
      <c r="J808" s="1" t="str">
        <f>[1]Data!J799</f>
        <v>X</v>
      </c>
      <c r="K808" s="1" t="str">
        <f>[1]Data!K799</f>
        <v>X</v>
      </c>
      <c r="L808" s="1" t="str">
        <f>[1]Data!L799</f>
        <v>02:03:02</v>
      </c>
      <c r="M808" s="1">
        <f>[1]Data!M799</f>
        <v>45796</v>
      </c>
      <c r="N808" s="1">
        <f>[1]Data!N799</f>
        <v>44918</v>
      </c>
      <c r="O808" s="1" t="str">
        <f>[1]Data!O799</f>
        <v>X</v>
      </c>
      <c r="P808" s="1" t="str">
        <f>[1]Data!P799</f>
        <v>2025</v>
      </c>
      <c r="Q808" s="15">
        <f>[1]Data!Q799</f>
        <v>455</v>
      </c>
      <c r="R808" s="1" t="str">
        <f>[1]Data!R799</f>
        <v/>
      </c>
    </row>
    <row r="809" spans="1:18" x14ac:dyDescent="0.35">
      <c r="A809" s="1" t="str">
        <f>[1]Data!A800</f>
        <v>4024865</v>
      </c>
      <c r="B809" s="1" t="str">
        <f>[1]Data!B800</f>
        <v>3300</v>
      </c>
      <c r="C809" s="1" t="str">
        <f>[1]Data!C800</f>
        <v>3001</v>
      </c>
      <c r="D809" s="1" t="str">
        <f>[1]Data!D800</f>
        <v>L</v>
      </c>
      <c r="E809" s="1" t="str">
        <f>[1]Data!E800</f>
        <v/>
      </c>
      <c r="F809" s="1" t="str">
        <f>[1]Data!F800</f>
        <v>2024</v>
      </c>
      <c r="G809" s="1" t="str">
        <f>[1]Data!G800</f>
        <v>6</v>
      </c>
      <c r="H809" s="15">
        <f>[1]Data!H800</f>
        <v>0</v>
      </c>
      <c r="I809" s="15">
        <f>[1]Data!I800</f>
        <v>0</v>
      </c>
      <c r="J809" s="1" t="str">
        <f>[1]Data!J800</f>
        <v/>
      </c>
      <c r="K809" s="1" t="str">
        <f>[1]Data!K800</f>
        <v/>
      </c>
      <c r="L809" s="1" t="str">
        <f>[1]Data!L800</f>
        <v/>
      </c>
      <c r="M809" s="1" t="str">
        <f>[1]Data!M800</f>
        <v/>
      </c>
      <c r="N809" s="1">
        <f>[1]Data!N800</f>
        <v>45450</v>
      </c>
      <c r="O809" s="1" t="str">
        <f>[1]Data!O800</f>
        <v>X</v>
      </c>
      <c r="P809" s="1" t="str">
        <f>[1]Data!P800</f>
        <v>2024</v>
      </c>
      <c r="Q809" s="15">
        <f>[1]Data!Q800</f>
        <v>0</v>
      </c>
      <c r="R809" s="1" t="str">
        <f>[1]Data!R800</f>
        <v>INAKTIV</v>
      </c>
    </row>
    <row r="810" spans="1:18" x14ac:dyDescent="0.35">
      <c r="A810" s="1" t="str">
        <f>[1]Data!A801</f>
        <v>4024878</v>
      </c>
      <c r="B810" s="1" t="str">
        <f>[1]Data!B801</f>
        <v>3300</v>
      </c>
      <c r="C810" s="1" t="str">
        <f>[1]Data!C801</f>
        <v>3001</v>
      </c>
      <c r="D810" s="1" t="str">
        <f>[1]Data!D801</f>
        <v>DL</v>
      </c>
      <c r="E810" s="1" t="str">
        <f>[1]Data!E801</f>
        <v>X</v>
      </c>
      <c r="F810" s="1" t="str">
        <f>[1]Data!F801</f>
        <v>2024</v>
      </c>
      <c r="G810" s="1" t="str">
        <f>[1]Data!G801</f>
        <v>3</v>
      </c>
      <c r="H810" s="15">
        <f>[1]Data!H801</f>
        <v>0</v>
      </c>
      <c r="I810" s="15">
        <f>[1]Data!I801</f>
        <v>0</v>
      </c>
      <c r="J810" s="1" t="str">
        <f>[1]Data!J801</f>
        <v>X</v>
      </c>
      <c r="K810" s="1" t="str">
        <f>[1]Data!K801</f>
        <v>X</v>
      </c>
      <c r="L810" s="1" t="str">
        <f>[1]Data!L801</f>
        <v>SLETTET</v>
      </c>
      <c r="M810" s="1">
        <f>[1]Data!M801</f>
        <v>45330</v>
      </c>
      <c r="N810" s="1">
        <f>[1]Data!N801</f>
        <v>45036</v>
      </c>
      <c r="O810" s="1" t="str">
        <f>[1]Data!O801</f>
        <v>X</v>
      </c>
      <c r="P810" s="1" t="str">
        <f>[1]Data!P801</f>
        <v>2024</v>
      </c>
      <c r="Q810" s="15">
        <f>[1]Data!Q801</f>
        <v>0</v>
      </c>
      <c r="R810" s="1" t="str">
        <f>[1]Data!R801</f>
        <v>INAKTIV</v>
      </c>
    </row>
    <row r="811" spans="1:18" x14ac:dyDescent="0.35">
      <c r="A811" s="1" t="str">
        <f>[1]Data!A802</f>
        <v>4030741</v>
      </c>
      <c r="B811" s="1" t="str">
        <f>[1]Data!B802</f>
        <v>3300</v>
      </c>
      <c r="C811" s="1" t="str">
        <f>[1]Data!C802</f>
        <v>3001</v>
      </c>
      <c r="D811" s="1" t="str">
        <f>[1]Data!D802</f>
        <v>L</v>
      </c>
      <c r="E811" s="1" t="str">
        <f>[1]Data!E802</f>
        <v/>
      </c>
      <c r="F811" s="1" t="str">
        <f>[1]Data!F802</f>
        <v>2024</v>
      </c>
      <c r="G811" s="1" t="str">
        <f>[1]Data!G802</f>
        <v>6</v>
      </c>
      <c r="H811" s="15">
        <f>[1]Data!H802</f>
        <v>0</v>
      </c>
      <c r="I811" s="15">
        <f>[1]Data!I802</f>
        <v>0</v>
      </c>
      <c r="J811" s="1" t="str">
        <f>[1]Data!J802</f>
        <v/>
      </c>
      <c r="K811" s="1" t="str">
        <f>[1]Data!K802</f>
        <v/>
      </c>
      <c r="L811" s="1" t="str">
        <f>[1]Data!L802</f>
        <v/>
      </c>
      <c r="M811" s="1" t="str">
        <f>[1]Data!M802</f>
        <v/>
      </c>
      <c r="N811" s="1">
        <f>[1]Data!N802</f>
        <v>45450</v>
      </c>
      <c r="O811" s="1" t="str">
        <f>[1]Data!O802</f>
        <v>X</v>
      </c>
      <c r="P811" s="1" t="str">
        <f>[1]Data!P802</f>
        <v>2024</v>
      </c>
      <c r="Q811" s="15">
        <f>[1]Data!Q802</f>
        <v>0</v>
      </c>
      <c r="R811" s="1" t="str">
        <f>[1]Data!R802</f>
        <v>INAKTIV</v>
      </c>
    </row>
    <row r="812" spans="1:18" x14ac:dyDescent="0.35">
      <c r="A812" s="1" t="str">
        <f>[1]Data!A803</f>
        <v>4030746</v>
      </c>
      <c r="B812" s="1" t="str">
        <f>[1]Data!B803</f>
        <v>3300</v>
      </c>
      <c r="C812" s="1" t="str">
        <f>[1]Data!C803</f>
        <v>3001</v>
      </c>
      <c r="D812" s="1" t="str">
        <f>[1]Data!D803</f>
        <v>L</v>
      </c>
      <c r="E812" s="1" t="str">
        <f>[1]Data!E803</f>
        <v/>
      </c>
      <c r="F812" s="1" t="str">
        <f>[1]Data!F803</f>
        <v>2024</v>
      </c>
      <c r="G812" s="1" t="str">
        <f>[1]Data!G803</f>
        <v>6</v>
      </c>
      <c r="H812" s="15">
        <f>[1]Data!H803</f>
        <v>0</v>
      </c>
      <c r="I812" s="15">
        <f>[1]Data!I803</f>
        <v>0</v>
      </c>
      <c r="J812" s="1" t="str">
        <f>[1]Data!J803</f>
        <v/>
      </c>
      <c r="K812" s="1" t="str">
        <f>[1]Data!K803</f>
        <v/>
      </c>
      <c r="L812" s="1" t="str">
        <f>[1]Data!L803</f>
        <v/>
      </c>
      <c r="M812" s="1" t="str">
        <f>[1]Data!M803</f>
        <v/>
      </c>
      <c r="N812" s="1">
        <f>[1]Data!N803</f>
        <v>45450</v>
      </c>
      <c r="O812" s="1" t="str">
        <f>[1]Data!O803</f>
        <v>X</v>
      </c>
      <c r="P812" s="1" t="str">
        <f>[1]Data!P803</f>
        <v>2024</v>
      </c>
      <c r="Q812" s="15">
        <f>[1]Data!Q803</f>
        <v>0</v>
      </c>
      <c r="R812" s="1" t="str">
        <f>[1]Data!R803</f>
        <v>INAKTIV</v>
      </c>
    </row>
    <row r="813" spans="1:18" x14ac:dyDescent="0.35">
      <c r="A813" s="1" t="str">
        <f>[1]Data!A804</f>
        <v>4030760</v>
      </c>
      <c r="B813" s="1" t="str">
        <f>[1]Data!B804</f>
        <v>3300</v>
      </c>
      <c r="C813" s="1" t="str">
        <f>[1]Data!C804</f>
        <v>3001</v>
      </c>
      <c r="D813" s="1" t="str">
        <f>[1]Data!D804</f>
        <v>DL</v>
      </c>
      <c r="E813" s="1" t="str">
        <f>[1]Data!E804</f>
        <v/>
      </c>
      <c r="F813" s="1" t="str">
        <f>[1]Data!F804</f>
        <v>2025</v>
      </c>
      <c r="G813" s="1" t="str">
        <f>[1]Data!G804</f>
        <v>9</v>
      </c>
      <c r="H813" s="15">
        <f>[1]Data!H804</f>
        <v>144</v>
      </c>
      <c r="I813" s="15">
        <f>[1]Data!I804</f>
        <v>0</v>
      </c>
      <c r="J813" s="1" t="str">
        <f>[1]Data!J804</f>
        <v>X</v>
      </c>
      <c r="K813" s="1" t="str">
        <f>[1]Data!K804</f>
        <v/>
      </c>
      <c r="L813" s="1" t="str">
        <f>[1]Data!L804</f>
        <v>01:05:03</v>
      </c>
      <c r="M813" s="1">
        <f>[1]Data!M804</f>
        <v>46029</v>
      </c>
      <c r="N813" s="1">
        <f>[1]Data!N804</f>
        <v>45345</v>
      </c>
      <c r="O813" s="1" t="str">
        <f>[1]Data!O804</f>
        <v>X</v>
      </c>
      <c r="P813" s="1" t="str">
        <f>[1]Data!P804</f>
        <v>2026</v>
      </c>
      <c r="Q813" s="15">
        <f>[1]Data!Q804</f>
        <v>144</v>
      </c>
      <c r="R813" s="1" t="str">
        <f>[1]Data!R804</f>
        <v/>
      </c>
    </row>
    <row r="814" spans="1:18" x14ac:dyDescent="0.35">
      <c r="A814" s="1" t="str">
        <f>[1]Data!A805</f>
        <v>4032343</v>
      </c>
      <c r="B814" s="1" t="str">
        <f>[1]Data!B805</f>
        <v>3300</v>
      </c>
      <c r="C814" s="1" t="str">
        <f>[1]Data!C805</f>
        <v>3001</v>
      </c>
      <c r="D814" s="1" t="str">
        <f>[1]Data!D805</f>
        <v>DL</v>
      </c>
      <c r="E814" s="1" t="str">
        <f>[1]Data!E805</f>
        <v/>
      </c>
      <c r="F814" s="1" t="str">
        <f>[1]Data!F805</f>
        <v>2026</v>
      </c>
      <c r="G814" s="1" t="str">
        <f>[1]Data!G805</f>
        <v>2</v>
      </c>
      <c r="H814" s="15">
        <f>[1]Data!H805</f>
        <v>90</v>
      </c>
      <c r="I814" s="15">
        <f>[1]Data!I805</f>
        <v>0</v>
      </c>
      <c r="J814" s="1" t="str">
        <f>[1]Data!J805</f>
        <v>X</v>
      </c>
      <c r="K814" s="1" t="str">
        <f>[1]Data!K805</f>
        <v>X</v>
      </c>
      <c r="L814" s="1" t="str">
        <f>[1]Data!L805</f>
        <v>16:02:01</v>
      </c>
      <c r="M814" s="1">
        <f>[1]Data!M805</f>
        <v>46006</v>
      </c>
      <c r="N814" s="1">
        <f>[1]Data!N805</f>
        <v>45096</v>
      </c>
      <c r="O814" s="1" t="str">
        <f>[1]Data!O805</f>
        <v>X</v>
      </c>
      <c r="P814" s="1" t="str">
        <f>[1]Data!P805</f>
        <v>2025</v>
      </c>
      <c r="Q814" s="15">
        <f>[1]Data!Q805</f>
        <v>90</v>
      </c>
      <c r="R814" s="1" t="str">
        <f>[1]Data!R805</f>
        <v/>
      </c>
    </row>
    <row r="815" spans="1:18" x14ac:dyDescent="0.35">
      <c r="A815" s="1" t="str">
        <f>[1]Data!A806</f>
        <v>4032344</v>
      </c>
      <c r="B815" s="1" t="str">
        <f>[1]Data!B806</f>
        <v>3300</v>
      </c>
      <c r="C815" s="1" t="str">
        <f>[1]Data!C806</f>
        <v>3001</v>
      </c>
      <c r="D815" s="1" t="str">
        <f>[1]Data!D806</f>
        <v>DL</v>
      </c>
      <c r="E815" s="1" t="str">
        <f>[1]Data!E806</f>
        <v/>
      </c>
      <c r="F815" s="1" t="str">
        <f>[1]Data!F806</f>
        <v>2026</v>
      </c>
      <c r="G815" s="1" t="str">
        <f>[1]Data!G806</f>
        <v>2</v>
      </c>
      <c r="H815" s="15">
        <f>[1]Data!H806</f>
        <v>10</v>
      </c>
      <c r="I815" s="15">
        <f>[1]Data!I806</f>
        <v>0</v>
      </c>
      <c r="J815" s="1" t="str">
        <f>[1]Data!J806</f>
        <v>X</v>
      </c>
      <c r="K815" s="1" t="str">
        <f>[1]Data!K806</f>
        <v>X</v>
      </c>
      <c r="L815" s="1" t="str">
        <f>[1]Data!L806</f>
        <v>08:05:01</v>
      </c>
      <c r="M815" s="1">
        <f>[1]Data!M806</f>
        <v>45980</v>
      </c>
      <c r="N815" s="1">
        <f>[1]Data!N806</f>
        <v>45096</v>
      </c>
      <c r="O815" s="1" t="str">
        <f>[1]Data!O806</f>
        <v>X</v>
      </c>
      <c r="P815" s="1" t="str">
        <f>[1]Data!P806</f>
        <v>2025</v>
      </c>
      <c r="Q815" s="15">
        <f>[1]Data!Q806</f>
        <v>10</v>
      </c>
      <c r="R815" s="1" t="str">
        <f>[1]Data!R806</f>
        <v/>
      </c>
    </row>
    <row r="816" spans="1:18" x14ac:dyDescent="0.35">
      <c r="A816" s="1" t="str">
        <f>[1]Data!A807</f>
        <v>4032345</v>
      </c>
      <c r="B816" s="1" t="str">
        <f>[1]Data!B807</f>
        <v>3300</v>
      </c>
      <c r="C816" s="1" t="str">
        <f>[1]Data!C807</f>
        <v>3001</v>
      </c>
      <c r="D816" s="1" t="str">
        <f>[1]Data!D807</f>
        <v>DL</v>
      </c>
      <c r="E816" s="1" t="str">
        <f>[1]Data!E807</f>
        <v>X</v>
      </c>
      <c r="F816" s="1" t="str">
        <f>[1]Data!F807</f>
        <v>2023</v>
      </c>
      <c r="G816" s="1" t="str">
        <f>[1]Data!G807</f>
        <v>6</v>
      </c>
      <c r="H816" s="15">
        <f>[1]Data!H807</f>
        <v>0</v>
      </c>
      <c r="I816" s="15">
        <f>[1]Data!I807</f>
        <v>0</v>
      </c>
      <c r="J816" s="1" t="str">
        <f>[1]Data!J807</f>
        <v/>
      </c>
      <c r="K816" s="1" t="str">
        <f>[1]Data!K807</f>
        <v/>
      </c>
      <c r="L816" s="1" t="str">
        <f>[1]Data!L807</f>
        <v/>
      </c>
      <c r="M816" s="1" t="str">
        <f>[1]Data!M807</f>
        <v/>
      </c>
      <c r="N816" s="1">
        <f>[1]Data!N807</f>
        <v>45096</v>
      </c>
      <c r="O816" s="1" t="str">
        <f>[1]Data!O807</f>
        <v>X</v>
      </c>
      <c r="P816" s="1" t="str">
        <f>[1]Data!P807</f>
        <v>2023</v>
      </c>
      <c r="Q816" s="15">
        <f>[1]Data!Q807</f>
        <v>0</v>
      </c>
      <c r="R816" s="1" t="str">
        <f>[1]Data!R807</f>
        <v>INAKTIV</v>
      </c>
    </row>
    <row r="817" spans="1:18" x14ac:dyDescent="0.35">
      <c r="A817" s="1" t="str">
        <f>[1]Data!A808</f>
        <v>4032346</v>
      </c>
      <c r="B817" s="1" t="str">
        <f>[1]Data!B808</f>
        <v>3300</v>
      </c>
      <c r="C817" s="1" t="str">
        <f>[1]Data!C808</f>
        <v>3001</v>
      </c>
      <c r="D817" s="1" t="str">
        <f>[1]Data!D808</f>
        <v>DL</v>
      </c>
      <c r="E817" s="1" t="str">
        <f>[1]Data!E808</f>
        <v>X</v>
      </c>
      <c r="F817" s="1" t="str">
        <f>[1]Data!F808</f>
        <v>2023</v>
      </c>
      <c r="G817" s="1" t="str">
        <f>[1]Data!G808</f>
        <v>6</v>
      </c>
      <c r="H817" s="15">
        <f>[1]Data!H808</f>
        <v>0</v>
      </c>
      <c r="I817" s="15">
        <f>[1]Data!I808</f>
        <v>0</v>
      </c>
      <c r="J817" s="1" t="str">
        <f>[1]Data!J808</f>
        <v/>
      </c>
      <c r="K817" s="1" t="str">
        <f>[1]Data!K808</f>
        <v/>
      </c>
      <c r="L817" s="1" t="str">
        <f>[1]Data!L808</f>
        <v/>
      </c>
      <c r="M817" s="1" t="str">
        <f>[1]Data!M808</f>
        <v/>
      </c>
      <c r="N817" s="1">
        <f>[1]Data!N808</f>
        <v>45096</v>
      </c>
      <c r="O817" s="1" t="str">
        <f>[1]Data!O808</f>
        <v>X</v>
      </c>
      <c r="P817" s="1" t="str">
        <f>[1]Data!P808</f>
        <v>2023</v>
      </c>
      <c r="Q817" s="15">
        <f>[1]Data!Q808</f>
        <v>0</v>
      </c>
      <c r="R817" s="1" t="str">
        <f>[1]Data!R808</f>
        <v>INAKTIV</v>
      </c>
    </row>
    <row r="818" spans="1:18" x14ac:dyDescent="0.35">
      <c r="A818" s="1" t="str">
        <f>[1]Data!A809</f>
        <v>4032347</v>
      </c>
      <c r="B818" s="1" t="str">
        <f>[1]Data!B809</f>
        <v>3300</v>
      </c>
      <c r="C818" s="1" t="str">
        <f>[1]Data!C809</f>
        <v>3001</v>
      </c>
      <c r="D818" s="1" t="str">
        <f>[1]Data!D809</f>
        <v>DL</v>
      </c>
      <c r="E818" s="1" t="str">
        <f>[1]Data!E809</f>
        <v>X</v>
      </c>
      <c r="F818" s="1" t="str">
        <f>[1]Data!F809</f>
        <v>2023</v>
      </c>
      <c r="G818" s="1" t="str">
        <f>[1]Data!G809</f>
        <v>6</v>
      </c>
      <c r="H818" s="15">
        <f>[1]Data!H809</f>
        <v>0</v>
      </c>
      <c r="I818" s="15">
        <f>[1]Data!I809</f>
        <v>0</v>
      </c>
      <c r="J818" s="1" t="str">
        <f>[1]Data!J809</f>
        <v/>
      </c>
      <c r="K818" s="1" t="str">
        <f>[1]Data!K809</f>
        <v/>
      </c>
      <c r="L818" s="1" t="str">
        <f>[1]Data!L809</f>
        <v/>
      </c>
      <c r="M818" s="1" t="str">
        <f>[1]Data!M809</f>
        <v/>
      </c>
      <c r="N818" s="1">
        <f>[1]Data!N809</f>
        <v>45096</v>
      </c>
      <c r="O818" s="1" t="str">
        <f>[1]Data!O809</f>
        <v>X</v>
      </c>
      <c r="P818" s="1" t="str">
        <f>[1]Data!P809</f>
        <v>2023</v>
      </c>
      <c r="Q818" s="15">
        <f>[1]Data!Q809</f>
        <v>0</v>
      </c>
      <c r="R818" s="1" t="str">
        <f>[1]Data!R809</f>
        <v>INAKTIV</v>
      </c>
    </row>
    <row r="819" spans="1:18" x14ac:dyDescent="0.35">
      <c r="A819" s="1" t="str">
        <f>[1]Data!A810</f>
        <v>4032348</v>
      </c>
      <c r="B819" s="1" t="str">
        <f>[1]Data!B810</f>
        <v>3300</v>
      </c>
      <c r="C819" s="1" t="str">
        <f>[1]Data!C810</f>
        <v>3001</v>
      </c>
      <c r="D819" s="1" t="str">
        <f>[1]Data!D810</f>
        <v>DL</v>
      </c>
      <c r="E819" s="1" t="str">
        <f>[1]Data!E810</f>
        <v>X</v>
      </c>
      <c r="F819" s="1" t="str">
        <f>[1]Data!F810</f>
        <v>2023</v>
      </c>
      <c r="G819" s="1" t="str">
        <f>[1]Data!G810</f>
        <v>6</v>
      </c>
      <c r="H819" s="15">
        <f>[1]Data!H810</f>
        <v>0</v>
      </c>
      <c r="I819" s="15">
        <f>[1]Data!I810</f>
        <v>0</v>
      </c>
      <c r="J819" s="1" t="str">
        <f>[1]Data!J810</f>
        <v/>
      </c>
      <c r="K819" s="1" t="str">
        <f>[1]Data!K810</f>
        <v/>
      </c>
      <c r="L819" s="1" t="str">
        <f>[1]Data!L810</f>
        <v/>
      </c>
      <c r="M819" s="1" t="str">
        <f>[1]Data!M810</f>
        <v/>
      </c>
      <c r="N819" s="1">
        <f>[1]Data!N810</f>
        <v>45096</v>
      </c>
      <c r="O819" s="1" t="str">
        <f>[1]Data!O810</f>
        <v>X</v>
      </c>
      <c r="P819" s="1" t="str">
        <f>[1]Data!P810</f>
        <v>2023</v>
      </c>
      <c r="Q819" s="15">
        <f>[1]Data!Q810</f>
        <v>0</v>
      </c>
      <c r="R819" s="1" t="str">
        <f>[1]Data!R810</f>
        <v>INAKTIV</v>
      </c>
    </row>
    <row r="820" spans="1:18" x14ac:dyDescent="0.35">
      <c r="A820" s="1" t="str">
        <f>[1]Data!A811</f>
        <v>4032349</v>
      </c>
      <c r="B820" s="1" t="str">
        <f>[1]Data!B811</f>
        <v>3300</v>
      </c>
      <c r="C820" s="1" t="str">
        <f>[1]Data!C811</f>
        <v>3001</v>
      </c>
      <c r="D820" s="1" t="str">
        <f>[1]Data!D811</f>
        <v>DL</v>
      </c>
      <c r="E820" s="1" t="str">
        <f>[1]Data!E811</f>
        <v>X</v>
      </c>
      <c r="F820" s="1" t="str">
        <f>[1]Data!F811</f>
        <v>2023</v>
      </c>
      <c r="G820" s="1" t="str">
        <f>[1]Data!G811</f>
        <v>6</v>
      </c>
      <c r="H820" s="15">
        <f>[1]Data!H811</f>
        <v>0</v>
      </c>
      <c r="I820" s="15">
        <f>[1]Data!I811</f>
        <v>0</v>
      </c>
      <c r="J820" s="1" t="str">
        <f>[1]Data!J811</f>
        <v/>
      </c>
      <c r="K820" s="1" t="str">
        <f>[1]Data!K811</f>
        <v/>
      </c>
      <c r="L820" s="1" t="str">
        <f>[1]Data!L811</f>
        <v/>
      </c>
      <c r="M820" s="1" t="str">
        <f>[1]Data!M811</f>
        <v/>
      </c>
      <c r="N820" s="1">
        <f>[1]Data!N811</f>
        <v>45096</v>
      </c>
      <c r="O820" s="1" t="str">
        <f>[1]Data!O811</f>
        <v>X</v>
      </c>
      <c r="P820" s="1" t="str">
        <f>[1]Data!P811</f>
        <v>2023</v>
      </c>
      <c r="Q820" s="15">
        <f>[1]Data!Q811</f>
        <v>0</v>
      </c>
      <c r="R820" s="1" t="str">
        <f>[1]Data!R811</f>
        <v>INAKTIV</v>
      </c>
    </row>
    <row r="821" spans="1:18" x14ac:dyDescent="0.35">
      <c r="A821" s="1" t="str">
        <f>[1]Data!A812</f>
        <v>4033645</v>
      </c>
      <c r="B821" s="1" t="str">
        <f>[1]Data!B812</f>
        <v>3300</v>
      </c>
      <c r="C821" s="1" t="str">
        <f>[1]Data!C812</f>
        <v>3001</v>
      </c>
      <c r="D821" s="1" t="str">
        <f>[1]Data!D812</f>
        <v>DL</v>
      </c>
      <c r="E821" s="1" t="str">
        <f>[1]Data!E812</f>
        <v/>
      </c>
      <c r="F821" s="1" t="str">
        <f>[1]Data!F812</f>
        <v>2026</v>
      </c>
      <c r="G821" s="1" t="str">
        <f>[1]Data!G812</f>
        <v>2</v>
      </c>
      <c r="H821" s="15">
        <f>[1]Data!H812</f>
        <v>114</v>
      </c>
      <c r="I821" s="15">
        <f>[1]Data!I812</f>
        <v>0</v>
      </c>
      <c r="J821" s="1" t="str">
        <f>[1]Data!J812</f>
        <v>X</v>
      </c>
      <c r="K821" s="1" t="str">
        <f>[1]Data!K812</f>
        <v/>
      </c>
      <c r="L821" s="1" t="str">
        <f>[1]Data!L812</f>
        <v>11:12:02</v>
      </c>
      <c r="M821" s="1">
        <f>[1]Data!M812</f>
        <v>46030</v>
      </c>
      <c r="N821" s="1">
        <f>[1]Data!N812</f>
        <v>45345</v>
      </c>
      <c r="O821" s="1" t="str">
        <f>[1]Data!O812</f>
        <v>X</v>
      </c>
      <c r="P821" s="1" t="str">
        <f>[1]Data!P812</f>
        <v>2026</v>
      </c>
      <c r="Q821" s="15">
        <f>[1]Data!Q812</f>
        <v>114</v>
      </c>
      <c r="R821" s="1" t="str">
        <f>[1]Data!R812</f>
        <v/>
      </c>
    </row>
    <row r="822" spans="1:18" x14ac:dyDescent="0.35">
      <c r="A822" s="1" t="str">
        <f>[1]Data!A813</f>
        <v>4033646</v>
      </c>
      <c r="B822" s="1" t="str">
        <f>[1]Data!B813</f>
        <v>3300</v>
      </c>
      <c r="C822" s="1" t="str">
        <f>[1]Data!C813</f>
        <v>3001</v>
      </c>
      <c r="D822" s="1" t="str">
        <f>[1]Data!D813</f>
        <v>DL</v>
      </c>
      <c r="E822" s="1" t="str">
        <f>[1]Data!E813</f>
        <v/>
      </c>
      <c r="F822" s="1" t="str">
        <f>[1]Data!F813</f>
        <v>2026</v>
      </c>
      <c r="G822" s="1" t="str">
        <f>[1]Data!G813</f>
        <v>2</v>
      </c>
      <c r="H822" s="15">
        <f>[1]Data!H813</f>
        <v>132</v>
      </c>
      <c r="I822" s="15">
        <f>[1]Data!I813</f>
        <v>0</v>
      </c>
      <c r="J822" s="1" t="str">
        <f>[1]Data!J813</f>
        <v>X</v>
      </c>
      <c r="K822" s="1" t="str">
        <f>[1]Data!K813</f>
        <v/>
      </c>
      <c r="L822" s="1" t="str">
        <f>[1]Data!L813</f>
        <v>12:04:02</v>
      </c>
      <c r="M822" s="1">
        <f>[1]Data!M813</f>
        <v>46030</v>
      </c>
      <c r="N822" s="1">
        <f>[1]Data!N813</f>
        <v>45345</v>
      </c>
      <c r="O822" s="1" t="str">
        <f>[1]Data!O813</f>
        <v>X</v>
      </c>
      <c r="P822" s="1" t="str">
        <f>[1]Data!P813</f>
        <v>2026</v>
      </c>
      <c r="Q822" s="15">
        <f>[1]Data!Q813</f>
        <v>132</v>
      </c>
      <c r="R822" s="1" t="str">
        <f>[1]Data!R813</f>
        <v/>
      </c>
    </row>
    <row r="823" spans="1:18" x14ac:dyDescent="0.35">
      <c r="A823" s="1" t="str">
        <f>[1]Data!A814</f>
        <v>4033654</v>
      </c>
      <c r="B823" s="1" t="str">
        <f>[1]Data!B814</f>
        <v>3300</v>
      </c>
      <c r="C823" s="1" t="str">
        <f>[1]Data!C814</f>
        <v>3001</v>
      </c>
      <c r="D823" s="1" t="str">
        <f>[1]Data!D814</f>
        <v>DL</v>
      </c>
      <c r="E823" s="1" t="str">
        <f>[1]Data!E814</f>
        <v/>
      </c>
      <c r="F823" s="1" t="str">
        <f>[1]Data!F814</f>
        <v>2024</v>
      </c>
      <c r="G823" s="1" t="str">
        <f>[1]Data!G814</f>
        <v>5</v>
      </c>
      <c r="H823" s="15">
        <f>[1]Data!H814</f>
        <v>0</v>
      </c>
      <c r="I823" s="15">
        <f>[1]Data!I814</f>
        <v>0</v>
      </c>
      <c r="J823" s="1" t="str">
        <f>[1]Data!J814</f>
        <v/>
      </c>
      <c r="K823" s="1" t="str">
        <f>[1]Data!K814</f>
        <v/>
      </c>
      <c r="L823" s="1" t="str">
        <f>[1]Data!L814</f>
        <v/>
      </c>
      <c r="M823" s="1" t="str">
        <f>[1]Data!M814</f>
        <v/>
      </c>
      <c r="N823" s="1">
        <f>[1]Data!N814</f>
        <v>45436</v>
      </c>
      <c r="O823" s="1" t="str">
        <f>[1]Data!O814</f>
        <v>X</v>
      </c>
      <c r="P823" s="1" t="str">
        <f>[1]Data!P814</f>
        <v>2024</v>
      </c>
      <c r="Q823" s="15">
        <f>[1]Data!Q814</f>
        <v>0</v>
      </c>
      <c r="R823" s="1" t="str">
        <f>[1]Data!R814</f>
        <v>INAKTIV</v>
      </c>
    </row>
    <row r="824" spans="1:18" x14ac:dyDescent="0.35">
      <c r="A824" s="1" t="str">
        <f>[1]Data!A815</f>
        <v>4033674</v>
      </c>
      <c r="B824" s="1" t="str">
        <f>[1]Data!B815</f>
        <v>3300</v>
      </c>
      <c r="C824" s="1" t="str">
        <f>[1]Data!C815</f>
        <v>3001</v>
      </c>
      <c r="D824" s="1" t="str">
        <f>[1]Data!D815</f>
        <v>DL</v>
      </c>
      <c r="E824" s="1" t="str">
        <f>[1]Data!E815</f>
        <v/>
      </c>
      <c r="F824" s="1" t="str">
        <f>[1]Data!F815</f>
        <v>2026</v>
      </c>
      <c r="G824" s="1" t="str">
        <f>[1]Data!G815</f>
        <v>3</v>
      </c>
      <c r="H824" s="15">
        <f>[1]Data!H815</f>
        <v>195</v>
      </c>
      <c r="I824" s="15">
        <f>[1]Data!I815</f>
        <v>0</v>
      </c>
      <c r="J824" s="1" t="str">
        <f>[1]Data!J815</f>
        <v>X</v>
      </c>
      <c r="K824" s="1" t="str">
        <f>[1]Data!K815</f>
        <v>X</v>
      </c>
      <c r="L824" s="1" t="str">
        <f>[1]Data!L815</f>
        <v>07:11:04</v>
      </c>
      <c r="M824" s="1">
        <f>[1]Data!M815</f>
        <v>45825</v>
      </c>
      <c r="N824" s="1">
        <f>[1]Data!N815</f>
        <v>45187</v>
      </c>
      <c r="O824" s="1" t="str">
        <f>[1]Data!O815</f>
        <v>X</v>
      </c>
      <c r="P824" s="1" t="str">
        <f>[1]Data!P815</f>
        <v>2025</v>
      </c>
      <c r="Q824" s="15">
        <f>[1]Data!Q815</f>
        <v>195</v>
      </c>
      <c r="R824" s="1" t="str">
        <f>[1]Data!R815</f>
        <v/>
      </c>
    </row>
    <row r="825" spans="1:18" x14ac:dyDescent="0.35">
      <c r="A825" s="1" t="str">
        <f>[1]Data!A816</f>
        <v>4033704</v>
      </c>
      <c r="B825" s="1" t="str">
        <f>[1]Data!B816</f>
        <v>3300</v>
      </c>
      <c r="C825" s="1" t="str">
        <f>[1]Data!C816</f>
        <v>3001</v>
      </c>
      <c r="D825" s="1" t="str">
        <f>[1]Data!D816</f>
        <v>DL</v>
      </c>
      <c r="E825" s="1" t="str">
        <f>[1]Data!E816</f>
        <v/>
      </c>
      <c r="F825" s="1" t="str">
        <f>[1]Data!F816</f>
        <v>2026</v>
      </c>
      <c r="G825" s="1" t="str">
        <f>[1]Data!G816</f>
        <v>3</v>
      </c>
      <c r="H825" s="15">
        <f>[1]Data!H816</f>
        <v>12</v>
      </c>
      <c r="I825" s="15">
        <f>[1]Data!I816</f>
        <v>0</v>
      </c>
      <c r="J825" s="1" t="str">
        <f>[1]Data!J816</f>
        <v>X</v>
      </c>
      <c r="K825" s="1" t="str">
        <f>[1]Data!K816</f>
        <v>X</v>
      </c>
      <c r="L825" s="1" t="str">
        <f>[1]Data!L816</f>
        <v>03:03:03</v>
      </c>
      <c r="M825" s="1">
        <f>[1]Data!M816</f>
        <v>45798</v>
      </c>
      <c r="N825" s="1">
        <f>[1]Data!N816</f>
        <v>45197</v>
      </c>
      <c r="O825" s="1" t="str">
        <f>[1]Data!O816</f>
        <v>X</v>
      </c>
      <c r="P825" s="1" t="str">
        <f>[1]Data!P816</f>
        <v>2025</v>
      </c>
      <c r="Q825" s="15">
        <f>[1]Data!Q816</f>
        <v>12</v>
      </c>
      <c r="R825" s="1" t="str">
        <f>[1]Data!R816</f>
        <v/>
      </c>
    </row>
    <row r="826" spans="1:18" x14ac:dyDescent="0.35">
      <c r="A826" s="1" t="str">
        <f>[1]Data!A817</f>
        <v>4033705</v>
      </c>
      <c r="B826" s="1" t="str">
        <f>[1]Data!B817</f>
        <v>3300</v>
      </c>
      <c r="C826" s="1" t="str">
        <f>[1]Data!C817</f>
        <v>3001</v>
      </c>
      <c r="D826" s="1" t="str">
        <f>[1]Data!D817</f>
        <v>DL</v>
      </c>
      <c r="E826" s="1" t="str">
        <f>[1]Data!E817</f>
        <v/>
      </c>
      <c r="F826" s="1" t="str">
        <f>[1]Data!F817</f>
        <v>2023</v>
      </c>
      <c r="G826" s="1" t="str">
        <f>[1]Data!G817</f>
        <v>9</v>
      </c>
      <c r="H826" s="15">
        <f>[1]Data!H817</f>
        <v>0</v>
      </c>
      <c r="I826" s="15">
        <f>[1]Data!I817</f>
        <v>0</v>
      </c>
      <c r="J826" s="1" t="str">
        <f>[1]Data!J817</f>
        <v/>
      </c>
      <c r="K826" s="1" t="str">
        <f>[1]Data!K817</f>
        <v/>
      </c>
      <c r="L826" s="1" t="str">
        <f>[1]Data!L817</f>
        <v/>
      </c>
      <c r="M826" s="1" t="str">
        <f>[1]Data!M817</f>
        <v/>
      </c>
      <c r="N826" s="1">
        <f>[1]Data!N817</f>
        <v>45197</v>
      </c>
      <c r="O826" s="1" t="str">
        <f>[1]Data!O817</f>
        <v>X</v>
      </c>
      <c r="P826" s="1" t="str">
        <f>[1]Data!P817</f>
        <v>2023</v>
      </c>
      <c r="Q826" s="15">
        <f>[1]Data!Q817</f>
        <v>0</v>
      </c>
      <c r="R826" s="1" t="str">
        <f>[1]Data!R817</f>
        <v>INAKTIV</v>
      </c>
    </row>
    <row r="827" spans="1:18" x14ac:dyDescent="0.35">
      <c r="A827" s="1" t="str">
        <f>[1]Data!A818</f>
        <v>4033706</v>
      </c>
      <c r="B827" s="1" t="str">
        <f>[1]Data!B818</f>
        <v>3300</v>
      </c>
      <c r="C827" s="1" t="str">
        <f>[1]Data!C818</f>
        <v>3001</v>
      </c>
      <c r="D827" s="1" t="str">
        <f>[1]Data!D818</f>
        <v>DL</v>
      </c>
      <c r="E827" s="1" t="str">
        <f>[1]Data!E818</f>
        <v/>
      </c>
      <c r="F827" s="1" t="str">
        <f>[1]Data!F818</f>
        <v>2026</v>
      </c>
      <c r="G827" s="1" t="str">
        <f>[1]Data!G818</f>
        <v>2</v>
      </c>
      <c r="H827" s="15">
        <f>[1]Data!H818</f>
        <v>0</v>
      </c>
      <c r="I827" s="15">
        <f>[1]Data!I818</f>
        <v>0</v>
      </c>
      <c r="J827" s="1" t="str">
        <f>[1]Data!J818</f>
        <v>X</v>
      </c>
      <c r="K827" s="1" t="str">
        <f>[1]Data!K818</f>
        <v>X</v>
      </c>
      <c r="L827" s="1" t="str">
        <f>[1]Data!L818</f>
        <v>03:01:02</v>
      </c>
      <c r="M827" s="1">
        <f>[1]Data!M818</f>
        <v>45798</v>
      </c>
      <c r="N827" s="1">
        <f>[1]Data!N818</f>
        <v>45197</v>
      </c>
      <c r="O827" s="1" t="str">
        <f>[1]Data!O818</f>
        <v>X</v>
      </c>
      <c r="P827" s="1" t="str">
        <f>[1]Data!P818</f>
        <v>2025</v>
      </c>
      <c r="Q827" s="15">
        <f>[1]Data!Q818</f>
        <v>0</v>
      </c>
      <c r="R827" s="1" t="str">
        <f>[1]Data!R818</f>
        <v>INAKTIV</v>
      </c>
    </row>
    <row r="828" spans="1:18" x14ac:dyDescent="0.35">
      <c r="A828" s="1" t="str">
        <f>[1]Data!A819</f>
        <v>4035929</v>
      </c>
      <c r="B828" s="1" t="str">
        <f>[1]Data!B819</f>
        <v>3300</v>
      </c>
      <c r="C828" s="1" t="str">
        <f>[1]Data!C819</f>
        <v>3001</v>
      </c>
      <c r="D828" s="1" t="str">
        <f>[1]Data!D819</f>
        <v>DL</v>
      </c>
      <c r="E828" s="1" t="str">
        <f>[1]Data!E819</f>
        <v/>
      </c>
      <c r="F828" s="1" t="str">
        <f>[1]Data!F819</f>
        <v>2026</v>
      </c>
      <c r="G828" s="1" t="str">
        <f>[1]Data!G819</f>
        <v>2</v>
      </c>
      <c r="H828" s="15">
        <f>[1]Data!H819</f>
        <v>65</v>
      </c>
      <c r="I828" s="15">
        <f>[1]Data!I819</f>
        <v>0</v>
      </c>
      <c r="J828" s="1" t="str">
        <f>[1]Data!J819</f>
        <v>X</v>
      </c>
      <c r="K828" s="1" t="str">
        <f>[1]Data!K819</f>
        <v>X</v>
      </c>
      <c r="L828" s="1" t="str">
        <f>[1]Data!L819</f>
        <v>14:06:03</v>
      </c>
      <c r="M828" s="1">
        <f>[1]Data!M819</f>
        <v>46001</v>
      </c>
      <c r="N828" s="1">
        <f>[1]Data!N819</f>
        <v>45275</v>
      </c>
      <c r="O828" s="1" t="str">
        <f>[1]Data!O819</f>
        <v>X</v>
      </c>
      <c r="P828" s="1" t="str">
        <f>[1]Data!P819</f>
        <v>2025</v>
      </c>
      <c r="Q828" s="15">
        <f>[1]Data!Q819</f>
        <v>65</v>
      </c>
      <c r="R828" s="1" t="str">
        <f>[1]Data!R819</f>
        <v/>
      </c>
    </row>
    <row r="829" spans="1:18" x14ac:dyDescent="0.35">
      <c r="A829" s="1" t="str">
        <f>[1]Data!A820</f>
        <v>4035930</v>
      </c>
      <c r="B829" s="1" t="str">
        <f>[1]Data!B820</f>
        <v>3300</v>
      </c>
      <c r="C829" s="1" t="str">
        <f>[1]Data!C820</f>
        <v>3001</v>
      </c>
      <c r="D829" s="1" t="str">
        <f>[1]Data!D820</f>
        <v>DL</v>
      </c>
      <c r="E829" s="1" t="str">
        <f>[1]Data!E820</f>
        <v/>
      </c>
      <c r="F829" s="1" t="str">
        <f>[1]Data!F820</f>
        <v>2026</v>
      </c>
      <c r="G829" s="1" t="str">
        <f>[1]Data!G820</f>
        <v>3</v>
      </c>
      <c r="H829" s="15">
        <f>[1]Data!H820</f>
        <v>55</v>
      </c>
      <c r="I829" s="15">
        <f>[1]Data!I820</f>
        <v>0</v>
      </c>
      <c r="J829" s="1" t="str">
        <f>[1]Data!J820</f>
        <v>X</v>
      </c>
      <c r="K829" s="1" t="str">
        <f>[1]Data!K820</f>
        <v>X</v>
      </c>
      <c r="L829" s="1" t="str">
        <f>[1]Data!L820</f>
        <v>14:06:02</v>
      </c>
      <c r="M829" s="1">
        <f>[1]Data!M820</f>
        <v>46001</v>
      </c>
      <c r="N829" s="1">
        <f>[1]Data!N820</f>
        <v>45275</v>
      </c>
      <c r="O829" s="1" t="str">
        <f>[1]Data!O820</f>
        <v>X</v>
      </c>
      <c r="P829" s="1" t="str">
        <f>[1]Data!P820</f>
        <v>2025</v>
      </c>
      <c r="Q829" s="15">
        <f>[1]Data!Q820</f>
        <v>55</v>
      </c>
      <c r="R829" s="1" t="str">
        <f>[1]Data!R820</f>
        <v/>
      </c>
    </row>
    <row r="830" spans="1:18" x14ac:dyDescent="0.35">
      <c r="A830" s="1" t="str">
        <f>[1]Data!A821</f>
        <v>4035931</v>
      </c>
      <c r="B830" s="1" t="str">
        <f>[1]Data!B821</f>
        <v>3300</v>
      </c>
      <c r="C830" s="1" t="str">
        <f>[1]Data!C821</f>
        <v>3001</v>
      </c>
      <c r="D830" s="1" t="str">
        <f>[1]Data!D821</f>
        <v>DL</v>
      </c>
      <c r="E830" s="1" t="str">
        <f>[1]Data!E821</f>
        <v/>
      </c>
      <c r="F830" s="1" t="str">
        <f>[1]Data!F821</f>
        <v>2026</v>
      </c>
      <c r="G830" s="1" t="str">
        <f>[1]Data!G821</f>
        <v>3</v>
      </c>
      <c r="H830" s="15">
        <f>[1]Data!H821</f>
        <v>65</v>
      </c>
      <c r="I830" s="15">
        <f>[1]Data!I821</f>
        <v>0</v>
      </c>
      <c r="J830" s="1" t="str">
        <f>[1]Data!J821</f>
        <v>X</v>
      </c>
      <c r="K830" s="1" t="str">
        <f>[1]Data!K821</f>
        <v>X</v>
      </c>
      <c r="L830" s="1" t="str">
        <f>[1]Data!L821</f>
        <v>14:06:01</v>
      </c>
      <c r="M830" s="1">
        <f>[1]Data!M821</f>
        <v>46001</v>
      </c>
      <c r="N830" s="1">
        <f>[1]Data!N821</f>
        <v>45275</v>
      </c>
      <c r="O830" s="1" t="str">
        <f>[1]Data!O821</f>
        <v>X</v>
      </c>
      <c r="P830" s="1" t="str">
        <f>[1]Data!P821</f>
        <v>2025</v>
      </c>
      <c r="Q830" s="15">
        <f>[1]Data!Q821</f>
        <v>65</v>
      </c>
      <c r="R830" s="1" t="str">
        <f>[1]Data!R821</f>
        <v/>
      </c>
    </row>
    <row r="831" spans="1:18" x14ac:dyDescent="0.35">
      <c r="A831" s="1" t="str">
        <f>[1]Data!A822</f>
        <v>4035932</v>
      </c>
      <c r="B831" s="1" t="str">
        <f>[1]Data!B822</f>
        <v>3300</v>
      </c>
      <c r="C831" s="1" t="str">
        <f>[1]Data!C822</f>
        <v>3001</v>
      </c>
      <c r="D831" s="1" t="str">
        <f>[1]Data!D822</f>
        <v>DL</v>
      </c>
      <c r="E831" s="1" t="str">
        <f>[1]Data!E822</f>
        <v/>
      </c>
      <c r="F831" s="1" t="str">
        <f>[1]Data!F822</f>
        <v>2023</v>
      </c>
      <c r="G831" s="1" t="str">
        <f>[1]Data!G822</f>
        <v>12</v>
      </c>
      <c r="H831" s="15">
        <f>[1]Data!H822</f>
        <v>0</v>
      </c>
      <c r="I831" s="15">
        <f>[1]Data!I822</f>
        <v>0</v>
      </c>
      <c r="J831" s="1" t="str">
        <f>[1]Data!J822</f>
        <v/>
      </c>
      <c r="K831" s="1" t="str">
        <f>[1]Data!K822</f>
        <v/>
      </c>
      <c r="L831" s="1" t="str">
        <f>[1]Data!L822</f>
        <v/>
      </c>
      <c r="M831" s="1" t="str">
        <f>[1]Data!M822</f>
        <v/>
      </c>
      <c r="N831" s="1">
        <f>[1]Data!N822</f>
        <v>45275</v>
      </c>
      <c r="O831" s="1" t="str">
        <f>[1]Data!O822</f>
        <v>X</v>
      </c>
      <c r="P831" s="1" t="str">
        <f>[1]Data!P822</f>
        <v>2023</v>
      </c>
      <c r="Q831" s="15">
        <f>[1]Data!Q822</f>
        <v>0</v>
      </c>
      <c r="R831" s="1" t="str">
        <f>[1]Data!R822</f>
        <v>INAKTIV</v>
      </c>
    </row>
    <row r="832" spans="1:18" x14ac:dyDescent="0.35">
      <c r="A832" s="1" t="str">
        <f>[1]Data!A823</f>
        <v>4035935</v>
      </c>
      <c r="B832" s="1" t="str">
        <f>[1]Data!B823</f>
        <v>3300</v>
      </c>
      <c r="C832" s="1" t="str">
        <f>[1]Data!C823</f>
        <v>3001</v>
      </c>
      <c r="D832" s="1" t="str">
        <f>[1]Data!D823</f>
        <v>DL</v>
      </c>
      <c r="E832" s="1" t="str">
        <f>[1]Data!E823</f>
        <v/>
      </c>
      <c r="F832" s="1" t="str">
        <f>[1]Data!F823</f>
        <v>2026</v>
      </c>
      <c r="G832" s="1" t="str">
        <f>[1]Data!G823</f>
        <v>1</v>
      </c>
      <c r="H832" s="15">
        <f>[1]Data!H823</f>
        <v>500</v>
      </c>
      <c r="I832" s="15">
        <f>[1]Data!I823</f>
        <v>0</v>
      </c>
      <c r="J832" s="1" t="str">
        <f>[1]Data!J823</f>
        <v>X</v>
      </c>
      <c r="K832" s="1" t="str">
        <f>[1]Data!K823</f>
        <v/>
      </c>
      <c r="L832" s="1" t="str">
        <f>[1]Data!L823</f>
        <v>11:11:03*</v>
      </c>
      <c r="M832" s="1">
        <f>[1]Data!M823</f>
        <v>46030</v>
      </c>
      <c r="N832" s="1">
        <f>[1]Data!N823</f>
        <v>45275</v>
      </c>
      <c r="O832" s="1" t="str">
        <f>[1]Data!O823</f>
        <v>X</v>
      </c>
      <c r="P832" s="1" t="str">
        <f>[1]Data!P823</f>
        <v>2026</v>
      </c>
      <c r="Q832" s="15">
        <f>[1]Data!Q823</f>
        <v>500</v>
      </c>
      <c r="R832" s="1" t="str">
        <f>[1]Data!R823</f>
        <v/>
      </c>
    </row>
    <row r="833" spans="1:18" x14ac:dyDescent="0.35">
      <c r="A833" s="1" t="str">
        <f>[1]Data!A824</f>
        <v>4035940</v>
      </c>
      <c r="B833" s="1" t="str">
        <f>[1]Data!B824</f>
        <v>3300</v>
      </c>
      <c r="C833" s="1" t="str">
        <f>[1]Data!C824</f>
        <v>3001</v>
      </c>
      <c r="D833" s="1" t="str">
        <f>[1]Data!D824</f>
        <v>DL</v>
      </c>
      <c r="E833" s="1" t="str">
        <f>[1]Data!E824</f>
        <v>X</v>
      </c>
      <c r="F833" s="1" t="str">
        <f>[1]Data!F824</f>
        <v>2023</v>
      </c>
      <c r="G833" s="1" t="str">
        <f>[1]Data!G824</f>
        <v>12</v>
      </c>
      <c r="H833" s="15">
        <f>[1]Data!H824</f>
        <v>0</v>
      </c>
      <c r="I833" s="15">
        <f>[1]Data!I824</f>
        <v>0</v>
      </c>
      <c r="J833" s="1" t="str">
        <f>[1]Data!J824</f>
        <v/>
      </c>
      <c r="K833" s="1" t="str">
        <f>[1]Data!K824</f>
        <v/>
      </c>
      <c r="L833" s="1" t="str">
        <f>[1]Data!L824</f>
        <v>SLETTET</v>
      </c>
      <c r="M833" s="1" t="str">
        <f>[1]Data!M824</f>
        <v/>
      </c>
      <c r="N833" s="1">
        <f>[1]Data!N824</f>
        <v>45281</v>
      </c>
      <c r="O833" s="1" t="str">
        <f>[1]Data!O824</f>
        <v>X</v>
      </c>
      <c r="P833" s="1" t="str">
        <f>[1]Data!P824</f>
        <v>2023</v>
      </c>
      <c r="Q833" s="15">
        <f>[1]Data!Q824</f>
        <v>0</v>
      </c>
      <c r="R833" s="1" t="str">
        <f>[1]Data!R824</f>
        <v>INAKTIV</v>
      </c>
    </row>
    <row r="834" spans="1:18" x14ac:dyDescent="0.35">
      <c r="A834" s="1" t="str">
        <f>[1]Data!A825</f>
        <v>4035951</v>
      </c>
      <c r="B834" s="1" t="str">
        <f>[1]Data!B825</f>
        <v>3300</v>
      </c>
      <c r="C834" s="1" t="str">
        <f>[1]Data!C825</f>
        <v>3001</v>
      </c>
      <c r="D834" s="1" t="str">
        <f>[1]Data!D825</f>
        <v>DL</v>
      </c>
      <c r="E834" s="1" t="str">
        <f>[1]Data!E825</f>
        <v>X</v>
      </c>
      <c r="F834" s="1" t="str">
        <f>[1]Data!F825</f>
        <v>2023</v>
      </c>
      <c r="G834" s="1" t="str">
        <f>[1]Data!G825</f>
        <v>12</v>
      </c>
      <c r="H834" s="15">
        <f>[1]Data!H825</f>
        <v>0</v>
      </c>
      <c r="I834" s="15">
        <f>[1]Data!I825</f>
        <v>0</v>
      </c>
      <c r="J834" s="1" t="str">
        <f>[1]Data!J825</f>
        <v/>
      </c>
      <c r="K834" s="1" t="str">
        <f>[1]Data!K825</f>
        <v/>
      </c>
      <c r="L834" s="1" t="str">
        <f>[1]Data!L825</f>
        <v>SLETTET</v>
      </c>
      <c r="M834" s="1" t="str">
        <f>[1]Data!M825</f>
        <v/>
      </c>
      <c r="N834" s="1">
        <f>[1]Data!N825</f>
        <v>45281</v>
      </c>
      <c r="O834" s="1" t="str">
        <f>[1]Data!O825</f>
        <v>X</v>
      </c>
      <c r="P834" s="1" t="str">
        <f>[1]Data!P825</f>
        <v>2023</v>
      </c>
      <c r="Q834" s="15">
        <f>[1]Data!Q825</f>
        <v>0</v>
      </c>
      <c r="R834" s="1" t="str">
        <f>[1]Data!R825</f>
        <v>INAKTIV</v>
      </c>
    </row>
    <row r="835" spans="1:18" x14ac:dyDescent="0.35">
      <c r="A835" s="1" t="str">
        <f>[1]Data!A826</f>
        <v>4035953</v>
      </c>
      <c r="B835" s="1" t="str">
        <f>[1]Data!B826</f>
        <v>3300</v>
      </c>
      <c r="C835" s="1" t="str">
        <f>[1]Data!C826</f>
        <v>3001</v>
      </c>
      <c r="D835" s="1" t="str">
        <f>[1]Data!D826</f>
        <v>DL</v>
      </c>
      <c r="E835" s="1" t="str">
        <f>[1]Data!E826</f>
        <v/>
      </c>
      <c r="F835" s="1" t="str">
        <f>[1]Data!F826</f>
        <v>2026</v>
      </c>
      <c r="G835" s="1" t="str">
        <f>[1]Data!G826</f>
        <v>2</v>
      </c>
      <c r="H835" s="15">
        <f>[1]Data!H826</f>
        <v>8</v>
      </c>
      <c r="I835" s="15">
        <f>[1]Data!I826</f>
        <v>0</v>
      </c>
      <c r="J835" s="1" t="str">
        <f>[1]Data!J826</f>
        <v>X</v>
      </c>
      <c r="K835" s="1" t="str">
        <f>[1]Data!K826</f>
        <v/>
      </c>
      <c r="L835" s="1" t="str">
        <f>[1]Data!L826</f>
        <v>20:04</v>
      </c>
      <c r="M835" s="1">
        <f>[1]Data!M826</f>
        <v>46029</v>
      </c>
      <c r="N835" s="1">
        <f>[1]Data!N826</f>
        <v>45289</v>
      </c>
      <c r="O835" s="1" t="str">
        <f>[1]Data!O826</f>
        <v>X</v>
      </c>
      <c r="P835" s="1" t="str">
        <f>[1]Data!P826</f>
        <v>2026</v>
      </c>
      <c r="Q835" s="15">
        <f>[1]Data!Q826</f>
        <v>8</v>
      </c>
      <c r="R835" s="1" t="str">
        <f>[1]Data!R826</f>
        <v/>
      </c>
    </row>
    <row r="836" spans="1:18" x14ac:dyDescent="0.35">
      <c r="A836" s="1" t="str">
        <f>[1]Data!A827</f>
        <v>4035954</v>
      </c>
      <c r="B836" s="1" t="str">
        <f>[1]Data!B827</f>
        <v>3300</v>
      </c>
      <c r="C836" s="1" t="str">
        <f>[1]Data!C827</f>
        <v>3001</v>
      </c>
      <c r="D836" s="1" t="str">
        <f>[1]Data!D827</f>
        <v>DL</v>
      </c>
      <c r="E836" s="1" t="str">
        <f>[1]Data!E827</f>
        <v/>
      </c>
      <c r="F836" s="1" t="str">
        <f>[1]Data!F827</f>
        <v>2026</v>
      </c>
      <c r="G836" s="1" t="str">
        <f>[1]Data!G827</f>
        <v>3</v>
      </c>
      <c r="H836" s="15">
        <f>[1]Data!H827</f>
        <v>144</v>
      </c>
      <c r="I836" s="15">
        <f>[1]Data!I827</f>
        <v>0</v>
      </c>
      <c r="J836" s="1" t="str">
        <f>[1]Data!J827</f>
        <v>X</v>
      </c>
      <c r="K836" s="1" t="str">
        <f>[1]Data!K827</f>
        <v/>
      </c>
      <c r="L836" s="1" t="str">
        <f>[1]Data!L827</f>
        <v>20:05</v>
      </c>
      <c r="M836" s="1">
        <f>[1]Data!M827</f>
        <v>46029</v>
      </c>
      <c r="N836" s="1">
        <f>[1]Data!N827</f>
        <v>45289</v>
      </c>
      <c r="O836" s="1" t="str">
        <f>[1]Data!O827</f>
        <v>X</v>
      </c>
      <c r="P836" s="1" t="str">
        <f>[1]Data!P827</f>
        <v>2026</v>
      </c>
      <c r="Q836" s="15">
        <f>[1]Data!Q827</f>
        <v>144</v>
      </c>
      <c r="R836" s="1" t="str">
        <f>[1]Data!R827</f>
        <v/>
      </c>
    </row>
    <row r="837" spans="1:18" x14ac:dyDescent="0.35">
      <c r="A837" s="1" t="str">
        <f>[1]Data!A828</f>
        <v>4035956</v>
      </c>
      <c r="B837" s="1" t="str">
        <f>[1]Data!B828</f>
        <v>3300</v>
      </c>
      <c r="C837" s="1" t="str">
        <f>[1]Data!C828</f>
        <v>3001</v>
      </c>
      <c r="D837" s="1" t="str">
        <f>[1]Data!D828</f>
        <v>DL</v>
      </c>
      <c r="E837" s="1" t="str">
        <f>[1]Data!E828</f>
        <v/>
      </c>
      <c r="F837" s="1" t="str">
        <f>[1]Data!F828</f>
        <v>2026</v>
      </c>
      <c r="G837" s="1" t="str">
        <f>[1]Data!G828</f>
        <v>3</v>
      </c>
      <c r="H837" s="15">
        <f>[1]Data!H828</f>
        <v>100</v>
      </c>
      <c r="I837" s="15">
        <f>[1]Data!I828</f>
        <v>0</v>
      </c>
      <c r="J837" s="1" t="str">
        <f>[1]Data!J828</f>
        <v>X</v>
      </c>
      <c r="K837" s="1" t="str">
        <f>[1]Data!K828</f>
        <v/>
      </c>
      <c r="L837" s="1" t="str">
        <f>[1]Data!L828</f>
        <v>20:07</v>
      </c>
      <c r="M837" s="1">
        <f>[1]Data!M828</f>
        <v>46029</v>
      </c>
      <c r="N837" s="1">
        <f>[1]Data!N828</f>
        <v>45289</v>
      </c>
      <c r="O837" s="1" t="str">
        <f>[1]Data!O828</f>
        <v>X</v>
      </c>
      <c r="P837" s="1" t="str">
        <f>[1]Data!P828</f>
        <v>2026</v>
      </c>
      <c r="Q837" s="15">
        <f>[1]Data!Q828</f>
        <v>100</v>
      </c>
      <c r="R837" s="1" t="str">
        <f>[1]Data!R828</f>
        <v/>
      </c>
    </row>
    <row r="838" spans="1:18" x14ac:dyDescent="0.35">
      <c r="A838" s="1" t="str">
        <f>[1]Data!A829</f>
        <v>4035957</v>
      </c>
      <c r="B838" s="1" t="str">
        <f>[1]Data!B829</f>
        <v>3300</v>
      </c>
      <c r="C838" s="1" t="str">
        <f>[1]Data!C829</f>
        <v>3001</v>
      </c>
      <c r="D838" s="1" t="str">
        <f>[1]Data!D829</f>
        <v>DL</v>
      </c>
      <c r="E838" s="1" t="str">
        <f>[1]Data!E829</f>
        <v/>
      </c>
      <c r="F838" s="1" t="str">
        <f>[1]Data!F829</f>
        <v>2026</v>
      </c>
      <c r="G838" s="1" t="str">
        <f>[1]Data!G829</f>
        <v>3</v>
      </c>
      <c r="H838" s="15">
        <f>[1]Data!H829</f>
        <v>91</v>
      </c>
      <c r="I838" s="15">
        <f>[1]Data!I829</f>
        <v>0</v>
      </c>
      <c r="J838" s="1" t="str">
        <f>[1]Data!J829</f>
        <v>X</v>
      </c>
      <c r="K838" s="1" t="str">
        <f>[1]Data!K829</f>
        <v/>
      </c>
      <c r="L838" s="1" t="str">
        <f>[1]Data!L829</f>
        <v>20:06</v>
      </c>
      <c r="M838" s="1">
        <f>[1]Data!M829</f>
        <v>46029</v>
      </c>
      <c r="N838" s="1">
        <f>[1]Data!N829</f>
        <v>45289</v>
      </c>
      <c r="O838" s="1" t="str">
        <f>[1]Data!O829</f>
        <v>X</v>
      </c>
      <c r="P838" s="1" t="str">
        <f>[1]Data!P829</f>
        <v>2026</v>
      </c>
      <c r="Q838" s="15">
        <f>[1]Data!Q829</f>
        <v>91</v>
      </c>
      <c r="R838" s="1" t="str">
        <f>[1]Data!R829</f>
        <v/>
      </c>
    </row>
    <row r="839" spans="1:18" x14ac:dyDescent="0.35">
      <c r="A839" s="1" t="str">
        <f>[1]Data!A830</f>
        <v>4035958</v>
      </c>
      <c r="B839" s="1" t="str">
        <f>[1]Data!B830</f>
        <v>3300</v>
      </c>
      <c r="C839" s="1" t="str">
        <f>[1]Data!C830</f>
        <v>3001</v>
      </c>
      <c r="D839" s="1" t="str">
        <f>[1]Data!D830</f>
        <v>DL</v>
      </c>
      <c r="E839" s="1" t="str">
        <f>[1]Data!E830</f>
        <v/>
      </c>
      <c r="F839" s="1" t="str">
        <f>[1]Data!F830</f>
        <v>2026</v>
      </c>
      <c r="G839" s="1" t="str">
        <f>[1]Data!G830</f>
        <v>1</v>
      </c>
      <c r="H839" s="15">
        <f>[1]Data!H830</f>
        <v>30</v>
      </c>
      <c r="I839" s="15">
        <f>[1]Data!I830</f>
        <v>0</v>
      </c>
      <c r="J839" s="1" t="str">
        <f>[1]Data!J830</f>
        <v>X</v>
      </c>
      <c r="K839" s="1" t="str">
        <f>[1]Data!K830</f>
        <v/>
      </c>
      <c r="L839" s="1" t="str">
        <f>[1]Data!L830</f>
        <v>20:02</v>
      </c>
      <c r="M839" s="1">
        <f>[1]Data!M830</f>
        <v>46029</v>
      </c>
      <c r="N839" s="1">
        <f>[1]Data!N830</f>
        <v>45289</v>
      </c>
      <c r="O839" s="1" t="str">
        <f>[1]Data!O830</f>
        <v>X</v>
      </c>
      <c r="P839" s="1" t="str">
        <f>[1]Data!P830</f>
        <v>2026</v>
      </c>
      <c r="Q839" s="15">
        <f>[1]Data!Q830</f>
        <v>30</v>
      </c>
      <c r="R839" s="1" t="str">
        <f>[1]Data!R830</f>
        <v/>
      </c>
    </row>
    <row r="840" spans="1:18" x14ac:dyDescent="0.35">
      <c r="A840" s="1" t="str">
        <f>[1]Data!A831</f>
        <v>4035959</v>
      </c>
      <c r="B840" s="1" t="str">
        <f>[1]Data!B831</f>
        <v>3300</v>
      </c>
      <c r="C840" s="1" t="str">
        <f>[1]Data!C831</f>
        <v>3001</v>
      </c>
      <c r="D840" s="1" t="str">
        <f>[1]Data!D831</f>
        <v>DL</v>
      </c>
      <c r="E840" s="1" t="str">
        <f>[1]Data!E831</f>
        <v/>
      </c>
      <c r="F840" s="1" t="str">
        <f>[1]Data!F831</f>
        <v>2026</v>
      </c>
      <c r="G840" s="1" t="str">
        <f>[1]Data!G831</f>
        <v>2</v>
      </c>
      <c r="H840" s="15">
        <f>[1]Data!H831</f>
        <v>17</v>
      </c>
      <c r="I840" s="15">
        <f>[1]Data!I831</f>
        <v>0</v>
      </c>
      <c r="J840" s="1" t="str">
        <f>[1]Data!J831</f>
        <v>X</v>
      </c>
      <c r="K840" s="1" t="str">
        <f>[1]Data!K831</f>
        <v/>
      </c>
      <c r="L840" s="1" t="str">
        <f>[1]Data!L831</f>
        <v>20:03</v>
      </c>
      <c r="M840" s="1">
        <f>[1]Data!M831</f>
        <v>46029</v>
      </c>
      <c r="N840" s="1">
        <f>[1]Data!N831</f>
        <v>45289</v>
      </c>
      <c r="O840" s="1" t="str">
        <f>[1]Data!O831</f>
        <v>X</v>
      </c>
      <c r="P840" s="1" t="str">
        <f>[1]Data!P831</f>
        <v>2026</v>
      </c>
      <c r="Q840" s="15">
        <f>[1]Data!Q831</f>
        <v>17</v>
      </c>
      <c r="R840" s="1" t="str">
        <f>[1]Data!R831</f>
        <v/>
      </c>
    </row>
    <row r="841" spans="1:18" x14ac:dyDescent="0.35">
      <c r="A841" s="1" t="str">
        <f>[1]Data!A832</f>
        <v>4035960</v>
      </c>
      <c r="B841" s="1" t="str">
        <f>[1]Data!B832</f>
        <v>3300</v>
      </c>
      <c r="C841" s="1" t="str">
        <f>[1]Data!C832</f>
        <v>3001</v>
      </c>
      <c r="D841" s="1" t="str">
        <f>[1]Data!D832</f>
        <v>DL</v>
      </c>
      <c r="E841" s="1" t="str">
        <f>[1]Data!E832</f>
        <v/>
      </c>
      <c r="F841" s="1" t="str">
        <f>[1]Data!F832</f>
        <v>2026</v>
      </c>
      <c r="G841" s="1" t="str">
        <f>[1]Data!G832</f>
        <v>3</v>
      </c>
      <c r="H841" s="15">
        <f>[1]Data!H832</f>
        <v>4</v>
      </c>
      <c r="I841" s="15">
        <f>[1]Data!I832</f>
        <v>0</v>
      </c>
      <c r="J841" s="1" t="str">
        <f>[1]Data!J832</f>
        <v>X</v>
      </c>
      <c r="K841" s="1" t="str">
        <f>[1]Data!K832</f>
        <v/>
      </c>
      <c r="L841" s="1" t="str">
        <f>[1]Data!L832</f>
        <v>20:01</v>
      </c>
      <c r="M841" s="1">
        <f>[1]Data!M832</f>
        <v>46029</v>
      </c>
      <c r="N841" s="1">
        <f>[1]Data!N832</f>
        <v>45289</v>
      </c>
      <c r="O841" s="1" t="str">
        <f>[1]Data!O832</f>
        <v>X</v>
      </c>
      <c r="P841" s="1" t="str">
        <f>[1]Data!P832</f>
        <v>2026</v>
      </c>
      <c r="Q841" s="15">
        <f>[1]Data!Q832</f>
        <v>4</v>
      </c>
      <c r="R841" s="1" t="str">
        <f>[1]Data!R832</f>
        <v/>
      </c>
    </row>
    <row r="842" spans="1:18" x14ac:dyDescent="0.35">
      <c r="A842" s="1" t="str">
        <f>[1]Data!A833</f>
        <v>4035961</v>
      </c>
      <c r="B842" s="1" t="str">
        <f>[1]Data!B833</f>
        <v>3300</v>
      </c>
      <c r="C842" s="1" t="str">
        <f>[1]Data!C833</f>
        <v>3001</v>
      </c>
      <c r="D842" s="1" t="str">
        <f>[1]Data!D833</f>
        <v>DL</v>
      </c>
      <c r="E842" s="1" t="str">
        <f>[1]Data!E833</f>
        <v/>
      </c>
      <c r="F842" s="1" t="str">
        <f>[1]Data!F833</f>
        <v>2023</v>
      </c>
      <c r="G842" s="1" t="str">
        <f>[1]Data!G833</f>
        <v>12</v>
      </c>
      <c r="H842" s="15">
        <f>[1]Data!H833</f>
        <v>0</v>
      </c>
      <c r="I842" s="15">
        <f>[1]Data!I833</f>
        <v>0</v>
      </c>
      <c r="J842" s="1" t="str">
        <f>[1]Data!J833</f>
        <v/>
      </c>
      <c r="K842" s="1" t="str">
        <f>[1]Data!K833</f>
        <v/>
      </c>
      <c r="L842" s="1" t="str">
        <f>[1]Data!L833</f>
        <v/>
      </c>
      <c r="M842" s="1" t="str">
        <f>[1]Data!M833</f>
        <v/>
      </c>
      <c r="N842" s="1">
        <f>[1]Data!N833</f>
        <v>45289</v>
      </c>
      <c r="O842" s="1" t="str">
        <f>[1]Data!O833</f>
        <v>X</v>
      </c>
      <c r="P842" s="1" t="str">
        <f>[1]Data!P833</f>
        <v>2023</v>
      </c>
      <c r="Q842" s="15">
        <f>[1]Data!Q833</f>
        <v>0</v>
      </c>
      <c r="R842" s="1" t="str">
        <f>[1]Data!R833</f>
        <v>INAKTIV</v>
      </c>
    </row>
    <row r="843" spans="1:18" x14ac:dyDescent="0.35">
      <c r="A843" s="1" t="str">
        <f>[1]Data!A834</f>
        <v>4035963</v>
      </c>
      <c r="B843" s="1" t="str">
        <f>[1]Data!B834</f>
        <v>3300</v>
      </c>
      <c r="C843" s="1" t="str">
        <f>[1]Data!C834</f>
        <v>3001</v>
      </c>
      <c r="D843" s="1" t="str">
        <f>[1]Data!D834</f>
        <v>DL</v>
      </c>
      <c r="E843" s="1" t="str">
        <f>[1]Data!E834</f>
        <v/>
      </c>
      <c r="F843" s="1" t="str">
        <f>[1]Data!F834</f>
        <v>2026</v>
      </c>
      <c r="G843" s="1" t="str">
        <f>[1]Data!G834</f>
        <v>3</v>
      </c>
      <c r="H843" s="15">
        <f>[1]Data!H834</f>
        <v>360</v>
      </c>
      <c r="I843" s="15">
        <f>[1]Data!I834</f>
        <v>0</v>
      </c>
      <c r="J843" s="1" t="str">
        <f>[1]Data!J834</f>
        <v>X</v>
      </c>
      <c r="K843" s="1" t="str">
        <f>[1]Data!K834</f>
        <v>X</v>
      </c>
      <c r="L843" s="1" t="str">
        <f>[1]Data!L834</f>
        <v>07:11:02</v>
      </c>
      <c r="M843" s="1">
        <f>[1]Data!M834</f>
        <v>45825</v>
      </c>
      <c r="N843" s="1">
        <f>[1]Data!N834</f>
        <v>45295</v>
      </c>
      <c r="O843" s="1" t="str">
        <f>[1]Data!O834</f>
        <v>X</v>
      </c>
      <c r="P843" s="1" t="str">
        <f>[1]Data!P834</f>
        <v>2025</v>
      </c>
      <c r="Q843" s="15">
        <f>[1]Data!Q834</f>
        <v>360</v>
      </c>
      <c r="R843" s="1" t="str">
        <f>[1]Data!R834</f>
        <v/>
      </c>
    </row>
    <row r="844" spans="1:18" x14ac:dyDescent="0.35">
      <c r="A844" s="1" t="str">
        <f>[1]Data!A835</f>
        <v>4035971</v>
      </c>
      <c r="B844" s="1" t="str">
        <f>[1]Data!B835</f>
        <v>3300</v>
      </c>
      <c r="C844" s="1" t="str">
        <f>[1]Data!C835</f>
        <v>3001</v>
      </c>
      <c r="D844" s="1" t="str">
        <f>[1]Data!D835</f>
        <v>DL</v>
      </c>
      <c r="E844" s="1" t="str">
        <f>[1]Data!E835</f>
        <v/>
      </c>
      <c r="F844" s="1" t="str">
        <f>[1]Data!F835</f>
        <v>2026</v>
      </c>
      <c r="G844" s="1" t="str">
        <f>[1]Data!G835</f>
        <v>3</v>
      </c>
      <c r="H844" s="15">
        <f>[1]Data!H835</f>
        <v>485</v>
      </c>
      <c r="I844" s="15">
        <f>[1]Data!I835</f>
        <v>0</v>
      </c>
      <c r="J844" s="1" t="str">
        <f>[1]Data!J835</f>
        <v>X</v>
      </c>
      <c r="K844" s="1" t="str">
        <f>[1]Data!K835</f>
        <v/>
      </c>
      <c r="L844" s="1" t="str">
        <f>[1]Data!L835</f>
        <v>20:09</v>
      </c>
      <c r="M844" s="1">
        <f>[1]Data!M835</f>
        <v>46029</v>
      </c>
      <c r="N844" s="1">
        <f>[1]Data!N835</f>
        <v>45289</v>
      </c>
      <c r="O844" s="1" t="str">
        <f>[1]Data!O835</f>
        <v>X</v>
      </c>
      <c r="P844" s="1" t="str">
        <f>[1]Data!P835</f>
        <v>2026</v>
      </c>
      <c r="Q844" s="15">
        <f>[1]Data!Q835</f>
        <v>485</v>
      </c>
      <c r="R844" s="1" t="str">
        <f>[1]Data!R835</f>
        <v/>
      </c>
    </row>
    <row r="845" spans="1:18" x14ac:dyDescent="0.35">
      <c r="A845" s="1" t="str">
        <f>[1]Data!A836</f>
        <v>4035972</v>
      </c>
      <c r="B845" s="1" t="str">
        <f>[1]Data!B836</f>
        <v>3300</v>
      </c>
      <c r="C845" s="1" t="str">
        <f>[1]Data!C836</f>
        <v>3001</v>
      </c>
      <c r="D845" s="1" t="str">
        <f>[1]Data!D836</f>
        <v>DL</v>
      </c>
      <c r="E845" s="1" t="str">
        <f>[1]Data!E836</f>
        <v/>
      </c>
      <c r="F845" s="1" t="str">
        <f>[1]Data!F836</f>
        <v>2026</v>
      </c>
      <c r="G845" s="1" t="str">
        <f>[1]Data!G836</f>
        <v>2</v>
      </c>
      <c r="H845" s="15">
        <f>[1]Data!H836</f>
        <v>405</v>
      </c>
      <c r="I845" s="15">
        <f>[1]Data!I836</f>
        <v>0</v>
      </c>
      <c r="J845" s="1" t="str">
        <f>[1]Data!J836</f>
        <v>X</v>
      </c>
      <c r="K845" s="1" t="str">
        <f>[1]Data!K836</f>
        <v/>
      </c>
      <c r="L845" s="1" t="str">
        <f>[1]Data!L836</f>
        <v>20:11</v>
      </c>
      <c r="M845" s="1">
        <f>[1]Data!M836</f>
        <v>46029</v>
      </c>
      <c r="N845" s="1">
        <f>[1]Data!N836</f>
        <v>45289</v>
      </c>
      <c r="O845" s="1" t="str">
        <f>[1]Data!O836</f>
        <v>X</v>
      </c>
      <c r="P845" s="1" t="str">
        <f>[1]Data!P836</f>
        <v>2026</v>
      </c>
      <c r="Q845" s="15">
        <f>[1]Data!Q836</f>
        <v>405</v>
      </c>
      <c r="R845" s="1" t="str">
        <f>[1]Data!R836</f>
        <v/>
      </c>
    </row>
    <row r="846" spans="1:18" x14ac:dyDescent="0.35">
      <c r="A846" s="1" t="str">
        <f>[1]Data!A837</f>
        <v>4035973</v>
      </c>
      <c r="B846" s="1" t="str">
        <f>[1]Data!B837</f>
        <v>3300</v>
      </c>
      <c r="C846" s="1" t="str">
        <f>[1]Data!C837</f>
        <v>3001</v>
      </c>
      <c r="D846" s="1" t="str">
        <f>[1]Data!D837</f>
        <v>DL</v>
      </c>
      <c r="E846" s="1" t="str">
        <f>[1]Data!E837</f>
        <v/>
      </c>
      <c r="F846" s="1" t="str">
        <f>[1]Data!F837</f>
        <v>2026</v>
      </c>
      <c r="G846" s="1" t="str">
        <f>[1]Data!G837</f>
        <v>3</v>
      </c>
      <c r="H846" s="15">
        <f>[1]Data!H837</f>
        <v>282</v>
      </c>
      <c r="I846" s="15">
        <f>[1]Data!I837</f>
        <v>0</v>
      </c>
      <c r="J846" s="1" t="str">
        <f>[1]Data!J837</f>
        <v>X</v>
      </c>
      <c r="K846" s="1" t="str">
        <f>[1]Data!K837</f>
        <v>X</v>
      </c>
      <c r="L846" s="1" t="str">
        <f>[1]Data!L837</f>
        <v>10:03:03*</v>
      </c>
      <c r="M846" s="1">
        <f>[1]Data!M837</f>
        <v>45987</v>
      </c>
      <c r="N846" s="1">
        <f>[1]Data!N837</f>
        <v>45289</v>
      </c>
      <c r="O846" s="1" t="str">
        <f>[1]Data!O837</f>
        <v>X</v>
      </c>
      <c r="P846" s="1" t="str">
        <f>[1]Data!P837</f>
        <v>2025</v>
      </c>
      <c r="Q846" s="15">
        <f>[1]Data!Q837</f>
        <v>282</v>
      </c>
      <c r="R846" s="1" t="str">
        <f>[1]Data!R837</f>
        <v/>
      </c>
    </row>
    <row r="847" spans="1:18" x14ac:dyDescent="0.35">
      <c r="A847" s="1" t="str">
        <f>[1]Data!A838</f>
        <v>4035974</v>
      </c>
      <c r="B847" s="1" t="str">
        <f>[1]Data!B838</f>
        <v>3300</v>
      </c>
      <c r="C847" s="1" t="str">
        <f>[1]Data!C838</f>
        <v>3001</v>
      </c>
      <c r="D847" s="1" t="str">
        <f>[1]Data!D838</f>
        <v>DL</v>
      </c>
      <c r="E847" s="1" t="str">
        <f>[1]Data!E838</f>
        <v/>
      </c>
      <c r="F847" s="1" t="str">
        <f>[1]Data!F838</f>
        <v>2026</v>
      </c>
      <c r="G847" s="1" t="str">
        <f>[1]Data!G838</f>
        <v>2</v>
      </c>
      <c r="H847" s="15">
        <f>[1]Data!H838</f>
        <v>10</v>
      </c>
      <c r="I847" s="15">
        <f>[1]Data!I838</f>
        <v>0</v>
      </c>
      <c r="J847" s="1" t="str">
        <f>[1]Data!J838</f>
        <v>X</v>
      </c>
      <c r="K847" s="1" t="str">
        <f>[1]Data!K838</f>
        <v>X</v>
      </c>
      <c r="L847" s="1" t="str">
        <f>[1]Data!L838</f>
        <v>14:07:03*</v>
      </c>
      <c r="M847" s="1">
        <f>[1]Data!M838</f>
        <v>46001</v>
      </c>
      <c r="N847" s="1">
        <f>[1]Data!N838</f>
        <v>45289</v>
      </c>
      <c r="O847" s="1" t="str">
        <f>[1]Data!O838</f>
        <v>X</v>
      </c>
      <c r="P847" s="1" t="str">
        <f>[1]Data!P838</f>
        <v>2025</v>
      </c>
      <c r="Q847" s="15">
        <f>[1]Data!Q838</f>
        <v>10</v>
      </c>
      <c r="R847" s="1" t="str">
        <f>[1]Data!R838</f>
        <v/>
      </c>
    </row>
    <row r="848" spans="1:18" x14ac:dyDescent="0.35">
      <c r="A848" s="1" t="str">
        <f>[1]Data!A839</f>
        <v>4036481</v>
      </c>
      <c r="B848" s="1" t="str">
        <f>[1]Data!B839</f>
        <v>3300</v>
      </c>
      <c r="C848" s="1" t="str">
        <f>[1]Data!C839</f>
        <v>3001</v>
      </c>
      <c r="D848" s="1" t="str">
        <f>[1]Data!D839</f>
        <v>DL</v>
      </c>
      <c r="E848" s="1" t="str">
        <f>[1]Data!E839</f>
        <v/>
      </c>
      <c r="F848" s="1" t="str">
        <f>[1]Data!F839</f>
        <v>2026</v>
      </c>
      <c r="G848" s="1" t="str">
        <f>[1]Data!G839</f>
        <v>2</v>
      </c>
      <c r="H848" s="15">
        <f>[1]Data!H839</f>
        <v>143</v>
      </c>
      <c r="I848" s="15">
        <f>[1]Data!I839</f>
        <v>0</v>
      </c>
      <c r="J848" s="1" t="str">
        <f>[1]Data!J839</f>
        <v>X</v>
      </c>
      <c r="K848" s="1" t="str">
        <f>[1]Data!K839</f>
        <v/>
      </c>
      <c r="L848" s="1" t="str">
        <f>[1]Data!L839</f>
        <v>20:10</v>
      </c>
      <c r="M848" s="1">
        <f>[1]Data!M839</f>
        <v>46029</v>
      </c>
      <c r="N848" s="1">
        <f>[1]Data!N839</f>
        <v>45303</v>
      </c>
      <c r="O848" s="1" t="str">
        <f>[1]Data!O839</f>
        <v>X</v>
      </c>
      <c r="P848" s="1" t="str">
        <f>[1]Data!P839</f>
        <v>2026</v>
      </c>
      <c r="Q848" s="15">
        <f>[1]Data!Q839</f>
        <v>143</v>
      </c>
      <c r="R848" s="1" t="str">
        <f>[1]Data!R839</f>
        <v/>
      </c>
    </row>
    <row r="849" spans="1:18" x14ac:dyDescent="0.35">
      <c r="A849" s="1" t="str">
        <f>[1]Data!A840</f>
        <v>4036668</v>
      </c>
      <c r="B849" s="1" t="str">
        <f>[1]Data!B840</f>
        <v>3300</v>
      </c>
      <c r="C849" s="1" t="str">
        <f>[1]Data!C840</f>
        <v>3001</v>
      </c>
      <c r="D849" s="1" t="str">
        <f>[1]Data!D840</f>
        <v>L</v>
      </c>
      <c r="E849" s="1" t="str">
        <f>[1]Data!E840</f>
        <v/>
      </c>
      <c r="F849" s="1" t="str">
        <f>[1]Data!F840</f>
        <v>2026</v>
      </c>
      <c r="G849" s="1" t="str">
        <f>[1]Data!G840</f>
        <v>2</v>
      </c>
      <c r="H849" s="15">
        <f>[1]Data!H840</f>
        <v>180</v>
      </c>
      <c r="I849" s="15">
        <f>[1]Data!I840</f>
        <v>0</v>
      </c>
      <c r="J849" s="1" t="str">
        <f>[1]Data!J840</f>
        <v>X</v>
      </c>
      <c r="K849" s="1" t="str">
        <f>[1]Data!K840</f>
        <v/>
      </c>
      <c r="L849" s="1" t="str">
        <f>[1]Data!L840</f>
        <v>01:05:02</v>
      </c>
      <c r="M849" s="1">
        <f>[1]Data!M840</f>
        <v>46029</v>
      </c>
      <c r="N849" s="1">
        <f>[1]Data!N840</f>
        <v>45343</v>
      </c>
      <c r="O849" s="1" t="str">
        <f>[1]Data!O840</f>
        <v>X</v>
      </c>
      <c r="P849" s="1" t="str">
        <f>[1]Data!P840</f>
        <v>2026</v>
      </c>
      <c r="Q849" s="15">
        <f>[1]Data!Q840</f>
        <v>180</v>
      </c>
      <c r="R849" s="1" t="str">
        <f>[1]Data!R840</f>
        <v/>
      </c>
    </row>
    <row r="850" spans="1:18" x14ac:dyDescent="0.35">
      <c r="A850" s="1" t="str">
        <f>[1]Data!A841</f>
        <v>4036669</v>
      </c>
      <c r="B850" s="1" t="str">
        <f>[1]Data!B841</f>
        <v>3300</v>
      </c>
      <c r="C850" s="1" t="str">
        <f>[1]Data!C841</f>
        <v>3001</v>
      </c>
      <c r="D850" s="1" t="str">
        <f>[1]Data!D841</f>
        <v>LD</v>
      </c>
      <c r="E850" s="1" t="str">
        <f>[1]Data!E841</f>
        <v/>
      </c>
      <c r="F850" s="1" t="str">
        <f>[1]Data!F841</f>
        <v>2026</v>
      </c>
      <c r="G850" s="1" t="str">
        <f>[1]Data!G841</f>
        <v>2</v>
      </c>
      <c r="H850" s="15">
        <f>[1]Data!H841</f>
        <v>864</v>
      </c>
      <c r="I850" s="15">
        <f>[1]Data!I841</f>
        <v>0</v>
      </c>
      <c r="J850" s="1" t="str">
        <f>[1]Data!J841</f>
        <v>X</v>
      </c>
      <c r="K850" s="1" t="str">
        <f>[1]Data!K841</f>
        <v/>
      </c>
      <c r="L850" s="1" t="str">
        <f>[1]Data!L841</f>
        <v>01:02:00</v>
      </c>
      <c r="M850" s="1">
        <f>[1]Data!M841</f>
        <v>46029</v>
      </c>
      <c r="N850" s="1">
        <f>[1]Data!N841</f>
        <v>45343</v>
      </c>
      <c r="O850" s="1" t="str">
        <f>[1]Data!O841</f>
        <v>X</v>
      </c>
      <c r="P850" s="1" t="str">
        <f>[1]Data!P841</f>
        <v>2026</v>
      </c>
      <c r="Q850" s="15">
        <f>[1]Data!Q841</f>
        <v>864</v>
      </c>
      <c r="R850" s="1" t="str">
        <f>[1]Data!R841</f>
        <v/>
      </c>
    </row>
    <row r="851" spans="1:18" x14ac:dyDescent="0.35">
      <c r="A851" s="1" t="str">
        <f>[1]Data!A842</f>
        <v>4036670</v>
      </c>
      <c r="B851" s="1" t="str">
        <f>[1]Data!B842</f>
        <v>3300</v>
      </c>
      <c r="C851" s="1" t="str">
        <f>[1]Data!C842</f>
        <v>3001</v>
      </c>
      <c r="D851" s="1" t="str">
        <f>[1]Data!D842</f>
        <v>L</v>
      </c>
      <c r="E851" s="1" t="str">
        <f>[1]Data!E842</f>
        <v/>
      </c>
      <c r="F851" s="1" t="str">
        <f>[1]Data!F842</f>
        <v>2025</v>
      </c>
      <c r="G851" s="1" t="str">
        <f>[1]Data!G842</f>
        <v>11</v>
      </c>
      <c r="H851" s="15">
        <f>[1]Data!H842</f>
        <v>144</v>
      </c>
      <c r="I851" s="15">
        <f>[1]Data!I842</f>
        <v>0</v>
      </c>
      <c r="J851" s="1" t="str">
        <f>[1]Data!J842</f>
        <v>X</v>
      </c>
      <c r="K851" s="1" t="str">
        <f>[1]Data!K842</f>
        <v/>
      </c>
      <c r="L851" s="1" t="str">
        <f>[1]Data!L842</f>
        <v>01:05:03</v>
      </c>
      <c r="M851" s="1">
        <f>[1]Data!M842</f>
        <v>46029</v>
      </c>
      <c r="N851" s="1">
        <f>[1]Data!N842</f>
        <v>45343</v>
      </c>
      <c r="O851" s="1" t="str">
        <f>[1]Data!O842</f>
        <v>X</v>
      </c>
      <c r="P851" s="1" t="str">
        <f>[1]Data!P842</f>
        <v>2026</v>
      </c>
      <c r="Q851" s="15">
        <f>[1]Data!Q842</f>
        <v>144</v>
      </c>
      <c r="R851" s="1" t="str">
        <f>[1]Data!R842</f>
        <v/>
      </c>
    </row>
    <row r="852" spans="1:18" x14ac:dyDescent="0.35">
      <c r="A852" s="1" t="str">
        <f>[1]Data!A843</f>
        <v>4036671</v>
      </c>
      <c r="B852" s="1" t="str">
        <f>[1]Data!B843</f>
        <v>3300</v>
      </c>
      <c r="C852" s="1" t="str">
        <f>[1]Data!C843</f>
        <v>3001</v>
      </c>
      <c r="D852" s="1" t="str">
        <f>[1]Data!D843</f>
        <v>L</v>
      </c>
      <c r="E852" s="1" t="str">
        <f>[1]Data!E843</f>
        <v/>
      </c>
      <c r="F852" s="1" t="str">
        <f>[1]Data!F843</f>
        <v>2026</v>
      </c>
      <c r="G852" s="1" t="str">
        <f>[1]Data!G843</f>
        <v>2</v>
      </c>
      <c r="H852" s="15">
        <f>[1]Data!H843</f>
        <v>504</v>
      </c>
      <c r="I852" s="15">
        <f>[1]Data!I843</f>
        <v>0</v>
      </c>
      <c r="J852" s="1" t="str">
        <f>[1]Data!J843</f>
        <v>X</v>
      </c>
      <c r="K852" s="1" t="str">
        <f>[1]Data!K843</f>
        <v/>
      </c>
      <c r="L852" s="1" t="str">
        <f>[1]Data!L843</f>
        <v>01:04:03</v>
      </c>
      <c r="M852" s="1">
        <f>[1]Data!M843</f>
        <v>46029</v>
      </c>
      <c r="N852" s="1">
        <f>[1]Data!N843</f>
        <v>45343</v>
      </c>
      <c r="O852" s="1" t="str">
        <f>[1]Data!O843</f>
        <v>X</v>
      </c>
      <c r="P852" s="1" t="str">
        <f>[1]Data!P843</f>
        <v>2026</v>
      </c>
      <c r="Q852" s="15">
        <f>[1]Data!Q843</f>
        <v>504</v>
      </c>
      <c r="R852" s="1" t="str">
        <f>[1]Data!R843</f>
        <v/>
      </c>
    </row>
    <row r="853" spans="1:18" x14ac:dyDescent="0.35">
      <c r="A853" s="1" t="str">
        <f>[1]Data!A844</f>
        <v>4036672</v>
      </c>
      <c r="B853" s="1" t="str">
        <f>[1]Data!B844</f>
        <v>3300</v>
      </c>
      <c r="C853" s="1" t="str">
        <f>[1]Data!C844</f>
        <v>3001</v>
      </c>
      <c r="D853" s="1" t="str">
        <f>[1]Data!D844</f>
        <v>L</v>
      </c>
      <c r="E853" s="1" t="str">
        <f>[1]Data!E844</f>
        <v/>
      </c>
      <c r="F853" s="1" t="str">
        <f>[1]Data!F844</f>
        <v>2026</v>
      </c>
      <c r="G853" s="1" t="str">
        <f>[1]Data!G844</f>
        <v>2</v>
      </c>
      <c r="H853" s="15">
        <f>[1]Data!H844</f>
        <v>180</v>
      </c>
      <c r="I853" s="15">
        <f>[1]Data!I844</f>
        <v>0</v>
      </c>
      <c r="J853" s="1" t="str">
        <f>[1]Data!J844</f>
        <v>X</v>
      </c>
      <c r="K853" s="1" t="str">
        <f>[1]Data!K844</f>
        <v/>
      </c>
      <c r="L853" s="1" t="str">
        <f>[1]Data!L844</f>
        <v>01:03:00</v>
      </c>
      <c r="M853" s="1">
        <f>[1]Data!M844</f>
        <v>46029</v>
      </c>
      <c r="N853" s="1">
        <f>[1]Data!N844</f>
        <v>45343</v>
      </c>
      <c r="O853" s="1" t="str">
        <f>[1]Data!O844</f>
        <v>X</v>
      </c>
      <c r="P853" s="1" t="str">
        <f>[1]Data!P844</f>
        <v>2026</v>
      </c>
      <c r="Q853" s="15">
        <f>[1]Data!Q844</f>
        <v>180</v>
      </c>
      <c r="R853" s="1" t="str">
        <f>[1]Data!R844</f>
        <v/>
      </c>
    </row>
    <row r="854" spans="1:18" x14ac:dyDescent="0.35">
      <c r="A854" s="1" t="str">
        <f>[1]Data!A845</f>
        <v>4036673</v>
      </c>
      <c r="B854" s="1" t="str">
        <f>[1]Data!B845</f>
        <v>3300</v>
      </c>
      <c r="C854" s="1" t="str">
        <f>[1]Data!C845</f>
        <v>3001</v>
      </c>
      <c r="D854" s="1" t="str">
        <f>[1]Data!D845</f>
        <v>L</v>
      </c>
      <c r="E854" s="1" t="str">
        <f>[1]Data!E845</f>
        <v/>
      </c>
      <c r="F854" s="1" t="str">
        <f>[1]Data!F845</f>
        <v>2026</v>
      </c>
      <c r="G854" s="1" t="str">
        <f>[1]Data!G845</f>
        <v>2</v>
      </c>
      <c r="H854" s="15">
        <f>[1]Data!H845</f>
        <v>180</v>
      </c>
      <c r="I854" s="15">
        <f>[1]Data!I845</f>
        <v>0</v>
      </c>
      <c r="J854" s="1" t="str">
        <f>[1]Data!J845</f>
        <v>X</v>
      </c>
      <c r="K854" s="1" t="str">
        <f>[1]Data!K845</f>
        <v/>
      </c>
      <c r="L854" s="1" t="str">
        <f>[1]Data!L845</f>
        <v>01:05:00</v>
      </c>
      <c r="M854" s="1">
        <f>[1]Data!M845</f>
        <v>46029</v>
      </c>
      <c r="N854" s="1">
        <f>[1]Data!N845</f>
        <v>45343</v>
      </c>
      <c r="O854" s="1" t="str">
        <f>[1]Data!O845</f>
        <v>X</v>
      </c>
      <c r="P854" s="1" t="str">
        <f>[1]Data!P845</f>
        <v>2026</v>
      </c>
      <c r="Q854" s="15">
        <f>[1]Data!Q845</f>
        <v>180</v>
      </c>
      <c r="R854" s="1" t="str">
        <f>[1]Data!R845</f>
        <v/>
      </c>
    </row>
    <row r="855" spans="1:18" x14ac:dyDescent="0.35">
      <c r="A855" s="1" t="str">
        <f>[1]Data!A846</f>
        <v>4036674</v>
      </c>
      <c r="B855" s="1" t="str">
        <f>[1]Data!B846</f>
        <v>3300</v>
      </c>
      <c r="C855" s="1" t="str">
        <f>[1]Data!C846</f>
        <v>3001</v>
      </c>
      <c r="D855" s="1" t="str">
        <f>[1]Data!D846</f>
        <v>DL</v>
      </c>
      <c r="E855" s="1" t="str">
        <f>[1]Data!E846</f>
        <v/>
      </c>
      <c r="F855" s="1" t="str">
        <f>[1]Data!F846</f>
        <v>2026</v>
      </c>
      <c r="G855" s="1" t="str">
        <f>[1]Data!G846</f>
        <v>2</v>
      </c>
      <c r="H855" s="15">
        <f>[1]Data!H846</f>
        <v>168</v>
      </c>
      <c r="I855" s="15">
        <f>[1]Data!I846</f>
        <v>0</v>
      </c>
      <c r="J855" s="1" t="str">
        <f>[1]Data!J846</f>
        <v>X</v>
      </c>
      <c r="K855" s="1" t="str">
        <f>[1]Data!K846</f>
        <v/>
      </c>
      <c r="L855" s="1" t="str">
        <f>[1]Data!L846</f>
        <v>11:12:03</v>
      </c>
      <c r="M855" s="1">
        <f>[1]Data!M846</f>
        <v>46030</v>
      </c>
      <c r="N855" s="1">
        <f>[1]Data!N846</f>
        <v>45345</v>
      </c>
      <c r="O855" s="1" t="str">
        <f>[1]Data!O846</f>
        <v>X</v>
      </c>
      <c r="P855" s="1" t="str">
        <f>[1]Data!P846</f>
        <v>2026</v>
      </c>
      <c r="Q855" s="15">
        <f>[1]Data!Q846</f>
        <v>168</v>
      </c>
      <c r="R855" s="1" t="str">
        <f>[1]Data!R846</f>
        <v/>
      </c>
    </row>
    <row r="856" spans="1:18" x14ac:dyDescent="0.35">
      <c r="A856" s="1" t="str">
        <f>[1]Data!A847</f>
        <v>4036675</v>
      </c>
      <c r="B856" s="1" t="str">
        <f>[1]Data!B847</f>
        <v>3300</v>
      </c>
      <c r="C856" s="1" t="str">
        <f>[1]Data!C847</f>
        <v>3001</v>
      </c>
      <c r="D856" s="1" t="str">
        <f>[1]Data!D847</f>
        <v>DL</v>
      </c>
      <c r="E856" s="1" t="str">
        <f>[1]Data!E847</f>
        <v/>
      </c>
      <c r="F856" s="1" t="str">
        <f>[1]Data!F847</f>
        <v>2026</v>
      </c>
      <c r="G856" s="1" t="str">
        <f>[1]Data!G847</f>
        <v>2</v>
      </c>
      <c r="H856" s="15">
        <f>[1]Data!H847</f>
        <v>90</v>
      </c>
      <c r="I856" s="15">
        <f>[1]Data!I847</f>
        <v>0</v>
      </c>
      <c r="J856" s="1" t="str">
        <f>[1]Data!J847</f>
        <v>X</v>
      </c>
      <c r="K856" s="1" t="str">
        <f>[1]Data!K847</f>
        <v/>
      </c>
      <c r="L856" s="1" t="str">
        <f>[1]Data!L847</f>
        <v>11:07:03</v>
      </c>
      <c r="M856" s="1">
        <f>[1]Data!M847</f>
        <v>46030</v>
      </c>
      <c r="N856" s="1">
        <f>[1]Data!N847</f>
        <v>45345</v>
      </c>
      <c r="O856" s="1" t="str">
        <f>[1]Data!O847</f>
        <v>X</v>
      </c>
      <c r="P856" s="1" t="str">
        <f>[1]Data!P847</f>
        <v>2026</v>
      </c>
      <c r="Q856" s="15">
        <f>[1]Data!Q847</f>
        <v>90</v>
      </c>
      <c r="R856" s="1" t="str">
        <f>[1]Data!R847</f>
        <v/>
      </c>
    </row>
    <row r="857" spans="1:18" x14ac:dyDescent="0.35">
      <c r="A857" s="1" t="str">
        <f>[1]Data!A848</f>
        <v>4036677</v>
      </c>
      <c r="B857" s="1" t="str">
        <f>[1]Data!B848</f>
        <v>3300</v>
      </c>
      <c r="C857" s="1" t="str">
        <f>[1]Data!C848</f>
        <v>3001</v>
      </c>
      <c r="D857" s="1" t="str">
        <f>[1]Data!D848</f>
        <v>DL</v>
      </c>
      <c r="E857" s="1" t="str">
        <f>[1]Data!E848</f>
        <v/>
      </c>
      <c r="F857" s="1" t="str">
        <f>[1]Data!F848</f>
        <v>2026</v>
      </c>
      <c r="G857" s="1" t="str">
        <f>[1]Data!G848</f>
        <v>2</v>
      </c>
      <c r="H857" s="15">
        <f>[1]Data!H848</f>
        <v>114</v>
      </c>
      <c r="I857" s="15">
        <f>[1]Data!I848</f>
        <v>0</v>
      </c>
      <c r="J857" s="1" t="str">
        <f>[1]Data!J848</f>
        <v>X</v>
      </c>
      <c r="K857" s="1" t="str">
        <f>[1]Data!K848</f>
        <v/>
      </c>
      <c r="L857" s="1" t="str">
        <f>[1]Data!L848</f>
        <v>11:11:01</v>
      </c>
      <c r="M857" s="1">
        <f>[1]Data!M848</f>
        <v>46030</v>
      </c>
      <c r="N857" s="1">
        <f>[1]Data!N848</f>
        <v>45345</v>
      </c>
      <c r="O857" s="1" t="str">
        <f>[1]Data!O848</f>
        <v>X</v>
      </c>
      <c r="P857" s="1" t="str">
        <f>[1]Data!P848</f>
        <v>2026</v>
      </c>
      <c r="Q857" s="15">
        <f>[1]Data!Q848</f>
        <v>114</v>
      </c>
      <c r="R857" s="1" t="str">
        <f>[1]Data!R848</f>
        <v/>
      </c>
    </row>
    <row r="858" spans="1:18" x14ac:dyDescent="0.35">
      <c r="A858" s="1" t="str">
        <f>[1]Data!A849</f>
        <v>4036678</v>
      </c>
      <c r="B858" s="1" t="str">
        <f>[1]Data!B849</f>
        <v>3300</v>
      </c>
      <c r="C858" s="1" t="str">
        <f>[1]Data!C849</f>
        <v>3001</v>
      </c>
      <c r="D858" s="1" t="str">
        <f>[1]Data!D849</f>
        <v>DL</v>
      </c>
      <c r="E858" s="1" t="str">
        <f>[1]Data!E849</f>
        <v>X</v>
      </c>
      <c r="F858" s="1" t="str">
        <f>[1]Data!F849</f>
        <v>2024</v>
      </c>
      <c r="G858" s="1" t="str">
        <f>[1]Data!G849</f>
        <v>2</v>
      </c>
      <c r="H858" s="15">
        <f>[1]Data!H849</f>
        <v>0</v>
      </c>
      <c r="I858" s="15">
        <f>[1]Data!I849</f>
        <v>0</v>
      </c>
      <c r="J858" s="1" t="str">
        <f>[1]Data!J849</f>
        <v/>
      </c>
      <c r="K858" s="1" t="str">
        <f>[1]Data!K849</f>
        <v/>
      </c>
      <c r="L858" s="1" t="str">
        <f>[1]Data!L849</f>
        <v>SLETTET</v>
      </c>
      <c r="M858" s="1" t="str">
        <f>[1]Data!M849</f>
        <v/>
      </c>
      <c r="N858" s="1">
        <f>[1]Data!N849</f>
        <v>45345</v>
      </c>
      <c r="O858" s="1" t="str">
        <f>[1]Data!O849</f>
        <v>X</v>
      </c>
      <c r="P858" s="1" t="str">
        <f>[1]Data!P849</f>
        <v>2024</v>
      </c>
      <c r="Q858" s="15">
        <f>[1]Data!Q849</f>
        <v>0</v>
      </c>
      <c r="R858" s="1" t="str">
        <f>[1]Data!R849</f>
        <v>INAKTIV</v>
      </c>
    </row>
    <row r="859" spans="1:18" x14ac:dyDescent="0.35">
      <c r="A859" s="1" t="str">
        <f>[1]Data!A850</f>
        <v>4036688</v>
      </c>
      <c r="B859" s="1" t="str">
        <f>[1]Data!B850</f>
        <v>3300</v>
      </c>
      <c r="C859" s="1" t="str">
        <f>[1]Data!C850</f>
        <v>3001</v>
      </c>
      <c r="D859" s="1" t="str">
        <f>[1]Data!D850</f>
        <v>DL</v>
      </c>
      <c r="E859" s="1" t="str">
        <f>[1]Data!E850</f>
        <v>X</v>
      </c>
      <c r="F859" s="1" t="str">
        <f>[1]Data!F850</f>
        <v>2024</v>
      </c>
      <c r="G859" s="1" t="str">
        <f>[1]Data!G850</f>
        <v>5</v>
      </c>
      <c r="H859" s="15">
        <f>[1]Data!H850</f>
        <v>0</v>
      </c>
      <c r="I859" s="15">
        <f>[1]Data!I850</f>
        <v>0</v>
      </c>
      <c r="J859" s="1" t="str">
        <f>[1]Data!J850</f>
        <v/>
      </c>
      <c r="K859" s="1" t="str">
        <f>[1]Data!K850</f>
        <v/>
      </c>
      <c r="L859" s="1" t="str">
        <f>[1]Data!L850</f>
        <v>SLETTET</v>
      </c>
      <c r="M859" s="1" t="str">
        <f>[1]Data!M850</f>
        <v/>
      </c>
      <c r="N859" s="1">
        <f>[1]Data!N850</f>
        <v>45436</v>
      </c>
      <c r="O859" s="1" t="str">
        <f>[1]Data!O850</f>
        <v>X</v>
      </c>
      <c r="P859" s="1" t="str">
        <f>[1]Data!P850</f>
        <v>2024</v>
      </c>
      <c r="Q859" s="15">
        <f>[1]Data!Q850</f>
        <v>0</v>
      </c>
      <c r="R859" s="1" t="str">
        <f>[1]Data!R850</f>
        <v>INAKTIV</v>
      </c>
    </row>
    <row r="860" spans="1:18" x14ac:dyDescent="0.35">
      <c r="A860" s="1" t="str">
        <f>[1]Data!A851</f>
        <v>4036709</v>
      </c>
      <c r="B860" s="1" t="str">
        <f>[1]Data!B851</f>
        <v>3300</v>
      </c>
      <c r="C860" s="1" t="str">
        <f>[1]Data!C851</f>
        <v>3001</v>
      </c>
      <c r="D860" s="1" t="str">
        <f>[1]Data!D851</f>
        <v>DL</v>
      </c>
      <c r="E860" s="1" t="str">
        <f>[1]Data!E851</f>
        <v>X</v>
      </c>
      <c r="F860" s="1" t="str">
        <f>[1]Data!F851</f>
        <v>2024</v>
      </c>
      <c r="G860" s="1" t="str">
        <f>[1]Data!G851</f>
        <v>3</v>
      </c>
      <c r="H860" s="15">
        <f>[1]Data!H851</f>
        <v>0</v>
      </c>
      <c r="I860" s="15">
        <f>[1]Data!I851</f>
        <v>0</v>
      </c>
      <c r="J860" s="1" t="str">
        <f>[1]Data!J851</f>
        <v/>
      </c>
      <c r="K860" s="1" t="str">
        <f>[1]Data!K851</f>
        <v/>
      </c>
      <c r="L860" s="1" t="str">
        <f>[1]Data!L851</f>
        <v>SLETTET</v>
      </c>
      <c r="M860" s="1" t="str">
        <f>[1]Data!M851</f>
        <v/>
      </c>
      <c r="N860" s="1">
        <f>[1]Data!N851</f>
        <v>45352</v>
      </c>
      <c r="O860" s="1" t="str">
        <f>[1]Data!O851</f>
        <v>X</v>
      </c>
      <c r="P860" s="1" t="str">
        <f>[1]Data!P851</f>
        <v>2024</v>
      </c>
      <c r="Q860" s="15">
        <f>[1]Data!Q851</f>
        <v>0</v>
      </c>
      <c r="R860" s="1" t="str">
        <f>[1]Data!R851</f>
        <v>INAKTIV</v>
      </c>
    </row>
    <row r="861" spans="1:18" x14ac:dyDescent="0.35">
      <c r="A861" s="1" t="str">
        <f>[1]Data!A852</f>
        <v>4036710</v>
      </c>
      <c r="B861" s="1" t="str">
        <f>[1]Data!B852</f>
        <v>3300</v>
      </c>
      <c r="C861" s="1" t="str">
        <f>[1]Data!C852</f>
        <v>3001</v>
      </c>
      <c r="D861" s="1" t="str">
        <f>[1]Data!D852</f>
        <v>DL</v>
      </c>
      <c r="E861" s="1" t="str">
        <f>[1]Data!E852</f>
        <v>X</v>
      </c>
      <c r="F861" s="1" t="str">
        <f>[1]Data!F852</f>
        <v>2024</v>
      </c>
      <c r="G861" s="1" t="str">
        <f>[1]Data!G852</f>
        <v>3</v>
      </c>
      <c r="H861" s="15">
        <f>[1]Data!H852</f>
        <v>0</v>
      </c>
      <c r="I861" s="15">
        <f>[1]Data!I852</f>
        <v>0</v>
      </c>
      <c r="J861" s="1" t="str">
        <f>[1]Data!J852</f>
        <v/>
      </c>
      <c r="K861" s="1" t="str">
        <f>[1]Data!K852</f>
        <v/>
      </c>
      <c r="L861" s="1" t="str">
        <f>[1]Data!L852</f>
        <v>SLETTET</v>
      </c>
      <c r="M861" s="1" t="str">
        <f>[1]Data!M852</f>
        <v/>
      </c>
      <c r="N861" s="1">
        <f>[1]Data!N852</f>
        <v>45352</v>
      </c>
      <c r="O861" s="1" t="str">
        <f>[1]Data!O852</f>
        <v>X</v>
      </c>
      <c r="P861" s="1" t="str">
        <f>[1]Data!P852</f>
        <v>2024</v>
      </c>
      <c r="Q861" s="15">
        <f>[1]Data!Q852</f>
        <v>0</v>
      </c>
      <c r="R861" s="1" t="str">
        <f>[1]Data!R852</f>
        <v>INAKTIV</v>
      </c>
    </row>
    <row r="862" spans="1:18" x14ac:dyDescent="0.35">
      <c r="A862" s="1" t="str">
        <f>[1]Data!A853</f>
        <v>4036711</v>
      </c>
      <c r="B862" s="1" t="str">
        <f>[1]Data!B853</f>
        <v>3300</v>
      </c>
      <c r="C862" s="1" t="str">
        <f>[1]Data!C853</f>
        <v>3001</v>
      </c>
      <c r="D862" s="1" t="str">
        <f>[1]Data!D853</f>
        <v>DL</v>
      </c>
      <c r="E862" s="1" t="str">
        <f>[1]Data!E853</f>
        <v>X</v>
      </c>
      <c r="F862" s="1" t="str">
        <f>[1]Data!F853</f>
        <v>2024</v>
      </c>
      <c r="G862" s="1" t="str">
        <f>[1]Data!G853</f>
        <v>3</v>
      </c>
      <c r="H862" s="15">
        <f>[1]Data!H853</f>
        <v>0</v>
      </c>
      <c r="I862" s="15">
        <f>[1]Data!I853</f>
        <v>0</v>
      </c>
      <c r="J862" s="1" t="str">
        <f>[1]Data!J853</f>
        <v/>
      </c>
      <c r="K862" s="1" t="str">
        <f>[1]Data!K853</f>
        <v/>
      </c>
      <c r="L862" s="1" t="str">
        <f>[1]Data!L853</f>
        <v>SLETTET</v>
      </c>
      <c r="M862" s="1" t="str">
        <f>[1]Data!M853</f>
        <v/>
      </c>
      <c r="N862" s="1">
        <f>[1]Data!N853</f>
        <v>45352</v>
      </c>
      <c r="O862" s="1" t="str">
        <f>[1]Data!O853</f>
        <v>X</v>
      </c>
      <c r="P862" s="1" t="str">
        <f>[1]Data!P853</f>
        <v>2024</v>
      </c>
      <c r="Q862" s="15">
        <f>[1]Data!Q853</f>
        <v>0</v>
      </c>
      <c r="R862" s="1" t="str">
        <f>[1]Data!R853</f>
        <v>INAKTIV</v>
      </c>
    </row>
    <row r="863" spans="1:18" x14ac:dyDescent="0.35">
      <c r="A863" s="1" t="str">
        <f>[1]Data!A854</f>
        <v>4036744</v>
      </c>
      <c r="B863" s="1" t="str">
        <f>[1]Data!B854</f>
        <v>3300</v>
      </c>
      <c r="C863" s="1" t="str">
        <f>[1]Data!C854</f>
        <v>3001</v>
      </c>
      <c r="D863" s="1" t="str">
        <f>[1]Data!D854</f>
        <v>DL</v>
      </c>
      <c r="E863" s="1" t="str">
        <f>[1]Data!E854</f>
        <v/>
      </c>
      <c r="F863" s="1" t="str">
        <f>[1]Data!F854</f>
        <v>2026</v>
      </c>
      <c r="G863" s="1" t="str">
        <f>[1]Data!G854</f>
        <v>2</v>
      </c>
      <c r="H863" s="15">
        <f>[1]Data!H854</f>
        <v>200</v>
      </c>
      <c r="I863" s="15">
        <f>[1]Data!I854</f>
        <v>0</v>
      </c>
      <c r="J863" s="1" t="str">
        <f>[1]Data!J854</f>
        <v>X</v>
      </c>
      <c r="K863" s="1" t="str">
        <f>[1]Data!K854</f>
        <v/>
      </c>
      <c r="L863" s="1" t="str">
        <f>[1]Data!L854</f>
        <v>10:01:03</v>
      </c>
      <c r="M863" s="1">
        <f>[1]Data!M854</f>
        <v>46030</v>
      </c>
      <c r="N863" s="1">
        <f>[1]Data!N854</f>
        <v>45370</v>
      </c>
      <c r="O863" s="1" t="str">
        <f>[1]Data!O854</f>
        <v>X</v>
      </c>
      <c r="P863" s="1" t="str">
        <f>[1]Data!P854</f>
        <v>2026</v>
      </c>
      <c r="Q863" s="15">
        <f>[1]Data!Q854</f>
        <v>200</v>
      </c>
      <c r="R863" s="1" t="str">
        <f>[1]Data!R854</f>
        <v/>
      </c>
    </row>
    <row r="864" spans="1:18" x14ac:dyDescent="0.35">
      <c r="A864" s="1" t="str">
        <f>[1]Data!A855</f>
        <v>4036755</v>
      </c>
      <c r="B864" s="1" t="str">
        <f>[1]Data!B855</f>
        <v>3300</v>
      </c>
      <c r="C864" s="1" t="str">
        <f>[1]Data!C855</f>
        <v>3001</v>
      </c>
      <c r="D864" s="1" t="str">
        <f>[1]Data!D855</f>
        <v>DL</v>
      </c>
      <c r="E864" s="1" t="str">
        <f>[1]Data!E855</f>
        <v/>
      </c>
      <c r="F864" s="1" t="str">
        <f>[1]Data!F855</f>
        <v>2026</v>
      </c>
      <c r="G864" s="1" t="str">
        <f>[1]Data!G855</f>
        <v>2</v>
      </c>
      <c r="H864" s="15">
        <f>[1]Data!H855</f>
        <v>504</v>
      </c>
      <c r="I864" s="15">
        <f>[1]Data!I855</f>
        <v>0</v>
      </c>
      <c r="J864" s="1" t="str">
        <f>[1]Data!J855</f>
        <v>X</v>
      </c>
      <c r="K864" s="1" t="str">
        <f>[1]Data!K855</f>
        <v/>
      </c>
      <c r="L864" s="1" t="str">
        <f>[1]Data!L855</f>
        <v>01:01:00</v>
      </c>
      <c r="M864" s="1">
        <f>[1]Data!M855</f>
        <v>45792</v>
      </c>
      <c r="N864" s="1">
        <f>[1]Data!N855</f>
        <v>45387</v>
      </c>
      <c r="O864" s="1" t="str">
        <f>[1]Data!O855</f>
        <v>X</v>
      </c>
      <c r="P864" s="1" t="str">
        <f>[1]Data!P855</f>
        <v>2025</v>
      </c>
      <c r="Q864" s="15">
        <f>[1]Data!Q855</f>
        <v>504</v>
      </c>
      <c r="R864" s="1" t="str">
        <f>[1]Data!R855</f>
        <v/>
      </c>
    </row>
    <row r="865" spans="1:18" x14ac:dyDescent="0.35">
      <c r="A865" s="1" t="str">
        <f>[1]Data!A856</f>
        <v>4036756</v>
      </c>
      <c r="B865" s="1" t="str">
        <f>[1]Data!B856</f>
        <v>3300</v>
      </c>
      <c r="C865" s="1" t="str">
        <f>[1]Data!C856</f>
        <v>3001</v>
      </c>
      <c r="D865" s="1" t="str">
        <f>[1]Data!D856</f>
        <v>DL</v>
      </c>
      <c r="E865" s="1" t="str">
        <f>[1]Data!E856</f>
        <v/>
      </c>
      <c r="F865" s="1" t="str">
        <f>[1]Data!F856</f>
        <v>2024</v>
      </c>
      <c r="G865" s="1" t="str">
        <f>[1]Data!G856</f>
        <v>4</v>
      </c>
      <c r="H865" s="15">
        <f>[1]Data!H856</f>
        <v>0</v>
      </c>
      <c r="I865" s="15">
        <f>[1]Data!I856</f>
        <v>0</v>
      </c>
      <c r="J865" s="1" t="str">
        <f>[1]Data!J856</f>
        <v/>
      </c>
      <c r="K865" s="1" t="str">
        <f>[1]Data!K856</f>
        <v/>
      </c>
      <c r="L865" s="1" t="str">
        <f>[1]Data!L856</f>
        <v/>
      </c>
      <c r="M865" s="1" t="str">
        <f>[1]Data!M856</f>
        <v/>
      </c>
      <c r="N865" s="1">
        <f>[1]Data!N856</f>
        <v>45387</v>
      </c>
      <c r="O865" s="1" t="str">
        <f>[1]Data!O856</f>
        <v>X</v>
      </c>
      <c r="P865" s="1" t="str">
        <f>[1]Data!P856</f>
        <v>2024</v>
      </c>
      <c r="Q865" s="15">
        <f>[1]Data!Q856</f>
        <v>0</v>
      </c>
      <c r="R865" s="1" t="str">
        <f>[1]Data!R856</f>
        <v>INAKTIV</v>
      </c>
    </row>
    <row r="866" spans="1:18" x14ac:dyDescent="0.35">
      <c r="A866" s="1" t="str">
        <f>[1]Data!A857</f>
        <v>4036757</v>
      </c>
      <c r="B866" s="1" t="str">
        <f>[1]Data!B857</f>
        <v>3300</v>
      </c>
      <c r="C866" s="1" t="str">
        <f>[1]Data!C857</f>
        <v>3001</v>
      </c>
      <c r="D866" s="1" t="str">
        <f>[1]Data!D857</f>
        <v>DL</v>
      </c>
      <c r="E866" s="1" t="str">
        <f>[1]Data!E857</f>
        <v/>
      </c>
      <c r="F866" s="1" t="str">
        <f>[1]Data!F857</f>
        <v>2026</v>
      </c>
      <c r="G866" s="1" t="str">
        <f>[1]Data!G857</f>
        <v>2</v>
      </c>
      <c r="H866" s="15">
        <f>[1]Data!H857</f>
        <v>396</v>
      </c>
      <c r="I866" s="15">
        <f>[1]Data!I857</f>
        <v>0</v>
      </c>
      <c r="J866" s="1" t="str">
        <f>[1]Data!J857</f>
        <v>X</v>
      </c>
      <c r="K866" s="1" t="str">
        <f>[1]Data!K857</f>
        <v/>
      </c>
      <c r="L866" s="1" t="str">
        <f>[1]Data!L857</f>
        <v>01:01:00</v>
      </c>
      <c r="M866" s="1">
        <f>[1]Data!M857</f>
        <v>45792</v>
      </c>
      <c r="N866" s="1">
        <f>[1]Data!N857</f>
        <v>45387</v>
      </c>
      <c r="O866" s="1" t="str">
        <f>[1]Data!O857</f>
        <v>X</v>
      </c>
      <c r="P866" s="1" t="str">
        <f>[1]Data!P857</f>
        <v>2025</v>
      </c>
      <c r="Q866" s="15">
        <f>[1]Data!Q857</f>
        <v>396</v>
      </c>
      <c r="R866" s="1" t="str">
        <f>[1]Data!R857</f>
        <v/>
      </c>
    </row>
    <row r="867" spans="1:18" x14ac:dyDescent="0.35">
      <c r="A867" s="1" t="str">
        <f>[1]Data!A858</f>
        <v>4036758</v>
      </c>
      <c r="B867" s="1" t="str">
        <f>[1]Data!B858</f>
        <v>3300</v>
      </c>
      <c r="C867" s="1" t="str">
        <f>[1]Data!C858</f>
        <v>3001</v>
      </c>
      <c r="D867" s="1" t="str">
        <f>[1]Data!D858</f>
        <v>DL</v>
      </c>
      <c r="E867" s="1" t="str">
        <f>[1]Data!E858</f>
        <v/>
      </c>
      <c r="F867" s="1" t="str">
        <f>[1]Data!F858</f>
        <v>2026</v>
      </c>
      <c r="G867" s="1" t="str">
        <f>[1]Data!G858</f>
        <v>2</v>
      </c>
      <c r="H867" s="15">
        <f>[1]Data!H858</f>
        <v>252</v>
      </c>
      <c r="I867" s="15">
        <f>[1]Data!I858</f>
        <v>0</v>
      </c>
      <c r="J867" s="1" t="str">
        <f>[1]Data!J858</f>
        <v>X</v>
      </c>
      <c r="K867" s="1" t="str">
        <f>[1]Data!K858</f>
        <v/>
      </c>
      <c r="L867" s="1" t="str">
        <f>[1]Data!L858</f>
        <v>01;04:00</v>
      </c>
      <c r="M867" s="1">
        <f>[1]Data!M858</f>
        <v>45792</v>
      </c>
      <c r="N867" s="1">
        <f>[1]Data!N858</f>
        <v>45387</v>
      </c>
      <c r="O867" s="1" t="str">
        <f>[1]Data!O858</f>
        <v>X</v>
      </c>
      <c r="P867" s="1" t="str">
        <f>[1]Data!P858</f>
        <v>2025</v>
      </c>
      <c r="Q867" s="15">
        <f>[1]Data!Q858</f>
        <v>252</v>
      </c>
      <c r="R867" s="1" t="str">
        <f>[1]Data!R858</f>
        <v/>
      </c>
    </row>
    <row r="868" spans="1:18" x14ac:dyDescent="0.35">
      <c r="A868" s="1" t="str">
        <f>[1]Data!A859</f>
        <v>4036771</v>
      </c>
      <c r="B868" s="1" t="str">
        <f>[1]Data!B859</f>
        <v>3300</v>
      </c>
      <c r="C868" s="1" t="str">
        <f>[1]Data!C859</f>
        <v>3001</v>
      </c>
      <c r="D868" s="1" t="str">
        <f>[1]Data!D859</f>
        <v>DL</v>
      </c>
      <c r="E868" s="1" t="str">
        <f>[1]Data!E859</f>
        <v/>
      </c>
      <c r="F868" s="1" t="str">
        <f>[1]Data!F859</f>
        <v>2025</v>
      </c>
      <c r="G868" s="1" t="str">
        <f>[1]Data!G859</f>
        <v>11</v>
      </c>
      <c r="H868" s="15">
        <f>[1]Data!H859</f>
        <v>84</v>
      </c>
      <c r="I868" s="15">
        <f>[1]Data!I859</f>
        <v>0</v>
      </c>
      <c r="J868" s="1" t="str">
        <f>[1]Data!J859</f>
        <v>X</v>
      </c>
      <c r="K868" s="1" t="str">
        <f>[1]Data!K859</f>
        <v/>
      </c>
      <c r="L868" s="1" t="str">
        <f>[1]Data!L859</f>
        <v>01:05;03</v>
      </c>
      <c r="M868" s="1">
        <f>[1]Data!M859</f>
        <v>46029</v>
      </c>
      <c r="N868" s="1">
        <f>[1]Data!N859</f>
        <v>45393</v>
      </c>
      <c r="O868" s="1" t="str">
        <f>[1]Data!O859</f>
        <v>X</v>
      </c>
      <c r="P868" s="1" t="str">
        <f>[1]Data!P859</f>
        <v>2026</v>
      </c>
      <c r="Q868" s="15">
        <f>[1]Data!Q859</f>
        <v>84</v>
      </c>
      <c r="R868" s="1" t="str">
        <f>[1]Data!R859</f>
        <v/>
      </c>
    </row>
    <row r="869" spans="1:18" x14ac:dyDescent="0.35">
      <c r="A869" s="1" t="str">
        <f>[1]Data!A860</f>
        <v>4036772</v>
      </c>
      <c r="B869" s="1" t="str">
        <f>[1]Data!B860</f>
        <v>3300</v>
      </c>
      <c r="C869" s="1" t="str">
        <f>[1]Data!C860</f>
        <v>3001</v>
      </c>
      <c r="D869" s="1" t="str">
        <f>[1]Data!D860</f>
        <v>DL</v>
      </c>
      <c r="E869" s="1" t="str">
        <f>[1]Data!E860</f>
        <v/>
      </c>
      <c r="F869" s="1" t="str">
        <f>[1]Data!F860</f>
        <v>2026</v>
      </c>
      <c r="G869" s="1" t="str">
        <f>[1]Data!G860</f>
        <v>2</v>
      </c>
      <c r="H869" s="15">
        <f>[1]Data!H860</f>
        <v>360</v>
      </c>
      <c r="I869" s="15">
        <f>[1]Data!I860</f>
        <v>0</v>
      </c>
      <c r="J869" s="1" t="str">
        <f>[1]Data!J860</f>
        <v>X</v>
      </c>
      <c r="K869" s="1" t="str">
        <f>[1]Data!K860</f>
        <v/>
      </c>
      <c r="L869" s="1" t="str">
        <f>[1]Data!L860</f>
        <v>01:04:00</v>
      </c>
      <c r="M869" s="1">
        <f>[1]Data!M860</f>
        <v>46029</v>
      </c>
      <c r="N869" s="1">
        <f>[1]Data!N860</f>
        <v>45393</v>
      </c>
      <c r="O869" s="1" t="str">
        <f>[1]Data!O860</f>
        <v>X</v>
      </c>
      <c r="P869" s="1" t="str">
        <f>[1]Data!P860</f>
        <v>2026</v>
      </c>
      <c r="Q869" s="15">
        <f>[1]Data!Q860</f>
        <v>360</v>
      </c>
      <c r="R869" s="1" t="str">
        <f>[1]Data!R860</f>
        <v/>
      </c>
    </row>
    <row r="870" spans="1:18" x14ac:dyDescent="0.35">
      <c r="A870" s="1" t="str">
        <f>[1]Data!A861</f>
        <v>4036775</v>
      </c>
      <c r="B870" s="1" t="str">
        <f>[1]Data!B861</f>
        <v>3300</v>
      </c>
      <c r="C870" s="1" t="str">
        <f>[1]Data!C861</f>
        <v>3001</v>
      </c>
      <c r="D870" s="1" t="str">
        <f>[1]Data!D861</f>
        <v>DL</v>
      </c>
      <c r="E870" s="1" t="str">
        <f>[1]Data!E861</f>
        <v/>
      </c>
      <c r="F870" s="1" t="str">
        <f>[1]Data!F861</f>
        <v>2024</v>
      </c>
      <c r="G870" s="1" t="str">
        <f>[1]Data!G861</f>
        <v>4</v>
      </c>
      <c r="H870" s="15">
        <f>[1]Data!H861</f>
        <v>0</v>
      </c>
      <c r="I870" s="15">
        <f>[1]Data!I861</f>
        <v>0</v>
      </c>
      <c r="J870" s="1" t="str">
        <f>[1]Data!J861</f>
        <v/>
      </c>
      <c r="K870" s="1" t="str">
        <f>[1]Data!K861</f>
        <v/>
      </c>
      <c r="L870" s="1" t="str">
        <f>[1]Data!L861</f>
        <v/>
      </c>
      <c r="M870" s="1" t="str">
        <f>[1]Data!M861</f>
        <v/>
      </c>
      <c r="N870" s="1">
        <f>[1]Data!N861</f>
        <v>45393</v>
      </c>
      <c r="O870" s="1" t="str">
        <f>[1]Data!O861</f>
        <v>X</v>
      </c>
      <c r="P870" s="1" t="str">
        <f>[1]Data!P861</f>
        <v>2024</v>
      </c>
      <c r="Q870" s="15">
        <f>[1]Data!Q861</f>
        <v>0</v>
      </c>
      <c r="R870" s="1" t="str">
        <f>[1]Data!R861</f>
        <v>INAKTIV</v>
      </c>
    </row>
    <row r="871" spans="1:18" x14ac:dyDescent="0.35">
      <c r="A871" s="1" t="str">
        <f>[1]Data!A862</f>
        <v>4036776</v>
      </c>
      <c r="B871" s="1" t="str">
        <f>[1]Data!B862</f>
        <v>3300</v>
      </c>
      <c r="C871" s="1" t="str">
        <f>[1]Data!C862</f>
        <v>3001</v>
      </c>
      <c r="D871" s="1" t="str">
        <f>[1]Data!D862</f>
        <v>DL</v>
      </c>
      <c r="E871" s="1" t="str">
        <f>[1]Data!E862</f>
        <v/>
      </c>
      <c r="F871" s="1" t="str">
        <f>[1]Data!F862</f>
        <v>2024</v>
      </c>
      <c r="G871" s="1" t="str">
        <f>[1]Data!G862</f>
        <v>4</v>
      </c>
      <c r="H871" s="15">
        <f>[1]Data!H862</f>
        <v>0</v>
      </c>
      <c r="I871" s="15">
        <f>[1]Data!I862</f>
        <v>0</v>
      </c>
      <c r="J871" s="1" t="str">
        <f>[1]Data!J862</f>
        <v/>
      </c>
      <c r="K871" s="1" t="str">
        <f>[1]Data!K862</f>
        <v/>
      </c>
      <c r="L871" s="1" t="str">
        <f>[1]Data!L862</f>
        <v/>
      </c>
      <c r="M871" s="1" t="str">
        <f>[1]Data!M862</f>
        <v/>
      </c>
      <c r="N871" s="1">
        <f>[1]Data!N862</f>
        <v>45393</v>
      </c>
      <c r="O871" s="1" t="str">
        <f>[1]Data!O862</f>
        <v>X</v>
      </c>
      <c r="P871" s="1" t="str">
        <f>[1]Data!P862</f>
        <v>2024</v>
      </c>
      <c r="Q871" s="15">
        <f>[1]Data!Q862</f>
        <v>0</v>
      </c>
      <c r="R871" s="1" t="str">
        <f>[1]Data!R862</f>
        <v>INAKTIV</v>
      </c>
    </row>
    <row r="872" spans="1:18" x14ac:dyDescent="0.35">
      <c r="A872" s="1" t="str">
        <f>[1]Data!A863</f>
        <v>4036777</v>
      </c>
      <c r="B872" s="1" t="str">
        <f>[1]Data!B863</f>
        <v>3300</v>
      </c>
      <c r="C872" s="1" t="str">
        <f>[1]Data!C863</f>
        <v>3001</v>
      </c>
      <c r="D872" s="1" t="str">
        <f>[1]Data!D863</f>
        <v>DL</v>
      </c>
      <c r="E872" s="1" t="str">
        <f>[1]Data!E863</f>
        <v/>
      </c>
      <c r="F872" s="1" t="str">
        <f>[1]Data!F863</f>
        <v>2026</v>
      </c>
      <c r="G872" s="1" t="str">
        <f>[1]Data!G863</f>
        <v>2</v>
      </c>
      <c r="H872" s="15">
        <f>[1]Data!H863</f>
        <v>540</v>
      </c>
      <c r="I872" s="15">
        <f>[1]Data!I863</f>
        <v>0</v>
      </c>
      <c r="J872" s="1" t="str">
        <f>[1]Data!J863</f>
        <v>X</v>
      </c>
      <c r="K872" s="1" t="str">
        <f>[1]Data!K863</f>
        <v/>
      </c>
      <c r="L872" s="1" t="str">
        <f>[1]Data!L863</f>
        <v>01:03:01</v>
      </c>
      <c r="M872" s="1">
        <f>[1]Data!M863</f>
        <v>46029</v>
      </c>
      <c r="N872" s="1">
        <f>[1]Data!N863</f>
        <v>45393</v>
      </c>
      <c r="O872" s="1" t="str">
        <f>[1]Data!O863</f>
        <v>X</v>
      </c>
      <c r="P872" s="1" t="str">
        <f>[1]Data!P863</f>
        <v>2026</v>
      </c>
      <c r="Q872" s="15">
        <f>[1]Data!Q863</f>
        <v>540</v>
      </c>
      <c r="R872" s="1" t="str">
        <f>[1]Data!R863</f>
        <v/>
      </c>
    </row>
    <row r="873" spans="1:18" x14ac:dyDescent="0.35">
      <c r="A873" s="1" t="str">
        <f>[1]Data!A864</f>
        <v>4036778</v>
      </c>
      <c r="B873" s="1" t="str">
        <f>[1]Data!B864</f>
        <v>3300</v>
      </c>
      <c r="C873" s="1" t="str">
        <f>[1]Data!C864</f>
        <v>3001</v>
      </c>
      <c r="D873" s="1" t="str">
        <f>[1]Data!D864</f>
        <v>DL</v>
      </c>
      <c r="E873" s="1" t="str">
        <f>[1]Data!E864</f>
        <v/>
      </c>
      <c r="F873" s="1" t="str">
        <f>[1]Data!F864</f>
        <v>2026</v>
      </c>
      <c r="G873" s="1" t="str">
        <f>[1]Data!G864</f>
        <v>2</v>
      </c>
      <c r="H873" s="15">
        <f>[1]Data!H864</f>
        <v>612</v>
      </c>
      <c r="I873" s="15">
        <f>[1]Data!I864</f>
        <v>0</v>
      </c>
      <c r="J873" s="1" t="str">
        <f>[1]Data!J864</f>
        <v>X</v>
      </c>
      <c r="K873" s="1" t="str">
        <f>[1]Data!K864</f>
        <v/>
      </c>
      <c r="L873" s="1" t="str">
        <f>[1]Data!L864</f>
        <v>01:03:00</v>
      </c>
      <c r="M873" s="1">
        <f>[1]Data!M864</f>
        <v>46029</v>
      </c>
      <c r="N873" s="1">
        <f>[1]Data!N864</f>
        <v>45393</v>
      </c>
      <c r="O873" s="1" t="str">
        <f>[1]Data!O864</f>
        <v>X</v>
      </c>
      <c r="P873" s="1" t="str">
        <f>[1]Data!P864</f>
        <v>2026</v>
      </c>
      <c r="Q873" s="15">
        <f>[1]Data!Q864</f>
        <v>612</v>
      </c>
      <c r="R873" s="1" t="str">
        <f>[1]Data!R864</f>
        <v/>
      </c>
    </row>
    <row r="874" spans="1:18" x14ac:dyDescent="0.35">
      <c r="A874" s="1" t="str">
        <f>[1]Data!A865</f>
        <v>4036779</v>
      </c>
      <c r="B874" s="1" t="str">
        <f>[1]Data!B865</f>
        <v>3300</v>
      </c>
      <c r="C874" s="1" t="str">
        <f>[1]Data!C865</f>
        <v>3001</v>
      </c>
      <c r="D874" s="1" t="str">
        <f>[1]Data!D865</f>
        <v>DL</v>
      </c>
      <c r="E874" s="1" t="str">
        <f>[1]Data!E865</f>
        <v/>
      </c>
      <c r="F874" s="1" t="str">
        <f>[1]Data!F865</f>
        <v>2026</v>
      </c>
      <c r="G874" s="1" t="str">
        <f>[1]Data!G865</f>
        <v>2</v>
      </c>
      <c r="H874" s="15">
        <f>[1]Data!H865</f>
        <v>180</v>
      </c>
      <c r="I874" s="15">
        <f>[1]Data!I865</f>
        <v>0</v>
      </c>
      <c r="J874" s="1" t="str">
        <f>[1]Data!J865</f>
        <v>X</v>
      </c>
      <c r="K874" s="1" t="str">
        <f>[1]Data!K865</f>
        <v/>
      </c>
      <c r="L874" s="1" t="str">
        <f>[1]Data!L865</f>
        <v>01:05;03</v>
      </c>
      <c r="M874" s="1">
        <f>[1]Data!M865</f>
        <v>46029</v>
      </c>
      <c r="N874" s="1">
        <f>[1]Data!N865</f>
        <v>45393</v>
      </c>
      <c r="O874" s="1" t="str">
        <f>[1]Data!O865</f>
        <v>X</v>
      </c>
      <c r="P874" s="1" t="str">
        <f>[1]Data!P865</f>
        <v>2026</v>
      </c>
      <c r="Q874" s="15">
        <f>[1]Data!Q865</f>
        <v>180</v>
      </c>
      <c r="R874" s="1" t="str">
        <f>[1]Data!R865</f>
        <v/>
      </c>
    </row>
    <row r="875" spans="1:18" x14ac:dyDescent="0.35">
      <c r="A875" s="1" t="str">
        <f>[1]Data!A866</f>
        <v>4036780</v>
      </c>
      <c r="B875" s="1" t="str">
        <f>[1]Data!B866</f>
        <v>3300</v>
      </c>
      <c r="C875" s="1" t="str">
        <f>[1]Data!C866</f>
        <v>3001</v>
      </c>
      <c r="D875" s="1" t="str">
        <f>[1]Data!D866</f>
        <v>DL</v>
      </c>
      <c r="E875" s="1" t="str">
        <f>[1]Data!E866</f>
        <v/>
      </c>
      <c r="F875" s="1" t="str">
        <f>[1]Data!F866</f>
        <v>2026</v>
      </c>
      <c r="G875" s="1" t="str">
        <f>[1]Data!G866</f>
        <v>3</v>
      </c>
      <c r="H875" s="15">
        <f>[1]Data!H866</f>
        <v>1836</v>
      </c>
      <c r="I875" s="15">
        <f>[1]Data!I866</f>
        <v>0</v>
      </c>
      <c r="J875" s="1" t="str">
        <f>[1]Data!J866</f>
        <v>X</v>
      </c>
      <c r="K875" s="1" t="str">
        <f>[1]Data!K866</f>
        <v/>
      </c>
      <c r="L875" s="1" t="str">
        <f>[1]Data!L866</f>
        <v>01:05:00</v>
      </c>
      <c r="M875" s="1">
        <f>[1]Data!M866</f>
        <v>46029</v>
      </c>
      <c r="N875" s="1">
        <f>[1]Data!N866</f>
        <v>45393</v>
      </c>
      <c r="O875" s="1" t="str">
        <f>[1]Data!O866</f>
        <v>X</v>
      </c>
      <c r="P875" s="1" t="str">
        <f>[1]Data!P866</f>
        <v>2026</v>
      </c>
      <c r="Q875" s="15">
        <f>[1]Data!Q866</f>
        <v>1836</v>
      </c>
      <c r="R875" s="1" t="str">
        <f>[1]Data!R866</f>
        <v/>
      </c>
    </row>
    <row r="876" spans="1:18" x14ac:dyDescent="0.35">
      <c r="A876" s="1" t="str">
        <f>[1]Data!A867</f>
        <v>4036781</v>
      </c>
      <c r="B876" s="1" t="str">
        <f>[1]Data!B867</f>
        <v>3300</v>
      </c>
      <c r="C876" s="1" t="str">
        <f>[1]Data!C867</f>
        <v>3001</v>
      </c>
      <c r="D876" s="1" t="str">
        <f>[1]Data!D867</f>
        <v>DL</v>
      </c>
      <c r="E876" s="1" t="str">
        <f>[1]Data!E867</f>
        <v/>
      </c>
      <c r="F876" s="1" t="str">
        <f>[1]Data!F867</f>
        <v>2024</v>
      </c>
      <c r="G876" s="1" t="str">
        <f>[1]Data!G867</f>
        <v>4</v>
      </c>
      <c r="H876" s="15">
        <f>[1]Data!H867</f>
        <v>0</v>
      </c>
      <c r="I876" s="15">
        <f>[1]Data!I867</f>
        <v>0</v>
      </c>
      <c r="J876" s="1" t="str">
        <f>[1]Data!J867</f>
        <v/>
      </c>
      <c r="K876" s="1" t="str">
        <f>[1]Data!K867</f>
        <v/>
      </c>
      <c r="L876" s="1" t="str">
        <f>[1]Data!L867</f>
        <v/>
      </c>
      <c r="M876" s="1" t="str">
        <f>[1]Data!M867</f>
        <v/>
      </c>
      <c r="N876" s="1">
        <f>[1]Data!N867</f>
        <v>45393</v>
      </c>
      <c r="O876" s="1" t="str">
        <f>[1]Data!O867</f>
        <v>X</v>
      </c>
      <c r="P876" s="1" t="str">
        <f>[1]Data!P867</f>
        <v>2024</v>
      </c>
      <c r="Q876" s="15">
        <f>[1]Data!Q867</f>
        <v>0</v>
      </c>
      <c r="R876" s="1" t="str">
        <f>[1]Data!R867</f>
        <v>INAKTIV</v>
      </c>
    </row>
    <row r="877" spans="1:18" x14ac:dyDescent="0.35">
      <c r="A877" s="1" t="str">
        <f>[1]Data!A868</f>
        <v>4036782</v>
      </c>
      <c r="B877" s="1" t="str">
        <f>[1]Data!B868</f>
        <v>3300</v>
      </c>
      <c r="C877" s="1" t="str">
        <f>[1]Data!C868</f>
        <v>3001</v>
      </c>
      <c r="D877" s="1" t="str">
        <f>[1]Data!D868</f>
        <v>DL</v>
      </c>
      <c r="E877" s="1" t="str">
        <f>[1]Data!E868</f>
        <v>X</v>
      </c>
      <c r="F877" s="1" t="str">
        <f>[1]Data!F868</f>
        <v>2024</v>
      </c>
      <c r="G877" s="1" t="str">
        <f>[1]Data!G868</f>
        <v>4</v>
      </c>
      <c r="H877" s="15">
        <f>[1]Data!H868</f>
        <v>0</v>
      </c>
      <c r="I877" s="15">
        <f>[1]Data!I868</f>
        <v>0</v>
      </c>
      <c r="J877" s="1" t="str">
        <f>[1]Data!J868</f>
        <v/>
      </c>
      <c r="K877" s="1" t="str">
        <f>[1]Data!K868</f>
        <v/>
      </c>
      <c r="L877" s="1" t="str">
        <f>[1]Data!L868</f>
        <v>SLETTET</v>
      </c>
      <c r="M877" s="1" t="str">
        <f>[1]Data!M868</f>
        <v/>
      </c>
      <c r="N877" s="1">
        <f>[1]Data!N868</f>
        <v>45393</v>
      </c>
      <c r="O877" s="1" t="str">
        <f>[1]Data!O868</f>
        <v>X</v>
      </c>
      <c r="P877" s="1" t="str">
        <f>[1]Data!P868</f>
        <v>2024</v>
      </c>
      <c r="Q877" s="15">
        <f>[1]Data!Q868</f>
        <v>0</v>
      </c>
      <c r="R877" s="1" t="str">
        <f>[1]Data!R868</f>
        <v>INAKTIV</v>
      </c>
    </row>
    <row r="878" spans="1:18" x14ac:dyDescent="0.35">
      <c r="A878" s="1" t="str">
        <f>[1]Data!A869</f>
        <v>4036783</v>
      </c>
      <c r="B878" s="1" t="str">
        <f>[1]Data!B869</f>
        <v>3300</v>
      </c>
      <c r="C878" s="1" t="str">
        <f>[1]Data!C869</f>
        <v>3001</v>
      </c>
      <c r="D878" s="1" t="str">
        <f>[1]Data!D869</f>
        <v>DL</v>
      </c>
      <c r="E878" s="1" t="str">
        <f>[1]Data!E869</f>
        <v/>
      </c>
      <c r="F878" s="1" t="str">
        <f>[1]Data!F869</f>
        <v>2024</v>
      </c>
      <c r="G878" s="1" t="str">
        <f>[1]Data!G869</f>
        <v>4</v>
      </c>
      <c r="H878" s="15">
        <f>[1]Data!H869</f>
        <v>0</v>
      </c>
      <c r="I878" s="15">
        <f>[1]Data!I869</f>
        <v>0</v>
      </c>
      <c r="J878" s="1" t="str">
        <f>[1]Data!J869</f>
        <v/>
      </c>
      <c r="K878" s="1" t="str">
        <f>[1]Data!K869</f>
        <v/>
      </c>
      <c r="L878" s="1" t="str">
        <f>[1]Data!L869</f>
        <v/>
      </c>
      <c r="M878" s="1" t="str">
        <f>[1]Data!M869</f>
        <v/>
      </c>
      <c r="N878" s="1">
        <f>[1]Data!N869</f>
        <v>45393</v>
      </c>
      <c r="O878" s="1" t="str">
        <f>[1]Data!O869</f>
        <v>X</v>
      </c>
      <c r="P878" s="1" t="str">
        <f>[1]Data!P869</f>
        <v>2024</v>
      </c>
      <c r="Q878" s="15">
        <f>[1]Data!Q869</f>
        <v>0</v>
      </c>
      <c r="R878" s="1" t="str">
        <f>[1]Data!R869</f>
        <v>INAKTIV</v>
      </c>
    </row>
    <row r="879" spans="1:18" x14ac:dyDescent="0.35">
      <c r="A879" s="1" t="str">
        <f>[1]Data!A870</f>
        <v>4038549</v>
      </c>
      <c r="B879" s="1" t="str">
        <f>[1]Data!B870</f>
        <v>3300</v>
      </c>
      <c r="C879" s="1" t="str">
        <f>[1]Data!C870</f>
        <v>3001</v>
      </c>
      <c r="D879" s="1" t="str">
        <f>[1]Data!D870</f>
        <v>DL</v>
      </c>
      <c r="E879" s="1" t="str">
        <f>[1]Data!E870</f>
        <v/>
      </c>
      <c r="F879" s="1" t="str">
        <f>[1]Data!F870</f>
        <v>2024</v>
      </c>
      <c r="G879" s="1" t="str">
        <f>[1]Data!G870</f>
        <v>5</v>
      </c>
      <c r="H879" s="15">
        <f>[1]Data!H870</f>
        <v>0</v>
      </c>
      <c r="I879" s="15">
        <f>[1]Data!I870</f>
        <v>0</v>
      </c>
      <c r="J879" s="1" t="str">
        <f>[1]Data!J870</f>
        <v/>
      </c>
      <c r="K879" s="1" t="str">
        <f>[1]Data!K870</f>
        <v/>
      </c>
      <c r="L879" s="1" t="str">
        <f>[1]Data!L870</f>
        <v/>
      </c>
      <c r="M879" s="1" t="str">
        <f>[1]Data!M870</f>
        <v/>
      </c>
      <c r="N879" s="1">
        <f>[1]Data!N870</f>
        <v>45428</v>
      </c>
      <c r="O879" s="1" t="str">
        <f>[1]Data!O870</f>
        <v>X</v>
      </c>
      <c r="P879" s="1" t="str">
        <f>[1]Data!P870</f>
        <v>2024</v>
      </c>
      <c r="Q879" s="15">
        <f>[1]Data!Q870</f>
        <v>0</v>
      </c>
      <c r="R879" s="1" t="str">
        <f>[1]Data!R870</f>
        <v>INAKTIV</v>
      </c>
    </row>
    <row r="880" spans="1:18" x14ac:dyDescent="0.35">
      <c r="A880" s="1" t="str">
        <f>[1]Data!A871</f>
        <v>4038550</v>
      </c>
      <c r="B880" s="1" t="str">
        <f>[1]Data!B871</f>
        <v>3300</v>
      </c>
      <c r="C880" s="1" t="str">
        <f>[1]Data!C871</f>
        <v>3001</v>
      </c>
      <c r="D880" s="1" t="str">
        <f>[1]Data!D871</f>
        <v>DL</v>
      </c>
      <c r="E880" s="1" t="str">
        <f>[1]Data!E871</f>
        <v/>
      </c>
      <c r="F880" s="1" t="str">
        <f>[1]Data!F871</f>
        <v>2024</v>
      </c>
      <c r="G880" s="1" t="str">
        <f>[1]Data!G871</f>
        <v>5</v>
      </c>
      <c r="H880" s="15">
        <f>[1]Data!H871</f>
        <v>0</v>
      </c>
      <c r="I880" s="15">
        <f>[1]Data!I871</f>
        <v>0</v>
      </c>
      <c r="J880" s="1" t="str">
        <f>[1]Data!J871</f>
        <v/>
      </c>
      <c r="K880" s="1" t="str">
        <f>[1]Data!K871</f>
        <v/>
      </c>
      <c r="L880" s="1" t="str">
        <f>[1]Data!L871</f>
        <v>SLETTET</v>
      </c>
      <c r="M880" s="1" t="str">
        <f>[1]Data!M871</f>
        <v/>
      </c>
      <c r="N880" s="1">
        <f>[1]Data!N871</f>
        <v>45428</v>
      </c>
      <c r="O880" s="1" t="str">
        <f>[1]Data!O871</f>
        <v>X</v>
      </c>
      <c r="P880" s="1" t="str">
        <f>[1]Data!P871</f>
        <v>2024</v>
      </c>
      <c r="Q880" s="15">
        <f>[1]Data!Q871</f>
        <v>0</v>
      </c>
      <c r="R880" s="1" t="str">
        <f>[1]Data!R871</f>
        <v>INAKTIV</v>
      </c>
    </row>
    <row r="881" spans="1:18" x14ac:dyDescent="0.35">
      <c r="A881" s="1" t="str">
        <f>[1]Data!A872</f>
        <v>4038551</v>
      </c>
      <c r="B881" s="1" t="str">
        <f>[1]Data!B872</f>
        <v>3300</v>
      </c>
      <c r="C881" s="1" t="str">
        <f>[1]Data!C872</f>
        <v>3001</v>
      </c>
      <c r="D881" s="1" t="str">
        <f>[1]Data!D872</f>
        <v>DL</v>
      </c>
      <c r="E881" s="1" t="str">
        <f>[1]Data!E872</f>
        <v/>
      </c>
      <c r="F881" s="1" t="str">
        <f>[1]Data!F872</f>
        <v>2024</v>
      </c>
      <c r="G881" s="1" t="str">
        <f>[1]Data!G872</f>
        <v>5</v>
      </c>
      <c r="H881" s="15">
        <f>[1]Data!H872</f>
        <v>0</v>
      </c>
      <c r="I881" s="15">
        <f>[1]Data!I872</f>
        <v>0</v>
      </c>
      <c r="J881" s="1" t="str">
        <f>[1]Data!J872</f>
        <v/>
      </c>
      <c r="K881" s="1" t="str">
        <f>[1]Data!K872</f>
        <v/>
      </c>
      <c r="L881" s="1" t="str">
        <f>[1]Data!L872</f>
        <v/>
      </c>
      <c r="M881" s="1" t="str">
        <f>[1]Data!M872</f>
        <v/>
      </c>
      <c r="N881" s="1">
        <f>[1]Data!N872</f>
        <v>45428</v>
      </c>
      <c r="O881" s="1" t="str">
        <f>[1]Data!O872</f>
        <v>X</v>
      </c>
      <c r="P881" s="1" t="str">
        <f>[1]Data!P872</f>
        <v>2024</v>
      </c>
      <c r="Q881" s="15">
        <f>[1]Data!Q872</f>
        <v>0</v>
      </c>
      <c r="R881" s="1" t="str">
        <f>[1]Data!R872</f>
        <v>INAKTIV</v>
      </c>
    </row>
    <row r="882" spans="1:18" x14ac:dyDescent="0.35">
      <c r="A882" s="1" t="str">
        <f>[1]Data!A873</f>
        <v>4038552</v>
      </c>
      <c r="B882" s="1" t="str">
        <f>[1]Data!B873</f>
        <v>3300</v>
      </c>
      <c r="C882" s="1" t="str">
        <f>[1]Data!C873</f>
        <v>3001</v>
      </c>
      <c r="D882" s="1" t="str">
        <f>[1]Data!D873</f>
        <v>DL</v>
      </c>
      <c r="E882" s="1" t="str">
        <f>[1]Data!E873</f>
        <v/>
      </c>
      <c r="F882" s="1" t="str">
        <f>[1]Data!F873</f>
        <v>2026</v>
      </c>
      <c r="G882" s="1" t="str">
        <f>[1]Data!G873</f>
        <v>2</v>
      </c>
      <c r="H882" s="15">
        <f>[1]Data!H873</f>
        <v>42</v>
      </c>
      <c r="I882" s="15">
        <f>[1]Data!I873</f>
        <v>0</v>
      </c>
      <c r="J882" s="1" t="str">
        <f>[1]Data!J873</f>
        <v>X</v>
      </c>
      <c r="K882" s="1" t="str">
        <f>[1]Data!K873</f>
        <v/>
      </c>
      <c r="L882" s="1" t="str">
        <f>[1]Data!L873</f>
        <v>12:06:02</v>
      </c>
      <c r="M882" s="1">
        <f>[1]Data!M873</f>
        <v>46030</v>
      </c>
      <c r="N882" s="1">
        <f>[1]Data!N873</f>
        <v>45428</v>
      </c>
      <c r="O882" s="1" t="str">
        <f>[1]Data!O873</f>
        <v>X</v>
      </c>
      <c r="P882" s="1" t="str">
        <f>[1]Data!P873</f>
        <v>2026</v>
      </c>
      <c r="Q882" s="15">
        <f>[1]Data!Q873</f>
        <v>42</v>
      </c>
      <c r="R882" s="1" t="str">
        <f>[1]Data!R873</f>
        <v/>
      </c>
    </row>
    <row r="883" spans="1:18" x14ac:dyDescent="0.35">
      <c r="A883" s="1" t="str">
        <f>[1]Data!A874</f>
        <v>4038553</v>
      </c>
      <c r="B883" s="1" t="str">
        <f>[1]Data!B874</f>
        <v>3300</v>
      </c>
      <c r="C883" s="1" t="str">
        <f>[1]Data!C874</f>
        <v>3001</v>
      </c>
      <c r="D883" s="1" t="str">
        <f>[1]Data!D874</f>
        <v>DL</v>
      </c>
      <c r="E883" s="1" t="str">
        <f>[1]Data!E874</f>
        <v/>
      </c>
      <c r="F883" s="1" t="str">
        <f>[1]Data!F874</f>
        <v>2026</v>
      </c>
      <c r="G883" s="1" t="str">
        <f>[1]Data!G874</f>
        <v>2</v>
      </c>
      <c r="H883" s="15">
        <f>[1]Data!H874</f>
        <v>140</v>
      </c>
      <c r="I883" s="15">
        <f>[1]Data!I874</f>
        <v>0</v>
      </c>
      <c r="J883" s="1" t="str">
        <f>[1]Data!J874</f>
        <v>X</v>
      </c>
      <c r="K883" s="1" t="str">
        <f>[1]Data!K874</f>
        <v/>
      </c>
      <c r="L883" s="1" t="str">
        <f>[1]Data!L874</f>
        <v>14:11:00</v>
      </c>
      <c r="M883" s="1">
        <f>[1]Data!M874</f>
        <v>46030</v>
      </c>
      <c r="N883" s="1">
        <f>[1]Data!N874</f>
        <v>45428</v>
      </c>
      <c r="O883" s="1" t="str">
        <f>[1]Data!O874</f>
        <v>X</v>
      </c>
      <c r="P883" s="1" t="str">
        <f>[1]Data!P874</f>
        <v>2026</v>
      </c>
      <c r="Q883" s="15">
        <f>[1]Data!Q874</f>
        <v>140</v>
      </c>
      <c r="R883" s="1" t="str">
        <f>[1]Data!R874</f>
        <v/>
      </c>
    </row>
    <row r="884" spans="1:18" x14ac:dyDescent="0.35">
      <c r="A884" s="1" t="str">
        <f>[1]Data!A875</f>
        <v>4038554</v>
      </c>
      <c r="B884" s="1" t="str">
        <f>[1]Data!B875</f>
        <v>3300</v>
      </c>
      <c r="C884" s="1" t="str">
        <f>[1]Data!C875</f>
        <v>3001</v>
      </c>
      <c r="D884" s="1" t="str">
        <f>[1]Data!D875</f>
        <v>DL</v>
      </c>
      <c r="E884" s="1" t="str">
        <f>[1]Data!E875</f>
        <v/>
      </c>
      <c r="F884" s="1" t="str">
        <f>[1]Data!F875</f>
        <v>2024</v>
      </c>
      <c r="G884" s="1" t="str">
        <f>[1]Data!G875</f>
        <v>5</v>
      </c>
      <c r="H884" s="15">
        <f>[1]Data!H875</f>
        <v>0</v>
      </c>
      <c r="I884" s="15">
        <f>[1]Data!I875</f>
        <v>0</v>
      </c>
      <c r="J884" s="1" t="str">
        <f>[1]Data!J875</f>
        <v/>
      </c>
      <c r="K884" s="1" t="str">
        <f>[1]Data!K875</f>
        <v/>
      </c>
      <c r="L884" s="1" t="str">
        <f>[1]Data!L875</f>
        <v/>
      </c>
      <c r="M884" s="1" t="str">
        <f>[1]Data!M875</f>
        <v/>
      </c>
      <c r="N884" s="1">
        <f>[1]Data!N875</f>
        <v>45428</v>
      </c>
      <c r="O884" s="1" t="str">
        <f>[1]Data!O875</f>
        <v>X</v>
      </c>
      <c r="P884" s="1" t="str">
        <f>[1]Data!P875</f>
        <v>2024</v>
      </c>
      <c r="Q884" s="15">
        <f>[1]Data!Q875</f>
        <v>0</v>
      </c>
      <c r="R884" s="1" t="str">
        <f>[1]Data!R875</f>
        <v>INAKTIV</v>
      </c>
    </row>
    <row r="885" spans="1:18" x14ac:dyDescent="0.35">
      <c r="A885" s="1" t="str">
        <f>[1]Data!A876</f>
        <v>4038555</v>
      </c>
      <c r="B885" s="1" t="str">
        <f>[1]Data!B876</f>
        <v>3300</v>
      </c>
      <c r="C885" s="1" t="str">
        <f>[1]Data!C876</f>
        <v>3001</v>
      </c>
      <c r="D885" s="1" t="str">
        <f>[1]Data!D876</f>
        <v>L</v>
      </c>
      <c r="E885" s="1" t="str">
        <f>[1]Data!E876</f>
        <v/>
      </c>
      <c r="F885" s="1" t="str">
        <f>[1]Data!F876</f>
        <v>2026</v>
      </c>
      <c r="G885" s="1" t="str">
        <f>[1]Data!G876</f>
        <v>2</v>
      </c>
      <c r="H885" s="15">
        <f>[1]Data!H876</f>
        <v>100</v>
      </c>
      <c r="I885" s="15">
        <f>[1]Data!I876</f>
        <v>0</v>
      </c>
      <c r="J885" s="1" t="str">
        <f>[1]Data!J876</f>
        <v>X</v>
      </c>
      <c r="K885" s="1" t="str">
        <f>[1]Data!K876</f>
        <v/>
      </c>
      <c r="L885" s="1" t="str">
        <f>[1]Data!L876</f>
        <v>09:08:01</v>
      </c>
      <c r="M885" s="1">
        <f>[1]Data!M876</f>
        <v>46030</v>
      </c>
      <c r="N885" s="1">
        <f>[1]Data!N876</f>
        <v>45435</v>
      </c>
      <c r="O885" s="1" t="str">
        <f>[1]Data!O876</f>
        <v>X</v>
      </c>
      <c r="P885" s="1" t="str">
        <f>[1]Data!P876</f>
        <v>2026</v>
      </c>
      <c r="Q885" s="15">
        <f>[1]Data!Q876</f>
        <v>100</v>
      </c>
      <c r="R885" s="1" t="str">
        <f>[1]Data!R876</f>
        <v/>
      </c>
    </row>
    <row r="886" spans="1:18" x14ac:dyDescent="0.35">
      <c r="A886" s="1" t="str">
        <f>[1]Data!A877</f>
        <v>4038556</v>
      </c>
      <c r="B886" s="1" t="str">
        <f>[1]Data!B877</f>
        <v>3300</v>
      </c>
      <c r="C886" s="1" t="str">
        <f>[1]Data!C877</f>
        <v>3001</v>
      </c>
      <c r="D886" s="1" t="str">
        <f>[1]Data!D877</f>
        <v>L</v>
      </c>
      <c r="E886" s="1" t="str">
        <f>[1]Data!E877</f>
        <v/>
      </c>
      <c r="F886" s="1" t="str">
        <f>[1]Data!F877</f>
        <v>2024</v>
      </c>
      <c r="G886" s="1" t="str">
        <f>[1]Data!G877</f>
        <v>5</v>
      </c>
      <c r="H886" s="15">
        <f>[1]Data!H877</f>
        <v>0</v>
      </c>
      <c r="I886" s="15">
        <f>[1]Data!I877</f>
        <v>0</v>
      </c>
      <c r="J886" s="1" t="str">
        <f>[1]Data!J877</f>
        <v/>
      </c>
      <c r="K886" s="1" t="str">
        <f>[1]Data!K877</f>
        <v/>
      </c>
      <c r="L886" s="1" t="str">
        <f>[1]Data!L877</f>
        <v/>
      </c>
      <c r="M886" s="1" t="str">
        <f>[1]Data!M877</f>
        <v/>
      </c>
      <c r="N886" s="1">
        <f>[1]Data!N877</f>
        <v>45435</v>
      </c>
      <c r="O886" s="1" t="str">
        <f>[1]Data!O877</f>
        <v>X</v>
      </c>
      <c r="P886" s="1" t="str">
        <f>[1]Data!P877</f>
        <v>2024</v>
      </c>
      <c r="Q886" s="15">
        <f>[1]Data!Q877</f>
        <v>0</v>
      </c>
      <c r="R886" s="1" t="str">
        <f>[1]Data!R877</f>
        <v>INAKTIV</v>
      </c>
    </row>
    <row r="887" spans="1:18" x14ac:dyDescent="0.35">
      <c r="A887" s="1" t="str">
        <f>[1]Data!A878</f>
        <v>4038557</v>
      </c>
      <c r="B887" s="1" t="str">
        <f>[1]Data!B878</f>
        <v>3300</v>
      </c>
      <c r="C887" s="1" t="str">
        <f>[1]Data!C878</f>
        <v>3001</v>
      </c>
      <c r="D887" s="1" t="str">
        <f>[1]Data!D878</f>
        <v>L</v>
      </c>
      <c r="E887" s="1" t="str">
        <f>[1]Data!E878</f>
        <v/>
      </c>
      <c r="F887" s="1" t="str">
        <f>[1]Data!F878</f>
        <v>2024</v>
      </c>
      <c r="G887" s="1" t="str">
        <f>[1]Data!G878</f>
        <v>5</v>
      </c>
      <c r="H887" s="15">
        <f>[1]Data!H878</f>
        <v>0</v>
      </c>
      <c r="I887" s="15">
        <f>[1]Data!I878</f>
        <v>0</v>
      </c>
      <c r="J887" s="1" t="str">
        <f>[1]Data!J878</f>
        <v/>
      </c>
      <c r="K887" s="1" t="str">
        <f>[1]Data!K878</f>
        <v/>
      </c>
      <c r="L887" s="1" t="str">
        <f>[1]Data!L878</f>
        <v/>
      </c>
      <c r="M887" s="1" t="str">
        <f>[1]Data!M878</f>
        <v/>
      </c>
      <c r="N887" s="1">
        <f>[1]Data!N878</f>
        <v>45435</v>
      </c>
      <c r="O887" s="1" t="str">
        <f>[1]Data!O878</f>
        <v>X</v>
      </c>
      <c r="P887" s="1" t="str">
        <f>[1]Data!P878</f>
        <v>2024</v>
      </c>
      <c r="Q887" s="15">
        <f>[1]Data!Q878</f>
        <v>0</v>
      </c>
      <c r="R887" s="1" t="str">
        <f>[1]Data!R878</f>
        <v>INAKTIV</v>
      </c>
    </row>
    <row r="888" spans="1:18" x14ac:dyDescent="0.35">
      <c r="A888" s="1" t="str">
        <f>[1]Data!A879</f>
        <v>4038558</v>
      </c>
      <c r="B888" s="1" t="str">
        <f>[1]Data!B879</f>
        <v>3300</v>
      </c>
      <c r="C888" s="1" t="str">
        <f>[1]Data!C879</f>
        <v>3001</v>
      </c>
      <c r="D888" s="1" t="str">
        <f>[1]Data!D879</f>
        <v>L</v>
      </c>
      <c r="E888" s="1" t="str">
        <f>[1]Data!E879</f>
        <v/>
      </c>
      <c r="F888" s="1" t="str">
        <f>[1]Data!F879</f>
        <v>2026</v>
      </c>
      <c r="G888" s="1" t="str">
        <f>[1]Data!G879</f>
        <v>2</v>
      </c>
      <c r="H888" s="15">
        <f>[1]Data!H879</f>
        <v>175</v>
      </c>
      <c r="I888" s="15">
        <f>[1]Data!I879</f>
        <v>0</v>
      </c>
      <c r="J888" s="1" t="str">
        <f>[1]Data!J879</f>
        <v>X</v>
      </c>
      <c r="K888" s="1" t="str">
        <f>[1]Data!K879</f>
        <v/>
      </c>
      <c r="L888" s="1" t="str">
        <f>[1]Data!L879</f>
        <v>09:08:02</v>
      </c>
      <c r="M888" s="1">
        <f>[1]Data!M879</f>
        <v>46030</v>
      </c>
      <c r="N888" s="1">
        <f>[1]Data!N879</f>
        <v>45435</v>
      </c>
      <c r="O888" s="1" t="str">
        <f>[1]Data!O879</f>
        <v>X</v>
      </c>
      <c r="P888" s="1" t="str">
        <f>[1]Data!P879</f>
        <v>2026</v>
      </c>
      <c r="Q888" s="15">
        <f>[1]Data!Q879</f>
        <v>175</v>
      </c>
      <c r="R888" s="1" t="str">
        <f>[1]Data!R879</f>
        <v/>
      </c>
    </row>
    <row r="889" spans="1:18" x14ac:dyDescent="0.35">
      <c r="A889" s="1" t="str">
        <f>[1]Data!A880</f>
        <v>4038559</v>
      </c>
      <c r="B889" s="1" t="str">
        <f>[1]Data!B880</f>
        <v>3300</v>
      </c>
      <c r="C889" s="1" t="str">
        <f>[1]Data!C880</f>
        <v>3001</v>
      </c>
      <c r="D889" s="1" t="str">
        <f>[1]Data!D880</f>
        <v>L</v>
      </c>
      <c r="E889" s="1" t="str">
        <f>[1]Data!E880</f>
        <v/>
      </c>
      <c r="F889" s="1" t="str">
        <f>[1]Data!F880</f>
        <v>2026</v>
      </c>
      <c r="G889" s="1" t="str">
        <f>[1]Data!G880</f>
        <v>2</v>
      </c>
      <c r="H889" s="15">
        <f>[1]Data!H880</f>
        <v>96</v>
      </c>
      <c r="I889" s="15">
        <f>[1]Data!I880</f>
        <v>0</v>
      </c>
      <c r="J889" s="1" t="str">
        <f>[1]Data!J880</f>
        <v>X</v>
      </c>
      <c r="K889" s="1" t="str">
        <f>[1]Data!K880</f>
        <v/>
      </c>
      <c r="L889" s="1" t="str">
        <f>[1]Data!L880</f>
        <v>09:07:00</v>
      </c>
      <c r="M889" s="1">
        <f>[1]Data!M880</f>
        <v>46030</v>
      </c>
      <c r="N889" s="1">
        <f>[1]Data!N880</f>
        <v>45435</v>
      </c>
      <c r="O889" s="1" t="str">
        <f>[1]Data!O880</f>
        <v>X</v>
      </c>
      <c r="P889" s="1" t="str">
        <f>[1]Data!P880</f>
        <v>2026</v>
      </c>
      <c r="Q889" s="15">
        <f>[1]Data!Q880</f>
        <v>96</v>
      </c>
      <c r="R889" s="1" t="str">
        <f>[1]Data!R880</f>
        <v/>
      </c>
    </row>
    <row r="890" spans="1:18" x14ac:dyDescent="0.35">
      <c r="A890" s="1" t="str">
        <f>[1]Data!A881</f>
        <v>4038560</v>
      </c>
      <c r="B890" s="1" t="str">
        <f>[1]Data!B881</f>
        <v>3300</v>
      </c>
      <c r="C890" s="1" t="str">
        <f>[1]Data!C881</f>
        <v>3001</v>
      </c>
      <c r="D890" s="1" t="str">
        <f>[1]Data!D881</f>
        <v>L</v>
      </c>
      <c r="E890" s="1" t="str">
        <f>[1]Data!E881</f>
        <v/>
      </c>
      <c r="F890" s="1" t="str">
        <f>[1]Data!F881</f>
        <v>2026</v>
      </c>
      <c r="G890" s="1" t="str">
        <f>[1]Data!G881</f>
        <v>2</v>
      </c>
      <c r="H890" s="15">
        <f>[1]Data!H881</f>
        <v>408</v>
      </c>
      <c r="I890" s="15">
        <f>[1]Data!I881</f>
        <v>0</v>
      </c>
      <c r="J890" s="1" t="str">
        <f>[1]Data!J881</f>
        <v>X</v>
      </c>
      <c r="K890" s="1" t="str">
        <f>[1]Data!K881</f>
        <v/>
      </c>
      <c r="L890" s="1" t="str">
        <f>[1]Data!L881</f>
        <v>12:02:03</v>
      </c>
      <c r="M890" s="1">
        <f>[1]Data!M881</f>
        <v>46030</v>
      </c>
      <c r="N890" s="1">
        <f>[1]Data!N881</f>
        <v>45435</v>
      </c>
      <c r="O890" s="1" t="str">
        <f>[1]Data!O881</f>
        <v>X</v>
      </c>
      <c r="P890" s="1" t="str">
        <f>[1]Data!P881</f>
        <v>2026</v>
      </c>
      <c r="Q890" s="15">
        <f>[1]Data!Q881</f>
        <v>408</v>
      </c>
      <c r="R890" s="1" t="str">
        <f>[1]Data!R881</f>
        <v/>
      </c>
    </row>
    <row r="891" spans="1:18" x14ac:dyDescent="0.35">
      <c r="A891" s="1" t="str">
        <f>[1]Data!A882</f>
        <v>4038561</v>
      </c>
      <c r="B891" s="1" t="str">
        <f>[1]Data!B882</f>
        <v>3300</v>
      </c>
      <c r="C891" s="1" t="str">
        <f>[1]Data!C882</f>
        <v>3001</v>
      </c>
      <c r="D891" s="1" t="str">
        <f>[1]Data!D882</f>
        <v>L</v>
      </c>
      <c r="E891" s="1" t="str">
        <f>[1]Data!E882</f>
        <v/>
      </c>
      <c r="F891" s="1" t="str">
        <f>[1]Data!F882</f>
        <v>2024</v>
      </c>
      <c r="G891" s="1" t="str">
        <f>[1]Data!G882</f>
        <v>5</v>
      </c>
      <c r="H891" s="15">
        <f>[1]Data!H882</f>
        <v>0</v>
      </c>
      <c r="I891" s="15">
        <f>[1]Data!I882</f>
        <v>0</v>
      </c>
      <c r="J891" s="1" t="str">
        <f>[1]Data!J882</f>
        <v/>
      </c>
      <c r="K891" s="1" t="str">
        <f>[1]Data!K882</f>
        <v/>
      </c>
      <c r="L891" s="1" t="str">
        <f>[1]Data!L882</f>
        <v/>
      </c>
      <c r="M891" s="1" t="str">
        <f>[1]Data!M882</f>
        <v/>
      </c>
      <c r="N891" s="1">
        <f>[1]Data!N882</f>
        <v>45435</v>
      </c>
      <c r="O891" s="1" t="str">
        <f>[1]Data!O882</f>
        <v>X</v>
      </c>
      <c r="P891" s="1" t="str">
        <f>[1]Data!P882</f>
        <v>2024</v>
      </c>
      <c r="Q891" s="15">
        <f>[1]Data!Q882</f>
        <v>0</v>
      </c>
      <c r="R891" s="1" t="str">
        <f>[1]Data!R882</f>
        <v>INAKTIV</v>
      </c>
    </row>
    <row r="892" spans="1:18" x14ac:dyDescent="0.35">
      <c r="A892" s="1" t="str">
        <f>[1]Data!A883</f>
        <v>4038562</v>
      </c>
      <c r="B892" s="1" t="str">
        <f>[1]Data!B883</f>
        <v>3300</v>
      </c>
      <c r="C892" s="1" t="str">
        <f>[1]Data!C883</f>
        <v>3001</v>
      </c>
      <c r="D892" s="1" t="str">
        <f>[1]Data!D883</f>
        <v>L</v>
      </c>
      <c r="E892" s="1" t="str">
        <f>[1]Data!E883</f>
        <v/>
      </c>
      <c r="F892" s="1" t="str">
        <f>[1]Data!F883</f>
        <v>2024</v>
      </c>
      <c r="G892" s="1" t="str">
        <f>[1]Data!G883</f>
        <v>5</v>
      </c>
      <c r="H892" s="15">
        <f>[1]Data!H883</f>
        <v>0</v>
      </c>
      <c r="I892" s="15">
        <f>[1]Data!I883</f>
        <v>0</v>
      </c>
      <c r="J892" s="1" t="str">
        <f>[1]Data!J883</f>
        <v/>
      </c>
      <c r="K892" s="1" t="str">
        <f>[1]Data!K883</f>
        <v/>
      </c>
      <c r="L892" s="1" t="str">
        <f>[1]Data!L883</f>
        <v/>
      </c>
      <c r="M892" s="1" t="str">
        <f>[1]Data!M883</f>
        <v/>
      </c>
      <c r="N892" s="1">
        <f>[1]Data!N883</f>
        <v>45435</v>
      </c>
      <c r="O892" s="1" t="str">
        <f>[1]Data!O883</f>
        <v>X</v>
      </c>
      <c r="P892" s="1" t="str">
        <f>[1]Data!P883</f>
        <v>2024</v>
      </c>
      <c r="Q892" s="15">
        <f>[1]Data!Q883</f>
        <v>0</v>
      </c>
      <c r="R892" s="1" t="str">
        <f>[1]Data!R883</f>
        <v>INAKTIV</v>
      </c>
    </row>
    <row r="893" spans="1:18" x14ac:dyDescent="0.35">
      <c r="A893" s="1" t="str">
        <f>[1]Data!A884</f>
        <v>4038563</v>
      </c>
      <c r="B893" s="1" t="str">
        <f>[1]Data!B884</f>
        <v>3300</v>
      </c>
      <c r="C893" s="1" t="str">
        <f>[1]Data!C884</f>
        <v>3001</v>
      </c>
      <c r="D893" s="1" t="str">
        <f>[1]Data!D884</f>
        <v>L</v>
      </c>
      <c r="E893" s="1" t="str">
        <f>[1]Data!E884</f>
        <v/>
      </c>
      <c r="F893" s="1" t="str">
        <f>[1]Data!F884</f>
        <v>2024</v>
      </c>
      <c r="G893" s="1" t="str">
        <f>[1]Data!G884</f>
        <v>5</v>
      </c>
      <c r="H893" s="15">
        <f>[1]Data!H884</f>
        <v>0</v>
      </c>
      <c r="I893" s="15">
        <f>[1]Data!I884</f>
        <v>0</v>
      </c>
      <c r="J893" s="1" t="str">
        <f>[1]Data!J884</f>
        <v/>
      </c>
      <c r="K893" s="1" t="str">
        <f>[1]Data!K884</f>
        <v/>
      </c>
      <c r="L893" s="1" t="str">
        <f>[1]Data!L884</f>
        <v/>
      </c>
      <c r="M893" s="1" t="str">
        <f>[1]Data!M884</f>
        <v/>
      </c>
      <c r="N893" s="1">
        <f>[1]Data!N884</f>
        <v>45435</v>
      </c>
      <c r="O893" s="1" t="str">
        <f>[1]Data!O884</f>
        <v>X</v>
      </c>
      <c r="P893" s="1" t="str">
        <f>[1]Data!P884</f>
        <v>2024</v>
      </c>
      <c r="Q893" s="15">
        <f>[1]Data!Q884</f>
        <v>0</v>
      </c>
      <c r="R893" s="1" t="str">
        <f>[1]Data!R884</f>
        <v>INAKTIV</v>
      </c>
    </row>
    <row r="894" spans="1:18" x14ac:dyDescent="0.35">
      <c r="A894" s="1" t="str">
        <f>[1]Data!A885</f>
        <v>4038564</v>
      </c>
      <c r="B894" s="1" t="str">
        <f>[1]Data!B885</f>
        <v>3300</v>
      </c>
      <c r="C894" s="1" t="str">
        <f>[1]Data!C885</f>
        <v>3001</v>
      </c>
      <c r="D894" s="1" t="str">
        <f>[1]Data!D885</f>
        <v>L</v>
      </c>
      <c r="E894" s="1" t="str">
        <f>[1]Data!E885</f>
        <v/>
      </c>
      <c r="F894" s="1" t="str">
        <f>[1]Data!F885</f>
        <v>2026</v>
      </c>
      <c r="G894" s="1" t="str">
        <f>[1]Data!G885</f>
        <v>2</v>
      </c>
      <c r="H894" s="15">
        <f>[1]Data!H885</f>
        <v>0</v>
      </c>
      <c r="I894" s="15">
        <f>[1]Data!I885</f>
        <v>0</v>
      </c>
      <c r="J894" s="1" t="str">
        <f>[1]Data!J885</f>
        <v>X</v>
      </c>
      <c r="K894" s="1" t="str">
        <f>[1]Data!K885</f>
        <v/>
      </c>
      <c r="L894" s="1" t="str">
        <f>[1]Data!L885</f>
        <v>12:04:03</v>
      </c>
      <c r="M894" s="1">
        <f>[1]Data!M885</f>
        <v>46030</v>
      </c>
      <c r="N894" s="1">
        <f>[1]Data!N885</f>
        <v>45435</v>
      </c>
      <c r="O894" s="1" t="str">
        <f>[1]Data!O885</f>
        <v>X</v>
      </c>
      <c r="P894" s="1" t="str">
        <f>[1]Data!P885</f>
        <v>2026</v>
      </c>
      <c r="Q894" s="15">
        <f>[1]Data!Q885</f>
        <v>0</v>
      </c>
      <c r="R894" s="1" t="str">
        <f>[1]Data!R885</f>
        <v>INAKTIV</v>
      </c>
    </row>
    <row r="895" spans="1:18" x14ac:dyDescent="0.35">
      <c r="A895" s="1" t="str">
        <f>[1]Data!A886</f>
        <v>4038565</v>
      </c>
      <c r="B895" s="1" t="str">
        <f>[1]Data!B886</f>
        <v>3300</v>
      </c>
      <c r="C895" s="1" t="str">
        <f>[1]Data!C886</f>
        <v>3001</v>
      </c>
      <c r="D895" s="1" t="str">
        <f>[1]Data!D886</f>
        <v>L</v>
      </c>
      <c r="E895" s="1" t="str">
        <f>[1]Data!E886</f>
        <v/>
      </c>
      <c r="F895" s="1" t="str">
        <f>[1]Data!F886</f>
        <v>2024</v>
      </c>
      <c r="G895" s="1" t="str">
        <f>[1]Data!G886</f>
        <v>5</v>
      </c>
      <c r="H895" s="15">
        <f>[1]Data!H886</f>
        <v>0</v>
      </c>
      <c r="I895" s="15">
        <f>[1]Data!I886</f>
        <v>0</v>
      </c>
      <c r="J895" s="1" t="str">
        <f>[1]Data!J886</f>
        <v/>
      </c>
      <c r="K895" s="1" t="str">
        <f>[1]Data!K886</f>
        <v/>
      </c>
      <c r="L895" s="1" t="str">
        <f>[1]Data!L886</f>
        <v/>
      </c>
      <c r="M895" s="1" t="str">
        <f>[1]Data!M886</f>
        <v/>
      </c>
      <c r="N895" s="1">
        <f>[1]Data!N886</f>
        <v>45435</v>
      </c>
      <c r="O895" s="1" t="str">
        <f>[1]Data!O886</f>
        <v>X</v>
      </c>
      <c r="P895" s="1" t="str">
        <f>[1]Data!P886</f>
        <v>2024</v>
      </c>
      <c r="Q895" s="15">
        <f>[1]Data!Q886</f>
        <v>0</v>
      </c>
      <c r="R895" s="1" t="str">
        <f>[1]Data!R886</f>
        <v>INAKTIV</v>
      </c>
    </row>
    <row r="896" spans="1:18" x14ac:dyDescent="0.35">
      <c r="A896" s="1" t="str">
        <f>[1]Data!A887</f>
        <v>4038566</v>
      </c>
      <c r="B896" s="1" t="str">
        <f>[1]Data!B887</f>
        <v>3300</v>
      </c>
      <c r="C896" s="1" t="str">
        <f>[1]Data!C887</f>
        <v>3001</v>
      </c>
      <c r="D896" s="1" t="str">
        <f>[1]Data!D887</f>
        <v>L</v>
      </c>
      <c r="E896" s="1" t="str">
        <f>[1]Data!E887</f>
        <v/>
      </c>
      <c r="F896" s="1" t="str">
        <f>[1]Data!F887</f>
        <v>2024</v>
      </c>
      <c r="G896" s="1" t="str">
        <f>[1]Data!G887</f>
        <v>5</v>
      </c>
      <c r="H896" s="15">
        <f>[1]Data!H887</f>
        <v>0</v>
      </c>
      <c r="I896" s="15">
        <f>[1]Data!I887</f>
        <v>0</v>
      </c>
      <c r="J896" s="1" t="str">
        <f>[1]Data!J887</f>
        <v/>
      </c>
      <c r="K896" s="1" t="str">
        <f>[1]Data!K887</f>
        <v/>
      </c>
      <c r="L896" s="1" t="str">
        <f>[1]Data!L887</f>
        <v/>
      </c>
      <c r="M896" s="1" t="str">
        <f>[1]Data!M887</f>
        <v/>
      </c>
      <c r="N896" s="1">
        <f>[1]Data!N887</f>
        <v>45435</v>
      </c>
      <c r="O896" s="1" t="str">
        <f>[1]Data!O887</f>
        <v>X</v>
      </c>
      <c r="P896" s="1" t="str">
        <f>[1]Data!P887</f>
        <v>2024</v>
      </c>
      <c r="Q896" s="15">
        <f>[1]Data!Q887</f>
        <v>0</v>
      </c>
      <c r="R896" s="1" t="str">
        <f>[1]Data!R887</f>
        <v>INAKTIV</v>
      </c>
    </row>
    <row r="897" spans="1:18" x14ac:dyDescent="0.35">
      <c r="A897" s="1" t="str">
        <f>[1]Data!A888</f>
        <v>4038567</v>
      </c>
      <c r="B897" s="1" t="str">
        <f>[1]Data!B888</f>
        <v>3300</v>
      </c>
      <c r="C897" s="1" t="str">
        <f>[1]Data!C888</f>
        <v>3001</v>
      </c>
      <c r="D897" s="1" t="str">
        <f>[1]Data!D888</f>
        <v>L</v>
      </c>
      <c r="E897" s="1" t="str">
        <f>[1]Data!E888</f>
        <v/>
      </c>
      <c r="F897" s="1" t="str">
        <f>[1]Data!F888</f>
        <v>2026</v>
      </c>
      <c r="G897" s="1" t="str">
        <f>[1]Data!G888</f>
        <v>2</v>
      </c>
      <c r="H897" s="15">
        <f>[1]Data!H888</f>
        <v>29</v>
      </c>
      <c r="I897" s="15">
        <f>[1]Data!I888</f>
        <v>0</v>
      </c>
      <c r="J897" s="1" t="str">
        <f>[1]Data!J888</f>
        <v>X</v>
      </c>
      <c r="K897" s="1" t="str">
        <f>[1]Data!K888</f>
        <v/>
      </c>
      <c r="L897" s="1" t="str">
        <f>[1]Data!L888</f>
        <v>12:12:00</v>
      </c>
      <c r="M897" s="1">
        <f>[1]Data!M888</f>
        <v>46030</v>
      </c>
      <c r="N897" s="1">
        <f>[1]Data!N888</f>
        <v>45435</v>
      </c>
      <c r="O897" s="1" t="str">
        <f>[1]Data!O888</f>
        <v>X</v>
      </c>
      <c r="P897" s="1" t="str">
        <f>[1]Data!P888</f>
        <v>2026</v>
      </c>
      <c r="Q897" s="15">
        <f>[1]Data!Q888</f>
        <v>29</v>
      </c>
      <c r="R897" s="1" t="str">
        <f>[1]Data!R888</f>
        <v/>
      </c>
    </row>
    <row r="898" spans="1:18" x14ac:dyDescent="0.35">
      <c r="A898" s="1" t="str">
        <f>[1]Data!A889</f>
        <v>4038568</v>
      </c>
      <c r="B898" s="1" t="str">
        <f>[1]Data!B889</f>
        <v>3300</v>
      </c>
      <c r="C898" s="1" t="str">
        <f>[1]Data!C889</f>
        <v>3001</v>
      </c>
      <c r="D898" s="1" t="str">
        <f>[1]Data!D889</f>
        <v>L</v>
      </c>
      <c r="E898" s="1" t="str">
        <f>[1]Data!E889</f>
        <v/>
      </c>
      <c r="F898" s="1" t="str">
        <f>[1]Data!F889</f>
        <v>2024</v>
      </c>
      <c r="G898" s="1" t="str">
        <f>[1]Data!G889</f>
        <v>5</v>
      </c>
      <c r="H898" s="15">
        <f>[1]Data!H889</f>
        <v>0</v>
      </c>
      <c r="I898" s="15">
        <f>[1]Data!I889</f>
        <v>0</v>
      </c>
      <c r="J898" s="1" t="str">
        <f>[1]Data!J889</f>
        <v/>
      </c>
      <c r="K898" s="1" t="str">
        <f>[1]Data!K889</f>
        <v/>
      </c>
      <c r="L898" s="1" t="str">
        <f>[1]Data!L889</f>
        <v/>
      </c>
      <c r="M898" s="1" t="str">
        <f>[1]Data!M889</f>
        <v/>
      </c>
      <c r="N898" s="1">
        <f>[1]Data!N889</f>
        <v>45435</v>
      </c>
      <c r="O898" s="1" t="str">
        <f>[1]Data!O889</f>
        <v>X</v>
      </c>
      <c r="P898" s="1" t="str">
        <f>[1]Data!P889</f>
        <v>2024</v>
      </c>
      <c r="Q898" s="15">
        <f>[1]Data!Q889</f>
        <v>0</v>
      </c>
      <c r="R898" s="1" t="str">
        <f>[1]Data!R889</f>
        <v>INAKTIV</v>
      </c>
    </row>
    <row r="899" spans="1:18" x14ac:dyDescent="0.35">
      <c r="A899" s="1" t="str">
        <f>[1]Data!A890</f>
        <v>4038569</v>
      </c>
      <c r="B899" s="1" t="str">
        <f>[1]Data!B890</f>
        <v>3300</v>
      </c>
      <c r="C899" s="1" t="str">
        <f>[1]Data!C890</f>
        <v>3001</v>
      </c>
      <c r="D899" s="1" t="str">
        <f>[1]Data!D890</f>
        <v>L</v>
      </c>
      <c r="E899" s="1" t="str">
        <f>[1]Data!E890</f>
        <v/>
      </c>
      <c r="F899" s="1" t="str">
        <f>[1]Data!F890</f>
        <v>2024</v>
      </c>
      <c r="G899" s="1" t="str">
        <f>[1]Data!G890</f>
        <v>5</v>
      </c>
      <c r="H899" s="15">
        <f>[1]Data!H890</f>
        <v>0</v>
      </c>
      <c r="I899" s="15">
        <f>[1]Data!I890</f>
        <v>0</v>
      </c>
      <c r="J899" s="1" t="str">
        <f>[1]Data!J890</f>
        <v/>
      </c>
      <c r="K899" s="1" t="str">
        <f>[1]Data!K890</f>
        <v/>
      </c>
      <c r="L899" s="1" t="str">
        <f>[1]Data!L890</f>
        <v/>
      </c>
      <c r="M899" s="1" t="str">
        <f>[1]Data!M890</f>
        <v/>
      </c>
      <c r="N899" s="1">
        <f>[1]Data!N890</f>
        <v>45435</v>
      </c>
      <c r="O899" s="1" t="str">
        <f>[1]Data!O890</f>
        <v>X</v>
      </c>
      <c r="P899" s="1" t="str">
        <f>[1]Data!P890</f>
        <v>2024</v>
      </c>
      <c r="Q899" s="15">
        <f>[1]Data!Q890</f>
        <v>0</v>
      </c>
      <c r="R899" s="1" t="str">
        <f>[1]Data!R890</f>
        <v>INAKTIV</v>
      </c>
    </row>
    <row r="900" spans="1:18" x14ac:dyDescent="0.35">
      <c r="A900" s="1" t="str">
        <f>[1]Data!A891</f>
        <v>4038570</v>
      </c>
      <c r="B900" s="1" t="str">
        <f>[1]Data!B891</f>
        <v>3300</v>
      </c>
      <c r="C900" s="1" t="str">
        <f>[1]Data!C891</f>
        <v>3001</v>
      </c>
      <c r="D900" s="1" t="str">
        <f>[1]Data!D891</f>
        <v>L</v>
      </c>
      <c r="E900" s="1" t="str">
        <f>[1]Data!E891</f>
        <v>X</v>
      </c>
      <c r="F900" s="1" t="str">
        <f>[1]Data!F891</f>
        <v>2024</v>
      </c>
      <c r="G900" s="1" t="str">
        <f>[1]Data!G891</f>
        <v>5</v>
      </c>
      <c r="H900" s="15">
        <f>[1]Data!H891</f>
        <v>0</v>
      </c>
      <c r="I900" s="15">
        <f>[1]Data!I891</f>
        <v>0</v>
      </c>
      <c r="J900" s="1" t="str">
        <f>[1]Data!J891</f>
        <v/>
      </c>
      <c r="K900" s="1" t="str">
        <f>[1]Data!K891</f>
        <v/>
      </c>
      <c r="L900" s="1" t="str">
        <f>[1]Data!L891</f>
        <v/>
      </c>
      <c r="M900" s="1" t="str">
        <f>[1]Data!M891</f>
        <v/>
      </c>
      <c r="N900" s="1">
        <f>[1]Data!N891</f>
        <v>45435</v>
      </c>
      <c r="O900" s="1" t="str">
        <f>[1]Data!O891</f>
        <v>X</v>
      </c>
      <c r="P900" s="1" t="str">
        <f>[1]Data!P891</f>
        <v>2024</v>
      </c>
      <c r="Q900" s="15">
        <f>[1]Data!Q891</f>
        <v>0</v>
      </c>
      <c r="R900" s="1" t="str">
        <f>[1]Data!R891</f>
        <v>INAKTIV</v>
      </c>
    </row>
    <row r="901" spans="1:18" x14ac:dyDescent="0.35">
      <c r="A901" s="1" t="str">
        <f>[1]Data!A892</f>
        <v>4038571</v>
      </c>
      <c r="B901" s="1" t="str">
        <f>[1]Data!B892</f>
        <v>3300</v>
      </c>
      <c r="C901" s="1" t="str">
        <f>[1]Data!C892</f>
        <v>3001</v>
      </c>
      <c r="D901" s="1" t="str">
        <f>[1]Data!D892</f>
        <v>L</v>
      </c>
      <c r="E901" s="1" t="str">
        <f>[1]Data!E892</f>
        <v/>
      </c>
      <c r="F901" s="1" t="str">
        <f>[1]Data!F892</f>
        <v>2026</v>
      </c>
      <c r="G901" s="1" t="str">
        <f>[1]Data!G892</f>
        <v>2</v>
      </c>
      <c r="H901" s="15">
        <f>[1]Data!H892</f>
        <v>108</v>
      </c>
      <c r="I901" s="15">
        <f>[1]Data!I892</f>
        <v>0</v>
      </c>
      <c r="J901" s="1" t="str">
        <f>[1]Data!J892</f>
        <v>X</v>
      </c>
      <c r="K901" s="1" t="str">
        <f>[1]Data!K892</f>
        <v/>
      </c>
      <c r="L901" s="1" t="str">
        <f>[1]Data!L892</f>
        <v>08:12:00</v>
      </c>
      <c r="M901" s="1">
        <f>[1]Data!M892</f>
        <v>46030</v>
      </c>
      <c r="N901" s="1">
        <f>[1]Data!N892</f>
        <v>45435</v>
      </c>
      <c r="O901" s="1" t="str">
        <f>[1]Data!O892</f>
        <v>X</v>
      </c>
      <c r="P901" s="1" t="str">
        <f>[1]Data!P892</f>
        <v>2026</v>
      </c>
      <c r="Q901" s="15">
        <f>[1]Data!Q892</f>
        <v>108</v>
      </c>
      <c r="R901" s="1" t="str">
        <f>[1]Data!R892</f>
        <v/>
      </c>
    </row>
    <row r="902" spans="1:18" x14ac:dyDescent="0.35">
      <c r="A902" s="1" t="str">
        <f>[1]Data!A893</f>
        <v>4038572</v>
      </c>
      <c r="B902" s="1" t="str">
        <f>[1]Data!B893</f>
        <v>3300</v>
      </c>
      <c r="C902" s="1" t="str">
        <f>[1]Data!C893</f>
        <v>3001</v>
      </c>
      <c r="D902" s="1" t="str">
        <f>[1]Data!D893</f>
        <v>L</v>
      </c>
      <c r="E902" s="1" t="str">
        <f>[1]Data!E893</f>
        <v>X</v>
      </c>
      <c r="F902" s="1" t="str">
        <f>[1]Data!F893</f>
        <v>2024</v>
      </c>
      <c r="G902" s="1" t="str">
        <f>[1]Data!G893</f>
        <v>5</v>
      </c>
      <c r="H902" s="15">
        <f>[1]Data!H893</f>
        <v>0</v>
      </c>
      <c r="I902" s="15">
        <f>[1]Data!I893</f>
        <v>0</v>
      </c>
      <c r="J902" s="1" t="str">
        <f>[1]Data!J893</f>
        <v/>
      </c>
      <c r="K902" s="1" t="str">
        <f>[1]Data!K893</f>
        <v/>
      </c>
      <c r="L902" s="1" t="str">
        <f>[1]Data!L893</f>
        <v/>
      </c>
      <c r="M902" s="1" t="str">
        <f>[1]Data!M893</f>
        <v/>
      </c>
      <c r="N902" s="1">
        <f>[1]Data!N893</f>
        <v>45435</v>
      </c>
      <c r="O902" s="1" t="str">
        <f>[1]Data!O893</f>
        <v>X</v>
      </c>
      <c r="P902" s="1" t="str">
        <f>[1]Data!P893</f>
        <v>2024</v>
      </c>
      <c r="Q902" s="15">
        <f>[1]Data!Q893</f>
        <v>0</v>
      </c>
      <c r="R902" s="1" t="str">
        <f>[1]Data!R893</f>
        <v>INAKTIV</v>
      </c>
    </row>
    <row r="903" spans="1:18" x14ac:dyDescent="0.35">
      <c r="A903" s="1" t="str">
        <f>[1]Data!A894</f>
        <v>4038573</v>
      </c>
      <c r="B903" s="1" t="str">
        <f>[1]Data!B894</f>
        <v>3300</v>
      </c>
      <c r="C903" s="1" t="str">
        <f>[1]Data!C894</f>
        <v>3001</v>
      </c>
      <c r="D903" s="1" t="str">
        <f>[1]Data!D894</f>
        <v>L</v>
      </c>
      <c r="E903" s="1" t="str">
        <f>[1]Data!E894</f>
        <v/>
      </c>
      <c r="F903" s="1" t="str">
        <f>[1]Data!F894</f>
        <v>2024</v>
      </c>
      <c r="G903" s="1" t="str">
        <f>[1]Data!G894</f>
        <v>5</v>
      </c>
      <c r="H903" s="15">
        <f>[1]Data!H894</f>
        <v>0</v>
      </c>
      <c r="I903" s="15">
        <f>[1]Data!I894</f>
        <v>0</v>
      </c>
      <c r="J903" s="1" t="str">
        <f>[1]Data!J894</f>
        <v/>
      </c>
      <c r="K903" s="1" t="str">
        <f>[1]Data!K894</f>
        <v/>
      </c>
      <c r="L903" s="1" t="str">
        <f>[1]Data!L894</f>
        <v/>
      </c>
      <c r="M903" s="1" t="str">
        <f>[1]Data!M894</f>
        <v/>
      </c>
      <c r="N903" s="1">
        <f>[1]Data!N894</f>
        <v>45435</v>
      </c>
      <c r="O903" s="1" t="str">
        <f>[1]Data!O894</f>
        <v>X</v>
      </c>
      <c r="P903" s="1" t="str">
        <f>[1]Data!P894</f>
        <v>2024</v>
      </c>
      <c r="Q903" s="15">
        <f>[1]Data!Q894</f>
        <v>0</v>
      </c>
      <c r="R903" s="1" t="str">
        <f>[1]Data!R894</f>
        <v>INAKTIV</v>
      </c>
    </row>
    <row r="904" spans="1:18" x14ac:dyDescent="0.35">
      <c r="A904" s="1" t="str">
        <f>[1]Data!A895</f>
        <v>4038574</v>
      </c>
      <c r="B904" s="1" t="str">
        <f>[1]Data!B895</f>
        <v>3300</v>
      </c>
      <c r="C904" s="1" t="str">
        <f>[1]Data!C895</f>
        <v>3001</v>
      </c>
      <c r="D904" s="1" t="str">
        <f>[1]Data!D895</f>
        <v>L</v>
      </c>
      <c r="E904" s="1" t="str">
        <f>[1]Data!E895</f>
        <v/>
      </c>
      <c r="F904" s="1" t="str">
        <f>[1]Data!F895</f>
        <v>2026</v>
      </c>
      <c r="G904" s="1" t="str">
        <f>[1]Data!G895</f>
        <v>3</v>
      </c>
      <c r="H904" s="15">
        <f>[1]Data!H895</f>
        <v>170</v>
      </c>
      <c r="I904" s="15">
        <f>[1]Data!I895</f>
        <v>0</v>
      </c>
      <c r="J904" s="1" t="str">
        <f>[1]Data!J895</f>
        <v>X</v>
      </c>
      <c r="K904" s="1" t="str">
        <f>[1]Data!K895</f>
        <v/>
      </c>
      <c r="L904" s="1" t="str">
        <f>[1]Data!L895</f>
        <v>11:05:03</v>
      </c>
      <c r="M904" s="1">
        <f>[1]Data!M895</f>
        <v>46030</v>
      </c>
      <c r="N904" s="1">
        <f>[1]Data!N895</f>
        <v>45435</v>
      </c>
      <c r="O904" s="1" t="str">
        <f>[1]Data!O895</f>
        <v>X</v>
      </c>
      <c r="P904" s="1" t="str">
        <f>[1]Data!P895</f>
        <v>2026</v>
      </c>
      <c r="Q904" s="15">
        <f>[1]Data!Q895</f>
        <v>170</v>
      </c>
      <c r="R904" s="1" t="str">
        <f>[1]Data!R895</f>
        <v/>
      </c>
    </row>
    <row r="905" spans="1:18" x14ac:dyDescent="0.35">
      <c r="A905" s="1" t="str">
        <f>[1]Data!A896</f>
        <v>4038575</v>
      </c>
      <c r="B905" s="1" t="str">
        <f>[1]Data!B896</f>
        <v>3300</v>
      </c>
      <c r="C905" s="1" t="str">
        <f>[1]Data!C896</f>
        <v>3001</v>
      </c>
      <c r="D905" s="1" t="str">
        <f>[1]Data!D896</f>
        <v>L</v>
      </c>
      <c r="E905" s="1" t="str">
        <f>[1]Data!E896</f>
        <v/>
      </c>
      <c r="F905" s="1" t="str">
        <f>[1]Data!F896</f>
        <v>2024</v>
      </c>
      <c r="G905" s="1" t="str">
        <f>[1]Data!G896</f>
        <v>5</v>
      </c>
      <c r="H905" s="15">
        <f>[1]Data!H896</f>
        <v>0</v>
      </c>
      <c r="I905" s="15">
        <f>[1]Data!I896</f>
        <v>0</v>
      </c>
      <c r="J905" s="1" t="str">
        <f>[1]Data!J896</f>
        <v/>
      </c>
      <c r="K905" s="1" t="str">
        <f>[1]Data!K896</f>
        <v/>
      </c>
      <c r="L905" s="1" t="str">
        <f>[1]Data!L896</f>
        <v/>
      </c>
      <c r="M905" s="1" t="str">
        <f>[1]Data!M896</f>
        <v/>
      </c>
      <c r="N905" s="1">
        <f>[1]Data!N896</f>
        <v>45435</v>
      </c>
      <c r="O905" s="1" t="str">
        <f>[1]Data!O896</f>
        <v>X</v>
      </c>
      <c r="P905" s="1" t="str">
        <f>[1]Data!P896</f>
        <v>2024</v>
      </c>
      <c r="Q905" s="15">
        <f>[1]Data!Q896</f>
        <v>0</v>
      </c>
      <c r="R905" s="1" t="str">
        <f>[1]Data!R896</f>
        <v>INAKTIV</v>
      </c>
    </row>
    <row r="906" spans="1:18" x14ac:dyDescent="0.35">
      <c r="A906" s="1" t="str">
        <f>[1]Data!A897</f>
        <v>4038576</v>
      </c>
      <c r="B906" s="1" t="str">
        <f>[1]Data!B897</f>
        <v>3300</v>
      </c>
      <c r="C906" s="1" t="str">
        <f>[1]Data!C897</f>
        <v>3001</v>
      </c>
      <c r="D906" s="1" t="str">
        <f>[1]Data!D897</f>
        <v>L</v>
      </c>
      <c r="E906" s="1" t="str">
        <f>[1]Data!E897</f>
        <v/>
      </c>
      <c r="F906" s="1" t="str">
        <f>[1]Data!F897</f>
        <v>2024</v>
      </c>
      <c r="G906" s="1" t="str">
        <f>[1]Data!G897</f>
        <v>5</v>
      </c>
      <c r="H906" s="15">
        <f>[1]Data!H897</f>
        <v>0</v>
      </c>
      <c r="I906" s="15">
        <f>[1]Data!I897</f>
        <v>0</v>
      </c>
      <c r="J906" s="1" t="str">
        <f>[1]Data!J897</f>
        <v/>
      </c>
      <c r="K906" s="1" t="str">
        <f>[1]Data!K897</f>
        <v/>
      </c>
      <c r="L906" s="1" t="str">
        <f>[1]Data!L897</f>
        <v/>
      </c>
      <c r="M906" s="1" t="str">
        <f>[1]Data!M897</f>
        <v/>
      </c>
      <c r="N906" s="1">
        <f>[1]Data!N897</f>
        <v>45435</v>
      </c>
      <c r="O906" s="1" t="str">
        <f>[1]Data!O897</f>
        <v>X</v>
      </c>
      <c r="P906" s="1" t="str">
        <f>[1]Data!P897</f>
        <v>2024</v>
      </c>
      <c r="Q906" s="15">
        <f>[1]Data!Q897</f>
        <v>0</v>
      </c>
      <c r="R906" s="1" t="str">
        <f>[1]Data!R897</f>
        <v>INAKTIV</v>
      </c>
    </row>
    <row r="907" spans="1:18" x14ac:dyDescent="0.35">
      <c r="A907" s="1" t="str">
        <f>[1]Data!A898</f>
        <v>4038577</v>
      </c>
      <c r="B907" s="1" t="str">
        <f>[1]Data!B898</f>
        <v>3300</v>
      </c>
      <c r="C907" s="1" t="str">
        <f>[1]Data!C898</f>
        <v>3001</v>
      </c>
      <c r="D907" s="1" t="str">
        <f>[1]Data!D898</f>
        <v>L</v>
      </c>
      <c r="E907" s="1" t="str">
        <f>[1]Data!E898</f>
        <v/>
      </c>
      <c r="F907" s="1" t="str">
        <f>[1]Data!F898</f>
        <v>2024</v>
      </c>
      <c r="G907" s="1" t="str">
        <f>[1]Data!G898</f>
        <v>5</v>
      </c>
      <c r="H907" s="15">
        <f>[1]Data!H898</f>
        <v>0</v>
      </c>
      <c r="I907" s="15">
        <f>[1]Data!I898</f>
        <v>0</v>
      </c>
      <c r="J907" s="1" t="str">
        <f>[1]Data!J898</f>
        <v/>
      </c>
      <c r="K907" s="1" t="str">
        <f>[1]Data!K898</f>
        <v/>
      </c>
      <c r="L907" s="1" t="str">
        <f>[1]Data!L898</f>
        <v/>
      </c>
      <c r="M907" s="1" t="str">
        <f>[1]Data!M898</f>
        <v/>
      </c>
      <c r="N907" s="1">
        <f>[1]Data!N898</f>
        <v>45435</v>
      </c>
      <c r="O907" s="1" t="str">
        <f>[1]Data!O898</f>
        <v>X</v>
      </c>
      <c r="P907" s="1" t="str">
        <f>[1]Data!P898</f>
        <v>2024</v>
      </c>
      <c r="Q907" s="15">
        <f>[1]Data!Q898</f>
        <v>0</v>
      </c>
      <c r="R907" s="1" t="str">
        <f>[1]Data!R898</f>
        <v>INAKTIV</v>
      </c>
    </row>
    <row r="908" spans="1:18" x14ac:dyDescent="0.35">
      <c r="A908" s="1" t="str">
        <f>[1]Data!A899</f>
        <v>4038578</v>
      </c>
      <c r="B908" s="1" t="str">
        <f>[1]Data!B899</f>
        <v>3300</v>
      </c>
      <c r="C908" s="1" t="str">
        <f>[1]Data!C899</f>
        <v>3001</v>
      </c>
      <c r="D908" s="1" t="str">
        <f>[1]Data!D899</f>
        <v>L</v>
      </c>
      <c r="E908" s="1" t="str">
        <f>[1]Data!E899</f>
        <v/>
      </c>
      <c r="F908" s="1" t="str">
        <f>[1]Data!F899</f>
        <v>2024</v>
      </c>
      <c r="G908" s="1" t="str">
        <f>[1]Data!G899</f>
        <v>5</v>
      </c>
      <c r="H908" s="15">
        <f>[1]Data!H899</f>
        <v>0</v>
      </c>
      <c r="I908" s="15">
        <f>[1]Data!I899</f>
        <v>0</v>
      </c>
      <c r="J908" s="1" t="str">
        <f>[1]Data!J899</f>
        <v/>
      </c>
      <c r="K908" s="1" t="str">
        <f>[1]Data!K899</f>
        <v/>
      </c>
      <c r="L908" s="1" t="str">
        <f>[1]Data!L899</f>
        <v/>
      </c>
      <c r="M908" s="1" t="str">
        <f>[1]Data!M899</f>
        <v/>
      </c>
      <c r="N908" s="1">
        <f>[1]Data!N899</f>
        <v>45435</v>
      </c>
      <c r="O908" s="1" t="str">
        <f>[1]Data!O899</f>
        <v>X</v>
      </c>
      <c r="P908" s="1" t="str">
        <f>[1]Data!P899</f>
        <v>2024</v>
      </c>
      <c r="Q908" s="15">
        <f>[1]Data!Q899</f>
        <v>0</v>
      </c>
      <c r="R908" s="1" t="str">
        <f>[1]Data!R899</f>
        <v>INAKTIV</v>
      </c>
    </row>
    <row r="909" spans="1:18" x14ac:dyDescent="0.35">
      <c r="A909" s="1" t="str">
        <f>[1]Data!A900</f>
        <v>4038579</v>
      </c>
      <c r="B909" s="1" t="str">
        <f>[1]Data!B900</f>
        <v>3300</v>
      </c>
      <c r="C909" s="1" t="str">
        <f>[1]Data!C900</f>
        <v>3001</v>
      </c>
      <c r="D909" s="1" t="str">
        <f>[1]Data!D900</f>
        <v>L</v>
      </c>
      <c r="E909" s="1" t="str">
        <f>[1]Data!E900</f>
        <v/>
      </c>
      <c r="F909" s="1" t="str">
        <f>[1]Data!F900</f>
        <v>2024</v>
      </c>
      <c r="G909" s="1" t="str">
        <f>[1]Data!G900</f>
        <v>5</v>
      </c>
      <c r="H909" s="15">
        <f>[1]Data!H900</f>
        <v>0</v>
      </c>
      <c r="I909" s="15">
        <f>[1]Data!I900</f>
        <v>0</v>
      </c>
      <c r="J909" s="1" t="str">
        <f>[1]Data!J900</f>
        <v/>
      </c>
      <c r="K909" s="1" t="str">
        <f>[1]Data!K900</f>
        <v/>
      </c>
      <c r="L909" s="1" t="str">
        <f>[1]Data!L900</f>
        <v/>
      </c>
      <c r="M909" s="1" t="str">
        <f>[1]Data!M900</f>
        <v/>
      </c>
      <c r="N909" s="1">
        <f>[1]Data!N900</f>
        <v>45435</v>
      </c>
      <c r="O909" s="1" t="str">
        <f>[1]Data!O900</f>
        <v>X</v>
      </c>
      <c r="P909" s="1" t="str">
        <f>[1]Data!P900</f>
        <v>2024</v>
      </c>
      <c r="Q909" s="15">
        <f>[1]Data!Q900</f>
        <v>0</v>
      </c>
      <c r="R909" s="1" t="str">
        <f>[1]Data!R900</f>
        <v>INAKTIV</v>
      </c>
    </row>
    <row r="910" spans="1:18" x14ac:dyDescent="0.35">
      <c r="A910" s="1" t="str">
        <f>[1]Data!A901</f>
        <v>4038580</v>
      </c>
      <c r="B910" s="1" t="str">
        <f>[1]Data!B901</f>
        <v>3300</v>
      </c>
      <c r="C910" s="1" t="str">
        <f>[1]Data!C901</f>
        <v>3001</v>
      </c>
      <c r="D910" s="1" t="str">
        <f>[1]Data!D901</f>
        <v>L</v>
      </c>
      <c r="E910" s="1" t="str">
        <f>[1]Data!E901</f>
        <v/>
      </c>
      <c r="F910" s="1" t="str">
        <f>[1]Data!F901</f>
        <v>2024</v>
      </c>
      <c r="G910" s="1" t="str">
        <f>[1]Data!G901</f>
        <v>5</v>
      </c>
      <c r="H910" s="15">
        <f>[1]Data!H901</f>
        <v>0</v>
      </c>
      <c r="I910" s="15">
        <f>[1]Data!I901</f>
        <v>0</v>
      </c>
      <c r="J910" s="1" t="str">
        <f>[1]Data!J901</f>
        <v/>
      </c>
      <c r="K910" s="1" t="str">
        <f>[1]Data!K901</f>
        <v/>
      </c>
      <c r="L910" s="1" t="str">
        <f>[1]Data!L901</f>
        <v/>
      </c>
      <c r="M910" s="1" t="str">
        <f>[1]Data!M901</f>
        <v/>
      </c>
      <c r="N910" s="1">
        <f>[1]Data!N901</f>
        <v>45435</v>
      </c>
      <c r="O910" s="1" t="str">
        <f>[1]Data!O901</f>
        <v>X</v>
      </c>
      <c r="P910" s="1" t="str">
        <f>[1]Data!P901</f>
        <v>2024</v>
      </c>
      <c r="Q910" s="15">
        <f>[1]Data!Q901</f>
        <v>0</v>
      </c>
      <c r="R910" s="1" t="str">
        <f>[1]Data!R901</f>
        <v>INAKTIV</v>
      </c>
    </row>
    <row r="911" spans="1:18" x14ac:dyDescent="0.35">
      <c r="A911" s="1" t="str">
        <f>[1]Data!A902</f>
        <v>4038581</v>
      </c>
      <c r="B911" s="1" t="str">
        <f>[1]Data!B902</f>
        <v>3300</v>
      </c>
      <c r="C911" s="1" t="str">
        <f>[1]Data!C902</f>
        <v>3001</v>
      </c>
      <c r="D911" s="1" t="str">
        <f>[1]Data!D902</f>
        <v>L</v>
      </c>
      <c r="E911" s="1" t="str">
        <f>[1]Data!E902</f>
        <v/>
      </c>
      <c r="F911" s="1" t="str">
        <f>[1]Data!F902</f>
        <v>2024</v>
      </c>
      <c r="G911" s="1" t="str">
        <f>[1]Data!G902</f>
        <v>5</v>
      </c>
      <c r="H911" s="15">
        <f>[1]Data!H902</f>
        <v>0</v>
      </c>
      <c r="I911" s="15">
        <f>[1]Data!I902</f>
        <v>0</v>
      </c>
      <c r="J911" s="1" t="str">
        <f>[1]Data!J902</f>
        <v/>
      </c>
      <c r="K911" s="1" t="str">
        <f>[1]Data!K902</f>
        <v/>
      </c>
      <c r="L911" s="1" t="str">
        <f>[1]Data!L902</f>
        <v/>
      </c>
      <c r="M911" s="1" t="str">
        <f>[1]Data!M902</f>
        <v/>
      </c>
      <c r="N911" s="1">
        <f>[1]Data!N902</f>
        <v>45435</v>
      </c>
      <c r="O911" s="1" t="str">
        <f>[1]Data!O902</f>
        <v>X</v>
      </c>
      <c r="P911" s="1" t="str">
        <f>[1]Data!P902</f>
        <v>2024</v>
      </c>
      <c r="Q911" s="15">
        <f>[1]Data!Q902</f>
        <v>0</v>
      </c>
      <c r="R911" s="1" t="str">
        <f>[1]Data!R902</f>
        <v>INAKTIV</v>
      </c>
    </row>
    <row r="912" spans="1:18" x14ac:dyDescent="0.35">
      <c r="A912" s="1" t="str">
        <f>[1]Data!A903</f>
        <v>4038582</v>
      </c>
      <c r="B912" s="1" t="str">
        <f>[1]Data!B903</f>
        <v>3300</v>
      </c>
      <c r="C912" s="1" t="str">
        <f>[1]Data!C903</f>
        <v>3001</v>
      </c>
      <c r="D912" s="1" t="str">
        <f>[1]Data!D903</f>
        <v>L</v>
      </c>
      <c r="E912" s="1" t="str">
        <f>[1]Data!E903</f>
        <v/>
      </c>
      <c r="F912" s="1" t="str">
        <f>[1]Data!F903</f>
        <v>2026</v>
      </c>
      <c r="G912" s="1" t="str">
        <f>[1]Data!G903</f>
        <v>2</v>
      </c>
      <c r="H912" s="15">
        <f>[1]Data!H903</f>
        <v>100</v>
      </c>
      <c r="I912" s="15">
        <f>[1]Data!I903</f>
        <v>0</v>
      </c>
      <c r="J912" s="1" t="str">
        <f>[1]Data!J903</f>
        <v>X</v>
      </c>
      <c r="K912" s="1" t="str">
        <f>[1]Data!K903</f>
        <v/>
      </c>
      <c r="L912" s="1" t="str">
        <f>[1]Data!L903</f>
        <v>09:07:00</v>
      </c>
      <c r="M912" s="1">
        <f>[1]Data!M903</f>
        <v>46030</v>
      </c>
      <c r="N912" s="1">
        <f>[1]Data!N903</f>
        <v>45435</v>
      </c>
      <c r="O912" s="1" t="str">
        <f>[1]Data!O903</f>
        <v>X</v>
      </c>
      <c r="P912" s="1" t="str">
        <f>[1]Data!P903</f>
        <v>2026</v>
      </c>
      <c r="Q912" s="15">
        <f>[1]Data!Q903</f>
        <v>100</v>
      </c>
      <c r="R912" s="1" t="str">
        <f>[1]Data!R903</f>
        <v/>
      </c>
    </row>
    <row r="913" spans="1:18" x14ac:dyDescent="0.35">
      <c r="A913" s="1" t="str">
        <f>[1]Data!A904</f>
        <v>4038583</v>
      </c>
      <c r="B913" s="1" t="str">
        <f>[1]Data!B904</f>
        <v>3300</v>
      </c>
      <c r="C913" s="1" t="str">
        <f>[1]Data!C904</f>
        <v>3001</v>
      </c>
      <c r="D913" s="1" t="str">
        <f>[1]Data!D904</f>
        <v>L</v>
      </c>
      <c r="E913" s="1" t="str">
        <f>[1]Data!E904</f>
        <v/>
      </c>
      <c r="F913" s="1" t="str">
        <f>[1]Data!F904</f>
        <v>2024</v>
      </c>
      <c r="G913" s="1" t="str">
        <f>[1]Data!G904</f>
        <v>5</v>
      </c>
      <c r="H913" s="15">
        <f>[1]Data!H904</f>
        <v>0</v>
      </c>
      <c r="I913" s="15">
        <f>[1]Data!I904</f>
        <v>0</v>
      </c>
      <c r="J913" s="1" t="str">
        <f>[1]Data!J904</f>
        <v/>
      </c>
      <c r="K913" s="1" t="str">
        <f>[1]Data!K904</f>
        <v/>
      </c>
      <c r="L913" s="1" t="str">
        <f>[1]Data!L904</f>
        <v/>
      </c>
      <c r="M913" s="1" t="str">
        <f>[1]Data!M904</f>
        <v/>
      </c>
      <c r="N913" s="1">
        <f>[1]Data!N904</f>
        <v>45435</v>
      </c>
      <c r="O913" s="1" t="str">
        <f>[1]Data!O904</f>
        <v>X</v>
      </c>
      <c r="P913" s="1" t="str">
        <f>[1]Data!P904</f>
        <v>2024</v>
      </c>
      <c r="Q913" s="15">
        <f>[1]Data!Q904</f>
        <v>0</v>
      </c>
      <c r="R913" s="1" t="str">
        <f>[1]Data!R904</f>
        <v>INAKTIV</v>
      </c>
    </row>
    <row r="914" spans="1:18" x14ac:dyDescent="0.35">
      <c r="A914" s="1" t="str">
        <f>[1]Data!A905</f>
        <v>4038584</v>
      </c>
      <c r="B914" s="1" t="str">
        <f>[1]Data!B905</f>
        <v>3300</v>
      </c>
      <c r="C914" s="1" t="str">
        <f>[1]Data!C905</f>
        <v>3001</v>
      </c>
      <c r="D914" s="1" t="str">
        <f>[1]Data!D905</f>
        <v>L</v>
      </c>
      <c r="E914" s="1" t="str">
        <f>[1]Data!E905</f>
        <v/>
      </c>
      <c r="F914" s="1" t="str">
        <f>[1]Data!F905</f>
        <v>2024</v>
      </c>
      <c r="G914" s="1" t="str">
        <f>[1]Data!G905</f>
        <v>5</v>
      </c>
      <c r="H914" s="15">
        <f>[1]Data!H905</f>
        <v>0</v>
      </c>
      <c r="I914" s="15">
        <f>[1]Data!I905</f>
        <v>0</v>
      </c>
      <c r="J914" s="1" t="str">
        <f>[1]Data!J905</f>
        <v/>
      </c>
      <c r="K914" s="1" t="str">
        <f>[1]Data!K905</f>
        <v/>
      </c>
      <c r="L914" s="1" t="str">
        <f>[1]Data!L905</f>
        <v/>
      </c>
      <c r="M914" s="1" t="str">
        <f>[1]Data!M905</f>
        <v/>
      </c>
      <c r="N914" s="1">
        <f>[1]Data!N905</f>
        <v>45435</v>
      </c>
      <c r="O914" s="1" t="str">
        <f>[1]Data!O905</f>
        <v>X</v>
      </c>
      <c r="P914" s="1" t="str">
        <f>[1]Data!P905</f>
        <v>2024</v>
      </c>
      <c r="Q914" s="15">
        <f>[1]Data!Q905</f>
        <v>0</v>
      </c>
      <c r="R914" s="1" t="str">
        <f>[1]Data!R905</f>
        <v>INAKTIV</v>
      </c>
    </row>
    <row r="915" spans="1:18" x14ac:dyDescent="0.35">
      <c r="A915" s="1" t="str">
        <f>[1]Data!A906</f>
        <v>4038585</v>
      </c>
      <c r="B915" s="1" t="str">
        <f>[1]Data!B906</f>
        <v>3300</v>
      </c>
      <c r="C915" s="1" t="str">
        <f>[1]Data!C906</f>
        <v>3001</v>
      </c>
      <c r="D915" s="1" t="str">
        <f>[1]Data!D906</f>
        <v>L</v>
      </c>
      <c r="E915" s="1" t="str">
        <f>[1]Data!E906</f>
        <v/>
      </c>
      <c r="F915" s="1" t="str">
        <f>[1]Data!F906</f>
        <v>2024</v>
      </c>
      <c r="G915" s="1" t="str">
        <f>[1]Data!G906</f>
        <v>5</v>
      </c>
      <c r="H915" s="15">
        <f>[1]Data!H906</f>
        <v>0</v>
      </c>
      <c r="I915" s="15">
        <f>[1]Data!I906</f>
        <v>0</v>
      </c>
      <c r="J915" s="1" t="str">
        <f>[1]Data!J906</f>
        <v/>
      </c>
      <c r="K915" s="1" t="str">
        <f>[1]Data!K906</f>
        <v/>
      </c>
      <c r="L915" s="1" t="str">
        <f>[1]Data!L906</f>
        <v/>
      </c>
      <c r="M915" s="1" t="str">
        <f>[1]Data!M906</f>
        <v/>
      </c>
      <c r="N915" s="1">
        <f>[1]Data!N906</f>
        <v>45435</v>
      </c>
      <c r="O915" s="1" t="str">
        <f>[1]Data!O906</f>
        <v>X</v>
      </c>
      <c r="P915" s="1" t="str">
        <f>[1]Data!P906</f>
        <v>2024</v>
      </c>
      <c r="Q915" s="15">
        <f>[1]Data!Q906</f>
        <v>0</v>
      </c>
      <c r="R915" s="1" t="str">
        <f>[1]Data!R906</f>
        <v>INAKTIV</v>
      </c>
    </row>
    <row r="916" spans="1:18" x14ac:dyDescent="0.35">
      <c r="A916" s="1" t="str">
        <f>[1]Data!A907</f>
        <v>4038586</v>
      </c>
      <c r="B916" s="1" t="str">
        <f>[1]Data!B907</f>
        <v>3300</v>
      </c>
      <c r="C916" s="1" t="str">
        <f>[1]Data!C907</f>
        <v>3001</v>
      </c>
      <c r="D916" s="1" t="str">
        <f>[1]Data!D907</f>
        <v>L</v>
      </c>
      <c r="E916" s="1" t="str">
        <f>[1]Data!E907</f>
        <v/>
      </c>
      <c r="F916" s="1" t="str">
        <f>[1]Data!F907</f>
        <v>2026</v>
      </c>
      <c r="G916" s="1" t="str">
        <f>[1]Data!G907</f>
        <v>2</v>
      </c>
      <c r="H916" s="15">
        <f>[1]Data!H907</f>
        <v>30</v>
      </c>
      <c r="I916" s="15">
        <f>[1]Data!I907</f>
        <v>0</v>
      </c>
      <c r="J916" s="1" t="str">
        <f>[1]Data!J907</f>
        <v>X</v>
      </c>
      <c r="K916" s="1" t="str">
        <f>[1]Data!K907</f>
        <v/>
      </c>
      <c r="L916" s="1" t="str">
        <f>[1]Data!L907</f>
        <v>08:06:01</v>
      </c>
      <c r="M916" s="1">
        <f>[1]Data!M907</f>
        <v>45980</v>
      </c>
      <c r="N916" s="1">
        <f>[1]Data!N907</f>
        <v>45435</v>
      </c>
      <c r="O916" s="1" t="str">
        <f>[1]Data!O907</f>
        <v>X</v>
      </c>
      <c r="P916" s="1" t="str">
        <f>[1]Data!P907</f>
        <v>2025</v>
      </c>
      <c r="Q916" s="15">
        <f>[1]Data!Q907</f>
        <v>30</v>
      </c>
      <c r="R916" s="1" t="str">
        <f>[1]Data!R907</f>
        <v/>
      </c>
    </row>
    <row r="917" spans="1:18" x14ac:dyDescent="0.35">
      <c r="A917" s="1" t="str">
        <f>[1]Data!A908</f>
        <v>4038643</v>
      </c>
      <c r="B917" s="1" t="str">
        <f>[1]Data!B908</f>
        <v>3300</v>
      </c>
      <c r="C917" s="1" t="str">
        <f>[1]Data!C908</f>
        <v>3001</v>
      </c>
      <c r="D917" s="1" t="str">
        <f>[1]Data!D908</f>
        <v>DL</v>
      </c>
      <c r="E917" s="1" t="str">
        <f>[1]Data!E908</f>
        <v/>
      </c>
      <c r="F917" s="1" t="str">
        <f>[1]Data!F908</f>
        <v>2025</v>
      </c>
      <c r="G917" s="1" t="str">
        <f>[1]Data!G908</f>
        <v>11</v>
      </c>
      <c r="H917" s="15">
        <f>[1]Data!H908</f>
        <v>550</v>
      </c>
      <c r="I917" s="15">
        <f>[1]Data!I908</f>
        <v>0</v>
      </c>
      <c r="J917" s="1" t="str">
        <f>[1]Data!J908</f>
        <v>X</v>
      </c>
      <c r="K917" s="1" t="str">
        <f>[1]Data!K908</f>
        <v/>
      </c>
      <c r="L917" s="1" t="str">
        <f>[1]Data!L908</f>
        <v>10:11:00</v>
      </c>
      <c r="M917" s="1">
        <f>[1]Data!M908</f>
        <v>46030</v>
      </c>
      <c r="N917" s="1">
        <f>[1]Data!N908</f>
        <v>45464</v>
      </c>
      <c r="O917" s="1" t="str">
        <f>[1]Data!O908</f>
        <v>X</v>
      </c>
      <c r="P917" s="1" t="str">
        <f>[1]Data!P908</f>
        <v>2026</v>
      </c>
      <c r="Q917" s="15">
        <f>[1]Data!Q908</f>
        <v>550</v>
      </c>
      <c r="R917" s="1" t="str">
        <f>[1]Data!R908</f>
        <v/>
      </c>
    </row>
    <row r="918" spans="1:18" x14ac:dyDescent="0.35">
      <c r="A918" s="1" t="str">
        <f>[1]Data!A909</f>
        <v>4038644</v>
      </c>
      <c r="B918" s="1" t="str">
        <f>[1]Data!B909</f>
        <v>3300</v>
      </c>
      <c r="C918" s="1" t="str">
        <f>[1]Data!C909</f>
        <v>3001</v>
      </c>
      <c r="D918" s="1" t="str">
        <f>[1]Data!D909</f>
        <v>DL</v>
      </c>
      <c r="E918" s="1" t="str">
        <f>[1]Data!E909</f>
        <v>X</v>
      </c>
      <c r="F918" s="1" t="str">
        <f>[1]Data!F909</f>
        <v>2024</v>
      </c>
      <c r="G918" s="1" t="str">
        <f>[1]Data!G909</f>
        <v>6</v>
      </c>
      <c r="H918" s="15">
        <f>[1]Data!H909</f>
        <v>0</v>
      </c>
      <c r="I918" s="15">
        <f>[1]Data!I909</f>
        <v>0</v>
      </c>
      <c r="J918" s="1" t="str">
        <f>[1]Data!J909</f>
        <v/>
      </c>
      <c r="K918" s="1" t="str">
        <f>[1]Data!K909</f>
        <v/>
      </c>
      <c r="L918" s="1" t="str">
        <f>[1]Data!L909</f>
        <v/>
      </c>
      <c r="M918" s="1" t="str">
        <f>[1]Data!M909</f>
        <v/>
      </c>
      <c r="N918" s="1">
        <f>[1]Data!N909</f>
        <v>45464</v>
      </c>
      <c r="O918" s="1" t="str">
        <f>[1]Data!O909</f>
        <v>X</v>
      </c>
      <c r="P918" s="1" t="str">
        <f>[1]Data!P909</f>
        <v>2024</v>
      </c>
      <c r="Q918" s="15">
        <f>[1]Data!Q909</f>
        <v>0</v>
      </c>
      <c r="R918" s="1" t="str">
        <f>[1]Data!R909</f>
        <v>INAKTIV</v>
      </c>
    </row>
    <row r="919" spans="1:18" x14ac:dyDescent="0.35">
      <c r="A919" s="1" t="str">
        <f>[1]Data!A910</f>
        <v>4038645</v>
      </c>
      <c r="B919" s="1" t="str">
        <f>[1]Data!B910</f>
        <v>3300</v>
      </c>
      <c r="C919" s="1" t="str">
        <f>[1]Data!C910</f>
        <v>3001</v>
      </c>
      <c r="D919" s="1" t="str">
        <f>[1]Data!D910</f>
        <v>DL</v>
      </c>
      <c r="E919" s="1" t="str">
        <f>[1]Data!E910</f>
        <v/>
      </c>
      <c r="F919" s="1" t="str">
        <f>[1]Data!F910</f>
        <v>2024</v>
      </c>
      <c r="G919" s="1" t="str">
        <f>[1]Data!G910</f>
        <v>6</v>
      </c>
      <c r="H919" s="15">
        <f>[1]Data!H910</f>
        <v>0</v>
      </c>
      <c r="I919" s="15">
        <f>[1]Data!I910</f>
        <v>0</v>
      </c>
      <c r="J919" s="1" t="str">
        <f>[1]Data!J910</f>
        <v/>
      </c>
      <c r="K919" s="1" t="str">
        <f>[1]Data!K910</f>
        <v/>
      </c>
      <c r="L919" s="1" t="str">
        <f>[1]Data!L910</f>
        <v/>
      </c>
      <c r="M919" s="1" t="str">
        <f>[1]Data!M910</f>
        <v/>
      </c>
      <c r="N919" s="1">
        <f>[1]Data!N910</f>
        <v>45468</v>
      </c>
      <c r="O919" s="1" t="str">
        <f>[1]Data!O910</f>
        <v>X</v>
      </c>
      <c r="P919" s="1" t="str">
        <f>[1]Data!P910</f>
        <v>2024</v>
      </c>
      <c r="Q919" s="15">
        <f>[1]Data!Q910</f>
        <v>0</v>
      </c>
      <c r="R919" s="1" t="str">
        <f>[1]Data!R910</f>
        <v>INAKTIV</v>
      </c>
    </row>
    <row r="920" spans="1:18" x14ac:dyDescent="0.35">
      <c r="A920" s="1" t="str">
        <f>[1]Data!A911</f>
        <v>4038646</v>
      </c>
      <c r="B920" s="1" t="str">
        <f>[1]Data!B911</f>
        <v>3300</v>
      </c>
      <c r="C920" s="1" t="str">
        <f>[1]Data!C911</f>
        <v>3001</v>
      </c>
      <c r="D920" s="1" t="str">
        <f>[1]Data!D911</f>
        <v>DL</v>
      </c>
      <c r="E920" s="1" t="str">
        <f>[1]Data!E911</f>
        <v/>
      </c>
      <c r="F920" s="1" t="str">
        <f>[1]Data!F911</f>
        <v>2024</v>
      </c>
      <c r="G920" s="1" t="str">
        <f>[1]Data!G911</f>
        <v>6</v>
      </c>
      <c r="H920" s="15">
        <f>[1]Data!H911</f>
        <v>0</v>
      </c>
      <c r="I920" s="15">
        <f>[1]Data!I911</f>
        <v>0</v>
      </c>
      <c r="J920" s="1" t="str">
        <f>[1]Data!J911</f>
        <v/>
      </c>
      <c r="K920" s="1" t="str">
        <f>[1]Data!K911</f>
        <v/>
      </c>
      <c r="L920" s="1" t="str">
        <f>[1]Data!L911</f>
        <v/>
      </c>
      <c r="M920" s="1" t="str">
        <f>[1]Data!M911</f>
        <v/>
      </c>
      <c r="N920" s="1">
        <f>[1]Data!N911</f>
        <v>45468</v>
      </c>
      <c r="O920" s="1" t="str">
        <f>[1]Data!O911</f>
        <v>X</v>
      </c>
      <c r="P920" s="1" t="str">
        <f>[1]Data!P911</f>
        <v>2024</v>
      </c>
      <c r="Q920" s="15">
        <f>[1]Data!Q911</f>
        <v>0</v>
      </c>
      <c r="R920" s="1" t="str">
        <f>[1]Data!R911</f>
        <v>INAKTIV</v>
      </c>
    </row>
    <row r="921" spans="1:18" x14ac:dyDescent="0.35">
      <c r="A921" s="1" t="str">
        <f>[1]Data!A912</f>
        <v>4038647</v>
      </c>
      <c r="B921" s="1" t="str">
        <f>[1]Data!B912</f>
        <v>3300</v>
      </c>
      <c r="C921" s="1" t="str">
        <f>[1]Data!C912</f>
        <v>3001</v>
      </c>
      <c r="D921" s="1" t="str">
        <f>[1]Data!D912</f>
        <v>DL</v>
      </c>
      <c r="E921" s="1" t="str">
        <f>[1]Data!E912</f>
        <v>X</v>
      </c>
      <c r="F921" s="1" t="str">
        <f>[1]Data!F912</f>
        <v>2024</v>
      </c>
      <c r="G921" s="1" t="str">
        <f>[1]Data!G912</f>
        <v>6</v>
      </c>
      <c r="H921" s="15">
        <f>[1]Data!H912</f>
        <v>0</v>
      </c>
      <c r="I921" s="15">
        <f>[1]Data!I912</f>
        <v>0</v>
      </c>
      <c r="J921" s="1" t="str">
        <f>[1]Data!J912</f>
        <v/>
      </c>
      <c r="K921" s="1" t="str">
        <f>[1]Data!K912</f>
        <v/>
      </c>
      <c r="L921" s="1" t="str">
        <f>[1]Data!L912</f>
        <v/>
      </c>
      <c r="M921" s="1" t="str">
        <f>[1]Data!M912</f>
        <v/>
      </c>
      <c r="N921" s="1">
        <f>[1]Data!N912</f>
        <v>45468</v>
      </c>
      <c r="O921" s="1" t="str">
        <f>[1]Data!O912</f>
        <v>X</v>
      </c>
      <c r="P921" s="1" t="str">
        <f>[1]Data!P912</f>
        <v>2024</v>
      </c>
      <c r="Q921" s="15">
        <f>[1]Data!Q912</f>
        <v>0</v>
      </c>
      <c r="R921" s="1" t="str">
        <f>[1]Data!R912</f>
        <v>INAKTIV</v>
      </c>
    </row>
    <row r="922" spans="1:18" x14ac:dyDescent="0.35">
      <c r="A922" s="1" t="str">
        <f>[1]Data!A913</f>
        <v>4038648</v>
      </c>
      <c r="B922" s="1" t="str">
        <f>[1]Data!B913</f>
        <v>3300</v>
      </c>
      <c r="C922" s="1" t="str">
        <f>[1]Data!C913</f>
        <v>3001</v>
      </c>
      <c r="D922" s="1" t="str">
        <f>[1]Data!D913</f>
        <v>DL</v>
      </c>
      <c r="E922" s="1" t="str">
        <f>[1]Data!E913</f>
        <v/>
      </c>
      <c r="F922" s="1" t="str">
        <f>[1]Data!F913</f>
        <v>2024</v>
      </c>
      <c r="G922" s="1" t="str">
        <f>[1]Data!G913</f>
        <v>6</v>
      </c>
      <c r="H922" s="15">
        <f>[1]Data!H913</f>
        <v>0</v>
      </c>
      <c r="I922" s="15">
        <f>[1]Data!I913</f>
        <v>0</v>
      </c>
      <c r="J922" s="1" t="str">
        <f>[1]Data!J913</f>
        <v/>
      </c>
      <c r="K922" s="1" t="str">
        <f>[1]Data!K913</f>
        <v/>
      </c>
      <c r="L922" s="1" t="str">
        <f>[1]Data!L913</f>
        <v/>
      </c>
      <c r="M922" s="1" t="str">
        <f>[1]Data!M913</f>
        <v/>
      </c>
      <c r="N922" s="1">
        <f>[1]Data!N913</f>
        <v>45468</v>
      </c>
      <c r="O922" s="1" t="str">
        <f>[1]Data!O913</f>
        <v>X</v>
      </c>
      <c r="P922" s="1" t="str">
        <f>[1]Data!P913</f>
        <v>2024</v>
      </c>
      <c r="Q922" s="15">
        <f>[1]Data!Q913</f>
        <v>0</v>
      </c>
      <c r="R922" s="1" t="str">
        <f>[1]Data!R913</f>
        <v>INAKTIV</v>
      </c>
    </row>
    <row r="923" spans="1:18" x14ac:dyDescent="0.35">
      <c r="A923" s="1" t="str">
        <f>[1]Data!A914</f>
        <v>4038649</v>
      </c>
      <c r="B923" s="1" t="str">
        <f>[1]Data!B914</f>
        <v>3300</v>
      </c>
      <c r="C923" s="1" t="str">
        <f>[1]Data!C914</f>
        <v>3001</v>
      </c>
      <c r="D923" s="1" t="str">
        <f>[1]Data!D914</f>
        <v>DL</v>
      </c>
      <c r="E923" s="1" t="str">
        <f>[1]Data!E914</f>
        <v/>
      </c>
      <c r="F923" s="1" t="str">
        <f>[1]Data!F914</f>
        <v>2024</v>
      </c>
      <c r="G923" s="1" t="str">
        <f>[1]Data!G914</f>
        <v>6</v>
      </c>
      <c r="H923" s="15">
        <f>[1]Data!H914</f>
        <v>0</v>
      </c>
      <c r="I923" s="15">
        <f>[1]Data!I914</f>
        <v>0</v>
      </c>
      <c r="J923" s="1" t="str">
        <f>[1]Data!J914</f>
        <v/>
      </c>
      <c r="K923" s="1" t="str">
        <f>[1]Data!K914</f>
        <v/>
      </c>
      <c r="L923" s="1" t="str">
        <f>[1]Data!L914</f>
        <v/>
      </c>
      <c r="M923" s="1" t="str">
        <f>[1]Data!M914</f>
        <v/>
      </c>
      <c r="N923" s="1">
        <f>[1]Data!N914</f>
        <v>45469</v>
      </c>
      <c r="O923" s="1" t="str">
        <f>[1]Data!O914</f>
        <v>X</v>
      </c>
      <c r="P923" s="1" t="str">
        <f>[1]Data!P914</f>
        <v>2024</v>
      </c>
      <c r="Q923" s="15">
        <f>[1]Data!Q914</f>
        <v>0</v>
      </c>
      <c r="R923" s="1" t="str">
        <f>[1]Data!R914</f>
        <v>INAKTIV</v>
      </c>
    </row>
    <row r="924" spans="1:18" x14ac:dyDescent="0.35">
      <c r="A924" s="1" t="str">
        <f>[1]Data!A915</f>
        <v>4038650</v>
      </c>
      <c r="B924" s="1" t="str">
        <f>[1]Data!B915</f>
        <v>3300</v>
      </c>
      <c r="C924" s="1" t="str">
        <f>[1]Data!C915</f>
        <v>3001</v>
      </c>
      <c r="D924" s="1" t="str">
        <f>[1]Data!D915</f>
        <v>DL</v>
      </c>
      <c r="E924" s="1" t="str">
        <f>[1]Data!E915</f>
        <v/>
      </c>
      <c r="F924" s="1" t="str">
        <f>[1]Data!F915</f>
        <v>2024</v>
      </c>
      <c r="G924" s="1" t="str">
        <f>[1]Data!G915</f>
        <v>6</v>
      </c>
      <c r="H924" s="15">
        <f>[1]Data!H915</f>
        <v>0</v>
      </c>
      <c r="I924" s="15">
        <f>[1]Data!I915</f>
        <v>0</v>
      </c>
      <c r="J924" s="1" t="str">
        <f>[1]Data!J915</f>
        <v/>
      </c>
      <c r="K924" s="1" t="str">
        <f>[1]Data!K915</f>
        <v/>
      </c>
      <c r="L924" s="1" t="str">
        <f>[1]Data!L915</f>
        <v/>
      </c>
      <c r="M924" s="1" t="str">
        <f>[1]Data!M915</f>
        <v/>
      </c>
      <c r="N924" s="1">
        <f>[1]Data!N915</f>
        <v>45469</v>
      </c>
      <c r="O924" s="1" t="str">
        <f>[1]Data!O915</f>
        <v>X</v>
      </c>
      <c r="P924" s="1" t="str">
        <f>[1]Data!P915</f>
        <v>2024</v>
      </c>
      <c r="Q924" s="15">
        <f>[1]Data!Q915</f>
        <v>0</v>
      </c>
      <c r="R924" s="1" t="str">
        <f>[1]Data!R915</f>
        <v>INAKTIV</v>
      </c>
    </row>
    <row r="925" spans="1:18" x14ac:dyDescent="0.35">
      <c r="A925" s="1" t="str">
        <f>[1]Data!A916</f>
        <v>4038735</v>
      </c>
      <c r="B925" s="1" t="str">
        <f>[1]Data!B916</f>
        <v>3300</v>
      </c>
      <c r="C925" s="1" t="str">
        <f>[1]Data!C916</f>
        <v>3001</v>
      </c>
      <c r="D925" s="1" t="str">
        <f>[1]Data!D916</f>
        <v>L</v>
      </c>
      <c r="E925" s="1" t="str">
        <f>[1]Data!E916</f>
        <v/>
      </c>
      <c r="F925" s="1" t="str">
        <f>[1]Data!F916</f>
        <v>2025</v>
      </c>
      <c r="G925" s="1" t="str">
        <f>[1]Data!G916</f>
        <v>2</v>
      </c>
      <c r="H925" s="15">
        <f>[1]Data!H916</f>
        <v>180</v>
      </c>
      <c r="I925" s="15">
        <f>[1]Data!I916</f>
        <v>0</v>
      </c>
      <c r="J925" s="1" t="str">
        <f>[1]Data!J916</f>
        <v>X</v>
      </c>
      <c r="K925" s="1" t="str">
        <f>[1]Data!K916</f>
        <v/>
      </c>
      <c r="L925" s="1" t="str">
        <f>[1]Data!L916</f>
        <v>02:12:03</v>
      </c>
      <c r="M925" s="1">
        <f>[1]Data!M916</f>
        <v>46029</v>
      </c>
      <c r="N925" s="1">
        <f>[1]Data!N916</f>
        <v>45450</v>
      </c>
      <c r="O925" s="1" t="str">
        <f>[1]Data!O916</f>
        <v>X</v>
      </c>
      <c r="P925" s="1" t="str">
        <f>[1]Data!P916</f>
        <v>2026</v>
      </c>
      <c r="Q925" s="15">
        <f>[1]Data!Q916</f>
        <v>180</v>
      </c>
      <c r="R925" s="1" t="str">
        <f>[1]Data!R916</f>
        <v/>
      </c>
    </row>
    <row r="926" spans="1:18" x14ac:dyDescent="0.35">
      <c r="A926" s="1" t="str">
        <f>[1]Data!A917</f>
        <v>4038736</v>
      </c>
      <c r="B926" s="1" t="str">
        <f>[1]Data!B917</f>
        <v>3300</v>
      </c>
      <c r="C926" s="1" t="str">
        <f>[1]Data!C917</f>
        <v>3001</v>
      </c>
      <c r="D926" s="1" t="str">
        <f>[1]Data!D917</f>
        <v>L</v>
      </c>
      <c r="E926" s="1" t="str">
        <f>[1]Data!E917</f>
        <v/>
      </c>
      <c r="F926" s="1" t="str">
        <f>[1]Data!F917</f>
        <v>2025</v>
      </c>
      <c r="G926" s="1" t="str">
        <f>[1]Data!G917</f>
        <v>9</v>
      </c>
      <c r="H926" s="15">
        <f>[1]Data!H917</f>
        <v>110</v>
      </c>
      <c r="I926" s="15">
        <f>[1]Data!I917</f>
        <v>0</v>
      </c>
      <c r="J926" s="1" t="str">
        <f>[1]Data!J917</f>
        <v>X</v>
      </c>
      <c r="K926" s="1" t="str">
        <f>[1]Data!K917</f>
        <v/>
      </c>
      <c r="L926" s="1" t="str">
        <f>[1]Data!L917</f>
        <v>02:12:01</v>
      </c>
      <c r="M926" s="1">
        <f>[1]Data!M917</f>
        <v>46029</v>
      </c>
      <c r="N926" s="1">
        <f>[1]Data!N917</f>
        <v>45450</v>
      </c>
      <c r="O926" s="1" t="str">
        <f>[1]Data!O917</f>
        <v>X</v>
      </c>
      <c r="P926" s="1" t="str">
        <f>[1]Data!P917</f>
        <v>2026</v>
      </c>
      <c r="Q926" s="15">
        <f>[1]Data!Q917</f>
        <v>110</v>
      </c>
      <c r="R926" s="1" t="str">
        <f>[1]Data!R917</f>
        <v/>
      </c>
    </row>
    <row r="927" spans="1:18" x14ac:dyDescent="0.35">
      <c r="A927" s="1" t="str">
        <f>[1]Data!A918</f>
        <v>4038737</v>
      </c>
      <c r="B927" s="1" t="str">
        <f>[1]Data!B918</f>
        <v>3300</v>
      </c>
      <c r="C927" s="1" t="str">
        <f>[1]Data!C918</f>
        <v>3001</v>
      </c>
      <c r="D927" s="1" t="str">
        <f>[1]Data!D918</f>
        <v>L</v>
      </c>
      <c r="E927" s="1" t="str">
        <f>[1]Data!E918</f>
        <v>X</v>
      </c>
      <c r="F927" s="1" t="str">
        <f>[1]Data!F918</f>
        <v>2025</v>
      </c>
      <c r="G927" s="1" t="str">
        <f>[1]Data!G918</f>
        <v>8</v>
      </c>
      <c r="H927" s="15">
        <f>[1]Data!H918</f>
        <v>0</v>
      </c>
      <c r="I927" s="15">
        <f>[1]Data!I918</f>
        <v>0</v>
      </c>
      <c r="J927" s="1" t="str">
        <f>[1]Data!J918</f>
        <v/>
      </c>
      <c r="K927" s="1" t="str">
        <f>[1]Data!K918</f>
        <v/>
      </c>
      <c r="L927" s="1" t="str">
        <f>[1]Data!L918</f>
        <v>SLETTET</v>
      </c>
      <c r="M927" s="1" t="str">
        <f>[1]Data!M918</f>
        <v/>
      </c>
      <c r="N927" s="1">
        <f>[1]Data!N918</f>
        <v>45450</v>
      </c>
      <c r="O927" s="1" t="str">
        <f>[1]Data!O918</f>
        <v>X</v>
      </c>
      <c r="P927" s="1" t="str">
        <f>[1]Data!P918</f>
        <v>2024</v>
      </c>
      <c r="Q927" s="15">
        <f>[1]Data!Q918</f>
        <v>0</v>
      </c>
      <c r="R927" s="1" t="str">
        <f>[1]Data!R918</f>
        <v>INAKTIV</v>
      </c>
    </row>
    <row r="928" spans="1:18" x14ac:dyDescent="0.35">
      <c r="A928" s="1" t="str">
        <f>[1]Data!A919</f>
        <v>4038742</v>
      </c>
      <c r="B928" s="1" t="str">
        <f>[1]Data!B919</f>
        <v>3300</v>
      </c>
      <c r="C928" s="1" t="str">
        <f>[1]Data!C919</f>
        <v>3001</v>
      </c>
      <c r="D928" s="1" t="str">
        <f>[1]Data!D919</f>
        <v>L</v>
      </c>
      <c r="E928" s="1" t="str">
        <f>[1]Data!E919</f>
        <v/>
      </c>
      <c r="F928" s="1" t="str">
        <f>[1]Data!F919</f>
        <v>2026</v>
      </c>
      <c r="G928" s="1" t="str">
        <f>[1]Data!G919</f>
        <v>2</v>
      </c>
      <c r="H928" s="15">
        <f>[1]Data!H919</f>
        <v>110</v>
      </c>
      <c r="I928" s="15">
        <f>[1]Data!I919</f>
        <v>0</v>
      </c>
      <c r="J928" s="1" t="str">
        <f>[1]Data!J919</f>
        <v>X</v>
      </c>
      <c r="K928" s="1" t="str">
        <f>[1]Data!K919</f>
        <v/>
      </c>
      <c r="L928" s="1" t="str">
        <f>[1]Data!L919</f>
        <v>02:13:01</v>
      </c>
      <c r="M928" s="1">
        <f>[1]Data!M919</f>
        <v>46029</v>
      </c>
      <c r="N928" s="1">
        <f>[1]Data!N919</f>
        <v>45450</v>
      </c>
      <c r="O928" s="1" t="str">
        <f>[1]Data!O919</f>
        <v>X</v>
      </c>
      <c r="P928" s="1" t="str">
        <f>[1]Data!P919</f>
        <v>2026</v>
      </c>
      <c r="Q928" s="15">
        <f>[1]Data!Q919</f>
        <v>110</v>
      </c>
      <c r="R928" s="1" t="str">
        <f>[1]Data!R919</f>
        <v/>
      </c>
    </row>
    <row r="929" spans="1:18" x14ac:dyDescent="0.35">
      <c r="A929" s="1" t="str">
        <f>[1]Data!A920</f>
        <v>4038743</v>
      </c>
      <c r="B929" s="1" t="str">
        <f>[1]Data!B920</f>
        <v>3300</v>
      </c>
      <c r="C929" s="1" t="str">
        <f>[1]Data!C920</f>
        <v>3001</v>
      </c>
      <c r="D929" s="1" t="str">
        <f>[1]Data!D920</f>
        <v>L</v>
      </c>
      <c r="E929" s="1" t="str">
        <f>[1]Data!E920</f>
        <v/>
      </c>
      <c r="F929" s="1" t="str">
        <f>[1]Data!F920</f>
        <v>2026</v>
      </c>
      <c r="G929" s="1" t="str">
        <f>[1]Data!G920</f>
        <v>1</v>
      </c>
      <c r="H929" s="15">
        <f>[1]Data!H920</f>
        <v>90</v>
      </c>
      <c r="I929" s="15">
        <f>[1]Data!I920</f>
        <v>0</v>
      </c>
      <c r="J929" s="1" t="str">
        <f>[1]Data!J920</f>
        <v>X</v>
      </c>
      <c r="K929" s="1" t="str">
        <f>[1]Data!K920</f>
        <v/>
      </c>
      <c r="L929" s="1" t="str">
        <f>[1]Data!L920</f>
        <v>02:13:02</v>
      </c>
      <c r="M929" s="1">
        <f>[1]Data!M920</f>
        <v>46029</v>
      </c>
      <c r="N929" s="1">
        <f>[1]Data!N920</f>
        <v>45450</v>
      </c>
      <c r="O929" s="1" t="str">
        <f>[1]Data!O920</f>
        <v>X</v>
      </c>
      <c r="P929" s="1" t="str">
        <f>[1]Data!P920</f>
        <v>2026</v>
      </c>
      <c r="Q929" s="15">
        <f>[1]Data!Q920</f>
        <v>90</v>
      </c>
      <c r="R929" s="1" t="str">
        <f>[1]Data!R920</f>
        <v/>
      </c>
    </row>
    <row r="930" spans="1:18" x14ac:dyDescent="0.35">
      <c r="A930" s="1" t="str">
        <f>[1]Data!A921</f>
        <v>4039173</v>
      </c>
      <c r="B930" s="1" t="str">
        <f>[1]Data!B921</f>
        <v>3300</v>
      </c>
      <c r="C930" s="1" t="str">
        <f>[1]Data!C921</f>
        <v>3001</v>
      </c>
      <c r="D930" s="1" t="str">
        <f>[1]Data!D921</f>
        <v>DL</v>
      </c>
      <c r="E930" s="1" t="str">
        <f>[1]Data!E921</f>
        <v/>
      </c>
      <c r="F930" s="1" t="str">
        <f>[1]Data!F921</f>
        <v>2024</v>
      </c>
      <c r="G930" s="1" t="str">
        <f>[1]Data!G921</f>
        <v>6</v>
      </c>
      <c r="H930" s="15">
        <f>[1]Data!H921</f>
        <v>0</v>
      </c>
      <c r="I930" s="15">
        <f>[1]Data!I921</f>
        <v>0</v>
      </c>
      <c r="J930" s="1" t="str">
        <f>[1]Data!J921</f>
        <v/>
      </c>
      <c r="K930" s="1" t="str">
        <f>[1]Data!K921</f>
        <v/>
      </c>
      <c r="L930" s="1" t="str">
        <f>[1]Data!L921</f>
        <v/>
      </c>
      <c r="M930" s="1" t="str">
        <f>[1]Data!M921</f>
        <v/>
      </c>
      <c r="N930" s="1">
        <f>[1]Data!N921</f>
        <v>45464</v>
      </c>
      <c r="O930" s="1" t="str">
        <f>[1]Data!O921</f>
        <v>X</v>
      </c>
      <c r="P930" s="1" t="str">
        <f>[1]Data!P921</f>
        <v>2024</v>
      </c>
      <c r="Q930" s="15">
        <f>[1]Data!Q921</f>
        <v>0</v>
      </c>
      <c r="R930" s="1" t="str">
        <f>[1]Data!R921</f>
        <v>INAKTIV</v>
      </c>
    </row>
    <row r="931" spans="1:18" x14ac:dyDescent="0.35">
      <c r="A931" s="1" t="str">
        <f>[1]Data!A922</f>
        <v>4039174</v>
      </c>
      <c r="B931" s="1" t="str">
        <f>[1]Data!B922</f>
        <v>3300</v>
      </c>
      <c r="C931" s="1" t="str">
        <f>[1]Data!C922</f>
        <v>3001</v>
      </c>
      <c r="D931" s="1" t="str">
        <f>[1]Data!D922</f>
        <v>DL</v>
      </c>
      <c r="E931" s="1" t="str">
        <f>[1]Data!E922</f>
        <v/>
      </c>
      <c r="F931" s="1" t="str">
        <f>[1]Data!F922</f>
        <v>2024</v>
      </c>
      <c r="G931" s="1" t="str">
        <f>[1]Data!G922</f>
        <v>6</v>
      </c>
      <c r="H931" s="15">
        <f>[1]Data!H922</f>
        <v>0</v>
      </c>
      <c r="I931" s="15">
        <f>[1]Data!I922</f>
        <v>0</v>
      </c>
      <c r="J931" s="1" t="str">
        <f>[1]Data!J922</f>
        <v/>
      </c>
      <c r="K931" s="1" t="str">
        <f>[1]Data!K922</f>
        <v/>
      </c>
      <c r="L931" s="1" t="str">
        <f>[1]Data!L922</f>
        <v/>
      </c>
      <c r="M931" s="1" t="str">
        <f>[1]Data!M922</f>
        <v/>
      </c>
      <c r="N931" s="1">
        <f>[1]Data!N922</f>
        <v>45464</v>
      </c>
      <c r="O931" s="1" t="str">
        <f>[1]Data!O922</f>
        <v>X</v>
      </c>
      <c r="P931" s="1" t="str">
        <f>[1]Data!P922</f>
        <v>2024</v>
      </c>
      <c r="Q931" s="15">
        <f>[1]Data!Q922</f>
        <v>0</v>
      </c>
      <c r="R931" s="1" t="str">
        <f>[1]Data!R922</f>
        <v>INAKTIV</v>
      </c>
    </row>
    <row r="932" spans="1:18" x14ac:dyDescent="0.35">
      <c r="A932" s="1" t="str">
        <f>[1]Data!A923</f>
        <v>4039175</v>
      </c>
      <c r="B932" s="1" t="str">
        <f>[1]Data!B923</f>
        <v>3300</v>
      </c>
      <c r="C932" s="1" t="str">
        <f>[1]Data!C923</f>
        <v>3001</v>
      </c>
      <c r="D932" s="1" t="str">
        <f>[1]Data!D923</f>
        <v>DL</v>
      </c>
      <c r="E932" s="1" t="str">
        <f>[1]Data!E923</f>
        <v/>
      </c>
      <c r="F932" s="1" t="str">
        <f>[1]Data!F923</f>
        <v>2024</v>
      </c>
      <c r="G932" s="1" t="str">
        <f>[1]Data!G923</f>
        <v>6</v>
      </c>
      <c r="H932" s="15">
        <f>[1]Data!H923</f>
        <v>0</v>
      </c>
      <c r="I932" s="15">
        <f>[1]Data!I923</f>
        <v>0</v>
      </c>
      <c r="J932" s="1" t="str">
        <f>[1]Data!J923</f>
        <v/>
      </c>
      <c r="K932" s="1" t="str">
        <f>[1]Data!K923</f>
        <v/>
      </c>
      <c r="L932" s="1" t="str">
        <f>[1]Data!L923</f>
        <v/>
      </c>
      <c r="M932" s="1" t="str">
        <f>[1]Data!M923</f>
        <v/>
      </c>
      <c r="N932" s="1">
        <f>[1]Data!N923</f>
        <v>45464</v>
      </c>
      <c r="O932" s="1" t="str">
        <f>[1]Data!O923</f>
        <v>X</v>
      </c>
      <c r="P932" s="1" t="str">
        <f>[1]Data!P923</f>
        <v>2024</v>
      </c>
      <c r="Q932" s="15">
        <f>[1]Data!Q923</f>
        <v>0</v>
      </c>
      <c r="R932" s="1" t="str">
        <f>[1]Data!R923</f>
        <v>INAKTIV</v>
      </c>
    </row>
    <row r="933" spans="1:18" x14ac:dyDescent="0.35">
      <c r="A933" s="1" t="str">
        <f>[1]Data!A924</f>
        <v>4039176</v>
      </c>
      <c r="B933" s="1" t="str">
        <f>[1]Data!B924</f>
        <v>3300</v>
      </c>
      <c r="C933" s="1" t="str">
        <f>[1]Data!C924</f>
        <v>3001</v>
      </c>
      <c r="D933" s="1" t="str">
        <f>[1]Data!D924</f>
        <v>DL</v>
      </c>
      <c r="E933" s="1" t="str">
        <f>[1]Data!E924</f>
        <v/>
      </c>
      <c r="F933" s="1" t="str">
        <f>[1]Data!F924</f>
        <v>2024</v>
      </c>
      <c r="G933" s="1" t="str">
        <f>[1]Data!G924</f>
        <v>6</v>
      </c>
      <c r="H933" s="15">
        <f>[1]Data!H924</f>
        <v>0</v>
      </c>
      <c r="I933" s="15">
        <f>[1]Data!I924</f>
        <v>0</v>
      </c>
      <c r="J933" s="1" t="str">
        <f>[1]Data!J924</f>
        <v/>
      </c>
      <c r="K933" s="1" t="str">
        <f>[1]Data!K924</f>
        <v/>
      </c>
      <c r="L933" s="1" t="str">
        <f>[1]Data!L924</f>
        <v/>
      </c>
      <c r="M933" s="1" t="str">
        <f>[1]Data!M924</f>
        <v/>
      </c>
      <c r="N933" s="1">
        <f>[1]Data!N924</f>
        <v>45464</v>
      </c>
      <c r="O933" s="1" t="str">
        <f>[1]Data!O924</f>
        <v>X</v>
      </c>
      <c r="P933" s="1" t="str">
        <f>[1]Data!P924</f>
        <v>2024</v>
      </c>
      <c r="Q933" s="15">
        <f>[1]Data!Q924</f>
        <v>0</v>
      </c>
      <c r="R933" s="1" t="str">
        <f>[1]Data!R924</f>
        <v>INAKTIV</v>
      </c>
    </row>
    <row r="934" spans="1:18" x14ac:dyDescent="0.35">
      <c r="A934" s="1" t="str">
        <f>[1]Data!A925</f>
        <v>4039177</v>
      </c>
      <c r="B934" s="1" t="str">
        <f>[1]Data!B925</f>
        <v>3300</v>
      </c>
      <c r="C934" s="1" t="str">
        <f>[1]Data!C925</f>
        <v>3001</v>
      </c>
      <c r="D934" s="1" t="str">
        <f>[1]Data!D925</f>
        <v>DL</v>
      </c>
      <c r="E934" s="1" t="str">
        <f>[1]Data!E925</f>
        <v/>
      </c>
      <c r="F934" s="1" t="str">
        <f>[1]Data!F925</f>
        <v>2024</v>
      </c>
      <c r="G934" s="1" t="str">
        <f>[1]Data!G925</f>
        <v>6</v>
      </c>
      <c r="H934" s="15">
        <f>[1]Data!H925</f>
        <v>0</v>
      </c>
      <c r="I934" s="15">
        <f>[1]Data!I925</f>
        <v>0</v>
      </c>
      <c r="J934" s="1" t="str">
        <f>[1]Data!J925</f>
        <v/>
      </c>
      <c r="K934" s="1" t="str">
        <f>[1]Data!K925</f>
        <v/>
      </c>
      <c r="L934" s="1" t="str">
        <f>[1]Data!L925</f>
        <v/>
      </c>
      <c r="M934" s="1" t="str">
        <f>[1]Data!M925</f>
        <v/>
      </c>
      <c r="N934" s="1">
        <f>[1]Data!N925</f>
        <v>45464</v>
      </c>
      <c r="O934" s="1" t="str">
        <f>[1]Data!O925</f>
        <v>X</v>
      </c>
      <c r="P934" s="1" t="str">
        <f>[1]Data!P925</f>
        <v>2024</v>
      </c>
      <c r="Q934" s="15">
        <f>[1]Data!Q925</f>
        <v>0</v>
      </c>
      <c r="R934" s="1" t="str">
        <f>[1]Data!R925</f>
        <v>INAKTIV</v>
      </c>
    </row>
    <row r="935" spans="1:18" x14ac:dyDescent="0.35">
      <c r="A935" s="1" t="str">
        <f>[1]Data!A926</f>
        <v>4039951</v>
      </c>
      <c r="B935" s="1" t="str">
        <f>[1]Data!B926</f>
        <v>3300</v>
      </c>
      <c r="C935" s="1" t="str">
        <f>[1]Data!C926</f>
        <v>3001</v>
      </c>
      <c r="D935" s="1" t="str">
        <f>[1]Data!D926</f>
        <v>DL</v>
      </c>
      <c r="E935" s="1" t="str">
        <f>[1]Data!E926</f>
        <v/>
      </c>
      <c r="F935" s="1" t="str">
        <f>[1]Data!F926</f>
        <v>2024</v>
      </c>
      <c r="G935" s="1" t="str">
        <f>[1]Data!G926</f>
        <v>6</v>
      </c>
      <c r="H935" s="15">
        <f>[1]Data!H926</f>
        <v>0</v>
      </c>
      <c r="I935" s="15">
        <f>[1]Data!I926</f>
        <v>0</v>
      </c>
      <c r="J935" s="1" t="str">
        <f>[1]Data!J926</f>
        <v/>
      </c>
      <c r="K935" s="1" t="str">
        <f>[1]Data!K926</f>
        <v/>
      </c>
      <c r="L935" s="1" t="str">
        <f>[1]Data!L926</f>
        <v/>
      </c>
      <c r="M935" s="1" t="str">
        <f>[1]Data!M926</f>
        <v/>
      </c>
      <c r="N935" s="1">
        <f>[1]Data!N926</f>
        <v>45469</v>
      </c>
      <c r="O935" s="1" t="str">
        <f>[1]Data!O926</f>
        <v>X</v>
      </c>
      <c r="P935" s="1" t="str">
        <f>[1]Data!P926</f>
        <v>2024</v>
      </c>
      <c r="Q935" s="15">
        <f>[1]Data!Q926</f>
        <v>0</v>
      </c>
      <c r="R935" s="1" t="str">
        <f>[1]Data!R926</f>
        <v>INAKTIV</v>
      </c>
    </row>
    <row r="936" spans="1:18" x14ac:dyDescent="0.35">
      <c r="A936" s="1" t="str">
        <f>[1]Data!A927</f>
        <v>4039952</v>
      </c>
      <c r="B936" s="1" t="str">
        <f>[1]Data!B927</f>
        <v>3300</v>
      </c>
      <c r="C936" s="1" t="str">
        <f>[1]Data!C927</f>
        <v>3001</v>
      </c>
      <c r="D936" s="1" t="str">
        <f>[1]Data!D927</f>
        <v>DL</v>
      </c>
      <c r="E936" s="1" t="str">
        <f>[1]Data!E927</f>
        <v/>
      </c>
      <c r="F936" s="1" t="str">
        <f>[1]Data!F927</f>
        <v>2024</v>
      </c>
      <c r="G936" s="1" t="str">
        <f>[1]Data!G927</f>
        <v>6</v>
      </c>
      <c r="H936" s="15">
        <f>[1]Data!H927</f>
        <v>0</v>
      </c>
      <c r="I936" s="15">
        <f>[1]Data!I927</f>
        <v>0</v>
      </c>
      <c r="J936" s="1" t="str">
        <f>[1]Data!J927</f>
        <v/>
      </c>
      <c r="K936" s="1" t="str">
        <f>[1]Data!K927</f>
        <v/>
      </c>
      <c r="L936" s="1" t="str">
        <f>[1]Data!L927</f>
        <v/>
      </c>
      <c r="M936" s="1" t="str">
        <f>[1]Data!M927</f>
        <v/>
      </c>
      <c r="N936" s="1">
        <f>[1]Data!N927</f>
        <v>45469</v>
      </c>
      <c r="O936" s="1" t="str">
        <f>[1]Data!O927</f>
        <v>X</v>
      </c>
      <c r="P936" s="1" t="str">
        <f>[1]Data!P927</f>
        <v>2024</v>
      </c>
      <c r="Q936" s="15">
        <f>[1]Data!Q927</f>
        <v>0</v>
      </c>
      <c r="R936" s="1" t="str">
        <f>[1]Data!R927</f>
        <v>INAKTIV</v>
      </c>
    </row>
    <row r="937" spans="1:18" x14ac:dyDescent="0.35">
      <c r="A937" s="1" t="str">
        <f>[1]Data!A928</f>
        <v>4039953</v>
      </c>
      <c r="B937" s="1" t="str">
        <f>[1]Data!B928</f>
        <v>3300</v>
      </c>
      <c r="C937" s="1" t="str">
        <f>[1]Data!C928</f>
        <v>3001</v>
      </c>
      <c r="D937" s="1" t="str">
        <f>[1]Data!D928</f>
        <v>DL</v>
      </c>
      <c r="E937" s="1" t="str">
        <f>[1]Data!E928</f>
        <v/>
      </c>
      <c r="F937" s="1" t="str">
        <f>[1]Data!F928</f>
        <v>2024</v>
      </c>
      <c r="G937" s="1" t="str">
        <f>[1]Data!G928</f>
        <v>6</v>
      </c>
      <c r="H937" s="15">
        <f>[1]Data!H928</f>
        <v>0</v>
      </c>
      <c r="I937" s="15">
        <f>[1]Data!I928</f>
        <v>0</v>
      </c>
      <c r="J937" s="1" t="str">
        <f>[1]Data!J928</f>
        <v/>
      </c>
      <c r="K937" s="1" t="str">
        <f>[1]Data!K928</f>
        <v/>
      </c>
      <c r="L937" s="1" t="str">
        <f>[1]Data!L928</f>
        <v/>
      </c>
      <c r="M937" s="1" t="str">
        <f>[1]Data!M928</f>
        <v/>
      </c>
      <c r="N937" s="1">
        <f>[1]Data!N928</f>
        <v>45469</v>
      </c>
      <c r="O937" s="1" t="str">
        <f>[1]Data!O928</f>
        <v>X</v>
      </c>
      <c r="P937" s="1" t="str">
        <f>[1]Data!P928</f>
        <v>2024</v>
      </c>
      <c r="Q937" s="15">
        <f>[1]Data!Q928</f>
        <v>0</v>
      </c>
      <c r="R937" s="1" t="str">
        <f>[1]Data!R928</f>
        <v>INAKTIV</v>
      </c>
    </row>
    <row r="938" spans="1:18" x14ac:dyDescent="0.35">
      <c r="A938" s="1" t="str">
        <f>[1]Data!A929</f>
        <v>4039954</v>
      </c>
      <c r="B938" s="1" t="str">
        <f>[1]Data!B929</f>
        <v>3300</v>
      </c>
      <c r="C938" s="1" t="str">
        <f>[1]Data!C929</f>
        <v>3001</v>
      </c>
      <c r="D938" s="1" t="str">
        <f>[1]Data!D929</f>
        <v>DL</v>
      </c>
      <c r="E938" s="1" t="str">
        <f>[1]Data!E929</f>
        <v/>
      </c>
      <c r="F938" s="1" t="str">
        <f>[1]Data!F929</f>
        <v>2024</v>
      </c>
      <c r="G938" s="1" t="str">
        <f>[1]Data!G929</f>
        <v>6</v>
      </c>
      <c r="H938" s="15">
        <f>[1]Data!H929</f>
        <v>0</v>
      </c>
      <c r="I938" s="15">
        <f>[1]Data!I929</f>
        <v>0</v>
      </c>
      <c r="J938" s="1" t="str">
        <f>[1]Data!J929</f>
        <v/>
      </c>
      <c r="K938" s="1" t="str">
        <f>[1]Data!K929</f>
        <v/>
      </c>
      <c r="L938" s="1" t="str">
        <f>[1]Data!L929</f>
        <v/>
      </c>
      <c r="M938" s="1" t="str">
        <f>[1]Data!M929</f>
        <v/>
      </c>
      <c r="N938" s="1">
        <f>[1]Data!N929</f>
        <v>45469</v>
      </c>
      <c r="O938" s="1" t="str">
        <f>[1]Data!O929</f>
        <v>X</v>
      </c>
      <c r="P938" s="1" t="str">
        <f>[1]Data!P929</f>
        <v>2024</v>
      </c>
      <c r="Q938" s="15">
        <f>[1]Data!Q929</f>
        <v>0</v>
      </c>
      <c r="R938" s="1" t="str">
        <f>[1]Data!R929</f>
        <v>INAKTIV</v>
      </c>
    </row>
    <row r="939" spans="1:18" x14ac:dyDescent="0.35">
      <c r="A939" s="1" t="str">
        <f>[1]Data!A930</f>
        <v>4039955</v>
      </c>
      <c r="B939" s="1" t="str">
        <f>[1]Data!B930</f>
        <v>3300</v>
      </c>
      <c r="C939" s="1" t="str">
        <f>[1]Data!C930</f>
        <v>3001</v>
      </c>
      <c r="D939" s="1" t="str">
        <f>[1]Data!D930</f>
        <v>DL</v>
      </c>
      <c r="E939" s="1" t="str">
        <f>[1]Data!E930</f>
        <v/>
      </c>
      <c r="F939" s="1" t="str">
        <f>[1]Data!F930</f>
        <v>2024</v>
      </c>
      <c r="G939" s="1" t="str">
        <f>[1]Data!G930</f>
        <v>6</v>
      </c>
      <c r="H939" s="15">
        <f>[1]Data!H930</f>
        <v>0</v>
      </c>
      <c r="I939" s="15">
        <f>[1]Data!I930</f>
        <v>0</v>
      </c>
      <c r="J939" s="1" t="str">
        <f>[1]Data!J930</f>
        <v/>
      </c>
      <c r="K939" s="1" t="str">
        <f>[1]Data!K930</f>
        <v/>
      </c>
      <c r="L939" s="1" t="str">
        <f>[1]Data!L930</f>
        <v/>
      </c>
      <c r="M939" s="1" t="str">
        <f>[1]Data!M930</f>
        <v/>
      </c>
      <c r="N939" s="1">
        <f>[1]Data!N930</f>
        <v>45469</v>
      </c>
      <c r="O939" s="1" t="str">
        <f>[1]Data!O930</f>
        <v>X</v>
      </c>
      <c r="P939" s="1" t="str">
        <f>[1]Data!P930</f>
        <v>2024</v>
      </c>
      <c r="Q939" s="15">
        <f>[1]Data!Q930</f>
        <v>0</v>
      </c>
      <c r="R939" s="1" t="str">
        <f>[1]Data!R930</f>
        <v>INAKTIV</v>
      </c>
    </row>
    <row r="940" spans="1:18" x14ac:dyDescent="0.35">
      <c r="A940" s="1" t="str">
        <f>[1]Data!A931</f>
        <v>4039956</v>
      </c>
      <c r="B940" s="1" t="str">
        <f>[1]Data!B931</f>
        <v>3300</v>
      </c>
      <c r="C940" s="1" t="str">
        <f>[1]Data!C931</f>
        <v>3001</v>
      </c>
      <c r="D940" s="1" t="str">
        <f>[1]Data!D931</f>
        <v>DL</v>
      </c>
      <c r="E940" s="1" t="str">
        <f>[1]Data!E931</f>
        <v/>
      </c>
      <c r="F940" s="1" t="str">
        <f>[1]Data!F931</f>
        <v>2024</v>
      </c>
      <c r="G940" s="1" t="str">
        <f>[1]Data!G931</f>
        <v>6</v>
      </c>
      <c r="H940" s="15">
        <f>[1]Data!H931</f>
        <v>0</v>
      </c>
      <c r="I940" s="15">
        <f>[1]Data!I931</f>
        <v>0</v>
      </c>
      <c r="J940" s="1" t="str">
        <f>[1]Data!J931</f>
        <v/>
      </c>
      <c r="K940" s="1" t="str">
        <f>[1]Data!K931</f>
        <v/>
      </c>
      <c r="L940" s="1" t="str">
        <f>[1]Data!L931</f>
        <v/>
      </c>
      <c r="M940" s="1" t="str">
        <f>[1]Data!M931</f>
        <v/>
      </c>
      <c r="N940" s="1">
        <f>[1]Data!N931</f>
        <v>45469</v>
      </c>
      <c r="O940" s="1" t="str">
        <f>[1]Data!O931</f>
        <v>X</v>
      </c>
      <c r="P940" s="1" t="str">
        <f>[1]Data!P931</f>
        <v>2024</v>
      </c>
      <c r="Q940" s="15">
        <f>[1]Data!Q931</f>
        <v>0</v>
      </c>
      <c r="R940" s="1" t="str">
        <f>[1]Data!R931</f>
        <v>INAKTIV</v>
      </c>
    </row>
    <row r="941" spans="1:18" x14ac:dyDescent="0.35">
      <c r="A941" s="1" t="str">
        <f>[1]Data!A932</f>
        <v>4043184</v>
      </c>
      <c r="B941" s="1" t="str">
        <f>[1]Data!B932</f>
        <v>3300</v>
      </c>
      <c r="C941" s="1" t="str">
        <f>[1]Data!C932</f>
        <v>3001</v>
      </c>
      <c r="D941" s="1" t="str">
        <f>[1]Data!D932</f>
        <v>DL</v>
      </c>
      <c r="E941" s="1" t="str">
        <f>[1]Data!E932</f>
        <v/>
      </c>
      <c r="F941" s="1" t="str">
        <f>[1]Data!F932</f>
        <v>2026</v>
      </c>
      <c r="G941" s="1" t="str">
        <f>[1]Data!G932</f>
        <v>2</v>
      </c>
      <c r="H941" s="15">
        <f>[1]Data!H932</f>
        <v>176</v>
      </c>
      <c r="I941" s="15">
        <f>[1]Data!I932</f>
        <v>0</v>
      </c>
      <c r="J941" s="1" t="str">
        <f>[1]Data!J932</f>
        <v>X</v>
      </c>
      <c r="K941" s="1" t="str">
        <f>[1]Data!K932</f>
        <v/>
      </c>
      <c r="L941" s="1" t="str">
        <f>[1]Data!L932</f>
        <v>04:09:03</v>
      </c>
      <c r="M941" s="1">
        <f>[1]Data!M932</f>
        <v>46029</v>
      </c>
      <c r="N941" s="1">
        <f>[1]Data!N932</f>
        <v>45609</v>
      </c>
      <c r="O941" s="1" t="str">
        <f>[1]Data!O932</f>
        <v>X</v>
      </c>
      <c r="P941" s="1" t="str">
        <f>[1]Data!P932</f>
        <v>2026</v>
      </c>
      <c r="Q941" s="15">
        <f>[1]Data!Q932</f>
        <v>176</v>
      </c>
      <c r="R941" s="1" t="str">
        <f>[1]Data!R932</f>
        <v/>
      </c>
    </row>
    <row r="942" spans="1:18" x14ac:dyDescent="0.35">
      <c r="A942" s="1" t="str">
        <f>[1]Data!A933</f>
        <v>4044449</v>
      </c>
      <c r="B942" s="1" t="str">
        <f>[1]Data!B933</f>
        <v>3300</v>
      </c>
      <c r="C942" s="1" t="str">
        <f>[1]Data!C933</f>
        <v>3001</v>
      </c>
      <c r="D942" s="1" t="str">
        <f>[1]Data!D933</f>
        <v>DL</v>
      </c>
      <c r="E942" s="1" t="str">
        <f>[1]Data!E933</f>
        <v/>
      </c>
      <c r="F942" s="1" t="str">
        <f>[1]Data!F933</f>
        <v>2026</v>
      </c>
      <c r="G942" s="1" t="str">
        <f>[1]Data!G933</f>
        <v>2</v>
      </c>
      <c r="H942" s="15">
        <f>[1]Data!H933</f>
        <v>112</v>
      </c>
      <c r="I942" s="15">
        <f>[1]Data!I933</f>
        <v>0</v>
      </c>
      <c r="J942" s="1" t="str">
        <f>[1]Data!J933</f>
        <v/>
      </c>
      <c r="K942" s="1" t="str">
        <f>[1]Data!K933</f>
        <v/>
      </c>
      <c r="L942" s="1" t="str">
        <f>[1]Data!L933</f>
        <v>11:01:00</v>
      </c>
      <c r="M942" s="1" t="str">
        <f>[1]Data!M933</f>
        <v/>
      </c>
      <c r="N942" s="1">
        <f>[1]Data!N933</f>
        <v>45818</v>
      </c>
      <c r="O942" s="1" t="str">
        <f>[1]Data!O933</f>
        <v>X</v>
      </c>
      <c r="P942" s="1" t="str">
        <f>[1]Data!P933</f>
        <v>2026</v>
      </c>
      <c r="Q942" s="15">
        <f>[1]Data!Q933</f>
        <v>112</v>
      </c>
      <c r="R942" s="1" t="str">
        <f>[1]Data!R933</f>
        <v/>
      </c>
    </row>
    <row r="943" spans="1:18" x14ac:dyDescent="0.35">
      <c r="A943" s="1" t="str">
        <f>[1]Data!A934</f>
        <v>4044451</v>
      </c>
      <c r="B943" s="1" t="str">
        <f>[1]Data!B934</f>
        <v>3300</v>
      </c>
      <c r="C943" s="1" t="str">
        <f>[1]Data!C934</f>
        <v>3001</v>
      </c>
      <c r="D943" s="1" t="str">
        <f>[1]Data!D934</f>
        <v>DL</v>
      </c>
      <c r="E943" s="1" t="str">
        <f>[1]Data!E934</f>
        <v/>
      </c>
      <c r="F943" s="1" t="str">
        <f>[1]Data!F934</f>
        <v>2025</v>
      </c>
      <c r="G943" s="1" t="str">
        <f>[1]Data!G934</f>
        <v>9</v>
      </c>
      <c r="H943" s="15">
        <f>[1]Data!H934</f>
        <v>0</v>
      </c>
      <c r="I943" s="15">
        <f>[1]Data!I934</f>
        <v>0</v>
      </c>
      <c r="J943" s="1" t="str">
        <f>[1]Data!J934</f>
        <v/>
      </c>
      <c r="K943" s="1" t="str">
        <f>[1]Data!K934</f>
        <v/>
      </c>
      <c r="L943" s="1" t="str">
        <f>[1]Data!L934</f>
        <v/>
      </c>
      <c r="M943" s="1" t="str">
        <f>[1]Data!M934</f>
        <v/>
      </c>
      <c r="N943" s="1">
        <f>[1]Data!N934</f>
        <v>45922</v>
      </c>
      <c r="O943" s="1" t="str">
        <f>[1]Data!O934</f>
        <v>X</v>
      </c>
      <c r="P943" s="1" t="str">
        <f>[1]Data!P934</f>
        <v>2025</v>
      </c>
      <c r="Q943" s="15">
        <f>[1]Data!Q934</f>
        <v>0</v>
      </c>
      <c r="R943" s="1" t="str">
        <f>[1]Data!R934</f>
        <v>INAKTIV</v>
      </c>
    </row>
    <row r="944" spans="1:18" x14ac:dyDescent="0.35">
      <c r="A944" s="1" t="str">
        <f>[1]Data!A935</f>
        <v>4044453</v>
      </c>
      <c r="B944" s="1" t="str">
        <f>[1]Data!B935</f>
        <v>3300</v>
      </c>
      <c r="C944" s="1" t="str">
        <f>[1]Data!C935</f>
        <v>3001</v>
      </c>
      <c r="D944" s="1" t="str">
        <f>[1]Data!D935</f>
        <v>DL</v>
      </c>
      <c r="E944" s="1" t="str">
        <f>[1]Data!E935</f>
        <v/>
      </c>
      <c r="F944" s="1" t="str">
        <f>[1]Data!F935</f>
        <v>2026</v>
      </c>
      <c r="G944" s="1" t="str">
        <f>[1]Data!G935</f>
        <v>1</v>
      </c>
      <c r="H944" s="15">
        <f>[1]Data!H935</f>
        <v>1400</v>
      </c>
      <c r="I944" s="15">
        <f>[1]Data!I935</f>
        <v>0</v>
      </c>
      <c r="J944" s="1" t="str">
        <f>[1]Data!J935</f>
        <v>X</v>
      </c>
      <c r="K944" s="1" t="str">
        <f>[1]Data!K935</f>
        <v/>
      </c>
      <c r="L944" s="1" t="str">
        <f>[1]Data!L935</f>
        <v>04:12:01</v>
      </c>
      <c r="M944" s="1">
        <f>[1]Data!M935</f>
        <v>46029</v>
      </c>
      <c r="N944" s="1">
        <f>[1]Data!N935</f>
        <v>45819</v>
      </c>
      <c r="O944" s="1" t="str">
        <f>[1]Data!O935</f>
        <v>X</v>
      </c>
      <c r="P944" s="1" t="str">
        <f>[1]Data!P935</f>
        <v>2026</v>
      </c>
      <c r="Q944" s="15">
        <f>[1]Data!Q935</f>
        <v>1400</v>
      </c>
      <c r="R944" s="1" t="str">
        <f>[1]Data!R935</f>
        <v/>
      </c>
    </row>
    <row r="945" spans="1:18" x14ac:dyDescent="0.35">
      <c r="A945" s="1" t="str">
        <f>[1]Data!A936</f>
        <v>4044460</v>
      </c>
      <c r="B945" s="1" t="str">
        <f>[1]Data!B936</f>
        <v>3300</v>
      </c>
      <c r="C945" s="1" t="str">
        <f>[1]Data!C936</f>
        <v>3001</v>
      </c>
      <c r="D945" s="1" t="str">
        <f>[1]Data!D936</f>
        <v>DL</v>
      </c>
      <c r="E945" s="1" t="str">
        <f>[1]Data!E936</f>
        <v/>
      </c>
      <c r="F945" s="1" t="str">
        <f>[1]Data!F936</f>
        <v>2026</v>
      </c>
      <c r="G945" s="1" t="str">
        <f>[1]Data!G936</f>
        <v>1</v>
      </c>
      <c r="H945" s="15">
        <f>[1]Data!H936</f>
        <v>180</v>
      </c>
      <c r="I945" s="15">
        <f>[1]Data!I936</f>
        <v>0</v>
      </c>
      <c r="J945" s="1" t="str">
        <f>[1]Data!J936</f>
        <v>X</v>
      </c>
      <c r="K945" s="1" t="str">
        <f>[1]Data!K936</f>
        <v/>
      </c>
      <c r="L945" s="1" t="str">
        <f>[1]Data!L936</f>
        <v>09:04:00</v>
      </c>
      <c r="M945" s="1">
        <f>[1]Data!M936</f>
        <v>46030</v>
      </c>
      <c r="N945" s="1">
        <f>[1]Data!N936</f>
        <v>45819</v>
      </c>
      <c r="O945" s="1" t="str">
        <f>[1]Data!O936</f>
        <v>X</v>
      </c>
      <c r="P945" s="1" t="str">
        <f>[1]Data!P936</f>
        <v>2026</v>
      </c>
      <c r="Q945" s="15">
        <f>[1]Data!Q936</f>
        <v>180</v>
      </c>
      <c r="R945" s="1" t="str">
        <f>[1]Data!R936</f>
        <v/>
      </c>
    </row>
    <row r="946" spans="1:18" x14ac:dyDescent="0.35">
      <c r="A946" s="1" t="str">
        <f>[1]Data!A937</f>
        <v>4044461</v>
      </c>
      <c r="B946" s="1" t="str">
        <f>[1]Data!B937</f>
        <v>3300</v>
      </c>
      <c r="C946" s="1" t="str">
        <f>[1]Data!C937</f>
        <v>3001</v>
      </c>
      <c r="D946" s="1" t="str">
        <f>[1]Data!D937</f>
        <v>DL</v>
      </c>
      <c r="E946" s="1" t="str">
        <f>[1]Data!E937</f>
        <v/>
      </c>
      <c r="F946" s="1" t="str">
        <f>[1]Data!F937</f>
        <v>2025</v>
      </c>
      <c r="G946" s="1" t="str">
        <f>[1]Data!G937</f>
        <v>12</v>
      </c>
      <c r="H946" s="15">
        <f>[1]Data!H937</f>
        <v>504</v>
      </c>
      <c r="I946" s="15">
        <f>[1]Data!I937</f>
        <v>0</v>
      </c>
      <c r="J946" s="1" t="str">
        <f>[1]Data!J937</f>
        <v>X</v>
      </c>
      <c r="K946" s="1" t="str">
        <f>[1]Data!K937</f>
        <v/>
      </c>
      <c r="L946" s="1" t="str">
        <f>[1]Data!L937</f>
        <v>15:11:00</v>
      </c>
      <c r="M946" s="1">
        <f>[1]Data!M937</f>
        <v>46030</v>
      </c>
      <c r="N946" s="1">
        <f>[1]Data!N937</f>
        <v>45819</v>
      </c>
      <c r="O946" s="1" t="str">
        <f>[1]Data!O937</f>
        <v>X</v>
      </c>
      <c r="P946" s="1" t="str">
        <f>[1]Data!P937</f>
        <v>2026</v>
      </c>
      <c r="Q946" s="15">
        <f>[1]Data!Q937</f>
        <v>504</v>
      </c>
      <c r="R946" s="1" t="str">
        <f>[1]Data!R937</f>
        <v/>
      </c>
    </row>
    <row r="947" spans="1:18" x14ac:dyDescent="0.35">
      <c r="A947" s="1" t="str">
        <f>[1]Data!A938</f>
        <v>4044462</v>
      </c>
      <c r="B947" s="1" t="str">
        <f>[1]Data!B938</f>
        <v>3300</v>
      </c>
      <c r="C947" s="1" t="str">
        <f>[1]Data!C938</f>
        <v>3001</v>
      </c>
      <c r="D947" s="1" t="str">
        <f>[1]Data!D938</f>
        <v>DL</v>
      </c>
      <c r="E947" s="1" t="str">
        <f>[1]Data!E938</f>
        <v/>
      </c>
      <c r="F947" s="1" t="str">
        <f>[1]Data!F938</f>
        <v>2026</v>
      </c>
      <c r="G947" s="1" t="str">
        <f>[1]Data!G938</f>
        <v>1</v>
      </c>
      <c r="H947" s="15">
        <f>[1]Data!H938</f>
        <v>66</v>
      </c>
      <c r="I947" s="15">
        <f>[1]Data!I938</f>
        <v>0</v>
      </c>
      <c r="J947" s="1" t="str">
        <f>[1]Data!J938</f>
        <v>X</v>
      </c>
      <c r="K947" s="1" t="str">
        <f>[1]Data!K938</f>
        <v/>
      </c>
      <c r="L947" s="1" t="str">
        <f>[1]Data!L938</f>
        <v>10:04:02</v>
      </c>
      <c r="M947" s="1">
        <f>[1]Data!M938</f>
        <v>46030</v>
      </c>
      <c r="N947" s="1">
        <f>[1]Data!N938</f>
        <v>45819</v>
      </c>
      <c r="O947" s="1" t="str">
        <f>[1]Data!O938</f>
        <v>X</v>
      </c>
      <c r="P947" s="1" t="str">
        <f>[1]Data!P938</f>
        <v>2026</v>
      </c>
      <c r="Q947" s="15">
        <f>[1]Data!Q938</f>
        <v>66</v>
      </c>
      <c r="R947" s="1" t="str">
        <f>[1]Data!R938</f>
        <v/>
      </c>
    </row>
    <row r="948" spans="1:18" x14ac:dyDescent="0.35">
      <c r="A948" s="1" t="str">
        <f>[1]Data!A939</f>
        <v>4044466</v>
      </c>
      <c r="B948" s="1" t="str">
        <f>[1]Data!B939</f>
        <v>3300</v>
      </c>
      <c r="C948" s="1" t="str">
        <f>[1]Data!C939</f>
        <v>3001</v>
      </c>
      <c r="D948" s="1" t="str">
        <f>[1]Data!D939</f>
        <v>DL</v>
      </c>
      <c r="E948" s="1" t="str">
        <f>[1]Data!E939</f>
        <v/>
      </c>
      <c r="F948" s="1" t="str">
        <f>[1]Data!F939</f>
        <v>2026</v>
      </c>
      <c r="G948" s="1" t="str">
        <f>[1]Data!G939</f>
        <v>2</v>
      </c>
      <c r="H948" s="15">
        <f>[1]Data!H939</f>
        <v>31</v>
      </c>
      <c r="I948" s="15">
        <f>[1]Data!I939</f>
        <v>0</v>
      </c>
      <c r="J948" s="1" t="str">
        <f>[1]Data!J939</f>
        <v>X</v>
      </c>
      <c r="K948" s="1" t="str">
        <f>[1]Data!K939</f>
        <v/>
      </c>
      <c r="L948" s="1" t="str">
        <f>[1]Data!L939</f>
        <v>05:03:02</v>
      </c>
      <c r="M948" s="1">
        <f>[1]Data!M939</f>
        <v>46029</v>
      </c>
      <c r="N948" s="1">
        <f>[1]Data!N939</f>
        <v>45819</v>
      </c>
      <c r="O948" s="1" t="str">
        <f>[1]Data!O939</f>
        <v>X</v>
      </c>
      <c r="P948" s="1" t="str">
        <f>[1]Data!P939</f>
        <v>2026</v>
      </c>
      <c r="Q948" s="15">
        <f>[1]Data!Q939</f>
        <v>31</v>
      </c>
      <c r="R948" s="1" t="str">
        <f>[1]Data!R939</f>
        <v/>
      </c>
    </row>
    <row r="949" spans="1:18" x14ac:dyDescent="0.35">
      <c r="A949" s="1" t="str">
        <f>[1]Data!A940</f>
        <v>4044863</v>
      </c>
      <c r="B949" s="1" t="str">
        <f>[1]Data!B940</f>
        <v>3300</v>
      </c>
      <c r="C949" s="1" t="str">
        <f>[1]Data!C940</f>
        <v>3001</v>
      </c>
      <c r="D949" s="1" t="str">
        <f>[1]Data!D940</f>
        <v>DL</v>
      </c>
      <c r="E949" s="1" t="str">
        <f>[1]Data!E940</f>
        <v/>
      </c>
      <c r="F949" s="1" t="str">
        <f>[1]Data!F940</f>
        <v>2026</v>
      </c>
      <c r="G949" s="1" t="str">
        <f>[1]Data!G940</f>
        <v>2</v>
      </c>
      <c r="H949" s="15">
        <f>[1]Data!H940</f>
        <v>260</v>
      </c>
      <c r="I949" s="15">
        <f>[1]Data!I940</f>
        <v>0</v>
      </c>
      <c r="J949" s="1" t="str">
        <f>[1]Data!J940</f>
        <v>X</v>
      </c>
      <c r="K949" s="1" t="str">
        <f>[1]Data!K940</f>
        <v/>
      </c>
      <c r="L949" s="1" t="str">
        <f>[1]Data!L940</f>
        <v>11:09:01</v>
      </c>
      <c r="M949" s="1">
        <f>[1]Data!M940</f>
        <v>46030</v>
      </c>
      <c r="N949" s="1">
        <f>[1]Data!N940</f>
        <v>45923</v>
      </c>
      <c r="O949" s="1" t="str">
        <f>[1]Data!O940</f>
        <v>X</v>
      </c>
      <c r="P949" s="1" t="str">
        <f>[1]Data!P940</f>
        <v>2026</v>
      </c>
      <c r="Q949" s="15">
        <f>[1]Data!Q940</f>
        <v>260</v>
      </c>
      <c r="R949" s="1" t="str">
        <f>[1]Data!R940</f>
        <v/>
      </c>
    </row>
    <row r="950" spans="1:18" x14ac:dyDescent="0.35">
      <c r="A950" s="1" t="str">
        <f>[1]Data!A941</f>
        <v>4044864</v>
      </c>
      <c r="B950" s="1" t="str">
        <f>[1]Data!B941</f>
        <v>3300</v>
      </c>
      <c r="C950" s="1" t="str">
        <f>[1]Data!C941</f>
        <v>3001</v>
      </c>
      <c r="D950" s="1" t="str">
        <f>[1]Data!D941</f>
        <v>DL</v>
      </c>
      <c r="E950" s="1" t="str">
        <f>[1]Data!E941</f>
        <v/>
      </c>
      <c r="F950" s="1" t="str">
        <f>[1]Data!F941</f>
        <v>2026</v>
      </c>
      <c r="G950" s="1" t="str">
        <f>[1]Data!G941</f>
        <v>2</v>
      </c>
      <c r="H950" s="15">
        <f>[1]Data!H941</f>
        <v>290</v>
      </c>
      <c r="I950" s="15">
        <f>[1]Data!I941</f>
        <v>0</v>
      </c>
      <c r="J950" s="1" t="str">
        <f>[1]Data!J941</f>
        <v>X</v>
      </c>
      <c r="K950" s="1" t="str">
        <f>[1]Data!K941</f>
        <v/>
      </c>
      <c r="L950" s="1" t="str">
        <f>[1]Data!L941</f>
        <v>12:07:02</v>
      </c>
      <c r="M950" s="1">
        <f>[1]Data!M941</f>
        <v>46030</v>
      </c>
      <c r="N950" s="1">
        <f>[1]Data!N941</f>
        <v>45923</v>
      </c>
      <c r="O950" s="1" t="str">
        <f>[1]Data!O941</f>
        <v>X</v>
      </c>
      <c r="P950" s="1" t="str">
        <f>[1]Data!P941</f>
        <v>2026</v>
      </c>
      <c r="Q950" s="15">
        <f>[1]Data!Q941</f>
        <v>290</v>
      </c>
      <c r="R950" s="1" t="str">
        <f>[1]Data!R941</f>
        <v/>
      </c>
    </row>
    <row r="951" spans="1:18" x14ac:dyDescent="0.35">
      <c r="A951" s="1" t="str">
        <f>[1]Data!A942</f>
        <v>4045013</v>
      </c>
      <c r="B951" s="1" t="str">
        <f>[1]Data!B942</f>
        <v>3300</v>
      </c>
      <c r="C951" s="1" t="str">
        <f>[1]Data!C942</f>
        <v>3001</v>
      </c>
      <c r="D951" s="1" t="str">
        <f>[1]Data!D942</f>
        <v>DL</v>
      </c>
      <c r="E951" s="1" t="str">
        <f>[1]Data!E942</f>
        <v/>
      </c>
      <c r="F951" s="1" t="str">
        <f>[1]Data!F942</f>
        <v>2025</v>
      </c>
      <c r="G951" s="1" t="str">
        <f>[1]Data!G942</f>
        <v>6</v>
      </c>
      <c r="H951" s="15">
        <f>[1]Data!H942</f>
        <v>0</v>
      </c>
      <c r="I951" s="15">
        <f>[1]Data!I942</f>
        <v>0</v>
      </c>
      <c r="J951" s="1" t="str">
        <f>[1]Data!J942</f>
        <v/>
      </c>
      <c r="K951" s="1" t="str">
        <f>[1]Data!K942</f>
        <v/>
      </c>
      <c r="L951" s="1" t="str">
        <f>[1]Data!L942</f>
        <v/>
      </c>
      <c r="M951" s="1" t="str">
        <f>[1]Data!M942</f>
        <v/>
      </c>
      <c r="N951" s="1">
        <f>[1]Data!N942</f>
        <v>45819</v>
      </c>
      <c r="O951" s="1" t="str">
        <f>[1]Data!O942</f>
        <v>X</v>
      </c>
      <c r="P951" s="1" t="str">
        <f>[1]Data!P942</f>
        <v>2025</v>
      </c>
      <c r="Q951" s="15">
        <f>[1]Data!Q942</f>
        <v>0</v>
      </c>
      <c r="R951" s="1" t="str">
        <f>[1]Data!R942</f>
        <v>INAKTIV</v>
      </c>
    </row>
    <row r="952" spans="1:18" x14ac:dyDescent="0.35">
      <c r="A952" s="1" t="str">
        <f>[1]Data!A943</f>
        <v>4045014</v>
      </c>
      <c r="B952" s="1" t="str">
        <f>[1]Data!B943</f>
        <v>3300</v>
      </c>
      <c r="C952" s="1" t="str">
        <f>[1]Data!C943</f>
        <v>3001</v>
      </c>
      <c r="D952" s="1" t="str">
        <f>[1]Data!D943</f>
        <v>DL</v>
      </c>
      <c r="E952" s="1" t="str">
        <f>[1]Data!E943</f>
        <v/>
      </c>
      <c r="F952" s="1" t="str">
        <f>[1]Data!F943</f>
        <v>2026</v>
      </c>
      <c r="G952" s="1" t="str">
        <f>[1]Data!G943</f>
        <v>2</v>
      </c>
      <c r="H952" s="15">
        <f>[1]Data!H943</f>
        <v>590</v>
      </c>
      <c r="I952" s="15">
        <f>[1]Data!I943</f>
        <v>0</v>
      </c>
      <c r="J952" s="1" t="str">
        <f>[1]Data!J943</f>
        <v>X</v>
      </c>
      <c r="K952" s="1" t="str">
        <f>[1]Data!K943</f>
        <v/>
      </c>
      <c r="L952" s="1" t="str">
        <f>[1]Data!L943</f>
        <v>04:10:03</v>
      </c>
      <c r="M952" s="1">
        <f>[1]Data!M943</f>
        <v>46029</v>
      </c>
      <c r="N952" s="1">
        <f>[1]Data!N943</f>
        <v>45819</v>
      </c>
      <c r="O952" s="1" t="str">
        <f>[1]Data!O943</f>
        <v>X</v>
      </c>
      <c r="P952" s="1" t="str">
        <f>[1]Data!P943</f>
        <v>2026</v>
      </c>
      <c r="Q952" s="15">
        <f>[1]Data!Q943</f>
        <v>590</v>
      </c>
      <c r="R952" s="1" t="str">
        <f>[1]Data!R943</f>
        <v/>
      </c>
    </row>
    <row r="953" spans="1:18" x14ac:dyDescent="0.35">
      <c r="A953" s="1" t="str">
        <f>[1]Data!A944</f>
        <v>4045015</v>
      </c>
      <c r="B953" s="1" t="str">
        <f>[1]Data!B944</f>
        <v>3300</v>
      </c>
      <c r="C953" s="1" t="str">
        <f>[1]Data!C944</f>
        <v>3001</v>
      </c>
      <c r="D953" s="1" t="str">
        <f>[1]Data!D944</f>
        <v>DL</v>
      </c>
      <c r="E953" s="1" t="str">
        <f>[1]Data!E944</f>
        <v/>
      </c>
      <c r="F953" s="1" t="str">
        <f>[1]Data!F944</f>
        <v>2025</v>
      </c>
      <c r="G953" s="1" t="str">
        <f>[1]Data!G944</f>
        <v>7</v>
      </c>
      <c r="H953" s="15">
        <f>[1]Data!H944</f>
        <v>2</v>
      </c>
      <c r="I953" s="15">
        <f>[1]Data!I944</f>
        <v>0</v>
      </c>
      <c r="J953" s="1" t="str">
        <f>[1]Data!J944</f>
        <v>X</v>
      </c>
      <c r="K953" s="1" t="str">
        <f>[1]Data!K944</f>
        <v/>
      </c>
      <c r="L953" s="1" t="str">
        <f>[1]Data!L944</f>
        <v>09:10:03</v>
      </c>
      <c r="M953" s="1">
        <f>[1]Data!M944</f>
        <v>46030</v>
      </c>
      <c r="N953" s="1">
        <f>[1]Data!N944</f>
        <v>45819</v>
      </c>
      <c r="O953" s="1" t="str">
        <f>[1]Data!O944</f>
        <v>X</v>
      </c>
      <c r="P953" s="1" t="str">
        <f>[1]Data!P944</f>
        <v>2026</v>
      </c>
      <c r="Q953" s="15">
        <f>[1]Data!Q944</f>
        <v>2</v>
      </c>
      <c r="R953" s="1" t="str">
        <f>[1]Data!R944</f>
        <v/>
      </c>
    </row>
    <row r="954" spans="1:18" x14ac:dyDescent="0.35">
      <c r="A954" s="1" t="str">
        <f>[1]Data!A945</f>
        <v>4045017</v>
      </c>
      <c r="B954" s="1" t="str">
        <f>[1]Data!B945</f>
        <v>3300</v>
      </c>
      <c r="C954" s="1" t="str">
        <f>[1]Data!C945</f>
        <v>3001</v>
      </c>
      <c r="D954" s="1" t="str">
        <f>[1]Data!D945</f>
        <v>DL</v>
      </c>
      <c r="E954" s="1" t="str">
        <f>[1]Data!E945</f>
        <v/>
      </c>
      <c r="F954" s="1" t="str">
        <f>[1]Data!F945</f>
        <v>2025</v>
      </c>
      <c r="G954" s="1" t="str">
        <f>[1]Data!G945</f>
        <v>9</v>
      </c>
      <c r="H954" s="15">
        <f>[1]Data!H945</f>
        <v>0</v>
      </c>
      <c r="I954" s="15">
        <f>[1]Data!I945</f>
        <v>0</v>
      </c>
      <c r="J954" s="1" t="str">
        <f>[1]Data!J945</f>
        <v/>
      </c>
      <c r="K954" s="1" t="str">
        <f>[1]Data!K945</f>
        <v/>
      </c>
      <c r="L954" s="1" t="str">
        <f>[1]Data!L945</f>
        <v/>
      </c>
      <c r="M954" s="1" t="str">
        <f>[1]Data!M945</f>
        <v/>
      </c>
      <c r="N954" s="1">
        <f>[1]Data!N945</f>
        <v>45922</v>
      </c>
      <c r="O954" s="1" t="str">
        <f>[1]Data!O945</f>
        <v>X</v>
      </c>
      <c r="P954" s="1" t="str">
        <f>[1]Data!P945</f>
        <v>2025</v>
      </c>
      <c r="Q954" s="15">
        <f>[1]Data!Q945</f>
        <v>0</v>
      </c>
      <c r="R954" s="1" t="str">
        <f>[1]Data!R945</f>
        <v>INAKTIV</v>
      </c>
    </row>
    <row r="955" spans="1:18" x14ac:dyDescent="0.35">
      <c r="A955" s="1" t="str">
        <f>[1]Data!A946</f>
        <v>4045018</v>
      </c>
      <c r="B955" s="1" t="str">
        <f>[1]Data!B946</f>
        <v>3300</v>
      </c>
      <c r="C955" s="1" t="str">
        <f>[1]Data!C946</f>
        <v>3001</v>
      </c>
      <c r="D955" s="1" t="str">
        <f>[1]Data!D946</f>
        <v>DL</v>
      </c>
      <c r="E955" s="1" t="str">
        <f>[1]Data!E946</f>
        <v/>
      </c>
      <c r="F955" s="1" t="str">
        <f>[1]Data!F946</f>
        <v>2025</v>
      </c>
      <c r="G955" s="1" t="str">
        <f>[1]Data!G946</f>
        <v>7</v>
      </c>
      <c r="H955" s="15">
        <f>[1]Data!H946</f>
        <v>2</v>
      </c>
      <c r="I955" s="15">
        <f>[1]Data!I946</f>
        <v>0</v>
      </c>
      <c r="J955" s="1" t="str">
        <f>[1]Data!J946</f>
        <v>X</v>
      </c>
      <c r="K955" s="1" t="str">
        <f>[1]Data!K946</f>
        <v/>
      </c>
      <c r="L955" s="1" t="str">
        <f>[1]Data!L946</f>
        <v>09:04:00</v>
      </c>
      <c r="M955" s="1">
        <f>[1]Data!M946</f>
        <v>46030</v>
      </c>
      <c r="N955" s="1">
        <f>[1]Data!N946</f>
        <v>45818</v>
      </c>
      <c r="O955" s="1" t="str">
        <f>[1]Data!O946</f>
        <v>X</v>
      </c>
      <c r="P955" s="1" t="str">
        <f>[1]Data!P946</f>
        <v>2026</v>
      </c>
      <c r="Q955" s="15">
        <f>[1]Data!Q946</f>
        <v>2</v>
      </c>
      <c r="R955" s="1" t="str">
        <f>[1]Data!R946</f>
        <v/>
      </c>
    </row>
    <row r="956" spans="1:18" x14ac:dyDescent="0.35">
      <c r="A956" s="1" t="str">
        <f>[1]Data!A947</f>
        <v>4045019</v>
      </c>
      <c r="B956" s="1" t="str">
        <f>[1]Data!B947</f>
        <v>3300</v>
      </c>
      <c r="C956" s="1" t="str">
        <f>[1]Data!C947</f>
        <v>3001</v>
      </c>
      <c r="D956" s="1" t="str">
        <f>[1]Data!D947</f>
        <v>DL</v>
      </c>
      <c r="E956" s="1" t="str">
        <f>[1]Data!E947</f>
        <v/>
      </c>
      <c r="F956" s="1" t="str">
        <f>[1]Data!F947</f>
        <v>2025</v>
      </c>
      <c r="G956" s="1" t="str">
        <f>[1]Data!G947</f>
        <v>9</v>
      </c>
      <c r="H956" s="15">
        <f>[1]Data!H947</f>
        <v>0</v>
      </c>
      <c r="I956" s="15">
        <f>[1]Data!I947</f>
        <v>0</v>
      </c>
      <c r="J956" s="1" t="str">
        <f>[1]Data!J947</f>
        <v/>
      </c>
      <c r="K956" s="1" t="str">
        <f>[1]Data!K947</f>
        <v/>
      </c>
      <c r="L956" s="1" t="str">
        <f>[1]Data!L947</f>
        <v/>
      </c>
      <c r="M956" s="1" t="str">
        <f>[1]Data!M947</f>
        <v/>
      </c>
      <c r="N956" s="1">
        <f>[1]Data!N947</f>
        <v>45922</v>
      </c>
      <c r="O956" s="1" t="str">
        <f>[1]Data!O947</f>
        <v>X</v>
      </c>
      <c r="P956" s="1" t="str">
        <f>[1]Data!P947</f>
        <v>2025</v>
      </c>
      <c r="Q956" s="15">
        <f>[1]Data!Q947</f>
        <v>0</v>
      </c>
      <c r="R956" s="1" t="str">
        <f>[1]Data!R947</f>
        <v>INAKTIV</v>
      </c>
    </row>
    <row r="957" spans="1:18" x14ac:dyDescent="0.35">
      <c r="A957" s="1" t="str">
        <f>[1]Data!A948</f>
        <v>4045020</v>
      </c>
      <c r="B957" s="1" t="str">
        <f>[1]Data!B948</f>
        <v>3300</v>
      </c>
      <c r="C957" s="1" t="str">
        <f>[1]Data!C948</f>
        <v>3001</v>
      </c>
      <c r="D957" s="1" t="str">
        <f>[1]Data!D948</f>
        <v>DL</v>
      </c>
      <c r="E957" s="1" t="str">
        <f>[1]Data!E948</f>
        <v/>
      </c>
      <c r="F957" s="1" t="str">
        <f>[1]Data!F948</f>
        <v>2026</v>
      </c>
      <c r="G957" s="1" t="str">
        <f>[1]Data!G948</f>
        <v>2</v>
      </c>
      <c r="H957" s="15">
        <f>[1]Data!H948</f>
        <v>1100</v>
      </c>
      <c r="I957" s="15">
        <f>[1]Data!I948</f>
        <v>0</v>
      </c>
      <c r="J957" s="1" t="str">
        <f>[1]Data!J948</f>
        <v>X</v>
      </c>
      <c r="K957" s="1" t="str">
        <f>[1]Data!K948</f>
        <v/>
      </c>
      <c r="L957" s="1" t="str">
        <f>[1]Data!L948</f>
        <v>09:07:00</v>
      </c>
      <c r="M957" s="1">
        <f>[1]Data!M948</f>
        <v>46030</v>
      </c>
      <c r="N957" s="1">
        <f>[1]Data!N948</f>
        <v>45818</v>
      </c>
      <c r="O957" s="1" t="str">
        <f>[1]Data!O948</f>
        <v>X</v>
      </c>
      <c r="P957" s="1" t="str">
        <f>[1]Data!P948</f>
        <v>2026</v>
      </c>
      <c r="Q957" s="15">
        <f>[1]Data!Q948</f>
        <v>1100</v>
      </c>
      <c r="R957" s="1" t="str">
        <f>[1]Data!R948</f>
        <v/>
      </c>
    </row>
    <row r="958" spans="1:18" x14ac:dyDescent="0.35">
      <c r="A958" s="1" t="str">
        <f>[1]Data!A949</f>
        <v>4045021</v>
      </c>
      <c r="B958" s="1" t="str">
        <f>[1]Data!B949</f>
        <v>3300</v>
      </c>
      <c r="C958" s="1" t="str">
        <f>[1]Data!C949</f>
        <v>3001</v>
      </c>
      <c r="D958" s="1" t="str">
        <f>[1]Data!D949</f>
        <v>DL</v>
      </c>
      <c r="E958" s="1" t="str">
        <f>[1]Data!E949</f>
        <v/>
      </c>
      <c r="F958" s="1" t="str">
        <f>[1]Data!F949</f>
        <v>2025</v>
      </c>
      <c r="G958" s="1" t="str">
        <f>[1]Data!G949</f>
        <v>7</v>
      </c>
      <c r="H958" s="15">
        <f>[1]Data!H949</f>
        <v>5</v>
      </c>
      <c r="I958" s="15">
        <f>[1]Data!I949</f>
        <v>0</v>
      </c>
      <c r="J958" s="1" t="str">
        <f>[1]Data!J949</f>
        <v>X</v>
      </c>
      <c r="K958" s="1" t="str">
        <f>[1]Data!K949</f>
        <v/>
      </c>
      <c r="L958" s="1" t="str">
        <f>[1]Data!L949</f>
        <v>09:01:00</v>
      </c>
      <c r="M958" s="1">
        <f>[1]Data!M949</f>
        <v>46030</v>
      </c>
      <c r="N958" s="1">
        <f>[1]Data!N949</f>
        <v>45818</v>
      </c>
      <c r="O958" s="1" t="str">
        <f>[1]Data!O949</f>
        <v>X</v>
      </c>
      <c r="P958" s="1" t="str">
        <f>[1]Data!P949</f>
        <v>2026</v>
      </c>
      <c r="Q958" s="15">
        <f>[1]Data!Q949</f>
        <v>5</v>
      </c>
      <c r="R958" s="1" t="str">
        <f>[1]Data!R949</f>
        <v/>
      </c>
    </row>
    <row r="959" spans="1:18" x14ac:dyDescent="0.35">
      <c r="A959" s="1" t="str">
        <f>[1]Data!A950</f>
        <v>4045024</v>
      </c>
      <c r="B959" s="1" t="str">
        <f>[1]Data!B950</f>
        <v>3300</v>
      </c>
      <c r="C959" s="1" t="str">
        <f>[1]Data!C950</f>
        <v>3001</v>
      </c>
      <c r="D959" s="1" t="str">
        <f>[1]Data!D950</f>
        <v>DL</v>
      </c>
      <c r="E959" s="1" t="str">
        <f>[1]Data!E950</f>
        <v/>
      </c>
      <c r="F959" s="1" t="str">
        <f>[1]Data!F950</f>
        <v>2025</v>
      </c>
      <c r="G959" s="1" t="str">
        <f>[1]Data!G950</f>
        <v>7</v>
      </c>
      <c r="H959" s="15">
        <f>[1]Data!H950</f>
        <v>5</v>
      </c>
      <c r="I959" s="15">
        <f>[1]Data!I950</f>
        <v>0</v>
      </c>
      <c r="J959" s="1" t="str">
        <f>[1]Data!J950</f>
        <v>X</v>
      </c>
      <c r="K959" s="1" t="str">
        <f>[1]Data!K950</f>
        <v/>
      </c>
      <c r="L959" s="1" t="str">
        <f>[1]Data!L950</f>
        <v>09:02:00</v>
      </c>
      <c r="M959" s="1">
        <f>[1]Data!M950</f>
        <v>46030</v>
      </c>
      <c r="N959" s="1">
        <f>[1]Data!N950</f>
        <v>45818</v>
      </c>
      <c r="O959" s="1" t="str">
        <f>[1]Data!O950</f>
        <v>X</v>
      </c>
      <c r="P959" s="1" t="str">
        <f>[1]Data!P950</f>
        <v>2026</v>
      </c>
      <c r="Q959" s="15">
        <f>[1]Data!Q950</f>
        <v>5</v>
      </c>
      <c r="R959" s="1" t="str">
        <f>[1]Data!R950</f>
        <v/>
      </c>
    </row>
    <row r="960" spans="1:18" x14ac:dyDescent="0.35">
      <c r="A960" s="1" t="str">
        <f>[1]Data!A951</f>
        <v>4045025</v>
      </c>
      <c r="B960" s="1" t="str">
        <f>[1]Data!B951</f>
        <v>3300</v>
      </c>
      <c r="C960" s="1" t="str">
        <f>[1]Data!C951</f>
        <v>3001</v>
      </c>
      <c r="D960" s="1" t="str">
        <f>[1]Data!D951</f>
        <v>DL</v>
      </c>
      <c r="E960" s="1" t="str">
        <f>[1]Data!E951</f>
        <v/>
      </c>
      <c r="F960" s="1" t="str">
        <f>[1]Data!F951</f>
        <v>2026</v>
      </c>
      <c r="G960" s="1" t="str">
        <f>[1]Data!G951</f>
        <v>1</v>
      </c>
      <c r="H960" s="15">
        <f>[1]Data!H951</f>
        <v>65</v>
      </c>
      <c r="I960" s="15">
        <f>[1]Data!I951</f>
        <v>0</v>
      </c>
      <c r="J960" s="1" t="str">
        <f>[1]Data!J951</f>
        <v>X</v>
      </c>
      <c r="K960" s="1" t="str">
        <f>[1]Data!K951</f>
        <v/>
      </c>
      <c r="L960" s="1" t="str">
        <f>[1]Data!L951</f>
        <v>09:06:00</v>
      </c>
      <c r="M960" s="1">
        <f>[1]Data!M951</f>
        <v>46030</v>
      </c>
      <c r="N960" s="1">
        <f>[1]Data!N951</f>
        <v>45819</v>
      </c>
      <c r="O960" s="1" t="str">
        <f>[1]Data!O951</f>
        <v>X</v>
      </c>
      <c r="P960" s="1" t="str">
        <f>[1]Data!P951</f>
        <v>2026</v>
      </c>
      <c r="Q960" s="15">
        <f>[1]Data!Q951</f>
        <v>65</v>
      </c>
      <c r="R960" s="1" t="str">
        <f>[1]Data!R951</f>
        <v/>
      </c>
    </row>
    <row r="961" spans="1:18" x14ac:dyDescent="0.35">
      <c r="A961" s="1" t="str">
        <f>[1]Data!A952</f>
        <v>4045026</v>
      </c>
      <c r="B961" s="1" t="str">
        <f>[1]Data!B952</f>
        <v>3300</v>
      </c>
      <c r="C961" s="1" t="str">
        <f>[1]Data!C952</f>
        <v>3001</v>
      </c>
      <c r="D961" s="1" t="str">
        <f>[1]Data!D952</f>
        <v>DL</v>
      </c>
      <c r="E961" s="1" t="str">
        <f>[1]Data!E952</f>
        <v/>
      </c>
      <c r="F961" s="1" t="str">
        <f>[1]Data!F952</f>
        <v>2026</v>
      </c>
      <c r="G961" s="1" t="str">
        <f>[1]Data!G952</f>
        <v>3</v>
      </c>
      <c r="H961" s="15">
        <f>[1]Data!H952</f>
        <v>36</v>
      </c>
      <c r="I961" s="15">
        <f>[1]Data!I952</f>
        <v>0</v>
      </c>
      <c r="J961" s="1" t="str">
        <f>[1]Data!J952</f>
        <v>X</v>
      </c>
      <c r="K961" s="1" t="str">
        <f>[1]Data!K952</f>
        <v/>
      </c>
      <c r="L961" s="1" t="str">
        <f>[1]Data!L952</f>
        <v>09:06:00</v>
      </c>
      <c r="M961" s="1">
        <f>[1]Data!M952</f>
        <v>46030</v>
      </c>
      <c r="N961" s="1">
        <f>[1]Data!N952</f>
        <v>45819</v>
      </c>
      <c r="O961" s="1" t="str">
        <f>[1]Data!O952</f>
        <v>X</v>
      </c>
      <c r="P961" s="1" t="str">
        <f>[1]Data!P952</f>
        <v>2026</v>
      </c>
      <c r="Q961" s="15">
        <f>[1]Data!Q952</f>
        <v>36</v>
      </c>
      <c r="R961" s="1" t="str">
        <f>[1]Data!R952</f>
        <v/>
      </c>
    </row>
    <row r="962" spans="1:18" x14ac:dyDescent="0.35">
      <c r="A962" s="1" t="str">
        <f>[1]Data!A953</f>
        <v>4045027</v>
      </c>
      <c r="B962" s="1" t="str">
        <f>[1]Data!B953</f>
        <v>3300</v>
      </c>
      <c r="C962" s="1" t="str">
        <f>[1]Data!C953</f>
        <v>3001</v>
      </c>
      <c r="D962" s="1" t="str">
        <f>[1]Data!D953</f>
        <v>DL</v>
      </c>
      <c r="E962" s="1" t="str">
        <f>[1]Data!E953</f>
        <v/>
      </c>
      <c r="F962" s="1" t="str">
        <f>[1]Data!F953</f>
        <v>2026</v>
      </c>
      <c r="G962" s="1" t="str">
        <f>[1]Data!G953</f>
        <v>1</v>
      </c>
      <c r="H962" s="15">
        <f>[1]Data!H953</f>
        <v>1000</v>
      </c>
      <c r="I962" s="15">
        <f>[1]Data!I953</f>
        <v>0</v>
      </c>
      <c r="J962" s="1" t="str">
        <f>[1]Data!J953</f>
        <v>X</v>
      </c>
      <c r="K962" s="1" t="str">
        <f>[1]Data!K953</f>
        <v/>
      </c>
      <c r="L962" s="1" t="str">
        <f>[1]Data!L953</f>
        <v>09:04:00</v>
      </c>
      <c r="M962" s="1">
        <f>[1]Data!M953</f>
        <v>46030</v>
      </c>
      <c r="N962" s="1">
        <f>[1]Data!N953</f>
        <v>45811</v>
      </c>
      <c r="O962" s="1" t="str">
        <f>[1]Data!O953</f>
        <v>X</v>
      </c>
      <c r="P962" s="1" t="str">
        <f>[1]Data!P953</f>
        <v>2026</v>
      </c>
      <c r="Q962" s="15">
        <f>[1]Data!Q953</f>
        <v>1000</v>
      </c>
      <c r="R962" s="1" t="str">
        <f>[1]Data!R953</f>
        <v/>
      </c>
    </row>
    <row r="963" spans="1:18" x14ac:dyDescent="0.35">
      <c r="A963" s="1" t="str">
        <f>[1]Data!A954</f>
        <v>4045028</v>
      </c>
      <c r="B963" s="1" t="str">
        <f>[1]Data!B954</f>
        <v>3300</v>
      </c>
      <c r="C963" s="1" t="str">
        <f>[1]Data!C954</f>
        <v>3001</v>
      </c>
      <c r="D963" s="1" t="str">
        <f>[1]Data!D954</f>
        <v>DL</v>
      </c>
      <c r="E963" s="1" t="str">
        <f>[1]Data!E954</f>
        <v/>
      </c>
      <c r="F963" s="1" t="str">
        <f>[1]Data!F954</f>
        <v>2026</v>
      </c>
      <c r="G963" s="1" t="str">
        <f>[1]Data!G954</f>
        <v>2</v>
      </c>
      <c r="H963" s="15">
        <f>[1]Data!H954</f>
        <v>4200</v>
      </c>
      <c r="I963" s="15">
        <f>[1]Data!I954</f>
        <v>0</v>
      </c>
      <c r="J963" s="1" t="str">
        <f>[1]Data!J954</f>
        <v>X</v>
      </c>
      <c r="K963" s="1" t="str">
        <f>[1]Data!K954</f>
        <v/>
      </c>
      <c r="L963" s="1" t="str">
        <f>[1]Data!L954</f>
        <v>12:01:03</v>
      </c>
      <c r="M963" s="1">
        <f>[1]Data!M954</f>
        <v>46030</v>
      </c>
      <c r="N963" s="1">
        <f>[1]Data!N954</f>
        <v>45811</v>
      </c>
      <c r="O963" s="1" t="str">
        <f>[1]Data!O954</f>
        <v>X</v>
      </c>
      <c r="P963" s="1" t="str">
        <f>[1]Data!P954</f>
        <v>2026</v>
      </c>
      <c r="Q963" s="15">
        <f>[1]Data!Q954</f>
        <v>4200</v>
      </c>
      <c r="R963" s="1" t="str">
        <f>[1]Data!R954</f>
        <v/>
      </c>
    </row>
    <row r="964" spans="1:18" x14ac:dyDescent="0.35">
      <c r="A964" s="1" t="str">
        <f>[1]Data!A955</f>
        <v>4045029</v>
      </c>
      <c r="B964" s="1" t="str">
        <f>[1]Data!B955</f>
        <v>3300</v>
      </c>
      <c r="C964" s="1" t="str">
        <f>[1]Data!C955</f>
        <v>3001</v>
      </c>
      <c r="D964" s="1" t="str">
        <f>[1]Data!D955</f>
        <v>DL</v>
      </c>
      <c r="E964" s="1" t="str">
        <f>[1]Data!E955</f>
        <v/>
      </c>
      <c r="F964" s="1" t="str">
        <f>[1]Data!F955</f>
        <v>2026</v>
      </c>
      <c r="G964" s="1" t="str">
        <f>[1]Data!G955</f>
        <v>3</v>
      </c>
      <c r="H964" s="15">
        <f>[1]Data!H955</f>
        <v>4160</v>
      </c>
      <c r="I964" s="15">
        <f>[1]Data!I955</f>
        <v>0</v>
      </c>
      <c r="J964" s="1" t="str">
        <f>[1]Data!J955</f>
        <v>X</v>
      </c>
      <c r="K964" s="1" t="str">
        <f>[1]Data!K955</f>
        <v/>
      </c>
      <c r="L964" s="1" t="str">
        <f>[1]Data!L955</f>
        <v>12:02:03</v>
      </c>
      <c r="M964" s="1">
        <f>[1]Data!M955</f>
        <v>46030</v>
      </c>
      <c r="N964" s="1">
        <f>[1]Data!N955</f>
        <v>45811</v>
      </c>
      <c r="O964" s="1" t="str">
        <f>[1]Data!O955</f>
        <v>X</v>
      </c>
      <c r="P964" s="1" t="str">
        <f>[1]Data!P955</f>
        <v>2026</v>
      </c>
      <c r="Q964" s="15">
        <f>[1]Data!Q955</f>
        <v>4160</v>
      </c>
      <c r="R964" s="1" t="str">
        <f>[1]Data!R955</f>
        <v/>
      </c>
    </row>
    <row r="965" spans="1:18" x14ac:dyDescent="0.35">
      <c r="A965" s="1" t="str">
        <f>[1]Data!A956</f>
        <v>4045030</v>
      </c>
      <c r="B965" s="1" t="str">
        <f>[1]Data!B956</f>
        <v>3300</v>
      </c>
      <c r="C965" s="1" t="str">
        <f>[1]Data!C956</f>
        <v>3001</v>
      </c>
      <c r="D965" s="1" t="str">
        <f>[1]Data!D956</f>
        <v>DL</v>
      </c>
      <c r="E965" s="1" t="str">
        <f>[1]Data!E956</f>
        <v/>
      </c>
      <c r="F965" s="1" t="str">
        <f>[1]Data!F956</f>
        <v>2026</v>
      </c>
      <c r="G965" s="1" t="str">
        <f>[1]Data!G956</f>
        <v>1</v>
      </c>
      <c r="H965" s="15">
        <f>[1]Data!H956</f>
        <v>0</v>
      </c>
      <c r="I965" s="15">
        <f>[1]Data!I956</f>
        <v>0</v>
      </c>
      <c r="J965" s="1" t="str">
        <f>[1]Data!J956</f>
        <v>X</v>
      </c>
      <c r="K965" s="1" t="str">
        <f>[1]Data!K956</f>
        <v/>
      </c>
      <c r="L965" s="1" t="str">
        <f>[1]Data!L956</f>
        <v>12:01:03</v>
      </c>
      <c r="M965" s="1">
        <f>[1]Data!M956</f>
        <v>46030</v>
      </c>
      <c r="N965" s="1">
        <f>[1]Data!N956</f>
        <v>45811</v>
      </c>
      <c r="O965" s="1" t="str">
        <f>[1]Data!O956</f>
        <v>X</v>
      </c>
      <c r="P965" s="1" t="str">
        <f>[1]Data!P956</f>
        <v>2026</v>
      </c>
      <c r="Q965" s="15">
        <f>[1]Data!Q956</f>
        <v>0</v>
      </c>
      <c r="R965" s="1" t="str">
        <f>[1]Data!R956</f>
        <v>INAKTIV</v>
      </c>
    </row>
    <row r="966" spans="1:18" x14ac:dyDescent="0.35">
      <c r="A966" s="1" t="str">
        <f>[1]Data!A957</f>
        <v>4045031</v>
      </c>
      <c r="B966" s="1" t="str">
        <f>[1]Data!B957</f>
        <v>3300</v>
      </c>
      <c r="C966" s="1" t="str">
        <f>[1]Data!C957</f>
        <v>3001</v>
      </c>
      <c r="D966" s="1" t="str">
        <f>[1]Data!D957</f>
        <v>DL</v>
      </c>
      <c r="E966" s="1" t="str">
        <f>[1]Data!E957</f>
        <v/>
      </c>
      <c r="F966" s="1" t="str">
        <f>[1]Data!F957</f>
        <v>2025</v>
      </c>
      <c r="G966" s="1" t="str">
        <f>[1]Data!G957</f>
        <v>6</v>
      </c>
      <c r="H966" s="15">
        <f>[1]Data!H957</f>
        <v>0</v>
      </c>
      <c r="I966" s="15">
        <f>[1]Data!I957</f>
        <v>0</v>
      </c>
      <c r="J966" s="1" t="str">
        <f>[1]Data!J957</f>
        <v/>
      </c>
      <c r="K966" s="1" t="str">
        <f>[1]Data!K957</f>
        <v/>
      </c>
      <c r="L966" s="1" t="str">
        <f>[1]Data!L957</f>
        <v>SLETTET</v>
      </c>
      <c r="M966" s="1" t="str">
        <f>[1]Data!M957</f>
        <v/>
      </c>
      <c r="N966" s="1">
        <f>[1]Data!N957</f>
        <v>45811</v>
      </c>
      <c r="O966" s="1" t="str">
        <f>[1]Data!O957</f>
        <v>X</v>
      </c>
      <c r="P966" s="1" t="str">
        <f>[1]Data!P957</f>
        <v>2025</v>
      </c>
      <c r="Q966" s="15">
        <f>[1]Data!Q957</f>
        <v>0</v>
      </c>
      <c r="R966" s="1" t="str">
        <f>[1]Data!R957</f>
        <v>INAKTIV</v>
      </c>
    </row>
    <row r="967" spans="1:18" x14ac:dyDescent="0.35">
      <c r="A967" s="1" t="str">
        <f>[1]Data!A958</f>
        <v>4045032</v>
      </c>
      <c r="B967" s="1" t="str">
        <f>[1]Data!B958</f>
        <v>3300</v>
      </c>
      <c r="C967" s="1" t="str">
        <f>[1]Data!C958</f>
        <v>3001</v>
      </c>
      <c r="D967" s="1" t="str">
        <f>[1]Data!D958</f>
        <v>DL</v>
      </c>
      <c r="E967" s="1" t="str">
        <f>[1]Data!E958</f>
        <v/>
      </c>
      <c r="F967" s="1" t="str">
        <f>[1]Data!F958</f>
        <v>2025</v>
      </c>
      <c r="G967" s="1" t="str">
        <f>[1]Data!G958</f>
        <v>7</v>
      </c>
      <c r="H967" s="15">
        <f>[1]Data!H958</f>
        <v>2</v>
      </c>
      <c r="I967" s="15">
        <f>[1]Data!I958</f>
        <v>0</v>
      </c>
      <c r="J967" s="1" t="str">
        <f>[1]Data!J958</f>
        <v>X</v>
      </c>
      <c r="K967" s="1" t="str">
        <f>[1]Data!K958</f>
        <v/>
      </c>
      <c r="L967" s="1" t="str">
        <f>[1]Data!L958</f>
        <v>12:01:03</v>
      </c>
      <c r="M967" s="1">
        <f>[1]Data!M958</f>
        <v>46030</v>
      </c>
      <c r="N967" s="1">
        <f>[1]Data!N958</f>
        <v>45819</v>
      </c>
      <c r="O967" s="1" t="str">
        <f>[1]Data!O958</f>
        <v>X</v>
      </c>
      <c r="P967" s="1" t="str">
        <f>[1]Data!P958</f>
        <v>2026</v>
      </c>
      <c r="Q967" s="15">
        <f>[1]Data!Q958</f>
        <v>2</v>
      </c>
      <c r="R967" s="1" t="str">
        <f>[1]Data!R958</f>
        <v/>
      </c>
    </row>
    <row r="968" spans="1:18" x14ac:dyDescent="0.35">
      <c r="A968" s="1" t="str">
        <f>[1]Data!A959</f>
        <v>4045033</v>
      </c>
      <c r="B968" s="1" t="str">
        <f>[1]Data!B959</f>
        <v>3300</v>
      </c>
      <c r="C968" s="1" t="str">
        <f>[1]Data!C959</f>
        <v>3001</v>
      </c>
      <c r="D968" s="1" t="str">
        <f>[1]Data!D959</f>
        <v>DL</v>
      </c>
      <c r="E968" s="1" t="str">
        <f>[1]Data!E959</f>
        <v/>
      </c>
      <c r="F968" s="1" t="str">
        <f>[1]Data!F959</f>
        <v>2026</v>
      </c>
      <c r="G968" s="1" t="str">
        <f>[1]Data!G959</f>
        <v>2</v>
      </c>
      <c r="H968" s="15">
        <f>[1]Data!H959</f>
        <v>12</v>
      </c>
      <c r="I968" s="15">
        <f>[1]Data!I959</f>
        <v>0</v>
      </c>
      <c r="J968" s="1" t="str">
        <f>[1]Data!J959</f>
        <v>X</v>
      </c>
      <c r="K968" s="1" t="str">
        <f>[1]Data!K959</f>
        <v/>
      </c>
      <c r="L968" s="1" t="str">
        <f>[1]Data!L959</f>
        <v>00:00:06</v>
      </c>
      <c r="M968" s="1">
        <f>[1]Data!M959</f>
        <v>46029</v>
      </c>
      <c r="N968" s="1">
        <f>[1]Data!N959</f>
        <v>45818</v>
      </c>
      <c r="O968" s="1" t="str">
        <f>[1]Data!O959</f>
        <v>X</v>
      </c>
      <c r="P968" s="1" t="str">
        <f>[1]Data!P959</f>
        <v>2026</v>
      </c>
      <c r="Q968" s="15">
        <f>[1]Data!Q959</f>
        <v>12</v>
      </c>
      <c r="R968" s="1" t="str">
        <f>[1]Data!R959</f>
        <v/>
      </c>
    </row>
    <row r="969" spans="1:18" x14ac:dyDescent="0.35">
      <c r="A969" s="1" t="str">
        <f>[1]Data!A960</f>
        <v>4045034</v>
      </c>
      <c r="B969" s="1" t="str">
        <f>[1]Data!B960</f>
        <v>3300</v>
      </c>
      <c r="C969" s="1" t="str">
        <f>[1]Data!C960</f>
        <v>3001</v>
      </c>
      <c r="D969" s="1" t="str">
        <f>[1]Data!D960</f>
        <v>DL</v>
      </c>
      <c r="E969" s="1" t="str">
        <f>[1]Data!E960</f>
        <v/>
      </c>
      <c r="F969" s="1" t="str">
        <f>[1]Data!F960</f>
        <v>2026</v>
      </c>
      <c r="G969" s="1" t="str">
        <f>[1]Data!G960</f>
        <v>1</v>
      </c>
      <c r="H969" s="15">
        <f>[1]Data!H960</f>
        <v>10</v>
      </c>
      <c r="I969" s="15">
        <f>[1]Data!I960</f>
        <v>0</v>
      </c>
      <c r="J969" s="1" t="str">
        <f>[1]Data!J960</f>
        <v>X</v>
      </c>
      <c r="K969" s="1" t="str">
        <f>[1]Data!K960</f>
        <v/>
      </c>
      <c r="L969" s="1" t="str">
        <f>[1]Data!L960</f>
        <v>00:00:04</v>
      </c>
      <c r="M969" s="1">
        <f>[1]Data!M960</f>
        <v>46029</v>
      </c>
      <c r="N969" s="1">
        <f>[1]Data!N960</f>
        <v>45818</v>
      </c>
      <c r="O969" s="1" t="str">
        <f>[1]Data!O960</f>
        <v>X</v>
      </c>
      <c r="P969" s="1" t="str">
        <f>[1]Data!P960</f>
        <v>2026</v>
      </c>
      <c r="Q969" s="15">
        <f>[1]Data!Q960</f>
        <v>10</v>
      </c>
      <c r="R969" s="1" t="str">
        <f>[1]Data!R960</f>
        <v/>
      </c>
    </row>
    <row r="970" spans="1:18" x14ac:dyDescent="0.35">
      <c r="A970" s="1" t="str">
        <f>[1]Data!A961</f>
        <v>4045035</v>
      </c>
      <c r="B970" s="1" t="str">
        <f>[1]Data!B961</f>
        <v>3300</v>
      </c>
      <c r="C970" s="1" t="str">
        <f>[1]Data!C961</f>
        <v>3001</v>
      </c>
      <c r="D970" s="1" t="str">
        <f>[1]Data!D961</f>
        <v>DL</v>
      </c>
      <c r="E970" s="1" t="str">
        <f>[1]Data!E961</f>
        <v/>
      </c>
      <c r="F970" s="1" t="str">
        <f>[1]Data!F961</f>
        <v>2026</v>
      </c>
      <c r="G970" s="1" t="str">
        <f>[1]Data!G961</f>
        <v>2</v>
      </c>
      <c r="H970" s="15">
        <f>[1]Data!H961</f>
        <v>10</v>
      </c>
      <c r="I970" s="15">
        <f>[1]Data!I961</f>
        <v>0</v>
      </c>
      <c r="J970" s="1" t="str">
        <f>[1]Data!J961</f>
        <v>X</v>
      </c>
      <c r="K970" s="1" t="str">
        <f>[1]Data!K961</f>
        <v/>
      </c>
      <c r="L970" s="1" t="str">
        <f>[1]Data!L961</f>
        <v>00:00:02</v>
      </c>
      <c r="M970" s="1">
        <f>[1]Data!M961</f>
        <v>46029</v>
      </c>
      <c r="N970" s="1">
        <f>[1]Data!N961</f>
        <v>45818</v>
      </c>
      <c r="O970" s="1" t="str">
        <f>[1]Data!O961</f>
        <v>X</v>
      </c>
      <c r="P970" s="1" t="str">
        <f>[1]Data!P961</f>
        <v>2026</v>
      </c>
      <c r="Q970" s="15">
        <f>[1]Data!Q961</f>
        <v>10</v>
      </c>
      <c r="R970" s="1" t="str">
        <f>[1]Data!R961</f>
        <v/>
      </c>
    </row>
    <row r="971" spans="1:18" x14ac:dyDescent="0.35">
      <c r="A971" s="1" t="str">
        <f>[1]Data!A962</f>
        <v>4045037</v>
      </c>
      <c r="B971" s="1" t="str">
        <f>[1]Data!B962</f>
        <v>3300</v>
      </c>
      <c r="C971" s="1" t="str">
        <f>[1]Data!C962</f>
        <v>3001</v>
      </c>
      <c r="D971" s="1" t="str">
        <f>[1]Data!D962</f>
        <v>DL</v>
      </c>
      <c r="E971" s="1" t="str">
        <f>[1]Data!E962</f>
        <v/>
      </c>
      <c r="F971" s="1" t="str">
        <f>[1]Data!F962</f>
        <v>2025</v>
      </c>
      <c r="G971" s="1" t="str">
        <f>[1]Data!G962</f>
        <v>6</v>
      </c>
      <c r="H971" s="15">
        <f>[1]Data!H962</f>
        <v>12</v>
      </c>
      <c r="I971" s="15">
        <f>[1]Data!I962</f>
        <v>0</v>
      </c>
      <c r="J971" s="1" t="str">
        <f>[1]Data!J962</f>
        <v>X</v>
      </c>
      <c r="K971" s="1" t="str">
        <f>[1]Data!K962</f>
        <v/>
      </c>
      <c r="L971" s="1" t="str">
        <f>[1]Data!L962</f>
        <v>00:00:03</v>
      </c>
      <c r="M971" s="1">
        <f>[1]Data!M962</f>
        <v>46029</v>
      </c>
      <c r="N971" s="1">
        <f>[1]Data!N962</f>
        <v>45818</v>
      </c>
      <c r="O971" s="1" t="str">
        <f>[1]Data!O962</f>
        <v>X</v>
      </c>
      <c r="P971" s="1" t="str">
        <f>[1]Data!P962</f>
        <v>2026</v>
      </c>
      <c r="Q971" s="15">
        <f>[1]Data!Q962</f>
        <v>12</v>
      </c>
      <c r="R971" s="1" t="str">
        <f>[1]Data!R962</f>
        <v/>
      </c>
    </row>
    <row r="972" spans="1:18" x14ac:dyDescent="0.35">
      <c r="A972" s="1" t="str">
        <f>[1]Data!A963</f>
        <v>4045038</v>
      </c>
      <c r="B972" s="1" t="str">
        <f>[1]Data!B963</f>
        <v>3300</v>
      </c>
      <c r="C972" s="1" t="str">
        <f>[1]Data!C963</f>
        <v>3001</v>
      </c>
      <c r="D972" s="1" t="str">
        <f>[1]Data!D963</f>
        <v>DL</v>
      </c>
      <c r="E972" s="1" t="str">
        <f>[1]Data!E963</f>
        <v/>
      </c>
      <c r="F972" s="1" t="str">
        <f>[1]Data!F963</f>
        <v>2026</v>
      </c>
      <c r="G972" s="1" t="str">
        <f>[1]Data!G963</f>
        <v>2</v>
      </c>
      <c r="H972" s="15">
        <f>[1]Data!H963</f>
        <v>7</v>
      </c>
      <c r="I972" s="15">
        <f>[1]Data!I963</f>
        <v>0</v>
      </c>
      <c r="J972" s="1" t="str">
        <f>[1]Data!J963</f>
        <v>X</v>
      </c>
      <c r="K972" s="1" t="str">
        <f>[1]Data!K963</f>
        <v/>
      </c>
      <c r="L972" s="1" t="str">
        <f>[1]Data!L963</f>
        <v>00:00:05</v>
      </c>
      <c r="M972" s="1">
        <f>[1]Data!M963</f>
        <v>46029</v>
      </c>
      <c r="N972" s="1">
        <f>[1]Data!N963</f>
        <v>45818</v>
      </c>
      <c r="O972" s="1" t="str">
        <f>[1]Data!O963</f>
        <v>X</v>
      </c>
      <c r="P972" s="1" t="str">
        <f>[1]Data!P963</f>
        <v>2026</v>
      </c>
      <c r="Q972" s="15">
        <f>[1]Data!Q963</f>
        <v>7</v>
      </c>
      <c r="R972" s="1" t="str">
        <f>[1]Data!R963</f>
        <v/>
      </c>
    </row>
    <row r="973" spans="1:18" x14ac:dyDescent="0.35">
      <c r="A973" s="1" t="str">
        <f>[1]Data!A964</f>
        <v>4045039</v>
      </c>
      <c r="B973" s="1" t="str">
        <f>[1]Data!B964</f>
        <v>3300</v>
      </c>
      <c r="C973" s="1" t="str">
        <f>[1]Data!C964</f>
        <v>3001</v>
      </c>
      <c r="D973" s="1" t="str">
        <f>[1]Data!D964</f>
        <v>DL</v>
      </c>
      <c r="E973" s="1" t="str">
        <f>[1]Data!E964</f>
        <v/>
      </c>
      <c r="F973" s="1" t="str">
        <f>[1]Data!F964</f>
        <v>2026</v>
      </c>
      <c r="G973" s="1" t="str">
        <f>[1]Data!G964</f>
        <v>2</v>
      </c>
      <c r="H973" s="15">
        <f>[1]Data!H964</f>
        <v>9</v>
      </c>
      <c r="I973" s="15">
        <f>[1]Data!I964</f>
        <v>0</v>
      </c>
      <c r="J973" s="1" t="str">
        <f>[1]Data!J964</f>
        <v>X</v>
      </c>
      <c r="K973" s="1" t="str">
        <f>[1]Data!K964</f>
        <v/>
      </c>
      <c r="L973" s="1" t="str">
        <f>[1]Data!L964</f>
        <v>00:00:01</v>
      </c>
      <c r="M973" s="1">
        <f>[1]Data!M964</f>
        <v>46029</v>
      </c>
      <c r="N973" s="1">
        <f>[1]Data!N964</f>
        <v>45818</v>
      </c>
      <c r="O973" s="1" t="str">
        <f>[1]Data!O964</f>
        <v>X</v>
      </c>
      <c r="P973" s="1" t="str">
        <f>[1]Data!P964</f>
        <v>2026</v>
      </c>
      <c r="Q973" s="15">
        <f>[1]Data!Q964</f>
        <v>9</v>
      </c>
      <c r="R973" s="1" t="str">
        <f>[1]Data!R964</f>
        <v/>
      </c>
    </row>
    <row r="974" spans="1:18" x14ac:dyDescent="0.35">
      <c r="A974" s="1" t="str">
        <f>[1]Data!A965</f>
        <v>4045042</v>
      </c>
      <c r="B974" s="1" t="str">
        <f>[1]Data!B965</f>
        <v>3300</v>
      </c>
      <c r="C974" s="1" t="str">
        <f>[1]Data!C965</f>
        <v>3001</v>
      </c>
      <c r="D974" s="1" t="str">
        <f>[1]Data!D965</f>
        <v>DL</v>
      </c>
      <c r="E974" s="1" t="str">
        <f>[1]Data!E965</f>
        <v/>
      </c>
      <c r="F974" s="1" t="str">
        <f>[1]Data!F965</f>
        <v>2026</v>
      </c>
      <c r="G974" s="1" t="str">
        <f>[1]Data!G965</f>
        <v>1</v>
      </c>
      <c r="H974" s="15">
        <f>[1]Data!H965</f>
        <v>2</v>
      </c>
      <c r="I974" s="15">
        <f>[1]Data!I965</f>
        <v>0</v>
      </c>
      <c r="J974" s="1" t="str">
        <f>[1]Data!J965</f>
        <v>X</v>
      </c>
      <c r="K974" s="1" t="str">
        <f>[1]Data!K965</f>
        <v/>
      </c>
      <c r="L974" s="1" t="str">
        <f>[1]Data!L965</f>
        <v>09:08:02</v>
      </c>
      <c r="M974" s="1">
        <f>[1]Data!M965</f>
        <v>46030</v>
      </c>
      <c r="N974" s="1">
        <f>[1]Data!N965</f>
        <v>45818</v>
      </c>
      <c r="O974" s="1" t="str">
        <f>[1]Data!O965</f>
        <v>X</v>
      </c>
      <c r="P974" s="1" t="str">
        <f>[1]Data!P965</f>
        <v>2026</v>
      </c>
      <c r="Q974" s="15">
        <f>[1]Data!Q965</f>
        <v>2</v>
      </c>
      <c r="R974" s="1" t="str">
        <f>[1]Data!R965</f>
        <v/>
      </c>
    </row>
    <row r="975" spans="1:18" x14ac:dyDescent="0.35">
      <c r="A975" s="1" t="str">
        <f>[1]Data!A966</f>
        <v>4045055</v>
      </c>
      <c r="B975" s="1" t="str">
        <f>[1]Data!B966</f>
        <v>3300</v>
      </c>
      <c r="C975" s="1" t="str">
        <f>[1]Data!C966</f>
        <v>3001</v>
      </c>
      <c r="D975" s="1" t="str">
        <f>[1]Data!D966</f>
        <v>DL</v>
      </c>
      <c r="E975" s="1" t="str">
        <f>[1]Data!E966</f>
        <v/>
      </c>
      <c r="F975" s="1" t="str">
        <f>[1]Data!F966</f>
        <v>2025</v>
      </c>
      <c r="G975" s="1" t="str">
        <f>[1]Data!G966</f>
        <v>7</v>
      </c>
      <c r="H975" s="15">
        <f>[1]Data!H966</f>
        <v>2</v>
      </c>
      <c r="I975" s="15">
        <f>[1]Data!I966</f>
        <v>0</v>
      </c>
      <c r="J975" s="1" t="str">
        <f>[1]Data!J966</f>
        <v>X</v>
      </c>
      <c r="K975" s="1" t="str">
        <f>[1]Data!K966</f>
        <v/>
      </c>
      <c r="L975" s="1" t="str">
        <f>[1]Data!L966</f>
        <v>09:08:02</v>
      </c>
      <c r="M975" s="1">
        <f>[1]Data!M966</f>
        <v>46030</v>
      </c>
      <c r="N975" s="1">
        <f>[1]Data!N966</f>
        <v>45819</v>
      </c>
      <c r="O975" s="1" t="str">
        <f>[1]Data!O966</f>
        <v>X</v>
      </c>
      <c r="P975" s="1" t="str">
        <f>[1]Data!P966</f>
        <v>2026</v>
      </c>
      <c r="Q975" s="15">
        <f>[1]Data!Q966</f>
        <v>2</v>
      </c>
      <c r="R975" s="1" t="str">
        <f>[1]Data!R966</f>
        <v/>
      </c>
    </row>
    <row r="976" spans="1:18" x14ac:dyDescent="0.35">
      <c r="A976" s="1" t="str">
        <f>[1]Data!A967</f>
        <v>4045056</v>
      </c>
      <c r="B976" s="1" t="str">
        <f>[1]Data!B967</f>
        <v>3300</v>
      </c>
      <c r="C976" s="1" t="str">
        <f>[1]Data!C967</f>
        <v>3001</v>
      </c>
      <c r="D976" s="1" t="str">
        <f>[1]Data!D967</f>
        <v>DL</v>
      </c>
      <c r="E976" s="1" t="str">
        <f>[1]Data!E967</f>
        <v/>
      </c>
      <c r="F976" s="1" t="str">
        <f>[1]Data!F967</f>
        <v>2025</v>
      </c>
      <c r="G976" s="1" t="str">
        <f>[1]Data!G967</f>
        <v>7</v>
      </c>
      <c r="H976" s="15">
        <f>[1]Data!H967</f>
        <v>2</v>
      </c>
      <c r="I976" s="15">
        <f>[1]Data!I967</f>
        <v>0</v>
      </c>
      <c r="J976" s="1" t="str">
        <f>[1]Data!J967</f>
        <v>X</v>
      </c>
      <c r="K976" s="1" t="str">
        <f>[1]Data!K967</f>
        <v/>
      </c>
      <c r="L976" s="1" t="str">
        <f>[1]Data!L967</f>
        <v>09:08:00</v>
      </c>
      <c r="M976" s="1">
        <f>[1]Data!M967</f>
        <v>46030</v>
      </c>
      <c r="N976" s="1">
        <f>[1]Data!N967</f>
        <v>45819</v>
      </c>
      <c r="O976" s="1" t="str">
        <f>[1]Data!O967</f>
        <v>X</v>
      </c>
      <c r="P976" s="1" t="str">
        <f>[1]Data!P967</f>
        <v>2026</v>
      </c>
      <c r="Q976" s="15">
        <f>[1]Data!Q967</f>
        <v>2</v>
      </c>
      <c r="R976" s="1" t="str">
        <f>[1]Data!R967</f>
        <v/>
      </c>
    </row>
    <row r="977" spans="1:18" x14ac:dyDescent="0.35">
      <c r="A977" s="1" t="str">
        <f>[1]Data!A968</f>
        <v>4045057</v>
      </c>
      <c r="B977" s="1" t="str">
        <f>[1]Data!B968</f>
        <v>3300</v>
      </c>
      <c r="C977" s="1" t="str">
        <f>[1]Data!C968</f>
        <v>3001</v>
      </c>
      <c r="D977" s="1" t="str">
        <f>[1]Data!D968</f>
        <v>DL</v>
      </c>
      <c r="E977" s="1" t="str">
        <f>[1]Data!E968</f>
        <v/>
      </c>
      <c r="F977" s="1" t="str">
        <f>[1]Data!F968</f>
        <v>2025</v>
      </c>
      <c r="G977" s="1" t="str">
        <f>[1]Data!G968</f>
        <v>7</v>
      </c>
      <c r="H977" s="15">
        <f>[1]Data!H968</f>
        <v>2</v>
      </c>
      <c r="I977" s="15">
        <f>[1]Data!I968</f>
        <v>0</v>
      </c>
      <c r="J977" s="1" t="str">
        <f>[1]Data!J968</f>
        <v>X</v>
      </c>
      <c r="K977" s="1" t="str">
        <f>[1]Data!K968</f>
        <v/>
      </c>
      <c r="L977" s="1" t="str">
        <f>[1]Data!L968</f>
        <v>09:09:00</v>
      </c>
      <c r="M977" s="1">
        <f>[1]Data!M968</f>
        <v>46030</v>
      </c>
      <c r="N977" s="1">
        <f>[1]Data!N968</f>
        <v>45819</v>
      </c>
      <c r="O977" s="1" t="str">
        <f>[1]Data!O968</f>
        <v>X</v>
      </c>
      <c r="P977" s="1" t="str">
        <f>[1]Data!P968</f>
        <v>2026</v>
      </c>
      <c r="Q977" s="15">
        <f>[1]Data!Q968</f>
        <v>2</v>
      </c>
      <c r="R977" s="1" t="str">
        <f>[1]Data!R968</f>
        <v/>
      </c>
    </row>
    <row r="978" spans="1:18" x14ac:dyDescent="0.35">
      <c r="A978" s="1" t="str">
        <f>[1]Data!A969</f>
        <v>4045060</v>
      </c>
      <c r="B978" s="1" t="str">
        <f>[1]Data!B969</f>
        <v>3300</v>
      </c>
      <c r="C978" s="1" t="str">
        <f>[1]Data!C969</f>
        <v>3001</v>
      </c>
      <c r="D978" s="1" t="str">
        <f>[1]Data!D969</f>
        <v>DL</v>
      </c>
      <c r="E978" s="1" t="str">
        <f>[1]Data!E969</f>
        <v/>
      </c>
      <c r="F978" s="1" t="str">
        <f>[1]Data!F969</f>
        <v>2025</v>
      </c>
      <c r="G978" s="1" t="str">
        <f>[1]Data!G969</f>
        <v>9</v>
      </c>
      <c r="H978" s="15">
        <f>[1]Data!H969</f>
        <v>0</v>
      </c>
      <c r="I978" s="15">
        <f>[1]Data!I969</f>
        <v>0</v>
      </c>
      <c r="J978" s="1" t="str">
        <f>[1]Data!J969</f>
        <v/>
      </c>
      <c r="K978" s="1" t="str">
        <f>[1]Data!K969</f>
        <v/>
      </c>
      <c r="L978" s="1" t="str">
        <f>[1]Data!L969</f>
        <v/>
      </c>
      <c r="M978" s="1" t="str">
        <f>[1]Data!M969</f>
        <v/>
      </c>
      <c r="N978" s="1">
        <f>[1]Data!N969</f>
        <v>45922</v>
      </c>
      <c r="O978" s="1" t="str">
        <f>[1]Data!O969</f>
        <v>X</v>
      </c>
      <c r="P978" s="1" t="str">
        <f>[1]Data!P969</f>
        <v>2025</v>
      </c>
      <c r="Q978" s="15">
        <f>[1]Data!Q969</f>
        <v>0</v>
      </c>
      <c r="R978" s="1" t="str">
        <f>[1]Data!R969</f>
        <v>INAKTIV</v>
      </c>
    </row>
    <row r="979" spans="1:18" x14ac:dyDescent="0.35">
      <c r="A979" s="1" t="str">
        <f>[1]Data!A970</f>
        <v>4045068</v>
      </c>
      <c r="B979" s="1" t="str">
        <f>[1]Data!B970</f>
        <v>3300</v>
      </c>
      <c r="C979" s="1" t="str">
        <f>[1]Data!C970</f>
        <v>3001</v>
      </c>
      <c r="D979" s="1" t="str">
        <f>[1]Data!D970</f>
        <v>DL</v>
      </c>
      <c r="E979" s="1" t="str">
        <f>[1]Data!E970</f>
        <v/>
      </c>
      <c r="F979" s="1" t="str">
        <f>[1]Data!F970</f>
        <v>2026</v>
      </c>
      <c r="G979" s="1" t="str">
        <f>[1]Data!G970</f>
        <v>2</v>
      </c>
      <c r="H979" s="15">
        <f>[1]Data!H970</f>
        <v>158</v>
      </c>
      <c r="I979" s="15">
        <f>[1]Data!I970</f>
        <v>0</v>
      </c>
      <c r="J979" s="1" t="str">
        <f>[1]Data!J970</f>
        <v>X</v>
      </c>
      <c r="K979" s="1" t="str">
        <f>[1]Data!K970</f>
        <v/>
      </c>
      <c r="L979" s="1" t="str">
        <f>[1]Data!L970</f>
        <v>08:01:03</v>
      </c>
      <c r="M979" s="1">
        <f>[1]Data!M970</f>
        <v>46030</v>
      </c>
      <c r="N979" s="1">
        <f>[1]Data!N970</f>
        <v>45819</v>
      </c>
      <c r="O979" s="1" t="str">
        <f>[1]Data!O970</f>
        <v>X</v>
      </c>
      <c r="P979" s="1" t="str">
        <f>[1]Data!P970</f>
        <v>2026</v>
      </c>
      <c r="Q979" s="15">
        <f>[1]Data!Q970</f>
        <v>158</v>
      </c>
      <c r="R979" s="1" t="str">
        <f>[1]Data!R970</f>
        <v/>
      </c>
    </row>
    <row r="980" spans="1:18" x14ac:dyDescent="0.35">
      <c r="A980" s="1" t="str">
        <f>[1]Data!A971</f>
        <v>4045081</v>
      </c>
      <c r="B980" s="1" t="str">
        <f>[1]Data!B971</f>
        <v>3300</v>
      </c>
      <c r="C980" s="1" t="str">
        <f>[1]Data!C971</f>
        <v>3001</v>
      </c>
      <c r="D980" s="1" t="str">
        <f>[1]Data!D971</f>
        <v>DL</v>
      </c>
      <c r="E980" s="1" t="str">
        <f>[1]Data!E971</f>
        <v/>
      </c>
      <c r="F980" s="1" t="str">
        <f>[1]Data!F971</f>
        <v>2026</v>
      </c>
      <c r="G980" s="1" t="str">
        <f>[1]Data!G971</f>
        <v>2</v>
      </c>
      <c r="H980" s="15">
        <f>[1]Data!H971</f>
        <v>490</v>
      </c>
      <c r="I980" s="15">
        <f>[1]Data!I971</f>
        <v>0</v>
      </c>
      <c r="J980" s="1" t="str">
        <f>[1]Data!J971</f>
        <v>X</v>
      </c>
      <c r="K980" s="1" t="str">
        <f>[1]Data!K971</f>
        <v/>
      </c>
      <c r="L980" s="1" t="str">
        <f>[1]Data!L971</f>
        <v>07:05:00</v>
      </c>
      <c r="M980" s="1">
        <f>[1]Data!M971</f>
        <v>46030</v>
      </c>
      <c r="N980" s="1">
        <f>[1]Data!N971</f>
        <v>45819</v>
      </c>
      <c r="O980" s="1" t="str">
        <f>[1]Data!O971</f>
        <v>X</v>
      </c>
      <c r="P980" s="1" t="str">
        <f>[1]Data!P971</f>
        <v>2026</v>
      </c>
      <c r="Q980" s="15">
        <f>[1]Data!Q971</f>
        <v>490</v>
      </c>
      <c r="R980" s="1" t="str">
        <f>[1]Data!R971</f>
        <v/>
      </c>
    </row>
    <row r="981" spans="1:18" x14ac:dyDescent="0.35">
      <c r="A981" s="1" t="str">
        <f>[1]Data!A972</f>
        <v>4045333</v>
      </c>
      <c r="B981" s="1" t="str">
        <f>[1]Data!B972</f>
        <v>3300</v>
      </c>
      <c r="C981" s="1" t="str">
        <f>[1]Data!C972</f>
        <v>3001</v>
      </c>
      <c r="D981" s="1" t="str">
        <f>[1]Data!D972</f>
        <v>DL</v>
      </c>
      <c r="E981" s="1" t="str">
        <f>[1]Data!E972</f>
        <v/>
      </c>
      <c r="F981" s="1" t="str">
        <f>[1]Data!F972</f>
        <v>2026</v>
      </c>
      <c r="G981" s="1" t="str">
        <f>[1]Data!G972</f>
        <v>2</v>
      </c>
      <c r="H981" s="15">
        <f>[1]Data!H972</f>
        <v>33</v>
      </c>
      <c r="I981" s="15">
        <f>[1]Data!I972</f>
        <v>0</v>
      </c>
      <c r="J981" s="1" t="str">
        <f>[1]Data!J972</f>
        <v>X</v>
      </c>
      <c r="K981" s="1" t="str">
        <f>[1]Data!K972</f>
        <v/>
      </c>
      <c r="L981" s="1" t="str">
        <f>[1]Data!L972</f>
        <v>14:02:03</v>
      </c>
      <c r="M981" s="1">
        <f>[1]Data!M972</f>
        <v>46030</v>
      </c>
      <c r="N981" s="1">
        <f>[1]Data!N972</f>
        <v>45922</v>
      </c>
      <c r="O981" s="1" t="str">
        <f>[1]Data!O972</f>
        <v>X</v>
      </c>
      <c r="P981" s="1" t="str">
        <f>[1]Data!P972</f>
        <v>2026</v>
      </c>
      <c r="Q981" s="15">
        <f>[1]Data!Q972</f>
        <v>33</v>
      </c>
      <c r="R981" s="1" t="str">
        <f>[1]Data!R972</f>
        <v/>
      </c>
    </row>
    <row r="982" spans="1:18" x14ac:dyDescent="0.35">
      <c r="A982" s="1" t="str">
        <f>[1]Data!A973</f>
        <v>4045334</v>
      </c>
      <c r="B982" s="1" t="str">
        <f>[1]Data!B973</f>
        <v>3300</v>
      </c>
      <c r="C982" s="1" t="str">
        <f>[1]Data!C973</f>
        <v>3001</v>
      </c>
      <c r="D982" s="1" t="str">
        <f>[1]Data!D973</f>
        <v>DL</v>
      </c>
      <c r="E982" s="1" t="str">
        <f>[1]Data!E973</f>
        <v/>
      </c>
      <c r="F982" s="1" t="str">
        <f>[1]Data!F973</f>
        <v>2026</v>
      </c>
      <c r="G982" s="1" t="str">
        <f>[1]Data!G973</f>
        <v>1</v>
      </c>
      <c r="H982" s="15">
        <f>[1]Data!H973</f>
        <v>31</v>
      </c>
      <c r="I982" s="15">
        <f>[1]Data!I973</f>
        <v>0</v>
      </c>
      <c r="J982" s="1" t="str">
        <f>[1]Data!J973</f>
        <v>X</v>
      </c>
      <c r="K982" s="1" t="str">
        <f>[1]Data!K973</f>
        <v/>
      </c>
      <c r="L982" s="1" t="str">
        <f>[1]Data!L973</f>
        <v>14:02:02</v>
      </c>
      <c r="M982" s="1">
        <f>[1]Data!M973</f>
        <v>46030</v>
      </c>
      <c r="N982" s="1">
        <f>[1]Data!N973</f>
        <v>45922</v>
      </c>
      <c r="O982" s="1" t="str">
        <f>[1]Data!O973</f>
        <v>X</v>
      </c>
      <c r="P982" s="1" t="str">
        <f>[1]Data!P973</f>
        <v>2026</v>
      </c>
      <c r="Q982" s="15">
        <f>[1]Data!Q973</f>
        <v>31</v>
      </c>
      <c r="R982" s="1" t="str">
        <f>[1]Data!R973</f>
        <v/>
      </c>
    </row>
    <row r="983" spans="1:18" x14ac:dyDescent="0.35">
      <c r="A983" s="1" t="str">
        <f>[1]Data!A974</f>
        <v>4045335</v>
      </c>
      <c r="B983" s="1" t="str">
        <f>[1]Data!B974</f>
        <v>3300</v>
      </c>
      <c r="C983" s="1" t="str">
        <f>[1]Data!C974</f>
        <v>3001</v>
      </c>
      <c r="D983" s="1" t="str">
        <f>[1]Data!D974</f>
        <v>DL</v>
      </c>
      <c r="E983" s="1" t="str">
        <f>[1]Data!E974</f>
        <v/>
      </c>
      <c r="F983" s="1" t="str">
        <f>[1]Data!F974</f>
        <v>2026</v>
      </c>
      <c r="G983" s="1" t="str">
        <f>[1]Data!G974</f>
        <v>2</v>
      </c>
      <c r="H983" s="15">
        <f>[1]Data!H974</f>
        <v>26</v>
      </c>
      <c r="I983" s="15">
        <f>[1]Data!I974</f>
        <v>0</v>
      </c>
      <c r="J983" s="1" t="str">
        <f>[1]Data!J974</f>
        <v>X</v>
      </c>
      <c r="K983" s="1" t="str">
        <f>[1]Data!K974</f>
        <v/>
      </c>
      <c r="L983" s="1" t="str">
        <f>[1]Data!L974</f>
        <v>14:02:03</v>
      </c>
      <c r="M983" s="1">
        <f>[1]Data!M974</f>
        <v>46030</v>
      </c>
      <c r="N983" s="1">
        <f>[1]Data!N974</f>
        <v>45922</v>
      </c>
      <c r="O983" s="1" t="str">
        <f>[1]Data!O974</f>
        <v>X</v>
      </c>
      <c r="P983" s="1" t="str">
        <f>[1]Data!P974</f>
        <v>2026</v>
      </c>
      <c r="Q983" s="15">
        <f>[1]Data!Q974</f>
        <v>26</v>
      </c>
      <c r="R983" s="1" t="str">
        <f>[1]Data!R974</f>
        <v/>
      </c>
    </row>
    <row r="984" spans="1:18" x14ac:dyDescent="0.35">
      <c r="A984" s="1" t="str">
        <f>[1]Data!A975</f>
        <v>4045337</v>
      </c>
      <c r="B984" s="1" t="str">
        <f>[1]Data!B975</f>
        <v>3300</v>
      </c>
      <c r="C984" s="1" t="str">
        <f>[1]Data!C975</f>
        <v>3001</v>
      </c>
      <c r="D984" s="1" t="str">
        <f>[1]Data!D975</f>
        <v>DL</v>
      </c>
      <c r="E984" s="1" t="str">
        <f>[1]Data!E975</f>
        <v/>
      </c>
      <c r="F984" s="1" t="str">
        <f>[1]Data!F975</f>
        <v>2026</v>
      </c>
      <c r="G984" s="1" t="str">
        <f>[1]Data!G975</f>
        <v>2</v>
      </c>
      <c r="H984" s="15">
        <f>[1]Data!H975</f>
        <v>15</v>
      </c>
      <c r="I984" s="15">
        <f>[1]Data!I975</f>
        <v>0</v>
      </c>
      <c r="J984" s="1" t="str">
        <f>[1]Data!J975</f>
        <v>X</v>
      </c>
      <c r="K984" s="1" t="str">
        <f>[1]Data!K975</f>
        <v/>
      </c>
      <c r="L984" s="1" t="str">
        <f>[1]Data!L975</f>
        <v>05:08:03</v>
      </c>
      <c r="M984" s="1">
        <f>[1]Data!M975</f>
        <v>46030</v>
      </c>
      <c r="N984" s="1">
        <f>[1]Data!N975</f>
        <v>45818</v>
      </c>
      <c r="O984" s="1" t="str">
        <f>[1]Data!O975</f>
        <v>X</v>
      </c>
      <c r="P984" s="1" t="str">
        <f>[1]Data!P975</f>
        <v>2026</v>
      </c>
      <c r="Q984" s="15">
        <f>[1]Data!Q975</f>
        <v>15</v>
      </c>
      <c r="R984" s="1" t="str">
        <f>[1]Data!R975</f>
        <v/>
      </c>
    </row>
    <row r="985" spans="1:18" x14ac:dyDescent="0.35">
      <c r="A985" s="1" t="str">
        <f>[1]Data!A976</f>
        <v>4045338</v>
      </c>
      <c r="B985" s="1" t="str">
        <f>[1]Data!B976</f>
        <v>3300</v>
      </c>
      <c r="C985" s="1" t="str">
        <f>[1]Data!C976</f>
        <v>3001</v>
      </c>
      <c r="D985" s="1" t="str">
        <f>[1]Data!D976</f>
        <v>DL</v>
      </c>
      <c r="E985" s="1" t="str">
        <f>[1]Data!E976</f>
        <v/>
      </c>
      <c r="F985" s="1" t="str">
        <f>[1]Data!F976</f>
        <v>2026</v>
      </c>
      <c r="G985" s="1" t="str">
        <f>[1]Data!G976</f>
        <v>2</v>
      </c>
      <c r="H985" s="15">
        <f>[1]Data!H976</f>
        <v>15</v>
      </c>
      <c r="I985" s="15">
        <f>[1]Data!I976</f>
        <v>0</v>
      </c>
      <c r="J985" s="1" t="str">
        <f>[1]Data!J976</f>
        <v>X</v>
      </c>
      <c r="K985" s="1" t="str">
        <f>[1]Data!K976</f>
        <v/>
      </c>
      <c r="L985" s="1" t="str">
        <f>[1]Data!L976</f>
        <v>14:07:00</v>
      </c>
      <c r="M985" s="1">
        <f>[1]Data!M976</f>
        <v>46030</v>
      </c>
      <c r="N985" s="1">
        <f>[1]Data!N976</f>
        <v>45818</v>
      </c>
      <c r="O985" s="1" t="str">
        <f>[1]Data!O976</f>
        <v>X</v>
      </c>
      <c r="P985" s="1" t="str">
        <f>[1]Data!P976</f>
        <v>2026</v>
      </c>
      <c r="Q985" s="15">
        <f>[1]Data!Q976</f>
        <v>15</v>
      </c>
      <c r="R985" s="1" t="str">
        <f>[1]Data!R976</f>
        <v/>
      </c>
    </row>
    <row r="986" spans="1:18" x14ac:dyDescent="0.35">
      <c r="A986" s="1" t="str">
        <f>[1]Data!A977</f>
        <v>4045339</v>
      </c>
      <c r="B986" s="1" t="str">
        <f>[1]Data!B977</f>
        <v>3300</v>
      </c>
      <c r="C986" s="1" t="str">
        <f>[1]Data!C977</f>
        <v>3001</v>
      </c>
      <c r="D986" s="1" t="str">
        <f>[1]Data!D977</f>
        <v>DL</v>
      </c>
      <c r="E986" s="1" t="str">
        <f>[1]Data!E977</f>
        <v/>
      </c>
      <c r="F986" s="1" t="str">
        <f>[1]Data!F977</f>
        <v>2026</v>
      </c>
      <c r="G986" s="1" t="str">
        <f>[1]Data!G977</f>
        <v>2</v>
      </c>
      <c r="H986" s="15">
        <f>[1]Data!H977</f>
        <v>15</v>
      </c>
      <c r="I986" s="15">
        <f>[1]Data!I977</f>
        <v>0</v>
      </c>
      <c r="J986" s="1" t="str">
        <f>[1]Data!J977</f>
        <v>X</v>
      </c>
      <c r="K986" s="1" t="str">
        <f>[1]Data!K977</f>
        <v/>
      </c>
      <c r="L986" s="1" t="str">
        <f>[1]Data!L977</f>
        <v>14:07:00</v>
      </c>
      <c r="M986" s="1">
        <f>[1]Data!M977</f>
        <v>46030</v>
      </c>
      <c r="N986" s="1">
        <f>[1]Data!N977</f>
        <v>45818</v>
      </c>
      <c r="O986" s="1" t="str">
        <f>[1]Data!O977</f>
        <v>X</v>
      </c>
      <c r="P986" s="1" t="str">
        <f>[1]Data!P977</f>
        <v>2026</v>
      </c>
      <c r="Q986" s="15">
        <f>[1]Data!Q977</f>
        <v>15</v>
      </c>
      <c r="R986" s="1" t="str">
        <f>[1]Data!R977</f>
        <v/>
      </c>
    </row>
    <row r="987" spans="1:18" x14ac:dyDescent="0.35">
      <c r="A987" s="1" t="str">
        <f>[1]Data!A978</f>
        <v>4045370</v>
      </c>
      <c r="B987" s="1" t="str">
        <f>[1]Data!B978</f>
        <v>3300</v>
      </c>
      <c r="C987" s="1" t="str">
        <f>[1]Data!C978</f>
        <v>3001</v>
      </c>
      <c r="D987" s="1" t="str">
        <f>[1]Data!D978</f>
        <v>DL</v>
      </c>
      <c r="E987" s="1" t="str">
        <f>[1]Data!E978</f>
        <v>X</v>
      </c>
      <c r="F987" s="1" t="str">
        <f>[1]Data!F978</f>
        <v>2026</v>
      </c>
      <c r="G987" s="1" t="str">
        <f>[1]Data!G978</f>
        <v>1</v>
      </c>
      <c r="H987" s="15">
        <f>[1]Data!H978</f>
        <v>0</v>
      </c>
      <c r="I987" s="15">
        <f>[1]Data!I978</f>
        <v>0</v>
      </c>
      <c r="J987" s="1" t="str">
        <f>[1]Data!J978</f>
        <v>X</v>
      </c>
      <c r="K987" s="1" t="str">
        <f>[1]Data!K978</f>
        <v/>
      </c>
      <c r="L987" s="1" t="str">
        <f>[1]Data!L978</f>
        <v>SLETTET</v>
      </c>
      <c r="M987" s="1">
        <f>[1]Data!M978</f>
        <v>46030</v>
      </c>
      <c r="N987" s="1">
        <f>[1]Data!N978</f>
        <v>45819</v>
      </c>
      <c r="O987" s="1" t="str">
        <f>[1]Data!O978</f>
        <v>X</v>
      </c>
      <c r="P987" s="1" t="str">
        <f>[1]Data!P978</f>
        <v>2026</v>
      </c>
      <c r="Q987" s="15">
        <f>[1]Data!Q978</f>
        <v>0</v>
      </c>
      <c r="R987" s="1" t="str">
        <f>[1]Data!R978</f>
        <v>INAKTIV</v>
      </c>
    </row>
    <row r="988" spans="1:18" x14ac:dyDescent="0.35">
      <c r="A988" s="1" t="str">
        <f>[1]Data!A979</f>
        <v>4045373</v>
      </c>
      <c r="B988" s="1" t="str">
        <f>[1]Data!B979</f>
        <v>3300</v>
      </c>
      <c r="C988" s="1" t="str">
        <f>[1]Data!C979</f>
        <v>3001</v>
      </c>
      <c r="D988" s="1" t="str">
        <f>[1]Data!D979</f>
        <v>DL</v>
      </c>
      <c r="E988" s="1" t="str">
        <f>[1]Data!E979</f>
        <v/>
      </c>
      <c r="F988" s="1" t="str">
        <f>[1]Data!F979</f>
        <v>2025</v>
      </c>
      <c r="G988" s="1" t="str">
        <f>[1]Data!G979</f>
        <v>11</v>
      </c>
      <c r="H988" s="15">
        <f>[1]Data!H979</f>
        <v>30</v>
      </c>
      <c r="I988" s="15">
        <f>[1]Data!I979</f>
        <v>0</v>
      </c>
      <c r="J988" s="1" t="str">
        <f>[1]Data!J979</f>
        <v>X</v>
      </c>
      <c r="K988" s="1" t="str">
        <f>[1]Data!K979</f>
        <v/>
      </c>
      <c r="L988" s="1" t="str">
        <f>[1]Data!L979</f>
        <v>14:02:02</v>
      </c>
      <c r="M988" s="1">
        <f>[1]Data!M979</f>
        <v>46030</v>
      </c>
      <c r="N988" s="1">
        <f>[1]Data!N979</f>
        <v>45922</v>
      </c>
      <c r="O988" s="1" t="str">
        <f>[1]Data!O979</f>
        <v>X</v>
      </c>
      <c r="P988" s="1" t="str">
        <f>[1]Data!P979</f>
        <v>2026</v>
      </c>
      <c r="Q988" s="15">
        <f>[1]Data!Q979</f>
        <v>30</v>
      </c>
      <c r="R988" s="1" t="str">
        <f>[1]Data!R979</f>
        <v/>
      </c>
    </row>
    <row r="989" spans="1:18" x14ac:dyDescent="0.35">
      <c r="A989" s="1" t="str">
        <f>[1]Data!A980</f>
        <v>4045608</v>
      </c>
      <c r="B989" s="1" t="str">
        <f>[1]Data!B980</f>
        <v>3300</v>
      </c>
      <c r="C989" s="1" t="str">
        <f>[1]Data!C980</f>
        <v>3001</v>
      </c>
      <c r="D989" s="1" t="str">
        <f>[1]Data!D980</f>
        <v>DL</v>
      </c>
      <c r="E989" s="1" t="str">
        <f>[1]Data!E980</f>
        <v/>
      </c>
      <c r="F989" s="1" t="str">
        <f>[1]Data!F980</f>
        <v>2025</v>
      </c>
      <c r="G989" s="1" t="str">
        <f>[1]Data!G980</f>
        <v>9</v>
      </c>
      <c r="H989" s="15">
        <f>[1]Data!H980</f>
        <v>0</v>
      </c>
      <c r="I989" s="15">
        <f>[1]Data!I980</f>
        <v>0</v>
      </c>
      <c r="J989" s="1" t="str">
        <f>[1]Data!J980</f>
        <v/>
      </c>
      <c r="K989" s="1" t="str">
        <f>[1]Data!K980</f>
        <v/>
      </c>
      <c r="L989" s="1" t="str">
        <f>[1]Data!L980</f>
        <v/>
      </c>
      <c r="M989" s="1" t="str">
        <f>[1]Data!M980</f>
        <v/>
      </c>
      <c r="N989" s="1">
        <f>[1]Data!N980</f>
        <v>45922</v>
      </c>
      <c r="O989" s="1" t="str">
        <f>[1]Data!O980</f>
        <v>X</v>
      </c>
      <c r="P989" s="1" t="str">
        <f>[1]Data!P980</f>
        <v>2025</v>
      </c>
      <c r="Q989" s="15">
        <f>[1]Data!Q980</f>
        <v>0</v>
      </c>
      <c r="R989" s="1" t="str">
        <f>[1]Data!R980</f>
        <v>INAKTIV</v>
      </c>
    </row>
    <row r="990" spans="1:18" x14ac:dyDescent="0.35">
      <c r="A990" s="1" t="str">
        <f>[1]Data!A981</f>
        <v>4046090</v>
      </c>
      <c r="B990" s="1" t="str">
        <f>[1]Data!B981</f>
        <v>3300</v>
      </c>
      <c r="C990" s="1" t="str">
        <f>[1]Data!C981</f>
        <v>3001</v>
      </c>
      <c r="D990" s="1" t="str">
        <f>[1]Data!D981</f>
        <v>L</v>
      </c>
      <c r="E990" s="1" t="str">
        <f>[1]Data!E981</f>
        <v/>
      </c>
      <c r="F990" s="1" t="str">
        <f>[1]Data!F981</f>
        <v>2025</v>
      </c>
      <c r="G990" s="1" t="str">
        <f>[1]Data!G981</f>
        <v>8</v>
      </c>
      <c r="H990" s="15">
        <f>[1]Data!H981</f>
        <v>2</v>
      </c>
      <c r="I990" s="15">
        <f>[1]Data!I981</f>
        <v>0</v>
      </c>
      <c r="J990" s="1" t="str">
        <f>[1]Data!J981</f>
        <v>X</v>
      </c>
      <c r="K990" s="1" t="str">
        <f>[1]Data!K981</f>
        <v/>
      </c>
      <c r="L990" s="1" t="str">
        <f>[1]Data!L981</f>
        <v>09:10:03</v>
      </c>
      <c r="M990" s="1">
        <f>[1]Data!M981</f>
        <v>46030</v>
      </c>
      <c r="N990" s="1">
        <f>[1]Data!N981</f>
        <v>45842</v>
      </c>
      <c r="O990" s="1" t="str">
        <f>[1]Data!O981</f>
        <v>X</v>
      </c>
      <c r="P990" s="1" t="str">
        <f>[1]Data!P981</f>
        <v>2026</v>
      </c>
      <c r="Q990" s="15">
        <f>[1]Data!Q981</f>
        <v>2</v>
      </c>
      <c r="R990" s="1" t="str">
        <f>[1]Data!R981</f>
        <v/>
      </c>
    </row>
    <row r="991" spans="1:18" x14ac:dyDescent="0.35">
      <c r="A991" s="1" t="str">
        <f>[1]Data!A982</f>
        <v>4046091</v>
      </c>
      <c r="B991" s="1" t="str">
        <f>[1]Data!B982</f>
        <v>3300</v>
      </c>
      <c r="C991" s="1" t="str">
        <f>[1]Data!C982</f>
        <v>3001</v>
      </c>
      <c r="D991" s="1" t="str">
        <f>[1]Data!D982</f>
        <v>L</v>
      </c>
      <c r="E991" s="1" t="str">
        <f>[1]Data!E982</f>
        <v/>
      </c>
      <c r="F991" s="1" t="str">
        <f>[1]Data!F982</f>
        <v>2025</v>
      </c>
      <c r="G991" s="1" t="str">
        <f>[1]Data!G982</f>
        <v>9</v>
      </c>
      <c r="H991" s="15">
        <f>[1]Data!H982</f>
        <v>1</v>
      </c>
      <c r="I991" s="15">
        <f>[1]Data!I982</f>
        <v>0</v>
      </c>
      <c r="J991" s="1" t="str">
        <f>[1]Data!J982</f>
        <v>X</v>
      </c>
      <c r="K991" s="1" t="str">
        <f>[1]Data!K982</f>
        <v/>
      </c>
      <c r="L991" s="1" t="str">
        <f>[1]Data!L982</f>
        <v>09:10:03</v>
      </c>
      <c r="M991" s="1">
        <f>[1]Data!M982</f>
        <v>46030</v>
      </c>
      <c r="N991" s="1">
        <f>[1]Data!N982</f>
        <v>45842</v>
      </c>
      <c r="O991" s="1" t="str">
        <f>[1]Data!O982</f>
        <v>X</v>
      </c>
      <c r="P991" s="1" t="str">
        <f>[1]Data!P982</f>
        <v>2026</v>
      </c>
      <c r="Q991" s="15">
        <f>[1]Data!Q982</f>
        <v>1</v>
      </c>
      <c r="R991" s="1" t="str">
        <f>[1]Data!R982</f>
        <v/>
      </c>
    </row>
    <row r="992" spans="1:18" x14ac:dyDescent="0.35">
      <c r="A992" s="1" t="str">
        <f>[1]Data!A983</f>
        <v>4046092</v>
      </c>
      <c r="B992" s="1" t="str">
        <f>[1]Data!B983</f>
        <v>3300</v>
      </c>
      <c r="C992" s="1" t="str">
        <f>[1]Data!C983</f>
        <v>3001</v>
      </c>
      <c r="D992" s="1" t="str">
        <f>[1]Data!D983</f>
        <v>L</v>
      </c>
      <c r="E992" s="1" t="str">
        <f>[1]Data!E983</f>
        <v/>
      </c>
      <c r="F992" s="1" t="str">
        <f>[1]Data!F983</f>
        <v>2025</v>
      </c>
      <c r="G992" s="1" t="str">
        <f>[1]Data!G983</f>
        <v>8</v>
      </c>
      <c r="H992" s="15">
        <f>[1]Data!H983</f>
        <v>1</v>
      </c>
      <c r="I992" s="15">
        <f>[1]Data!I983</f>
        <v>0</v>
      </c>
      <c r="J992" s="1" t="str">
        <f>[1]Data!J983</f>
        <v>X</v>
      </c>
      <c r="K992" s="1" t="str">
        <f>[1]Data!K983</f>
        <v/>
      </c>
      <c r="L992" s="1" t="str">
        <f>[1]Data!L983</f>
        <v>09:10:03</v>
      </c>
      <c r="M992" s="1">
        <f>[1]Data!M983</f>
        <v>46030</v>
      </c>
      <c r="N992" s="1">
        <f>[1]Data!N983</f>
        <v>45842</v>
      </c>
      <c r="O992" s="1" t="str">
        <f>[1]Data!O983</f>
        <v>X</v>
      </c>
      <c r="P992" s="1" t="str">
        <f>[1]Data!P983</f>
        <v>2026</v>
      </c>
      <c r="Q992" s="15">
        <f>[1]Data!Q983</f>
        <v>1</v>
      </c>
      <c r="R992" s="1" t="str">
        <f>[1]Data!R983</f>
        <v/>
      </c>
    </row>
    <row r="993" spans="1:18" x14ac:dyDescent="0.35">
      <c r="A993" s="1" t="str">
        <f>[1]Data!A984</f>
        <v>4046093</v>
      </c>
      <c r="B993" s="1" t="str">
        <f>[1]Data!B984</f>
        <v>3300</v>
      </c>
      <c r="C993" s="1" t="str">
        <f>[1]Data!C984</f>
        <v>3001</v>
      </c>
      <c r="D993" s="1" t="str">
        <f>[1]Data!D984</f>
        <v>L</v>
      </c>
      <c r="E993" s="1" t="str">
        <f>[1]Data!E984</f>
        <v/>
      </c>
      <c r="F993" s="1" t="str">
        <f>[1]Data!F984</f>
        <v>2025</v>
      </c>
      <c r="G993" s="1" t="str">
        <f>[1]Data!G984</f>
        <v>12</v>
      </c>
      <c r="H993" s="15">
        <f>[1]Data!H984</f>
        <v>27</v>
      </c>
      <c r="I993" s="15">
        <f>[1]Data!I984</f>
        <v>0</v>
      </c>
      <c r="J993" s="1" t="str">
        <f>[1]Data!J984</f>
        <v>X</v>
      </c>
      <c r="K993" s="1" t="str">
        <f>[1]Data!K984</f>
        <v/>
      </c>
      <c r="L993" s="1" t="str">
        <f>[1]Data!L984</f>
        <v>15:07:00</v>
      </c>
      <c r="M993" s="1">
        <f>[1]Data!M984</f>
        <v>46030</v>
      </c>
      <c r="N993" s="1">
        <f>[1]Data!N984</f>
        <v>45842</v>
      </c>
      <c r="O993" s="1" t="str">
        <f>[1]Data!O984</f>
        <v>X</v>
      </c>
      <c r="P993" s="1" t="str">
        <f>[1]Data!P984</f>
        <v>2026</v>
      </c>
      <c r="Q993" s="15">
        <f>[1]Data!Q984</f>
        <v>27</v>
      </c>
      <c r="R993" s="1" t="str">
        <f>[1]Data!R984</f>
        <v/>
      </c>
    </row>
    <row r="994" spans="1:18" x14ac:dyDescent="0.35">
      <c r="A994" s="1" t="str">
        <f>[1]Data!A985</f>
        <v>4046094</v>
      </c>
      <c r="B994" s="1" t="str">
        <f>[1]Data!B985</f>
        <v>3300</v>
      </c>
      <c r="C994" s="1" t="str">
        <f>[1]Data!C985</f>
        <v>3001</v>
      </c>
      <c r="D994" s="1" t="str">
        <f>[1]Data!D985</f>
        <v>L</v>
      </c>
      <c r="E994" s="1" t="str">
        <f>[1]Data!E985</f>
        <v/>
      </c>
      <c r="F994" s="1" t="str">
        <f>[1]Data!F985</f>
        <v>2025</v>
      </c>
      <c r="G994" s="1" t="str">
        <f>[1]Data!G985</f>
        <v>8</v>
      </c>
      <c r="H994" s="15">
        <f>[1]Data!H985</f>
        <v>20</v>
      </c>
      <c r="I994" s="15">
        <f>[1]Data!I985</f>
        <v>0</v>
      </c>
      <c r="J994" s="1" t="str">
        <f>[1]Data!J985</f>
        <v>X</v>
      </c>
      <c r="K994" s="1" t="str">
        <f>[1]Data!K985</f>
        <v/>
      </c>
      <c r="L994" s="1" t="str">
        <f>[1]Data!L985</f>
        <v>08:12:00</v>
      </c>
      <c r="M994" s="1">
        <f>[1]Data!M985</f>
        <v>46030</v>
      </c>
      <c r="N994" s="1">
        <f>[1]Data!N985</f>
        <v>45842</v>
      </c>
      <c r="O994" s="1" t="str">
        <f>[1]Data!O985</f>
        <v>X</v>
      </c>
      <c r="P994" s="1" t="str">
        <f>[1]Data!P985</f>
        <v>2026</v>
      </c>
      <c r="Q994" s="15">
        <f>[1]Data!Q985</f>
        <v>20</v>
      </c>
      <c r="R994" s="1" t="str">
        <f>[1]Data!R985</f>
        <v/>
      </c>
    </row>
    <row r="995" spans="1:18" x14ac:dyDescent="0.35">
      <c r="A995" s="1" t="str">
        <f>[1]Data!A986</f>
        <v>4046095</v>
      </c>
      <c r="B995" s="1" t="str">
        <f>[1]Data!B986</f>
        <v>3300</v>
      </c>
      <c r="C995" s="1" t="str">
        <f>[1]Data!C986</f>
        <v>3001</v>
      </c>
      <c r="D995" s="1" t="str">
        <f>[1]Data!D986</f>
        <v>L</v>
      </c>
      <c r="E995" s="1" t="str">
        <f>[1]Data!E986</f>
        <v/>
      </c>
      <c r="F995" s="1" t="str">
        <f>[1]Data!F986</f>
        <v>2025</v>
      </c>
      <c r="G995" s="1" t="str">
        <f>[1]Data!G986</f>
        <v>7</v>
      </c>
      <c r="H995" s="15">
        <f>[1]Data!H986</f>
        <v>0</v>
      </c>
      <c r="I995" s="15">
        <f>[1]Data!I986</f>
        <v>0</v>
      </c>
      <c r="J995" s="1" t="str">
        <f>[1]Data!J986</f>
        <v/>
      </c>
      <c r="K995" s="1" t="str">
        <f>[1]Data!K986</f>
        <v/>
      </c>
      <c r="L995" s="1" t="str">
        <f>[1]Data!L986</f>
        <v/>
      </c>
      <c r="M995" s="1" t="str">
        <f>[1]Data!M986</f>
        <v/>
      </c>
      <c r="N995" s="1">
        <f>[1]Data!N986</f>
        <v>45842</v>
      </c>
      <c r="O995" s="1" t="str">
        <f>[1]Data!O986</f>
        <v>X</v>
      </c>
      <c r="P995" s="1" t="str">
        <f>[1]Data!P986</f>
        <v>2025</v>
      </c>
      <c r="Q995" s="15">
        <f>[1]Data!Q986</f>
        <v>0</v>
      </c>
      <c r="R995" s="1" t="str">
        <f>[1]Data!R986</f>
        <v>INAKTIV</v>
      </c>
    </row>
    <row r="996" spans="1:18" x14ac:dyDescent="0.35">
      <c r="A996" s="1" t="str">
        <f>[1]Data!A987</f>
        <v>4046096</v>
      </c>
      <c r="B996" s="1" t="str">
        <f>[1]Data!B987</f>
        <v>3300</v>
      </c>
      <c r="C996" s="1" t="str">
        <f>[1]Data!C987</f>
        <v>3001</v>
      </c>
      <c r="D996" s="1" t="str">
        <f>[1]Data!D987</f>
        <v>L</v>
      </c>
      <c r="E996" s="1" t="str">
        <f>[1]Data!E987</f>
        <v/>
      </c>
      <c r="F996" s="1" t="str">
        <f>[1]Data!F987</f>
        <v>2025</v>
      </c>
      <c r="G996" s="1" t="str">
        <f>[1]Data!G987</f>
        <v>7</v>
      </c>
      <c r="H996" s="15">
        <f>[1]Data!H987</f>
        <v>0</v>
      </c>
      <c r="I996" s="15">
        <f>[1]Data!I987</f>
        <v>0</v>
      </c>
      <c r="J996" s="1" t="str">
        <f>[1]Data!J987</f>
        <v/>
      </c>
      <c r="K996" s="1" t="str">
        <f>[1]Data!K987</f>
        <v/>
      </c>
      <c r="L996" s="1" t="str">
        <f>[1]Data!L987</f>
        <v/>
      </c>
      <c r="M996" s="1" t="str">
        <f>[1]Data!M987</f>
        <v/>
      </c>
      <c r="N996" s="1">
        <f>[1]Data!N987</f>
        <v>45842</v>
      </c>
      <c r="O996" s="1" t="str">
        <f>[1]Data!O987</f>
        <v>X</v>
      </c>
      <c r="P996" s="1" t="str">
        <f>[1]Data!P987</f>
        <v>2025</v>
      </c>
      <c r="Q996" s="15">
        <f>[1]Data!Q987</f>
        <v>0</v>
      </c>
      <c r="R996" s="1" t="str">
        <f>[1]Data!R987</f>
        <v>INAKTIV</v>
      </c>
    </row>
    <row r="997" spans="1:18" x14ac:dyDescent="0.35">
      <c r="A997" s="1" t="str">
        <f>[1]Data!A988</f>
        <v>4046097</v>
      </c>
      <c r="B997" s="1" t="str">
        <f>[1]Data!B988</f>
        <v>3300</v>
      </c>
      <c r="C997" s="1" t="str">
        <f>[1]Data!C988</f>
        <v>3001</v>
      </c>
      <c r="D997" s="1" t="str">
        <f>[1]Data!D988</f>
        <v>L</v>
      </c>
      <c r="E997" s="1" t="str">
        <f>[1]Data!E988</f>
        <v/>
      </c>
      <c r="F997" s="1" t="str">
        <f>[1]Data!F988</f>
        <v>2025</v>
      </c>
      <c r="G997" s="1" t="str">
        <f>[1]Data!G988</f>
        <v>7</v>
      </c>
      <c r="H997" s="15">
        <f>[1]Data!H988</f>
        <v>0</v>
      </c>
      <c r="I997" s="15">
        <f>[1]Data!I988</f>
        <v>0</v>
      </c>
      <c r="J997" s="1" t="str">
        <f>[1]Data!J988</f>
        <v/>
      </c>
      <c r="K997" s="1" t="str">
        <f>[1]Data!K988</f>
        <v/>
      </c>
      <c r="L997" s="1" t="str">
        <f>[1]Data!L988</f>
        <v/>
      </c>
      <c r="M997" s="1" t="str">
        <f>[1]Data!M988</f>
        <v/>
      </c>
      <c r="N997" s="1">
        <f>[1]Data!N988</f>
        <v>45842</v>
      </c>
      <c r="O997" s="1" t="str">
        <f>[1]Data!O988</f>
        <v>X</v>
      </c>
      <c r="P997" s="1" t="str">
        <f>[1]Data!P988</f>
        <v>2025</v>
      </c>
      <c r="Q997" s="15">
        <f>[1]Data!Q988</f>
        <v>0</v>
      </c>
      <c r="R997" s="1" t="str">
        <f>[1]Data!R988</f>
        <v>INAKTIV</v>
      </c>
    </row>
    <row r="998" spans="1:18" x14ac:dyDescent="0.35">
      <c r="A998" s="1" t="str">
        <f>[1]Data!A989</f>
        <v>4046098</v>
      </c>
      <c r="B998" s="1" t="str">
        <f>[1]Data!B989</f>
        <v>3300</v>
      </c>
      <c r="C998" s="1" t="str">
        <f>[1]Data!C989</f>
        <v>3001</v>
      </c>
      <c r="D998" s="1" t="str">
        <f>[1]Data!D989</f>
        <v>L</v>
      </c>
      <c r="E998" s="1" t="str">
        <f>[1]Data!E989</f>
        <v/>
      </c>
      <c r="F998" s="1" t="str">
        <f>[1]Data!F989</f>
        <v>2025</v>
      </c>
      <c r="G998" s="1" t="str">
        <f>[1]Data!G989</f>
        <v>7</v>
      </c>
      <c r="H998" s="15">
        <f>[1]Data!H989</f>
        <v>0</v>
      </c>
      <c r="I998" s="15">
        <f>[1]Data!I989</f>
        <v>0</v>
      </c>
      <c r="J998" s="1" t="str">
        <f>[1]Data!J989</f>
        <v/>
      </c>
      <c r="K998" s="1" t="str">
        <f>[1]Data!K989</f>
        <v/>
      </c>
      <c r="L998" s="1" t="str">
        <f>[1]Data!L989</f>
        <v/>
      </c>
      <c r="M998" s="1" t="str">
        <f>[1]Data!M989</f>
        <v/>
      </c>
      <c r="N998" s="1">
        <f>[1]Data!N989</f>
        <v>45842</v>
      </c>
      <c r="O998" s="1" t="str">
        <f>[1]Data!O989</f>
        <v>X</v>
      </c>
      <c r="P998" s="1" t="str">
        <f>[1]Data!P989</f>
        <v>2025</v>
      </c>
      <c r="Q998" s="15">
        <f>[1]Data!Q989</f>
        <v>0</v>
      </c>
      <c r="R998" s="1" t="str">
        <f>[1]Data!R989</f>
        <v>INAKTIV</v>
      </c>
    </row>
    <row r="999" spans="1:18" x14ac:dyDescent="0.35">
      <c r="A999" s="1" t="str">
        <f>[1]Data!A990</f>
        <v>4046099</v>
      </c>
      <c r="B999" s="1" t="str">
        <f>[1]Data!B990</f>
        <v>3300</v>
      </c>
      <c r="C999" s="1" t="str">
        <f>[1]Data!C990</f>
        <v>3001</v>
      </c>
      <c r="D999" s="1" t="str">
        <f>[1]Data!D990</f>
        <v>L</v>
      </c>
      <c r="E999" s="1" t="str">
        <f>[1]Data!E990</f>
        <v/>
      </c>
      <c r="F999" s="1" t="str">
        <f>[1]Data!F990</f>
        <v>2025</v>
      </c>
      <c r="G999" s="1" t="str">
        <f>[1]Data!G990</f>
        <v>7</v>
      </c>
      <c r="H999" s="15">
        <f>[1]Data!H990</f>
        <v>0</v>
      </c>
      <c r="I999" s="15">
        <f>[1]Data!I990</f>
        <v>0</v>
      </c>
      <c r="J999" s="1" t="str">
        <f>[1]Data!J990</f>
        <v/>
      </c>
      <c r="K999" s="1" t="str">
        <f>[1]Data!K990</f>
        <v/>
      </c>
      <c r="L999" s="1" t="str">
        <f>[1]Data!L990</f>
        <v/>
      </c>
      <c r="M999" s="1" t="str">
        <f>[1]Data!M990</f>
        <v/>
      </c>
      <c r="N999" s="1">
        <f>[1]Data!N990</f>
        <v>45842</v>
      </c>
      <c r="O999" s="1" t="str">
        <f>[1]Data!O990</f>
        <v>X</v>
      </c>
      <c r="P999" s="1" t="str">
        <f>[1]Data!P990</f>
        <v>2025</v>
      </c>
      <c r="Q999" s="15">
        <f>[1]Data!Q990</f>
        <v>0</v>
      </c>
      <c r="R999" s="1" t="str">
        <f>[1]Data!R990</f>
        <v>INAKTIV</v>
      </c>
    </row>
    <row r="1000" spans="1:18" x14ac:dyDescent="0.35">
      <c r="A1000" s="1" t="str">
        <f>[1]Data!A991</f>
        <v>4046100</v>
      </c>
      <c r="B1000" s="1" t="str">
        <f>[1]Data!B991</f>
        <v>3300</v>
      </c>
      <c r="C1000" s="1" t="str">
        <f>[1]Data!C991</f>
        <v>3001</v>
      </c>
      <c r="D1000" s="1" t="str">
        <f>[1]Data!D991</f>
        <v>L</v>
      </c>
      <c r="E1000" s="1" t="str">
        <f>[1]Data!E991</f>
        <v/>
      </c>
      <c r="F1000" s="1" t="str">
        <f>[1]Data!F991</f>
        <v>2025</v>
      </c>
      <c r="G1000" s="1" t="str">
        <f>[1]Data!G991</f>
        <v>7</v>
      </c>
      <c r="H1000" s="15">
        <f>[1]Data!H991</f>
        <v>0</v>
      </c>
      <c r="I1000" s="15">
        <f>[1]Data!I991</f>
        <v>0</v>
      </c>
      <c r="J1000" s="1" t="str">
        <f>[1]Data!J991</f>
        <v/>
      </c>
      <c r="K1000" s="1" t="str">
        <f>[1]Data!K991</f>
        <v/>
      </c>
      <c r="L1000" s="1" t="str">
        <f>[1]Data!L991</f>
        <v/>
      </c>
      <c r="M1000" s="1" t="str">
        <f>[1]Data!M991</f>
        <v/>
      </c>
      <c r="N1000" s="1">
        <f>[1]Data!N991</f>
        <v>45842</v>
      </c>
      <c r="O1000" s="1" t="str">
        <f>[1]Data!O991</f>
        <v>X</v>
      </c>
      <c r="P1000" s="1" t="str">
        <f>[1]Data!P991</f>
        <v>2025</v>
      </c>
      <c r="Q1000" s="15">
        <f>[1]Data!Q991</f>
        <v>0</v>
      </c>
      <c r="R1000" s="1" t="str">
        <f>[1]Data!R991</f>
        <v>INAKTIV</v>
      </c>
    </row>
    <row r="1001" spans="1:18" x14ac:dyDescent="0.35">
      <c r="A1001" s="1" t="str">
        <f>[1]Data!A992</f>
        <v>4046101</v>
      </c>
      <c r="B1001" s="1" t="str">
        <f>[1]Data!B992</f>
        <v>3300</v>
      </c>
      <c r="C1001" s="1" t="str">
        <f>[1]Data!C992</f>
        <v>3001</v>
      </c>
      <c r="D1001" s="1" t="str">
        <f>[1]Data!D992</f>
        <v>L</v>
      </c>
      <c r="E1001" s="1" t="str">
        <f>[1]Data!E992</f>
        <v/>
      </c>
      <c r="F1001" s="1" t="str">
        <f>[1]Data!F992</f>
        <v>2025</v>
      </c>
      <c r="G1001" s="1" t="str">
        <f>[1]Data!G992</f>
        <v>7</v>
      </c>
      <c r="H1001" s="15">
        <f>[1]Data!H992</f>
        <v>0</v>
      </c>
      <c r="I1001" s="15">
        <f>[1]Data!I992</f>
        <v>0</v>
      </c>
      <c r="J1001" s="1" t="str">
        <f>[1]Data!J992</f>
        <v/>
      </c>
      <c r="K1001" s="1" t="str">
        <f>[1]Data!K992</f>
        <v/>
      </c>
      <c r="L1001" s="1" t="str">
        <f>[1]Data!L992</f>
        <v/>
      </c>
      <c r="M1001" s="1" t="str">
        <f>[1]Data!M992</f>
        <v/>
      </c>
      <c r="N1001" s="1">
        <f>[1]Data!N992</f>
        <v>45842</v>
      </c>
      <c r="O1001" s="1" t="str">
        <f>[1]Data!O992</f>
        <v>X</v>
      </c>
      <c r="P1001" s="1" t="str">
        <f>[1]Data!P992</f>
        <v>2025</v>
      </c>
      <c r="Q1001" s="15">
        <f>[1]Data!Q992</f>
        <v>0</v>
      </c>
      <c r="R1001" s="1" t="str">
        <f>[1]Data!R992</f>
        <v>INAKTIV</v>
      </c>
    </row>
    <row r="1002" spans="1:18" x14ac:dyDescent="0.35">
      <c r="A1002" s="1" t="str">
        <f>[1]Data!A993</f>
        <v>4046102</v>
      </c>
      <c r="B1002" s="1" t="str">
        <f>[1]Data!B993</f>
        <v>3300</v>
      </c>
      <c r="C1002" s="1" t="str">
        <f>[1]Data!C993</f>
        <v>3001</v>
      </c>
      <c r="D1002" s="1" t="str">
        <f>[1]Data!D993</f>
        <v>L</v>
      </c>
      <c r="E1002" s="1" t="str">
        <f>[1]Data!E993</f>
        <v/>
      </c>
      <c r="F1002" s="1" t="str">
        <f>[1]Data!F993</f>
        <v>2025</v>
      </c>
      <c r="G1002" s="1" t="str">
        <f>[1]Data!G993</f>
        <v>7</v>
      </c>
      <c r="H1002" s="15">
        <f>[1]Data!H993</f>
        <v>0</v>
      </c>
      <c r="I1002" s="15">
        <f>[1]Data!I993</f>
        <v>0</v>
      </c>
      <c r="J1002" s="1" t="str">
        <f>[1]Data!J993</f>
        <v/>
      </c>
      <c r="K1002" s="1" t="str">
        <f>[1]Data!K993</f>
        <v/>
      </c>
      <c r="L1002" s="1" t="str">
        <f>[1]Data!L993</f>
        <v/>
      </c>
      <c r="M1002" s="1" t="str">
        <f>[1]Data!M993</f>
        <v/>
      </c>
      <c r="N1002" s="1">
        <f>[1]Data!N993</f>
        <v>45842</v>
      </c>
      <c r="O1002" s="1" t="str">
        <f>[1]Data!O993</f>
        <v>X</v>
      </c>
      <c r="P1002" s="1" t="str">
        <f>[1]Data!P993</f>
        <v>2025</v>
      </c>
      <c r="Q1002" s="15">
        <f>[1]Data!Q993</f>
        <v>0</v>
      </c>
      <c r="R1002" s="1" t="str">
        <f>[1]Data!R993</f>
        <v>INAKTIV</v>
      </c>
    </row>
    <row r="1003" spans="1:18" x14ac:dyDescent="0.35">
      <c r="A1003" s="1" t="str">
        <f>[1]Data!A994</f>
        <v>4046103</v>
      </c>
      <c r="B1003" s="1" t="str">
        <f>[1]Data!B994</f>
        <v>3300</v>
      </c>
      <c r="C1003" s="1" t="str">
        <f>[1]Data!C994</f>
        <v>3001</v>
      </c>
      <c r="D1003" s="1" t="str">
        <f>[1]Data!D994</f>
        <v>L</v>
      </c>
      <c r="E1003" s="1" t="str">
        <f>[1]Data!E994</f>
        <v/>
      </c>
      <c r="F1003" s="1" t="str">
        <f>[1]Data!F994</f>
        <v>2025</v>
      </c>
      <c r="G1003" s="1" t="str">
        <f>[1]Data!G994</f>
        <v>7</v>
      </c>
      <c r="H1003" s="15">
        <f>[1]Data!H994</f>
        <v>0</v>
      </c>
      <c r="I1003" s="15">
        <f>[1]Data!I994</f>
        <v>0</v>
      </c>
      <c r="J1003" s="1" t="str">
        <f>[1]Data!J994</f>
        <v/>
      </c>
      <c r="K1003" s="1" t="str">
        <f>[1]Data!K994</f>
        <v/>
      </c>
      <c r="L1003" s="1" t="str">
        <f>[1]Data!L994</f>
        <v/>
      </c>
      <c r="M1003" s="1" t="str">
        <f>[1]Data!M994</f>
        <v/>
      </c>
      <c r="N1003" s="1">
        <f>[1]Data!N994</f>
        <v>45842</v>
      </c>
      <c r="O1003" s="1" t="str">
        <f>[1]Data!O994</f>
        <v>X</v>
      </c>
      <c r="P1003" s="1" t="str">
        <f>[1]Data!P994</f>
        <v>2025</v>
      </c>
      <c r="Q1003" s="15">
        <f>[1]Data!Q994</f>
        <v>0</v>
      </c>
      <c r="R1003" s="1" t="str">
        <f>[1]Data!R994</f>
        <v>INAKTIV</v>
      </c>
    </row>
    <row r="1004" spans="1:18" x14ac:dyDescent="0.35">
      <c r="A1004" s="1" t="str">
        <f>[1]Data!A995</f>
        <v>4046119</v>
      </c>
      <c r="B1004" s="1" t="str">
        <f>[1]Data!B995</f>
        <v>3300</v>
      </c>
      <c r="C1004" s="1" t="str">
        <f>[1]Data!C995</f>
        <v>3001</v>
      </c>
      <c r="D1004" s="1" t="str">
        <f>[1]Data!D995</f>
        <v>L</v>
      </c>
      <c r="E1004" s="1" t="str">
        <f>[1]Data!E995</f>
        <v/>
      </c>
      <c r="F1004" s="1" t="str">
        <f>[1]Data!F995</f>
        <v>2025</v>
      </c>
      <c r="G1004" s="1" t="str">
        <f>[1]Data!G995</f>
        <v>7</v>
      </c>
      <c r="H1004" s="15">
        <f>[1]Data!H995</f>
        <v>0</v>
      </c>
      <c r="I1004" s="15">
        <f>[1]Data!I995</f>
        <v>0</v>
      </c>
      <c r="J1004" s="1" t="str">
        <f>[1]Data!J995</f>
        <v/>
      </c>
      <c r="K1004" s="1" t="str">
        <f>[1]Data!K995</f>
        <v/>
      </c>
      <c r="L1004" s="1" t="str">
        <f>[1]Data!L995</f>
        <v/>
      </c>
      <c r="M1004" s="1" t="str">
        <f>[1]Data!M995</f>
        <v/>
      </c>
      <c r="N1004" s="1">
        <f>[1]Data!N995</f>
        <v>45842</v>
      </c>
      <c r="O1004" s="1" t="str">
        <f>[1]Data!O995</f>
        <v>X</v>
      </c>
      <c r="P1004" s="1" t="str">
        <f>[1]Data!P995</f>
        <v>2025</v>
      </c>
      <c r="Q1004" s="15">
        <f>[1]Data!Q995</f>
        <v>0</v>
      </c>
      <c r="R1004" s="1" t="str">
        <f>[1]Data!R995</f>
        <v>INAKTIV</v>
      </c>
    </row>
    <row r="1005" spans="1:18" x14ac:dyDescent="0.35">
      <c r="A1005" s="1" t="str">
        <f>[1]Data!A996</f>
        <v>4046120</v>
      </c>
      <c r="B1005" s="1" t="str">
        <f>[1]Data!B996</f>
        <v>3300</v>
      </c>
      <c r="C1005" s="1" t="str">
        <f>[1]Data!C996</f>
        <v>3001</v>
      </c>
      <c r="D1005" s="1" t="str">
        <f>[1]Data!D996</f>
        <v>L</v>
      </c>
      <c r="E1005" s="1" t="str">
        <f>[1]Data!E996</f>
        <v/>
      </c>
      <c r="F1005" s="1" t="str">
        <f>[1]Data!F996</f>
        <v>2025</v>
      </c>
      <c r="G1005" s="1" t="str">
        <f>[1]Data!G996</f>
        <v>7</v>
      </c>
      <c r="H1005" s="15">
        <f>[1]Data!H996</f>
        <v>0</v>
      </c>
      <c r="I1005" s="15">
        <f>[1]Data!I996</f>
        <v>0</v>
      </c>
      <c r="J1005" s="1" t="str">
        <f>[1]Data!J996</f>
        <v/>
      </c>
      <c r="K1005" s="1" t="str">
        <f>[1]Data!K996</f>
        <v/>
      </c>
      <c r="L1005" s="1" t="str">
        <f>[1]Data!L996</f>
        <v/>
      </c>
      <c r="M1005" s="1" t="str">
        <f>[1]Data!M996</f>
        <v/>
      </c>
      <c r="N1005" s="1">
        <f>[1]Data!N996</f>
        <v>45842</v>
      </c>
      <c r="O1005" s="1" t="str">
        <f>[1]Data!O996</f>
        <v>X</v>
      </c>
      <c r="P1005" s="1" t="str">
        <f>[1]Data!P996</f>
        <v>2025</v>
      </c>
      <c r="Q1005" s="15">
        <f>[1]Data!Q996</f>
        <v>0</v>
      </c>
      <c r="R1005" s="1" t="str">
        <f>[1]Data!R996</f>
        <v>INAKTIV</v>
      </c>
    </row>
    <row r="1006" spans="1:18" x14ac:dyDescent="0.35">
      <c r="A1006" s="1" t="str">
        <f>[1]Data!A997</f>
        <v>4046121</v>
      </c>
      <c r="B1006" s="1" t="str">
        <f>[1]Data!B997</f>
        <v>3300</v>
      </c>
      <c r="C1006" s="1" t="str">
        <f>[1]Data!C997</f>
        <v>3001</v>
      </c>
      <c r="D1006" s="1" t="str">
        <f>[1]Data!D997</f>
        <v>L</v>
      </c>
      <c r="E1006" s="1" t="str">
        <f>[1]Data!E997</f>
        <v/>
      </c>
      <c r="F1006" s="1" t="str">
        <f>[1]Data!F997</f>
        <v>2025</v>
      </c>
      <c r="G1006" s="1" t="str">
        <f>[1]Data!G997</f>
        <v>7</v>
      </c>
      <c r="H1006" s="15">
        <f>[1]Data!H997</f>
        <v>0</v>
      </c>
      <c r="I1006" s="15">
        <f>[1]Data!I997</f>
        <v>0</v>
      </c>
      <c r="J1006" s="1" t="str">
        <f>[1]Data!J997</f>
        <v/>
      </c>
      <c r="K1006" s="1" t="str">
        <f>[1]Data!K997</f>
        <v/>
      </c>
      <c r="L1006" s="1" t="str">
        <f>[1]Data!L997</f>
        <v/>
      </c>
      <c r="M1006" s="1" t="str">
        <f>[1]Data!M997</f>
        <v/>
      </c>
      <c r="N1006" s="1">
        <f>[1]Data!N997</f>
        <v>45842</v>
      </c>
      <c r="O1006" s="1" t="str">
        <f>[1]Data!O997</f>
        <v>X</v>
      </c>
      <c r="P1006" s="1" t="str">
        <f>[1]Data!P997</f>
        <v>2025</v>
      </c>
      <c r="Q1006" s="15">
        <f>[1]Data!Q997</f>
        <v>0</v>
      </c>
      <c r="R1006" s="1" t="str">
        <f>[1]Data!R997</f>
        <v>INAKTIV</v>
      </c>
    </row>
    <row r="1007" spans="1:18" x14ac:dyDescent="0.35">
      <c r="A1007" s="1" t="str">
        <f>[1]Data!A998</f>
        <v>4046122</v>
      </c>
      <c r="B1007" s="1" t="str">
        <f>[1]Data!B998</f>
        <v>3300</v>
      </c>
      <c r="C1007" s="1" t="str">
        <f>[1]Data!C998</f>
        <v>3001</v>
      </c>
      <c r="D1007" s="1" t="str">
        <f>[1]Data!D998</f>
        <v>L</v>
      </c>
      <c r="E1007" s="1" t="str">
        <f>[1]Data!E998</f>
        <v/>
      </c>
      <c r="F1007" s="1" t="str">
        <f>[1]Data!F998</f>
        <v>2025</v>
      </c>
      <c r="G1007" s="1" t="str">
        <f>[1]Data!G998</f>
        <v>7</v>
      </c>
      <c r="H1007" s="15">
        <f>[1]Data!H998</f>
        <v>0</v>
      </c>
      <c r="I1007" s="15">
        <f>[1]Data!I998</f>
        <v>0</v>
      </c>
      <c r="J1007" s="1" t="str">
        <f>[1]Data!J998</f>
        <v/>
      </c>
      <c r="K1007" s="1" t="str">
        <f>[1]Data!K998</f>
        <v/>
      </c>
      <c r="L1007" s="1" t="str">
        <f>[1]Data!L998</f>
        <v/>
      </c>
      <c r="M1007" s="1" t="str">
        <f>[1]Data!M998</f>
        <v/>
      </c>
      <c r="N1007" s="1">
        <f>[1]Data!N998</f>
        <v>45842</v>
      </c>
      <c r="O1007" s="1" t="str">
        <f>[1]Data!O998</f>
        <v>X</v>
      </c>
      <c r="P1007" s="1" t="str">
        <f>[1]Data!P998</f>
        <v>2025</v>
      </c>
      <c r="Q1007" s="15">
        <f>[1]Data!Q998</f>
        <v>0</v>
      </c>
      <c r="R1007" s="1" t="str">
        <f>[1]Data!R998</f>
        <v>INAKTIV</v>
      </c>
    </row>
    <row r="1008" spans="1:18" x14ac:dyDescent="0.35">
      <c r="A1008" s="1" t="str">
        <f>[1]Data!A999</f>
        <v>4046123</v>
      </c>
      <c r="B1008" s="1" t="str">
        <f>[1]Data!B999</f>
        <v>3300</v>
      </c>
      <c r="C1008" s="1" t="str">
        <f>[1]Data!C999</f>
        <v>3001</v>
      </c>
      <c r="D1008" s="1" t="str">
        <f>[1]Data!D999</f>
        <v>L</v>
      </c>
      <c r="E1008" s="1" t="str">
        <f>[1]Data!E999</f>
        <v/>
      </c>
      <c r="F1008" s="1" t="str">
        <f>[1]Data!F999</f>
        <v>2025</v>
      </c>
      <c r="G1008" s="1" t="str">
        <f>[1]Data!G999</f>
        <v>7</v>
      </c>
      <c r="H1008" s="15">
        <f>[1]Data!H999</f>
        <v>0</v>
      </c>
      <c r="I1008" s="15">
        <f>[1]Data!I999</f>
        <v>0</v>
      </c>
      <c r="J1008" s="1" t="str">
        <f>[1]Data!J999</f>
        <v/>
      </c>
      <c r="K1008" s="1" t="str">
        <f>[1]Data!K999</f>
        <v/>
      </c>
      <c r="L1008" s="1" t="str">
        <f>[1]Data!L999</f>
        <v/>
      </c>
      <c r="M1008" s="1" t="str">
        <f>[1]Data!M999</f>
        <v/>
      </c>
      <c r="N1008" s="1">
        <f>[1]Data!N999</f>
        <v>45842</v>
      </c>
      <c r="O1008" s="1" t="str">
        <f>[1]Data!O999</f>
        <v>X</v>
      </c>
      <c r="P1008" s="1" t="str">
        <f>[1]Data!P999</f>
        <v>2025</v>
      </c>
      <c r="Q1008" s="15">
        <f>[1]Data!Q999</f>
        <v>0</v>
      </c>
      <c r="R1008" s="1" t="str">
        <f>[1]Data!R999</f>
        <v>INAKTIV</v>
      </c>
    </row>
    <row r="1009" spans="1:18" x14ac:dyDescent="0.35">
      <c r="A1009" s="1" t="str">
        <f>[1]Data!A1000</f>
        <v>4046124</v>
      </c>
      <c r="B1009" s="1" t="str">
        <f>[1]Data!B1000</f>
        <v>3300</v>
      </c>
      <c r="C1009" s="1" t="str">
        <f>[1]Data!C1000</f>
        <v>3001</v>
      </c>
      <c r="D1009" s="1" t="str">
        <f>[1]Data!D1000</f>
        <v>L</v>
      </c>
      <c r="E1009" s="1" t="str">
        <f>[1]Data!E1000</f>
        <v/>
      </c>
      <c r="F1009" s="1" t="str">
        <f>[1]Data!F1000</f>
        <v>2025</v>
      </c>
      <c r="G1009" s="1" t="str">
        <f>[1]Data!G1000</f>
        <v>7</v>
      </c>
      <c r="H1009" s="15">
        <f>[1]Data!H1000</f>
        <v>0</v>
      </c>
      <c r="I1009" s="15">
        <f>[1]Data!I1000</f>
        <v>0</v>
      </c>
      <c r="J1009" s="1" t="str">
        <f>[1]Data!J1000</f>
        <v/>
      </c>
      <c r="K1009" s="1" t="str">
        <f>[1]Data!K1000</f>
        <v/>
      </c>
      <c r="L1009" s="1" t="str">
        <f>[1]Data!L1000</f>
        <v/>
      </c>
      <c r="M1009" s="1" t="str">
        <f>[1]Data!M1000</f>
        <v/>
      </c>
      <c r="N1009" s="1">
        <f>[1]Data!N1000</f>
        <v>45842</v>
      </c>
      <c r="O1009" s="1" t="str">
        <f>[1]Data!O1000</f>
        <v>X</v>
      </c>
      <c r="P1009" s="1" t="str">
        <f>[1]Data!P1000</f>
        <v>2025</v>
      </c>
      <c r="Q1009" s="15">
        <f>[1]Data!Q1000</f>
        <v>0</v>
      </c>
      <c r="R1009" s="1" t="str">
        <f>[1]Data!R1000</f>
        <v>INAKTIV</v>
      </c>
    </row>
    <row r="1010" spans="1:18" x14ac:dyDescent="0.35">
      <c r="A1010" s="1" t="str">
        <f>[1]Data!A1001</f>
        <v>4046125</v>
      </c>
      <c r="B1010" s="1" t="str">
        <f>[1]Data!B1001</f>
        <v>3300</v>
      </c>
      <c r="C1010" s="1" t="str">
        <f>[1]Data!C1001</f>
        <v>3001</v>
      </c>
      <c r="D1010" s="1" t="str">
        <f>[1]Data!D1001</f>
        <v>L</v>
      </c>
      <c r="E1010" s="1" t="str">
        <f>[1]Data!E1001</f>
        <v/>
      </c>
      <c r="F1010" s="1" t="str">
        <f>[1]Data!F1001</f>
        <v>2025</v>
      </c>
      <c r="G1010" s="1" t="str">
        <f>[1]Data!G1001</f>
        <v>7</v>
      </c>
      <c r="H1010" s="15">
        <f>[1]Data!H1001</f>
        <v>0</v>
      </c>
      <c r="I1010" s="15">
        <f>[1]Data!I1001</f>
        <v>0</v>
      </c>
      <c r="J1010" s="1" t="str">
        <f>[1]Data!J1001</f>
        <v/>
      </c>
      <c r="K1010" s="1" t="str">
        <f>[1]Data!K1001</f>
        <v/>
      </c>
      <c r="L1010" s="1" t="str">
        <f>[1]Data!L1001</f>
        <v/>
      </c>
      <c r="M1010" s="1" t="str">
        <f>[1]Data!M1001</f>
        <v/>
      </c>
      <c r="N1010" s="1">
        <f>[1]Data!N1001</f>
        <v>45842</v>
      </c>
      <c r="O1010" s="1" t="str">
        <f>[1]Data!O1001</f>
        <v>X</v>
      </c>
      <c r="P1010" s="1" t="str">
        <f>[1]Data!P1001</f>
        <v>2025</v>
      </c>
      <c r="Q1010" s="15">
        <f>[1]Data!Q1001</f>
        <v>0</v>
      </c>
      <c r="R1010" s="1" t="str">
        <f>[1]Data!R1001</f>
        <v>INAKTIV</v>
      </c>
    </row>
    <row r="1011" spans="1:18" x14ac:dyDescent="0.35">
      <c r="A1011" s="1" t="str">
        <f>[1]Data!A1002</f>
        <v>4046126</v>
      </c>
      <c r="B1011" s="1" t="str">
        <f>[1]Data!B1002</f>
        <v>3300</v>
      </c>
      <c r="C1011" s="1" t="str">
        <f>[1]Data!C1002</f>
        <v>3001</v>
      </c>
      <c r="D1011" s="1" t="str">
        <f>[1]Data!D1002</f>
        <v>L</v>
      </c>
      <c r="E1011" s="1" t="str">
        <f>[1]Data!E1002</f>
        <v/>
      </c>
      <c r="F1011" s="1" t="str">
        <f>[1]Data!F1002</f>
        <v>2025</v>
      </c>
      <c r="G1011" s="1" t="str">
        <f>[1]Data!G1002</f>
        <v>7</v>
      </c>
      <c r="H1011" s="15">
        <f>[1]Data!H1002</f>
        <v>0</v>
      </c>
      <c r="I1011" s="15">
        <f>[1]Data!I1002</f>
        <v>0</v>
      </c>
      <c r="J1011" s="1" t="str">
        <f>[1]Data!J1002</f>
        <v/>
      </c>
      <c r="K1011" s="1" t="str">
        <f>[1]Data!K1002</f>
        <v/>
      </c>
      <c r="L1011" s="1" t="str">
        <f>[1]Data!L1002</f>
        <v/>
      </c>
      <c r="M1011" s="1" t="str">
        <f>[1]Data!M1002</f>
        <v/>
      </c>
      <c r="N1011" s="1">
        <f>[1]Data!N1002</f>
        <v>45842</v>
      </c>
      <c r="O1011" s="1" t="str">
        <f>[1]Data!O1002</f>
        <v>X</v>
      </c>
      <c r="P1011" s="1" t="str">
        <f>[1]Data!P1002</f>
        <v>2025</v>
      </c>
      <c r="Q1011" s="15">
        <f>[1]Data!Q1002</f>
        <v>0</v>
      </c>
      <c r="R1011" s="1" t="str">
        <f>[1]Data!R1002</f>
        <v>INAKTIV</v>
      </c>
    </row>
    <row r="1012" spans="1:18" x14ac:dyDescent="0.35">
      <c r="A1012" s="1" t="str">
        <f>[1]Data!A1003</f>
        <v>4048468</v>
      </c>
      <c r="B1012" s="1" t="str">
        <f>[1]Data!B1003</f>
        <v>3300</v>
      </c>
      <c r="C1012" s="1" t="str">
        <f>[1]Data!C1003</f>
        <v>3001</v>
      </c>
      <c r="D1012" s="1" t="str">
        <f>[1]Data!D1003</f>
        <v>DL</v>
      </c>
      <c r="E1012" s="1" t="str">
        <f>[1]Data!E1003</f>
        <v/>
      </c>
      <c r="F1012" s="1" t="str">
        <f>[1]Data!F1003</f>
        <v>2026</v>
      </c>
      <c r="G1012" s="1" t="str">
        <f>[1]Data!G1003</f>
        <v>2</v>
      </c>
      <c r="H1012" s="15">
        <f>[1]Data!H1003</f>
        <v>240</v>
      </c>
      <c r="I1012" s="15">
        <f>[1]Data!I1003</f>
        <v>0</v>
      </c>
      <c r="J1012" s="1" t="str">
        <f>[1]Data!J1003</f>
        <v>X</v>
      </c>
      <c r="K1012" s="1" t="str">
        <f>[1]Data!K1003</f>
        <v/>
      </c>
      <c r="L1012" s="1" t="str">
        <f>[1]Data!L1003</f>
        <v>01:05:01</v>
      </c>
      <c r="M1012" s="1">
        <f>[1]Data!M1003</f>
        <v>46029</v>
      </c>
      <c r="N1012" s="1">
        <f>[1]Data!N1003</f>
        <v>45966</v>
      </c>
      <c r="O1012" s="1" t="str">
        <f>[1]Data!O1003</f>
        <v>X</v>
      </c>
      <c r="P1012" s="1" t="str">
        <f>[1]Data!P1003</f>
        <v>2026</v>
      </c>
      <c r="Q1012" s="15">
        <f>[1]Data!Q1003</f>
        <v>240</v>
      </c>
      <c r="R1012" s="1" t="str">
        <f>[1]Data!R1003</f>
        <v/>
      </c>
    </row>
    <row r="1013" spans="1:18" x14ac:dyDescent="0.35">
      <c r="A1013" s="1" t="str">
        <f>[1]Data!A1004</f>
        <v>4049107</v>
      </c>
      <c r="B1013" s="1" t="str">
        <f>[1]Data!B1004</f>
        <v>3300</v>
      </c>
      <c r="C1013" s="1" t="str">
        <f>[1]Data!C1004</f>
        <v>3001</v>
      </c>
      <c r="D1013" s="1" t="str">
        <f>[1]Data!D1004</f>
        <v>DL</v>
      </c>
      <c r="E1013" s="1" t="str">
        <f>[1]Data!E1004</f>
        <v/>
      </c>
      <c r="F1013" s="1" t="str">
        <f>[1]Data!F1004</f>
        <v>2026</v>
      </c>
      <c r="G1013" s="1" t="str">
        <f>[1]Data!G1004</f>
        <v>2</v>
      </c>
      <c r="H1013" s="15">
        <f>[1]Data!H1004</f>
        <v>2664</v>
      </c>
      <c r="I1013" s="15">
        <f>[1]Data!I1004</f>
        <v>0</v>
      </c>
      <c r="J1013" s="1" t="str">
        <f>[1]Data!J1004</f>
        <v/>
      </c>
      <c r="K1013" s="1" t="str">
        <f>[1]Data!K1004</f>
        <v/>
      </c>
      <c r="L1013" s="1" t="str">
        <f>[1]Data!L1004</f>
        <v>04:13:00*</v>
      </c>
      <c r="M1013" s="1" t="str">
        <f>[1]Data!M1004</f>
        <v/>
      </c>
      <c r="N1013" s="1">
        <f>[1]Data!N1004</f>
        <v>46045</v>
      </c>
      <c r="O1013" s="1" t="str">
        <f>[1]Data!O1004</f>
        <v>X</v>
      </c>
      <c r="P1013" s="1" t="str">
        <f>[1]Data!P1004</f>
        <v>2026</v>
      </c>
      <c r="Q1013" s="15">
        <f>[1]Data!Q1004</f>
        <v>2664</v>
      </c>
      <c r="R1013" s="1" t="str">
        <f>[1]Data!R1004</f>
        <v/>
      </c>
    </row>
    <row r="1014" spans="1:18" x14ac:dyDescent="0.35">
      <c r="A1014" s="1" t="str">
        <f>[1]Data!A1005</f>
        <v>4049121</v>
      </c>
      <c r="B1014" s="1" t="str">
        <f>[1]Data!B1005</f>
        <v>3300</v>
      </c>
      <c r="C1014" s="1" t="str">
        <f>[1]Data!C1005</f>
        <v>3001</v>
      </c>
      <c r="D1014" s="1" t="str">
        <f>[1]Data!D1005</f>
        <v>DL</v>
      </c>
      <c r="E1014" s="1" t="str">
        <f>[1]Data!E1005</f>
        <v/>
      </c>
      <c r="F1014" s="1" t="str">
        <f>[1]Data!F1005</f>
        <v>2026</v>
      </c>
      <c r="G1014" s="1" t="str">
        <f>[1]Data!G1005</f>
        <v>2</v>
      </c>
      <c r="H1014" s="15">
        <f>[1]Data!H1005</f>
        <v>24</v>
      </c>
      <c r="I1014" s="15">
        <f>[1]Data!I1005</f>
        <v>0</v>
      </c>
      <c r="J1014" s="1" t="str">
        <f>[1]Data!J1005</f>
        <v/>
      </c>
      <c r="K1014" s="1" t="str">
        <f>[1]Data!K1005</f>
        <v/>
      </c>
      <c r="L1014" s="1" t="str">
        <f>[1]Data!L1005</f>
        <v>09:10:03</v>
      </c>
      <c r="M1014" s="1" t="str">
        <f>[1]Data!M1005</f>
        <v/>
      </c>
      <c r="N1014" s="1">
        <f>[1]Data!N1005</f>
        <v>46038</v>
      </c>
      <c r="O1014" s="1" t="str">
        <f>[1]Data!O1005</f>
        <v>X</v>
      </c>
      <c r="P1014" s="1" t="str">
        <f>[1]Data!P1005</f>
        <v>2026</v>
      </c>
      <c r="Q1014" s="15">
        <f>[1]Data!Q1005</f>
        <v>24</v>
      </c>
      <c r="R1014" s="1" t="str">
        <f>[1]Data!R1005</f>
        <v/>
      </c>
    </row>
    <row r="1015" spans="1:18" x14ac:dyDescent="0.35">
      <c r="A1015" s="1" t="str">
        <f>[1]Data!A1006</f>
        <v>4049360</v>
      </c>
      <c r="B1015" s="1" t="str">
        <f>[1]Data!B1006</f>
        <v>3300</v>
      </c>
      <c r="C1015" s="1" t="str">
        <f>[1]Data!C1006</f>
        <v>3001</v>
      </c>
      <c r="D1015" s="1" t="str">
        <f>[1]Data!D1006</f>
        <v>DL</v>
      </c>
      <c r="E1015" s="1" t="str">
        <f>[1]Data!E1006</f>
        <v/>
      </c>
      <c r="F1015" s="1" t="str">
        <f>[1]Data!F1006</f>
        <v>2026</v>
      </c>
      <c r="G1015" s="1" t="str">
        <f>[1]Data!G1006</f>
        <v>3</v>
      </c>
      <c r="H1015" s="15">
        <f>[1]Data!H1006</f>
        <v>2400</v>
      </c>
      <c r="I1015" s="15">
        <f>[1]Data!I1006</f>
        <v>0</v>
      </c>
      <c r="J1015" s="1" t="str">
        <f>[1]Data!J1006</f>
        <v/>
      </c>
      <c r="K1015" s="1" t="str">
        <f>[1]Data!K1006</f>
        <v/>
      </c>
      <c r="L1015" s="1" t="str">
        <f>[1]Data!L1006</f>
        <v>17:00:00</v>
      </c>
      <c r="M1015" s="1" t="str">
        <f>[1]Data!M1006</f>
        <v/>
      </c>
      <c r="N1015" s="1">
        <f>[1]Data!N1006</f>
        <v>46059</v>
      </c>
      <c r="O1015" s="1" t="str">
        <f>[1]Data!O1006</f>
        <v>X</v>
      </c>
      <c r="P1015" s="1" t="str">
        <f>[1]Data!P1006</f>
        <v>2026</v>
      </c>
      <c r="Q1015" s="15">
        <f>[1]Data!Q1006</f>
        <v>2400</v>
      </c>
      <c r="R1015" s="1" t="str">
        <f>[1]Data!R1006</f>
        <v/>
      </c>
    </row>
    <row r="1016" spans="1:18" x14ac:dyDescent="0.35">
      <c r="A1016" s="1" t="str">
        <f>[1]Data!A1007</f>
        <v>4049385</v>
      </c>
      <c r="B1016" s="1" t="str">
        <f>[1]Data!B1007</f>
        <v>3300</v>
      </c>
      <c r="C1016" s="1" t="str">
        <f>[1]Data!C1007</f>
        <v>3001</v>
      </c>
      <c r="D1016" s="1" t="str">
        <f>[1]Data!D1007</f>
        <v>DL</v>
      </c>
      <c r="E1016" s="1" t="str">
        <f>[1]Data!E1007</f>
        <v/>
      </c>
      <c r="F1016" s="1" t="str">
        <f>[1]Data!F1007</f>
        <v>2026</v>
      </c>
      <c r="G1016" s="1" t="str">
        <f>[1]Data!G1007</f>
        <v>2</v>
      </c>
      <c r="H1016" s="15">
        <f>[1]Data!H1007</f>
        <v>0</v>
      </c>
      <c r="I1016" s="15">
        <f>[1]Data!I1007</f>
        <v>0</v>
      </c>
      <c r="J1016" s="1" t="str">
        <f>[1]Data!J1007</f>
        <v/>
      </c>
      <c r="K1016" s="1" t="str">
        <f>[1]Data!K1007</f>
        <v/>
      </c>
      <c r="L1016" s="1" t="str">
        <f>[1]Data!L1007</f>
        <v/>
      </c>
      <c r="M1016" s="1" t="str">
        <f>[1]Data!M1007</f>
        <v/>
      </c>
      <c r="N1016" s="1">
        <f>[1]Data!N1007</f>
        <v>46072</v>
      </c>
      <c r="O1016" s="1" t="str">
        <f>[1]Data!O1007</f>
        <v>X</v>
      </c>
      <c r="P1016" s="1" t="str">
        <f>[1]Data!P1007</f>
        <v>2026</v>
      </c>
      <c r="Q1016" s="15">
        <f>[1]Data!Q1007</f>
        <v>0</v>
      </c>
      <c r="R1016" s="1" t="str">
        <f>[1]Data!R1007</f>
        <v>INAKTIV</v>
      </c>
    </row>
  </sheetData>
  <autoFilter ref="A10:R10" xr:uid="{9A8A46F0-4148-4032-B672-5824197C9003}"/>
  <mergeCells count="1">
    <mergeCell ref="A1:R1"/>
  </mergeCells>
  <conditionalFormatting sqref="A11:R1016">
    <cfRule type="expression" dxfId="16" priority="1">
      <formula>MOD(ROW(),2)=1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F11C-5010-4E41-90A3-4969F9DF6C9A}">
  <dimension ref="A1:Z881"/>
  <sheetViews>
    <sheetView showGridLines="0" workbookViewId="0">
      <pane ySplit="10" topLeftCell="A11" activePane="bottomLeft" state="frozen"/>
      <selection pane="bottomLeft" activeCell="M35" sqref="M35"/>
    </sheetView>
  </sheetViews>
  <sheetFormatPr baseColWidth="10" defaultColWidth="11.54296875" defaultRowHeight="14.5" x14ac:dyDescent="0.35"/>
  <cols>
    <col min="1" max="1" width="20" style="1" bestFit="1" customWidth="1"/>
    <col min="2" max="2" width="14" style="1" bestFit="1" customWidth="1"/>
    <col min="3" max="3" width="21.36328125" style="1" bestFit="1" customWidth="1"/>
    <col min="4" max="4" width="11.1796875" style="1" bestFit="1" customWidth="1"/>
    <col min="5" max="5" width="18.90625" style="1" bestFit="1" customWidth="1"/>
    <col min="6" max="6" width="13.36328125" style="1" bestFit="1" customWidth="1"/>
    <col min="7" max="7" width="16.6328125" style="1" bestFit="1" customWidth="1"/>
    <col min="8" max="8" width="22.81640625" style="1" bestFit="1" customWidth="1"/>
    <col min="9" max="9" width="19" style="1" bestFit="1" customWidth="1"/>
    <col min="10" max="10" width="18.54296875" style="1" bestFit="1" customWidth="1"/>
    <col min="11" max="11" width="15" style="1" bestFit="1" customWidth="1"/>
    <col min="12" max="12" width="16.08984375" style="1" bestFit="1" customWidth="1"/>
    <col min="13" max="13" width="19.36328125" style="1" bestFit="1" customWidth="1"/>
    <col min="14" max="14" width="18.08984375" style="1" bestFit="1" customWidth="1"/>
    <col min="15" max="15" width="10.90625" style="1" bestFit="1" customWidth="1"/>
    <col min="16" max="16" width="12.08984375" style="1" bestFit="1" customWidth="1"/>
    <col min="17" max="17" width="12" style="1" bestFit="1" customWidth="1"/>
    <col min="18" max="18" width="36.08984375" style="1" bestFit="1" customWidth="1"/>
    <col min="19" max="19" width="26.90625" style="1" bestFit="1" customWidth="1"/>
    <col min="20" max="20" width="19" style="1" bestFit="1" customWidth="1"/>
    <col min="21" max="21" width="27.453125" style="1" bestFit="1" customWidth="1"/>
    <col min="22" max="22" width="16.90625" style="1" bestFit="1" customWidth="1"/>
    <col min="23" max="23" width="14.90625" style="1" bestFit="1" customWidth="1"/>
    <col min="24" max="24" width="14.1796875" style="1" bestFit="1" customWidth="1"/>
    <col min="25" max="25" width="16.6328125" style="1" bestFit="1" customWidth="1"/>
    <col min="26" max="26" width="16.36328125" style="1" bestFit="1" customWidth="1"/>
    <col min="27" max="16384" width="11.54296875" style="1"/>
  </cols>
  <sheetData>
    <row r="1" spans="1:26" ht="18.5" x14ac:dyDescent="0.45">
      <c r="A1" s="82" t="s">
        <v>3383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x14ac:dyDescent="0.35">
      <c r="A3" s="29" t="s">
        <v>1172</v>
      </c>
      <c r="B3" s="32">
        <v>871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35">
      <c r="A4" s="30" t="s">
        <v>3379</v>
      </c>
      <c r="B4" s="34">
        <v>0.82779999999999998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35">
      <c r="A5" s="30" t="s">
        <v>3384</v>
      </c>
      <c r="B5" s="34">
        <v>0.50060000000000004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35">
      <c r="A6" s="30" t="s">
        <v>3385</v>
      </c>
      <c r="B6" s="33">
        <v>150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35">
      <c r="A7" s="30" t="s">
        <v>3386</v>
      </c>
      <c r="B7" s="33">
        <v>435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35">
      <c r="A8" s="31" t="s">
        <v>3380</v>
      </c>
      <c r="B8" s="35" t="s">
        <v>258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35">
      <c r="A10" s="14" t="s">
        <v>5</v>
      </c>
      <c r="B10" s="14" t="s">
        <v>1170</v>
      </c>
      <c r="C10" s="14" t="s">
        <v>1169</v>
      </c>
      <c r="D10" s="14" t="s">
        <v>1168</v>
      </c>
      <c r="E10" s="14" t="s">
        <v>1167</v>
      </c>
      <c r="F10" s="14" t="s">
        <v>1166</v>
      </c>
      <c r="G10" s="14" t="s">
        <v>1165</v>
      </c>
      <c r="H10" s="14" t="s">
        <v>1164</v>
      </c>
      <c r="I10" s="14" t="s">
        <v>1163</v>
      </c>
      <c r="J10" s="14" t="s">
        <v>1162</v>
      </c>
      <c r="K10" s="14" t="s">
        <v>1161</v>
      </c>
      <c r="L10" s="14" t="s">
        <v>1160</v>
      </c>
      <c r="M10" s="14" t="s">
        <v>8</v>
      </c>
      <c r="N10" s="14" t="s">
        <v>1159</v>
      </c>
      <c r="O10" s="14" t="s">
        <v>1158</v>
      </c>
      <c r="P10" s="14" t="s">
        <v>1157</v>
      </c>
      <c r="Q10" s="14" t="s">
        <v>1156</v>
      </c>
      <c r="R10" s="14" t="s">
        <v>1155</v>
      </c>
      <c r="S10" s="14" t="s">
        <v>1154</v>
      </c>
      <c r="T10" s="14" t="s">
        <v>1153</v>
      </c>
      <c r="U10" s="14" t="s">
        <v>1152</v>
      </c>
      <c r="V10" s="14" t="s">
        <v>1151</v>
      </c>
      <c r="W10" s="14" t="s">
        <v>1150</v>
      </c>
      <c r="X10" s="14" t="s">
        <v>1149</v>
      </c>
      <c r="Y10" s="14" t="s">
        <v>1148</v>
      </c>
      <c r="Z10" s="14" t="s">
        <v>1147</v>
      </c>
    </row>
    <row r="11" spans="1:26" x14ac:dyDescent="0.35">
      <c r="A11" s="1">
        <v>4000005</v>
      </c>
      <c r="B11" s="1" t="s">
        <v>31</v>
      </c>
      <c r="C11" s="1">
        <v>3300</v>
      </c>
      <c r="D11" s="1" t="s">
        <v>30</v>
      </c>
      <c r="E11" s="1">
        <v>301</v>
      </c>
      <c r="F11" s="1">
        <v>0</v>
      </c>
      <c r="G11" s="1">
        <v>20</v>
      </c>
      <c r="H11" s="1" t="s">
        <v>29</v>
      </c>
      <c r="I11" s="1" t="s">
        <v>71</v>
      </c>
      <c r="J11" s="1">
        <v>50</v>
      </c>
      <c r="M11" s="1" t="s">
        <v>28</v>
      </c>
      <c r="N11" s="1">
        <v>0</v>
      </c>
      <c r="O11" s="1" t="s">
        <v>27</v>
      </c>
      <c r="P11" s="1">
        <v>45924</v>
      </c>
      <c r="Q11" s="1">
        <v>0.36790509259259002</v>
      </c>
      <c r="R11" s="1" t="s">
        <v>1146</v>
      </c>
      <c r="S11" s="1" t="s">
        <v>1145</v>
      </c>
      <c r="U11" s="1" t="s">
        <v>24</v>
      </c>
      <c r="V11" s="1">
        <v>1</v>
      </c>
      <c r="X11" s="1" t="s">
        <v>24</v>
      </c>
      <c r="Y11" s="1" t="s">
        <v>23</v>
      </c>
      <c r="Z11" s="1" t="s">
        <v>32</v>
      </c>
    </row>
    <row r="12" spans="1:26" x14ac:dyDescent="0.35">
      <c r="A12" s="1">
        <v>4000009</v>
      </c>
      <c r="B12" s="1" t="s">
        <v>31</v>
      </c>
      <c r="C12" s="1">
        <v>3300</v>
      </c>
      <c r="D12" s="1" t="s">
        <v>41</v>
      </c>
      <c r="E12" s="1">
        <v>301</v>
      </c>
      <c r="F12" s="1">
        <v>0</v>
      </c>
      <c r="G12" s="1">
        <v>594</v>
      </c>
      <c r="H12" s="1" t="s">
        <v>29</v>
      </c>
      <c r="I12" s="1">
        <v>20</v>
      </c>
      <c r="J12" s="1">
        <v>180</v>
      </c>
      <c r="K12" s="1" t="s">
        <v>24</v>
      </c>
      <c r="M12" s="1" t="s">
        <v>28</v>
      </c>
      <c r="N12" s="1">
        <v>0</v>
      </c>
      <c r="O12" s="1" t="s">
        <v>530</v>
      </c>
      <c r="P12" s="1">
        <v>45547</v>
      </c>
      <c r="Q12" s="1">
        <v>0.59811342592592998</v>
      </c>
      <c r="R12" s="1" t="s">
        <v>1144</v>
      </c>
      <c r="S12" s="1" t="s">
        <v>1143</v>
      </c>
      <c r="X12" s="1" t="s">
        <v>24</v>
      </c>
      <c r="Y12" s="1" t="s">
        <v>23</v>
      </c>
      <c r="Z12" s="1" t="s">
        <v>32</v>
      </c>
    </row>
    <row r="13" spans="1:26" x14ac:dyDescent="0.35">
      <c r="A13" s="1">
        <v>4000014</v>
      </c>
      <c r="B13" s="1" t="s">
        <v>31</v>
      </c>
      <c r="C13" s="1">
        <v>3300</v>
      </c>
      <c r="D13" s="1" t="s">
        <v>30</v>
      </c>
      <c r="E13" s="1">
        <v>301</v>
      </c>
      <c r="F13" s="1">
        <v>0</v>
      </c>
      <c r="G13" s="1">
        <v>400</v>
      </c>
      <c r="H13" s="1" t="s">
        <v>29</v>
      </c>
      <c r="I13" s="1" t="s">
        <v>71</v>
      </c>
      <c r="J13" s="1">
        <v>250</v>
      </c>
      <c r="M13" s="1" t="s">
        <v>28</v>
      </c>
      <c r="N13" s="1">
        <v>0</v>
      </c>
      <c r="O13" s="1" t="s">
        <v>27</v>
      </c>
      <c r="P13" s="1">
        <v>46007</v>
      </c>
      <c r="Q13" s="1">
        <v>0.32560185185184998</v>
      </c>
      <c r="R13" s="1">
        <v>0</v>
      </c>
      <c r="T13" s="1" t="s">
        <v>335</v>
      </c>
      <c r="U13" s="1" t="s">
        <v>24</v>
      </c>
      <c r="V13" s="1">
        <v>1</v>
      </c>
      <c r="W13" s="1" t="s">
        <v>271</v>
      </c>
      <c r="X13" s="1" t="s">
        <v>24</v>
      </c>
      <c r="Y13" s="1" t="s">
        <v>32</v>
      </c>
      <c r="Z13" s="1" t="s">
        <v>32</v>
      </c>
    </row>
    <row r="14" spans="1:26" x14ac:dyDescent="0.35">
      <c r="A14" s="1">
        <v>4000023</v>
      </c>
      <c r="B14" s="1" t="s">
        <v>31</v>
      </c>
      <c r="C14" s="1">
        <v>3300</v>
      </c>
      <c r="D14" s="1" t="s">
        <v>30</v>
      </c>
      <c r="E14" s="1">
        <v>301</v>
      </c>
      <c r="F14" s="1">
        <v>0</v>
      </c>
      <c r="G14" s="1">
        <v>400</v>
      </c>
      <c r="H14" s="1" t="s">
        <v>29</v>
      </c>
      <c r="I14" s="1">
        <v>20</v>
      </c>
      <c r="J14" s="1">
        <v>1440</v>
      </c>
      <c r="M14" s="1" t="s">
        <v>28</v>
      </c>
      <c r="N14" s="1">
        <v>0</v>
      </c>
      <c r="O14" s="1" t="s">
        <v>166</v>
      </c>
      <c r="P14" s="1">
        <v>45356</v>
      </c>
      <c r="Q14" s="1">
        <v>0.31668981481481001</v>
      </c>
      <c r="R14" s="1" t="s">
        <v>1142</v>
      </c>
      <c r="S14" s="1" t="s">
        <v>1141</v>
      </c>
      <c r="U14" s="1" t="s">
        <v>24</v>
      </c>
      <c r="V14" s="1">
        <v>1</v>
      </c>
      <c r="W14" s="1" t="s">
        <v>271</v>
      </c>
      <c r="X14" s="1" t="s">
        <v>141</v>
      </c>
      <c r="Y14" s="1" t="s">
        <v>32</v>
      </c>
      <c r="Z14" s="1" t="s">
        <v>32</v>
      </c>
    </row>
    <row r="15" spans="1:26" x14ac:dyDescent="0.35">
      <c r="A15" s="1">
        <v>4000024</v>
      </c>
      <c r="B15" s="1" t="s">
        <v>31</v>
      </c>
      <c r="C15" s="1">
        <v>3300</v>
      </c>
      <c r="D15" s="1" t="s">
        <v>30</v>
      </c>
      <c r="E15" s="1">
        <v>301</v>
      </c>
      <c r="F15" s="1">
        <v>0</v>
      </c>
      <c r="G15" s="1">
        <v>1800</v>
      </c>
      <c r="H15" s="1" t="s">
        <v>29</v>
      </c>
      <c r="I15" s="1">
        <v>20</v>
      </c>
      <c r="J15" s="1">
        <v>1440</v>
      </c>
      <c r="M15" s="1" t="s">
        <v>28</v>
      </c>
      <c r="N15" s="1">
        <v>0</v>
      </c>
      <c r="O15" s="1" t="s">
        <v>199</v>
      </c>
      <c r="P15" s="1">
        <v>45947</v>
      </c>
      <c r="Q15" s="1">
        <v>0.33091435185184997</v>
      </c>
      <c r="R15" s="1" t="s">
        <v>1140</v>
      </c>
      <c r="S15" s="1" t="s">
        <v>1139</v>
      </c>
      <c r="U15" s="1" t="s">
        <v>24</v>
      </c>
      <c r="V15" s="1">
        <v>1</v>
      </c>
      <c r="W15" s="1" t="s">
        <v>271</v>
      </c>
      <c r="X15" s="1" t="s">
        <v>141</v>
      </c>
      <c r="Y15" s="1" t="s">
        <v>32</v>
      </c>
      <c r="Z15" s="1" t="s">
        <v>32</v>
      </c>
    </row>
    <row r="16" spans="1:26" x14ac:dyDescent="0.35">
      <c r="A16" s="1">
        <v>4000027</v>
      </c>
      <c r="B16" s="1" t="s">
        <v>31</v>
      </c>
      <c r="C16" s="1">
        <v>3300</v>
      </c>
      <c r="D16" s="1" t="s">
        <v>30</v>
      </c>
      <c r="E16" s="1">
        <v>301</v>
      </c>
      <c r="F16" s="1">
        <v>0</v>
      </c>
      <c r="G16" s="1">
        <v>10</v>
      </c>
      <c r="H16" s="1" t="s">
        <v>29</v>
      </c>
      <c r="I16" s="1" t="s">
        <v>71</v>
      </c>
      <c r="J16" s="1">
        <v>40</v>
      </c>
      <c r="M16" s="1" t="s">
        <v>28</v>
      </c>
      <c r="N16" s="1">
        <v>5</v>
      </c>
      <c r="O16" s="1" t="s">
        <v>27</v>
      </c>
      <c r="P16" s="1">
        <v>46052</v>
      </c>
      <c r="Q16" s="1">
        <v>0.51880787037037002</v>
      </c>
      <c r="R16" s="1" t="s">
        <v>1138</v>
      </c>
      <c r="S16" s="1" t="s">
        <v>1137</v>
      </c>
      <c r="T16" s="1" t="s">
        <v>335</v>
      </c>
      <c r="U16" s="1" t="s">
        <v>24</v>
      </c>
      <c r="V16" s="1">
        <v>1</v>
      </c>
      <c r="W16" s="1" t="s">
        <v>258</v>
      </c>
      <c r="X16" s="1" t="s">
        <v>141</v>
      </c>
      <c r="Y16" s="1" t="s">
        <v>32</v>
      </c>
      <c r="Z16" s="1" t="s">
        <v>32</v>
      </c>
    </row>
    <row r="17" spans="1:26" x14ac:dyDescent="0.35">
      <c r="A17" s="1">
        <v>4000060</v>
      </c>
      <c r="B17" s="1" t="s">
        <v>31</v>
      </c>
      <c r="C17" s="1">
        <v>3300</v>
      </c>
      <c r="D17" s="1" t="s">
        <v>30</v>
      </c>
      <c r="E17" s="1">
        <v>301</v>
      </c>
      <c r="F17" s="1">
        <v>0</v>
      </c>
      <c r="G17" s="1">
        <v>1200</v>
      </c>
      <c r="H17" s="1" t="s">
        <v>29</v>
      </c>
      <c r="I17" s="1" t="s">
        <v>71</v>
      </c>
      <c r="J17" s="1">
        <v>1600</v>
      </c>
      <c r="M17" s="1" t="s">
        <v>28</v>
      </c>
      <c r="N17" s="1">
        <v>0</v>
      </c>
      <c r="O17" s="1" t="s">
        <v>27</v>
      </c>
      <c r="P17" s="1">
        <v>46057</v>
      </c>
      <c r="Q17" s="1">
        <v>0.54243055555555997</v>
      </c>
      <c r="R17" s="1" t="s">
        <v>1136</v>
      </c>
      <c r="S17" s="1" t="s">
        <v>1135</v>
      </c>
      <c r="U17" s="1" t="s">
        <v>24</v>
      </c>
      <c r="V17" s="1">
        <v>1</v>
      </c>
      <c r="W17" s="1" t="s">
        <v>289</v>
      </c>
      <c r="X17" s="1" t="s">
        <v>24</v>
      </c>
      <c r="Y17" s="1" t="s">
        <v>32</v>
      </c>
      <c r="Z17" s="1" t="s">
        <v>32</v>
      </c>
    </row>
    <row r="18" spans="1:26" x14ac:dyDescent="0.35">
      <c r="A18" s="1">
        <v>4000061</v>
      </c>
      <c r="B18" s="1" t="s">
        <v>31</v>
      </c>
      <c r="C18" s="1">
        <v>3300</v>
      </c>
      <c r="D18" s="1" t="s">
        <v>30</v>
      </c>
      <c r="E18" s="1">
        <v>301</v>
      </c>
      <c r="F18" s="1">
        <v>0</v>
      </c>
      <c r="G18" s="1">
        <v>1500</v>
      </c>
      <c r="H18" s="1" t="s">
        <v>29</v>
      </c>
      <c r="I18" s="1" t="s">
        <v>247</v>
      </c>
      <c r="J18" s="1">
        <v>2600</v>
      </c>
      <c r="M18" s="1" t="s">
        <v>28</v>
      </c>
      <c r="N18" s="1">
        <v>0</v>
      </c>
      <c r="O18" s="1" t="s">
        <v>166</v>
      </c>
      <c r="P18" s="1">
        <v>45687</v>
      </c>
      <c r="Q18" s="1">
        <v>0.34343750000000001</v>
      </c>
      <c r="R18" s="1" t="s">
        <v>1134</v>
      </c>
      <c r="S18" s="1" t="s">
        <v>1133</v>
      </c>
      <c r="U18" s="1" t="s">
        <v>24</v>
      </c>
      <c r="V18" s="1">
        <v>1</v>
      </c>
      <c r="W18" s="1" t="s">
        <v>271</v>
      </c>
      <c r="X18" s="1" t="s">
        <v>24</v>
      </c>
      <c r="Y18" s="1" t="s">
        <v>32</v>
      </c>
      <c r="Z18" s="1" t="s">
        <v>32</v>
      </c>
    </row>
    <row r="19" spans="1:26" x14ac:dyDescent="0.35">
      <c r="A19" s="1">
        <v>4000062</v>
      </c>
      <c r="B19" s="1" t="s">
        <v>31</v>
      </c>
      <c r="C19" s="1">
        <v>3300</v>
      </c>
      <c r="D19" s="1" t="s">
        <v>41</v>
      </c>
      <c r="G19" s="1">
        <v>0</v>
      </c>
      <c r="J19" s="1">
        <v>0</v>
      </c>
      <c r="M19" s="1" t="s">
        <v>28</v>
      </c>
      <c r="N19" s="1">
        <v>0</v>
      </c>
      <c r="O19" s="1" t="s">
        <v>743</v>
      </c>
      <c r="P19" s="1">
        <v>45040</v>
      </c>
      <c r="Q19" s="1">
        <v>0.69572916666666995</v>
      </c>
      <c r="R19" s="1" t="s">
        <v>1132</v>
      </c>
      <c r="S19" s="1" t="s">
        <v>1131</v>
      </c>
      <c r="U19" s="1" t="s">
        <v>24</v>
      </c>
      <c r="V19" s="1">
        <v>1</v>
      </c>
      <c r="W19" s="1" t="s">
        <v>258</v>
      </c>
      <c r="X19" s="1" t="s">
        <v>24</v>
      </c>
      <c r="Y19" s="1" t="s">
        <v>32</v>
      </c>
      <c r="Z19" s="1" t="s">
        <v>32</v>
      </c>
    </row>
    <row r="20" spans="1:26" x14ac:dyDescent="0.35">
      <c r="A20" s="1">
        <v>4000063</v>
      </c>
      <c r="B20" s="1" t="s">
        <v>31</v>
      </c>
      <c r="C20" s="1">
        <v>3300</v>
      </c>
      <c r="D20" s="1" t="s">
        <v>41</v>
      </c>
      <c r="G20" s="1">
        <v>0</v>
      </c>
      <c r="I20" s="1" t="s">
        <v>247</v>
      </c>
      <c r="J20" s="1">
        <v>0</v>
      </c>
      <c r="M20" s="1" t="s">
        <v>28</v>
      </c>
      <c r="N20" s="1">
        <v>0</v>
      </c>
      <c r="O20" s="1" t="s">
        <v>236</v>
      </c>
      <c r="P20" s="1">
        <v>45204</v>
      </c>
      <c r="Q20" s="1">
        <v>0.44590277777777998</v>
      </c>
      <c r="R20" s="1">
        <v>0</v>
      </c>
      <c r="U20" s="1" t="s">
        <v>24</v>
      </c>
      <c r="V20" s="1">
        <v>1</v>
      </c>
      <c r="W20" s="1" t="s">
        <v>258</v>
      </c>
      <c r="X20" s="1" t="s">
        <v>24</v>
      </c>
      <c r="Y20" s="1" t="s">
        <v>32</v>
      </c>
      <c r="Z20" s="1" t="s">
        <v>32</v>
      </c>
    </row>
    <row r="21" spans="1:26" x14ac:dyDescent="0.35">
      <c r="A21" s="1">
        <v>4000065</v>
      </c>
      <c r="B21" s="1" t="s">
        <v>31</v>
      </c>
      <c r="C21" s="1">
        <v>3300</v>
      </c>
      <c r="D21" s="1" t="s">
        <v>30</v>
      </c>
      <c r="E21" s="1">
        <v>301</v>
      </c>
      <c r="F21" s="1">
        <v>0</v>
      </c>
      <c r="G21" s="1">
        <v>8000</v>
      </c>
      <c r="H21" s="1" t="s">
        <v>29</v>
      </c>
      <c r="I21" s="1" t="s">
        <v>247</v>
      </c>
      <c r="J21" s="1">
        <v>20000</v>
      </c>
      <c r="M21" s="1" t="s">
        <v>28</v>
      </c>
      <c r="N21" s="1">
        <v>0</v>
      </c>
      <c r="O21" s="1" t="s">
        <v>743</v>
      </c>
      <c r="P21" s="1">
        <v>44703</v>
      </c>
      <c r="Q21" s="1">
        <v>0.92457175925926005</v>
      </c>
      <c r="R21" s="1" t="s">
        <v>1130</v>
      </c>
      <c r="S21" s="1" t="s">
        <v>1129</v>
      </c>
      <c r="U21" s="1" t="s">
        <v>24</v>
      </c>
      <c r="V21" s="1">
        <v>1</v>
      </c>
      <c r="W21" s="1" t="s">
        <v>271</v>
      </c>
      <c r="X21" s="1" t="s">
        <v>24</v>
      </c>
      <c r="Y21" s="1" t="s">
        <v>32</v>
      </c>
      <c r="Z21" s="1" t="s">
        <v>32</v>
      </c>
    </row>
    <row r="22" spans="1:26" x14ac:dyDescent="0.35">
      <c r="A22" s="1">
        <v>4000066</v>
      </c>
      <c r="B22" s="1" t="s">
        <v>31</v>
      </c>
      <c r="C22" s="1">
        <v>3300</v>
      </c>
      <c r="D22" s="1" t="s">
        <v>30</v>
      </c>
      <c r="E22" s="1">
        <v>301</v>
      </c>
      <c r="F22" s="1">
        <v>0</v>
      </c>
      <c r="G22" s="1">
        <v>200</v>
      </c>
      <c r="H22" s="1" t="s">
        <v>29</v>
      </c>
      <c r="I22" s="1" t="s">
        <v>71</v>
      </c>
      <c r="J22" s="1">
        <v>100</v>
      </c>
      <c r="M22" s="1" t="s">
        <v>28</v>
      </c>
      <c r="N22" s="1">
        <v>0</v>
      </c>
      <c r="O22" s="1" t="s">
        <v>27</v>
      </c>
      <c r="P22" s="1">
        <v>46007</v>
      </c>
      <c r="Q22" s="1">
        <v>0.30540509259259002</v>
      </c>
      <c r="R22" s="1">
        <v>0</v>
      </c>
      <c r="T22" s="1" t="s">
        <v>335</v>
      </c>
      <c r="U22" s="1" t="s">
        <v>24</v>
      </c>
      <c r="V22" s="1">
        <v>1</v>
      </c>
      <c r="W22" s="1" t="s">
        <v>258</v>
      </c>
      <c r="X22" s="1" t="s">
        <v>24</v>
      </c>
      <c r="Y22" s="1" t="s">
        <v>32</v>
      </c>
      <c r="Z22" s="1" t="s">
        <v>32</v>
      </c>
    </row>
    <row r="23" spans="1:26" x14ac:dyDescent="0.35">
      <c r="A23" s="1">
        <v>4000067</v>
      </c>
      <c r="B23" s="1" t="s">
        <v>31</v>
      </c>
      <c r="C23" s="1">
        <v>3300</v>
      </c>
      <c r="D23" s="1" t="s">
        <v>30</v>
      </c>
      <c r="E23" s="1">
        <v>301</v>
      </c>
      <c r="F23" s="1">
        <v>0</v>
      </c>
      <c r="G23" s="1">
        <v>25</v>
      </c>
      <c r="H23" s="1" t="s">
        <v>29</v>
      </c>
      <c r="I23" s="1" t="s">
        <v>71</v>
      </c>
      <c r="J23" s="1">
        <v>100</v>
      </c>
      <c r="M23" s="1" t="s">
        <v>28</v>
      </c>
      <c r="N23" s="1">
        <v>5</v>
      </c>
      <c r="O23" s="1" t="s">
        <v>27</v>
      </c>
      <c r="P23" s="1">
        <v>45924</v>
      </c>
      <c r="Q23" s="1">
        <v>0.38189814814814999</v>
      </c>
      <c r="R23" s="1">
        <v>0</v>
      </c>
      <c r="T23" s="1" t="s">
        <v>335</v>
      </c>
      <c r="U23" s="1" t="s">
        <v>24</v>
      </c>
      <c r="V23" s="1">
        <v>1</v>
      </c>
      <c r="W23" s="1" t="s">
        <v>258</v>
      </c>
      <c r="Y23" s="1" t="s">
        <v>32</v>
      </c>
      <c r="Z23" s="1" t="s">
        <v>23</v>
      </c>
    </row>
    <row r="24" spans="1:26" x14ac:dyDescent="0.35">
      <c r="A24" s="1">
        <v>4000069</v>
      </c>
      <c r="B24" s="1" t="s">
        <v>31</v>
      </c>
      <c r="C24" s="1">
        <v>3300</v>
      </c>
      <c r="D24" s="1" t="s">
        <v>41</v>
      </c>
      <c r="G24" s="1">
        <v>0</v>
      </c>
      <c r="J24" s="1">
        <v>0</v>
      </c>
      <c r="M24" s="1" t="s">
        <v>28</v>
      </c>
      <c r="N24" s="1">
        <v>0</v>
      </c>
      <c r="O24" s="1" t="s">
        <v>236</v>
      </c>
      <c r="P24" s="1">
        <v>45204</v>
      </c>
      <c r="Q24" s="1">
        <v>0.44784722222222001</v>
      </c>
      <c r="R24" s="1" t="s">
        <v>1128</v>
      </c>
      <c r="S24" s="1" t="s">
        <v>1127</v>
      </c>
      <c r="U24" s="1" t="s">
        <v>24</v>
      </c>
      <c r="V24" s="1">
        <v>1</v>
      </c>
      <c r="W24" s="1" t="s">
        <v>258</v>
      </c>
      <c r="X24" s="1" t="s">
        <v>24</v>
      </c>
      <c r="Y24" s="1" t="s">
        <v>32</v>
      </c>
      <c r="Z24" s="1" t="s">
        <v>32</v>
      </c>
    </row>
    <row r="25" spans="1:26" x14ac:dyDescent="0.35">
      <c r="A25" s="1">
        <v>4000072</v>
      </c>
      <c r="B25" s="1" t="s">
        <v>31</v>
      </c>
      <c r="C25" s="1">
        <v>3300</v>
      </c>
      <c r="D25" s="1" t="s">
        <v>30</v>
      </c>
      <c r="E25" s="1">
        <v>301</v>
      </c>
      <c r="F25" s="1">
        <v>0</v>
      </c>
      <c r="G25" s="1">
        <v>1000</v>
      </c>
      <c r="H25" s="1" t="s">
        <v>29</v>
      </c>
      <c r="I25" s="1" t="s">
        <v>71</v>
      </c>
      <c r="J25" s="1">
        <v>480</v>
      </c>
      <c r="M25" s="1" t="s">
        <v>28</v>
      </c>
      <c r="N25" s="1">
        <v>0</v>
      </c>
      <c r="O25" s="1" t="s">
        <v>27</v>
      </c>
      <c r="P25" s="1">
        <v>45988</v>
      </c>
      <c r="Q25" s="1">
        <v>0.2765162037037</v>
      </c>
      <c r="R25" s="1" t="s">
        <v>1126</v>
      </c>
      <c r="S25" s="1" t="s">
        <v>1125</v>
      </c>
      <c r="U25" s="1" t="s">
        <v>24</v>
      </c>
      <c r="V25" s="1">
        <v>1</v>
      </c>
      <c r="W25" s="1" t="s">
        <v>289</v>
      </c>
      <c r="X25" s="1" t="s">
        <v>24</v>
      </c>
      <c r="Y25" s="1" t="s">
        <v>32</v>
      </c>
      <c r="Z25" s="1" t="s">
        <v>32</v>
      </c>
    </row>
    <row r="26" spans="1:26" x14ac:dyDescent="0.35">
      <c r="A26" s="1">
        <v>4000077</v>
      </c>
      <c r="B26" s="1" t="s">
        <v>31</v>
      </c>
      <c r="C26" s="1">
        <v>3300</v>
      </c>
      <c r="D26" s="1" t="s">
        <v>30</v>
      </c>
      <c r="E26" s="1">
        <v>301</v>
      </c>
      <c r="F26" s="1">
        <v>0</v>
      </c>
      <c r="G26" s="1">
        <v>400</v>
      </c>
      <c r="H26" s="1" t="s">
        <v>29</v>
      </c>
      <c r="I26" s="1" t="s">
        <v>247</v>
      </c>
      <c r="J26" s="1">
        <v>200</v>
      </c>
      <c r="M26" s="1" t="s">
        <v>28</v>
      </c>
      <c r="N26" s="1">
        <v>0</v>
      </c>
      <c r="O26" s="1" t="s">
        <v>166</v>
      </c>
      <c r="P26" s="1">
        <v>45489</v>
      </c>
      <c r="Q26" s="1">
        <v>0.32076388888889001</v>
      </c>
      <c r="R26" s="1" t="s">
        <v>1124</v>
      </c>
      <c r="S26" s="1" t="s">
        <v>1123</v>
      </c>
      <c r="T26" s="1" t="s">
        <v>335</v>
      </c>
      <c r="U26" s="1" t="s">
        <v>24</v>
      </c>
      <c r="V26" s="1">
        <v>1</v>
      </c>
      <c r="W26" s="1" t="s">
        <v>289</v>
      </c>
      <c r="X26" s="1" t="s">
        <v>141</v>
      </c>
      <c r="Y26" s="1" t="s">
        <v>32</v>
      </c>
      <c r="Z26" s="1" t="s">
        <v>32</v>
      </c>
    </row>
    <row r="27" spans="1:26" x14ac:dyDescent="0.35">
      <c r="A27" s="1">
        <v>4000078</v>
      </c>
      <c r="B27" s="1" t="s">
        <v>31</v>
      </c>
      <c r="C27" s="1">
        <v>3300</v>
      </c>
      <c r="D27" s="1" t="s">
        <v>30</v>
      </c>
      <c r="E27" s="1">
        <v>301</v>
      </c>
      <c r="F27" s="1">
        <v>0</v>
      </c>
      <c r="G27" s="1">
        <v>1000</v>
      </c>
      <c r="H27" s="1" t="s">
        <v>29</v>
      </c>
      <c r="I27" s="1">
        <v>20</v>
      </c>
      <c r="J27" s="1">
        <v>1000</v>
      </c>
      <c r="M27" s="1" t="s">
        <v>28</v>
      </c>
      <c r="N27" s="1">
        <v>0</v>
      </c>
      <c r="O27" s="1" t="s">
        <v>27</v>
      </c>
      <c r="P27" s="1">
        <v>46035</v>
      </c>
      <c r="Q27" s="1">
        <v>0.27616898148148</v>
      </c>
      <c r="R27" s="1" t="s">
        <v>1122</v>
      </c>
      <c r="S27" s="1" t="s">
        <v>1121</v>
      </c>
      <c r="T27" s="1" t="s">
        <v>335</v>
      </c>
      <c r="U27" s="1" t="s">
        <v>24</v>
      </c>
      <c r="V27" s="1">
        <v>1</v>
      </c>
      <c r="W27" s="1" t="s">
        <v>258</v>
      </c>
      <c r="X27" s="1" t="s">
        <v>24</v>
      </c>
      <c r="Y27" s="1" t="s">
        <v>32</v>
      </c>
      <c r="Z27" s="1" t="s">
        <v>32</v>
      </c>
    </row>
    <row r="28" spans="1:26" x14ac:dyDescent="0.35">
      <c r="A28" s="1">
        <v>4000084</v>
      </c>
      <c r="B28" s="1" t="s">
        <v>31</v>
      </c>
      <c r="C28" s="1">
        <v>3300</v>
      </c>
      <c r="D28" s="1" t="s">
        <v>30</v>
      </c>
      <c r="E28" s="1">
        <v>301</v>
      </c>
      <c r="F28" s="1">
        <v>0</v>
      </c>
      <c r="G28" s="1">
        <v>106</v>
      </c>
      <c r="H28" s="1" t="s">
        <v>29</v>
      </c>
      <c r="I28" s="1">
        <v>20</v>
      </c>
      <c r="J28" s="1">
        <v>56</v>
      </c>
      <c r="M28" s="1" t="s">
        <v>28</v>
      </c>
      <c r="N28" s="1">
        <v>5</v>
      </c>
      <c r="O28" s="1" t="s">
        <v>27</v>
      </c>
      <c r="P28" s="1">
        <v>45446</v>
      </c>
      <c r="Q28" s="1">
        <v>0.36844907407407002</v>
      </c>
      <c r="R28" s="1" t="s">
        <v>1120</v>
      </c>
      <c r="S28" s="1" t="s">
        <v>1119</v>
      </c>
      <c r="T28" s="1" t="s">
        <v>335</v>
      </c>
      <c r="U28" s="1" t="s">
        <v>24</v>
      </c>
      <c r="V28" s="1">
        <v>1</v>
      </c>
      <c r="W28" s="1" t="s">
        <v>258</v>
      </c>
      <c r="X28" s="1" t="s">
        <v>24</v>
      </c>
      <c r="Y28" s="1" t="s">
        <v>32</v>
      </c>
      <c r="Z28" s="1" t="s">
        <v>32</v>
      </c>
    </row>
    <row r="29" spans="1:26" x14ac:dyDescent="0.35">
      <c r="A29" s="1">
        <v>4000090</v>
      </c>
      <c r="B29" s="1" t="s">
        <v>31</v>
      </c>
      <c r="C29" s="1">
        <v>3300</v>
      </c>
      <c r="D29" s="1" t="s">
        <v>30</v>
      </c>
      <c r="E29" s="1">
        <v>301</v>
      </c>
      <c r="F29" s="1">
        <v>0</v>
      </c>
      <c r="G29" s="1">
        <v>3000</v>
      </c>
      <c r="H29" s="1" t="s">
        <v>29</v>
      </c>
      <c r="I29" s="1">
        <v>20</v>
      </c>
      <c r="J29" s="1">
        <v>1200</v>
      </c>
      <c r="M29" s="1" t="s">
        <v>28</v>
      </c>
      <c r="N29" s="1">
        <v>0</v>
      </c>
      <c r="O29" s="1" t="s">
        <v>27</v>
      </c>
      <c r="P29" s="1">
        <v>45306</v>
      </c>
      <c r="Q29" s="1">
        <v>0.30049768518518999</v>
      </c>
      <c r="R29" s="1" t="s">
        <v>1118</v>
      </c>
      <c r="S29" s="1" t="s">
        <v>1117</v>
      </c>
      <c r="T29" s="1" t="s">
        <v>335</v>
      </c>
      <c r="U29" s="1" t="s">
        <v>24</v>
      </c>
      <c r="V29" s="1">
        <v>1</v>
      </c>
      <c r="W29" s="1" t="s">
        <v>289</v>
      </c>
      <c r="Y29" s="1" t="s">
        <v>32</v>
      </c>
      <c r="Z29" s="1" t="s">
        <v>23</v>
      </c>
    </row>
    <row r="30" spans="1:26" x14ac:dyDescent="0.35">
      <c r="A30" s="1">
        <v>4000094</v>
      </c>
      <c r="B30" s="1" t="s">
        <v>31</v>
      </c>
      <c r="C30" s="1">
        <v>3300</v>
      </c>
      <c r="D30" s="1" t="s">
        <v>30</v>
      </c>
      <c r="E30" s="1">
        <v>301</v>
      </c>
      <c r="F30" s="1">
        <v>0</v>
      </c>
      <c r="G30" s="1">
        <v>3500</v>
      </c>
      <c r="H30" s="1" t="s">
        <v>29</v>
      </c>
      <c r="I30" s="1" t="s">
        <v>71</v>
      </c>
      <c r="J30" s="1">
        <v>4000</v>
      </c>
      <c r="M30" s="1" t="s">
        <v>28</v>
      </c>
      <c r="N30" s="1">
        <v>0</v>
      </c>
      <c r="O30" s="1" t="s">
        <v>27</v>
      </c>
      <c r="P30" s="1">
        <v>45973</v>
      </c>
      <c r="Q30" s="1">
        <v>0.28586805555556</v>
      </c>
      <c r="R30" s="1" t="s">
        <v>1116</v>
      </c>
      <c r="S30" s="1" t="s">
        <v>1115</v>
      </c>
      <c r="U30" s="1" t="s">
        <v>24</v>
      </c>
      <c r="V30" s="1">
        <v>1</v>
      </c>
      <c r="W30" s="1" t="s">
        <v>271</v>
      </c>
      <c r="X30" s="1" t="s">
        <v>141</v>
      </c>
      <c r="Y30" s="1" t="s">
        <v>32</v>
      </c>
      <c r="Z30" s="1" t="s">
        <v>32</v>
      </c>
    </row>
    <row r="31" spans="1:26" x14ac:dyDescent="0.35">
      <c r="A31" s="1">
        <v>4000108</v>
      </c>
      <c r="B31" s="1" t="s">
        <v>31</v>
      </c>
      <c r="C31" s="1">
        <v>3300</v>
      </c>
      <c r="D31" s="1" t="s">
        <v>30</v>
      </c>
      <c r="E31" s="1">
        <v>301</v>
      </c>
      <c r="F31" s="1">
        <v>0</v>
      </c>
      <c r="G31" s="1">
        <v>3000</v>
      </c>
      <c r="H31" s="1" t="s">
        <v>29</v>
      </c>
      <c r="I31" s="1">
        <v>20</v>
      </c>
      <c r="J31" s="1">
        <v>600</v>
      </c>
      <c r="M31" s="1" t="s">
        <v>28</v>
      </c>
      <c r="N31" s="1">
        <v>5</v>
      </c>
      <c r="O31" s="1" t="s">
        <v>236</v>
      </c>
      <c r="P31" s="1">
        <v>45358</v>
      </c>
      <c r="Q31" s="1">
        <v>0.38288194444444001</v>
      </c>
      <c r="R31" s="1" t="s">
        <v>1114</v>
      </c>
      <c r="S31" s="1" t="s">
        <v>1113</v>
      </c>
      <c r="T31" s="1" t="s">
        <v>335</v>
      </c>
      <c r="U31" s="1" t="s">
        <v>24</v>
      </c>
      <c r="V31" s="1">
        <v>1</v>
      </c>
      <c r="W31" s="1" t="s">
        <v>271</v>
      </c>
      <c r="X31" s="1" t="s">
        <v>141</v>
      </c>
      <c r="Y31" s="1" t="s">
        <v>32</v>
      </c>
      <c r="Z31" s="1" t="s">
        <v>32</v>
      </c>
    </row>
    <row r="32" spans="1:26" x14ac:dyDescent="0.35">
      <c r="A32" s="1">
        <v>4000273</v>
      </c>
      <c r="B32" s="1" t="s">
        <v>31</v>
      </c>
      <c r="C32" s="1">
        <v>3300</v>
      </c>
      <c r="D32" s="1" t="s">
        <v>30</v>
      </c>
      <c r="E32" s="1">
        <v>301</v>
      </c>
      <c r="F32" s="1">
        <v>0</v>
      </c>
      <c r="G32" s="1">
        <v>9000</v>
      </c>
      <c r="H32" s="1" t="s">
        <v>29</v>
      </c>
      <c r="I32" s="1" t="s">
        <v>71</v>
      </c>
      <c r="J32" s="1">
        <v>11520</v>
      </c>
      <c r="M32" s="1" t="s">
        <v>28</v>
      </c>
      <c r="N32" s="1">
        <v>0</v>
      </c>
      <c r="O32" s="1" t="s">
        <v>27</v>
      </c>
      <c r="P32" s="1">
        <v>45924</v>
      </c>
      <c r="Q32" s="1">
        <v>0.53972222222221999</v>
      </c>
      <c r="R32" s="1">
        <v>0</v>
      </c>
      <c r="U32" s="1" t="s">
        <v>24</v>
      </c>
      <c r="V32" s="1">
        <v>1</v>
      </c>
      <c r="W32" s="1" t="s">
        <v>271</v>
      </c>
      <c r="X32" s="1" t="s">
        <v>141</v>
      </c>
      <c r="Y32" s="1" t="s">
        <v>32</v>
      </c>
      <c r="Z32" s="1" t="s">
        <v>32</v>
      </c>
    </row>
    <row r="33" spans="1:26" x14ac:dyDescent="0.35">
      <c r="A33" s="1">
        <v>4000274</v>
      </c>
      <c r="B33" s="1" t="s">
        <v>31</v>
      </c>
      <c r="C33" s="1">
        <v>3300</v>
      </c>
      <c r="D33" s="1" t="s">
        <v>30</v>
      </c>
      <c r="E33" s="1">
        <v>301</v>
      </c>
      <c r="F33" s="1">
        <v>0</v>
      </c>
      <c r="G33" s="1">
        <v>17280</v>
      </c>
      <c r="H33" s="1" t="s">
        <v>29</v>
      </c>
      <c r="I33" s="1" t="s">
        <v>71</v>
      </c>
      <c r="J33" s="1">
        <v>8640</v>
      </c>
      <c r="M33" s="1" t="s">
        <v>28</v>
      </c>
      <c r="N33" s="1">
        <v>0</v>
      </c>
      <c r="O33" s="1" t="s">
        <v>27</v>
      </c>
      <c r="P33" s="1">
        <v>45636</v>
      </c>
      <c r="Q33" s="1">
        <v>0.28885416666667002</v>
      </c>
      <c r="R33" s="1">
        <v>0</v>
      </c>
      <c r="U33" s="1" t="s">
        <v>24</v>
      </c>
      <c r="V33" s="1">
        <v>1</v>
      </c>
      <c r="W33" s="1" t="s">
        <v>271</v>
      </c>
      <c r="X33" s="1" t="s">
        <v>24</v>
      </c>
      <c r="Y33" s="1" t="s">
        <v>32</v>
      </c>
      <c r="Z33" s="1" t="s">
        <v>32</v>
      </c>
    </row>
    <row r="34" spans="1:26" x14ac:dyDescent="0.35">
      <c r="A34" s="1">
        <v>4000275</v>
      </c>
      <c r="B34" s="1" t="s">
        <v>31</v>
      </c>
      <c r="C34" s="1">
        <v>3300</v>
      </c>
      <c r="D34" s="1" t="s">
        <v>30</v>
      </c>
      <c r="E34" s="1">
        <v>301</v>
      </c>
      <c r="F34" s="1">
        <v>0</v>
      </c>
      <c r="G34" s="1">
        <v>700</v>
      </c>
      <c r="H34" s="1" t="s">
        <v>29</v>
      </c>
      <c r="I34" s="1" t="s">
        <v>274</v>
      </c>
      <c r="J34" s="1">
        <v>1000</v>
      </c>
      <c r="M34" s="1" t="s">
        <v>28</v>
      </c>
      <c r="N34" s="1">
        <v>0</v>
      </c>
      <c r="O34" s="1" t="s">
        <v>199</v>
      </c>
      <c r="P34" s="1">
        <v>45552</v>
      </c>
      <c r="Q34" s="1">
        <v>0.55476851851852005</v>
      </c>
      <c r="R34" s="1" t="s">
        <v>1112</v>
      </c>
      <c r="S34" s="1" t="s">
        <v>1111</v>
      </c>
      <c r="U34" s="1" t="s">
        <v>24</v>
      </c>
      <c r="V34" s="1">
        <v>1</v>
      </c>
      <c r="W34" s="1" t="s">
        <v>258</v>
      </c>
      <c r="X34" s="1" t="s">
        <v>24</v>
      </c>
      <c r="Y34" s="1" t="s">
        <v>32</v>
      </c>
      <c r="Z34" s="1" t="s">
        <v>32</v>
      </c>
    </row>
    <row r="35" spans="1:26" x14ac:dyDescent="0.35">
      <c r="A35" s="1">
        <v>4000276</v>
      </c>
      <c r="B35" s="1" t="s">
        <v>31</v>
      </c>
      <c r="C35" s="1">
        <v>3300</v>
      </c>
      <c r="D35" s="1" t="s">
        <v>30</v>
      </c>
      <c r="E35" s="1">
        <v>301</v>
      </c>
      <c r="F35" s="1">
        <v>0</v>
      </c>
      <c r="G35" s="1">
        <v>1200</v>
      </c>
      <c r="H35" s="1" t="s">
        <v>29</v>
      </c>
      <c r="I35" s="1" t="s">
        <v>71</v>
      </c>
      <c r="J35" s="1">
        <v>1000</v>
      </c>
      <c r="M35" s="1" t="s">
        <v>28</v>
      </c>
      <c r="N35" s="1">
        <v>0</v>
      </c>
      <c r="O35" s="1" t="s">
        <v>27</v>
      </c>
      <c r="P35" s="1">
        <v>45993</v>
      </c>
      <c r="Q35" s="1">
        <v>0.28025462962962999</v>
      </c>
      <c r="R35" s="1" t="s">
        <v>1110</v>
      </c>
      <c r="S35" s="1" t="s">
        <v>1109</v>
      </c>
      <c r="U35" s="1" t="s">
        <v>24</v>
      </c>
      <c r="V35" s="1">
        <v>1</v>
      </c>
      <c r="W35" s="1" t="s">
        <v>258</v>
      </c>
      <c r="X35" s="1" t="s">
        <v>24</v>
      </c>
      <c r="Y35" s="1" t="s">
        <v>32</v>
      </c>
      <c r="Z35" s="1" t="s">
        <v>32</v>
      </c>
    </row>
    <row r="36" spans="1:26" x14ac:dyDescent="0.35">
      <c r="A36" s="1">
        <v>4000279</v>
      </c>
      <c r="B36" s="1" t="s">
        <v>31</v>
      </c>
      <c r="C36" s="1">
        <v>3300</v>
      </c>
      <c r="D36" s="1" t="s">
        <v>30</v>
      </c>
      <c r="E36" s="1">
        <v>301</v>
      </c>
      <c r="F36" s="1">
        <v>0</v>
      </c>
      <c r="G36" s="1">
        <v>1500</v>
      </c>
      <c r="H36" s="1" t="s">
        <v>29</v>
      </c>
      <c r="I36" s="1" t="s">
        <v>71</v>
      </c>
      <c r="J36" s="1">
        <v>1000</v>
      </c>
      <c r="M36" s="1" t="s">
        <v>28</v>
      </c>
      <c r="N36" s="1">
        <v>0</v>
      </c>
      <c r="O36" s="1" t="s">
        <v>27</v>
      </c>
      <c r="P36" s="1">
        <v>45720</v>
      </c>
      <c r="Q36" s="1">
        <v>0.31995370370370002</v>
      </c>
      <c r="R36" s="1">
        <v>0</v>
      </c>
      <c r="T36" s="1" t="s">
        <v>335</v>
      </c>
      <c r="U36" s="1" t="s">
        <v>24</v>
      </c>
      <c r="V36" s="1">
        <v>1</v>
      </c>
      <c r="W36" s="1" t="s">
        <v>289</v>
      </c>
      <c r="X36" s="1" t="s">
        <v>141</v>
      </c>
      <c r="Y36" s="1" t="s">
        <v>32</v>
      </c>
      <c r="Z36" s="1" t="s">
        <v>32</v>
      </c>
    </row>
    <row r="37" spans="1:26" x14ac:dyDescent="0.35">
      <c r="A37" s="1">
        <v>4000280</v>
      </c>
      <c r="B37" s="1" t="s">
        <v>31</v>
      </c>
      <c r="C37" s="1">
        <v>3300</v>
      </c>
      <c r="D37" s="1" t="s">
        <v>41</v>
      </c>
      <c r="E37" s="1">
        <v>301</v>
      </c>
      <c r="F37" s="1">
        <v>0</v>
      </c>
      <c r="G37" s="1">
        <v>8000</v>
      </c>
      <c r="H37" s="1" t="s">
        <v>29</v>
      </c>
      <c r="I37" s="1">
        <v>20</v>
      </c>
      <c r="J37" s="1">
        <v>2000</v>
      </c>
      <c r="K37" s="1" t="s">
        <v>24</v>
      </c>
      <c r="M37" s="1" t="s">
        <v>28</v>
      </c>
      <c r="N37" s="1">
        <v>0</v>
      </c>
      <c r="O37" s="1" t="s">
        <v>373</v>
      </c>
      <c r="P37" s="1">
        <v>44495</v>
      </c>
      <c r="Q37" s="1">
        <v>0.39685185185185001</v>
      </c>
      <c r="R37" s="1" t="s">
        <v>1108</v>
      </c>
      <c r="S37" s="1" t="s">
        <v>1107</v>
      </c>
      <c r="W37" s="1" t="s">
        <v>258</v>
      </c>
      <c r="Y37" s="1" t="s">
        <v>32</v>
      </c>
      <c r="Z37" s="1" t="s">
        <v>23</v>
      </c>
    </row>
    <row r="38" spans="1:26" x14ac:dyDescent="0.35">
      <c r="A38" s="1">
        <v>4000286</v>
      </c>
      <c r="B38" s="1" t="s">
        <v>31</v>
      </c>
      <c r="C38" s="1">
        <v>3300</v>
      </c>
      <c r="D38" s="1" t="s">
        <v>30</v>
      </c>
      <c r="E38" s="1">
        <v>301</v>
      </c>
      <c r="F38" s="1">
        <v>0</v>
      </c>
      <c r="G38" s="1">
        <v>1500</v>
      </c>
      <c r="H38" s="1" t="s">
        <v>29</v>
      </c>
      <c r="I38" s="1" t="s">
        <v>71</v>
      </c>
      <c r="J38" s="1">
        <v>3000</v>
      </c>
      <c r="M38" s="1" t="s">
        <v>28</v>
      </c>
      <c r="N38" s="1">
        <v>0</v>
      </c>
      <c r="O38" s="1" t="s">
        <v>27</v>
      </c>
      <c r="P38" s="1">
        <v>45728</v>
      </c>
      <c r="Q38" s="1">
        <v>0.27861111111110998</v>
      </c>
      <c r="R38" s="1" t="s">
        <v>1106</v>
      </c>
      <c r="S38" s="1" t="s">
        <v>1105</v>
      </c>
      <c r="U38" s="1" t="s">
        <v>24</v>
      </c>
      <c r="V38" s="1">
        <v>1</v>
      </c>
      <c r="W38" s="1" t="s">
        <v>271</v>
      </c>
      <c r="X38" s="1" t="s">
        <v>24</v>
      </c>
      <c r="Y38" s="1" t="s">
        <v>32</v>
      </c>
      <c r="Z38" s="1" t="s">
        <v>32</v>
      </c>
    </row>
    <row r="39" spans="1:26" x14ac:dyDescent="0.35">
      <c r="A39" s="1">
        <v>4000287</v>
      </c>
      <c r="B39" s="1" t="s">
        <v>31</v>
      </c>
      <c r="C39" s="1">
        <v>3300</v>
      </c>
      <c r="D39" s="1" t="s">
        <v>30</v>
      </c>
      <c r="E39" s="1">
        <v>301</v>
      </c>
      <c r="F39" s="1">
        <v>0</v>
      </c>
      <c r="G39" s="1">
        <v>2000</v>
      </c>
      <c r="H39" s="1" t="s">
        <v>29</v>
      </c>
      <c r="I39" s="1" t="s">
        <v>71</v>
      </c>
      <c r="J39" s="1">
        <v>3000</v>
      </c>
      <c r="M39" s="1" t="s">
        <v>28</v>
      </c>
      <c r="N39" s="1">
        <v>0</v>
      </c>
      <c r="O39" s="1" t="s">
        <v>27</v>
      </c>
      <c r="P39" s="1">
        <v>45726</v>
      </c>
      <c r="Q39" s="1">
        <v>0.30553240740741</v>
      </c>
      <c r="R39" s="1" t="s">
        <v>1104</v>
      </c>
      <c r="S39" s="1" t="s">
        <v>1103</v>
      </c>
      <c r="U39" s="1" t="s">
        <v>24</v>
      </c>
      <c r="V39" s="1">
        <v>1</v>
      </c>
      <c r="W39" s="1" t="s">
        <v>271</v>
      </c>
      <c r="X39" s="1" t="s">
        <v>24</v>
      </c>
      <c r="Y39" s="1" t="s">
        <v>32</v>
      </c>
      <c r="Z39" s="1" t="s">
        <v>32</v>
      </c>
    </row>
    <row r="40" spans="1:26" x14ac:dyDescent="0.35">
      <c r="A40" s="1">
        <v>4000288</v>
      </c>
      <c r="B40" s="1" t="s">
        <v>31</v>
      </c>
      <c r="C40" s="1">
        <v>3300</v>
      </c>
      <c r="D40" s="1" t="s">
        <v>30</v>
      </c>
      <c r="E40" s="1">
        <v>301</v>
      </c>
      <c r="F40" s="1">
        <v>0</v>
      </c>
      <c r="G40" s="1">
        <v>1500</v>
      </c>
      <c r="H40" s="1" t="s">
        <v>29</v>
      </c>
      <c r="I40" s="1" t="s">
        <v>71</v>
      </c>
      <c r="J40" s="1">
        <v>2000</v>
      </c>
      <c r="M40" s="1" t="s">
        <v>28</v>
      </c>
      <c r="N40" s="1">
        <v>0</v>
      </c>
      <c r="O40" s="1" t="s">
        <v>27</v>
      </c>
      <c r="P40" s="1">
        <v>46070</v>
      </c>
      <c r="Q40" s="1">
        <v>0.32168981481481002</v>
      </c>
      <c r="R40" s="1" t="s">
        <v>1102</v>
      </c>
      <c r="S40" s="1" t="s">
        <v>1101</v>
      </c>
      <c r="U40" s="1" t="s">
        <v>24</v>
      </c>
      <c r="V40" s="1">
        <v>1</v>
      </c>
      <c r="W40" s="1" t="s">
        <v>271</v>
      </c>
      <c r="X40" s="1" t="s">
        <v>24</v>
      </c>
      <c r="Y40" s="1" t="s">
        <v>32</v>
      </c>
      <c r="Z40" s="1" t="s">
        <v>32</v>
      </c>
    </row>
    <row r="41" spans="1:26" x14ac:dyDescent="0.35">
      <c r="A41" s="1">
        <v>4000290</v>
      </c>
      <c r="B41" s="1" t="s">
        <v>31</v>
      </c>
      <c r="C41" s="1">
        <v>3300</v>
      </c>
      <c r="D41" s="1" t="s">
        <v>30</v>
      </c>
      <c r="E41" s="1">
        <v>301</v>
      </c>
      <c r="F41" s="1">
        <v>0</v>
      </c>
      <c r="G41" s="1">
        <v>500</v>
      </c>
      <c r="H41" s="1" t="s">
        <v>29</v>
      </c>
      <c r="I41" s="1" t="s">
        <v>71</v>
      </c>
      <c r="J41" s="1">
        <v>500</v>
      </c>
      <c r="M41" s="1" t="s">
        <v>28</v>
      </c>
      <c r="N41" s="1">
        <v>0</v>
      </c>
      <c r="O41" s="1" t="s">
        <v>27</v>
      </c>
      <c r="P41" s="1">
        <v>45947</v>
      </c>
      <c r="Q41" s="1">
        <v>0.32868055555555997</v>
      </c>
      <c r="R41" s="1" t="s">
        <v>1100</v>
      </c>
      <c r="S41" s="1" t="s">
        <v>1099</v>
      </c>
      <c r="T41" s="1" t="s">
        <v>335</v>
      </c>
      <c r="U41" s="1" t="s">
        <v>24</v>
      </c>
      <c r="V41" s="1">
        <v>1</v>
      </c>
      <c r="W41" s="1" t="s">
        <v>258</v>
      </c>
      <c r="X41" s="1" t="s">
        <v>24</v>
      </c>
      <c r="Y41" s="1" t="s">
        <v>32</v>
      </c>
      <c r="Z41" s="1" t="s">
        <v>32</v>
      </c>
    </row>
    <row r="42" spans="1:26" x14ac:dyDescent="0.35">
      <c r="A42" s="1">
        <v>4000291</v>
      </c>
      <c r="B42" s="1" t="s">
        <v>31</v>
      </c>
      <c r="C42" s="1">
        <v>3300</v>
      </c>
      <c r="D42" s="1" t="s">
        <v>30</v>
      </c>
      <c r="E42" s="1">
        <v>301</v>
      </c>
      <c r="F42" s="1">
        <v>0</v>
      </c>
      <c r="G42" s="1">
        <v>355</v>
      </c>
      <c r="H42" s="1" t="s">
        <v>29</v>
      </c>
      <c r="I42" s="1" t="s">
        <v>71</v>
      </c>
      <c r="J42" s="1">
        <v>200</v>
      </c>
      <c r="M42" s="1" t="s">
        <v>28</v>
      </c>
      <c r="N42" s="1">
        <v>5</v>
      </c>
      <c r="O42" s="1" t="s">
        <v>132</v>
      </c>
      <c r="P42" s="1">
        <v>46036</v>
      </c>
      <c r="Q42" s="1">
        <v>0.42037037037037001</v>
      </c>
      <c r="R42" s="1">
        <v>0</v>
      </c>
      <c r="T42" s="1" t="s">
        <v>335</v>
      </c>
      <c r="U42" s="1" t="s">
        <v>24</v>
      </c>
      <c r="V42" s="1">
        <v>1</v>
      </c>
      <c r="W42" s="1" t="s">
        <v>258</v>
      </c>
      <c r="X42" s="1" t="s">
        <v>24</v>
      </c>
      <c r="Y42" s="1" t="s">
        <v>32</v>
      </c>
      <c r="Z42" s="1" t="s">
        <v>32</v>
      </c>
    </row>
    <row r="43" spans="1:26" x14ac:dyDescent="0.35">
      <c r="A43" s="1">
        <v>4000310</v>
      </c>
      <c r="B43" s="1" t="s">
        <v>31</v>
      </c>
      <c r="C43" s="1">
        <v>3300</v>
      </c>
      <c r="D43" s="1" t="s">
        <v>30</v>
      </c>
      <c r="E43" s="1">
        <v>301</v>
      </c>
      <c r="F43" s="1">
        <v>0</v>
      </c>
      <c r="G43" s="1">
        <v>100</v>
      </c>
      <c r="H43" s="1" t="s">
        <v>29</v>
      </c>
      <c r="I43" s="1" t="s">
        <v>71</v>
      </c>
      <c r="J43" s="1">
        <v>140</v>
      </c>
      <c r="M43" s="1" t="s">
        <v>28</v>
      </c>
      <c r="N43" s="1">
        <v>0</v>
      </c>
      <c r="O43" s="1" t="s">
        <v>27</v>
      </c>
      <c r="P43" s="1">
        <v>45653</v>
      </c>
      <c r="Q43" s="1">
        <v>0.29696759259258998</v>
      </c>
      <c r="R43" s="1">
        <v>0</v>
      </c>
      <c r="T43" s="1" t="s">
        <v>335</v>
      </c>
      <c r="U43" s="1" t="s">
        <v>24</v>
      </c>
      <c r="V43" s="1">
        <v>1</v>
      </c>
      <c r="W43" s="1" t="s">
        <v>289</v>
      </c>
      <c r="X43" s="1" t="s">
        <v>24</v>
      </c>
      <c r="Y43" s="1" t="s">
        <v>32</v>
      </c>
      <c r="Z43" s="1" t="s">
        <v>32</v>
      </c>
    </row>
    <row r="44" spans="1:26" x14ac:dyDescent="0.35">
      <c r="A44" s="1">
        <v>4000311</v>
      </c>
      <c r="B44" s="1" t="s">
        <v>31</v>
      </c>
      <c r="C44" s="1">
        <v>3300</v>
      </c>
      <c r="D44" s="1" t="s">
        <v>30</v>
      </c>
      <c r="E44" s="1">
        <v>301</v>
      </c>
      <c r="F44" s="1">
        <v>0</v>
      </c>
      <c r="G44" s="1">
        <v>105</v>
      </c>
      <c r="H44" s="1" t="s">
        <v>29</v>
      </c>
      <c r="I44" s="1" t="s">
        <v>247</v>
      </c>
      <c r="J44" s="1">
        <v>70</v>
      </c>
      <c r="M44" s="1" t="s">
        <v>28</v>
      </c>
      <c r="N44" s="1">
        <v>0</v>
      </c>
      <c r="O44" s="1" t="s">
        <v>27</v>
      </c>
      <c r="P44" s="1">
        <v>46042</v>
      </c>
      <c r="Q44" s="1">
        <v>0.39728009259259001</v>
      </c>
      <c r="R44" s="1" t="s">
        <v>1098</v>
      </c>
      <c r="S44" s="1" t="s">
        <v>1097</v>
      </c>
      <c r="T44" s="1" t="s">
        <v>335</v>
      </c>
      <c r="U44" s="1" t="s">
        <v>24</v>
      </c>
      <c r="V44" s="1">
        <v>1</v>
      </c>
      <c r="W44" s="1" t="s">
        <v>258</v>
      </c>
      <c r="X44" s="1" t="s">
        <v>24</v>
      </c>
      <c r="Y44" s="1" t="s">
        <v>32</v>
      </c>
      <c r="Z44" s="1" t="s">
        <v>32</v>
      </c>
    </row>
    <row r="45" spans="1:26" x14ac:dyDescent="0.35">
      <c r="A45" s="1">
        <v>4000312</v>
      </c>
      <c r="B45" s="1" t="s">
        <v>31</v>
      </c>
      <c r="C45" s="1">
        <v>3300</v>
      </c>
      <c r="D45" s="1" t="s">
        <v>30</v>
      </c>
      <c r="E45" s="1">
        <v>301</v>
      </c>
      <c r="F45" s="1">
        <v>0</v>
      </c>
      <c r="G45" s="1">
        <v>120</v>
      </c>
      <c r="H45" s="1" t="s">
        <v>29</v>
      </c>
      <c r="I45" s="1" t="s">
        <v>247</v>
      </c>
      <c r="J45" s="1">
        <v>60</v>
      </c>
      <c r="M45" s="1" t="s">
        <v>28</v>
      </c>
      <c r="N45" s="1">
        <v>0</v>
      </c>
      <c r="O45" s="1" t="s">
        <v>27</v>
      </c>
      <c r="P45" s="1">
        <v>46042</v>
      </c>
      <c r="Q45" s="1">
        <v>0.39681712962963001</v>
      </c>
      <c r="R45" s="1" t="s">
        <v>1096</v>
      </c>
      <c r="S45" s="1" t="s">
        <v>1095</v>
      </c>
      <c r="T45" s="1" t="s">
        <v>335</v>
      </c>
      <c r="U45" s="1" t="s">
        <v>24</v>
      </c>
      <c r="V45" s="1">
        <v>1</v>
      </c>
      <c r="W45" s="1" t="s">
        <v>258</v>
      </c>
      <c r="X45" s="1" t="s">
        <v>24</v>
      </c>
      <c r="Y45" s="1" t="s">
        <v>32</v>
      </c>
      <c r="Z45" s="1" t="s">
        <v>32</v>
      </c>
    </row>
    <row r="46" spans="1:26" x14ac:dyDescent="0.35">
      <c r="A46" s="1">
        <v>4000313</v>
      </c>
      <c r="B46" s="1" t="s">
        <v>31</v>
      </c>
      <c r="C46" s="1">
        <v>3300</v>
      </c>
      <c r="D46" s="1" t="s">
        <v>30</v>
      </c>
      <c r="E46" s="1">
        <v>301</v>
      </c>
      <c r="F46" s="1">
        <v>0</v>
      </c>
      <c r="G46" s="1">
        <v>60</v>
      </c>
      <c r="H46" s="1" t="s">
        <v>29</v>
      </c>
      <c r="I46" s="1" t="s">
        <v>247</v>
      </c>
      <c r="J46" s="1">
        <v>40</v>
      </c>
      <c r="M46" s="1" t="s">
        <v>28</v>
      </c>
      <c r="N46" s="1">
        <v>0</v>
      </c>
      <c r="O46" s="1" t="s">
        <v>27</v>
      </c>
      <c r="P46" s="1">
        <v>46042</v>
      </c>
      <c r="Q46" s="1">
        <v>0.3978587962963</v>
      </c>
      <c r="R46" s="1" t="s">
        <v>1094</v>
      </c>
      <c r="S46" s="1" t="s">
        <v>1093</v>
      </c>
      <c r="T46" s="1" t="s">
        <v>335</v>
      </c>
      <c r="U46" s="1" t="s">
        <v>24</v>
      </c>
      <c r="V46" s="1">
        <v>1</v>
      </c>
      <c r="W46" s="1" t="s">
        <v>289</v>
      </c>
      <c r="X46" s="1" t="s">
        <v>24</v>
      </c>
      <c r="Y46" s="1" t="s">
        <v>32</v>
      </c>
      <c r="Z46" s="1" t="s">
        <v>32</v>
      </c>
    </row>
    <row r="47" spans="1:26" x14ac:dyDescent="0.35">
      <c r="A47" s="1">
        <v>4000314</v>
      </c>
      <c r="B47" s="1" t="s">
        <v>31</v>
      </c>
      <c r="C47" s="1">
        <v>3300</v>
      </c>
      <c r="D47" s="1" t="s">
        <v>30</v>
      </c>
      <c r="E47" s="1">
        <v>301</v>
      </c>
      <c r="F47" s="1">
        <v>0</v>
      </c>
      <c r="G47" s="1">
        <v>976</v>
      </c>
      <c r="H47" s="1" t="s">
        <v>29</v>
      </c>
      <c r="I47" s="1" t="s">
        <v>71</v>
      </c>
      <c r="J47" s="1">
        <v>600</v>
      </c>
      <c r="M47" s="1" t="s">
        <v>28</v>
      </c>
      <c r="N47" s="1">
        <v>5</v>
      </c>
      <c r="O47" s="1" t="s">
        <v>132</v>
      </c>
      <c r="P47" s="1">
        <v>46036</v>
      </c>
      <c r="Q47" s="1">
        <v>0.42037037037037001</v>
      </c>
      <c r="R47" s="1">
        <v>0</v>
      </c>
      <c r="T47" s="1" t="s">
        <v>335</v>
      </c>
      <c r="U47" s="1" t="s">
        <v>24</v>
      </c>
      <c r="V47" s="1">
        <v>1</v>
      </c>
      <c r="W47" s="1" t="s">
        <v>289</v>
      </c>
      <c r="Y47" s="1" t="s">
        <v>32</v>
      </c>
      <c r="Z47" s="1" t="s">
        <v>23</v>
      </c>
    </row>
    <row r="48" spans="1:26" x14ac:dyDescent="0.35">
      <c r="A48" s="1">
        <v>4000315</v>
      </c>
      <c r="B48" s="1" t="s">
        <v>31</v>
      </c>
      <c r="C48" s="1">
        <v>3300</v>
      </c>
      <c r="D48" s="1" t="s">
        <v>30</v>
      </c>
      <c r="E48" s="1">
        <v>301</v>
      </c>
      <c r="F48" s="1">
        <v>0</v>
      </c>
      <c r="G48" s="1">
        <v>40</v>
      </c>
      <c r="H48" s="1" t="s">
        <v>29</v>
      </c>
      <c r="I48" s="1" t="s">
        <v>71</v>
      </c>
      <c r="J48" s="1">
        <v>30</v>
      </c>
      <c r="M48" s="1" t="s">
        <v>28</v>
      </c>
      <c r="N48" s="1">
        <v>0</v>
      </c>
      <c r="O48" s="1" t="s">
        <v>27</v>
      </c>
      <c r="P48" s="1">
        <v>46057</v>
      </c>
      <c r="Q48" s="1">
        <v>0.32665509259259001</v>
      </c>
      <c r="R48" s="1" t="s">
        <v>1092</v>
      </c>
      <c r="S48" s="1" t="s">
        <v>1091</v>
      </c>
      <c r="T48" s="1" t="s">
        <v>335</v>
      </c>
      <c r="U48" s="1" t="s">
        <v>24</v>
      </c>
      <c r="V48" s="1">
        <v>1</v>
      </c>
      <c r="W48" s="1" t="s">
        <v>258</v>
      </c>
      <c r="X48" s="1" t="s">
        <v>24</v>
      </c>
      <c r="Y48" s="1" t="s">
        <v>32</v>
      </c>
      <c r="Z48" s="1" t="s">
        <v>32</v>
      </c>
    </row>
    <row r="49" spans="1:26" x14ac:dyDescent="0.35">
      <c r="A49" s="1">
        <v>4000316</v>
      </c>
      <c r="B49" s="1" t="s">
        <v>31</v>
      </c>
      <c r="C49" s="1">
        <v>3300</v>
      </c>
      <c r="D49" s="1" t="s">
        <v>30</v>
      </c>
      <c r="E49" s="1">
        <v>301</v>
      </c>
      <c r="F49" s="1">
        <v>0</v>
      </c>
      <c r="G49" s="1">
        <v>60</v>
      </c>
      <c r="H49" s="1" t="s">
        <v>29</v>
      </c>
      <c r="I49" s="1" t="s">
        <v>247</v>
      </c>
      <c r="J49" s="1">
        <v>30</v>
      </c>
      <c r="M49" s="1" t="s">
        <v>28</v>
      </c>
      <c r="N49" s="1">
        <v>5</v>
      </c>
      <c r="O49" s="1" t="s">
        <v>236</v>
      </c>
      <c r="P49" s="1">
        <v>45205</v>
      </c>
      <c r="Q49" s="1">
        <v>0.40650462962963002</v>
      </c>
      <c r="R49" s="1" t="s">
        <v>1090</v>
      </c>
      <c r="S49" s="1" t="s">
        <v>1089</v>
      </c>
      <c r="T49" s="1" t="s">
        <v>335</v>
      </c>
      <c r="U49" s="1" t="s">
        <v>24</v>
      </c>
      <c r="V49" s="1">
        <v>1</v>
      </c>
      <c r="W49" s="1" t="s">
        <v>271</v>
      </c>
      <c r="X49" s="1" t="s">
        <v>24</v>
      </c>
      <c r="Y49" s="1" t="s">
        <v>32</v>
      </c>
      <c r="Z49" s="1" t="s">
        <v>32</v>
      </c>
    </row>
    <row r="50" spans="1:26" x14ac:dyDescent="0.35">
      <c r="A50" s="1">
        <v>4000319</v>
      </c>
      <c r="B50" s="1" t="s">
        <v>31</v>
      </c>
      <c r="C50" s="1">
        <v>3300</v>
      </c>
      <c r="D50" s="1" t="s">
        <v>30</v>
      </c>
      <c r="E50" s="1">
        <v>301</v>
      </c>
      <c r="F50" s="1">
        <v>0</v>
      </c>
      <c r="G50" s="1">
        <v>50</v>
      </c>
      <c r="H50" s="1" t="s">
        <v>29</v>
      </c>
      <c r="I50" s="1" t="s">
        <v>71</v>
      </c>
      <c r="J50" s="1">
        <v>60</v>
      </c>
      <c r="M50" s="1" t="s">
        <v>28</v>
      </c>
      <c r="N50" s="1">
        <v>0</v>
      </c>
      <c r="O50" s="1" t="s">
        <v>27</v>
      </c>
      <c r="P50" s="1">
        <v>46057</v>
      </c>
      <c r="Q50" s="1">
        <v>0.32785879629629999</v>
      </c>
      <c r="R50" s="1" t="s">
        <v>1088</v>
      </c>
      <c r="S50" s="1" t="s">
        <v>1087</v>
      </c>
      <c r="T50" s="1" t="s">
        <v>335</v>
      </c>
      <c r="U50" s="1" t="s">
        <v>24</v>
      </c>
      <c r="V50" s="1">
        <v>1</v>
      </c>
      <c r="W50" s="1" t="s">
        <v>289</v>
      </c>
      <c r="X50" s="1" t="s">
        <v>24</v>
      </c>
      <c r="Y50" s="1" t="s">
        <v>32</v>
      </c>
      <c r="Z50" s="1" t="s">
        <v>32</v>
      </c>
    </row>
    <row r="51" spans="1:26" x14ac:dyDescent="0.35">
      <c r="A51" s="1">
        <v>4000323</v>
      </c>
      <c r="B51" s="1" t="s">
        <v>31</v>
      </c>
      <c r="C51" s="1">
        <v>3300</v>
      </c>
      <c r="D51" s="1" t="s">
        <v>30</v>
      </c>
      <c r="E51" s="1">
        <v>301</v>
      </c>
      <c r="F51" s="1">
        <v>0</v>
      </c>
      <c r="G51" s="1">
        <v>240</v>
      </c>
      <c r="H51" s="1" t="s">
        <v>29</v>
      </c>
      <c r="I51" s="1">
        <v>20</v>
      </c>
      <c r="J51" s="1">
        <v>120</v>
      </c>
      <c r="M51" s="1" t="s">
        <v>28</v>
      </c>
      <c r="N51" s="1">
        <v>5</v>
      </c>
      <c r="O51" s="1" t="s">
        <v>27</v>
      </c>
      <c r="P51" s="1">
        <v>45238</v>
      </c>
      <c r="Q51" s="1">
        <v>0.42350694444443998</v>
      </c>
      <c r="R51" s="1">
        <v>0</v>
      </c>
      <c r="T51" s="1" t="s">
        <v>335</v>
      </c>
      <c r="U51" s="1" t="s">
        <v>24</v>
      </c>
      <c r="V51" s="1">
        <v>1</v>
      </c>
      <c r="W51" s="1" t="s">
        <v>258</v>
      </c>
      <c r="X51" s="1" t="s">
        <v>141</v>
      </c>
      <c r="Y51" s="1" t="s">
        <v>32</v>
      </c>
      <c r="Z51" s="1" t="s">
        <v>32</v>
      </c>
    </row>
    <row r="52" spans="1:26" x14ac:dyDescent="0.35">
      <c r="A52" s="1">
        <v>4000324</v>
      </c>
      <c r="B52" s="1" t="s">
        <v>31</v>
      </c>
      <c r="C52" s="1">
        <v>3300</v>
      </c>
      <c r="D52" s="1" t="s">
        <v>30</v>
      </c>
      <c r="E52" s="1">
        <v>301</v>
      </c>
      <c r="F52" s="1">
        <v>0</v>
      </c>
      <c r="G52" s="1">
        <v>240</v>
      </c>
      <c r="H52" s="1" t="s">
        <v>29</v>
      </c>
      <c r="I52" s="1">
        <v>20</v>
      </c>
      <c r="J52" s="1">
        <v>60</v>
      </c>
      <c r="M52" s="1" t="s">
        <v>28</v>
      </c>
      <c r="N52" s="1">
        <v>0</v>
      </c>
      <c r="O52" s="1" t="s">
        <v>27</v>
      </c>
      <c r="P52" s="1">
        <v>46013</v>
      </c>
      <c r="Q52" s="1">
        <v>0.28622685185184998</v>
      </c>
      <c r="R52" s="1" t="s">
        <v>1086</v>
      </c>
      <c r="S52" s="1" t="s">
        <v>1085</v>
      </c>
      <c r="T52" s="1" t="s">
        <v>335</v>
      </c>
      <c r="U52" s="1" t="s">
        <v>24</v>
      </c>
      <c r="V52" s="1">
        <v>1</v>
      </c>
      <c r="W52" s="1" t="s">
        <v>258</v>
      </c>
      <c r="X52" s="1" t="s">
        <v>141</v>
      </c>
      <c r="Y52" s="1" t="s">
        <v>32</v>
      </c>
      <c r="Z52" s="1" t="s">
        <v>32</v>
      </c>
    </row>
    <row r="53" spans="1:26" x14ac:dyDescent="0.35">
      <c r="A53" s="1">
        <v>4000325</v>
      </c>
      <c r="B53" s="1" t="s">
        <v>31</v>
      </c>
      <c r="C53" s="1">
        <v>3300</v>
      </c>
      <c r="D53" s="1" t="s">
        <v>30</v>
      </c>
      <c r="E53" s="1">
        <v>301</v>
      </c>
      <c r="F53" s="1">
        <v>0</v>
      </c>
      <c r="G53" s="1">
        <v>90</v>
      </c>
      <c r="H53" s="1" t="s">
        <v>29</v>
      </c>
      <c r="I53" s="1">
        <v>20</v>
      </c>
      <c r="J53" s="1">
        <v>60</v>
      </c>
      <c r="M53" s="1" t="s">
        <v>28</v>
      </c>
      <c r="N53" s="1">
        <v>5</v>
      </c>
      <c r="O53" s="1" t="s">
        <v>27</v>
      </c>
      <c r="P53" s="1">
        <v>45238</v>
      </c>
      <c r="Q53" s="1">
        <v>0.42442129629629999</v>
      </c>
      <c r="R53" s="1">
        <v>0</v>
      </c>
      <c r="T53" s="1" t="s">
        <v>335</v>
      </c>
      <c r="U53" s="1" t="s">
        <v>24</v>
      </c>
      <c r="V53" s="1">
        <v>1</v>
      </c>
      <c r="W53" s="1" t="s">
        <v>258</v>
      </c>
      <c r="X53" s="1" t="s">
        <v>141</v>
      </c>
      <c r="Y53" s="1" t="s">
        <v>32</v>
      </c>
      <c r="Z53" s="1" t="s">
        <v>32</v>
      </c>
    </row>
    <row r="54" spans="1:26" x14ac:dyDescent="0.35">
      <c r="A54" s="1">
        <v>4000328</v>
      </c>
      <c r="B54" s="1" t="s">
        <v>31</v>
      </c>
      <c r="C54" s="1">
        <v>3300</v>
      </c>
      <c r="D54" s="1" t="s">
        <v>30</v>
      </c>
      <c r="E54" s="1">
        <v>301</v>
      </c>
      <c r="F54" s="1">
        <v>0</v>
      </c>
      <c r="G54" s="1">
        <v>50</v>
      </c>
      <c r="H54" s="1" t="s">
        <v>29</v>
      </c>
      <c r="I54" s="1">
        <v>20</v>
      </c>
      <c r="J54" s="1">
        <v>40</v>
      </c>
      <c r="M54" s="1" t="s">
        <v>28</v>
      </c>
      <c r="N54" s="1">
        <v>5</v>
      </c>
      <c r="O54" s="1" t="s">
        <v>27</v>
      </c>
      <c r="P54" s="1">
        <v>45238</v>
      </c>
      <c r="Q54" s="1">
        <v>0.42479166666667001</v>
      </c>
      <c r="R54" s="1" t="s">
        <v>1084</v>
      </c>
      <c r="S54" s="1" t="s">
        <v>1083</v>
      </c>
      <c r="T54" s="1" t="s">
        <v>335</v>
      </c>
      <c r="U54" s="1" t="s">
        <v>24</v>
      </c>
      <c r="V54" s="1">
        <v>1</v>
      </c>
      <c r="W54" s="1" t="s">
        <v>258</v>
      </c>
      <c r="X54" s="1" t="s">
        <v>141</v>
      </c>
      <c r="Y54" s="1" t="s">
        <v>32</v>
      </c>
      <c r="Z54" s="1" t="s">
        <v>32</v>
      </c>
    </row>
    <row r="55" spans="1:26" x14ac:dyDescent="0.35">
      <c r="A55" s="1">
        <v>4000330</v>
      </c>
      <c r="B55" s="1" t="s">
        <v>31</v>
      </c>
      <c r="C55" s="1">
        <v>3300</v>
      </c>
      <c r="D55" s="1" t="s">
        <v>30</v>
      </c>
      <c r="E55" s="1">
        <v>301</v>
      </c>
      <c r="F55" s="1">
        <v>0</v>
      </c>
      <c r="G55" s="1">
        <v>100</v>
      </c>
      <c r="H55" s="1" t="s">
        <v>29</v>
      </c>
      <c r="I55" s="1" t="s">
        <v>71</v>
      </c>
      <c r="J55" s="1">
        <v>150</v>
      </c>
      <c r="M55" s="1" t="s">
        <v>28</v>
      </c>
      <c r="N55" s="1">
        <v>5</v>
      </c>
      <c r="O55" s="1" t="s">
        <v>132</v>
      </c>
      <c r="P55" s="1">
        <v>46036</v>
      </c>
      <c r="Q55" s="1">
        <v>0.42037037037037001</v>
      </c>
      <c r="R55" s="1">
        <v>0</v>
      </c>
      <c r="T55" s="1" t="s">
        <v>335</v>
      </c>
      <c r="U55" s="1" t="s">
        <v>24</v>
      </c>
      <c r="V55" s="1">
        <v>1</v>
      </c>
      <c r="W55" s="1" t="s">
        <v>258</v>
      </c>
      <c r="X55" s="1" t="s">
        <v>141</v>
      </c>
      <c r="Y55" s="1" t="s">
        <v>32</v>
      </c>
      <c r="Z55" s="1" t="s">
        <v>32</v>
      </c>
    </row>
    <row r="56" spans="1:26" x14ac:dyDescent="0.35">
      <c r="A56" s="1">
        <v>4000331</v>
      </c>
      <c r="B56" s="1" t="s">
        <v>31</v>
      </c>
      <c r="C56" s="1">
        <v>3300</v>
      </c>
      <c r="D56" s="1" t="s">
        <v>30</v>
      </c>
      <c r="E56" s="1">
        <v>301</v>
      </c>
      <c r="F56" s="1">
        <v>0</v>
      </c>
      <c r="G56" s="1">
        <v>334</v>
      </c>
      <c r="H56" s="1" t="s">
        <v>29</v>
      </c>
      <c r="I56" s="1" t="s">
        <v>71</v>
      </c>
      <c r="J56" s="1">
        <v>300</v>
      </c>
      <c r="M56" s="1" t="s">
        <v>28</v>
      </c>
      <c r="N56" s="1">
        <v>5</v>
      </c>
      <c r="O56" s="1" t="s">
        <v>132</v>
      </c>
      <c r="P56" s="1">
        <v>46036</v>
      </c>
      <c r="Q56" s="1">
        <v>0.42037037037037001</v>
      </c>
      <c r="R56" s="1" t="s">
        <v>1082</v>
      </c>
      <c r="S56" s="1" t="s">
        <v>1081</v>
      </c>
      <c r="T56" s="1" t="s">
        <v>335</v>
      </c>
      <c r="U56" s="1" t="s">
        <v>24</v>
      </c>
      <c r="V56" s="1">
        <v>1</v>
      </c>
      <c r="W56" s="1" t="s">
        <v>258</v>
      </c>
      <c r="X56" s="1" t="s">
        <v>24</v>
      </c>
      <c r="Y56" s="1" t="s">
        <v>32</v>
      </c>
      <c r="Z56" s="1" t="s">
        <v>32</v>
      </c>
    </row>
    <row r="57" spans="1:26" x14ac:dyDescent="0.35">
      <c r="A57" s="1">
        <v>4000332</v>
      </c>
      <c r="B57" s="1" t="s">
        <v>31</v>
      </c>
      <c r="C57" s="1">
        <v>3300</v>
      </c>
      <c r="D57" s="1" t="s">
        <v>30</v>
      </c>
      <c r="E57" s="1">
        <v>301</v>
      </c>
      <c r="F57" s="1">
        <v>0</v>
      </c>
      <c r="G57" s="1">
        <v>382</v>
      </c>
      <c r="H57" s="1" t="s">
        <v>29</v>
      </c>
      <c r="I57" s="1" t="s">
        <v>71</v>
      </c>
      <c r="J57" s="1">
        <v>300</v>
      </c>
      <c r="M57" s="1" t="s">
        <v>28</v>
      </c>
      <c r="N57" s="1">
        <v>5</v>
      </c>
      <c r="O57" s="1" t="s">
        <v>132</v>
      </c>
      <c r="P57" s="1">
        <v>46036</v>
      </c>
      <c r="Q57" s="1">
        <v>0.42037037037037001</v>
      </c>
      <c r="R57" s="1">
        <v>0</v>
      </c>
      <c r="T57" s="1" t="s">
        <v>335</v>
      </c>
      <c r="U57" s="1" t="s">
        <v>24</v>
      </c>
      <c r="V57" s="1">
        <v>1</v>
      </c>
      <c r="W57" s="1" t="s">
        <v>258</v>
      </c>
      <c r="X57" s="1" t="s">
        <v>24</v>
      </c>
      <c r="Y57" s="1" t="s">
        <v>32</v>
      </c>
      <c r="Z57" s="1" t="s">
        <v>32</v>
      </c>
    </row>
    <row r="58" spans="1:26" x14ac:dyDescent="0.35">
      <c r="A58" s="1">
        <v>4000333</v>
      </c>
      <c r="B58" s="1" t="s">
        <v>31</v>
      </c>
      <c r="C58" s="1">
        <v>3300</v>
      </c>
      <c r="D58" s="1" t="s">
        <v>30</v>
      </c>
      <c r="E58" s="1">
        <v>301</v>
      </c>
      <c r="F58" s="1">
        <v>0</v>
      </c>
      <c r="G58" s="1">
        <v>60</v>
      </c>
      <c r="H58" s="1" t="s">
        <v>29</v>
      </c>
      <c r="I58" s="1" t="s">
        <v>71</v>
      </c>
      <c r="J58" s="1">
        <v>120</v>
      </c>
      <c r="M58" s="1" t="s">
        <v>28</v>
      </c>
      <c r="N58" s="1">
        <v>0</v>
      </c>
      <c r="O58" s="1" t="s">
        <v>27</v>
      </c>
      <c r="P58" s="1">
        <v>46057</v>
      </c>
      <c r="Q58" s="1">
        <v>0.32908564814815</v>
      </c>
      <c r="R58" s="1">
        <v>0</v>
      </c>
      <c r="T58" s="1" t="s">
        <v>335</v>
      </c>
      <c r="U58" s="1" t="s">
        <v>24</v>
      </c>
      <c r="V58" s="1">
        <v>1</v>
      </c>
      <c r="W58" s="1" t="s">
        <v>258</v>
      </c>
      <c r="X58" s="1" t="s">
        <v>141</v>
      </c>
      <c r="Y58" s="1" t="s">
        <v>32</v>
      </c>
      <c r="Z58" s="1" t="s">
        <v>32</v>
      </c>
    </row>
    <row r="59" spans="1:26" x14ac:dyDescent="0.35">
      <c r="A59" s="1">
        <v>4000334</v>
      </c>
      <c r="B59" s="1" t="s">
        <v>31</v>
      </c>
      <c r="C59" s="1">
        <v>3300</v>
      </c>
      <c r="D59" s="1" t="s">
        <v>30</v>
      </c>
      <c r="E59" s="1">
        <v>301</v>
      </c>
      <c r="F59" s="1">
        <v>0</v>
      </c>
      <c r="G59" s="1">
        <v>60</v>
      </c>
      <c r="H59" s="1" t="s">
        <v>29</v>
      </c>
      <c r="I59" s="1" t="s">
        <v>71</v>
      </c>
      <c r="J59" s="1">
        <v>30</v>
      </c>
      <c r="M59" s="1" t="s">
        <v>28</v>
      </c>
      <c r="N59" s="1">
        <v>5</v>
      </c>
      <c r="O59" s="1" t="s">
        <v>132</v>
      </c>
      <c r="P59" s="1">
        <v>46036</v>
      </c>
      <c r="Q59" s="1">
        <v>0.42037037037037001</v>
      </c>
      <c r="R59" s="1" t="s">
        <v>1080</v>
      </c>
      <c r="S59" s="1" t="s">
        <v>1079</v>
      </c>
      <c r="T59" s="1" t="s">
        <v>335</v>
      </c>
      <c r="U59" s="1" t="s">
        <v>24</v>
      </c>
      <c r="V59" s="1">
        <v>1</v>
      </c>
      <c r="W59" s="1" t="s">
        <v>258</v>
      </c>
      <c r="X59" s="1" t="s">
        <v>141</v>
      </c>
      <c r="Y59" s="1" t="s">
        <v>32</v>
      </c>
      <c r="Z59" s="1" t="s">
        <v>32</v>
      </c>
    </row>
    <row r="60" spans="1:26" x14ac:dyDescent="0.35">
      <c r="A60" s="1">
        <v>4000340</v>
      </c>
      <c r="B60" s="1" t="s">
        <v>31</v>
      </c>
      <c r="C60" s="1">
        <v>3300</v>
      </c>
      <c r="D60" s="1" t="s">
        <v>30</v>
      </c>
      <c r="E60" s="1">
        <v>301</v>
      </c>
      <c r="F60" s="1">
        <v>0</v>
      </c>
      <c r="G60" s="1">
        <v>200</v>
      </c>
      <c r="H60" s="1" t="s">
        <v>29</v>
      </c>
      <c r="I60" s="1" t="s">
        <v>71</v>
      </c>
      <c r="J60" s="1">
        <v>300</v>
      </c>
      <c r="M60" s="1" t="s">
        <v>28</v>
      </c>
      <c r="N60" s="1">
        <v>5</v>
      </c>
      <c r="O60" s="1" t="s">
        <v>132</v>
      </c>
      <c r="P60" s="1">
        <v>46036</v>
      </c>
      <c r="Q60" s="1">
        <v>0.42037037037037001</v>
      </c>
      <c r="R60" s="1" t="s">
        <v>1078</v>
      </c>
      <c r="S60" s="1" t="s">
        <v>1077</v>
      </c>
      <c r="T60" s="1" t="s">
        <v>335</v>
      </c>
      <c r="U60" s="1" t="s">
        <v>24</v>
      </c>
      <c r="V60" s="1">
        <v>1</v>
      </c>
      <c r="W60" s="1" t="s">
        <v>258</v>
      </c>
      <c r="X60" s="1" t="s">
        <v>141</v>
      </c>
      <c r="Y60" s="1" t="s">
        <v>32</v>
      </c>
      <c r="Z60" s="1" t="s">
        <v>32</v>
      </c>
    </row>
    <row r="61" spans="1:26" x14ac:dyDescent="0.35">
      <c r="A61" s="1">
        <v>4000341</v>
      </c>
      <c r="B61" s="1" t="s">
        <v>31</v>
      </c>
      <c r="C61" s="1">
        <v>3300</v>
      </c>
      <c r="D61" s="1" t="s">
        <v>30</v>
      </c>
      <c r="E61" s="1">
        <v>301</v>
      </c>
      <c r="F61" s="1">
        <v>0</v>
      </c>
      <c r="G61" s="1">
        <v>600</v>
      </c>
      <c r="H61" s="1" t="s">
        <v>29</v>
      </c>
      <c r="I61" s="1" t="s">
        <v>247</v>
      </c>
      <c r="J61" s="1">
        <v>300</v>
      </c>
      <c r="M61" s="1" t="s">
        <v>28</v>
      </c>
      <c r="N61" s="1">
        <v>0</v>
      </c>
      <c r="O61" s="1" t="s">
        <v>27</v>
      </c>
      <c r="P61" s="1">
        <v>46042</v>
      </c>
      <c r="Q61" s="1">
        <v>0.39406249999999998</v>
      </c>
      <c r="R61" s="1">
        <v>0</v>
      </c>
      <c r="T61" s="1" t="s">
        <v>335</v>
      </c>
      <c r="U61" s="1" t="s">
        <v>24</v>
      </c>
      <c r="V61" s="1">
        <v>1</v>
      </c>
      <c r="W61" s="1" t="s">
        <v>258</v>
      </c>
      <c r="X61" s="1" t="s">
        <v>24</v>
      </c>
      <c r="Y61" s="1" t="s">
        <v>32</v>
      </c>
      <c r="Z61" s="1" t="s">
        <v>32</v>
      </c>
    </row>
    <row r="62" spans="1:26" x14ac:dyDescent="0.35">
      <c r="A62" s="1">
        <v>4000342</v>
      </c>
      <c r="B62" s="1" t="s">
        <v>31</v>
      </c>
      <c r="C62" s="1">
        <v>3300</v>
      </c>
      <c r="D62" s="1" t="s">
        <v>30</v>
      </c>
      <c r="E62" s="1">
        <v>301</v>
      </c>
      <c r="F62" s="1">
        <v>0</v>
      </c>
      <c r="G62" s="1">
        <v>350</v>
      </c>
      <c r="H62" s="1" t="s">
        <v>29</v>
      </c>
      <c r="I62" s="1" t="s">
        <v>71</v>
      </c>
      <c r="J62" s="1">
        <v>300</v>
      </c>
      <c r="M62" s="1" t="s">
        <v>28</v>
      </c>
      <c r="N62" s="1">
        <v>0</v>
      </c>
      <c r="O62" s="1" t="s">
        <v>27</v>
      </c>
      <c r="P62" s="1">
        <v>46070</v>
      </c>
      <c r="Q62" s="1">
        <v>0.43670138888888999</v>
      </c>
      <c r="R62" s="1" t="s">
        <v>1076</v>
      </c>
      <c r="S62" s="1" t="s">
        <v>1075</v>
      </c>
      <c r="T62" s="1" t="s">
        <v>335</v>
      </c>
      <c r="U62" s="1" t="s">
        <v>24</v>
      </c>
      <c r="V62" s="1">
        <v>1</v>
      </c>
      <c r="W62" s="1" t="s">
        <v>258</v>
      </c>
      <c r="X62" s="1" t="s">
        <v>141</v>
      </c>
      <c r="Y62" s="1" t="s">
        <v>32</v>
      </c>
      <c r="Z62" s="1" t="s">
        <v>32</v>
      </c>
    </row>
    <row r="63" spans="1:26" x14ac:dyDescent="0.35">
      <c r="A63" s="1">
        <v>4000343</v>
      </c>
      <c r="B63" s="1" t="s">
        <v>31</v>
      </c>
      <c r="C63" s="1">
        <v>3300</v>
      </c>
      <c r="D63" s="1" t="s">
        <v>30</v>
      </c>
      <c r="E63" s="1">
        <v>301</v>
      </c>
      <c r="F63" s="1">
        <v>0</v>
      </c>
      <c r="G63" s="1">
        <v>200</v>
      </c>
      <c r="H63" s="1" t="s">
        <v>29</v>
      </c>
      <c r="I63" s="1" t="s">
        <v>71</v>
      </c>
      <c r="J63" s="1">
        <v>200</v>
      </c>
      <c r="M63" s="1" t="s">
        <v>28</v>
      </c>
      <c r="N63" s="1">
        <v>5</v>
      </c>
      <c r="O63" s="1" t="s">
        <v>132</v>
      </c>
      <c r="P63" s="1">
        <v>46036</v>
      </c>
      <c r="Q63" s="1">
        <v>0.42037037037037001</v>
      </c>
      <c r="R63" s="1">
        <v>0</v>
      </c>
      <c r="T63" s="1" t="s">
        <v>335</v>
      </c>
      <c r="U63" s="1" t="s">
        <v>24</v>
      </c>
      <c r="V63" s="1">
        <v>1</v>
      </c>
      <c r="W63" s="1" t="s">
        <v>258</v>
      </c>
      <c r="X63" s="1" t="s">
        <v>757</v>
      </c>
      <c r="Y63" s="1" t="s">
        <v>32</v>
      </c>
      <c r="Z63" s="1" t="s">
        <v>32</v>
      </c>
    </row>
    <row r="64" spans="1:26" x14ac:dyDescent="0.35">
      <c r="A64" s="1">
        <v>4000396</v>
      </c>
      <c r="B64" s="1" t="s">
        <v>31</v>
      </c>
      <c r="C64" s="1">
        <v>3300</v>
      </c>
      <c r="D64" s="1" t="s">
        <v>30</v>
      </c>
      <c r="E64" s="1">
        <v>301</v>
      </c>
      <c r="F64" s="1">
        <v>0</v>
      </c>
      <c r="G64" s="1">
        <v>600</v>
      </c>
      <c r="H64" s="1" t="s">
        <v>29</v>
      </c>
      <c r="I64" s="1" t="s">
        <v>247</v>
      </c>
      <c r="J64" s="1">
        <v>600</v>
      </c>
      <c r="M64" s="1" t="s">
        <v>28</v>
      </c>
      <c r="N64" s="1">
        <v>0</v>
      </c>
      <c r="O64" s="1" t="s">
        <v>166</v>
      </c>
      <c r="P64" s="1">
        <v>45251</v>
      </c>
      <c r="Q64" s="1">
        <v>0.33494212962962999</v>
      </c>
      <c r="R64" s="1">
        <v>0</v>
      </c>
      <c r="U64" s="1" t="s">
        <v>24</v>
      </c>
      <c r="V64" s="1">
        <v>1</v>
      </c>
      <c r="W64" s="1" t="s">
        <v>271</v>
      </c>
      <c r="X64" s="1" t="s">
        <v>24</v>
      </c>
      <c r="Y64" s="1" t="s">
        <v>32</v>
      </c>
      <c r="Z64" s="1" t="s">
        <v>32</v>
      </c>
    </row>
    <row r="65" spans="1:26" x14ac:dyDescent="0.35">
      <c r="A65" s="1">
        <v>4000403</v>
      </c>
      <c r="B65" s="1" t="s">
        <v>31</v>
      </c>
      <c r="C65" s="1">
        <v>3300</v>
      </c>
      <c r="D65" s="1" t="s">
        <v>30</v>
      </c>
      <c r="E65" s="1">
        <v>301</v>
      </c>
      <c r="F65" s="1">
        <v>0</v>
      </c>
      <c r="G65" s="1">
        <v>1100</v>
      </c>
      <c r="H65" s="1" t="s">
        <v>29</v>
      </c>
      <c r="I65" s="1">
        <v>20</v>
      </c>
      <c r="J65" s="1">
        <v>600</v>
      </c>
      <c r="M65" s="1" t="s">
        <v>28</v>
      </c>
      <c r="N65" s="1">
        <v>5</v>
      </c>
      <c r="O65" s="1" t="s">
        <v>743</v>
      </c>
      <c r="P65" s="1">
        <v>44705</v>
      </c>
      <c r="Q65" s="1">
        <v>0.41201388888889001</v>
      </c>
      <c r="R65" s="1" t="s">
        <v>1074</v>
      </c>
      <c r="S65" s="1" t="s">
        <v>1073</v>
      </c>
      <c r="T65" s="1" t="s">
        <v>335</v>
      </c>
      <c r="U65" s="1" t="s">
        <v>24</v>
      </c>
      <c r="V65" s="1">
        <v>1</v>
      </c>
      <c r="W65" s="1" t="s">
        <v>258</v>
      </c>
      <c r="X65" s="1" t="s">
        <v>24</v>
      </c>
      <c r="Y65" s="1" t="s">
        <v>32</v>
      </c>
      <c r="Z65" s="1" t="s">
        <v>32</v>
      </c>
    </row>
    <row r="66" spans="1:26" x14ac:dyDescent="0.35">
      <c r="A66" s="1">
        <v>4000406</v>
      </c>
      <c r="B66" s="1" t="s">
        <v>31</v>
      </c>
      <c r="C66" s="1">
        <v>3300</v>
      </c>
      <c r="D66" s="1" t="s">
        <v>30</v>
      </c>
      <c r="E66" s="1">
        <v>301</v>
      </c>
      <c r="F66" s="1">
        <v>0</v>
      </c>
      <c r="G66" s="1">
        <v>700</v>
      </c>
      <c r="H66" s="1" t="s">
        <v>29</v>
      </c>
      <c r="I66" s="1" t="s">
        <v>71</v>
      </c>
      <c r="J66" s="1">
        <v>3600</v>
      </c>
      <c r="M66" s="1" t="s">
        <v>28</v>
      </c>
      <c r="N66" s="1">
        <v>0</v>
      </c>
      <c r="O66" s="1" t="s">
        <v>27</v>
      </c>
      <c r="P66" s="1">
        <v>45708</v>
      </c>
      <c r="Q66" s="1">
        <v>0.28543981481481001</v>
      </c>
      <c r="R66" s="1" t="s">
        <v>1072</v>
      </c>
      <c r="S66" s="1" t="s">
        <v>1071</v>
      </c>
      <c r="U66" s="1" t="s">
        <v>24</v>
      </c>
      <c r="V66" s="1">
        <v>1</v>
      </c>
      <c r="W66" s="1" t="s">
        <v>271</v>
      </c>
      <c r="X66" s="1" t="s">
        <v>24</v>
      </c>
      <c r="Y66" s="1" t="s">
        <v>32</v>
      </c>
      <c r="Z66" s="1" t="s">
        <v>32</v>
      </c>
    </row>
    <row r="67" spans="1:26" x14ac:dyDescent="0.35">
      <c r="A67" s="1">
        <v>4000411</v>
      </c>
      <c r="B67" s="1" t="s">
        <v>31</v>
      </c>
      <c r="C67" s="1">
        <v>3300</v>
      </c>
      <c r="D67" s="1" t="s">
        <v>30</v>
      </c>
      <c r="E67" s="1">
        <v>301</v>
      </c>
      <c r="F67" s="1">
        <v>0</v>
      </c>
      <c r="G67" s="1">
        <v>12</v>
      </c>
      <c r="H67" s="1" t="s">
        <v>29</v>
      </c>
      <c r="I67" s="1">
        <v>20</v>
      </c>
      <c r="J67" s="1">
        <v>4</v>
      </c>
      <c r="M67" s="1" t="s">
        <v>28</v>
      </c>
      <c r="N67" s="1">
        <v>5</v>
      </c>
      <c r="O67" s="1" t="s">
        <v>743</v>
      </c>
      <c r="P67" s="1">
        <v>45033</v>
      </c>
      <c r="Q67" s="1">
        <v>0.90956018518519</v>
      </c>
      <c r="R67" s="1" t="s">
        <v>1070</v>
      </c>
      <c r="S67" s="1" t="s">
        <v>1069</v>
      </c>
      <c r="T67" s="1" t="s">
        <v>335</v>
      </c>
      <c r="U67" s="1" t="s">
        <v>24</v>
      </c>
      <c r="V67" s="1">
        <v>1</v>
      </c>
      <c r="W67" s="1" t="s">
        <v>258</v>
      </c>
      <c r="X67" s="1" t="s">
        <v>757</v>
      </c>
      <c r="Y67" s="1" t="s">
        <v>32</v>
      </c>
      <c r="Z67" s="1" t="s">
        <v>32</v>
      </c>
    </row>
    <row r="68" spans="1:26" x14ac:dyDescent="0.35">
      <c r="A68" s="1">
        <v>4000412</v>
      </c>
      <c r="B68" s="1" t="s">
        <v>31</v>
      </c>
      <c r="C68" s="1">
        <v>3300</v>
      </c>
      <c r="D68" s="1" t="s">
        <v>30</v>
      </c>
      <c r="E68" s="1">
        <v>301</v>
      </c>
      <c r="F68" s="1">
        <v>0</v>
      </c>
      <c r="G68" s="1">
        <v>15</v>
      </c>
      <c r="H68" s="1" t="s">
        <v>29</v>
      </c>
      <c r="I68" s="1">
        <v>20</v>
      </c>
      <c r="J68" s="1">
        <v>6</v>
      </c>
      <c r="M68" s="1" t="s">
        <v>28</v>
      </c>
      <c r="N68" s="1">
        <v>5</v>
      </c>
      <c r="O68" s="1" t="s">
        <v>27</v>
      </c>
      <c r="P68" s="1">
        <v>45937</v>
      </c>
      <c r="Q68" s="1">
        <v>0.41347222222222002</v>
      </c>
      <c r="R68" s="1" t="s">
        <v>1068</v>
      </c>
      <c r="S68" s="1" t="s">
        <v>1067</v>
      </c>
      <c r="T68" s="1" t="s">
        <v>335</v>
      </c>
      <c r="U68" s="1" t="s">
        <v>24</v>
      </c>
      <c r="V68" s="1">
        <v>1</v>
      </c>
      <c r="W68" s="1" t="s">
        <v>258</v>
      </c>
      <c r="X68" s="1" t="s">
        <v>24</v>
      </c>
      <c r="Y68" s="1" t="s">
        <v>32</v>
      </c>
      <c r="Z68" s="1" t="s">
        <v>32</v>
      </c>
    </row>
    <row r="69" spans="1:26" x14ac:dyDescent="0.35">
      <c r="A69" s="1">
        <v>4000413</v>
      </c>
      <c r="B69" s="1" t="s">
        <v>31</v>
      </c>
      <c r="C69" s="1">
        <v>3300</v>
      </c>
      <c r="D69" s="1" t="s">
        <v>30</v>
      </c>
      <c r="E69" s="1">
        <v>301</v>
      </c>
      <c r="F69" s="1">
        <v>0</v>
      </c>
      <c r="G69" s="1">
        <v>12</v>
      </c>
      <c r="H69" s="1" t="s">
        <v>29</v>
      </c>
      <c r="I69" s="1">
        <v>20</v>
      </c>
      <c r="J69" s="1">
        <v>4</v>
      </c>
      <c r="M69" s="1" t="s">
        <v>28</v>
      </c>
      <c r="N69" s="1">
        <v>5</v>
      </c>
      <c r="O69" s="1" t="s">
        <v>277</v>
      </c>
      <c r="P69" s="1">
        <v>44820</v>
      </c>
      <c r="Q69" s="1">
        <v>0.40656249999999999</v>
      </c>
      <c r="R69" s="1">
        <v>0</v>
      </c>
      <c r="T69" s="1" t="s">
        <v>335</v>
      </c>
      <c r="U69" s="1" t="s">
        <v>24</v>
      </c>
      <c r="V69" s="1">
        <v>1</v>
      </c>
      <c r="W69" s="1" t="s">
        <v>258</v>
      </c>
      <c r="Y69" s="1" t="s">
        <v>32</v>
      </c>
      <c r="Z69" s="1" t="s">
        <v>23</v>
      </c>
    </row>
    <row r="70" spans="1:26" x14ac:dyDescent="0.35">
      <c r="A70" s="1">
        <v>4000414</v>
      </c>
      <c r="B70" s="1" t="s">
        <v>31</v>
      </c>
      <c r="C70" s="1">
        <v>3300</v>
      </c>
      <c r="D70" s="1" t="s">
        <v>30</v>
      </c>
      <c r="E70" s="1">
        <v>301</v>
      </c>
      <c r="F70" s="1">
        <v>0</v>
      </c>
      <c r="G70" s="1">
        <v>10</v>
      </c>
      <c r="H70" s="1" t="s">
        <v>29</v>
      </c>
      <c r="I70" s="1">
        <v>20</v>
      </c>
      <c r="J70" s="1">
        <v>4</v>
      </c>
      <c r="M70" s="1" t="s">
        <v>28</v>
      </c>
      <c r="N70" s="1">
        <v>5</v>
      </c>
      <c r="O70" s="1" t="s">
        <v>27</v>
      </c>
      <c r="P70" s="1">
        <v>45637</v>
      </c>
      <c r="Q70" s="1">
        <v>0.57341435185184997</v>
      </c>
      <c r="R70" s="1" t="s">
        <v>1066</v>
      </c>
      <c r="S70" s="1" t="s">
        <v>1065</v>
      </c>
      <c r="T70" s="1" t="s">
        <v>335</v>
      </c>
      <c r="U70" s="1" t="s">
        <v>24</v>
      </c>
      <c r="V70" s="1">
        <v>1</v>
      </c>
      <c r="W70" s="1" t="s">
        <v>258</v>
      </c>
      <c r="X70" s="1" t="s">
        <v>24</v>
      </c>
      <c r="Y70" s="1" t="s">
        <v>32</v>
      </c>
      <c r="Z70" s="1" t="s">
        <v>32</v>
      </c>
    </row>
    <row r="71" spans="1:26" x14ac:dyDescent="0.35">
      <c r="A71" s="1">
        <v>4000415</v>
      </c>
      <c r="B71" s="1" t="s">
        <v>31</v>
      </c>
      <c r="C71" s="1">
        <v>3300</v>
      </c>
      <c r="D71" s="1" t="s">
        <v>30</v>
      </c>
      <c r="E71" s="1">
        <v>301</v>
      </c>
      <c r="F71" s="1">
        <v>0</v>
      </c>
      <c r="G71" s="1">
        <v>9</v>
      </c>
      <c r="H71" s="1" t="s">
        <v>29</v>
      </c>
      <c r="I71" s="1">
        <v>20</v>
      </c>
      <c r="J71" s="1">
        <v>4</v>
      </c>
      <c r="M71" s="1" t="s">
        <v>28</v>
      </c>
      <c r="N71" s="1">
        <v>5</v>
      </c>
      <c r="O71" s="1" t="s">
        <v>166</v>
      </c>
      <c r="P71" s="1">
        <v>45638</v>
      </c>
      <c r="Q71" s="1">
        <v>0.32124999999999998</v>
      </c>
      <c r="R71" s="1" t="s">
        <v>1064</v>
      </c>
      <c r="S71" s="1" t="s">
        <v>1063</v>
      </c>
      <c r="T71" s="1" t="s">
        <v>335</v>
      </c>
      <c r="U71" s="1" t="s">
        <v>24</v>
      </c>
      <c r="V71" s="1">
        <v>1</v>
      </c>
      <c r="W71" s="1" t="s">
        <v>258</v>
      </c>
      <c r="Y71" s="1" t="s">
        <v>32</v>
      </c>
      <c r="Z71" s="1" t="s">
        <v>23</v>
      </c>
    </row>
    <row r="72" spans="1:26" x14ac:dyDescent="0.35">
      <c r="A72" s="1">
        <v>4000416</v>
      </c>
      <c r="B72" s="1" t="s">
        <v>31</v>
      </c>
      <c r="C72" s="1">
        <v>3300</v>
      </c>
      <c r="D72" s="1" t="s">
        <v>30</v>
      </c>
      <c r="E72" s="1">
        <v>301</v>
      </c>
      <c r="F72" s="1">
        <v>0</v>
      </c>
      <c r="G72" s="1">
        <v>2617</v>
      </c>
      <c r="H72" s="1" t="s">
        <v>29</v>
      </c>
      <c r="I72" s="1">
        <v>20</v>
      </c>
      <c r="J72" s="1">
        <v>1200</v>
      </c>
      <c r="M72" s="1" t="s">
        <v>28</v>
      </c>
      <c r="N72" s="1">
        <v>5</v>
      </c>
      <c r="O72" s="1" t="s">
        <v>386</v>
      </c>
      <c r="P72" s="1">
        <v>44522</v>
      </c>
      <c r="Q72" s="1">
        <v>0.56109953703703996</v>
      </c>
      <c r="R72" s="1">
        <v>0</v>
      </c>
      <c r="T72" s="1" t="s">
        <v>335</v>
      </c>
      <c r="U72" s="1" t="s">
        <v>24</v>
      </c>
      <c r="V72" s="1">
        <v>1</v>
      </c>
      <c r="W72" s="1" t="s">
        <v>258</v>
      </c>
      <c r="Y72" s="1" t="s">
        <v>32</v>
      </c>
      <c r="Z72" s="1" t="s">
        <v>23</v>
      </c>
    </row>
    <row r="73" spans="1:26" x14ac:dyDescent="0.35">
      <c r="A73" s="1">
        <v>4000418</v>
      </c>
      <c r="B73" s="1" t="s">
        <v>31</v>
      </c>
      <c r="C73" s="1">
        <v>3300</v>
      </c>
      <c r="D73" s="1" t="s">
        <v>30</v>
      </c>
      <c r="E73" s="1">
        <v>301</v>
      </c>
      <c r="F73" s="1">
        <v>0</v>
      </c>
      <c r="G73" s="1">
        <v>600</v>
      </c>
      <c r="H73" s="1" t="s">
        <v>29</v>
      </c>
      <c r="I73" s="1">
        <v>20</v>
      </c>
      <c r="J73" s="1">
        <v>1200</v>
      </c>
      <c r="M73" s="1" t="s">
        <v>28</v>
      </c>
      <c r="N73" s="1">
        <v>5</v>
      </c>
      <c r="O73" s="1" t="s">
        <v>277</v>
      </c>
      <c r="P73" s="1">
        <v>44727</v>
      </c>
      <c r="Q73" s="1">
        <v>0.36238425925925999</v>
      </c>
      <c r="R73" s="1" t="s">
        <v>1062</v>
      </c>
      <c r="S73" s="1" t="s">
        <v>1061</v>
      </c>
      <c r="T73" s="1" t="s">
        <v>335</v>
      </c>
      <c r="U73" s="1" t="s">
        <v>24</v>
      </c>
      <c r="V73" s="1">
        <v>1</v>
      </c>
      <c r="W73" s="1" t="s">
        <v>258</v>
      </c>
      <c r="Y73" s="1" t="s">
        <v>32</v>
      </c>
      <c r="Z73" s="1" t="s">
        <v>23</v>
      </c>
    </row>
    <row r="74" spans="1:26" x14ac:dyDescent="0.35">
      <c r="A74" s="1">
        <v>4000419</v>
      </c>
      <c r="B74" s="1" t="s">
        <v>31</v>
      </c>
      <c r="C74" s="1">
        <v>3300</v>
      </c>
      <c r="D74" s="1" t="s">
        <v>30</v>
      </c>
      <c r="E74" s="1">
        <v>301</v>
      </c>
      <c r="F74" s="1">
        <v>0</v>
      </c>
      <c r="G74" s="1">
        <v>1800</v>
      </c>
      <c r="H74" s="1" t="s">
        <v>29</v>
      </c>
      <c r="I74" s="1">
        <v>20</v>
      </c>
      <c r="J74" s="1">
        <v>1800</v>
      </c>
      <c r="M74" s="1" t="s">
        <v>28</v>
      </c>
      <c r="N74" s="1">
        <v>5</v>
      </c>
      <c r="O74" s="1" t="s">
        <v>277</v>
      </c>
      <c r="P74" s="1">
        <v>44799</v>
      </c>
      <c r="Q74" s="1">
        <v>0.44453703703704001</v>
      </c>
      <c r="R74" s="1" t="s">
        <v>1060</v>
      </c>
      <c r="S74" s="1" t="s">
        <v>1059</v>
      </c>
      <c r="T74" s="1" t="s">
        <v>335</v>
      </c>
      <c r="U74" s="1" t="s">
        <v>24</v>
      </c>
      <c r="V74" s="1">
        <v>1</v>
      </c>
      <c r="W74" s="1" t="s">
        <v>258</v>
      </c>
      <c r="Y74" s="1" t="s">
        <v>32</v>
      </c>
      <c r="Z74" s="1" t="s">
        <v>23</v>
      </c>
    </row>
    <row r="75" spans="1:26" x14ac:dyDescent="0.35">
      <c r="A75" s="1">
        <v>4000420</v>
      </c>
      <c r="B75" s="1" t="s">
        <v>31</v>
      </c>
      <c r="C75" s="1">
        <v>3300</v>
      </c>
      <c r="D75" s="1" t="s">
        <v>30</v>
      </c>
      <c r="E75" s="1">
        <v>301</v>
      </c>
      <c r="F75" s="1">
        <v>0</v>
      </c>
      <c r="G75" s="1">
        <v>2500</v>
      </c>
      <c r="H75" s="1" t="s">
        <v>29</v>
      </c>
      <c r="I75" s="1">
        <v>20</v>
      </c>
      <c r="J75" s="1">
        <v>3000</v>
      </c>
      <c r="M75" s="1" t="s">
        <v>28</v>
      </c>
      <c r="N75" s="1">
        <v>5</v>
      </c>
      <c r="O75" s="1" t="s">
        <v>743</v>
      </c>
      <c r="P75" s="1">
        <v>45033</v>
      </c>
      <c r="Q75" s="1">
        <v>0.90857638888889003</v>
      </c>
      <c r="R75" s="1">
        <v>0</v>
      </c>
      <c r="T75" s="1" t="s">
        <v>335</v>
      </c>
      <c r="U75" s="1" t="s">
        <v>24</v>
      </c>
      <c r="V75" s="1">
        <v>1</v>
      </c>
      <c r="W75" s="1" t="s">
        <v>258</v>
      </c>
      <c r="X75" s="1" t="s">
        <v>757</v>
      </c>
      <c r="Y75" s="1" t="s">
        <v>32</v>
      </c>
      <c r="Z75" s="1" t="s">
        <v>32</v>
      </c>
    </row>
    <row r="76" spans="1:26" x14ac:dyDescent="0.35">
      <c r="A76" s="1">
        <v>4000427</v>
      </c>
      <c r="B76" s="1" t="s">
        <v>31</v>
      </c>
      <c r="C76" s="1">
        <v>3300</v>
      </c>
      <c r="D76" s="1" t="s">
        <v>30</v>
      </c>
      <c r="E76" s="1">
        <v>301</v>
      </c>
      <c r="F76" s="1">
        <v>0</v>
      </c>
      <c r="G76" s="1">
        <v>300</v>
      </c>
      <c r="H76" s="1" t="s">
        <v>29</v>
      </c>
      <c r="I76" s="1" t="s">
        <v>71</v>
      </c>
      <c r="J76" s="1">
        <v>1200</v>
      </c>
      <c r="M76" s="1" t="s">
        <v>28</v>
      </c>
      <c r="N76" s="1">
        <v>5</v>
      </c>
      <c r="O76" s="1" t="s">
        <v>27</v>
      </c>
      <c r="P76" s="1">
        <v>45924</v>
      </c>
      <c r="Q76" s="1">
        <v>0.53609953703704005</v>
      </c>
      <c r="R76" s="1" t="s">
        <v>1058</v>
      </c>
      <c r="S76" s="1" t="s">
        <v>1057</v>
      </c>
      <c r="T76" s="1" t="s">
        <v>335</v>
      </c>
      <c r="U76" s="1" t="s">
        <v>24</v>
      </c>
      <c r="V76" s="1">
        <v>1</v>
      </c>
      <c r="W76" s="1" t="s">
        <v>258</v>
      </c>
      <c r="X76" s="1" t="s">
        <v>141</v>
      </c>
      <c r="Y76" s="1" t="s">
        <v>32</v>
      </c>
      <c r="Z76" s="1" t="s">
        <v>32</v>
      </c>
    </row>
    <row r="77" spans="1:26" x14ac:dyDescent="0.35">
      <c r="A77" s="1">
        <v>4000428</v>
      </c>
      <c r="B77" s="1" t="s">
        <v>31</v>
      </c>
      <c r="C77" s="1">
        <v>3300</v>
      </c>
      <c r="D77" s="1" t="s">
        <v>30</v>
      </c>
      <c r="E77" s="1">
        <v>301</v>
      </c>
      <c r="F77" s="1">
        <v>0</v>
      </c>
      <c r="G77" s="1">
        <v>1600</v>
      </c>
      <c r="H77" s="1" t="s">
        <v>29</v>
      </c>
      <c r="I77" s="1" t="s">
        <v>71</v>
      </c>
      <c r="J77" s="1">
        <v>2400</v>
      </c>
      <c r="M77" s="1" t="s">
        <v>28</v>
      </c>
      <c r="N77" s="1">
        <v>0</v>
      </c>
      <c r="O77" s="1" t="s">
        <v>27</v>
      </c>
      <c r="P77" s="1">
        <v>45930</v>
      </c>
      <c r="Q77" s="1">
        <v>0.36125000000000002</v>
      </c>
      <c r="R77" s="1">
        <v>0</v>
      </c>
      <c r="U77" s="1" t="s">
        <v>24</v>
      </c>
      <c r="V77" s="1">
        <v>1</v>
      </c>
      <c r="W77" s="1" t="s">
        <v>289</v>
      </c>
      <c r="X77" s="1" t="s">
        <v>141</v>
      </c>
      <c r="Y77" s="1" t="s">
        <v>32</v>
      </c>
      <c r="Z77" s="1" t="s">
        <v>32</v>
      </c>
    </row>
    <row r="78" spans="1:26" x14ac:dyDescent="0.35">
      <c r="A78" s="1">
        <v>4000430</v>
      </c>
      <c r="B78" s="1" t="s">
        <v>31</v>
      </c>
      <c r="C78" s="1">
        <v>3300</v>
      </c>
      <c r="D78" s="1" t="s">
        <v>41</v>
      </c>
      <c r="E78" s="1">
        <v>301</v>
      </c>
      <c r="F78" s="1">
        <v>0</v>
      </c>
      <c r="G78" s="1">
        <v>15000</v>
      </c>
      <c r="H78" s="1" t="s">
        <v>29</v>
      </c>
      <c r="I78" s="1" t="s">
        <v>274</v>
      </c>
      <c r="J78" s="1">
        <v>36000</v>
      </c>
      <c r="M78" s="1" t="s">
        <v>28</v>
      </c>
      <c r="N78" s="1">
        <v>0</v>
      </c>
      <c r="O78" s="1" t="s">
        <v>27</v>
      </c>
      <c r="P78" s="1">
        <v>45238</v>
      </c>
      <c r="Q78" s="1">
        <v>0.43017361111111002</v>
      </c>
      <c r="R78" s="1" t="s">
        <v>1056</v>
      </c>
      <c r="S78" s="1" t="s">
        <v>1055</v>
      </c>
      <c r="U78" s="1" t="s">
        <v>24</v>
      </c>
      <c r="V78" s="1">
        <v>1</v>
      </c>
      <c r="W78" s="1" t="s">
        <v>271</v>
      </c>
      <c r="X78" s="1" t="s">
        <v>141</v>
      </c>
      <c r="Y78" s="1" t="s">
        <v>32</v>
      </c>
      <c r="Z78" s="1" t="s">
        <v>32</v>
      </c>
    </row>
    <row r="79" spans="1:26" x14ac:dyDescent="0.35">
      <c r="A79" s="1">
        <v>4000432</v>
      </c>
      <c r="B79" s="1" t="s">
        <v>31</v>
      </c>
      <c r="C79" s="1">
        <v>3300</v>
      </c>
      <c r="D79" s="1" t="s">
        <v>30</v>
      </c>
      <c r="E79" s="1">
        <v>301</v>
      </c>
      <c r="F79" s="1">
        <v>0</v>
      </c>
      <c r="G79" s="1">
        <v>1500</v>
      </c>
      <c r="H79" s="1" t="s">
        <v>29</v>
      </c>
      <c r="I79" s="1" t="s">
        <v>247</v>
      </c>
      <c r="J79" s="1">
        <v>1200</v>
      </c>
      <c r="M79" s="1" t="s">
        <v>28</v>
      </c>
      <c r="N79" s="1">
        <v>0</v>
      </c>
      <c r="O79" s="1" t="s">
        <v>27</v>
      </c>
      <c r="P79" s="1">
        <v>45238</v>
      </c>
      <c r="Q79" s="1">
        <v>0.43074074074073998</v>
      </c>
      <c r="R79" s="1" t="s">
        <v>1054</v>
      </c>
      <c r="S79" s="1" t="s">
        <v>1053</v>
      </c>
      <c r="U79" s="1" t="s">
        <v>24</v>
      </c>
      <c r="V79" s="1">
        <v>1</v>
      </c>
      <c r="W79" s="1" t="s">
        <v>289</v>
      </c>
      <c r="X79" s="1" t="s">
        <v>141</v>
      </c>
      <c r="Y79" s="1" t="s">
        <v>32</v>
      </c>
      <c r="Z79" s="1" t="s">
        <v>32</v>
      </c>
    </row>
    <row r="80" spans="1:26" x14ac:dyDescent="0.35">
      <c r="A80" s="1">
        <v>4000434</v>
      </c>
      <c r="B80" s="1" t="s">
        <v>31</v>
      </c>
      <c r="C80" s="1">
        <v>3300</v>
      </c>
      <c r="D80" s="1" t="s">
        <v>30</v>
      </c>
      <c r="E80" s="1">
        <v>301</v>
      </c>
      <c r="F80" s="1">
        <v>0</v>
      </c>
      <c r="G80" s="1">
        <v>1200</v>
      </c>
      <c r="H80" s="1" t="s">
        <v>29</v>
      </c>
      <c r="I80" s="1" t="s">
        <v>71</v>
      </c>
      <c r="J80" s="1">
        <v>1200</v>
      </c>
      <c r="M80" s="1" t="s">
        <v>28</v>
      </c>
      <c r="N80" s="1">
        <v>0</v>
      </c>
      <c r="O80" s="1" t="s">
        <v>27</v>
      </c>
      <c r="P80" s="1">
        <v>45930</v>
      </c>
      <c r="Q80" s="1">
        <v>0.38109953703704003</v>
      </c>
      <c r="R80" s="1">
        <v>0</v>
      </c>
      <c r="U80" s="1" t="s">
        <v>24</v>
      </c>
      <c r="V80" s="1">
        <v>1</v>
      </c>
      <c r="W80" s="1" t="s">
        <v>271</v>
      </c>
      <c r="X80" s="1" t="s">
        <v>141</v>
      </c>
      <c r="Y80" s="1" t="s">
        <v>32</v>
      </c>
      <c r="Z80" s="1" t="s">
        <v>32</v>
      </c>
    </row>
    <row r="81" spans="1:26" x14ac:dyDescent="0.35">
      <c r="A81" s="1">
        <v>4000435</v>
      </c>
      <c r="B81" s="1" t="s">
        <v>31</v>
      </c>
      <c r="C81" s="1">
        <v>3300</v>
      </c>
      <c r="D81" s="1" t="s">
        <v>30</v>
      </c>
      <c r="E81" s="1">
        <v>301</v>
      </c>
      <c r="F81" s="1">
        <v>0</v>
      </c>
      <c r="G81" s="1">
        <v>1800</v>
      </c>
      <c r="H81" s="1" t="s">
        <v>29</v>
      </c>
      <c r="I81" s="1" t="s">
        <v>71</v>
      </c>
      <c r="J81" s="1">
        <v>1200</v>
      </c>
      <c r="M81" s="1" t="s">
        <v>28</v>
      </c>
      <c r="N81" s="1">
        <v>0</v>
      </c>
      <c r="O81" s="1" t="s">
        <v>27</v>
      </c>
      <c r="P81" s="1">
        <v>45930</v>
      </c>
      <c r="Q81" s="1">
        <v>0.38398148148147998</v>
      </c>
      <c r="R81" s="1">
        <v>0</v>
      </c>
      <c r="U81" s="1" t="s">
        <v>24</v>
      </c>
      <c r="V81" s="1">
        <v>1</v>
      </c>
      <c r="W81" s="1" t="s">
        <v>289</v>
      </c>
      <c r="X81" s="1" t="s">
        <v>141</v>
      </c>
      <c r="Y81" s="1" t="s">
        <v>32</v>
      </c>
      <c r="Z81" s="1" t="s">
        <v>32</v>
      </c>
    </row>
    <row r="82" spans="1:26" x14ac:dyDescent="0.35">
      <c r="A82" s="1">
        <v>4000441</v>
      </c>
      <c r="B82" s="1" t="s">
        <v>31</v>
      </c>
      <c r="C82" s="1">
        <v>3300</v>
      </c>
      <c r="D82" s="1" t="s">
        <v>30</v>
      </c>
      <c r="E82" s="1">
        <v>301</v>
      </c>
      <c r="F82" s="1">
        <v>0</v>
      </c>
      <c r="G82" s="1">
        <v>360</v>
      </c>
      <c r="H82" s="1" t="s">
        <v>29</v>
      </c>
      <c r="I82" s="1" t="s">
        <v>247</v>
      </c>
      <c r="J82" s="1">
        <v>360</v>
      </c>
      <c r="M82" s="1" t="s">
        <v>28</v>
      </c>
      <c r="N82" s="1">
        <v>0</v>
      </c>
      <c r="O82" s="1" t="s">
        <v>199</v>
      </c>
      <c r="P82" s="1">
        <v>45905</v>
      </c>
      <c r="Q82" s="1">
        <v>0.32548611111110998</v>
      </c>
      <c r="R82" s="1">
        <v>0</v>
      </c>
      <c r="U82" s="1" t="s">
        <v>24</v>
      </c>
      <c r="V82" s="1">
        <v>1</v>
      </c>
      <c r="W82" s="1" t="s">
        <v>289</v>
      </c>
      <c r="X82" s="1" t="s">
        <v>141</v>
      </c>
      <c r="Y82" s="1" t="s">
        <v>32</v>
      </c>
      <c r="Z82" s="1" t="s">
        <v>32</v>
      </c>
    </row>
    <row r="83" spans="1:26" x14ac:dyDescent="0.35">
      <c r="A83" s="1">
        <v>4000442</v>
      </c>
      <c r="B83" s="1" t="s">
        <v>31</v>
      </c>
      <c r="C83" s="1">
        <v>3300</v>
      </c>
      <c r="D83" s="1" t="s">
        <v>30</v>
      </c>
      <c r="E83" s="1">
        <v>301</v>
      </c>
      <c r="F83" s="1">
        <v>0</v>
      </c>
      <c r="G83" s="1">
        <v>10000</v>
      </c>
      <c r="H83" s="1" t="s">
        <v>29</v>
      </c>
      <c r="I83" s="1" t="s">
        <v>247</v>
      </c>
      <c r="J83" s="1">
        <v>10800</v>
      </c>
      <c r="M83" s="1" t="s">
        <v>28</v>
      </c>
      <c r="N83" s="1">
        <v>0</v>
      </c>
      <c r="O83" s="1" t="s">
        <v>27</v>
      </c>
      <c r="P83" s="1">
        <v>45238</v>
      </c>
      <c r="Q83" s="1">
        <v>0.43446759259258999</v>
      </c>
      <c r="R83" s="1">
        <v>0</v>
      </c>
      <c r="U83" s="1" t="s">
        <v>24</v>
      </c>
      <c r="V83" s="1">
        <v>1</v>
      </c>
      <c r="W83" s="1" t="s">
        <v>271</v>
      </c>
      <c r="X83" s="1" t="s">
        <v>141</v>
      </c>
      <c r="Y83" s="1" t="s">
        <v>32</v>
      </c>
      <c r="Z83" s="1" t="s">
        <v>32</v>
      </c>
    </row>
    <row r="84" spans="1:26" x14ac:dyDescent="0.35">
      <c r="A84" s="1">
        <v>4000443</v>
      </c>
      <c r="B84" s="1" t="s">
        <v>31</v>
      </c>
      <c r="C84" s="1">
        <v>3300</v>
      </c>
      <c r="D84" s="1" t="s">
        <v>30</v>
      </c>
      <c r="E84" s="1">
        <v>301</v>
      </c>
      <c r="F84" s="1">
        <v>0</v>
      </c>
      <c r="G84" s="1">
        <v>5120</v>
      </c>
      <c r="H84" s="1" t="s">
        <v>29</v>
      </c>
      <c r="I84" s="1" t="s">
        <v>71</v>
      </c>
      <c r="J84" s="1">
        <v>3120</v>
      </c>
      <c r="M84" s="1" t="s">
        <v>28</v>
      </c>
      <c r="N84" s="1">
        <v>0</v>
      </c>
      <c r="O84" s="1" t="s">
        <v>27</v>
      </c>
      <c r="P84" s="1">
        <v>46007</v>
      </c>
      <c r="Q84" s="1">
        <v>0.32665509259259001</v>
      </c>
      <c r="R84" s="1">
        <v>0</v>
      </c>
      <c r="U84" s="1" t="s">
        <v>24</v>
      </c>
      <c r="V84" s="1">
        <v>1</v>
      </c>
      <c r="W84" s="1" t="s">
        <v>271</v>
      </c>
      <c r="X84" s="1" t="s">
        <v>24</v>
      </c>
      <c r="Y84" s="1" t="s">
        <v>32</v>
      </c>
      <c r="Z84" s="1" t="s">
        <v>32</v>
      </c>
    </row>
    <row r="85" spans="1:26" x14ac:dyDescent="0.35">
      <c r="A85" s="1">
        <v>4000445</v>
      </c>
      <c r="B85" s="1" t="s">
        <v>31</v>
      </c>
      <c r="C85" s="1">
        <v>3300</v>
      </c>
      <c r="D85" s="1" t="s">
        <v>30</v>
      </c>
      <c r="E85" s="1">
        <v>301</v>
      </c>
      <c r="F85" s="1">
        <v>0</v>
      </c>
      <c r="G85" s="1">
        <v>6000</v>
      </c>
      <c r="H85" s="1" t="s">
        <v>29</v>
      </c>
      <c r="I85" s="1" t="s">
        <v>71</v>
      </c>
      <c r="J85" s="1">
        <v>5400</v>
      </c>
      <c r="M85" s="1" t="s">
        <v>28</v>
      </c>
      <c r="N85" s="1">
        <v>0</v>
      </c>
      <c r="O85" s="1" t="s">
        <v>27</v>
      </c>
      <c r="P85" s="1">
        <v>45679</v>
      </c>
      <c r="Q85" s="1">
        <v>0.2871412037037</v>
      </c>
      <c r="R85" s="1">
        <v>0</v>
      </c>
      <c r="U85" s="1" t="s">
        <v>24</v>
      </c>
      <c r="V85" s="1">
        <v>1</v>
      </c>
      <c r="W85" s="1" t="s">
        <v>289</v>
      </c>
      <c r="X85" s="1" t="s">
        <v>24</v>
      </c>
      <c r="Y85" s="1" t="s">
        <v>32</v>
      </c>
      <c r="Z85" s="1" t="s">
        <v>32</v>
      </c>
    </row>
    <row r="86" spans="1:26" x14ac:dyDescent="0.35">
      <c r="A86" s="1">
        <v>4000447</v>
      </c>
      <c r="B86" s="1" t="s">
        <v>31</v>
      </c>
      <c r="C86" s="1">
        <v>3300</v>
      </c>
      <c r="D86" s="1" t="s">
        <v>30</v>
      </c>
      <c r="E86" s="1">
        <v>301</v>
      </c>
      <c r="F86" s="1">
        <v>0</v>
      </c>
      <c r="G86" s="1">
        <v>9600</v>
      </c>
      <c r="H86" s="1" t="s">
        <v>29</v>
      </c>
      <c r="I86" s="1" t="s">
        <v>71</v>
      </c>
      <c r="J86" s="1">
        <v>5000</v>
      </c>
      <c r="M86" s="1" t="s">
        <v>28</v>
      </c>
      <c r="N86" s="1">
        <v>0</v>
      </c>
      <c r="O86" s="1" t="s">
        <v>27</v>
      </c>
      <c r="P86" s="1">
        <v>45631</v>
      </c>
      <c r="Q86" s="1">
        <v>0.29274305555556002</v>
      </c>
      <c r="R86" s="1">
        <v>0</v>
      </c>
      <c r="U86" s="1" t="s">
        <v>24</v>
      </c>
      <c r="V86" s="1">
        <v>1</v>
      </c>
      <c r="W86" s="1" t="s">
        <v>289</v>
      </c>
      <c r="X86" s="1" t="s">
        <v>141</v>
      </c>
      <c r="Y86" s="1" t="s">
        <v>32</v>
      </c>
      <c r="Z86" s="1" t="s">
        <v>32</v>
      </c>
    </row>
    <row r="87" spans="1:26" x14ac:dyDescent="0.35">
      <c r="A87" s="1">
        <v>4000449</v>
      </c>
      <c r="B87" s="1" t="s">
        <v>31</v>
      </c>
      <c r="C87" s="1">
        <v>3300</v>
      </c>
      <c r="D87" s="1" t="s">
        <v>30</v>
      </c>
      <c r="E87" s="1">
        <v>301</v>
      </c>
      <c r="F87" s="1">
        <v>0</v>
      </c>
      <c r="G87" s="1">
        <v>4000</v>
      </c>
      <c r="H87" s="1" t="s">
        <v>29</v>
      </c>
      <c r="I87" s="1" t="s">
        <v>71</v>
      </c>
      <c r="J87" s="1">
        <v>6000</v>
      </c>
      <c r="M87" s="1" t="s">
        <v>28</v>
      </c>
      <c r="N87" s="1">
        <v>0</v>
      </c>
      <c r="O87" s="1" t="s">
        <v>199</v>
      </c>
      <c r="P87" s="1">
        <v>45971</v>
      </c>
      <c r="Q87" s="1">
        <v>0.56633101851851997</v>
      </c>
      <c r="R87" s="1" t="s">
        <v>1052</v>
      </c>
      <c r="S87" s="1" t="s">
        <v>1051</v>
      </c>
      <c r="U87" s="1" t="s">
        <v>24</v>
      </c>
      <c r="V87" s="1">
        <v>1</v>
      </c>
      <c r="W87" s="1" t="s">
        <v>289</v>
      </c>
      <c r="X87" s="1" t="s">
        <v>24</v>
      </c>
      <c r="Y87" s="1" t="s">
        <v>32</v>
      </c>
      <c r="Z87" s="1" t="s">
        <v>32</v>
      </c>
    </row>
    <row r="88" spans="1:26" x14ac:dyDescent="0.35">
      <c r="A88" s="1">
        <v>4000452</v>
      </c>
      <c r="B88" s="1" t="s">
        <v>31</v>
      </c>
      <c r="C88" s="1">
        <v>3300</v>
      </c>
      <c r="D88" s="1" t="s">
        <v>30</v>
      </c>
      <c r="E88" s="1">
        <v>301</v>
      </c>
      <c r="F88" s="1">
        <v>0</v>
      </c>
      <c r="G88" s="1">
        <v>800</v>
      </c>
      <c r="H88" s="1" t="s">
        <v>29</v>
      </c>
      <c r="I88" s="1" t="s">
        <v>247</v>
      </c>
      <c r="J88" s="1">
        <v>900</v>
      </c>
      <c r="M88" s="1" t="s">
        <v>28</v>
      </c>
      <c r="N88" s="1">
        <v>0</v>
      </c>
      <c r="O88" s="1" t="s">
        <v>27</v>
      </c>
      <c r="P88" s="1">
        <v>46042</v>
      </c>
      <c r="Q88" s="1">
        <v>0.39934027777777997</v>
      </c>
      <c r="R88" s="1" t="s">
        <v>1050</v>
      </c>
      <c r="S88" s="1" t="s">
        <v>1049</v>
      </c>
      <c r="U88" s="1" t="s">
        <v>24</v>
      </c>
      <c r="V88" s="1">
        <v>1</v>
      </c>
      <c r="W88" s="1" t="s">
        <v>258</v>
      </c>
      <c r="X88" s="1" t="s">
        <v>24</v>
      </c>
      <c r="Y88" s="1" t="s">
        <v>32</v>
      </c>
      <c r="Z88" s="1" t="s">
        <v>32</v>
      </c>
    </row>
    <row r="89" spans="1:26" x14ac:dyDescent="0.35">
      <c r="A89" s="1">
        <v>4000455</v>
      </c>
      <c r="B89" s="1" t="s">
        <v>31</v>
      </c>
      <c r="C89" s="1">
        <v>3300</v>
      </c>
      <c r="D89" s="1" t="s">
        <v>30</v>
      </c>
      <c r="E89" s="1">
        <v>301</v>
      </c>
      <c r="F89" s="1">
        <v>0</v>
      </c>
      <c r="G89" s="1">
        <v>136</v>
      </c>
      <c r="H89" s="1" t="s">
        <v>29</v>
      </c>
      <c r="I89" s="1">
        <v>20</v>
      </c>
      <c r="J89" s="1">
        <v>80</v>
      </c>
      <c r="M89" s="1" t="s">
        <v>28</v>
      </c>
      <c r="N89" s="1">
        <v>5</v>
      </c>
      <c r="O89" s="1" t="s">
        <v>386</v>
      </c>
      <c r="P89" s="1">
        <v>44522</v>
      </c>
      <c r="Q89" s="1">
        <v>0.56108796296296004</v>
      </c>
      <c r="R89" s="1" t="s">
        <v>1048</v>
      </c>
      <c r="S89" s="1" t="s">
        <v>1047</v>
      </c>
      <c r="T89" s="1" t="s">
        <v>335</v>
      </c>
      <c r="U89" s="1" t="s">
        <v>24</v>
      </c>
      <c r="V89" s="1">
        <v>1</v>
      </c>
      <c r="W89" s="1" t="s">
        <v>258</v>
      </c>
      <c r="Y89" s="1" t="s">
        <v>32</v>
      </c>
      <c r="Z89" s="1" t="s">
        <v>23</v>
      </c>
    </row>
    <row r="90" spans="1:26" x14ac:dyDescent="0.35">
      <c r="A90" s="1">
        <v>4000457</v>
      </c>
      <c r="B90" s="1" t="s">
        <v>31</v>
      </c>
      <c r="C90" s="1">
        <v>3300</v>
      </c>
      <c r="D90" s="1" t="s">
        <v>30</v>
      </c>
      <c r="E90" s="1">
        <v>301</v>
      </c>
      <c r="F90" s="1">
        <v>0</v>
      </c>
      <c r="G90" s="1">
        <v>150</v>
      </c>
      <c r="H90" s="1" t="s">
        <v>29</v>
      </c>
      <c r="I90" s="1" t="s">
        <v>71</v>
      </c>
      <c r="J90" s="1">
        <v>100</v>
      </c>
      <c r="M90" s="1" t="s">
        <v>28</v>
      </c>
      <c r="N90" s="1">
        <v>5</v>
      </c>
      <c r="O90" s="1" t="s">
        <v>132</v>
      </c>
      <c r="P90" s="1">
        <v>46036</v>
      </c>
      <c r="Q90" s="1">
        <v>0.42038194444443999</v>
      </c>
      <c r="R90" s="1" t="s">
        <v>1046</v>
      </c>
      <c r="S90" s="1" t="s">
        <v>1045</v>
      </c>
      <c r="T90" s="1" t="s">
        <v>335</v>
      </c>
      <c r="U90" s="1" t="s">
        <v>24</v>
      </c>
      <c r="V90" s="1">
        <v>1</v>
      </c>
      <c r="W90" s="1" t="s">
        <v>258</v>
      </c>
      <c r="Y90" s="1" t="s">
        <v>32</v>
      </c>
      <c r="Z90" s="1" t="s">
        <v>23</v>
      </c>
    </row>
    <row r="91" spans="1:26" x14ac:dyDescent="0.35">
      <c r="A91" s="1">
        <v>4000493</v>
      </c>
      <c r="B91" s="1" t="s">
        <v>31</v>
      </c>
      <c r="C91" s="1">
        <v>3300</v>
      </c>
      <c r="D91" s="1" t="s">
        <v>41</v>
      </c>
      <c r="E91" s="1">
        <v>301</v>
      </c>
      <c r="F91" s="1">
        <v>0</v>
      </c>
      <c r="G91" s="1">
        <v>70</v>
      </c>
      <c r="H91" s="1" t="s">
        <v>29</v>
      </c>
      <c r="I91" s="1">
        <v>20</v>
      </c>
      <c r="J91" s="1">
        <v>60</v>
      </c>
      <c r="K91" s="1" t="s">
        <v>24</v>
      </c>
      <c r="M91" s="1" t="s">
        <v>28</v>
      </c>
      <c r="N91" s="1">
        <v>0</v>
      </c>
      <c r="O91" s="1" t="s">
        <v>373</v>
      </c>
      <c r="P91" s="1">
        <v>44496</v>
      </c>
      <c r="Q91" s="1">
        <v>0.53251157407407002</v>
      </c>
      <c r="R91" s="1" t="s">
        <v>1044</v>
      </c>
      <c r="S91" s="1" t="s">
        <v>1043</v>
      </c>
      <c r="W91" s="1" t="s">
        <v>258</v>
      </c>
      <c r="Y91" s="1" t="s">
        <v>32</v>
      </c>
      <c r="Z91" s="1" t="s">
        <v>23</v>
      </c>
    </row>
    <row r="92" spans="1:26" x14ac:dyDescent="0.35">
      <c r="A92" s="1">
        <v>4000740</v>
      </c>
      <c r="B92" s="1" t="s">
        <v>31</v>
      </c>
      <c r="C92" s="1">
        <v>3300</v>
      </c>
      <c r="D92" s="1" t="s">
        <v>30</v>
      </c>
      <c r="E92" s="1">
        <v>301</v>
      </c>
      <c r="F92" s="1">
        <v>0</v>
      </c>
      <c r="G92" s="1">
        <v>200</v>
      </c>
      <c r="H92" s="1" t="s">
        <v>29</v>
      </c>
      <c r="I92" s="1">
        <v>20</v>
      </c>
      <c r="J92" s="1">
        <v>100</v>
      </c>
      <c r="M92" s="1" t="s">
        <v>28</v>
      </c>
      <c r="N92" s="1">
        <v>5</v>
      </c>
      <c r="O92" s="1" t="s">
        <v>27</v>
      </c>
      <c r="P92" s="1">
        <v>45874</v>
      </c>
      <c r="Q92" s="1">
        <v>0.50495370370369996</v>
      </c>
      <c r="R92" s="1">
        <v>0</v>
      </c>
      <c r="T92" s="1" t="s">
        <v>335</v>
      </c>
      <c r="U92" s="1" t="s">
        <v>24</v>
      </c>
      <c r="V92" s="1">
        <v>1</v>
      </c>
      <c r="W92" s="1" t="s">
        <v>258</v>
      </c>
      <c r="X92" s="1" t="s">
        <v>757</v>
      </c>
      <c r="Y92" s="1" t="s">
        <v>32</v>
      </c>
      <c r="Z92" s="1" t="s">
        <v>32</v>
      </c>
    </row>
    <row r="93" spans="1:26" x14ac:dyDescent="0.35">
      <c r="A93" s="1">
        <v>4000755</v>
      </c>
      <c r="B93" s="1" t="s">
        <v>31</v>
      </c>
      <c r="C93" s="1">
        <v>3300</v>
      </c>
      <c r="D93" s="1" t="s">
        <v>30</v>
      </c>
      <c r="E93" s="1">
        <v>301</v>
      </c>
      <c r="F93" s="1">
        <v>0</v>
      </c>
      <c r="G93" s="1">
        <v>600</v>
      </c>
      <c r="H93" s="1" t="s">
        <v>29</v>
      </c>
      <c r="I93" s="1" t="s">
        <v>247</v>
      </c>
      <c r="J93" s="1">
        <v>1200</v>
      </c>
      <c r="M93" s="1" t="s">
        <v>28</v>
      </c>
      <c r="N93" s="1">
        <v>0</v>
      </c>
      <c r="O93" s="1" t="s">
        <v>27</v>
      </c>
      <c r="P93" s="1">
        <v>46042</v>
      </c>
      <c r="Q93" s="1">
        <v>0.39981481481481002</v>
      </c>
      <c r="R93" s="1">
        <v>0</v>
      </c>
      <c r="U93" s="1" t="s">
        <v>24</v>
      </c>
      <c r="V93" s="1">
        <v>1</v>
      </c>
      <c r="W93" s="1" t="s">
        <v>258</v>
      </c>
      <c r="X93" s="1" t="s">
        <v>24</v>
      </c>
      <c r="Y93" s="1" t="s">
        <v>32</v>
      </c>
      <c r="Z93" s="1" t="s">
        <v>32</v>
      </c>
    </row>
    <row r="94" spans="1:26" x14ac:dyDescent="0.35">
      <c r="A94" s="1">
        <v>4000758</v>
      </c>
      <c r="B94" s="1" t="s">
        <v>31</v>
      </c>
      <c r="C94" s="1">
        <v>3300</v>
      </c>
      <c r="D94" s="1" t="s">
        <v>30</v>
      </c>
      <c r="E94" s="1">
        <v>301</v>
      </c>
      <c r="F94" s="1">
        <v>0</v>
      </c>
      <c r="G94" s="1">
        <v>100</v>
      </c>
      <c r="H94" s="1" t="s">
        <v>29</v>
      </c>
      <c r="I94" s="1" t="s">
        <v>71</v>
      </c>
      <c r="J94" s="1">
        <v>140</v>
      </c>
      <c r="M94" s="1" t="s">
        <v>28</v>
      </c>
      <c r="N94" s="1">
        <v>5</v>
      </c>
      <c r="O94" s="1" t="s">
        <v>27</v>
      </c>
      <c r="P94" s="1">
        <v>45924</v>
      </c>
      <c r="Q94" s="1">
        <v>0.51994212962963005</v>
      </c>
      <c r="R94" s="1" t="s">
        <v>1042</v>
      </c>
      <c r="S94" s="1" t="s">
        <v>1041</v>
      </c>
      <c r="T94" s="1" t="s">
        <v>335</v>
      </c>
      <c r="U94" s="1" t="s">
        <v>24</v>
      </c>
      <c r="V94" s="1">
        <v>1</v>
      </c>
      <c r="W94" s="1" t="s">
        <v>258</v>
      </c>
      <c r="Y94" s="1" t="s">
        <v>32</v>
      </c>
      <c r="Z94" s="1" t="s">
        <v>23</v>
      </c>
    </row>
    <row r="95" spans="1:26" x14ac:dyDescent="0.35">
      <c r="A95" s="1">
        <v>4000759</v>
      </c>
      <c r="B95" s="1" t="s">
        <v>31</v>
      </c>
      <c r="C95" s="1">
        <v>3300</v>
      </c>
      <c r="D95" s="1" t="s">
        <v>30</v>
      </c>
      <c r="E95" s="1">
        <v>301</v>
      </c>
      <c r="F95" s="1">
        <v>0</v>
      </c>
      <c r="G95" s="1">
        <v>50</v>
      </c>
      <c r="H95" s="1" t="s">
        <v>29</v>
      </c>
      <c r="I95" s="1" t="s">
        <v>71</v>
      </c>
      <c r="J95" s="1">
        <v>80</v>
      </c>
      <c r="M95" s="1" t="s">
        <v>28</v>
      </c>
      <c r="N95" s="1">
        <v>5</v>
      </c>
      <c r="O95" s="1" t="s">
        <v>27</v>
      </c>
      <c r="P95" s="1">
        <v>45924</v>
      </c>
      <c r="Q95" s="1">
        <v>0.37579861111111001</v>
      </c>
      <c r="R95" s="1" t="s">
        <v>1040</v>
      </c>
      <c r="S95" s="1" t="s">
        <v>1039</v>
      </c>
      <c r="T95" s="1" t="s">
        <v>335</v>
      </c>
      <c r="U95" s="1" t="s">
        <v>24</v>
      </c>
      <c r="V95" s="1">
        <v>1</v>
      </c>
      <c r="W95" s="1" t="s">
        <v>258</v>
      </c>
      <c r="Y95" s="1" t="s">
        <v>32</v>
      </c>
      <c r="Z95" s="1" t="s">
        <v>23</v>
      </c>
    </row>
    <row r="96" spans="1:26" x14ac:dyDescent="0.35">
      <c r="A96" s="1">
        <v>4000760</v>
      </c>
      <c r="B96" s="1" t="s">
        <v>31</v>
      </c>
      <c r="C96" s="1">
        <v>3300</v>
      </c>
      <c r="D96" s="1" t="s">
        <v>30</v>
      </c>
      <c r="E96" s="1">
        <v>301</v>
      </c>
      <c r="F96" s="1">
        <v>0</v>
      </c>
      <c r="G96" s="1">
        <v>30</v>
      </c>
      <c r="H96" s="1" t="s">
        <v>29</v>
      </c>
      <c r="I96" s="1" t="s">
        <v>71</v>
      </c>
      <c r="J96" s="1">
        <v>70</v>
      </c>
      <c r="M96" s="1" t="s">
        <v>28</v>
      </c>
      <c r="N96" s="1">
        <v>5</v>
      </c>
      <c r="O96" s="1" t="s">
        <v>27</v>
      </c>
      <c r="P96" s="1">
        <v>45924</v>
      </c>
      <c r="Q96" s="1">
        <v>0.37086805555556002</v>
      </c>
      <c r="R96" s="1" t="s">
        <v>1038</v>
      </c>
      <c r="S96" s="1" t="s">
        <v>1037</v>
      </c>
      <c r="T96" s="1" t="s">
        <v>335</v>
      </c>
      <c r="U96" s="1" t="s">
        <v>24</v>
      </c>
      <c r="V96" s="1">
        <v>1</v>
      </c>
      <c r="W96" s="1" t="s">
        <v>258</v>
      </c>
      <c r="Y96" s="1" t="s">
        <v>32</v>
      </c>
      <c r="Z96" s="1" t="s">
        <v>23</v>
      </c>
    </row>
    <row r="97" spans="1:26" x14ac:dyDescent="0.35">
      <c r="A97" s="1">
        <v>4000761</v>
      </c>
      <c r="B97" s="1" t="s">
        <v>31</v>
      </c>
      <c r="C97" s="1">
        <v>3300</v>
      </c>
      <c r="D97" s="1" t="s">
        <v>30</v>
      </c>
      <c r="E97" s="1">
        <v>301</v>
      </c>
      <c r="F97" s="1">
        <v>0</v>
      </c>
      <c r="G97" s="1">
        <v>219</v>
      </c>
      <c r="H97" s="1" t="s">
        <v>29</v>
      </c>
      <c r="I97" s="1">
        <v>20</v>
      </c>
      <c r="J97" s="1">
        <v>100</v>
      </c>
      <c r="M97" s="1" t="s">
        <v>28</v>
      </c>
      <c r="N97" s="1">
        <v>5</v>
      </c>
      <c r="O97" s="1" t="s">
        <v>386</v>
      </c>
      <c r="P97" s="1">
        <v>44522</v>
      </c>
      <c r="Q97" s="1">
        <v>0.56097222222221998</v>
      </c>
      <c r="R97" s="1">
        <v>0</v>
      </c>
      <c r="T97" s="1" t="s">
        <v>335</v>
      </c>
      <c r="U97" s="1" t="s">
        <v>24</v>
      </c>
      <c r="V97" s="1">
        <v>1</v>
      </c>
      <c r="W97" s="1" t="s">
        <v>258</v>
      </c>
      <c r="Y97" s="1" t="s">
        <v>32</v>
      </c>
      <c r="Z97" s="1" t="s">
        <v>23</v>
      </c>
    </row>
    <row r="98" spans="1:26" x14ac:dyDescent="0.35">
      <c r="A98" s="1">
        <v>4000763</v>
      </c>
      <c r="B98" s="1" t="s">
        <v>31</v>
      </c>
      <c r="C98" s="1">
        <v>3300</v>
      </c>
      <c r="D98" s="1" t="s">
        <v>30</v>
      </c>
      <c r="E98" s="1">
        <v>301</v>
      </c>
      <c r="F98" s="1">
        <v>0</v>
      </c>
      <c r="G98" s="1">
        <v>30</v>
      </c>
      <c r="H98" s="1" t="s">
        <v>29</v>
      </c>
      <c r="I98" s="1" t="s">
        <v>71</v>
      </c>
      <c r="J98" s="1">
        <v>20</v>
      </c>
      <c r="M98" s="1" t="s">
        <v>28</v>
      </c>
      <c r="N98" s="1">
        <v>5</v>
      </c>
      <c r="O98" s="1" t="s">
        <v>199</v>
      </c>
      <c r="P98" s="1">
        <v>45911</v>
      </c>
      <c r="Q98" s="1">
        <v>0.51687499999999997</v>
      </c>
      <c r="R98" s="1">
        <v>0</v>
      </c>
      <c r="T98" s="1" t="s">
        <v>335</v>
      </c>
      <c r="U98" s="1" t="s">
        <v>24</v>
      </c>
      <c r="V98" s="1">
        <v>1</v>
      </c>
      <c r="W98" s="1" t="s">
        <v>258</v>
      </c>
      <c r="Y98" s="1" t="s">
        <v>32</v>
      </c>
      <c r="Z98" s="1" t="s">
        <v>23</v>
      </c>
    </row>
    <row r="99" spans="1:26" x14ac:dyDescent="0.35">
      <c r="A99" s="1">
        <v>4000764</v>
      </c>
      <c r="B99" s="1" t="s">
        <v>31</v>
      </c>
      <c r="C99" s="1">
        <v>3300</v>
      </c>
      <c r="D99" s="1" t="s">
        <v>30</v>
      </c>
      <c r="E99" s="1">
        <v>301</v>
      </c>
      <c r="F99" s="1">
        <v>0</v>
      </c>
      <c r="G99" s="1">
        <v>20</v>
      </c>
      <c r="H99" s="1" t="s">
        <v>29</v>
      </c>
      <c r="I99" s="1" t="s">
        <v>71</v>
      </c>
      <c r="J99" s="1">
        <v>15</v>
      </c>
      <c r="M99" s="1" t="s">
        <v>28</v>
      </c>
      <c r="N99" s="1">
        <v>0</v>
      </c>
      <c r="O99" s="1" t="s">
        <v>27</v>
      </c>
      <c r="P99" s="1">
        <v>45930</v>
      </c>
      <c r="Q99" s="1">
        <v>0.41844907407407</v>
      </c>
      <c r="R99" s="1" t="s">
        <v>1036</v>
      </c>
      <c r="S99" s="1" t="s">
        <v>1035</v>
      </c>
      <c r="T99" s="1" t="s">
        <v>335</v>
      </c>
      <c r="U99" s="1" t="s">
        <v>24</v>
      </c>
      <c r="V99" s="1">
        <v>1</v>
      </c>
      <c r="W99" s="1" t="s">
        <v>258</v>
      </c>
      <c r="Y99" s="1" t="s">
        <v>32</v>
      </c>
      <c r="Z99" s="1" t="s">
        <v>23</v>
      </c>
    </row>
    <row r="100" spans="1:26" x14ac:dyDescent="0.35">
      <c r="A100" s="1">
        <v>4000765</v>
      </c>
      <c r="B100" s="1" t="s">
        <v>31</v>
      </c>
      <c r="C100" s="1">
        <v>3300</v>
      </c>
      <c r="D100" s="1" t="s">
        <v>30</v>
      </c>
      <c r="E100" s="1">
        <v>301</v>
      </c>
      <c r="F100" s="1">
        <v>0</v>
      </c>
      <c r="G100" s="1">
        <v>20</v>
      </c>
      <c r="H100" s="1" t="s">
        <v>29</v>
      </c>
      <c r="I100" s="1">
        <v>20</v>
      </c>
      <c r="J100" s="1">
        <v>20</v>
      </c>
      <c r="M100" s="1" t="s">
        <v>28</v>
      </c>
      <c r="N100" s="1">
        <v>5</v>
      </c>
      <c r="O100" s="1" t="s">
        <v>166</v>
      </c>
      <c r="P100" s="1">
        <v>45684</v>
      </c>
      <c r="Q100" s="1">
        <v>0.59717592592593005</v>
      </c>
      <c r="R100" s="1">
        <v>0</v>
      </c>
      <c r="T100" s="1" t="s">
        <v>335</v>
      </c>
      <c r="U100" s="1" t="s">
        <v>24</v>
      </c>
      <c r="V100" s="1">
        <v>1</v>
      </c>
      <c r="W100" s="1" t="s">
        <v>258</v>
      </c>
      <c r="Y100" s="1" t="s">
        <v>32</v>
      </c>
      <c r="Z100" s="1" t="s">
        <v>23</v>
      </c>
    </row>
    <row r="101" spans="1:26" x14ac:dyDescent="0.35">
      <c r="A101" s="1">
        <v>4000766</v>
      </c>
      <c r="B101" s="1" t="s">
        <v>31</v>
      </c>
      <c r="C101" s="1">
        <v>3300</v>
      </c>
      <c r="D101" s="1" t="s">
        <v>30</v>
      </c>
      <c r="E101" s="1">
        <v>301</v>
      </c>
      <c r="F101" s="1">
        <v>0</v>
      </c>
      <c r="G101" s="1">
        <v>50</v>
      </c>
      <c r="H101" s="1" t="s">
        <v>29</v>
      </c>
      <c r="I101" s="1" t="s">
        <v>71</v>
      </c>
      <c r="J101" s="1">
        <v>100</v>
      </c>
      <c r="M101" s="1" t="s">
        <v>28</v>
      </c>
      <c r="N101" s="1">
        <v>0</v>
      </c>
      <c r="O101" s="1" t="s">
        <v>27</v>
      </c>
      <c r="P101" s="1">
        <v>45924</v>
      </c>
      <c r="Q101" s="1">
        <v>0.39250000000000002</v>
      </c>
      <c r="R101" s="1">
        <v>0</v>
      </c>
      <c r="T101" s="1" t="s">
        <v>335</v>
      </c>
      <c r="U101" s="1" t="s">
        <v>24</v>
      </c>
      <c r="V101" s="1">
        <v>1</v>
      </c>
      <c r="W101" s="1" t="s">
        <v>258</v>
      </c>
      <c r="X101" s="1" t="s">
        <v>24</v>
      </c>
      <c r="Y101" s="1" t="s">
        <v>32</v>
      </c>
      <c r="Z101" s="1" t="s">
        <v>32</v>
      </c>
    </row>
    <row r="102" spans="1:26" x14ac:dyDescent="0.35">
      <c r="A102" s="1">
        <v>4000767</v>
      </c>
      <c r="B102" s="1" t="s">
        <v>31</v>
      </c>
      <c r="C102" s="1">
        <v>3300</v>
      </c>
      <c r="D102" s="1" t="s">
        <v>30</v>
      </c>
      <c r="E102" s="1">
        <v>301</v>
      </c>
      <c r="F102" s="1">
        <v>0</v>
      </c>
      <c r="G102" s="1">
        <v>200</v>
      </c>
      <c r="H102" s="1" t="s">
        <v>29</v>
      </c>
      <c r="I102" s="1" t="s">
        <v>71</v>
      </c>
      <c r="J102" s="1">
        <v>100</v>
      </c>
      <c r="M102" s="1" t="s">
        <v>28</v>
      </c>
      <c r="N102" s="1">
        <v>0</v>
      </c>
      <c r="O102" s="1" t="s">
        <v>27</v>
      </c>
      <c r="P102" s="1">
        <v>45959</v>
      </c>
      <c r="Q102" s="1">
        <v>0.32342592592593</v>
      </c>
      <c r="R102" s="1" t="s">
        <v>1034</v>
      </c>
      <c r="S102" s="1" t="s">
        <v>1033</v>
      </c>
      <c r="T102" s="1" t="s">
        <v>335</v>
      </c>
      <c r="U102" s="1" t="s">
        <v>24</v>
      </c>
      <c r="V102" s="1">
        <v>1</v>
      </c>
      <c r="W102" s="1" t="s">
        <v>289</v>
      </c>
      <c r="X102" s="1" t="s">
        <v>24</v>
      </c>
      <c r="Y102" s="1" t="s">
        <v>32</v>
      </c>
      <c r="Z102" s="1" t="s">
        <v>32</v>
      </c>
    </row>
    <row r="103" spans="1:26" x14ac:dyDescent="0.35">
      <c r="A103" s="1">
        <v>4000768</v>
      </c>
      <c r="B103" s="1" t="s">
        <v>31</v>
      </c>
      <c r="C103" s="1">
        <v>3300</v>
      </c>
      <c r="D103" s="1" t="s">
        <v>30</v>
      </c>
      <c r="E103" s="1">
        <v>301</v>
      </c>
      <c r="F103" s="1">
        <v>0</v>
      </c>
      <c r="G103" s="1">
        <v>100</v>
      </c>
      <c r="H103" s="1" t="s">
        <v>29</v>
      </c>
      <c r="I103" s="1" t="s">
        <v>71</v>
      </c>
      <c r="J103" s="1">
        <v>100</v>
      </c>
      <c r="M103" s="1" t="s">
        <v>28</v>
      </c>
      <c r="N103" s="1">
        <v>0</v>
      </c>
      <c r="O103" s="1" t="s">
        <v>27</v>
      </c>
      <c r="P103" s="1">
        <v>45762</v>
      </c>
      <c r="Q103" s="1">
        <v>0.28774305555556001</v>
      </c>
      <c r="R103" s="1">
        <v>0</v>
      </c>
      <c r="T103" s="1" t="s">
        <v>335</v>
      </c>
      <c r="U103" s="1" t="s">
        <v>24</v>
      </c>
      <c r="V103" s="1">
        <v>1</v>
      </c>
      <c r="W103" s="1" t="s">
        <v>289</v>
      </c>
      <c r="X103" s="1" t="s">
        <v>24</v>
      </c>
      <c r="Y103" s="1" t="s">
        <v>32</v>
      </c>
      <c r="Z103" s="1" t="s">
        <v>32</v>
      </c>
    </row>
    <row r="104" spans="1:26" x14ac:dyDescent="0.35">
      <c r="A104" s="1">
        <v>4000769</v>
      </c>
      <c r="B104" s="1" t="s">
        <v>31</v>
      </c>
      <c r="C104" s="1">
        <v>3300</v>
      </c>
      <c r="D104" s="1" t="s">
        <v>30</v>
      </c>
      <c r="E104" s="1">
        <v>301</v>
      </c>
      <c r="F104" s="1">
        <v>0</v>
      </c>
      <c r="G104" s="1">
        <v>150</v>
      </c>
      <c r="H104" s="1" t="s">
        <v>29</v>
      </c>
      <c r="I104" s="1" t="s">
        <v>71</v>
      </c>
      <c r="J104" s="1">
        <v>100</v>
      </c>
      <c r="M104" s="1" t="s">
        <v>28</v>
      </c>
      <c r="N104" s="1">
        <v>0</v>
      </c>
      <c r="O104" s="1" t="s">
        <v>27</v>
      </c>
      <c r="P104" s="1">
        <v>45924</v>
      </c>
      <c r="Q104" s="1">
        <v>0.38231481481481</v>
      </c>
      <c r="R104" s="1" t="s">
        <v>1032</v>
      </c>
      <c r="S104" s="1" t="s">
        <v>1031</v>
      </c>
      <c r="T104" s="1" t="s">
        <v>335</v>
      </c>
      <c r="U104" s="1" t="s">
        <v>24</v>
      </c>
      <c r="V104" s="1">
        <v>1</v>
      </c>
      <c r="W104" s="1" t="s">
        <v>289</v>
      </c>
      <c r="X104" s="1" t="s">
        <v>24</v>
      </c>
      <c r="Y104" s="1" t="s">
        <v>32</v>
      </c>
      <c r="Z104" s="1" t="s">
        <v>32</v>
      </c>
    </row>
    <row r="105" spans="1:26" x14ac:dyDescent="0.35">
      <c r="A105" s="1">
        <v>4000770</v>
      </c>
      <c r="B105" s="1" t="s">
        <v>31</v>
      </c>
      <c r="C105" s="1">
        <v>3300</v>
      </c>
      <c r="D105" s="1" t="s">
        <v>30</v>
      </c>
      <c r="E105" s="1">
        <v>301</v>
      </c>
      <c r="F105" s="1">
        <v>0</v>
      </c>
      <c r="G105" s="1">
        <v>50</v>
      </c>
      <c r="H105" s="1" t="s">
        <v>29</v>
      </c>
      <c r="I105" s="1" t="s">
        <v>71</v>
      </c>
      <c r="J105" s="1">
        <v>100</v>
      </c>
      <c r="M105" s="1" t="s">
        <v>28</v>
      </c>
      <c r="N105" s="1">
        <v>0</v>
      </c>
      <c r="O105" s="1" t="s">
        <v>27</v>
      </c>
      <c r="P105" s="1">
        <v>45924</v>
      </c>
      <c r="Q105" s="1">
        <v>0.38270833333332999</v>
      </c>
      <c r="R105" s="1">
        <v>0</v>
      </c>
      <c r="T105" s="1" t="s">
        <v>335</v>
      </c>
      <c r="U105" s="1" t="s">
        <v>24</v>
      </c>
      <c r="V105" s="1">
        <v>1</v>
      </c>
      <c r="W105" s="1" t="s">
        <v>258</v>
      </c>
      <c r="X105" s="1" t="s">
        <v>24</v>
      </c>
      <c r="Y105" s="1" t="s">
        <v>32</v>
      </c>
      <c r="Z105" s="1" t="s">
        <v>32</v>
      </c>
    </row>
    <row r="106" spans="1:26" x14ac:dyDescent="0.35">
      <c r="A106" s="1">
        <v>4000771</v>
      </c>
      <c r="B106" s="1" t="s">
        <v>31</v>
      </c>
      <c r="C106" s="1">
        <v>3300</v>
      </c>
      <c r="D106" s="1" t="s">
        <v>41</v>
      </c>
      <c r="E106" s="1">
        <v>301</v>
      </c>
      <c r="F106" s="1">
        <v>0</v>
      </c>
      <c r="G106" s="1">
        <v>0</v>
      </c>
      <c r="J106" s="1">
        <v>0</v>
      </c>
      <c r="K106" s="1" t="s">
        <v>24</v>
      </c>
      <c r="M106" s="1" t="s">
        <v>28</v>
      </c>
      <c r="N106" s="1">
        <v>0</v>
      </c>
      <c r="O106" s="1" t="s">
        <v>373</v>
      </c>
      <c r="P106" s="1">
        <v>44476</v>
      </c>
      <c r="Q106" s="1">
        <v>0.53163194444443995</v>
      </c>
      <c r="R106" s="1" t="s">
        <v>1030</v>
      </c>
      <c r="S106" s="1" t="s">
        <v>1029</v>
      </c>
      <c r="W106" s="1" t="s">
        <v>258</v>
      </c>
      <c r="Y106" s="1" t="s">
        <v>32</v>
      </c>
      <c r="Z106" s="1" t="s">
        <v>23</v>
      </c>
    </row>
    <row r="107" spans="1:26" x14ac:dyDescent="0.35">
      <c r="A107" s="1">
        <v>4000772</v>
      </c>
      <c r="B107" s="1" t="s">
        <v>31</v>
      </c>
      <c r="C107" s="1">
        <v>3300</v>
      </c>
      <c r="D107" s="1" t="s">
        <v>30</v>
      </c>
      <c r="E107" s="1">
        <v>301</v>
      </c>
      <c r="F107" s="1">
        <v>0</v>
      </c>
      <c r="G107" s="1">
        <v>500</v>
      </c>
      <c r="H107" s="1" t="s">
        <v>29</v>
      </c>
      <c r="I107" s="1" t="s">
        <v>71</v>
      </c>
      <c r="J107" s="1">
        <v>400</v>
      </c>
      <c r="M107" s="1" t="s">
        <v>28</v>
      </c>
      <c r="N107" s="1">
        <v>0</v>
      </c>
      <c r="O107" s="1" t="s">
        <v>27</v>
      </c>
      <c r="P107" s="1">
        <v>46070</v>
      </c>
      <c r="Q107" s="1">
        <v>0.31709490740740998</v>
      </c>
      <c r="R107" s="1">
        <v>0</v>
      </c>
      <c r="T107" s="1" t="s">
        <v>335</v>
      </c>
      <c r="U107" s="1" t="s">
        <v>24</v>
      </c>
      <c r="V107" s="1">
        <v>1</v>
      </c>
      <c r="W107" s="1" t="s">
        <v>271</v>
      </c>
      <c r="X107" s="1" t="s">
        <v>141</v>
      </c>
      <c r="Y107" s="1" t="s">
        <v>32</v>
      </c>
      <c r="Z107" s="1" t="s">
        <v>32</v>
      </c>
    </row>
    <row r="108" spans="1:26" x14ac:dyDescent="0.35">
      <c r="A108" s="1">
        <v>4000773</v>
      </c>
      <c r="B108" s="1" t="s">
        <v>31</v>
      </c>
      <c r="C108" s="1">
        <v>3300</v>
      </c>
      <c r="D108" s="1" t="s">
        <v>30</v>
      </c>
      <c r="E108" s="1">
        <v>301</v>
      </c>
      <c r="F108" s="1">
        <v>0</v>
      </c>
      <c r="G108" s="1">
        <v>100</v>
      </c>
      <c r="H108" s="1" t="s">
        <v>29</v>
      </c>
      <c r="I108" s="1" t="s">
        <v>71</v>
      </c>
      <c r="J108" s="1">
        <v>200</v>
      </c>
      <c r="M108" s="1" t="s">
        <v>28</v>
      </c>
      <c r="N108" s="1">
        <v>0</v>
      </c>
      <c r="O108" s="1" t="s">
        <v>27</v>
      </c>
      <c r="P108" s="1">
        <v>45924</v>
      </c>
      <c r="Q108" s="1">
        <v>0.39662037037037001</v>
      </c>
      <c r="R108" s="1">
        <v>0</v>
      </c>
      <c r="T108" s="1" t="s">
        <v>335</v>
      </c>
      <c r="U108" s="1" t="s">
        <v>24</v>
      </c>
      <c r="V108" s="1">
        <v>1</v>
      </c>
      <c r="W108" s="1" t="s">
        <v>258</v>
      </c>
      <c r="X108" s="1" t="s">
        <v>141</v>
      </c>
      <c r="Y108" s="1" t="s">
        <v>32</v>
      </c>
      <c r="Z108" s="1" t="s">
        <v>32</v>
      </c>
    </row>
    <row r="109" spans="1:26" x14ac:dyDescent="0.35">
      <c r="A109" s="1">
        <v>4000775</v>
      </c>
      <c r="B109" s="1" t="s">
        <v>31</v>
      </c>
      <c r="C109" s="1">
        <v>3300</v>
      </c>
      <c r="D109" s="1" t="s">
        <v>30</v>
      </c>
      <c r="E109" s="1">
        <v>301</v>
      </c>
      <c r="F109" s="1">
        <v>0</v>
      </c>
      <c r="G109" s="1">
        <v>50</v>
      </c>
      <c r="H109" s="1" t="s">
        <v>29</v>
      </c>
      <c r="I109" s="1" t="s">
        <v>71</v>
      </c>
      <c r="J109" s="1">
        <v>68</v>
      </c>
      <c r="M109" s="1" t="s">
        <v>28</v>
      </c>
      <c r="N109" s="1">
        <v>0</v>
      </c>
      <c r="O109" s="1" t="s">
        <v>27</v>
      </c>
      <c r="P109" s="1">
        <v>45930</v>
      </c>
      <c r="Q109" s="1">
        <v>0.42767361111111002</v>
      </c>
      <c r="R109" s="1" t="s">
        <v>1028</v>
      </c>
      <c r="S109" s="1" t="s">
        <v>1027</v>
      </c>
      <c r="U109" s="1" t="s">
        <v>24</v>
      </c>
      <c r="V109" s="1">
        <v>1</v>
      </c>
      <c r="W109" s="1" t="s">
        <v>258</v>
      </c>
      <c r="X109" s="1" t="s">
        <v>141</v>
      </c>
      <c r="Y109" s="1" t="s">
        <v>32</v>
      </c>
      <c r="Z109" s="1" t="s">
        <v>32</v>
      </c>
    </row>
    <row r="110" spans="1:26" x14ac:dyDescent="0.35">
      <c r="A110" s="1">
        <v>4000776</v>
      </c>
      <c r="B110" s="1" t="s">
        <v>31</v>
      </c>
      <c r="C110" s="1">
        <v>3300</v>
      </c>
      <c r="D110" s="1" t="s">
        <v>30</v>
      </c>
      <c r="E110" s="1">
        <v>301</v>
      </c>
      <c r="F110" s="1">
        <v>0</v>
      </c>
      <c r="G110" s="1">
        <v>100</v>
      </c>
      <c r="H110" s="1" t="s">
        <v>29</v>
      </c>
      <c r="I110" s="1" t="s">
        <v>71</v>
      </c>
      <c r="J110" s="1">
        <v>100</v>
      </c>
      <c r="M110" s="1" t="s">
        <v>28</v>
      </c>
      <c r="N110" s="1">
        <v>0</v>
      </c>
      <c r="O110" s="1" t="s">
        <v>27</v>
      </c>
      <c r="P110" s="1">
        <v>45924</v>
      </c>
      <c r="Q110" s="1">
        <v>0.38996527777778001</v>
      </c>
      <c r="R110" s="1" t="s">
        <v>1026</v>
      </c>
      <c r="S110" s="1" t="s">
        <v>1025</v>
      </c>
      <c r="T110" s="1" t="s">
        <v>335</v>
      </c>
      <c r="U110" s="1" t="s">
        <v>24</v>
      </c>
      <c r="V110" s="1">
        <v>1</v>
      </c>
      <c r="W110" s="1" t="s">
        <v>289</v>
      </c>
      <c r="X110" s="1" t="s">
        <v>24</v>
      </c>
      <c r="Y110" s="1" t="s">
        <v>32</v>
      </c>
      <c r="Z110" s="1" t="s">
        <v>32</v>
      </c>
    </row>
    <row r="111" spans="1:26" x14ac:dyDescent="0.35">
      <c r="A111" s="1">
        <v>4000777</v>
      </c>
      <c r="B111" s="1" t="s">
        <v>31</v>
      </c>
      <c r="C111" s="1">
        <v>3300</v>
      </c>
      <c r="D111" s="1" t="s">
        <v>30</v>
      </c>
      <c r="E111" s="1">
        <v>301</v>
      </c>
      <c r="F111" s="1">
        <v>0</v>
      </c>
      <c r="G111" s="1">
        <v>600</v>
      </c>
      <c r="H111" s="1" t="s">
        <v>29</v>
      </c>
      <c r="I111" s="1" t="s">
        <v>71</v>
      </c>
      <c r="J111" s="1">
        <v>600</v>
      </c>
      <c r="M111" s="1" t="s">
        <v>28</v>
      </c>
      <c r="N111" s="1">
        <v>0</v>
      </c>
      <c r="O111" s="1" t="s">
        <v>27</v>
      </c>
      <c r="P111" s="1">
        <v>45740</v>
      </c>
      <c r="Q111" s="1">
        <v>0.30583333333333002</v>
      </c>
      <c r="R111" s="1" t="s">
        <v>1024</v>
      </c>
      <c r="S111" s="1" t="s">
        <v>1023</v>
      </c>
      <c r="U111" s="1" t="s">
        <v>24</v>
      </c>
      <c r="V111" s="1">
        <v>1</v>
      </c>
      <c r="W111" s="1" t="s">
        <v>271</v>
      </c>
      <c r="X111" s="1" t="s">
        <v>24</v>
      </c>
      <c r="Y111" s="1" t="s">
        <v>32</v>
      </c>
      <c r="Z111" s="1" t="s">
        <v>32</v>
      </c>
    </row>
    <row r="112" spans="1:26" x14ac:dyDescent="0.35">
      <c r="A112" s="1">
        <v>4000778</v>
      </c>
      <c r="B112" s="1" t="s">
        <v>31</v>
      </c>
      <c r="C112" s="1">
        <v>3300</v>
      </c>
      <c r="D112" s="1" t="s">
        <v>30</v>
      </c>
      <c r="E112" s="1">
        <v>301</v>
      </c>
      <c r="F112" s="1">
        <v>0</v>
      </c>
      <c r="G112" s="1">
        <v>500</v>
      </c>
      <c r="H112" s="1" t="s">
        <v>29</v>
      </c>
      <c r="I112" s="1" t="s">
        <v>71</v>
      </c>
      <c r="J112" s="1">
        <v>200</v>
      </c>
      <c r="M112" s="1" t="s">
        <v>28</v>
      </c>
      <c r="N112" s="1">
        <v>0</v>
      </c>
      <c r="O112" s="1" t="s">
        <v>27</v>
      </c>
      <c r="P112" s="1">
        <v>45771</v>
      </c>
      <c r="Q112" s="1">
        <v>0.25986111111110999</v>
      </c>
      <c r="R112" s="1">
        <v>0</v>
      </c>
      <c r="U112" s="1" t="s">
        <v>24</v>
      </c>
      <c r="V112" s="1">
        <v>1</v>
      </c>
      <c r="W112" s="1" t="s">
        <v>271</v>
      </c>
      <c r="X112" s="1" t="s">
        <v>24</v>
      </c>
      <c r="Y112" s="1" t="s">
        <v>32</v>
      </c>
      <c r="Z112" s="1" t="s">
        <v>32</v>
      </c>
    </row>
    <row r="113" spans="1:26" x14ac:dyDescent="0.35">
      <c r="A113" s="1">
        <v>4000779</v>
      </c>
      <c r="B113" s="1" t="s">
        <v>31</v>
      </c>
      <c r="C113" s="1">
        <v>3300</v>
      </c>
      <c r="D113" s="1" t="s">
        <v>30</v>
      </c>
      <c r="E113" s="1">
        <v>301</v>
      </c>
      <c r="F113" s="1">
        <v>0</v>
      </c>
      <c r="G113" s="1">
        <v>700</v>
      </c>
      <c r="H113" s="1" t="s">
        <v>29</v>
      </c>
      <c r="I113" s="1" t="s">
        <v>71</v>
      </c>
      <c r="J113" s="1">
        <v>200</v>
      </c>
      <c r="M113" s="1" t="s">
        <v>28</v>
      </c>
      <c r="N113" s="1">
        <v>0</v>
      </c>
      <c r="O113" s="1" t="s">
        <v>27</v>
      </c>
      <c r="P113" s="1">
        <v>45713</v>
      </c>
      <c r="Q113" s="1">
        <v>0.37542824074073999</v>
      </c>
      <c r="R113" s="1">
        <v>0</v>
      </c>
      <c r="U113" s="1" t="s">
        <v>24</v>
      </c>
      <c r="V113" s="1">
        <v>1</v>
      </c>
      <c r="W113" s="1" t="s">
        <v>271</v>
      </c>
      <c r="X113" s="1" t="s">
        <v>24</v>
      </c>
      <c r="Y113" s="1" t="s">
        <v>32</v>
      </c>
      <c r="Z113" s="1" t="s">
        <v>32</v>
      </c>
    </row>
    <row r="114" spans="1:26" x14ac:dyDescent="0.35">
      <c r="A114" s="1">
        <v>4000780</v>
      </c>
      <c r="B114" s="1" t="s">
        <v>31</v>
      </c>
      <c r="C114" s="1">
        <v>3300</v>
      </c>
      <c r="D114" s="1" t="s">
        <v>30</v>
      </c>
      <c r="E114" s="1">
        <v>301</v>
      </c>
      <c r="F114" s="1">
        <v>0</v>
      </c>
      <c r="G114" s="1">
        <v>300</v>
      </c>
      <c r="H114" s="1" t="s">
        <v>29</v>
      </c>
      <c r="I114" s="1" t="s">
        <v>71</v>
      </c>
      <c r="J114" s="1">
        <v>200</v>
      </c>
      <c r="M114" s="1" t="s">
        <v>28</v>
      </c>
      <c r="N114" s="1">
        <v>0</v>
      </c>
      <c r="O114" s="1" t="s">
        <v>27</v>
      </c>
      <c r="P114" s="1">
        <v>45810</v>
      </c>
      <c r="Q114" s="1">
        <v>0.28637731481480999</v>
      </c>
      <c r="R114" s="1">
        <v>0</v>
      </c>
      <c r="T114" s="1" t="s">
        <v>335</v>
      </c>
      <c r="U114" s="1" t="s">
        <v>24</v>
      </c>
      <c r="V114" s="1">
        <v>1</v>
      </c>
      <c r="W114" s="1" t="s">
        <v>271</v>
      </c>
      <c r="X114" s="1" t="s">
        <v>24</v>
      </c>
      <c r="Y114" s="1" t="s">
        <v>32</v>
      </c>
      <c r="Z114" s="1" t="s">
        <v>32</v>
      </c>
    </row>
    <row r="115" spans="1:26" x14ac:dyDescent="0.35">
      <c r="A115" s="1">
        <v>4000781</v>
      </c>
      <c r="B115" s="1" t="s">
        <v>31</v>
      </c>
      <c r="C115" s="1">
        <v>3300</v>
      </c>
      <c r="D115" s="1" t="s">
        <v>30</v>
      </c>
      <c r="E115" s="1">
        <v>301</v>
      </c>
      <c r="F115" s="1">
        <v>0</v>
      </c>
      <c r="G115" s="1">
        <v>75</v>
      </c>
      <c r="H115" s="1" t="s">
        <v>29</v>
      </c>
      <c r="I115" s="1" t="s">
        <v>71</v>
      </c>
      <c r="J115" s="1">
        <v>100</v>
      </c>
      <c r="L115" s="1" t="s">
        <v>24</v>
      </c>
      <c r="M115" s="1" t="s">
        <v>438</v>
      </c>
      <c r="N115" s="1">
        <v>0</v>
      </c>
      <c r="O115" s="1" t="s">
        <v>27</v>
      </c>
      <c r="P115" s="1">
        <v>45924</v>
      </c>
      <c r="Q115" s="1">
        <v>0.38321759259258997</v>
      </c>
      <c r="R115" s="1">
        <v>0</v>
      </c>
      <c r="T115" s="1" t="s">
        <v>335</v>
      </c>
      <c r="U115" s="1" t="s">
        <v>24</v>
      </c>
      <c r="V115" s="1">
        <v>1</v>
      </c>
      <c r="W115" s="1" t="s">
        <v>289</v>
      </c>
      <c r="X115" s="1" t="s">
        <v>24</v>
      </c>
      <c r="Y115" s="1" t="s">
        <v>32</v>
      </c>
      <c r="Z115" s="1" t="s">
        <v>32</v>
      </c>
    </row>
    <row r="116" spans="1:26" x14ac:dyDescent="0.35">
      <c r="A116" s="1">
        <v>4000786</v>
      </c>
      <c r="B116" s="1" t="s">
        <v>31</v>
      </c>
      <c r="C116" s="1">
        <v>3300</v>
      </c>
      <c r="D116" s="1" t="s">
        <v>30</v>
      </c>
      <c r="E116" s="1">
        <v>301</v>
      </c>
      <c r="F116" s="1">
        <v>0</v>
      </c>
      <c r="G116" s="1">
        <v>400</v>
      </c>
      <c r="H116" s="1" t="s">
        <v>29</v>
      </c>
      <c r="I116" s="1" t="s">
        <v>71</v>
      </c>
      <c r="J116" s="1">
        <v>200</v>
      </c>
      <c r="M116" s="1" t="s">
        <v>28</v>
      </c>
      <c r="N116" s="1">
        <v>0</v>
      </c>
      <c r="O116" s="1" t="s">
        <v>27</v>
      </c>
      <c r="P116" s="1">
        <v>45616</v>
      </c>
      <c r="Q116" s="1">
        <v>0.40546296296296003</v>
      </c>
      <c r="R116" s="1" t="s">
        <v>1022</v>
      </c>
      <c r="S116" s="1" t="s">
        <v>1021</v>
      </c>
      <c r="T116" s="1" t="s">
        <v>335</v>
      </c>
      <c r="U116" s="1" t="s">
        <v>24</v>
      </c>
      <c r="V116" s="1">
        <v>1</v>
      </c>
      <c r="W116" s="1" t="s">
        <v>258</v>
      </c>
      <c r="X116" s="1" t="s">
        <v>24</v>
      </c>
      <c r="Y116" s="1" t="s">
        <v>32</v>
      </c>
      <c r="Z116" s="1" t="s">
        <v>32</v>
      </c>
    </row>
    <row r="117" spans="1:26" x14ac:dyDescent="0.35">
      <c r="A117" s="1">
        <v>4000787</v>
      </c>
      <c r="B117" s="1" t="s">
        <v>31</v>
      </c>
      <c r="C117" s="1">
        <v>3300</v>
      </c>
      <c r="D117" s="1" t="s">
        <v>30</v>
      </c>
      <c r="E117" s="1">
        <v>301</v>
      </c>
      <c r="F117" s="1">
        <v>0</v>
      </c>
      <c r="G117" s="1">
        <v>400</v>
      </c>
      <c r="H117" s="1" t="s">
        <v>29</v>
      </c>
      <c r="I117" s="1" t="s">
        <v>71</v>
      </c>
      <c r="J117" s="1">
        <v>400</v>
      </c>
      <c r="M117" s="1" t="s">
        <v>28</v>
      </c>
      <c r="N117" s="1">
        <v>0</v>
      </c>
      <c r="O117" s="1" t="s">
        <v>27</v>
      </c>
      <c r="P117" s="1">
        <v>45741</v>
      </c>
      <c r="Q117" s="1">
        <v>0.35091435185184999</v>
      </c>
      <c r="R117" s="1">
        <v>0</v>
      </c>
      <c r="U117" s="1" t="s">
        <v>24</v>
      </c>
      <c r="V117" s="1">
        <v>1</v>
      </c>
      <c r="W117" s="1" t="s">
        <v>271</v>
      </c>
      <c r="X117" s="1" t="s">
        <v>24</v>
      </c>
      <c r="Y117" s="1" t="s">
        <v>32</v>
      </c>
      <c r="Z117" s="1" t="s">
        <v>32</v>
      </c>
    </row>
    <row r="118" spans="1:26" x14ac:dyDescent="0.35">
      <c r="A118" s="1">
        <v>4000788</v>
      </c>
      <c r="B118" s="1" t="s">
        <v>31</v>
      </c>
      <c r="C118" s="1">
        <v>3300</v>
      </c>
      <c r="D118" s="1" t="s">
        <v>30</v>
      </c>
      <c r="E118" s="1">
        <v>301</v>
      </c>
      <c r="F118" s="1">
        <v>0</v>
      </c>
      <c r="G118" s="1">
        <v>500</v>
      </c>
      <c r="H118" s="1" t="s">
        <v>29</v>
      </c>
      <c r="I118" s="1" t="s">
        <v>71</v>
      </c>
      <c r="J118" s="1">
        <v>400</v>
      </c>
      <c r="M118" s="1" t="s">
        <v>28</v>
      </c>
      <c r="N118" s="1">
        <v>0</v>
      </c>
      <c r="O118" s="1" t="s">
        <v>27</v>
      </c>
      <c r="P118" s="1">
        <v>45705</v>
      </c>
      <c r="Q118" s="1">
        <v>0.37894675925926002</v>
      </c>
      <c r="R118" s="1">
        <v>0</v>
      </c>
      <c r="U118" s="1" t="s">
        <v>24</v>
      </c>
      <c r="V118" s="1">
        <v>1</v>
      </c>
      <c r="W118" s="1" t="s">
        <v>271</v>
      </c>
      <c r="X118" s="1" t="s">
        <v>24</v>
      </c>
      <c r="Y118" s="1" t="s">
        <v>32</v>
      </c>
      <c r="Z118" s="1" t="s">
        <v>32</v>
      </c>
    </row>
    <row r="119" spans="1:26" x14ac:dyDescent="0.35">
      <c r="A119" s="1">
        <v>4000789</v>
      </c>
      <c r="B119" s="1" t="s">
        <v>31</v>
      </c>
      <c r="C119" s="1">
        <v>3300</v>
      </c>
      <c r="D119" s="1" t="s">
        <v>30</v>
      </c>
      <c r="E119" s="1">
        <v>301</v>
      </c>
      <c r="F119" s="1">
        <v>0</v>
      </c>
      <c r="G119" s="1">
        <v>450</v>
      </c>
      <c r="H119" s="1" t="s">
        <v>29</v>
      </c>
      <c r="I119" s="1" t="s">
        <v>71</v>
      </c>
      <c r="J119" s="1">
        <v>400</v>
      </c>
      <c r="M119" s="1" t="s">
        <v>28</v>
      </c>
      <c r="N119" s="1">
        <v>0</v>
      </c>
      <c r="O119" s="1" t="s">
        <v>27</v>
      </c>
      <c r="P119" s="1">
        <v>45679</v>
      </c>
      <c r="Q119" s="1">
        <v>0.28515046296295998</v>
      </c>
      <c r="R119" s="1">
        <v>0</v>
      </c>
      <c r="U119" s="1" t="s">
        <v>24</v>
      </c>
      <c r="V119" s="1">
        <v>1</v>
      </c>
      <c r="W119" s="1" t="s">
        <v>271</v>
      </c>
      <c r="X119" s="1" t="s">
        <v>24</v>
      </c>
      <c r="Y119" s="1" t="s">
        <v>32</v>
      </c>
      <c r="Z119" s="1" t="s">
        <v>32</v>
      </c>
    </row>
    <row r="120" spans="1:26" x14ac:dyDescent="0.35">
      <c r="A120" s="1">
        <v>4000790</v>
      </c>
      <c r="B120" s="1" t="s">
        <v>31</v>
      </c>
      <c r="C120" s="1">
        <v>3300</v>
      </c>
      <c r="D120" s="1" t="s">
        <v>30</v>
      </c>
      <c r="E120" s="1">
        <v>301</v>
      </c>
      <c r="F120" s="1">
        <v>0</v>
      </c>
      <c r="G120" s="1">
        <v>350</v>
      </c>
      <c r="H120" s="1" t="s">
        <v>29</v>
      </c>
      <c r="I120" s="1" t="s">
        <v>71</v>
      </c>
      <c r="J120" s="1">
        <v>200</v>
      </c>
      <c r="M120" s="1" t="s">
        <v>28</v>
      </c>
      <c r="N120" s="1">
        <v>0</v>
      </c>
      <c r="O120" s="1" t="s">
        <v>27</v>
      </c>
      <c r="P120" s="1">
        <v>45713</v>
      </c>
      <c r="Q120" s="1">
        <v>0.28491898148147998</v>
      </c>
      <c r="R120" s="1" t="s">
        <v>1020</v>
      </c>
      <c r="S120" s="1" t="s">
        <v>1019</v>
      </c>
      <c r="U120" s="1" t="s">
        <v>24</v>
      </c>
      <c r="V120" s="1">
        <v>1</v>
      </c>
      <c r="W120" s="1" t="s">
        <v>289</v>
      </c>
      <c r="X120" s="1" t="s">
        <v>24</v>
      </c>
      <c r="Y120" s="1" t="s">
        <v>32</v>
      </c>
      <c r="Z120" s="1" t="s">
        <v>32</v>
      </c>
    </row>
    <row r="121" spans="1:26" x14ac:dyDescent="0.35">
      <c r="A121" s="1">
        <v>4000791</v>
      </c>
      <c r="B121" s="1" t="s">
        <v>31</v>
      </c>
      <c r="C121" s="1">
        <v>3300</v>
      </c>
      <c r="D121" s="1" t="s">
        <v>30</v>
      </c>
      <c r="E121" s="1">
        <v>301</v>
      </c>
      <c r="F121" s="1">
        <v>0</v>
      </c>
      <c r="G121" s="1">
        <v>200</v>
      </c>
      <c r="H121" s="1" t="s">
        <v>29</v>
      </c>
      <c r="I121" s="1" t="s">
        <v>71</v>
      </c>
      <c r="J121" s="1">
        <v>200</v>
      </c>
      <c r="M121" s="1" t="s">
        <v>28</v>
      </c>
      <c r="N121" s="1">
        <v>0</v>
      </c>
      <c r="O121" s="1" t="s">
        <v>27</v>
      </c>
      <c r="P121" s="1">
        <v>46070</v>
      </c>
      <c r="Q121" s="1">
        <v>0.42916666666667003</v>
      </c>
      <c r="R121" s="1">
        <v>0</v>
      </c>
      <c r="T121" s="1" t="s">
        <v>335</v>
      </c>
      <c r="U121" s="1" t="s">
        <v>24</v>
      </c>
      <c r="V121" s="1">
        <v>1</v>
      </c>
      <c r="W121" s="1" t="s">
        <v>289</v>
      </c>
      <c r="X121" s="1" t="s">
        <v>24</v>
      </c>
      <c r="Y121" s="1" t="s">
        <v>32</v>
      </c>
      <c r="Z121" s="1" t="s">
        <v>32</v>
      </c>
    </row>
    <row r="122" spans="1:26" x14ac:dyDescent="0.35">
      <c r="A122" s="1">
        <v>4000793</v>
      </c>
      <c r="B122" s="1" t="s">
        <v>31</v>
      </c>
      <c r="C122" s="1">
        <v>3300</v>
      </c>
      <c r="D122" s="1" t="s">
        <v>41</v>
      </c>
      <c r="E122" s="1">
        <v>301</v>
      </c>
      <c r="F122" s="1">
        <v>0</v>
      </c>
      <c r="G122" s="1">
        <v>1500</v>
      </c>
      <c r="H122" s="1" t="s">
        <v>29</v>
      </c>
      <c r="I122" s="1">
        <v>20</v>
      </c>
      <c r="J122" s="1">
        <v>1500</v>
      </c>
      <c r="M122" s="1" t="s">
        <v>28</v>
      </c>
      <c r="N122" s="1">
        <v>5</v>
      </c>
      <c r="O122" s="1" t="s">
        <v>56</v>
      </c>
      <c r="P122" s="1">
        <v>45686</v>
      </c>
      <c r="Q122" s="1">
        <v>0.44050925925925999</v>
      </c>
      <c r="R122" s="1">
        <v>0</v>
      </c>
      <c r="T122" s="1" t="s">
        <v>335</v>
      </c>
      <c r="U122" s="1" t="s">
        <v>24</v>
      </c>
      <c r="V122" s="1">
        <v>1</v>
      </c>
      <c r="W122" s="1" t="s">
        <v>289</v>
      </c>
      <c r="X122" s="1" t="s">
        <v>141</v>
      </c>
      <c r="Y122" s="1" t="s">
        <v>32</v>
      </c>
      <c r="Z122" s="1" t="s">
        <v>32</v>
      </c>
    </row>
    <row r="123" spans="1:26" x14ac:dyDescent="0.35">
      <c r="A123" s="1">
        <v>4000794</v>
      </c>
      <c r="B123" s="1" t="s">
        <v>31</v>
      </c>
      <c r="C123" s="1">
        <v>3300</v>
      </c>
      <c r="D123" s="1" t="s">
        <v>41</v>
      </c>
      <c r="E123" s="1">
        <v>301</v>
      </c>
      <c r="F123" s="1">
        <v>0</v>
      </c>
      <c r="G123" s="1">
        <v>210</v>
      </c>
      <c r="H123" s="1" t="s">
        <v>29</v>
      </c>
      <c r="I123" s="1">
        <v>20</v>
      </c>
      <c r="J123" s="1">
        <v>60</v>
      </c>
      <c r="M123" s="1" t="s">
        <v>28</v>
      </c>
      <c r="N123" s="1">
        <v>0</v>
      </c>
      <c r="O123" s="1" t="s">
        <v>56</v>
      </c>
      <c r="P123" s="1">
        <v>45686</v>
      </c>
      <c r="Q123" s="1">
        <v>0.45033564814815003</v>
      </c>
      <c r="R123" s="1">
        <v>0</v>
      </c>
      <c r="U123" s="1" t="s">
        <v>24</v>
      </c>
      <c r="V123" s="1">
        <v>1</v>
      </c>
      <c r="W123" s="1" t="s">
        <v>289</v>
      </c>
      <c r="X123" s="1" t="s">
        <v>141</v>
      </c>
      <c r="Y123" s="1" t="s">
        <v>32</v>
      </c>
      <c r="Z123" s="1" t="s">
        <v>32</v>
      </c>
    </row>
    <row r="124" spans="1:26" x14ac:dyDescent="0.35">
      <c r="A124" s="1">
        <v>4000795</v>
      </c>
      <c r="B124" s="1" t="s">
        <v>31</v>
      </c>
      <c r="C124" s="1">
        <v>3300</v>
      </c>
      <c r="D124" s="1" t="s">
        <v>41</v>
      </c>
      <c r="E124" s="1">
        <v>301</v>
      </c>
      <c r="F124" s="1">
        <v>0</v>
      </c>
      <c r="G124" s="1">
        <v>120</v>
      </c>
      <c r="H124" s="1" t="s">
        <v>29</v>
      </c>
      <c r="I124" s="1">
        <v>20</v>
      </c>
      <c r="J124" s="1">
        <v>120</v>
      </c>
      <c r="M124" s="1" t="s">
        <v>28</v>
      </c>
      <c r="N124" s="1">
        <v>0</v>
      </c>
      <c r="O124" s="1" t="s">
        <v>27</v>
      </c>
      <c r="P124" s="1">
        <v>46069</v>
      </c>
      <c r="Q124" s="1">
        <v>0.50462962962962998</v>
      </c>
      <c r="R124" s="1" t="s">
        <v>1018</v>
      </c>
      <c r="S124" s="1" t="s">
        <v>1017</v>
      </c>
      <c r="T124" s="1" t="s">
        <v>335</v>
      </c>
      <c r="U124" s="1" t="s">
        <v>24</v>
      </c>
      <c r="V124" s="1">
        <v>1</v>
      </c>
      <c r="W124" s="1" t="s">
        <v>258</v>
      </c>
      <c r="X124" s="1" t="s">
        <v>141</v>
      </c>
      <c r="Y124" s="1" t="s">
        <v>32</v>
      </c>
      <c r="Z124" s="1" t="s">
        <v>32</v>
      </c>
    </row>
    <row r="125" spans="1:26" x14ac:dyDescent="0.35">
      <c r="A125" s="1">
        <v>4000800</v>
      </c>
      <c r="B125" s="1" t="s">
        <v>31</v>
      </c>
      <c r="C125" s="1">
        <v>3300</v>
      </c>
      <c r="D125" s="1" t="s">
        <v>30</v>
      </c>
      <c r="E125" s="1">
        <v>301</v>
      </c>
      <c r="F125" s="1">
        <v>0</v>
      </c>
      <c r="G125" s="1">
        <v>900</v>
      </c>
      <c r="H125" s="1" t="s">
        <v>29</v>
      </c>
      <c r="I125" s="1" t="s">
        <v>247</v>
      </c>
      <c r="J125" s="1">
        <v>3200</v>
      </c>
      <c r="M125" s="1" t="s">
        <v>28</v>
      </c>
      <c r="N125" s="1">
        <v>0</v>
      </c>
      <c r="O125" s="1" t="s">
        <v>166</v>
      </c>
      <c r="P125" s="1">
        <v>45530</v>
      </c>
      <c r="Q125" s="1">
        <v>0.34340277777778</v>
      </c>
      <c r="R125" s="1" t="s">
        <v>1016</v>
      </c>
      <c r="S125" s="1" t="s">
        <v>1015</v>
      </c>
      <c r="U125" s="1" t="s">
        <v>24</v>
      </c>
      <c r="V125" s="1">
        <v>1</v>
      </c>
      <c r="W125" s="1" t="s">
        <v>258</v>
      </c>
      <c r="X125" s="1" t="s">
        <v>141</v>
      </c>
      <c r="Y125" s="1" t="s">
        <v>32</v>
      </c>
      <c r="Z125" s="1" t="s">
        <v>32</v>
      </c>
    </row>
    <row r="126" spans="1:26" x14ac:dyDescent="0.35">
      <c r="A126" s="1">
        <v>4000801</v>
      </c>
      <c r="B126" s="1" t="s">
        <v>31</v>
      </c>
      <c r="C126" s="1">
        <v>3300</v>
      </c>
      <c r="D126" s="1" t="s">
        <v>30</v>
      </c>
      <c r="E126" s="1">
        <v>301</v>
      </c>
      <c r="F126" s="1">
        <v>0</v>
      </c>
      <c r="G126" s="1">
        <v>1000</v>
      </c>
      <c r="H126" s="1" t="s">
        <v>29</v>
      </c>
      <c r="I126" s="1" t="s">
        <v>247</v>
      </c>
      <c r="J126" s="1">
        <v>2400</v>
      </c>
      <c r="M126" s="1" t="s">
        <v>28</v>
      </c>
      <c r="N126" s="1">
        <v>0</v>
      </c>
      <c r="O126" s="1" t="s">
        <v>166</v>
      </c>
      <c r="P126" s="1">
        <v>45629</v>
      </c>
      <c r="Q126" s="1">
        <v>0.43346064814815</v>
      </c>
      <c r="R126" s="1" t="s">
        <v>1014</v>
      </c>
      <c r="S126" s="1" t="s">
        <v>1013</v>
      </c>
      <c r="U126" s="1" t="s">
        <v>24</v>
      </c>
      <c r="V126" s="1">
        <v>1</v>
      </c>
      <c r="W126" s="1" t="s">
        <v>258</v>
      </c>
      <c r="X126" s="1" t="s">
        <v>141</v>
      </c>
      <c r="Y126" s="1" t="s">
        <v>32</v>
      </c>
      <c r="Z126" s="1" t="s">
        <v>32</v>
      </c>
    </row>
    <row r="127" spans="1:26" x14ac:dyDescent="0.35">
      <c r="A127" s="1">
        <v>4000802</v>
      </c>
      <c r="B127" s="1" t="s">
        <v>31</v>
      </c>
      <c r="C127" s="1">
        <v>3300</v>
      </c>
      <c r="D127" s="1" t="s">
        <v>30</v>
      </c>
      <c r="E127" s="1">
        <v>301</v>
      </c>
      <c r="F127" s="1">
        <v>0</v>
      </c>
      <c r="G127" s="1">
        <v>500</v>
      </c>
      <c r="H127" s="1" t="s">
        <v>29</v>
      </c>
      <c r="I127" s="1" t="s">
        <v>247</v>
      </c>
      <c r="J127" s="1">
        <v>1500</v>
      </c>
      <c r="M127" s="1" t="s">
        <v>28</v>
      </c>
      <c r="N127" s="1">
        <v>0</v>
      </c>
      <c r="O127" s="1" t="s">
        <v>166</v>
      </c>
      <c r="P127" s="1">
        <v>45635</v>
      </c>
      <c r="Q127" s="1">
        <v>0.45231481481481001</v>
      </c>
      <c r="R127" s="1" t="s">
        <v>1012</v>
      </c>
      <c r="S127" s="1" t="s">
        <v>1011</v>
      </c>
      <c r="U127" s="1" t="s">
        <v>24</v>
      </c>
      <c r="V127" s="1">
        <v>1</v>
      </c>
      <c r="W127" s="1" t="s">
        <v>258</v>
      </c>
      <c r="X127" s="1" t="s">
        <v>141</v>
      </c>
      <c r="Y127" s="1" t="s">
        <v>32</v>
      </c>
      <c r="Z127" s="1" t="s">
        <v>32</v>
      </c>
    </row>
    <row r="128" spans="1:26" x14ac:dyDescent="0.35">
      <c r="A128" s="1">
        <v>4000803</v>
      </c>
      <c r="B128" s="1" t="s">
        <v>31</v>
      </c>
      <c r="C128" s="1">
        <v>3300</v>
      </c>
      <c r="D128" s="1" t="s">
        <v>30</v>
      </c>
      <c r="E128" s="1">
        <v>301</v>
      </c>
      <c r="F128" s="1">
        <v>0</v>
      </c>
      <c r="G128" s="1">
        <v>400</v>
      </c>
      <c r="H128" s="1" t="s">
        <v>29</v>
      </c>
      <c r="I128" s="1" t="s">
        <v>247</v>
      </c>
      <c r="J128" s="1">
        <v>900</v>
      </c>
      <c r="M128" s="1" t="s">
        <v>28</v>
      </c>
      <c r="N128" s="1">
        <v>0</v>
      </c>
      <c r="O128" s="1" t="s">
        <v>27</v>
      </c>
      <c r="P128" s="1">
        <v>45238</v>
      </c>
      <c r="Q128" s="1">
        <v>0.45032407407406999</v>
      </c>
      <c r="R128" s="1">
        <v>0</v>
      </c>
      <c r="U128" s="1" t="s">
        <v>24</v>
      </c>
      <c r="V128" s="1">
        <v>1</v>
      </c>
      <c r="W128" s="1" t="s">
        <v>289</v>
      </c>
      <c r="X128" s="1" t="s">
        <v>141</v>
      </c>
      <c r="Y128" s="1" t="s">
        <v>32</v>
      </c>
      <c r="Z128" s="1" t="s">
        <v>32</v>
      </c>
    </row>
    <row r="129" spans="1:26" x14ac:dyDescent="0.35">
      <c r="A129" s="1">
        <v>4000804</v>
      </c>
      <c r="B129" s="1" t="s">
        <v>31</v>
      </c>
      <c r="C129" s="1">
        <v>3300</v>
      </c>
      <c r="D129" s="1" t="s">
        <v>30</v>
      </c>
      <c r="E129" s="1">
        <v>301</v>
      </c>
      <c r="F129" s="1">
        <v>0</v>
      </c>
      <c r="G129" s="1">
        <v>1000</v>
      </c>
      <c r="H129" s="1" t="s">
        <v>29</v>
      </c>
      <c r="I129" s="1" t="s">
        <v>71</v>
      </c>
      <c r="J129" s="1">
        <v>2400</v>
      </c>
      <c r="M129" s="1" t="s">
        <v>28</v>
      </c>
      <c r="N129" s="1">
        <v>0</v>
      </c>
      <c r="O129" s="1" t="s">
        <v>27</v>
      </c>
      <c r="P129" s="1">
        <v>45924</v>
      </c>
      <c r="Q129" s="1">
        <v>0.53434027777778004</v>
      </c>
      <c r="R129" s="1">
        <v>0</v>
      </c>
      <c r="T129" s="1" t="s">
        <v>335</v>
      </c>
      <c r="U129" s="1" t="s">
        <v>24</v>
      </c>
      <c r="V129" s="1">
        <v>1</v>
      </c>
      <c r="W129" s="1" t="s">
        <v>289</v>
      </c>
      <c r="X129" s="1" t="s">
        <v>141</v>
      </c>
      <c r="Y129" s="1" t="s">
        <v>32</v>
      </c>
      <c r="Z129" s="1" t="s">
        <v>32</v>
      </c>
    </row>
    <row r="130" spans="1:26" x14ac:dyDescent="0.35">
      <c r="A130" s="1">
        <v>4000805</v>
      </c>
      <c r="B130" s="1" t="s">
        <v>31</v>
      </c>
      <c r="C130" s="1">
        <v>3300</v>
      </c>
      <c r="D130" s="1" t="s">
        <v>30</v>
      </c>
      <c r="E130" s="1">
        <v>301</v>
      </c>
      <c r="F130" s="1">
        <v>0</v>
      </c>
      <c r="G130" s="1">
        <v>400</v>
      </c>
      <c r="H130" s="1" t="s">
        <v>29</v>
      </c>
      <c r="I130" s="1" t="s">
        <v>247</v>
      </c>
      <c r="J130" s="1">
        <v>3600</v>
      </c>
      <c r="M130" s="1" t="s">
        <v>28</v>
      </c>
      <c r="N130" s="1">
        <v>0</v>
      </c>
      <c r="O130" s="1" t="s">
        <v>166</v>
      </c>
      <c r="P130" s="1">
        <v>45400</v>
      </c>
      <c r="Q130" s="1">
        <v>0.32729166666666998</v>
      </c>
      <c r="R130" s="1">
        <v>0</v>
      </c>
      <c r="U130" s="1" t="s">
        <v>24</v>
      </c>
      <c r="V130" s="1">
        <v>1</v>
      </c>
      <c r="W130" s="1" t="s">
        <v>258</v>
      </c>
      <c r="X130" s="1" t="s">
        <v>141</v>
      </c>
      <c r="Y130" s="1" t="s">
        <v>32</v>
      </c>
      <c r="Z130" s="1" t="s">
        <v>32</v>
      </c>
    </row>
    <row r="131" spans="1:26" x14ac:dyDescent="0.35">
      <c r="A131" s="1">
        <v>4000830</v>
      </c>
      <c r="B131" s="1" t="s">
        <v>31</v>
      </c>
      <c r="C131" s="1">
        <v>3300</v>
      </c>
      <c r="D131" s="1" t="s">
        <v>30</v>
      </c>
      <c r="E131" s="1">
        <v>301</v>
      </c>
      <c r="F131" s="1">
        <v>0</v>
      </c>
      <c r="G131" s="1">
        <v>10000</v>
      </c>
      <c r="H131" s="1" t="s">
        <v>29</v>
      </c>
      <c r="I131" s="1" t="s">
        <v>71</v>
      </c>
      <c r="J131" s="1">
        <v>10000</v>
      </c>
      <c r="M131" s="1" t="s">
        <v>28</v>
      </c>
      <c r="N131" s="1">
        <v>0</v>
      </c>
      <c r="O131" s="1" t="s">
        <v>27</v>
      </c>
      <c r="P131" s="1">
        <v>45968</v>
      </c>
      <c r="Q131" s="1">
        <v>0.34723379629630002</v>
      </c>
      <c r="R131" s="1" t="s">
        <v>1010</v>
      </c>
      <c r="S131" s="1" t="s">
        <v>1009</v>
      </c>
      <c r="U131" s="1" t="s">
        <v>24</v>
      </c>
      <c r="V131" s="1">
        <v>1</v>
      </c>
      <c r="W131" s="1" t="s">
        <v>271</v>
      </c>
      <c r="X131" s="1" t="s">
        <v>141</v>
      </c>
      <c r="Y131" s="1" t="s">
        <v>32</v>
      </c>
      <c r="Z131" s="1" t="s">
        <v>32</v>
      </c>
    </row>
    <row r="132" spans="1:26" x14ac:dyDescent="0.35">
      <c r="A132" s="1">
        <v>4000835</v>
      </c>
      <c r="B132" s="1" t="s">
        <v>31</v>
      </c>
      <c r="C132" s="1">
        <v>3300</v>
      </c>
      <c r="D132" s="1" t="s">
        <v>30</v>
      </c>
      <c r="E132" s="1">
        <v>301</v>
      </c>
      <c r="F132" s="1">
        <v>0</v>
      </c>
      <c r="G132" s="1">
        <v>1018</v>
      </c>
      <c r="H132" s="1" t="s">
        <v>29</v>
      </c>
      <c r="I132" s="1" t="s">
        <v>71</v>
      </c>
      <c r="J132" s="1">
        <v>600</v>
      </c>
      <c r="M132" s="1" t="s">
        <v>28</v>
      </c>
      <c r="N132" s="1">
        <v>5</v>
      </c>
      <c r="O132" s="1" t="s">
        <v>132</v>
      </c>
      <c r="P132" s="1">
        <v>46056</v>
      </c>
      <c r="Q132" s="1">
        <v>0.47446759259259003</v>
      </c>
      <c r="R132" s="1" t="s">
        <v>1008</v>
      </c>
      <c r="S132" s="1" t="s">
        <v>1007</v>
      </c>
      <c r="T132" s="1" t="s">
        <v>335</v>
      </c>
      <c r="U132" s="1" t="s">
        <v>24</v>
      </c>
      <c r="V132" s="1">
        <v>1</v>
      </c>
      <c r="W132" s="1" t="s">
        <v>258</v>
      </c>
      <c r="X132" s="1" t="s">
        <v>757</v>
      </c>
      <c r="Y132" s="1" t="s">
        <v>32</v>
      </c>
      <c r="Z132" s="1" t="s">
        <v>32</v>
      </c>
    </row>
    <row r="133" spans="1:26" x14ac:dyDescent="0.35">
      <c r="A133" s="1">
        <v>4000893</v>
      </c>
      <c r="B133" s="1" t="s">
        <v>31</v>
      </c>
      <c r="C133" s="1">
        <v>3300</v>
      </c>
      <c r="D133" s="1" t="s">
        <v>30</v>
      </c>
      <c r="E133" s="1">
        <v>301</v>
      </c>
      <c r="F133" s="1">
        <v>0</v>
      </c>
      <c r="G133" s="1">
        <v>5</v>
      </c>
      <c r="H133" s="1" t="s">
        <v>29</v>
      </c>
      <c r="I133" s="1">
        <v>20</v>
      </c>
      <c r="J133" s="1">
        <v>5</v>
      </c>
      <c r="K133" s="1" t="s">
        <v>24</v>
      </c>
      <c r="M133" s="1" t="s">
        <v>28</v>
      </c>
      <c r="N133" s="1">
        <v>0</v>
      </c>
      <c r="O133" s="1" t="s">
        <v>373</v>
      </c>
      <c r="P133" s="1">
        <v>44477</v>
      </c>
      <c r="Q133" s="1">
        <v>0.44640046296295999</v>
      </c>
      <c r="R133" s="1">
        <v>0</v>
      </c>
      <c r="W133" s="1" t="s">
        <v>258</v>
      </c>
      <c r="Y133" s="1" t="s">
        <v>32</v>
      </c>
      <c r="Z133" s="1" t="s">
        <v>23</v>
      </c>
    </row>
    <row r="134" spans="1:26" x14ac:dyDescent="0.35">
      <c r="A134" s="1">
        <v>4000894</v>
      </c>
      <c r="B134" s="1" t="s">
        <v>31</v>
      </c>
      <c r="C134" s="1">
        <v>3300</v>
      </c>
      <c r="D134" s="1" t="s">
        <v>30</v>
      </c>
      <c r="E134" s="1">
        <v>301</v>
      </c>
      <c r="F134" s="1">
        <v>0</v>
      </c>
      <c r="G134" s="1">
        <v>61</v>
      </c>
      <c r="H134" s="1" t="s">
        <v>29</v>
      </c>
      <c r="I134" s="1">
        <v>20</v>
      </c>
      <c r="J134" s="1">
        <v>50</v>
      </c>
      <c r="K134" s="1" t="s">
        <v>24</v>
      </c>
      <c r="M134" s="1" t="s">
        <v>28</v>
      </c>
      <c r="N134" s="1">
        <v>0</v>
      </c>
      <c r="O134" s="1" t="s">
        <v>373</v>
      </c>
      <c r="P134" s="1">
        <v>44484</v>
      </c>
      <c r="Q134" s="1">
        <v>0.52880787037037003</v>
      </c>
      <c r="R134" s="1" t="s">
        <v>1006</v>
      </c>
      <c r="S134" s="1" t="s">
        <v>1005</v>
      </c>
      <c r="W134" s="1" t="s">
        <v>258</v>
      </c>
      <c r="Y134" s="1" t="s">
        <v>32</v>
      </c>
      <c r="Z134" s="1" t="s">
        <v>23</v>
      </c>
    </row>
    <row r="135" spans="1:26" x14ac:dyDescent="0.35">
      <c r="A135" s="1">
        <v>4000895</v>
      </c>
      <c r="B135" s="1" t="s">
        <v>31</v>
      </c>
      <c r="C135" s="1">
        <v>3300</v>
      </c>
      <c r="D135" s="1" t="s">
        <v>41</v>
      </c>
      <c r="E135" s="1">
        <v>301</v>
      </c>
      <c r="F135" s="1">
        <v>0</v>
      </c>
      <c r="G135" s="1">
        <v>605</v>
      </c>
      <c r="H135" s="1" t="s">
        <v>29</v>
      </c>
      <c r="I135" s="1">
        <v>20</v>
      </c>
      <c r="J135" s="1">
        <v>200</v>
      </c>
      <c r="K135" s="1" t="s">
        <v>24</v>
      </c>
      <c r="M135" s="1" t="s">
        <v>28</v>
      </c>
      <c r="N135" s="1">
        <v>0</v>
      </c>
      <c r="O135" s="1" t="s">
        <v>373</v>
      </c>
      <c r="P135" s="1">
        <v>44484</v>
      </c>
      <c r="Q135" s="1">
        <v>0.53167824074073999</v>
      </c>
      <c r="R135" s="1">
        <v>0</v>
      </c>
      <c r="W135" s="1" t="s">
        <v>258</v>
      </c>
      <c r="Y135" s="1" t="s">
        <v>32</v>
      </c>
      <c r="Z135" s="1" t="s">
        <v>23</v>
      </c>
    </row>
    <row r="136" spans="1:26" x14ac:dyDescent="0.35">
      <c r="A136" s="1">
        <v>4000896</v>
      </c>
      <c r="B136" s="1" t="s">
        <v>31</v>
      </c>
      <c r="C136" s="1">
        <v>3300</v>
      </c>
      <c r="D136" s="1" t="s">
        <v>41</v>
      </c>
      <c r="E136" s="1">
        <v>301</v>
      </c>
      <c r="F136" s="1">
        <v>0</v>
      </c>
      <c r="G136" s="1">
        <v>202</v>
      </c>
      <c r="H136" s="1" t="s">
        <v>29</v>
      </c>
      <c r="I136" s="1">
        <v>20</v>
      </c>
      <c r="J136" s="1">
        <v>100</v>
      </c>
      <c r="K136" s="1" t="s">
        <v>24</v>
      </c>
      <c r="M136" s="1" t="s">
        <v>28</v>
      </c>
      <c r="N136" s="1">
        <v>0</v>
      </c>
      <c r="O136" s="1" t="s">
        <v>373</v>
      </c>
      <c r="P136" s="1">
        <v>44484</v>
      </c>
      <c r="Q136" s="1">
        <v>0.53260416666666999</v>
      </c>
      <c r="R136" s="1" t="s">
        <v>1004</v>
      </c>
      <c r="S136" s="1" t="s">
        <v>1003</v>
      </c>
      <c r="W136" s="1" t="s">
        <v>258</v>
      </c>
      <c r="Y136" s="1" t="s">
        <v>32</v>
      </c>
      <c r="Z136" s="1" t="s">
        <v>23</v>
      </c>
    </row>
    <row r="137" spans="1:26" x14ac:dyDescent="0.35">
      <c r="A137" s="1">
        <v>4000897</v>
      </c>
      <c r="B137" s="1" t="s">
        <v>31</v>
      </c>
      <c r="C137" s="1">
        <v>3300</v>
      </c>
      <c r="D137" s="1" t="s">
        <v>41</v>
      </c>
      <c r="E137" s="1">
        <v>301</v>
      </c>
      <c r="F137" s="1">
        <v>0</v>
      </c>
      <c r="G137" s="1">
        <v>9</v>
      </c>
      <c r="H137" s="1" t="s">
        <v>29</v>
      </c>
      <c r="I137" s="1">
        <v>20</v>
      </c>
      <c r="J137" s="1">
        <v>15</v>
      </c>
      <c r="K137" s="1" t="s">
        <v>24</v>
      </c>
      <c r="M137" s="1" t="s">
        <v>28</v>
      </c>
      <c r="N137" s="1">
        <v>0</v>
      </c>
      <c r="O137" s="1" t="s">
        <v>373</v>
      </c>
      <c r="P137" s="1">
        <v>44484</v>
      </c>
      <c r="Q137" s="1">
        <v>0.53339120370369997</v>
      </c>
      <c r="R137" s="1">
        <v>0</v>
      </c>
      <c r="W137" s="1" t="s">
        <v>258</v>
      </c>
      <c r="Y137" s="1" t="s">
        <v>32</v>
      </c>
      <c r="Z137" s="1" t="s">
        <v>23</v>
      </c>
    </row>
    <row r="138" spans="1:26" x14ac:dyDescent="0.35">
      <c r="A138" s="1">
        <v>4000966</v>
      </c>
      <c r="B138" s="1" t="s">
        <v>31</v>
      </c>
      <c r="C138" s="1">
        <v>3300</v>
      </c>
      <c r="D138" s="1" t="s">
        <v>30</v>
      </c>
      <c r="E138" s="1">
        <v>301</v>
      </c>
      <c r="F138" s="1">
        <v>0</v>
      </c>
      <c r="G138" s="1">
        <v>400</v>
      </c>
      <c r="H138" s="1" t="s">
        <v>29</v>
      </c>
      <c r="I138" s="1">
        <v>20</v>
      </c>
      <c r="J138" s="1">
        <v>200</v>
      </c>
      <c r="M138" s="1" t="s">
        <v>28</v>
      </c>
      <c r="N138" s="1">
        <v>0</v>
      </c>
      <c r="O138" s="1" t="s">
        <v>27</v>
      </c>
      <c r="P138" s="1">
        <v>45238</v>
      </c>
      <c r="Q138" s="1">
        <v>0.45381944444444</v>
      </c>
      <c r="R138" s="1" t="s">
        <v>1002</v>
      </c>
      <c r="S138" s="1" t="s">
        <v>1001</v>
      </c>
      <c r="U138" s="1" t="s">
        <v>24</v>
      </c>
      <c r="V138" s="1">
        <v>1</v>
      </c>
      <c r="W138" s="1" t="s">
        <v>258</v>
      </c>
      <c r="X138" s="1" t="s">
        <v>24</v>
      </c>
      <c r="Y138" s="1" t="s">
        <v>32</v>
      </c>
      <c r="Z138" s="1" t="s">
        <v>32</v>
      </c>
    </row>
    <row r="139" spans="1:26" x14ac:dyDescent="0.35">
      <c r="A139" s="1">
        <v>4000969</v>
      </c>
      <c r="B139" s="1" t="s">
        <v>31</v>
      </c>
      <c r="C139" s="1">
        <v>3300</v>
      </c>
      <c r="D139" s="1" t="s">
        <v>30</v>
      </c>
      <c r="E139" s="1">
        <v>301</v>
      </c>
      <c r="F139" s="1">
        <v>0</v>
      </c>
      <c r="G139" s="1">
        <v>40</v>
      </c>
      <c r="H139" s="1" t="s">
        <v>29</v>
      </c>
      <c r="I139" s="1" t="s">
        <v>71</v>
      </c>
      <c r="J139" s="1">
        <v>40</v>
      </c>
      <c r="M139" s="1" t="s">
        <v>28</v>
      </c>
      <c r="N139" s="1">
        <v>5</v>
      </c>
      <c r="O139" s="1" t="s">
        <v>27</v>
      </c>
      <c r="P139" s="1">
        <v>45924</v>
      </c>
      <c r="Q139" s="1">
        <v>0.52708333333333002</v>
      </c>
      <c r="R139" s="1" t="s">
        <v>1000</v>
      </c>
      <c r="S139" s="1" t="s">
        <v>999</v>
      </c>
      <c r="T139" s="1" t="s">
        <v>335</v>
      </c>
      <c r="U139" s="1" t="s">
        <v>24</v>
      </c>
      <c r="V139" s="1">
        <v>1</v>
      </c>
      <c r="W139" s="1" t="s">
        <v>258</v>
      </c>
      <c r="Y139" s="1" t="s">
        <v>32</v>
      </c>
      <c r="Z139" s="1" t="s">
        <v>23</v>
      </c>
    </row>
    <row r="140" spans="1:26" x14ac:dyDescent="0.35">
      <c r="A140" s="1">
        <v>4000972</v>
      </c>
      <c r="B140" s="1" t="s">
        <v>31</v>
      </c>
      <c r="C140" s="1">
        <v>3300</v>
      </c>
      <c r="D140" s="1" t="s">
        <v>30</v>
      </c>
      <c r="E140" s="1">
        <v>301</v>
      </c>
      <c r="F140" s="1">
        <v>0</v>
      </c>
      <c r="G140" s="1">
        <v>100</v>
      </c>
      <c r="H140" s="1" t="s">
        <v>29</v>
      </c>
      <c r="I140" s="1" t="s">
        <v>71</v>
      </c>
      <c r="J140" s="1">
        <v>100</v>
      </c>
      <c r="M140" s="1" t="s">
        <v>28</v>
      </c>
      <c r="N140" s="1">
        <v>5</v>
      </c>
      <c r="O140" s="1" t="s">
        <v>132</v>
      </c>
      <c r="P140" s="1">
        <v>46036</v>
      </c>
      <c r="Q140" s="1">
        <v>0.42038194444443999</v>
      </c>
      <c r="R140" s="1">
        <v>0</v>
      </c>
      <c r="T140" s="1" t="s">
        <v>335</v>
      </c>
      <c r="U140" s="1" t="s">
        <v>24</v>
      </c>
      <c r="V140" s="1">
        <v>1</v>
      </c>
      <c r="W140" s="1" t="s">
        <v>258</v>
      </c>
      <c r="X140" s="1" t="s">
        <v>141</v>
      </c>
      <c r="Y140" s="1" t="s">
        <v>32</v>
      </c>
      <c r="Z140" s="1" t="s">
        <v>32</v>
      </c>
    </row>
    <row r="141" spans="1:26" x14ac:dyDescent="0.35">
      <c r="A141" s="1">
        <v>4000973</v>
      </c>
      <c r="B141" s="1" t="s">
        <v>31</v>
      </c>
      <c r="C141" s="1">
        <v>3300</v>
      </c>
      <c r="D141" s="1" t="s">
        <v>30</v>
      </c>
      <c r="E141" s="1">
        <v>301</v>
      </c>
      <c r="F141" s="1">
        <v>0</v>
      </c>
      <c r="G141" s="1">
        <v>120</v>
      </c>
      <c r="H141" s="1" t="s">
        <v>29</v>
      </c>
      <c r="I141" s="1" t="s">
        <v>71</v>
      </c>
      <c r="J141" s="1">
        <v>100</v>
      </c>
      <c r="M141" s="1" t="s">
        <v>28</v>
      </c>
      <c r="N141" s="1">
        <v>5</v>
      </c>
      <c r="O141" s="1" t="s">
        <v>132</v>
      </c>
      <c r="P141" s="1">
        <v>46036</v>
      </c>
      <c r="Q141" s="1">
        <v>0.42038194444443999</v>
      </c>
      <c r="R141" s="1" t="s">
        <v>998</v>
      </c>
      <c r="S141" s="1" t="s">
        <v>997</v>
      </c>
      <c r="T141" s="1" t="s">
        <v>335</v>
      </c>
      <c r="U141" s="1" t="s">
        <v>24</v>
      </c>
      <c r="V141" s="1">
        <v>1</v>
      </c>
      <c r="W141" s="1" t="s">
        <v>258</v>
      </c>
      <c r="X141" s="1" t="s">
        <v>141</v>
      </c>
      <c r="Y141" s="1" t="s">
        <v>32</v>
      </c>
      <c r="Z141" s="1" t="s">
        <v>32</v>
      </c>
    </row>
    <row r="142" spans="1:26" x14ac:dyDescent="0.35">
      <c r="A142" s="1">
        <v>4000974</v>
      </c>
      <c r="B142" s="1" t="s">
        <v>31</v>
      </c>
      <c r="C142" s="1">
        <v>3300</v>
      </c>
      <c r="D142" s="1" t="s">
        <v>30</v>
      </c>
      <c r="E142" s="1">
        <v>301</v>
      </c>
      <c r="F142" s="1">
        <v>0</v>
      </c>
      <c r="G142" s="1">
        <v>147</v>
      </c>
      <c r="H142" s="1" t="s">
        <v>29</v>
      </c>
      <c r="I142" s="1" t="s">
        <v>71</v>
      </c>
      <c r="J142" s="1">
        <v>120</v>
      </c>
      <c r="M142" s="1" t="s">
        <v>28</v>
      </c>
      <c r="N142" s="1">
        <v>5</v>
      </c>
      <c r="O142" s="1" t="s">
        <v>132</v>
      </c>
      <c r="P142" s="1">
        <v>46036</v>
      </c>
      <c r="Q142" s="1">
        <v>0.42038194444443999</v>
      </c>
      <c r="R142" s="1">
        <v>0</v>
      </c>
      <c r="T142" s="1" t="s">
        <v>335</v>
      </c>
      <c r="U142" s="1" t="s">
        <v>24</v>
      </c>
      <c r="V142" s="1">
        <v>1</v>
      </c>
      <c r="W142" s="1" t="s">
        <v>258</v>
      </c>
      <c r="X142" s="1" t="s">
        <v>24</v>
      </c>
      <c r="Y142" s="1" t="s">
        <v>32</v>
      </c>
      <c r="Z142" s="1" t="s">
        <v>32</v>
      </c>
    </row>
    <row r="143" spans="1:26" x14ac:dyDescent="0.35">
      <c r="A143" s="1">
        <v>4000975</v>
      </c>
      <c r="B143" s="1" t="s">
        <v>31</v>
      </c>
      <c r="C143" s="1">
        <v>3300</v>
      </c>
      <c r="D143" s="1" t="s">
        <v>30</v>
      </c>
      <c r="E143" s="1">
        <v>301</v>
      </c>
      <c r="F143" s="1">
        <v>0</v>
      </c>
      <c r="G143" s="1">
        <v>200</v>
      </c>
      <c r="H143" s="1" t="s">
        <v>29</v>
      </c>
      <c r="I143" s="1" t="s">
        <v>71</v>
      </c>
      <c r="J143" s="1">
        <v>400</v>
      </c>
      <c r="M143" s="1" t="s">
        <v>28</v>
      </c>
      <c r="N143" s="1">
        <v>5</v>
      </c>
      <c r="O143" s="1" t="s">
        <v>132</v>
      </c>
      <c r="P143" s="1">
        <v>46036</v>
      </c>
      <c r="Q143" s="1">
        <v>0.42038194444443999</v>
      </c>
      <c r="R143" s="1">
        <v>0</v>
      </c>
      <c r="T143" s="1" t="s">
        <v>335</v>
      </c>
      <c r="U143" s="1" t="s">
        <v>24</v>
      </c>
      <c r="V143" s="1">
        <v>1</v>
      </c>
      <c r="W143" s="1" t="s">
        <v>258</v>
      </c>
      <c r="X143" s="1" t="s">
        <v>24</v>
      </c>
      <c r="Y143" s="1" t="s">
        <v>32</v>
      </c>
      <c r="Z143" s="1" t="s">
        <v>32</v>
      </c>
    </row>
    <row r="144" spans="1:26" x14ac:dyDescent="0.35">
      <c r="A144" s="1">
        <v>4000976</v>
      </c>
      <c r="B144" s="1" t="s">
        <v>31</v>
      </c>
      <c r="C144" s="1">
        <v>3300</v>
      </c>
      <c r="D144" s="1" t="s">
        <v>30</v>
      </c>
      <c r="E144" s="1">
        <v>301</v>
      </c>
      <c r="F144" s="1">
        <v>0</v>
      </c>
      <c r="G144" s="1">
        <v>180</v>
      </c>
      <c r="H144" s="1" t="s">
        <v>29</v>
      </c>
      <c r="I144" s="1" t="s">
        <v>71</v>
      </c>
      <c r="J144" s="1">
        <v>90</v>
      </c>
      <c r="M144" s="1" t="s">
        <v>28</v>
      </c>
      <c r="N144" s="1">
        <v>0</v>
      </c>
      <c r="O144" s="1" t="s">
        <v>27</v>
      </c>
      <c r="P144" s="1">
        <v>45707</v>
      </c>
      <c r="Q144" s="1">
        <v>0.29148148148148001</v>
      </c>
      <c r="R144" s="1" t="s">
        <v>996</v>
      </c>
      <c r="S144" s="1" t="s">
        <v>995</v>
      </c>
      <c r="T144" s="1" t="s">
        <v>335</v>
      </c>
      <c r="U144" s="1" t="s">
        <v>24</v>
      </c>
      <c r="V144" s="1">
        <v>1</v>
      </c>
      <c r="W144" s="1" t="s">
        <v>258</v>
      </c>
      <c r="X144" s="1" t="s">
        <v>24</v>
      </c>
      <c r="Y144" s="1" t="s">
        <v>32</v>
      </c>
      <c r="Z144" s="1" t="s">
        <v>32</v>
      </c>
    </row>
    <row r="145" spans="1:26" x14ac:dyDescent="0.35">
      <c r="A145" s="1">
        <v>4000977</v>
      </c>
      <c r="B145" s="1" t="s">
        <v>31</v>
      </c>
      <c r="C145" s="1">
        <v>3300</v>
      </c>
      <c r="D145" s="1" t="s">
        <v>30</v>
      </c>
      <c r="E145" s="1">
        <v>301</v>
      </c>
      <c r="F145" s="1">
        <v>0</v>
      </c>
      <c r="G145" s="1">
        <v>100</v>
      </c>
      <c r="H145" s="1" t="s">
        <v>29</v>
      </c>
      <c r="I145" s="1" t="s">
        <v>71</v>
      </c>
      <c r="J145" s="1">
        <v>90</v>
      </c>
      <c r="M145" s="1" t="s">
        <v>28</v>
      </c>
      <c r="N145" s="1">
        <v>0</v>
      </c>
      <c r="O145" s="1" t="s">
        <v>27</v>
      </c>
      <c r="P145" s="1">
        <v>45960</v>
      </c>
      <c r="Q145" s="1">
        <v>0.44710648148148002</v>
      </c>
      <c r="R145" s="1" t="s">
        <v>994</v>
      </c>
      <c r="S145" s="1" t="s">
        <v>993</v>
      </c>
      <c r="T145" s="1" t="s">
        <v>335</v>
      </c>
      <c r="U145" s="1" t="s">
        <v>24</v>
      </c>
      <c r="V145" s="1">
        <v>1</v>
      </c>
      <c r="W145" s="1" t="s">
        <v>258</v>
      </c>
      <c r="X145" s="1" t="s">
        <v>141</v>
      </c>
      <c r="Y145" s="1" t="s">
        <v>32</v>
      </c>
      <c r="Z145" s="1" t="s">
        <v>32</v>
      </c>
    </row>
    <row r="146" spans="1:26" x14ac:dyDescent="0.35">
      <c r="A146" s="1">
        <v>4000978</v>
      </c>
      <c r="B146" s="1" t="s">
        <v>31</v>
      </c>
      <c r="C146" s="1">
        <v>3300</v>
      </c>
      <c r="D146" s="1" t="s">
        <v>30</v>
      </c>
      <c r="E146" s="1">
        <v>301</v>
      </c>
      <c r="F146" s="1">
        <v>0</v>
      </c>
      <c r="G146" s="1">
        <v>150</v>
      </c>
      <c r="H146" s="1" t="s">
        <v>29</v>
      </c>
      <c r="I146" s="1" t="s">
        <v>247</v>
      </c>
      <c r="J146" s="1">
        <v>150</v>
      </c>
      <c r="M146" s="1" t="s">
        <v>28</v>
      </c>
      <c r="N146" s="1">
        <v>0</v>
      </c>
      <c r="O146" s="1" t="s">
        <v>27</v>
      </c>
      <c r="P146" s="1">
        <v>46042</v>
      </c>
      <c r="Q146" s="1">
        <v>0.39453703703704002</v>
      </c>
      <c r="R146" s="1">
        <v>0</v>
      </c>
      <c r="T146" s="1" t="s">
        <v>335</v>
      </c>
      <c r="U146" s="1" t="s">
        <v>24</v>
      </c>
      <c r="V146" s="1">
        <v>1</v>
      </c>
      <c r="W146" s="1" t="s">
        <v>258</v>
      </c>
      <c r="X146" s="1" t="s">
        <v>141</v>
      </c>
      <c r="Y146" s="1" t="s">
        <v>32</v>
      </c>
      <c r="Z146" s="1" t="s">
        <v>32</v>
      </c>
    </row>
    <row r="147" spans="1:26" x14ac:dyDescent="0.35">
      <c r="A147" s="1">
        <v>4000979</v>
      </c>
      <c r="B147" s="1" t="s">
        <v>31</v>
      </c>
      <c r="C147" s="1">
        <v>3300</v>
      </c>
      <c r="D147" s="1" t="s">
        <v>30</v>
      </c>
      <c r="E147" s="1">
        <v>301</v>
      </c>
      <c r="F147" s="1">
        <v>0</v>
      </c>
      <c r="G147" s="1">
        <v>200</v>
      </c>
      <c r="H147" s="1" t="s">
        <v>29</v>
      </c>
      <c r="I147" s="1">
        <v>20</v>
      </c>
      <c r="J147" s="1">
        <v>75</v>
      </c>
      <c r="M147" s="1" t="s">
        <v>28</v>
      </c>
      <c r="N147" s="1">
        <v>5</v>
      </c>
      <c r="O147" s="1" t="s">
        <v>277</v>
      </c>
      <c r="P147" s="1">
        <v>44816</v>
      </c>
      <c r="Q147" s="1">
        <v>0.50180555555555995</v>
      </c>
      <c r="R147" s="1" t="s">
        <v>992</v>
      </c>
      <c r="S147" s="1" t="s">
        <v>991</v>
      </c>
      <c r="T147" s="1" t="s">
        <v>335</v>
      </c>
      <c r="U147" s="1" t="s">
        <v>24</v>
      </c>
      <c r="V147" s="1">
        <v>1</v>
      </c>
      <c r="W147" s="1" t="s">
        <v>258</v>
      </c>
      <c r="Y147" s="1" t="s">
        <v>32</v>
      </c>
      <c r="Z147" s="1" t="s">
        <v>23</v>
      </c>
    </row>
    <row r="148" spans="1:26" x14ac:dyDescent="0.35">
      <c r="A148" s="1">
        <v>4000981</v>
      </c>
      <c r="B148" s="1" t="s">
        <v>31</v>
      </c>
      <c r="C148" s="1">
        <v>3300</v>
      </c>
      <c r="D148" s="1" t="s">
        <v>41</v>
      </c>
      <c r="G148" s="1">
        <v>0</v>
      </c>
      <c r="J148" s="1">
        <v>0</v>
      </c>
      <c r="M148" s="1" t="s">
        <v>28</v>
      </c>
      <c r="N148" s="1">
        <v>0</v>
      </c>
      <c r="O148" s="1" t="s">
        <v>27</v>
      </c>
      <c r="P148" s="1">
        <v>45238</v>
      </c>
      <c r="Q148" s="1">
        <v>0.45811342592593002</v>
      </c>
      <c r="R148" s="1">
        <v>0</v>
      </c>
      <c r="U148" s="1" t="s">
        <v>24</v>
      </c>
      <c r="V148" s="1">
        <v>1</v>
      </c>
      <c r="W148" s="1" t="s">
        <v>258</v>
      </c>
      <c r="X148" s="1" t="s">
        <v>24</v>
      </c>
      <c r="Y148" s="1" t="s">
        <v>32</v>
      </c>
      <c r="Z148" s="1" t="s">
        <v>32</v>
      </c>
    </row>
    <row r="149" spans="1:26" x14ac:dyDescent="0.35">
      <c r="A149" s="1">
        <v>4000988</v>
      </c>
      <c r="B149" s="1" t="s">
        <v>31</v>
      </c>
      <c r="C149" s="1">
        <v>3300</v>
      </c>
      <c r="D149" s="1" t="s">
        <v>30</v>
      </c>
      <c r="E149" s="1">
        <v>301</v>
      </c>
      <c r="F149" s="1">
        <v>0</v>
      </c>
      <c r="G149" s="1">
        <v>159</v>
      </c>
      <c r="H149" s="1" t="s">
        <v>29</v>
      </c>
      <c r="I149" s="1">
        <v>20</v>
      </c>
      <c r="J149" s="1">
        <v>300</v>
      </c>
      <c r="M149" s="1" t="s">
        <v>28</v>
      </c>
      <c r="N149" s="1">
        <v>5</v>
      </c>
      <c r="O149" s="1" t="s">
        <v>27</v>
      </c>
      <c r="P149" s="1">
        <v>45588</v>
      </c>
      <c r="Q149" s="1">
        <v>0.31287037037037002</v>
      </c>
      <c r="R149" s="1">
        <v>0</v>
      </c>
      <c r="T149" s="1" t="s">
        <v>335</v>
      </c>
      <c r="U149" s="1" t="s">
        <v>24</v>
      </c>
      <c r="V149" s="1">
        <v>1</v>
      </c>
      <c r="W149" s="1" t="s">
        <v>289</v>
      </c>
      <c r="Y149" s="1" t="s">
        <v>32</v>
      </c>
      <c r="Z149" s="1" t="s">
        <v>23</v>
      </c>
    </row>
    <row r="150" spans="1:26" x14ac:dyDescent="0.35">
      <c r="A150" s="1">
        <v>4000989</v>
      </c>
      <c r="B150" s="1" t="s">
        <v>31</v>
      </c>
      <c r="C150" s="1">
        <v>3300</v>
      </c>
      <c r="D150" s="1" t="s">
        <v>30</v>
      </c>
      <c r="E150" s="1">
        <v>301</v>
      </c>
      <c r="F150" s="1">
        <v>0</v>
      </c>
      <c r="G150" s="1">
        <v>70</v>
      </c>
      <c r="H150" s="1" t="s">
        <v>29</v>
      </c>
      <c r="I150" s="1" t="s">
        <v>71</v>
      </c>
      <c r="J150" s="1">
        <v>120</v>
      </c>
      <c r="M150" s="1" t="s">
        <v>28</v>
      </c>
      <c r="N150" s="1">
        <v>0</v>
      </c>
      <c r="O150" s="1" t="s">
        <v>27</v>
      </c>
      <c r="P150" s="1">
        <v>45947</v>
      </c>
      <c r="Q150" s="1">
        <v>0.29572916666666998</v>
      </c>
      <c r="R150" s="1" t="s">
        <v>990</v>
      </c>
      <c r="S150" s="1" t="s">
        <v>989</v>
      </c>
      <c r="T150" s="1" t="s">
        <v>335</v>
      </c>
      <c r="U150" s="1" t="s">
        <v>24</v>
      </c>
      <c r="V150" s="1">
        <v>1</v>
      </c>
      <c r="W150" s="1" t="s">
        <v>258</v>
      </c>
      <c r="X150" s="1" t="s">
        <v>141</v>
      </c>
      <c r="Y150" s="1" t="s">
        <v>32</v>
      </c>
      <c r="Z150" s="1" t="s">
        <v>32</v>
      </c>
    </row>
    <row r="151" spans="1:26" x14ac:dyDescent="0.35">
      <c r="A151" s="1">
        <v>4001115</v>
      </c>
      <c r="B151" s="1" t="s">
        <v>31</v>
      </c>
      <c r="C151" s="1">
        <v>3300</v>
      </c>
      <c r="D151" s="1" t="s">
        <v>30</v>
      </c>
      <c r="E151" s="1">
        <v>301</v>
      </c>
      <c r="F151" s="1">
        <v>0</v>
      </c>
      <c r="G151" s="1">
        <v>1000</v>
      </c>
      <c r="H151" s="1" t="s">
        <v>29</v>
      </c>
      <c r="I151" s="1" t="s">
        <v>71</v>
      </c>
      <c r="J151" s="1">
        <v>500</v>
      </c>
      <c r="M151" s="1" t="s">
        <v>28</v>
      </c>
      <c r="N151" s="1">
        <v>5</v>
      </c>
      <c r="O151" s="1" t="s">
        <v>132</v>
      </c>
      <c r="P151" s="1">
        <v>46036</v>
      </c>
      <c r="Q151" s="1">
        <v>0.42038194444443999</v>
      </c>
      <c r="R151" s="1" t="s">
        <v>988</v>
      </c>
      <c r="S151" s="1" t="s">
        <v>987</v>
      </c>
      <c r="T151" s="1" t="s">
        <v>335</v>
      </c>
      <c r="U151" s="1" t="s">
        <v>24</v>
      </c>
      <c r="V151" s="1">
        <v>1</v>
      </c>
      <c r="W151" s="1" t="s">
        <v>258</v>
      </c>
      <c r="X151" s="1" t="s">
        <v>141</v>
      </c>
      <c r="Y151" s="1" t="s">
        <v>32</v>
      </c>
      <c r="Z151" s="1" t="s">
        <v>32</v>
      </c>
    </row>
    <row r="152" spans="1:26" x14ac:dyDescent="0.35">
      <c r="A152" s="1">
        <v>4001116</v>
      </c>
      <c r="B152" s="1" t="s">
        <v>31</v>
      </c>
      <c r="C152" s="1">
        <v>3300</v>
      </c>
      <c r="D152" s="1" t="s">
        <v>30</v>
      </c>
      <c r="E152" s="1">
        <v>301</v>
      </c>
      <c r="F152" s="1">
        <v>0</v>
      </c>
      <c r="G152" s="1">
        <v>200</v>
      </c>
      <c r="H152" s="1" t="s">
        <v>29</v>
      </c>
      <c r="I152" s="1" t="s">
        <v>71</v>
      </c>
      <c r="J152" s="1">
        <v>75</v>
      </c>
      <c r="M152" s="1" t="s">
        <v>28</v>
      </c>
      <c r="N152" s="1">
        <v>5</v>
      </c>
      <c r="O152" s="1" t="s">
        <v>132</v>
      </c>
      <c r="P152" s="1">
        <v>46036</v>
      </c>
      <c r="Q152" s="1">
        <v>0.42038194444443999</v>
      </c>
      <c r="R152" s="1">
        <v>0</v>
      </c>
      <c r="T152" s="1" t="s">
        <v>335</v>
      </c>
      <c r="U152" s="1" t="s">
        <v>24</v>
      </c>
      <c r="V152" s="1">
        <v>1</v>
      </c>
      <c r="W152" s="1" t="s">
        <v>258</v>
      </c>
      <c r="X152" s="1" t="s">
        <v>24</v>
      </c>
      <c r="Y152" s="1" t="s">
        <v>32</v>
      </c>
      <c r="Z152" s="1" t="s">
        <v>32</v>
      </c>
    </row>
    <row r="153" spans="1:26" x14ac:dyDescent="0.35">
      <c r="A153" s="1">
        <v>4001117</v>
      </c>
      <c r="B153" s="1" t="s">
        <v>31</v>
      </c>
      <c r="C153" s="1">
        <v>3300</v>
      </c>
      <c r="D153" s="1" t="s">
        <v>30</v>
      </c>
      <c r="E153" s="1">
        <v>301</v>
      </c>
      <c r="F153" s="1">
        <v>0</v>
      </c>
      <c r="G153" s="1">
        <v>50</v>
      </c>
      <c r="H153" s="1" t="s">
        <v>29</v>
      </c>
      <c r="I153" s="1" t="s">
        <v>71</v>
      </c>
      <c r="J153" s="1">
        <v>75</v>
      </c>
      <c r="M153" s="1" t="s">
        <v>28</v>
      </c>
      <c r="N153" s="1">
        <v>5</v>
      </c>
      <c r="O153" s="1" t="s">
        <v>132</v>
      </c>
      <c r="P153" s="1">
        <v>46036</v>
      </c>
      <c r="Q153" s="1">
        <v>0.42038194444443999</v>
      </c>
      <c r="R153" s="1" t="s">
        <v>986</v>
      </c>
      <c r="S153" s="1" t="s">
        <v>985</v>
      </c>
      <c r="T153" s="1" t="s">
        <v>335</v>
      </c>
      <c r="U153" s="1" t="s">
        <v>24</v>
      </c>
      <c r="V153" s="1">
        <v>1</v>
      </c>
      <c r="W153" s="1" t="s">
        <v>258</v>
      </c>
      <c r="X153" s="1" t="s">
        <v>24</v>
      </c>
      <c r="Y153" s="1" t="s">
        <v>32</v>
      </c>
      <c r="Z153" s="1" t="s">
        <v>32</v>
      </c>
    </row>
    <row r="154" spans="1:26" x14ac:dyDescent="0.35">
      <c r="A154" s="1">
        <v>4001118</v>
      </c>
      <c r="B154" s="1" t="s">
        <v>31</v>
      </c>
      <c r="C154" s="1">
        <v>3300</v>
      </c>
      <c r="D154" s="1" t="s">
        <v>30</v>
      </c>
      <c r="E154" s="1">
        <v>301</v>
      </c>
      <c r="F154" s="1">
        <v>0</v>
      </c>
      <c r="G154" s="1">
        <v>50</v>
      </c>
      <c r="H154" s="1" t="s">
        <v>29</v>
      </c>
      <c r="I154" s="1" t="s">
        <v>71</v>
      </c>
      <c r="J154" s="1">
        <v>25</v>
      </c>
      <c r="M154" s="1" t="s">
        <v>28</v>
      </c>
      <c r="N154" s="1">
        <v>5</v>
      </c>
      <c r="O154" s="1" t="s">
        <v>132</v>
      </c>
      <c r="P154" s="1">
        <v>46036</v>
      </c>
      <c r="Q154" s="1">
        <v>0.42038194444443999</v>
      </c>
      <c r="R154" s="1" t="s">
        <v>984</v>
      </c>
      <c r="S154" s="1" t="s">
        <v>983</v>
      </c>
      <c r="T154" s="1" t="s">
        <v>335</v>
      </c>
      <c r="U154" s="1" t="s">
        <v>24</v>
      </c>
      <c r="V154" s="1">
        <v>1</v>
      </c>
      <c r="W154" s="1" t="s">
        <v>258</v>
      </c>
      <c r="Y154" s="1" t="s">
        <v>32</v>
      </c>
      <c r="Z154" s="1" t="s">
        <v>23</v>
      </c>
    </row>
    <row r="155" spans="1:26" x14ac:dyDescent="0.35">
      <c r="A155" s="1">
        <v>4001120</v>
      </c>
      <c r="B155" s="1" t="s">
        <v>31</v>
      </c>
      <c r="C155" s="1">
        <v>3300</v>
      </c>
      <c r="D155" s="1" t="s">
        <v>30</v>
      </c>
      <c r="E155" s="1">
        <v>301</v>
      </c>
      <c r="F155" s="1">
        <v>0</v>
      </c>
      <c r="G155" s="1">
        <v>20</v>
      </c>
      <c r="H155" s="1" t="s">
        <v>29</v>
      </c>
      <c r="I155" s="1">
        <v>20</v>
      </c>
      <c r="J155" s="1">
        <v>10</v>
      </c>
      <c r="M155" s="1" t="s">
        <v>28</v>
      </c>
      <c r="N155" s="1">
        <v>5</v>
      </c>
      <c r="O155" s="1" t="s">
        <v>27</v>
      </c>
      <c r="P155" s="1">
        <v>45973</v>
      </c>
      <c r="Q155" s="1">
        <v>0.52134259259258997</v>
      </c>
      <c r="R155" s="1" t="s">
        <v>982</v>
      </c>
      <c r="S155" s="1" t="s">
        <v>981</v>
      </c>
      <c r="U155" s="1" t="s">
        <v>24</v>
      </c>
      <c r="V155" s="1">
        <v>1</v>
      </c>
      <c r="W155" s="1" t="s">
        <v>258</v>
      </c>
      <c r="X155" s="1" t="s">
        <v>141</v>
      </c>
      <c r="Y155" s="1" t="s">
        <v>32</v>
      </c>
      <c r="Z155" s="1" t="s">
        <v>32</v>
      </c>
    </row>
    <row r="156" spans="1:26" x14ac:dyDescent="0.35">
      <c r="A156" s="1">
        <v>4001122</v>
      </c>
      <c r="B156" s="1" t="s">
        <v>31</v>
      </c>
      <c r="C156" s="1">
        <v>3300</v>
      </c>
      <c r="D156" s="1" t="s">
        <v>30</v>
      </c>
      <c r="E156" s="1">
        <v>301</v>
      </c>
      <c r="F156" s="1">
        <v>0</v>
      </c>
      <c r="G156" s="1">
        <v>400</v>
      </c>
      <c r="H156" s="1" t="s">
        <v>29</v>
      </c>
      <c r="I156" s="1" t="s">
        <v>71</v>
      </c>
      <c r="J156" s="1">
        <v>400</v>
      </c>
      <c r="M156" s="1" t="s">
        <v>28</v>
      </c>
      <c r="N156" s="1">
        <v>0</v>
      </c>
      <c r="O156" s="1" t="s">
        <v>27</v>
      </c>
      <c r="P156" s="1">
        <v>45924</v>
      </c>
      <c r="Q156" s="1">
        <v>0.52267361111110999</v>
      </c>
      <c r="R156" s="1" t="s">
        <v>980</v>
      </c>
      <c r="S156" s="1" t="s">
        <v>979</v>
      </c>
      <c r="U156" s="1" t="s">
        <v>24</v>
      </c>
      <c r="V156" s="1">
        <v>1</v>
      </c>
      <c r="W156" s="1" t="s">
        <v>271</v>
      </c>
      <c r="X156" s="1" t="s">
        <v>141</v>
      </c>
      <c r="Y156" s="1" t="s">
        <v>32</v>
      </c>
      <c r="Z156" s="1" t="s">
        <v>32</v>
      </c>
    </row>
    <row r="157" spans="1:26" x14ac:dyDescent="0.35">
      <c r="A157" s="1">
        <v>4001123</v>
      </c>
      <c r="B157" s="1" t="s">
        <v>31</v>
      </c>
      <c r="C157" s="1">
        <v>3300</v>
      </c>
      <c r="D157" s="1" t="s">
        <v>30</v>
      </c>
      <c r="E157" s="1">
        <v>301</v>
      </c>
      <c r="F157" s="1">
        <v>0</v>
      </c>
      <c r="G157" s="1">
        <v>1000</v>
      </c>
      <c r="H157" s="1" t="s">
        <v>29</v>
      </c>
      <c r="I157" s="1" t="s">
        <v>71</v>
      </c>
      <c r="J157" s="1">
        <v>600</v>
      </c>
      <c r="M157" s="1" t="s">
        <v>28</v>
      </c>
      <c r="N157" s="1">
        <v>0</v>
      </c>
      <c r="O157" s="1" t="s">
        <v>27</v>
      </c>
      <c r="P157" s="1">
        <v>46070</v>
      </c>
      <c r="Q157" s="1">
        <v>0.32087962962963001</v>
      </c>
      <c r="R157" s="1" t="s">
        <v>978</v>
      </c>
      <c r="S157" s="1" t="s">
        <v>977</v>
      </c>
      <c r="U157" s="1" t="s">
        <v>24</v>
      </c>
      <c r="V157" s="1">
        <v>1</v>
      </c>
      <c r="W157" s="1" t="s">
        <v>271</v>
      </c>
      <c r="X157" s="1" t="s">
        <v>141</v>
      </c>
      <c r="Y157" s="1" t="s">
        <v>32</v>
      </c>
      <c r="Z157" s="1" t="s">
        <v>32</v>
      </c>
    </row>
    <row r="158" spans="1:26" x14ac:dyDescent="0.35">
      <c r="A158" s="1">
        <v>4001124</v>
      </c>
      <c r="B158" s="1" t="s">
        <v>31</v>
      </c>
      <c r="C158" s="1">
        <v>3300</v>
      </c>
      <c r="D158" s="1" t="s">
        <v>30</v>
      </c>
      <c r="E158" s="1">
        <v>301</v>
      </c>
      <c r="F158" s="1">
        <v>0</v>
      </c>
      <c r="G158" s="1">
        <v>200</v>
      </c>
      <c r="H158" s="1" t="s">
        <v>29</v>
      </c>
      <c r="I158" s="1">
        <v>20</v>
      </c>
      <c r="J158" s="1">
        <v>200</v>
      </c>
      <c r="M158" s="1" t="s">
        <v>28</v>
      </c>
      <c r="N158" s="1">
        <v>5</v>
      </c>
      <c r="O158" s="1" t="s">
        <v>27</v>
      </c>
      <c r="P158" s="1">
        <v>45238</v>
      </c>
      <c r="Q158" s="1">
        <v>0.46119212962963002</v>
      </c>
      <c r="R158" s="1">
        <v>0</v>
      </c>
      <c r="T158" s="1" t="s">
        <v>335</v>
      </c>
      <c r="U158" s="1" t="s">
        <v>24</v>
      </c>
      <c r="V158" s="1">
        <v>1</v>
      </c>
      <c r="W158" s="1" t="s">
        <v>258</v>
      </c>
      <c r="X158" s="1" t="s">
        <v>141</v>
      </c>
      <c r="Y158" s="1" t="s">
        <v>32</v>
      </c>
      <c r="Z158" s="1" t="s">
        <v>32</v>
      </c>
    </row>
    <row r="159" spans="1:26" x14ac:dyDescent="0.35">
      <c r="A159" s="1">
        <v>4001125</v>
      </c>
      <c r="B159" s="1" t="s">
        <v>31</v>
      </c>
      <c r="C159" s="1">
        <v>3300</v>
      </c>
      <c r="D159" s="1" t="s">
        <v>30</v>
      </c>
      <c r="E159" s="1">
        <v>301</v>
      </c>
      <c r="F159" s="1">
        <v>0</v>
      </c>
      <c r="G159" s="1">
        <v>500</v>
      </c>
      <c r="H159" s="1" t="s">
        <v>29</v>
      </c>
      <c r="I159" s="1" t="s">
        <v>71</v>
      </c>
      <c r="J159" s="1">
        <v>500</v>
      </c>
      <c r="M159" s="1" t="s">
        <v>28</v>
      </c>
      <c r="N159" s="1">
        <v>0</v>
      </c>
      <c r="O159" s="1" t="s">
        <v>27</v>
      </c>
      <c r="P159" s="1">
        <v>45975</v>
      </c>
      <c r="Q159" s="1">
        <v>0.28653935185184998</v>
      </c>
      <c r="R159" s="1">
        <v>0</v>
      </c>
      <c r="T159" s="1" t="s">
        <v>335</v>
      </c>
      <c r="U159" s="1" t="s">
        <v>24</v>
      </c>
      <c r="V159" s="1">
        <v>1</v>
      </c>
      <c r="W159" s="1" t="s">
        <v>271</v>
      </c>
      <c r="X159" s="1" t="s">
        <v>24</v>
      </c>
      <c r="Y159" s="1" t="s">
        <v>32</v>
      </c>
      <c r="Z159" s="1" t="s">
        <v>32</v>
      </c>
    </row>
    <row r="160" spans="1:26" x14ac:dyDescent="0.35">
      <c r="A160" s="1">
        <v>4001127</v>
      </c>
      <c r="B160" s="1" t="s">
        <v>31</v>
      </c>
      <c r="C160" s="1">
        <v>3300</v>
      </c>
      <c r="D160" s="1" t="s">
        <v>30</v>
      </c>
      <c r="E160" s="1">
        <v>301</v>
      </c>
      <c r="F160" s="1">
        <v>0</v>
      </c>
      <c r="G160" s="1">
        <v>1000</v>
      </c>
      <c r="H160" s="1" t="s">
        <v>29</v>
      </c>
      <c r="I160" s="1" t="s">
        <v>71</v>
      </c>
      <c r="J160" s="1">
        <v>1000</v>
      </c>
      <c r="M160" s="1" t="s">
        <v>28</v>
      </c>
      <c r="N160" s="1">
        <v>0</v>
      </c>
      <c r="O160" s="1" t="s">
        <v>199</v>
      </c>
      <c r="P160" s="1">
        <v>46066</v>
      </c>
      <c r="Q160" s="1">
        <v>0.60181712962962997</v>
      </c>
      <c r="R160" s="1" t="s">
        <v>976</v>
      </c>
      <c r="S160" s="1" t="s">
        <v>975</v>
      </c>
      <c r="U160" s="1" t="s">
        <v>24</v>
      </c>
      <c r="V160" s="1">
        <v>1</v>
      </c>
      <c r="W160" s="1" t="s">
        <v>258</v>
      </c>
      <c r="X160" s="1" t="s">
        <v>24</v>
      </c>
      <c r="Y160" s="1" t="s">
        <v>32</v>
      </c>
      <c r="Z160" s="1" t="s">
        <v>32</v>
      </c>
    </row>
    <row r="161" spans="1:26" x14ac:dyDescent="0.35">
      <c r="A161" s="1">
        <v>4001128</v>
      </c>
      <c r="B161" s="1" t="s">
        <v>31</v>
      </c>
      <c r="C161" s="1">
        <v>3300</v>
      </c>
      <c r="D161" s="1" t="s">
        <v>30</v>
      </c>
      <c r="E161" s="1">
        <v>301</v>
      </c>
      <c r="F161" s="1">
        <v>0</v>
      </c>
      <c r="G161" s="1">
        <v>400</v>
      </c>
      <c r="H161" s="1" t="s">
        <v>29</v>
      </c>
      <c r="I161" s="1" t="s">
        <v>247</v>
      </c>
      <c r="J161" s="1">
        <v>600</v>
      </c>
      <c r="M161" s="1" t="s">
        <v>28</v>
      </c>
      <c r="N161" s="1">
        <v>0</v>
      </c>
      <c r="O161" s="1" t="s">
        <v>389</v>
      </c>
      <c r="P161" s="1">
        <v>44463</v>
      </c>
      <c r="Q161" s="1">
        <v>0.6121875</v>
      </c>
      <c r="R161" s="1" t="s">
        <v>974</v>
      </c>
      <c r="S161" s="1" t="s">
        <v>973</v>
      </c>
      <c r="U161" s="1" t="s">
        <v>24</v>
      </c>
      <c r="V161" s="1">
        <v>1</v>
      </c>
      <c r="W161" s="1" t="s">
        <v>258</v>
      </c>
      <c r="Y161" s="1" t="s">
        <v>32</v>
      </c>
      <c r="Z161" s="1" t="s">
        <v>23</v>
      </c>
    </row>
    <row r="162" spans="1:26" x14ac:dyDescent="0.35">
      <c r="A162" s="1">
        <v>4001129</v>
      </c>
      <c r="B162" s="1" t="s">
        <v>31</v>
      </c>
      <c r="C162" s="1">
        <v>3300</v>
      </c>
      <c r="D162" s="1" t="s">
        <v>30</v>
      </c>
      <c r="E162" s="1">
        <v>301</v>
      </c>
      <c r="F162" s="1">
        <v>0</v>
      </c>
      <c r="G162" s="1">
        <v>70</v>
      </c>
      <c r="H162" s="1" t="s">
        <v>29</v>
      </c>
      <c r="I162" s="1" t="s">
        <v>71</v>
      </c>
      <c r="J162" s="1">
        <v>100</v>
      </c>
      <c r="M162" s="1" t="s">
        <v>28</v>
      </c>
      <c r="N162" s="1">
        <v>5</v>
      </c>
      <c r="O162" s="1" t="s">
        <v>27</v>
      </c>
      <c r="P162" s="1">
        <v>45924</v>
      </c>
      <c r="Q162" s="1">
        <v>0.37936342592592998</v>
      </c>
      <c r="R162" s="1" t="s">
        <v>972</v>
      </c>
      <c r="S162" s="1" t="s">
        <v>971</v>
      </c>
      <c r="T162" s="1" t="s">
        <v>335</v>
      </c>
      <c r="U162" s="1" t="s">
        <v>24</v>
      </c>
      <c r="V162" s="1">
        <v>1</v>
      </c>
      <c r="W162" s="1" t="s">
        <v>258</v>
      </c>
      <c r="Y162" s="1" t="s">
        <v>32</v>
      </c>
      <c r="Z162" s="1" t="s">
        <v>23</v>
      </c>
    </row>
    <row r="163" spans="1:26" x14ac:dyDescent="0.35">
      <c r="A163" s="1">
        <v>4001130</v>
      </c>
      <c r="B163" s="1" t="s">
        <v>31</v>
      </c>
      <c r="C163" s="1">
        <v>3300</v>
      </c>
      <c r="D163" s="1" t="s">
        <v>41</v>
      </c>
      <c r="G163" s="1">
        <v>0</v>
      </c>
      <c r="J163" s="1">
        <v>0</v>
      </c>
      <c r="M163" s="1" t="s">
        <v>28</v>
      </c>
      <c r="N163" s="1">
        <v>0</v>
      </c>
      <c r="O163" s="1" t="s">
        <v>27</v>
      </c>
      <c r="P163" s="1">
        <v>45238</v>
      </c>
      <c r="Q163" s="1">
        <v>0.46244212962962999</v>
      </c>
      <c r="R163" s="1" t="s">
        <v>970</v>
      </c>
      <c r="S163" s="1" t="s">
        <v>969</v>
      </c>
      <c r="U163" s="1" t="s">
        <v>24</v>
      </c>
      <c r="V163" s="1">
        <v>1</v>
      </c>
      <c r="W163" s="1" t="s">
        <v>258</v>
      </c>
      <c r="X163" s="1" t="s">
        <v>141</v>
      </c>
      <c r="Y163" s="1" t="s">
        <v>32</v>
      </c>
      <c r="Z163" s="1" t="s">
        <v>32</v>
      </c>
    </row>
    <row r="164" spans="1:26" x14ac:dyDescent="0.35">
      <c r="A164" s="1">
        <v>4001133</v>
      </c>
      <c r="B164" s="1" t="s">
        <v>31</v>
      </c>
      <c r="C164" s="1">
        <v>3300</v>
      </c>
      <c r="D164" s="1" t="s">
        <v>30</v>
      </c>
      <c r="E164" s="1">
        <v>301</v>
      </c>
      <c r="F164" s="1">
        <v>0</v>
      </c>
      <c r="G164" s="1">
        <v>20</v>
      </c>
      <c r="H164" s="1" t="s">
        <v>29</v>
      </c>
      <c r="I164" s="1" t="s">
        <v>71</v>
      </c>
      <c r="J164" s="1">
        <v>20</v>
      </c>
      <c r="M164" s="1" t="s">
        <v>28</v>
      </c>
      <c r="N164" s="1">
        <v>0</v>
      </c>
      <c r="O164" s="1" t="s">
        <v>27</v>
      </c>
      <c r="P164" s="1">
        <v>46055</v>
      </c>
      <c r="Q164" s="1">
        <v>0.47325231481481</v>
      </c>
      <c r="R164" s="1" t="s">
        <v>968</v>
      </c>
      <c r="S164" s="1" t="s">
        <v>967</v>
      </c>
      <c r="U164" s="1" t="s">
        <v>24</v>
      </c>
      <c r="V164" s="1">
        <v>1</v>
      </c>
      <c r="W164" s="1" t="s">
        <v>258</v>
      </c>
      <c r="X164" s="1" t="s">
        <v>141</v>
      </c>
      <c r="Y164" s="1" t="s">
        <v>32</v>
      </c>
      <c r="Z164" s="1" t="s">
        <v>32</v>
      </c>
    </row>
    <row r="165" spans="1:26" x14ac:dyDescent="0.35">
      <c r="A165" s="1">
        <v>4001134</v>
      </c>
      <c r="B165" s="1" t="s">
        <v>31</v>
      </c>
      <c r="C165" s="1">
        <v>3300</v>
      </c>
      <c r="D165" s="1" t="s">
        <v>30</v>
      </c>
      <c r="E165" s="1">
        <v>301</v>
      </c>
      <c r="F165" s="1">
        <v>0</v>
      </c>
      <c r="G165" s="1">
        <v>40</v>
      </c>
      <c r="H165" s="1" t="s">
        <v>29</v>
      </c>
      <c r="I165" s="1" t="s">
        <v>71</v>
      </c>
      <c r="J165" s="1">
        <v>40</v>
      </c>
      <c r="M165" s="1" t="s">
        <v>28</v>
      </c>
      <c r="N165" s="1">
        <v>0</v>
      </c>
      <c r="O165" s="1" t="s">
        <v>132</v>
      </c>
      <c r="P165" s="1">
        <v>46036</v>
      </c>
      <c r="Q165" s="1">
        <v>0.42038194444443999</v>
      </c>
      <c r="R165" s="1" t="s">
        <v>966</v>
      </c>
      <c r="S165" s="1" t="s">
        <v>965</v>
      </c>
      <c r="U165" s="1" t="s">
        <v>24</v>
      </c>
      <c r="V165" s="1">
        <v>1</v>
      </c>
      <c r="W165" s="1" t="s">
        <v>258</v>
      </c>
      <c r="X165" s="1" t="s">
        <v>141</v>
      </c>
      <c r="Y165" s="1" t="s">
        <v>32</v>
      </c>
      <c r="Z165" s="1" t="s">
        <v>32</v>
      </c>
    </row>
    <row r="166" spans="1:26" x14ac:dyDescent="0.35">
      <c r="A166" s="1">
        <v>4001135</v>
      </c>
      <c r="B166" s="1" t="s">
        <v>31</v>
      </c>
      <c r="C166" s="1">
        <v>3300</v>
      </c>
      <c r="D166" s="1" t="s">
        <v>30</v>
      </c>
      <c r="E166" s="1">
        <v>301</v>
      </c>
      <c r="F166" s="1">
        <v>0</v>
      </c>
      <c r="G166" s="1">
        <v>100</v>
      </c>
      <c r="H166" s="1" t="s">
        <v>29</v>
      </c>
      <c r="I166" s="1" t="s">
        <v>71</v>
      </c>
      <c r="J166" s="1">
        <v>100</v>
      </c>
      <c r="M166" s="1" t="s">
        <v>28</v>
      </c>
      <c r="N166" s="1">
        <v>0</v>
      </c>
      <c r="O166" s="1" t="s">
        <v>132</v>
      </c>
      <c r="P166" s="1">
        <v>46036</v>
      </c>
      <c r="Q166" s="1">
        <v>0.42038194444443999</v>
      </c>
      <c r="R166" s="1" t="s">
        <v>964</v>
      </c>
      <c r="S166" s="1" t="s">
        <v>963</v>
      </c>
      <c r="U166" s="1" t="s">
        <v>24</v>
      </c>
      <c r="V166" s="1">
        <v>1</v>
      </c>
      <c r="W166" s="1" t="s">
        <v>258</v>
      </c>
      <c r="X166" s="1" t="s">
        <v>141</v>
      </c>
      <c r="Y166" s="1" t="s">
        <v>32</v>
      </c>
      <c r="Z166" s="1" t="s">
        <v>32</v>
      </c>
    </row>
    <row r="167" spans="1:26" x14ac:dyDescent="0.35">
      <c r="A167" s="1">
        <v>4001136</v>
      </c>
      <c r="B167" s="1" t="s">
        <v>31</v>
      </c>
      <c r="C167" s="1">
        <v>3300</v>
      </c>
      <c r="D167" s="1" t="s">
        <v>30</v>
      </c>
      <c r="E167" s="1">
        <v>301</v>
      </c>
      <c r="F167" s="1">
        <v>0</v>
      </c>
      <c r="G167" s="1">
        <v>200</v>
      </c>
      <c r="H167" s="1" t="s">
        <v>29</v>
      </c>
      <c r="I167" s="1" t="s">
        <v>71</v>
      </c>
      <c r="J167" s="1">
        <v>100</v>
      </c>
      <c r="M167" s="1" t="s">
        <v>28</v>
      </c>
      <c r="N167" s="1">
        <v>0</v>
      </c>
      <c r="O167" s="1" t="s">
        <v>132</v>
      </c>
      <c r="P167" s="1">
        <v>46036</v>
      </c>
      <c r="Q167" s="1">
        <v>0.42037037037037001</v>
      </c>
      <c r="R167" s="1" t="s">
        <v>962</v>
      </c>
      <c r="S167" s="1" t="s">
        <v>961</v>
      </c>
      <c r="U167" s="1" t="s">
        <v>24</v>
      </c>
      <c r="V167" s="1">
        <v>1</v>
      </c>
      <c r="W167" s="1" t="s">
        <v>258</v>
      </c>
      <c r="X167" s="1" t="s">
        <v>141</v>
      </c>
      <c r="Y167" s="1" t="s">
        <v>32</v>
      </c>
      <c r="Z167" s="1" t="s">
        <v>32</v>
      </c>
    </row>
    <row r="168" spans="1:26" x14ac:dyDescent="0.35">
      <c r="A168" s="1">
        <v>4001137</v>
      </c>
      <c r="B168" s="1" t="s">
        <v>31</v>
      </c>
      <c r="C168" s="1">
        <v>3300</v>
      </c>
      <c r="D168" s="1" t="s">
        <v>30</v>
      </c>
      <c r="E168" s="1">
        <v>301</v>
      </c>
      <c r="F168" s="1">
        <v>0</v>
      </c>
      <c r="G168" s="1">
        <v>300</v>
      </c>
      <c r="H168" s="1" t="s">
        <v>29</v>
      </c>
      <c r="I168" s="1" t="s">
        <v>71</v>
      </c>
      <c r="J168" s="1">
        <v>100</v>
      </c>
      <c r="M168" s="1" t="s">
        <v>28</v>
      </c>
      <c r="N168" s="1">
        <v>0</v>
      </c>
      <c r="O168" s="1" t="s">
        <v>132</v>
      </c>
      <c r="P168" s="1">
        <v>46036</v>
      </c>
      <c r="Q168" s="1">
        <v>0.42037037037037001</v>
      </c>
      <c r="R168" s="1" t="s">
        <v>960</v>
      </c>
      <c r="S168" s="1" t="s">
        <v>959</v>
      </c>
      <c r="U168" s="1" t="s">
        <v>24</v>
      </c>
      <c r="V168" s="1">
        <v>1</v>
      </c>
      <c r="W168" s="1" t="s">
        <v>258</v>
      </c>
      <c r="X168" s="1" t="s">
        <v>141</v>
      </c>
      <c r="Y168" s="1" t="s">
        <v>32</v>
      </c>
      <c r="Z168" s="1" t="s">
        <v>32</v>
      </c>
    </row>
    <row r="169" spans="1:26" x14ac:dyDescent="0.35">
      <c r="A169" s="1">
        <v>4001138</v>
      </c>
      <c r="B169" s="1" t="s">
        <v>31</v>
      </c>
      <c r="C169" s="1">
        <v>3300</v>
      </c>
      <c r="D169" s="1" t="s">
        <v>30</v>
      </c>
      <c r="E169" s="1">
        <v>301</v>
      </c>
      <c r="F169" s="1">
        <v>0</v>
      </c>
      <c r="G169" s="1">
        <v>300</v>
      </c>
      <c r="H169" s="1" t="s">
        <v>29</v>
      </c>
      <c r="I169" s="1" t="s">
        <v>71</v>
      </c>
      <c r="J169" s="1">
        <v>100</v>
      </c>
      <c r="M169" s="1" t="s">
        <v>28</v>
      </c>
      <c r="N169" s="1">
        <v>0</v>
      </c>
      <c r="O169" s="1" t="s">
        <v>132</v>
      </c>
      <c r="P169" s="1">
        <v>46036</v>
      </c>
      <c r="Q169" s="1">
        <v>0.42037037037037001</v>
      </c>
      <c r="R169" s="1" t="s">
        <v>958</v>
      </c>
      <c r="S169" s="1" t="s">
        <v>957</v>
      </c>
      <c r="U169" s="1" t="s">
        <v>24</v>
      </c>
      <c r="V169" s="1">
        <v>1</v>
      </c>
      <c r="W169" s="1" t="s">
        <v>258</v>
      </c>
      <c r="Y169" s="1" t="s">
        <v>32</v>
      </c>
      <c r="Z169" s="1" t="s">
        <v>23</v>
      </c>
    </row>
    <row r="170" spans="1:26" x14ac:dyDescent="0.35">
      <c r="A170" s="1">
        <v>4001160</v>
      </c>
      <c r="B170" s="1" t="s">
        <v>31</v>
      </c>
      <c r="C170" s="1">
        <v>3300</v>
      </c>
      <c r="D170" s="1" t="s">
        <v>30</v>
      </c>
      <c r="E170" s="1">
        <v>301</v>
      </c>
      <c r="F170" s="1">
        <v>0</v>
      </c>
      <c r="G170" s="1">
        <v>400</v>
      </c>
      <c r="H170" s="1" t="s">
        <v>29</v>
      </c>
      <c r="I170" s="1" t="s">
        <v>71</v>
      </c>
      <c r="J170" s="1">
        <v>360</v>
      </c>
      <c r="M170" s="1" t="s">
        <v>28</v>
      </c>
      <c r="N170" s="1">
        <v>5</v>
      </c>
      <c r="O170" s="1" t="s">
        <v>27</v>
      </c>
      <c r="P170" s="1">
        <v>45924</v>
      </c>
      <c r="Q170" s="1">
        <v>0.52325231481481005</v>
      </c>
      <c r="R170" s="1">
        <v>0</v>
      </c>
      <c r="T170" s="1" t="s">
        <v>335</v>
      </c>
      <c r="U170" s="1" t="s">
        <v>24</v>
      </c>
      <c r="V170" s="1">
        <v>1</v>
      </c>
      <c r="W170" s="1" t="s">
        <v>258</v>
      </c>
      <c r="X170" s="1" t="s">
        <v>141</v>
      </c>
      <c r="Y170" s="1" t="s">
        <v>32</v>
      </c>
      <c r="Z170" s="1" t="s">
        <v>32</v>
      </c>
    </row>
    <row r="171" spans="1:26" x14ac:dyDescent="0.35">
      <c r="A171" s="1">
        <v>4001161</v>
      </c>
      <c r="B171" s="1" t="s">
        <v>31</v>
      </c>
      <c r="C171" s="1">
        <v>3300</v>
      </c>
      <c r="D171" s="1" t="s">
        <v>41</v>
      </c>
      <c r="E171" s="1">
        <v>301</v>
      </c>
      <c r="F171" s="1">
        <v>0</v>
      </c>
      <c r="G171" s="1">
        <v>0</v>
      </c>
      <c r="J171" s="1">
        <v>0</v>
      </c>
      <c r="K171" s="1" t="s">
        <v>24</v>
      </c>
      <c r="M171" s="1" t="s">
        <v>28</v>
      </c>
      <c r="N171" s="1">
        <v>0</v>
      </c>
      <c r="O171" s="1" t="s">
        <v>277</v>
      </c>
      <c r="P171" s="1">
        <v>44894</v>
      </c>
      <c r="Q171" s="1">
        <v>0.45696759259259001</v>
      </c>
      <c r="R171" s="1" t="s">
        <v>956</v>
      </c>
      <c r="S171" s="1" t="s">
        <v>955</v>
      </c>
      <c r="W171" s="1" t="s">
        <v>258</v>
      </c>
      <c r="Y171" s="1" t="s">
        <v>32</v>
      </c>
      <c r="Z171" s="1" t="s">
        <v>23</v>
      </c>
    </row>
    <row r="172" spans="1:26" x14ac:dyDescent="0.35">
      <c r="A172" s="1">
        <v>4001194</v>
      </c>
      <c r="B172" s="1" t="s">
        <v>31</v>
      </c>
      <c r="C172" s="1">
        <v>3300</v>
      </c>
      <c r="D172" s="1" t="s">
        <v>41</v>
      </c>
      <c r="E172" s="1">
        <v>301</v>
      </c>
      <c r="F172" s="1">
        <v>0</v>
      </c>
      <c r="G172" s="1">
        <v>1</v>
      </c>
      <c r="H172" s="1" t="s">
        <v>29</v>
      </c>
      <c r="J172" s="1">
        <v>1</v>
      </c>
      <c r="K172" s="1" t="s">
        <v>24</v>
      </c>
      <c r="M172" s="1" t="s">
        <v>28</v>
      </c>
      <c r="N172" s="1">
        <v>0</v>
      </c>
      <c r="O172" s="1" t="s">
        <v>27</v>
      </c>
      <c r="P172" s="1">
        <v>45520</v>
      </c>
      <c r="Q172" s="1">
        <v>0.28851851851852001</v>
      </c>
      <c r="R172" s="1">
        <v>0</v>
      </c>
      <c r="T172" s="1" t="s">
        <v>335</v>
      </c>
      <c r="W172" s="1" t="s">
        <v>258</v>
      </c>
      <c r="Y172" s="1" t="s">
        <v>32</v>
      </c>
      <c r="Z172" s="1" t="s">
        <v>23</v>
      </c>
    </row>
    <row r="173" spans="1:26" x14ac:dyDescent="0.35">
      <c r="A173" s="1">
        <v>4001207</v>
      </c>
      <c r="B173" s="1" t="s">
        <v>31</v>
      </c>
      <c r="C173" s="1">
        <v>3300</v>
      </c>
      <c r="D173" s="1" t="s">
        <v>30</v>
      </c>
      <c r="E173" s="1">
        <v>301</v>
      </c>
      <c r="F173" s="1">
        <v>0</v>
      </c>
      <c r="G173" s="1">
        <v>250</v>
      </c>
      <c r="H173" s="1" t="s">
        <v>29</v>
      </c>
      <c r="I173" s="1" t="s">
        <v>247</v>
      </c>
      <c r="J173" s="1">
        <v>150</v>
      </c>
      <c r="M173" s="1" t="s">
        <v>28</v>
      </c>
      <c r="N173" s="1">
        <v>0</v>
      </c>
      <c r="O173" s="1" t="s">
        <v>166</v>
      </c>
      <c r="P173" s="1">
        <v>45012</v>
      </c>
      <c r="Q173" s="1">
        <v>0.35863425925926001</v>
      </c>
      <c r="R173" s="1" t="s">
        <v>954</v>
      </c>
      <c r="S173" s="1" t="s">
        <v>953</v>
      </c>
      <c r="T173" s="1" t="s">
        <v>335</v>
      </c>
      <c r="U173" s="1" t="s">
        <v>24</v>
      </c>
      <c r="V173" s="1">
        <v>1</v>
      </c>
      <c r="W173" s="1" t="s">
        <v>289</v>
      </c>
      <c r="Y173" s="1" t="s">
        <v>32</v>
      </c>
      <c r="Z173" s="1" t="s">
        <v>23</v>
      </c>
    </row>
    <row r="174" spans="1:26" x14ac:dyDescent="0.35">
      <c r="A174" s="1">
        <v>4001208</v>
      </c>
      <c r="B174" s="1" t="s">
        <v>31</v>
      </c>
      <c r="C174" s="1">
        <v>3300</v>
      </c>
      <c r="D174" s="1" t="s">
        <v>30</v>
      </c>
      <c r="E174" s="1">
        <v>301</v>
      </c>
      <c r="F174" s="1">
        <v>0</v>
      </c>
      <c r="G174" s="1">
        <v>150</v>
      </c>
      <c r="H174" s="1" t="s">
        <v>29</v>
      </c>
      <c r="I174" s="1" t="s">
        <v>247</v>
      </c>
      <c r="J174" s="1">
        <v>50</v>
      </c>
      <c r="M174" s="1" t="s">
        <v>28</v>
      </c>
      <c r="N174" s="1">
        <v>5</v>
      </c>
      <c r="O174" s="1" t="s">
        <v>166</v>
      </c>
      <c r="P174" s="1">
        <v>45037</v>
      </c>
      <c r="Q174" s="1">
        <v>0.31996527777778</v>
      </c>
      <c r="R174" s="1">
        <v>0</v>
      </c>
      <c r="T174" s="1" t="s">
        <v>335</v>
      </c>
      <c r="U174" s="1" t="s">
        <v>24</v>
      </c>
      <c r="V174" s="1">
        <v>1</v>
      </c>
      <c r="W174" s="1" t="s">
        <v>289</v>
      </c>
      <c r="Y174" s="1" t="s">
        <v>32</v>
      </c>
      <c r="Z174" s="1" t="s">
        <v>23</v>
      </c>
    </row>
    <row r="175" spans="1:26" x14ac:dyDescent="0.35">
      <c r="A175" s="1">
        <v>4001211</v>
      </c>
      <c r="B175" s="1" t="s">
        <v>31</v>
      </c>
      <c r="C175" s="1">
        <v>3300</v>
      </c>
      <c r="D175" s="1" t="s">
        <v>30</v>
      </c>
      <c r="E175" s="1">
        <v>301</v>
      </c>
      <c r="F175" s="1">
        <v>0</v>
      </c>
      <c r="G175" s="1">
        <v>5000</v>
      </c>
      <c r="H175" s="1" t="s">
        <v>29</v>
      </c>
      <c r="I175" s="1" t="s">
        <v>71</v>
      </c>
      <c r="J175" s="1">
        <v>5600</v>
      </c>
      <c r="M175" s="1" t="s">
        <v>28</v>
      </c>
      <c r="N175" s="1">
        <v>0</v>
      </c>
      <c r="O175" s="1" t="s">
        <v>27</v>
      </c>
      <c r="P175" s="1">
        <v>45924</v>
      </c>
      <c r="Q175" s="1">
        <v>0.53848379629630005</v>
      </c>
      <c r="R175" s="1">
        <v>0</v>
      </c>
      <c r="T175" s="1" t="s">
        <v>335</v>
      </c>
      <c r="U175" s="1" t="s">
        <v>24</v>
      </c>
      <c r="V175" s="1">
        <v>1</v>
      </c>
      <c r="W175" s="1" t="s">
        <v>258</v>
      </c>
      <c r="X175" s="1" t="s">
        <v>141</v>
      </c>
      <c r="Y175" s="1" t="s">
        <v>32</v>
      </c>
      <c r="Z175" s="1" t="s">
        <v>32</v>
      </c>
    </row>
    <row r="176" spans="1:26" x14ac:dyDescent="0.35">
      <c r="A176" s="1">
        <v>4001215</v>
      </c>
      <c r="B176" s="1" t="s">
        <v>31</v>
      </c>
      <c r="C176" s="1">
        <v>3300</v>
      </c>
      <c r="D176" s="1" t="s">
        <v>30</v>
      </c>
      <c r="E176" s="1">
        <v>301</v>
      </c>
      <c r="F176" s="1">
        <v>0</v>
      </c>
      <c r="G176" s="1">
        <v>100</v>
      </c>
      <c r="H176" s="1" t="s">
        <v>29</v>
      </c>
      <c r="I176" s="1">
        <v>20</v>
      </c>
      <c r="J176" s="1">
        <v>35</v>
      </c>
      <c r="M176" s="1" t="s">
        <v>28</v>
      </c>
      <c r="N176" s="1">
        <v>5</v>
      </c>
      <c r="O176" s="1" t="s">
        <v>277</v>
      </c>
      <c r="P176" s="1">
        <v>44816</v>
      </c>
      <c r="Q176" s="1">
        <v>0.52634259259258998</v>
      </c>
      <c r="R176" s="1">
        <v>0</v>
      </c>
      <c r="T176" s="1" t="s">
        <v>335</v>
      </c>
      <c r="U176" s="1" t="s">
        <v>24</v>
      </c>
      <c r="V176" s="1">
        <v>1</v>
      </c>
      <c r="W176" s="1" t="s">
        <v>258</v>
      </c>
      <c r="Y176" s="1" t="s">
        <v>32</v>
      </c>
      <c r="Z176" s="1" t="s">
        <v>23</v>
      </c>
    </row>
    <row r="177" spans="1:26" x14ac:dyDescent="0.35">
      <c r="A177" s="1">
        <v>4001216</v>
      </c>
      <c r="B177" s="1" t="s">
        <v>31</v>
      </c>
      <c r="C177" s="1">
        <v>3300</v>
      </c>
      <c r="D177" s="1" t="s">
        <v>41</v>
      </c>
      <c r="E177" s="1">
        <v>301</v>
      </c>
      <c r="F177" s="1">
        <v>0</v>
      </c>
      <c r="G177" s="1">
        <v>100</v>
      </c>
      <c r="H177" s="1" t="s">
        <v>29</v>
      </c>
      <c r="I177" s="1">
        <v>20</v>
      </c>
      <c r="J177" s="1">
        <v>160</v>
      </c>
      <c r="M177" s="1" t="s">
        <v>28</v>
      </c>
      <c r="N177" s="1">
        <v>5</v>
      </c>
      <c r="O177" s="1" t="s">
        <v>530</v>
      </c>
      <c r="P177" s="1">
        <v>45776</v>
      </c>
      <c r="Q177" s="1">
        <v>0.41203703703703998</v>
      </c>
      <c r="R177" s="1" t="s">
        <v>952</v>
      </c>
      <c r="S177" s="1" t="s">
        <v>951</v>
      </c>
      <c r="T177" s="1" t="s">
        <v>335</v>
      </c>
      <c r="U177" s="1" t="s">
        <v>24</v>
      </c>
      <c r="V177" s="1">
        <v>1</v>
      </c>
      <c r="W177" s="1" t="s">
        <v>258</v>
      </c>
      <c r="X177" s="1" t="s">
        <v>24</v>
      </c>
      <c r="Y177" s="1" t="s">
        <v>32</v>
      </c>
      <c r="Z177" s="1" t="s">
        <v>32</v>
      </c>
    </row>
    <row r="178" spans="1:26" x14ac:dyDescent="0.35">
      <c r="A178" s="1">
        <v>4001221</v>
      </c>
      <c r="B178" s="1" t="s">
        <v>31</v>
      </c>
      <c r="C178" s="1">
        <v>3300</v>
      </c>
      <c r="D178" s="1" t="s">
        <v>30</v>
      </c>
      <c r="E178" s="1">
        <v>301</v>
      </c>
      <c r="F178" s="1">
        <v>0</v>
      </c>
      <c r="G178" s="1">
        <v>600</v>
      </c>
      <c r="H178" s="1" t="s">
        <v>29</v>
      </c>
      <c r="I178" s="1">
        <v>20</v>
      </c>
      <c r="J178" s="1">
        <v>640</v>
      </c>
      <c r="M178" s="1" t="s">
        <v>28</v>
      </c>
      <c r="N178" s="1">
        <v>5</v>
      </c>
      <c r="O178" s="1" t="s">
        <v>199</v>
      </c>
      <c r="P178" s="1">
        <v>46083</v>
      </c>
      <c r="Q178" s="1">
        <v>0.42894675925926001</v>
      </c>
      <c r="R178" s="1">
        <v>0</v>
      </c>
      <c r="T178" s="1" t="s">
        <v>335</v>
      </c>
      <c r="U178" s="1" t="s">
        <v>24</v>
      </c>
      <c r="V178" s="1">
        <v>1</v>
      </c>
      <c r="W178" s="1" t="s">
        <v>258</v>
      </c>
      <c r="Y178" s="1" t="s">
        <v>32</v>
      </c>
      <c r="Z178" s="1" t="s">
        <v>23</v>
      </c>
    </row>
    <row r="179" spans="1:26" x14ac:dyDescent="0.35">
      <c r="A179" s="1">
        <v>4001225</v>
      </c>
      <c r="B179" s="1" t="s">
        <v>31</v>
      </c>
      <c r="C179" s="1">
        <v>3300</v>
      </c>
      <c r="D179" s="1" t="s">
        <v>30</v>
      </c>
      <c r="E179" s="1">
        <v>301</v>
      </c>
      <c r="F179" s="1">
        <v>0</v>
      </c>
      <c r="G179" s="1">
        <v>400</v>
      </c>
      <c r="H179" s="1" t="s">
        <v>29</v>
      </c>
      <c r="I179" s="1">
        <v>20</v>
      </c>
      <c r="J179" s="1">
        <v>600</v>
      </c>
      <c r="M179" s="1" t="s">
        <v>28</v>
      </c>
      <c r="N179" s="1">
        <v>5</v>
      </c>
      <c r="O179" s="1" t="s">
        <v>199</v>
      </c>
      <c r="P179" s="1">
        <v>45400</v>
      </c>
      <c r="Q179" s="1">
        <v>0.53429398148148</v>
      </c>
      <c r="R179" s="1">
        <v>0</v>
      </c>
      <c r="T179" s="1" t="s">
        <v>335</v>
      </c>
      <c r="U179" s="1" t="s">
        <v>24</v>
      </c>
      <c r="V179" s="1">
        <v>1</v>
      </c>
      <c r="W179" s="1" t="s">
        <v>258</v>
      </c>
      <c r="X179" s="1" t="s">
        <v>24</v>
      </c>
      <c r="Y179" s="1" t="s">
        <v>32</v>
      </c>
      <c r="Z179" s="1" t="s">
        <v>32</v>
      </c>
    </row>
    <row r="180" spans="1:26" x14ac:dyDescent="0.35">
      <c r="A180" s="1">
        <v>4001233</v>
      </c>
      <c r="B180" s="1" t="s">
        <v>31</v>
      </c>
      <c r="C180" s="1">
        <v>3300</v>
      </c>
      <c r="D180" s="1" t="s">
        <v>30</v>
      </c>
      <c r="E180" s="1">
        <v>301</v>
      </c>
      <c r="F180" s="1">
        <v>0</v>
      </c>
      <c r="G180" s="1">
        <v>500</v>
      </c>
      <c r="H180" s="1" t="s">
        <v>29</v>
      </c>
      <c r="I180" s="1" t="s">
        <v>71</v>
      </c>
      <c r="J180" s="1">
        <v>500</v>
      </c>
      <c r="M180" s="1" t="s">
        <v>28</v>
      </c>
      <c r="N180" s="1">
        <v>0</v>
      </c>
      <c r="O180" s="1" t="s">
        <v>166</v>
      </c>
      <c r="P180" s="1">
        <v>45750</v>
      </c>
      <c r="Q180" s="1">
        <v>0.30409722222222002</v>
      </c>
      <c r="R180" s="1">
        <v>0</v>
      </c>
      <c r="U180" s="1" t="s">
        <v>24</v>
      </c>
      <c r="V180" s="1">
        <v>1</v>
      </c>
      <c r="W180" s="1" t="s">
        <v>289</v>
      </c>
      <c r="X180" s="1" t="s">
        <v>24</v>
      </c>
      <c r="Y180" s="1" t="s">
        <v>32</v>
      </c>
      <c r="Z180" s="1" t="s">
        <v>32</v>
      </c>
    </row>
    <row r="181" spans="1:26" x14ac:dyDescent="0.35">
      <c r="A181" s="1">
        <v>4001237</v>
      </c>
      <c r="B181" s="1" t="s">
        <v>31</v>
      </c>
      <c r="C181" s="1">
        <v>3300</v>
      </c>
      <c r="D181" s="1" t="s">
        <v>30</v>
      </c>
      <c r="E181" s="1">
        <v>301</v>
      </c>
      <c r="F181" s="1">
        <v>0</v>
      </c>
      <c r="G181" s="1">
        <v>50</v>
      </c>
      <c r="H181" s="1" t="s">
        <v>29</v>
      </c>
      <c r="I181" s="1" t="s">
        <v>71</v>
      </c>
      <c r="J181" s="1">
        <v>28</v>
      </c>
      <c r="M181" s="1" t="s">
        <v>28</v>
      </c>
      <c r="N181" s="1">
        <v>5</v>
      </c>
      <c r="O181" s="1" t="s">
        <v>132</v>
      </c>
      <c r="P181" s="1">
        <v>46036</v>
      </c>
      <c r="Q181" s="1">
        <v>0.42037037037037001</v>
      </c>
      <c r="R181" s="1" t="s">
        <v>950</v>
      </c>
      <c r="S181" s="1" t="s">
        <v>949</v>
      </c>
      <c r="T181" s="1" t="s">
        <v>335</v>
      </c>
      <c r="U181" s="1" t="s">
        <v>24</v>
      </c>
      <c r="V181" s="1">
        <v>1</v>
      </c>
      <c r="W181" s="1" t="s">
        <v>258</v>
      </c>
      <c r="X181" s="1" t="s">
        <v>141</v>
      </c>
      <c r="Y181" s="1" t="s">
        <v>32</v>
      </c>
      <c r="Z181" s="1" t="s">
        <v>32</v>
      </c>
    </row>
    <row r="182" spans="1:26" x14ac:dyDescent="0.35">
      <c r="A182" s="1">
        <v>4001241</v>
      </c>
      <c r="B182" s="1" t="s">
        <v>31</v>
      </c>
      <c r="C182" s="1">
        <v>3300</v>
      </c>
      <c r="D182" s="1" t="s">
        <v>30</v>
      </c>
      <c r="E182" s="1">
        <v>301</v>
      </c>
      <c r="F182" s="1">
        <v>0</v>
      </c>
      <c r="G182" s="1">
        <v>2000</v>
      </c>
      <c r="H182" s="1" t="s">
        <v>29</v>
      </c>
      <c r="I182" s="1">
        <v>20</v>
      </c>
      <c r="J182" s="1">
        <v>2000</v>
      </c>
      <c r="M182" s="1" t="s">
        <v>28</v>
      </c>
      <c r="N182" s="1">
        <v>5</v>
      </c>
      <c r="O182" s="1" t="s">
        <v>277</v>
      </c>
      <c r="P182" s="1">
        <v>44804</v>
      </c>
      <c r="Q182" s="1">
        <v>0.44751157407407</v>
      </c>
      <c r="R182" s="1">
        <v>0</v>
      </c>
      <c r="T182" s="1" t="s">
        <v>335</v>
      </c>
      <c r="U182" s="1" t="s">
        <v>24</v>
      </c>
      <c r="V182" s="1">
        <v>1</v>
      </c>
      <c r="W182" s="1" t="s">
        <v>258</v>
      </c>
      <c r="Y182" s="1" t="s">
        <v>32</v>
      </c>
      <c r="Z182" s="1" t="s">
        <v>23</v>
      </c>
    </row>
    <row r="183" spans="1:26" x14ac:dyDescent="0.35">
      <c r="A183" s="1">
        <v>4001257</v>
      </c>
      <c r="B183" s="1" t="s">
        <v>31</v>
      </c>
      <c r="C183" s="1">
        <v>3300</v>
      </c>
      <c r="D183" s="1" t="s">
        <v>30</v>
      </c>
      <c r="E183" s="1">
        <v>301</v>
      </c>
      <c r="F183" s="1">
        <v>0</v>
      </c>
      <c r="G183" s="1">
        <v>300</v>
      </c>
      <c r="H183" s="1" t="s">
        <v>29</v>
      </c>
      <c r="I183" s="1" t="s">
        <v>71</v>
      </c>
      <c r="J183" s="1">
        <v>400</v>
      </c>
      <c r="M183" s="1" t="s">
        <v>28</v>
      </c>
      <c r="N183" s="1">
        <v>0</v>
      </c>
      <c r="O183" s="1" t="s">
        <v>27</v>
      </c>
      <c r="P183" s="1">
        <v>45807</v>
      </c>
      <c r="Q183" s="1">
        <v>0.27752314814814999</v>
      </c>
      <c r="R183" s="1">
        <v>0</v>
      </c>
      <c r="U183" s="1" t="s">
        <v>24</v>
      </c>
      <c r="V183" s="1">
        <v>1</v>
      </c>
      <c r="W183" s="1" t="s">
        <v>271</v>
      </c>
      <c r="X183" s="1" t="s">
        <v>24</v>
      </c>
      <c r="Y183" s="1" t="s">
        <v>32</v>
      </c>
      <c r="Z183" s="1" t="s">
        <v>32</v>
      </c>
    </row>
    <row r="184" spans="1:26" x14ac:dyDescent="0.35">
      <c r="A184" s="1">
        <v>4001264</v>
      </c>
      <c r="B184" s="1" t="s">
        <v>31</v>
      </c>
      <c r="C184" s="1">
        <v>3300</v>
      </c>
      <c r="D184" s="1" t="s">
        <v>30</v>
      </c>
      <c r="E184" s="1">
        <v>301</v>
      </c>
      <c r="F184" s="1">
        <v>0</v>
      </c>
      <c r="G184" s="1">
        <v>400</v>
      </c>
      <c r="H184" s="1" t="s">
        <v>29</v>
      </c>
      <c r="I184" s="1" t="s">
        <v>71</v>
      </c>
      <c r="J184" s="1">
        <v>400</v>
      </c>
      <c r="M184" s="1" t="s">
        <v>28</v>
      </c>
      <c r="N184" s="1">
        <v>0</v>
      </c>
      <c r="O184" s="1" t="s">
        <v>27</v>
      </c>
      <c r="P184" s="1">
        <v>45924</v>
      </c>
      <c r="Q184" s="1">
        <v>0.52567129629630005</v>
      </c>
      <c r="R184" s="1" t="s">
        <v>948</v>
      </c>
      <c r="S184" s="1" t="s">
        <v>947</v>
      </c>
      <c r="U184" s="1" t="s">
        <v>24</v>
      </c>
      <c r="V184" s="1">
        <v>1</v>
      </c>
      <c r="W184" s="1" t="s">
        <v>271</v>
      </c>
      <c r="X184" s="1" t="s">
        <v>141</v>
      </c>
      <c r="Y184" s="1" t="s">
        <v>32</v>
      </c>
      <c r="Z184" s="1" t="s">
        <v>32</v>
      </c>
    </row>
    <row r="185" spans="1:26" x14ac:dyDescent="0.35">
      <c r="A185" s="1">
        <v>4001277</v>
      </c>
      <c r="B185" s="1" t="s">
        <v>31</v>
      </c>
      <c r="C185" s="1">
        <v>3300</v>
      </c>
      <c r="D185" s="1" t="s">
        <v>30</v>
      </c>
      <c r="E185" s="1">
        <v>301</v>
      </c>
      <c r="F185" s="1">
        <v>0</v>
      </c>
      <c r="G185" s="1">
        <v>360</v>
      </c>
      <c r="H185" s="1" t="s">
        <v>29</v>
      </c>
      <c r="I185" s="1" t="s">
        <v>247</v>
      </c>
      <c r="J185" s="1">
        <v>360</v>
      </c>
      <c r="M185" s="1" t="s">
        <v>28</v>
      </c>
      <c r="N185" s="1">
        <v>0</v>
      </c>
      <c r="O185" s="1" t="s">
        <v>166</v>
      </c>
      <c r="P185" s="1">
        <v>45034</v>
      </c>
      <c r="Q185" s="1">
        <v>0.59807870370369998</v>
      </c>
      <c r="R185" s="1">
        <v>0</v>
      </c>
      <c r="T185" s="1" t="s">
        <v>335</v>
      </c>
      <c r="U185" s="1" t="s">
        <v>24</v>
      </c>
      <c r="V185" s="1">
        <v>1</v>
      </c>
      <c r="W185" s="1" t="s">
        <v>258</v>
      </c>
      <c r="Y185" s="1" t="s">
        <v>32</v>
      </c>
      <c r="Z185" s="1" t="s">
        <v>23</v>
      </c>
    </row>
    <row r="186" spans="1:26" x14ac:dyDescent="0.35">
      <c r="A186" s="1">
        <v>4001278</v>
      </c>
      <c r="B186" s="1" t="s">
        <v>31</v>
      </c>
      <c r="C186" s="1">
        <v>3300</v>
      </c>
      <c r="D186" s="1" t="s">
        <v>30</v>
      </c>
      <c r="E186" s="1">
        <v>301</v>
      </c>
      <c r="F186" s="1">
        <v>0</v>
      </c>
      <c r="G186" s="1">
        <v>600</v>
      </c>
      <c r="H186" s="1" t="s">
        <v>29</v>
      </c>
      <c r="I186" s="1" t="s">
        <v>247</v>
      </c>
      <c r="J186" s="1">
        <v>840</v>
      </c>
      <c r="M186" s="1" t="s">
        <v>28</v>
      </c>
      <c r="N186" s="1">
        <v>0</v>
      </c>
      <c r="O186" s="1" t="s">
        <v>27</v>
      </c>
      <c r="P186" s="1">
        <v>46065</v>
      </c>
      <c r="Q186" s="1">
        <v>0.47565972222222003</v>
      </c>
      <c r="R186" s="1">
        <v>0</v>
      </c>
      <c r="U186" s="1" t="s">
        <v>24</v>
      </c>
      <c r="V186" s="1">
        <v>1</v>
      </c>
      <c r="W186" s="1" t="s">
        <v>258</v>
      </c>
      <c r="Y186" s="1" t="s">
        <v>32</v>
      </c>
      <c r="Z186" s="1" t="s">
        <v>23</v>
      </c>
    </row>
    <row r="187" spans="1:26" x14ac:dyDescent="0.35">
      <c r="A187" s="1">
        <v>4001279</v>
      </c>
      <c r="B187" s="1" t="s">
        <v>31</v>
      </c>
      <c r="C187" s="1">
        <v>3300</v>
      </c>
      <c r="D187" s="1" t="s">
        <v>30</v>
      </c>
      <c r="E187" s="1">
        <v>301</v>
      </c>
      <c r="F187" s="1">
        <v>0</v>
      </c>
      <c r="G187" s="1">
        <v>1000</v>
      </c>
      <c r="H187" s="1" t="s">
        <v>29</v>
      </c>
      <c r="I187" s="1" t="s">
        <v>247</v>
      </c>
      <c r="J187" s="1">
        <v>2400</v>
      </c>
      <c r="M187" s="1" t="s">
        <v>28</v>
      </c>
      <c r="N187" s="1">
        <v>0</v>
      </c>
      <c r="O187" s="1" t="s">
        <v>389</v>
      </c>
      <c r="P187" s="1">
        <v>44463</v>
      </c>
      <c r="Q187" s="1">
        <v>0.61222222222222</v>
      </c>
      <c r="R187" s="1">
        <v>0</v>
      </c>
      <c r="U187" s="1" t="s">
        <v>24</v>
      </c>
      <c r="V187" s="1">
        <v>1</v>
      </c>
      <c r="W187" s="1" t="s">
        <v>289</v>
      </c>
      <c r="Y187" s="1" t="s">
        <v>32</v>
      </c>
      <c r="Z187" s="1" t="s">
        <v>23</v>
      </c>
    </row>
    <row r="188" spans="1:26" x14ac:dyDescent="0.35">
      <c r="A188" s="1">
        <v>4001282</v>
      </c>
      <c r="B188" s="1" t="s">
        <v>31</v>
      </c>
      <c r="C188" s="1">
        <v>3300</v>
      </c>
      <c r="D188" s="1" t="s">
        <v>30</v>
      </c>
      <c r="E188" s="1">
        <v>301</v>
      </c>
      <c r="F188" s="1">
        <v>0</v>
      </c>
      <c r="G188" s="1">
        <v>3800</v>
      </c>
      <c r="H188" s="1" t="s">
        <v>29</v>
      </c>
      <c r="I188" s="1" t="s">
        <v>71</v>
      </c>
      <c r="J188" s="1">
        <v>1600</v>
      </c>
      <c r="M188" s="1" t="s">
        <v>28</v>
      </c>
      <c r="N188" s="1">
        <v>0</v>
      </c>
      <c r="O188" s="1" t="s">
        <v>27</v>
      </c>
      <c r="P188" s="1">
        <v>45622</v>
      </c>
      <c r="Q188" s="1">
        <v>0.45236111111110999</v>
      </c>
      <c r="R188" s="1">
        <v>0</v>
      </c>
      <c r="U188" s="1" t="s">
        <v>24</v>
      </c>
      <c r="V188" s="1">
        <v>1</v>
      </c>
      <c r="W188" s="1" t="s">
        <v>289</v>
      </c>
      <c r="X188" s="1" t="s">
        <v>24</v>
      </c>
      <c r="Y188" s="1" t="s">
        <v>32</v>
      </c>
      <c r="Z188" s="1" t="s">
        <v>32</v>
      </c>
    </row>
    <row r="189" spans="1:26" x14ac:dyDescent="0.35">
      <c r="A189" s="1">
        <v>4001283</v>
      </c>
      <c r="B189" s="1" t="s">
        <v>31</v>
      </c>
      <c r="C189" s="1">
        <v>3300</v>
      </c>
      <c r="D189" s="1" t="s">
        <v>30</v>
      </c>
      <c r="E189" s="1">
        <v>301</v>
      </c>
      <c r="F189" s="1">
        <v>0</v>
      </c>
      <c r="G189" s="1">
        <v>7000</v>
      </c>
      <c r="H189" s="1" t="s">
        <v>29</v>
      </c>
      <c r="I189" s="1" t="s">
        <v>71</v>
      </c>
      <c r="J189" s="1">
        <v>2400</v>
      </c>
      <c r="M189" s="1" t="s">
        <v>28</v>
      </c>
      <c r="N189" s="1">
        <v>0</v>
      </c>
      <c r="O189" s="1" t="s">
        <v>27</v>
      </c>
      <c r="P189" s="1">
        <v>45671</v>
      </c>
      <c r="Q189" s="1">
        <v>0.28584490740740998</v>
      </c>
      <c r="R189" s="1">
        <v>0</v>
      </c>
      <c r="U189" s="1" t="s">
        <v>24</v>
      </c>
      <c r="V189" s="1">
        <v>1</v>
      </c>
      <c r="W189" s="1" t="s">
        <v>271</v>
      </c>
      <c r="X189" s="1" t="s">
        <v>24</v>
      </c>
      <c r="Y189" s="1" t="s">
        <v>32</v>
      </c>
      <c r="Z189" s="1" t="s">
        <v>32</v>
      </c>
    </row>
    <row r="190" spans="1:26" x14ac:dyDescent="0.35">
      <c r="A190" s="1">
        <v>4001285</v>
      </c>
      <c r="B190" s="1" t="s">
        <v>31</v>
      </c>
      <c r="C190" s="1">
        <v>3300</v>
      </c>
      <c r="D190" s="1" t="s">
        <v>30</v>
      </c>
      <c r="E190" s="1">
        <v>301</v>
      </c>
      <c r="F190" s="1">
        <v>0</v>
      </c>
      <c r="G190" s="1">
        <v>1200</v>
      </c>
      <c r="H190" s="1" t="s">
        <v>29</v>
      </c>
      <c r="I190" s="1" t="s">
        <v>71</v>
      </c>
      <c r="J190" s="1">
        <v>1200</v>
      </c>
      <c r="M190" s="1" t="s">
        <v>28</v>
      </c>
      <c r="N190" s="1">
        <v>0</v>
      </c>
      <c r="O190" s="1" t="s">
        <v>27</v>
      </c>
      <c r="P190" s="1">
        <v>46027</v>
      </c>
      <c r="Q190" s="1">
        <v>0.41724537037037002</v>
      </c>
      <c r="R190" s="1" t="s">
        <v>946</v>
      </c>
      <c r="S190" s="1" t="s">
        <v>945</v>
      </c>
      <c r="U190" s="1" t="s">
        <v>24</v>
      </c>
      <c r="V190" s="1">
        <v>1</v>
      </c>
      <c r="W190" s="1" t="s">
        <v>271</v>
      </c>
      <c r="X190" s="1" t="s">
        <v>141</v>
      </c>
      <c r="Y190" s="1" t="s">
        <v>32</v>
      </c>
      <c r="Z190" s="1" t="s">
        <v>32</v>
      </c>
    </row>
    <row r="191" spans="1:26" x14ac:dyDescent="0.35">
      <c r="A191" s="1">
        <v>4001287</v>
      </c>
      <c r="B191" s="1" t="s">
        <v>31</v>
      </c>
      <c r="C191" s="1">
        <v>3300</v>
      </c>
      <c r="D191" s="1" t="s">
        <v>30</v>
      </c>
      <c r="E191" s="1">
        <v>301</v>
      </c>
      <c r="F191" s="1">
        <v>0</v>
      </c>
      <c r="G191" s="1">
        <v>3000</v>
      </c>
      <c r="H191" s="1" t="s">
        <v>29</v>
      </c>
      <c r="I191" s="1" t="s">
        <v>247</v>
      </c>
      <c r="J191" s="1">
        <v>4500</v>
      </c>
      <c r="M191" s="1" t="s">
        <v>28</v>
      </c>
      <c r="N191" s="1">
        <v>0</v>
      </c>
      <c r="O191" s="1" t="s">
        <v>27</v>
      </c>
      <c r="P191" s="1">
        <v>45245</v>
      </c>
      <c r="Q191" s="1">
        <v>0.45283564814815003</v>
      </c>
      <c r="R191" s="1" t="s">
        <v>944</v>
      </c>
      <c r="S191" s="1" t="s">
        <v>943</v>
      </c>
      <c r="U191" s="1" t="s">
        <v>24</v>
      </c>
      <c r="V191" s="1">
        <v>1</v>
      </c>
      <c r="W191" s="1" t="s">
        <v>289</v>
      </c>
      <c r="X191" s="1" t="s">
        <v>141</v>
      </c>
      <c r="Y191" s="1" t="s">
        <v>32</v>
      </c>
      <c r="Z191" s="1" t="s">
        <v>32</v>
      </c>
    </row>
    <row r="192" spans="1:26" x14ac:dyDescent="0.35">
      <c r="A192" s="1">
        <v>4001288</v>
      </c>
      <c r="B192" s="1" t="s">
        <v>31</v>
      </c>
      <c r="C192" s="1">
        <v>3300</v>
      </c>
      <c r="D192" s="1" t="s">
        <v>30</v>
      </c>
      <c r="E192" s="1">
        <v>301</v>
      </c>
      <c r="F192" s="1">
        <v>0</v>
      </c>
      <c r="G192" s="1">
        <v>400</v>
      </c>
      <c r="H192" s="1" t="s">
        <v>29</v>
      </c>
      <c r="I192" s="1" t="s">
        <v>247</v>
      </c>
      <c r="J192" s="1">
        <v>720</v>
      </c>
      <c r="M192" s="1" t="s">
        <v>28</v>
      </c>
      <c r="N192" s="1">
        <v>0</v>
      </c>
      <c r="O192" s="1" t="s">
        <v>27</v>
      </c>
      <c r="P192" s="1">
        <v>45245</v>
      </c>
      <c r="Q192" s="1">
        <v>0.45347222222222</v>
      </c>
      <c r="R192" s="1">
        <v>0</v>
      </c>
      <c r="U192" s="1" t="s">
        <v>24</v>
      </c>
      <c r="V192" s="1">
        <v>1</v>
      </c>
      <c r="W192" s="1" t="s">
        <v>258</v>
      </c>
      <c r="X192" s="1" t="s">
        <v>141</v>
      </c>
      <c r="Y192" s="1" t="s">
        <v>32</v>
      </c>
      <c r="Z192" s="1" t="s">
        <v>32</v>
      </c>
    </row>
    <row r="193" spans="1:26" x14ac:dyDescent="0.35">
      <c r="A193" s="1">
        <v>4001289</v>
      </c>
      <c r="B193" s="1" t="s">
        <v>31</v>
      </c>
      <c r="C193" s="1">
        <v>3300</v>
      </c>
      <c r="D193" s="1" t="s">
        <v>30</v>
      </c>
      <c r="E193" s="1">
        <v>301</v>
      </c>
      <c r="F193" s="1">
        <v>0</v>
      </c>
      <c r="G193" s="1">
        <v>500</v>
      </c>
      <c r="H193" s="1" t="s">
        <v>29</v>
      </c>
      <c r="I193" s="1" t="s">
        <v>71</v>
      </c>
      <c r="J193" s="1">
        <v>400</v>
      </c>
      <c r="M193" s="1" t="s">
        <v>28</v>
      </c>
      <c r="N193" s="1">
        <v>5</v>
      </c>
      <c r="O193" s="1" t="s">
        <v>27</v>
      </c>
      <c r="P193" s="1">
        <v>45924</v>
      </c>
      <c r="Q193" s="1">
        <v>0.53187499999999999</v>
      </c>
      <c r="R193" s="1" t="s">
        <v>942</v>
      </c>
      <c r="S193" s="1" t="s">
        <v>941</v>
      </c>
      <c r="T193" s="1" t="s">
        <v>335</v>
      </c>
      <c r="U193" s="1" t="s">
        <v>24</v>
      </c>
      <c r="V193" s="1">
        <v>1</v>
      </c>
      <c r="W193" s="1" t="s">
        <v>258</v>
      </c>
      <c r="X193" s="1" t="s">
        <v>141</v>
      </c>
      <c r="Y193" s="1" t="s">
        <v>32</v>
      </c>
      <c r="Z193" s="1" t="s">
        <v>32</v>
      </c>
    </row>
    <row r="194" spans="1:26" x14ac:dyDescent="0.35">
      <c r="A194" s="1">
        <v>4001290</v>
      </c>
      <c r="B194" s="1" t="s">
        <v>31</v>
      </c>
      <c r="C194" s="1">
        <v>3300</v>
      </c>
      <c r="D194" s="1" t="s">
        <v>30</v>
      </c>
      <c r="E194" s="1">
        <v>301</v>
      </c>
      <c r="F194" s="1">
        <v>0</v>
      </c>
      <c r="G194" s="1">
        <v>110</v>
      </c>
      <c r="H194" s="1" t="s">
        <v>29</v>
      </c>
      <c r="I194" s="1">
        <v>20</v>
      </c>
      <c r="J194" s="1">
        <v>120</v>
      </c>
      <c r="M194" s="1" t="s">
        <v>28</v>
      </c>
      <c r="N194" s="1">
        <v>5</v>
      </c>
      <c r="O194" s="1" t="s">
        <v>27</v>
      </c>
      <c r="P194" s="1">
        <v>45245</v>
      </c>
      <c r="Q194" s="1">
        <v>0.45457175925926002</v>
      </c>
      <c r="R194" s="1">
        <v>0</v>
      </c>
      <c r="T194" s="1" t="s">
        <v>335</v>
      </c>
      <c r="U194" s="1" t="s">
        <v>24</v>
      </c>
      <c r="V194" s="1">
        <v>1</v>
      </c>
      <c r="W194" s="1" t="s">
        <v>258</v>
      </c>
      <c r="X194" s="1" t="s">
        <v>141</v>
      </c>
      <c r="Y194" s="1" t="s">
        <v>32</v>
      </c>
      <c r="Z194" s="1" t="s">
        <v>32</v>
      </c>
    </row>
    <row r="195" spans="1:26" x14ac:dyDescent="0.35">
      <c r="A195" s="1">
        <v>4001291</v>
      </c>
      <c r="B195" s="1" t="s">
        <v>31</v>
      </c>
      <c r="C195" s="1">
        <v>3300</v>
      </c>
      <c r="D195" s="1" t="s">
        <v>30</v>
      </c>
      <c r="E195" s="1">
        <v>301</v>
      </c>
      <c r="F195" s="1">
        <v>0</v>
      </c>
      <c r="G195" s="1">
        <v>400</v>
      </c>
      <c r="H195" s="1" t="s">
        <v>29</v>
      </c>
      <c r="I195" s="1" t="s">
        <v>71</v>
      </c>
      <c r="J195" s="1">
        <v>300</v>
      </c>
      <c r="M195" s="1" t="s">
        <v>28</v>
      </c>
      <c r="N195" s="1">
        <v>5</v>
      </c>
      <c r="O195" s="1" t="s">
        <v>27</v>
      </c>
      <c r="P195" s="1">
        <v>45924</v>
      </c>
      <c r="Q195" s="1">
        <v>0.52446759259259002</v>
      </c>
      <c r="R195" s="1" t="s">
        <v>940</v>
      </c>
      <c r="S195" s="1" t="s">
        <v>939</v>
      </c>
      <c r="T195" s="1" t="s">
        <v>335</v>
      </c>
      <c r="U195" s="1" t="s">
        <v>24</v>
      </c>
      <c r="V195" s="1">
        <v>1</v>
      </c>
      <c r="W195" s="1" t="s">
        <v>258</v>
      </c>
      <c r="X195" s="1" t="s">
        <v>141</v>
      </c>
      <c r="Y195" s="1" t="s">
        <v>32</v>
      </c>
      <c r="Z195" s="1" t="s">
        <v>32</v>
      </c>
    </row>
    <row r="196" spans="1:26" x14ac:dyDescent="0.35">
      <c r="A196" s="1">
        <v>4001293</v>
      </c>
      <c r="B196" s="1" t="s">
        <v>31</v>
      </c>
      <c r="C196" s="1">
        <v>3300</v>
      </c>
      <c r="D196" s="1" t="s">
        <v>30</v>
      </c>
      <c r="E196" s="1">
        <v>301</v>
      </c>
      <c r="F196" s="1">
        <v>0</v>
      </c>
      <c r="G196" s="1">
        <v>1440</v>
      </c>
      <c r="H196" s="1" t="s">
        <v>29</v>
      </c>
      <c r="I196" s="1">
        <v>20</v>
      </c>
      <c r="J196" s="1">
        <v>480</v>
      </c>
      <c r="M196" s="1" t="s">
        <v>28</v>
      </c>
      <c r="N196" s="1">
        <v>5</v>
      </c>
      <c r="O196" s="1" t="s">
        <v>277</v>
      </c>
      <c r="P196" s="1">
        <v>44803</v>
      </c>
      <c r="Q196" s="1">
        <v>0.47915509259258998</v>
      </c>
      <c r="R196" s="1">
        <v>0</v>
      </c>
      <c r="T196" s="1" t="s">
        <v>335</v>
      </c>
      <c r="U196" s="1" t="s">
        <v>24</v>
      </c>
      <c r="V196" s="1">
        <v>1</v>
      </c>
      <c r="W196" s="1" t="s">
        <v>258</v>
      </c>
      <c r="Y196" s="1" t="s">
        <v>32</v>
      </c>
      <c r="Z196" s="1" t="s">
        <v>23</v>
      </c>
    </row>
    <row r="197" spans="1:26" x14ac:dyDescent="0.35">
      <c r="A197" s="1">
        <v>4001295</v>
      </c>
      <c r="B197" s="1" t="s">
        <v>31</v>
      </c>
      <c r="C197" s="1">
        <v>3300</v>
      </c>
      <c r="D197" s="1" t="s">
        <v>30</v>
      </c>
      <c r="E197" s="1">
        <v>301</v>
      </c>
      <c r="F197" s="1">
        <v>0</v>
      </c>
      <c r="G197" s="1">
        <v>120</v>
      </c>
      <c r="H197" s="1" t="s">
        <v>29</v>
      </c>
      <c r="I197" s="1" t="s">
        <v>71</v>
      </c>
      <c r="J197" s="1">
        <v>80</v>
      </c>
      <c r="M197" s="1" t="s">
        <v>28</v>
      </c>
      <c r="N197" s="1">
        <v>0</v>
      </c>
      <c r="O197" s="1" t="s">
        <v>27</v>
      </c>
      <c r="P197" s="1">
        <v>45968</v>
      </c>
      <c r="Q197" s="1">
        <v>0.28546296296295998</v>
      </c>
      <c r="R197" s="1" t="s">
        <v>938</v>
      </c>
      <c r="S197" s="1" t="s">
        <v>937</v>
      </c>
      <c r="U197" s="1" t="s">
        <v>24</v>
      </c>
      <c r="V197" s="1">
        <v>1</v>
      </c>
      <c r="W197" s="1" t="s">
        <v>271</v>
      </c>
      <c r="Y197" s="1" t="s">
        <v>32</v>
      </c>
      <c r="Z197" s="1" t="s">
        <v>23</v>
      </c>
    </row>
    <row r="198" spans="1:26" x14ac:dyDescent="0.35">
      <c r="A198" s="1">
        <v>4001298</v>
      </c>
      <c r="B198" s="1" t="s">
        <v>31</v>
      </c>
      <c r="C198" s="1">
        <v>3300</v>
      </c>
      <c r="D198" s="1" t="s">
        <v>41</v>
      </c>
      <c r="E198" s="1">
        <v>301</v>
      </c>
      <c r="F198" s="1">
        <v>0</v>
      </c>
      <c r="G198" s="1">
        <v>0</v>
      </c>
      <c r="J198" s="1">
        <v>0</v>
      </c>
      <c r="M198" s="1" t="s">
        <v>28</v>
      </c>
      <c r="N198" s="1">
        <v>5</v>
      </c>
      <c r="O198" s="1" t="s">
        <v>277</v>
      </c>
      <c r="P198" s="1">
        <v>44994</v>
      </c>
      <c r="Q198" s="1">
        <v>0.43619212962963</v>
      </c>
      <c r="R198" s="1">
        <v>0</v>
      </c>
      <c r="T198" s="1" t="s">
        <v>335</v>
      </c>
      <c r="U198" s="1" t="s">
        <v>24</v>
      </c>
      <c r="V198" s="1">
        <v>1</v>
      </c>
      <c r="W198" s="1" t="s">
        <v>258</v>
      </c>
      <c r="Y198" s="1" t="s">
        <v>32</v>
      </c>
      <c r="Z198" s="1" t="s">
        <v>23</v>
      </c>
    </row>
    <row r="199" spans="1:26" x14ac:dyDescent="0.35">
      <c r="A199" s="1">
        <v>4001307</v>
      </c>
      <c r="B199" s="1" t="s">
        <v>31</v>
      </c>
      <c r="C199" s="1">
        <v>3300</v>
      </c>
      <c r="D199" s="1" t="s">
        <v>30</v>
      </c>
      <c r="E199" s="1">
        <v>301</v>
      </c>
      <c r="F199" s="1">
        <v>0</v>
      </c>
      <c r="G199" s="1">
        <v>1000</v>
      </c>
      <c r="H199" s="1" t="s">
        <v>29</v>
      </c>
      <c r="I199" s="1" t="s">
        <v>247</v>
      </c>
      <c r="J199" s="1">
        <v>1440</v>
      </c>
      <c r="M199" s="1" t="s">
        <v>28</v>
      </c>
      <c r="N199" s="1">
        <v>0</v>
      </c>
      <c r="O199" s="1" t="s">
        <v>27</v>
      </c>
      <c r="P199" s="1">
        <v>45245</v>
      </c>
      <c r="Q199" s="1">
        <v>0.45642361111111002</v>
      </c>
      <c r="R199" s="1" t="s">
        <v>936</v>
      </c>
      <c r="S199" s="1" t="s">
        <v>935</v>
      </c>
      <c r="U199" s="1" t="s">
        <v>24</v>
      </c>
      <c r="V199" s="1">
        <v>1</v>
      </c>
      <c r="W199" s="1" t="s">
        <v>289</v>
      </c>
      <c r="X199" s="1" t="s">
        <v>24</v>
      </c>
      <c r="Y199" s="1" t="s">
        <v>32</v>
      </c>
      <c r="Z199" s="1" t="s">
        <v>32</v>
      </c>
    </row>
    <row r="200" spans="1:26" x14ac:dyDescent="0.35">
      <c r="A200" s="1">
        <v>4001310</v>
      </c>
      <c r="B200" s="1" t="s">
        <v>31</v>
      </c>
      <c r="C200" s="1">
        <v>3300</v>
      </c>
      <c r="D200" s="1" t="s">
        <v>30</v>
      </c>
      <c r="E200" s="1">
        <v>301</v>
      </c>
      <c r="F200" s="1">
        <v>0</v>
      </c>
      <c r="G200" s="1">
        <v>30</v>
      </c>
      <c r="H200" s="1" t="s">
        <v>29</v>
      </c>
      <c r="I200" s="1" t="s">
        <v>71</v>
      </c>
      <c r="J200" s="1">
        <v>10</v>
      </c>
      <c r="M200" s="1" t="s">
        <v>28</v>
      </c>
      <c r="N200" s="1">
        <v>0</v>
      </c>
      <c r="O200" s="1" t="s">
        <v>27</v>
      </c>
      <c r="P200" s="1">
        <v>45987</v>
      </c>
      <c r="Q200" s="1">
        <v>0.28275462962962999</v>
      </c>
      <c r="R200" s="1" t="s">
        <v>934</v>
      </c>
      <c r="S200" s="1" t="s">
        <v>933</v>
      </c>
      <c r="U200" s="1" t="s">
        <v>24</v>
      </c>
      <c r="V200" s="1">
        <v>1</v>
      </c>
      <c r="W200" s="1" t="s">
        <v>289</v>
      </c>
      <c r="X200" s="1" t="s">
        <v>141</v>
      </c>
      <c r="Y200" s="1" t="s">
        <v>32</v>
      </c>
      <c r="Z200" s="1" t="s">
        <v>32</v>
      </c>
    </row>
    <row r="201" spans="1:26" x14ac:dyDescent="0.35">
      <c r="A201" s="1">
        <v>4001311</v>
      </c>
      <c r="B201" s="1" t="s">
        <v>31</v>
      </c>
      <c r="C201" s="1">
        <v>3300</v>
      </c>
      <c r="D201" s="1" t="s">
        <v>41</v>
      </c>
      <c r="E201" s="1">
        <v>301</v>
      </c>
      <c r="F201" s="1">
        <v>0</v>
      </c>
      <c r="G201" s="1">
        <v>186</v>
      </c>
      <c r="H201" s="1" t="s">
        <v>29</v>
      </c>
      <c r="I201" s="1">
        <v>20</v>
      </c>
      <c r="J201" s="1">
        <v>100</v>
      </c>
      <c r="K201" s="1" t="s">
        <v>24</v>
      </c>
      <c r="M201" s="1" t="s">
        <v>28</v>
      </c>
      <c r="N201" s="1">
        <v>5</v>
      </c>
      <c r="O201" s="1" t="s">
        <v>277</v>
      </c>
      <c r="P201" s="1">
        <v>44781</v>
      </c>
      <c r="Q201" s="1">
        <v>0.45677083333333002</v>
      </c>
      <c r="R201" s="1">
        <v>0</v>
      </c>
      <c r="T201" s="1" t="s">
        <v>335</v>
      </c>
      <c r="W201" s="1" t="s">
        <v>258</v>
      </c>
      <c r="Y201" s="1" t="s">
        <v>32</v>
      </c>
      <c r="Z201" s="1" t="s">
        <v>23</v>
      </c>
    </row>
    <row r="202" spans="1:26" x14ac:dyDescent="0.35">
      <c r="A202" s="1">
        <v>4001312</v>
      </c>
      <c r="B202" s="1" t="s">
        <v>31</v>
      </c>
      <c r="C202" s="1">
        <v>3300</v>
      </c>
      <c r="D202" s="1" t="s">
        <v>30</v>
      </c>
      <c r="E202" s="1">
        <v>301</v>
      </c>
      <c r="F202" s="1">
        <v>0</v>
      </c>
      <c r="G202" s="1">
        <v>600</v>
      </c>
      <c r="H202" s="1" t="s">
        <v>29</v>
      </c>
      <c r="I202" s="1">
        <v>20</v>
      </c>
      <c r="J202" s="1">
        <v>600</v>
      </c>
      <c r="M202" s="1" t="s">
        <v>28</v>
      </c>
      <c r="N202" s="1">
        <v>0</v>
      </c>
      <c r="O202" s="1" t="s">
        <v>27</v>
      </c>
      <c r="P202" s="1">
        <v>46035</v>
      </c>
      <c r="Q202" s="1">
        <v>0.29160879629629999</v>
      </c>
      <c r="R202" s="1" t="s">
        <v>932</v>
      </c>
      <c r="S202" s="1" t="s">
        <v>931</v>
      </c>
      <c r="U202" s="1" t="s">
        <v>24</v>
      </c>
      <c r="V202" s="1">
        <v>1</v>
      </c>
      <c r="W202" s="1" t="s">
        <v>258</v>
      </c>
      <c r="Y202" s="1" t="s">
        <v>32</v>
      </c>
      <c r="Z202" s="1" t="s">
        <v>23</v>
      </c>
    </row>
    <row r="203" spans="1:26" x14ac:dyDescent="0.35">
      <c r="A203" s="1">
        <v>4001314</v>
      </c>
      <c r="B203" s="1" t="s">
        <v>31</v>
      </c>
      <c r="C203" s="1">
        <v>3300</v>
      </c>
      <c r="D203" s="1" t="s">
        <v>30</v>
      </c>
      <c r="E203" s="1">
        <v>301</v>
      </c>
      <c r="F203" s="1">
        <v>0</v>
      </c>
      <c r="G203" s="1">
        <v>1800</v>
      </c>
      <c r="H203" s="1" t="s">
        <v>29</v>
      </c>
      <c r="I203" s="1" t="s">
        <v>71</v>
      </c>
      <c r="J203" s="1">
        <v>1200</v>
      </c>
      <c r="M203" s="1" t="s">
        <v>28</v>
      </c>
      <c r="N203" s="1">
        <v>0</v>
      </c>
      <c r="O203" s="1" t="s">
        <v>27</v>
      </c>
      <c r="P203" s="1">
        <v>46035</v>
      </c>
      <c r="Q203" s="1">
        <v>0.29384259259258999</v>
      </c>
      <c r="R203" s="1">
        <v>0</v>
      </c>
      <c r="U203" s="1" t="s">
        <v>24</v>
      </c>
      <c r="V203" s="1">
        <v>1</v>
      </c>
      <c r="W203" s="1" t="s">
        <v>289</v>
      </c>
      <c r="X203" s="1" t="s">
        <v>141</v>
      </c>
      <c r="Y203" s="1" t="s">
        <v>32</v>
      </c>
      <c r="Z203" s="1" t="s">
        <v>32</v>
      </c>
    </row>
    <row r="204" spans="1:26" x14ac:dyDescent="0.35">
      <c r="A204" s="1">
        <v>4001315</v>
      </c>
      <c r="B204" s="1" t="s">
        <v>31</v>
      </c>
      <c r="C204" s="1">
        <v>3300</v>
      </c>
      <c r="D204" s="1" t="s">
        <v>30</v>
      </c>
      <c r="E204" s="1">
        <v>301</v>
      </c>
      <c r="F204" s="1">
        <v>0</v>
      </c>
      <c r="G204" s="1">
        <v>200</v>
      </c>
      <c r="H204" s="1" t="s">
        <v>29</v>
      </c>
      <c r="I204" s="1" t="s">
        <v>71</v>
      </c>
      <c r="J204" s="1">
        <v>100</v>
      </c>
      <c r="M204" s="1" t="s">
        <v>28</v>
      </c>
      <c r="N204" s="1">
        <v>0</v>
      </c>
      <c r="O204" s="1" t="s">
        <v>27</v>
      </c>
      <c r="P204" s="1">
        <v>45797</v>
      </c>
      <c r="Q204" s="1">
        <v>0.28510416666666999</v>
      </c>
      <c r="R204" s="1">
        <v>0</v>
      </c>
      <c r="U204" s="1" t="s">
        <v>24</v>
      </c>
      <c r="V204" s="1">
        <v>1</v>
      </c>
      <c r="W204" s="1" t="s">
        <v>258</v>
      </c>
      <c r="X204" s="1" t="s">
        <v>24</v>
      </c>
      <c r="Y204" s="1" t="s">
        <v>32</v>
      </c>
      <c r="Z204" s="1" t="s">
        <v>32</v>
      </c>
    </row>
    <row r="205" spans="1:26" x14ac:dyDescent="0.35">
      <c r="A205" s="1">
        <v>4001316</v>
      </c>
      <c r="B205" s="1" t="s">
        <v>31</v>
      </c>
      <c r="C205" s="1">
        <v>3300</v>
      </c>
      <c r="D205" s="1" t="s">
        <v>30</v>
      </c>
      <c r="E205" s="1">
        <v>301</v>
      </c>
      <c r="F205" s="1">
        <v>0</v>
      </c>
      <c r="G205" s="1">
        <v>384</v>
      </c>
      <c r="H205" s="1" t="s">
        <v>29</v>
      </c>
      <c r="I205" s="1" t="s">
        <v>247</v>
      </c>
      <c r="J205" s="1">
        <v>576</v>
      </c>
      <c r="M205" s="1" t="s">
        <v>28</v>
      </c>
      <c r="N205" s="1">
        <v>0</v>
      </c>
      <c r="O205" s="1" t="s">
        <v>27</v>
      </c>
      <c r="P205" s="1">
        <v>45245</v>
      </c>
      <c r="Q205" s="1">
        <v>0.45847222222222</v>
      </c>
      <c r="R205" s="1" t="s">
        <v>930</v>
      </c>
      <c r="S205" s="1" t="s">
        <v>929</v>
      </c>
      <c r="T205" s="1" t="s">
        <v>335</v>
      </c>
      <c r="U205" s="1" t="s">
        <v>24</v>
      </c>
      <c r="V205" s="1">
        <v>1</v>
      </c>
      <c r="W205" s="1" t="s">
        <v>271</v>
      </c>
      <c r="X205" s="1" t="s">
        <v>141</v>
      </c>
      <c r="Y205" s="1" t="s">
        <v>32</v>
      </c>
      <c r="Z205" s="1" t="s">
        <v>32</v>
      </c>
    </row>
    <row r="206" spans="1:26" x14ac:dyDescent="0.35">
      <c r="A206" s="1">
        <v>4001318</v>
      </c>
      <c r="B206" s="1" t="s">
        <v>31</v>
      </c>
      <c r="C206" s="1">
        <v>3300</v>
      </c>
      <c r="D206" s="1" t="s">
        <v>30</v>
      </c>
      <c r="E206" s="1">
        <v>301</v>
      </c>
      <c r="F206" s="1">
        <v>0</v>
      </c>
      <c r="G206" s="1">
        <v>200</v>
      </c>
      <c r="H206" s="1" t="s">
        <v>29</v>
      </c>
      <c r="I206" s="1" t="s">
        <v>71</v>
      </c>
      <c r="J206" s="1">
        <v>180</v>
      </c>
      <c r="M206" s="1" t="s">
        <v>28</v>
      </c>
      <c r="N206" s="1">
        <v>5</v>
      </c>
      <c r="O206" s="1" t="s">
        <v>132</v>
      </c>
      <c r="P206" s="1">
        <v>46036</v>
      </c>
      <c r="Q206" s="1">
        <v>0.42037037037037001</v>
      </c>
      <c r="R206" s="1">
        <v>0</v>
      </c>
      <c r="T206" s="1" t="s">
        <v>335</v>
      </c>
      <c r="U206" s="1" t="s">
        <v>24</v>
      </c>
      <c r="V206" s="1">
        <v>1</v>
      </c>
      <c r="W206" s="1" t="s">
        <v>289</v>
      </c>
      <c r="X206" s="1" t="s">
        <v>141</v>
      </c>
      <c r="Y206" s="1" t="s">
        <v>32</v>
      </c>
      <c r="Z206" s="1" t="s">
        <v>32</v>
      </c>
    </row>
    <row r="207" spans="1:26" x14ac:dyDescent="0.35">
      <c r="A207" s="1">
        <v>4001320</v>
      </c>
      <c r="B207" s="1" t="s">
        <v>31</v>
      </c>
      <c r="C207" s="1">
        <v>3300</v>
      </c>
      <c r="D207" s="1" t="s">
        <v>30</v>
      </c>
      <c r="E207" s="1">
        <v>301</v>
      </c>
      <c r="F207" s="1">
        <v>0</v>
      </c>
      <c r="G207" s="1">
        <v>200</v>
      </c>
      <c r="H207" s="1" t="s">
        <v>29</v>
      </c>
      <c r="I207" s="1" t="s">
        <v>71</v>
      </c>
      <c r="J207" s="1">
        <v>300</v>
      </c>
      <c r="M207" s="1" t="s">
        <v>28</v>
      </c>
      <c r="N207" s="1">
        <v>5</v>
      </c>
      <c r="O207" s="1" t="s">
        <v>27</v>
      </c>
      <c r="P207" s="1">
        <v>45924</v>
      </c>
      <c r="Q207" s="1">
        <v>0.52087962962962997</v>
      </c>
      <c r="R207" s="1" t="s">
        <v>928</v>
      </c>
      <c r="S207" s="1" t="s">
        <v>927</v>
      </c>
      <c r="T207" s="1" t="s">
        <v>335</v>
      </c>
      <c r="U207" s="1" t="s">
        <v>24</v>
      </c>
      <c r="V207" s="1">
        <v>1</v>
      </c>
      <c r="W207" s="1" t="s">
        <v>258</v>
      </c>
      <c r="Y207" s="1" t="s">
        <v>32</v>
      </c>
      <c r="Z207" s="1" t="s">
        <v>23</v>
      </c>
    </row>
    <row r="208" spans="1:26" x14ac:dyDescent="0.35">
      <c r="A208" s="1">
        <v>4001323</v>
      </c>
      <c r="B208" s="1" t="s">
        <v>31</v>
      </c>
      <c r="C208" s="1">
        <v>3300</v>
      </c>
      <c r="D208" s="1" t="s">
        <v>30</v>
      </c>
      <c r="E208" s="1">
        <v>301</v>
      </c>
      <c r="F208" s="1">
        <v>0</v>
      </c>
      <c r="G208" s="1">
        <v>123</v>
      </c>
      <c r="H208" s="1" t="s">
        <v>29</v>
      </c>
      <c r="I208" s="1">
        <v>20</v>
      </c>
      <c r="J208" s="1">
        <v>100</v>
      </c>
      <c r="K208" s="1" t="s">
        <v>24</v>
      </c>
      <c r="M208" s="1" t="s">
        <v>28</v>
      </c>
      <c r="N208" s="1">
        <v>0</v>
      </c>
      <c r="O208" s="1" t="s">
        <v>373</v>
      </c>
      <c r="P208" s="1">
        <v>44477</v>
      </c>
      <c r="Q208" s="1">
        <v>0.37866898148147998</v>
      </c>
      <c r="R208" s="1" t="s">
        <v>926</v>
      </c>
      <c r="S208" s="1" t="s">
        <v>925</v>
      </c>
      <c r="W208" s="1" t="s">
        <v>258</v>
      </c>
      <c r="Y208" s="1" t="s">
        <v>32</v>
      </c>
      <c r="Z208" s="1" t="s">
        <v>23</v>
      </c>
    </row>
    <row r="209" spans="1:26" x14ac:dyDescent="0.35">
      <c r="A209" s="1">
        <v>4001324</v>
      </c>
      <c r="B209" s="1" t="s">
        <v>31</v>
      </c>
      <c r="C209" s="1">
        <v>3300</v>
      </c>
      <c r="D209" s="1" t="s">
        <v>30</v>
      </c>
      <c r="E209" s="1">
        <v>301</v>
      </c>
      <c r="F209" s="1">
        <v>0</v>
      </c>
      <c r="G209" s="1">
        <v>30</v>
      </c>
      <c r="H209" s="1" t="s">
        <v>29</v>
      </c>
      <c r="I209" s="1" t="s">
        <v>71</v>
      </c>
      <c r="J209" s="1">
        <v>24</v>
      </c>
      <c r="M209" s="1" t="s">
        <v>28</v>
      </c>
      <c r="N209" s="1">
        <v>0</v>
      </c>
      <c r="O209" s="1" t="s">
        <v>27</v>
      </c>
      <c r="P209" s="1">
        <v>45974</v>
      </c>
      <c r="Q209" s="1">
        <v>0.56625000000000003</v>
      </c>
      <c r="R209" s="1" t="s">
        <v>924</v>
      </c>
      <c r="S209" s="1" t="s">
        <v>923</v>
      </c>
      <c r="U209" s="1" t="s">
        <v>24</v>
      </c>
      <c r="V209" s="1">
        <v>1</v>
      </c>
      <c r="W209" s="1" t="s">
        <v>271</v>
      </c>
      <c r="X209" s="1" t="s">
        <v>24</v>
      </c>
      <c r="Y209" s="1" t="s">
        <v>32</v>
      </c>
      <c r="Z209" s="1" t="s">
        <v>32</v>
      </c>
    </row>
    <row r="210" spans="1:26" x14ac:dyDescent="0.35">
      <c r="A210" s="1">
        <v>4001327</v>
      </c>
      <c r="B210" s="1" t="s">
        <v>31</v>
      </c>
      <c r="C210" s="1">
        <v>3300</v>
      </c>
      <c r="D210" s="1" t="s">
        <v>41</v>
      </c>
      <c r="G210" s="1">
        <v>0</v>
      </c>
      <c r="J210" s="1">
        <v>0</v>
      </c>
      <c r="M210" s="1" t="s">
        <v>28</v>
      </c>
      <c r="N210" s="1">
        <v>0</v>
      </c>
      <c r="O210" s="1" t="s">
        <v>277</v>
      </c>
      <c r="P210" s="1">
        <v>44495</v>
      </c>
      <c r="Q210" s="1">
        <v>0.68093749999999997</v>
      </c>
      <c r="R210" s="1">
        <v>0</v>
      </c>
      <c r="U210" s="1" t="s">
        <v>24</v>
      </c>
      <c r="V210" s="1">
        <v>1</v>
      </c>
      <c r="W210" s="1" t="s">
        <v>258</v>
      </c>
      <c r="Y210" s="1" t="s">
        <v>32</v>
      </c>
      <c r="Z210" s="1" t="s">
        <v>23</v>
      </c>
    </row>
    <row r="211" spans="1:26" x14ac:dyDescent="0.35">
      <c r="A211" s="1">
        <v>4001328</v>
      </c>
      <c r="B211" s="1" t="s">
        <v>31</v>
      </c>
      <c r="C211" s="1">
        <v>3300</v>
      </c>
      <c r="D211" s="1" t="s">
        <v>30</v>
      </c>
      <c r="E211" s="1">
        <v>301</v>
      </c>
      <c r="F211" s="1">
        <v>0</v>
      </c>
      <c r="G211" s="1">
        <v>421</v>
      </c>
      <c r="H211" s="1" t="s">
        <v>29</v>
      </c>
      <c r="I211" s="1" t="s">
        <v>71</v>
      </c>
      <c r="J211" s="1">
        <v>390</v>
      </c>
      <c r="M211" s="1" t="s">
        <v>28</v>
      </c>
      <c r="N211" s="1">
        <v>5</v>
      </c>
      <c r="O211" s="1" t="s">
        <v>746</v>
      </c>
      <c r="P211" s="1">
        <v>45896</v>
      </c>
      <c r="Q211" s="1">
        <v>0.49053240740741</v>
      </c>
      <c r="R211" s="1">
        <v>0</v>
      </c>
      <c r="T211" s="1" t="s">
        <v>335</v>
      </c>
      <c r="U211" s="1" t="s">
        <v>24</v>
      </c>
      <c r="V211" s="1">
        <v>1</v>
      </c>
      <c r="W211" s="1" t="s">
        <v>258</v>
      </c>
      <c r="X211" s="1" t="s">
        <v>141</v>
      </c>
      <c r="Y211" s="1" t="s">
        <v>32</v>
      </c>
      <c r="Z211" s="1" t="s">
        <v>32</v>
      </c>
    </row>
    <row r="212" spans="1:26" x14ac:dyDescent="0.35">
      <c r="A212" s="1">
        <v>4001331</v>
      </c>
      <c r="B212" s="1" t="s">
        <v>31</v>
      </c>
      <c r="C212" s="1">
        <v>3300</v>
      </c>
      <c r="D212" s="1" t="s">
        <v>30</v>
      </c>
      <c r="E212" s="1">
        <v>301</v>
      </c>
      <c r="F212" s="1">
        <v>0</v>
      </c>
      <c r="G212" s="1">
        <v>1600</v>
      </c>
      <c r="H212" s="1" t="s">
        <v>29</v>
      </c>
      <c r="I212" s="1">
        <v>20</v>
      </c>
      <c r="J212" s="1">
        <v>900</v>
      </c>
      <c r="M212" s="1" t="s">
        <v>28</v>
      </c>
      <c r="N212" s="1">
        <v>5</v>
      </c>
      <c r="O212" s="1" t="s">
        <v>236</v>
      </c>
      <c r="P212" s="1">
        <v>45233</v>
      </c>
      <c r="Q212" s="1">
        <v>0.39687499999999998</v>
      </c>
      <c r="R212" s="1" t="s">
        <v>922</v>
      </c>
      <c r="S212" s="1" t="s">
        <v>921</v>
      </c>
      <c r="T212" s="1" t="s">
        <v>335</v>
      </c>
      <c r="U212" s="1" t="s">
        <v>24</v>
      </c>
      <c r="V212" s="1">
        <v>1</v>
      </c>
      <c r="W212" s="1" t="s">
        <v>258</v>
      </c>
      <c r="X212" s="1" t="s">
        <v>141</v>
      </c>
      <c r="Y212" s="1" t="s">
        <v>32</v>
      </c>
      <c r="Z212" s="1" t="s">
        <v>32</v>
      </c>
    </row>
    <row r="213" spans="1:26" x14ac:dyDescent="0.35">
      <c r="A213" s="1">
        <v>4001333</v>
      </c>
      <c r="B213" s="1" t="s">
        <v>31</v>
      </c>
      <c r="C213" s="1">
        <v>3300</v>
      </c>
      <c r="D213" s="1" t="s">
        <v>41</v>
      </c>
      <c r="G213" s="1">
        <v>0</v>
      </c>
      <c r="J213" s="1">
        <v>0</v>
      </c>
      <c r="K213" s="1" t="s">
        <v>24</v>
      </c>
      <c r="M213" s="1" t="s">
        <v>28</v>
      </c>
      <c r="N213" s="1">
        <v>0</v>
      </c>
      <c r="O213" s="1" t="s">
        <v>27</v>
      </c>
      <c r="P213" s="1">
        <v>45180</v>
      </c>
      <c r="Q213" s="1">
        <v>0.30333333333333001</v>
      </c>
      <c r="R213" s="1">
        <v>0</v>
      </c>
      <c r="W213" s="1" t="s">
        <v>258</v>
      </c>
      <c r="Y213" s="1" t="s">
        <v>32</v>
      </c>
      <c r="Z213" s="1" t="s">
        <v>23</v>
      </c>
    </row>
    <row r="214" spans="1:26" x14ac:dyDescent="0.35">
      <c r="A214" s="1">
        <v>4001334</v>
      </c>
      <c r="B214" s="1" t="s">
        <v>31</v>
      </c>
      <c r="C214" s="1">
        <v>3300</v>
      </c>
      <c r="D214" s="1" t="s">
        <v>30</v>
      </c>
      <c r="E214" s="1">
        <v>301</v>
      </c>
      <c r="F214" s="1">
        <v>0</v>
      </c>
      <c r="G214" s="1">
        <v>240</v>
      </c>
      <c r="H214" s="1" t="s">
        <v>29</v>
      </c>
      <c r="I214" s="1" t="s">
        <v>247</v>
      </c>
      <c r="J214" s="1">
        <v>240</v>
      </c>
      <c r="M214" s="1" t="s">
        <v>28</v>
      </c>
      <c r="N214" s="1">
        <v>0</v>
      </c>
      <c r="O214" s="1" t="s">
        <v>166</v>
      </c>
      <c r="P214" s="1">
        <v>45881</v>
      </c>
      <c r="Q214" s="1">
        <v>0.53645833333333004</v>
      </c>
      <c r="R214" s="1">
        <v>0</v>
      </c>
      <c r="T214" s="1" t="s">
        <v>335</v>
      </c>
      <c r="U214" s="1" t="s">
        <v>24</v>
      </c>
      <c r="V214" s="1">
        <v>1</v>
      </c>
      <c r="W214" s="1" t="s">
        <v>258</v>
      </c>
      <c r="X214" s="1" t="s">
        <v>141</v>
      </c>
      <c r="Y214" s="1" t="s">
        <v>32</v>
      </c>
      <c r="Z214" s="1" t="s">
        <v>32</v>
      </c>
    </row>
    <row r="215" spans="1:26" x14ac:dyDescent="0.35">
      <c r="A215" s="1">
        <v>4001335</v>
      </c>
      <c r="B215" s="1" t="s">
        <v>31</v>
      </c>
      <c r="C215" s="1">
        <v>3300</v>
      </c>
      <c r="D215" s="1" t="s">
        <v>41</v>
      </c>
      <c r="G215" s="1">
        <v>0</v>
      </c>
      <c r="J215" s="1">
        <v>0</v>
      </c>
      <c r="M215" s="1" t="s">
        <v>28</v>
      </c>
      <c r="N215" s="1">
        <v>0</v>
      </c>
      <c r="O215" s="1" t="s">
        <v>277</v>
      </c>
      <c r="P215" s="1">
        <v>44495</v>
      </c>
      <c r="Q215" s="1">
        <v>0.74689814814815003</v>
      </c>
      <c r="R215" s="1">
        <v>0</v>
      </c>
      <c r="U215" s="1" t="s">
        <v>24</v>
      </c>
      <c r="V215" s="1">
        <v>1</v>
      </c>
      <c r="W215" s="1" t="s">
        <v>258</v>
      </c>
      <c r="Y215" s="1" t="s">
        <v>32</v>
      </c>
      <c r="Z215" s="1" t="s">
        <v>23</v>
      </c>
    </row>
    <row r="216" spans="1:26" x14ac:dyDescent="0.35">
      <c r="A216" s="1">
        <v>4001336</v>
      </c>
      <c r="B216" s="1" t="s">
        <v>31</v>
      </c>
      <c r="C216" s="1">
        <v>3300</v>
      </c>
      <c r="D216" s="1" t="s">
        <v>41</v>
      </c>
      <c r="G216" s="1">
        <v>0</v>
      </c>
      <c r="J216" s="1">
        <v>0</v>
      </c>
      <c r="K216" s="1" t="s">
        <v>24</v>
      </c>
      <c r="M216" s="1" t="s">
        <v>28</v>
      </c>
      <c r="N216" s="1">
        <v>0</v>
      </c>
      <c r="O216" s="1" t="s">
        <v>27</v>
      </c>
      <c r="P216" s="1">
        <v>45237</v>
      </c>
      <c r="Q216" s="1">
        <v>0.30392361111110999</v>
      </c>
      <c r="R216" s="1">
        <v>0</v>
      </c>
      <c r="W216" s="1" t="s">
        <v>258</v>
      </c>
      <c r="Y216" s="1" t="s">
        <v>32</v>
      </c>
      <c r="Z216" s="1" t="s">
        <v>23</v>
      </c>
    </row>
    <row r="217" spans="1:26" x14ac:dyDescent="0.35">
      <c r="A217" s="1">
        <v>4001337</v>
      </c>
      <c r="B217" s="1" t="s">
        <v>31</v>
      </c>
      <c r="C217" s="1">
        <v>3300</v>
      </c>
      <c r="D217" s="1" t="s">
        <v>41</v>
      </c>
      <c r="G217" s="1">
        <v>0</v>
      </c>
      <c r="J217" s="1">
        <v>0</v>
      </c>
      <c r="M217" s="1" t="s">
        <v>28</v>
      </c>
      <c r="N217" s="1">
        <v>0</v>
      </c>
      <c r="O217" s="1" t="s">
        <v>277</v>
      </c>
      <c r="P217" s="1">
        <v>44495</v>
      </c>
      <c r="Q217" s="1">
        <v>0.73833333333332996</v>
      </c>
      <c r="R217" s="1">
        <v>0</v>
      </c>
      <c r="U217" s="1" t="s">
        <v>24</v>
      </c>
      <c r="V217" s="1">
        <v>1</v>
      </c>
      <c r="W217" s="1" t="s">
        <v>258</v>
      </c>
      <c r="Y217" s="1" t="s">
        <v>32</v>
      </c>
      <c r="Z217" s="1" t="s">
        <v>23</v>
      </c>
    </row>
    <row r="218" spans="1:26" x14ac:dyDescent="0.35">
      <c r="A218" s="1">
        <v>4001338</v>
      </c>
      <c r="B218" s="1" t="s">
        <v>31</v>
      </c>
      <c r="C218" s="1">
        <v>3300</v>
      </c>
      <c r="D218" s="1" t="s">
        <v>41</v>
      </c>
      <c r="G218" s="1">
        <v>0</v>
      </c>
      <c r="J218" s="1">
        <v>0</v>
      </c>
      <c r="K218" s="1" t="s">
        <v>24</v>
      </c>
      <c r="M218" s="1" t="s">
        <v>28</v>
      </c>
      <c r="N218" s="1">
        <v>0</v>
      </c>
      <c r="O218" s="1" t="s">
        <v>27</v>
      </c>
      <c r="P218" s="1">
        <v>45237</v>
      </c>
      <c r="Q218" s="1">
        <v>0.30444444444444002</v>
      </c>
      <c r="R218" s="1">
        <v>0</v>
      </c>
      <c r="W218" s="1" t="s">
        <v>258</v>
      </c>
      <c r="Y218" s="1" t="s">
        <v>32</v>
      </c>
      <c r="Z218" s="1" t="s">
        <v>23</v>
      </c>
    </row>
    <row r="219" spans="1:26" x14ac:dyDescent="0.35">
      <c r="A219" s="1">
        <v>4001339</v>
      </c>
      <c r="B219" s="1" t="s">
        <v>31</v>
      </c>
      <c r="C219" s="1">
        <v>3300</v>
      </c>
      <c r="D219" s="1" t="s">
        <v>41</v>
      </c>
      <c r="G219" s="1">
        <v>0</v>
      </c>
      <c r="J219" s="1">
        <v>0</v>
      </c>
      <c r="M219" s="1" t="s">
        <v>28</v>
      </c>
      <c r="N219" s="1">
        <v>0</v>
      </c>
      <c r="O219" s="1" t="s">
        <v>277</v>
      </c>
      <c r="P219" s="1">
        <v>44495</v>
      </c>
      <c r="Q219" s="1">
        <v>0.68883101851852002</v>
      </c>
      <c r="R219" s="1">
        <v>0</v>
      </c>
      <c r="U219" s="1" t="s">
        <v>24</v>
      </c>
      <c r="V219" s="1">
        <v>1</v>
      </c>
      <c r="W219" s="1" t="s">
        <v>258</v>
      </c>
      <c r="Y219" s="1" t="s">
        <v>32</v>
      </c>
      <c r="Z219" s="1" t="s">
        <v>23</v>
      </c>
    </row>
    <row r="220" spans="1:26" x14ac:dyDescent="0.35">
      <c r="A220" s="1">
        <v>4001340</v>
      </c>
      <c r="B220" s="1" t="s">
        <v>31</v>
      </c>
      <c r="C220" s="1">
        <v>3300</v>
      </c>
      <c r="D220" s="1" t="s">
        <v>30</v>
      </c>
      <c r="E220" s="1">
        <v>301</v>
      </c>
      <c r="F220" s="1">
        <v>0</v>
      </c>
      <c r="G220" s="1">
        <v>24</v>
      </c>
      <c r="H220" s="1" t="s">
        <v>29</v>
      </c>
      <c r="I220" s="1" t="s">
        <v>247</v>
      </c>
      <c r="J220" s="1">
        <v>36</v>
      </c>
      <c r="M220" s="1" t="s">
        <v>28</v>
      </c>
      <c r="N220" s="1">
        <v>0</v>
      </c>
      <c r="O220" s="1" t="s">
        <v>27</v>
      </c>
      <c r="P220" s="1">
        <v>45245</v>
      </c>
      <c r="Q220" s="1">
        <v>0.47163194444444001</v>
      </c>
      <c r="R220" s="1" t="s">
        <v>920</v>
      </c>
      <c r="S220" s="1" t="s">
        <v>919</v>
      </c>
      <c r="U220" s="1" t="s">
        <v>24</v>
      </c>
      <c r="V220" s="1">
        <v>1</v>
      </c>
      <c r="W220" s="1" t="s">
        <v>289</v>
      </c>
      <c r="X220" s="1" t="s">
        <v>141</v>
      </c>
      <c r="Y220" s="1" t="s">
        <v>32</v>
      </c>
      <c r="Z220" s="1" t="s">
        <v>32</v>
      </c>
    </row>
    <row r="221" spans="1:26" x14ac:dyDescent="0.35">
      <c r="A221" s="1">
        <v>4001341</v>
      </c>
      <c r="B221" s="1" t="s">
        <v>31</v>
      </c>
      <c r="C221" s="1">
        <v>3300</v>
      </c>
      <c r="D221" s="1" t="s">
        <v>30</v>
      </c>
      <c r="E221" s="1">
        <v>301</v>
      </c>
      <c r="F221" s="1">
        <v>0</v>
      </c>
      <c r="G221" s="1">
        <v>400</v>
      </c>
      <c r="H221" s="1" t="s">
        <v>29</v>
      </c>
      <c r="I221" s="1" t="s">
        <v>71</v>
      </c>
      <c r="J221" s="1">
        <v>600</v>
      </c>
      <c r="M221" s="1" t="s">
        <v>28</v>
      </c>
      <c r="N221" s="1">
        <v>0</v>
      </c>
      <c r="O221" s="1" t="s">
        <v>27</v>
      </c>
      <c r="P221" s="1">
        <v>45924</v>
      </c>
      <c r="Q221" s="1">
        <v>0.53371527777778005</v>
      </c>
      <c r="R221" s="1" t="s">
        <v>918</v>
      </c>
      <c r="S221" s="1" t="s">
        <v>917</v>
      </c>
      <c r="U221" s="1" t="s">
        <v>24</v>
      </c>
      <c r="V221" s="1">
        <v>1</v>
      </c>
      <c r="W221" s="1" t="s">
        <v>258</v>
      </c>
      <c r="Y221" s="1" t="s">
        <v>32</v>
      </c>
      <c r="Z221" s="1" t="s">
        <v>23</v>
      </c>
    </row>
    <row r="222" spans="1:26" x14ac:dyDescent="0.35">
      <c r="A222" s="1">
        <v>4001343</v>
      </c>
      <c r="B222" s="1" t="s">
        <v>31</v>
      </c>
      <c r="C222" s="1">
        <v>3300</v>
      </c>
      <c r="D222" s="1" t="s">
        <v>30</v>
      </c>
      <c r="E222" s="1">
        <v>301</v>
      </c>
      <c r="F222" s="1">
        <v>0</v>
      </c>
      <c r="G222" s="1">
        <v>80</v>
      </c>
      <c r="H222" s="1" t="s">
        <v>29</v>
      </c>
      <c r="I222" s="1">
        <v>20</v>
      </c>
      <c r="J222" s="1">
        <v>68</v>
      </c>
      <c r="M222" s="1" t="s">
        <v>28</v>
      </c>
      <c r="N222" s="1">
        <v>5</v>
      </c>
      <c r="O222" s="1" t="s">
        <v>386</v>
      </c>
      <c r="P222" s="1">
        <v>44522</v>
      </c>
      <c r="Q222" s="1">
        <v>0.56119212962963005</v>
      </c>
      <c r="R222" s="1">
        <v>0</v>
      </c>
      <c r="T222" s="1" t="s">
        <v>335</v>
      </c>
      <c r="U222" s="1" t="s">
        <v>24</v>
      </c>
      <c r="V222" s="1">
        <v>1</v>
      </c>
      <c r="W222" s="1" t="s">
        <v>258</v>
      </c>
      <c r="Y222" s="1" t="s">
        <v>32</v>
      </c>
      <c r="Z222" s="1" t="s">
        <v>23</v>
      </c>
    </row>
    <row r="223" spans="1:26" x14ac:dyDescent="0.35">
      <c r="A223" s="1">
        <v>4001344</v>
      </c>
      <c r="B223" s="1" t="s">
        <v>31</v>
      </c>
      <c r="C223" s="1">
        <v>3300</v>
      </c>
      <c r="D223" s="1" t="s">
        <v>30</v>
      </c>
      <c r="E223" s="1">
        <v>301</v>
      </c>
      <c r="F223" s="1">
        <v>0</v>
      </c>
      <c r="G223" s="1">
        <v>100</v>
      </c>
      <c r="H223" s="1" t="s">
        <v>29</v>
      </c>
      <c r="I223" s="1">
        <v>20</v>
      </c>
      <c r="J223" s="1">
        <v>68</v>
      </c>
      <c r="M223" s="1" t="s">
        <v>28</v>
      </c>
      <c r="N223" s="1">
        <v>5</v>
      </c>
      <c r="O223" s="1" t="s">
        <v>277</v>
      </c>
      <c r="P223" s="1">
        <v>44816</v>
      </c>
      <c r="Q223" s="1">
        <v>0.49547453703703997</v>
      </c>
      <c r="R223" s="1" t="s">
        <v>916</v>
      </c>
      <c r="S223" s="1" t="s">
        <v>915</v>
      </c>
      <c r="T223" s="1" t="s">
        <v>335</v>
      </c>
      <c r="U223" s="1" t="s">
        <v>24</v>
      </c>
      <c r="V223" s="1">
        <v>1</v>
      </c>
      <c r="W223" s="1" t="s">
        <v>258</v>
      </c>
      <c r="Y223" s="1" t="s">
        <v>32</v>
      </c>
      <c r="Z223" s="1" t="s">
        <v>23</v>
      </c>
    </row>
    <row r="224" spans="1:26" x14ac:dyDescent="0.35">
      <c r="A224" s="1">
        <v>4001345</v>
      </c>
      <c r="B224" s="1" t="s">
        <v>31</v>
      </c>
      <c r="C224" s="1">
        <v>3300</v>
      </c>
      <c r="D224" s="1" t="s">
        <v>30</v>
      </c>
      <c r="E224" s="1">
        <v>301</v>
      </c>
      <c r="F224" s="1">
        <v>0</v>
      </c>
      <c r="G224" s="1">
        <v>50</v>
      </c>
      <c r="H224" s="1" t="s">
        <v>29</v>
      </c>
      <c r="I224" s="1">
        <v>20</v>
      </c>
      <c r="J224" s="1">
        <v>17</v>
      </c>
      <c r="M224" s="1" t="s">
        <v>28</v>
      </c>
      <c r="N224" s="1">
        <v>5</v>
      </c>
      <c r="O224" s="1" t="s">
        <v>277</v>
      </c>
      <c r="P224" s="1">
        <v>44820</v>
      </c>
      <c r="Q224" s="1">
        <v>0.40464120370369999</v>
      </c>
      <c r="R224" s="1">
        <v>0</v>
      </c>
      <c r="T224" s="1" t="s">
        <v>335</v>
      </c>
      <c r="U224" s="1" t="s">
        <v>24</v>
      </c>
      <c r="V224" s="1">
        <v>1</v>
      </c>
      <c r="W224" s="1" t="s">
        <v>258</v>
      </c>
      <c r="Y224" s="1" t="s">
        <v>32</v>
      </c>
      <c r="Z224" s="1" t="s">
        <v>23</v>
      </c>
    </row>
    <row r="225" spans="1:26" x14ac:dyDescent="0.35">
      <c r="A225" s="1">
        <v>4001347</v>
      </c>
      <c r="B225" s="1" t="s">
        <v>31</v>
      </c>
      <c r="C225" s="1">
        <v>3300</v>
      </c>
      <c r="D225" s="1" t="s">
        <v>41</v>
      </c>
      <c r="E225" s="1">
        <v>301</v>
      </c>
      <c r="F225" s="1">
        <v>0</v>
      </c>
      <c r="G225" s="1">
        <v>10</v>
      </c>
      <c r="H225" s="1" t="s">
        <v>29</v>
      </c>
      <c r="I225" s="1">
        <v>20</v>
      </c>
      <c r="J225" s="1">
        <v>5</v>
      </c>
      <c r="M225" s="1" t="s">
        <v>28</v>
      </c>
      <c r="N225" s="1">
        <v>5</v>
      </c>
      <c r="O225" s="1" t="s">
        <v>27</v>
      </c>
      <c r="P225" s="1">
        <v>46048</v>
      </c>
      <c r="Q225" s="1">
        <v>0.52805555555556005</v>
      </c>
      <c r="R225" s="1" t="s">
        <v>914</v>
      </c>
      <c r="S225" s="1" t="s">
        <v>913</v>
      </c>
      <c r="T225" s="1" t="s">
        <v>335</v>
      </c>
      <c r="U225" s="1" t="s">
        <v>24</v>
      </c>
      <c r="V225" s="1">
        <v>1</v>
      </c>
      <c r="W225" s="1" t="s">
        <v>258</v>
      </c>
      <c r="Y225" s="1" t="s">
        <v>32</v>
      </c>
      <c r="Z225" s="1" t="s">
        <v>23</v>
      </c>
    </row>
    <row r="226" spans="1:26" x14ac:dyDescent="0.35">
      <c r="A226" s="1">
        <v>4001348</v>
      </c>
      <c r="B226" s="1" t="s">
        <v>31</v>
      </c>
      <c r="C226" s="1">
        <v>3300</v>
      </c>
      <c r="D226" s="1" t="s">
        <v>30</v>
      </c>
      <c r="E226" s="1">
        <v>301</v>
      </c>
      <c r="F226" s="1">
        <v>0</v>
      </c>
      <c r="G226" s="1">
        <v>200</v>
      </c>
      <c r="H226" s="1" t="s">
        <v>29</v>
      </c>
      <c r="I226" s="1" t="s">
        <v>71</v>
      </c>
      <c r="J226" s="1">
        <v>100</v>
      </c>
      <c r="M226" s="1" t="s">
        <v>28</v>
      </c>
      <c r="N226" s="1">
        <v>0</v>
      </c>
      <c r="O226" s="1" t="s">
        <v>132</v>
      </c>
      <c r="P226" s="1">
        <v>46036</v>
      </c>
      <c r="Q226" s="1">
        <v>0.42037037037037001</v>
      </c>
      <c r="R226" s="1" t="s">
        <v>912</v>
      </c>
      <c r="S226" s="1" t="s">
        <v>911</v>
      </c>
      <c r="U226" s="1" t="s">
        <v>24</v>
      </c>
      <c r="V226" s="1">
        <v>1</v>
      </c>
      <c r="W226" s="1" t="s">
        <v>258</v>
      </c>
      <c r="X226" s="1" t="s">
        <v>24</v>
      </c>
      <c r="Y226" s="1" t="s">
        <v>32</v>
      </c>
      <c r="Z226" s="1" t="s">
        <v>32</v>
      </c>
    </row>
    <row r="227" spans="1:26" x14ac:dyDescent="0.35">
      <c r="A227" s="1">
        <v>4001349</v>
      </c>
      <c r="B227" s="1" t="s">
        <v>31</v>
      </c>
      <c r="C227" s="1">
        <v>3300</v>
      </c>
      <c r="D227" s="1" t="s">
        <v>30</v>
      </c>
      <c r="E227" s="1">
        <v>301</v>
      </c>
      <c r="F227" s="1">
        <v>0</v>
      </c>
      <c r="G227" s="1">
        <v>50</v>
      </c>
      <c r="H227" s="1" t="s">
        <v>29</v>
      </c>
      <c r="I227" s="1" t="s">
        <v>71</v>
      </c>
      <c r="J227" s="1">
        <v>40</v>
      </c>
      <c r="M227" s="1" t="s">
        <v>28</v>
      </c>
      <c r="N227" s="1">
        <v>0</v>
      </c>
      <c r="O227" s="1" t="s">
        <v>132</v>
      </c>
      <c r="P227" s="1">
        <v>46036</v>
      </c>
      <c r="Q227" s="1">
        <v>0.42038194444443999</v>
      </c>
      <c r="R227" s="1" t="s">
        <v>910</v>
      </c>
      <c r="S227" s="1" t="s">
        <v>909</v>
      </c>
      <c r="U227" s="1" t="s">
        <v>24</v>
      </c>
      <c r="V227" s="1">
        <v>1</v>
      </c>
      <c r="W227" s="1" t="s">
        <v>258</v>
      </c>
      <c r="X227" s="1" t="s">
        <v>24</v>
      </c>
      <c r="Y227" s="1" t="s">
        <v>32</v>
      </c>
      <c r="Z227" s="1" t="s">
        <v>32</v>
      </c>
    </row>
    <row r="228" spans="1:26" x14ac:dyDescent="0.35">
      <c r="A228" s="1">
        <v>4001350</v>
      </c>
      <c r="B228" s="1" t="s">
        <v>31</v>
      </c>
      <c r="C228" s="1">
        <v>3300</v>
      </c>
      <c r="D228" s="1" t="s">
        <v>30</v>
      </c>
      <c r="E228" s="1">
        <v>301</v>
      </c>
      <c r="F228" s="1">
        <v>0</v>
      </c>
      <c r="G228" s="1">
        <v>2000</v>
      </c>
      <c r="H228" s="1" t="s">
        <v>29</v>
      </c>
      <c r="I228" s="1" t="s">
        <v>247</v>
      </c>
      <c r="J228" s="1">
        <v>2000</v>
      </c>
      <c r="M228" s="1" t="s">
        <v>28</v>
      </c>
      <c r="N228" s="1">
        <v>0</v>
      </c>
      <c r="O228" s="1" t="s">
        <v>27</v>
      </c>
      <c r="P228" s="1">
        <v>45245</v>
      </c>
      <c r="Q228" s="1">
        <v>0.47303240740740998</v>
      </c>
      <c r="R228" s="1" t="s">
        <v>908</v>
      </c>
      <c r="S228" s="1" t="s">
        <v>907</v>
      </c>
      <c r="T228" s="1" t="s">
        <v>335</v>
      </c>
      <c r="U228" s="1" t="s">
        <v>24</v>
      </c>
      <c r="V228" s="1">
        <v>1</v>
      </c>
      <c r="W228" s="1" t="s">
        <v>258</v>
      </c>
      <c r="X228" s="1" t="s">
        <v>141</v>
      </c>
      <c r="Y228" s="1" t="s">
        <v>32</v>
      </c>
      <c r="Z228" s="1" t="s">
        <v>32</v>
      </c>
    </row>
    <row r="229" spans="1:26" x14ac:dyDescent="0.35">
      <c r="A229" s="1">
        <v>4001351</v>
      </c>
      <c r="B229" s="1" t="s">
        <v>31</v>
      </c>
      <c r="C229" s="1">
        <v>3300</v>
      </c>
      <c r="D229" s="1" t="s">
        <v>41</v>
      </c>
      <c r="G229" s="1">
        <v>0</v>
      </c>
      <c r="J229" s="1">
        <v>0</v>
      </c>
      <c r="M229" s="1" t="s">
        <v>28</v>
      </c>
      <c r="N229" s="1">
        <v>0</v>
      </c>
      <c r="O229" s="1" t="s">
        <v>277</v>
      </c>
      <c r="P229" s="1">
        <v>44495</v>
      </c>
      <c r="Q229" s="1">
        <v>0.70351851851851999</v>
      </c>
      <c r="R229" s="1">
        <v>0</v>
      </c>
      <c r="U229" s="1" t="s">
        <v>24</v>
      </c>
      <c r="V229" s="1">
        <v>1</v>
      </c>
      <c r="W229" s="1" t="s">
        <v>258</v>
      </c>
      <c r="Y229" s="1" t="s">
        <v>32</v>
      </c>
      <c r="Z229" s="1" t="s">
        <v>23</v>
      </c>
    </row>
    <row r="230" spans="1:26" x14ac:dyDescent="0.35">
      <c r="A230" s="1">
        <v>4001354</v>
      </c>
      <c r="B230" s="1" t="s">
        <v>31</v>
      </c>
      <c r="C230" s="1">
        <v>3300</v>
      </c>
      <c r="D230" s="1" t="s">
        <v>30</v>
      </c>
      <c r="E230" s="1">
        <v>301</v>
      </c>
      <c r="F230" s="1">
        <v>0</v>
      </c>
      <c r="G230" s="1">
        <v>601</v>
      </c>
      <c r="H230" s="1" t="s">
        <v>29</v>
      </c>
      <c r="I230" s="1" t="s">
        <v>71</v>
      </c>
      <c r="J230" s="1">
        <v>400</v>
      </c>
      <c r="M230" s="1" t="s">
        <v>28</v>
      </c>
      <c r="N230" s="1">
        <v>5</v>
      </c>
      <c r="O230" s="1" t="s">
        <v>132</v>
      </c>
      <c r="P230" s="1">
        <v>46036</v>
      </c>
      <c r="Q230" s="1">
        <v>0.42037037037037001</v>
      </c>
      <c r="R230" s="1" t="s">
        <v>906</v>
      </c>
      <c r="S230" s="1" t="s">
        <v>905</v>
      </c>
      <c r="T230" s="1" t="s">
        <v>335</v>
      </c>
      <c r="U230" s="1" t="s">
        <v>24</v>
      </c>
      <c r="V230" s="1">
        <v>1</v>
      </c>
      <c r="W230" s="1" t="s">
        <v>289</v>
      </c>
      <c r="X230" s="1" t="s">
        <v>141</v>
      </c>
      <c r="Y230" s="1" t="s">
        <v>32</v>
      </c>
      <c r="Z230" s="1" t="s">
        <v>32</v>
      </c>
    </row>
    <row r="231" spans="1:26" x14ac:dyDescent="0.35">
      <c r="A231" s="1">
        <v>4001357</v>
      </c>
      <c r="B231" s="1" t="s">
        <v>31</v>
      </c>
      <c r="C231" s="1">
        <v>3300</v>
      </c>
      <c r="D231" s="1" t="s">
        <v>41</v>
      </c>
      <c r="E231" s="1">
        <v>301</v>
      </c>
      <c r="F231" s="1">
        <v>0</v>
      </c>
      <c r="G231" s="1">
        <v>200</v>
      </c>
      <c r="H231" s="1" t="s">
        <v>29</v>
      </c>
      <c r="I231" s="1">
        <v>20</v>
      </c>
      <c r="J231" s="1">
        <v>100</v>
      </c>
      <c r="K231" s="1" t="s">
        <v>24</v>
      </c>
      <c r="M231" s="1" t="s">
        <v>28</v>
      </c>
      <c r="N231" s="1">
        <v>5</v>
      </c>
      <c r="O231" s="1" t="s">
        <v>27</v>
      </c>
      <c r="P231" s="1">
        <v>45450</v>
      </c>
      <c r="Q231" s="1">
        <v>0.47810185185185</v>
      </c>
      <c r="R231" s="1">
        <v>0</v>
      </c>
      <c r="T231" s="1" t="s">
        <v>335</v>
      </c>
      <c r="W231" s="1" t="s">
        <v>258</v>
      </c>
      <c r="Y231" s="1" t="s">
        <v>32</v>
      </c>
      <c r="Z231" s="1" t="s">
        <v>23</v>
      </c>
    </row>
    <row r="232" spans="1:26" x14ac:dyDescent="0.35">
      <c r="A232" s="1">
        <v>4001359</v>
      </c>
      <c r="B232" s="1" t="s">
        <v>31</v>
      </c>
      <c r="C232" s="1">
        <v>3300</v>
      </c>
      <c r="D232" s="1" t="s">
        <v>30</v>
      </c>
      <c r="E232" s="1">
        <v>301</v>
      </c>
      <c r="F232" s="1">
        <v>0</v>
      </c>
      <c r="G232" s="1">
        <v>455</v>
      </c>
      <c r="H232" s="1" t="s">
        <v>29</v>
      </c>
      <c r="I232" s="1">
        <v>20</v>
      </c>
      <c r="J232" s="1">
        <v>400</v>
      </c>
      <c r="M232" s="1" t="s">
        <v>28</v>
      </c>
      <c r="N232" s="1">
        <v>5</v>
      </c>
      <c r="O232" s="1" t="s">
        <v>743</v>
      </c>
      <c r="P232" s="1">
        <v>45016</v>
      </c>
      <c r="Q232" s="1">
        <v>0.73775462962963001</v>
      </c>
      <c r="R232" s="1" t="s">
        <v>904</v>
      </c>
      <c r="S232" s="1" t="s">
        <v>903</v>
      </c>
      <c r="T232" s="1" t="s">
        <v>335</v>
      </c>
      <c r="U232" s="1" t="s">
        <v>24</v>
      </c>
      <c r="V232" s="1">
        <v>1</v>
      </c>
      <c r="W232" s="1" t="s">
        <v>258</v>
      </c>
      <c r="X232" s="1" t="s">
        <v>141</v>
      </c>
      <c r="Y232" s="1" t="s">
        <v>32</v>
      </c>
      <c r="Z232" s="1" t="s">
        <v>32</v>
      </c>
    </row>
    <row r="233" spans="1:26" x14ac:dyDescent="0.35">
      <c r="A233" s="1">
        <v>4001363</v>
      </c>
      <c r="B233" s="1" t="s">
        <v>31</v>
      </c>
      <c r="C233" s="1">
        <v>3300</v>
      </c>
      <c r="D233" s="1" t="s">
        <v>30</v>
      </c>
      <c r="E233" s="1">
        <v>301</v>
      </c>
      <c r="F233" s="1">
        <v>0</v>
      </c>
      <c r="G233" s="1">
        <v>100</v>
      </c>
      <c r="H233" s="1" t="s">
        <v>29</v>
      </c>
      <c r="I233" s="1" t="s">
        <v>71</v>
      </c>
      <c r="J233" s="1">
        <v>200</v>
      </c>
      <c r="M233" s="1" t="s">
        <v>28</v>
      </c>
      <c r="N233" s="1">
        <v>0</v>
      </c>
      <c r="O233" s="1" t="s">
        <v>27</v>
      </c>
      <c r="P233" s="1">
        <v>45924</v>
      </c>
      <c r="Q233" s="1">
        <v>0.51905092592593005</v>
      </c>
      <c r="R233" s="1">
        <v>0</v>
      </c>
      <c r="T233" s="1" t="s">
        <v>335</v>
      </c>
      <c r="U233" s="1" t="s">
        <v>24</v>
      </c>
      <c r="V233" s="1">
        <v>1</v>
      </c>
      <c r="W233" s="1" t="s">
        <v>258</v>
      </c>
      <c r="X233" s="1" t="s">
        <v>141</v>
      </c>
      <c r="Y233" s="1" t="s">
        <v>32</v>
      </c>
      <c r="Z233" s="1" t="s">
        <v>32</v>
      </c>
    </row>
    <row r="234" spans="1:26" x14ac:dyDescent="0.35">
      <c r="A234" s="1">
        <v>4001364</v>
      </c>
      <c r="B234" s="1" t="s">
        <v>31</v>
      </c>
      <c r="C234" s="1">
        <v>3300</v>
      </c>
      <c r="D234" s="1" t="s">
        <v>30</v>
      </c>
      <c r="E234" s="1">
        <v>301</v>
      </c>
      <c r="F234" s="1">
        <v>0</v>
      </c>
      <c r="G234" s="1">
        <v>1000</v>
      </c>
      <c r="H234" s="1" t="s">
        <v>29</v>
      </c>
      <c r="I234" s="1" t="s">
        <v>71</v>
      </c>
      <c r="J234" s="1">
        <v>600</v>
      </c>
      <c r="M234" s="1" t="s">
        <v>28</v>
      </c>
      <c r="N234" s="1">
        <v>0</v>
      </c>
      <c r="O234" s="1" t="s">
        <v>27</v>
      </c>
      <c r="P234" s="1">
        <v>45659</v>
      </c>
      <c r="Q234" s="1">
        <v>0.29423611111110998</v>
      </c>
      <c r="R234" s="1" t="s">
        <v>902</v>
      </c>
      <c r="S234" s="1" t="s">
        <v>901</v>
      </c>
      <c r="U234" s="1" t="s">
        <v>24</v>
      </c>
      <c r="V234" s="1">
        <v>1</v>
      </c>
      <c r="W234" s="1" t="s">
        <v>271</v>
      </c>
      <c r="X234" s="1" t="s">
        <v>141</v>
      </c>
      <c r="Y234" s="1" t="s">
        <v>32</v>
      </c>
      <c r="Z234" s="1" t="s">
        <v>32</v>
      </c>
    </row>
    <row r="235" spans="1:26" x14ac:dyDescent="0.35">
      <c r="A235" s="1">
        <v>4001365</v>
      </c>
      <c r="B235" s="1" t="s">
        <v>31</v>
      </c>
      <c r="C235" s="1">
        <v>3300</v>
      </c>
      <c r="D235" s="1" t="s">
        <v>30</v>
      </c>
      <c r="E235" s="1">
        <v>301</v>
      </c>
      <c r="F235" s="1">
        <v>0</v>
      </c>
      <c r="G235" s="1">
        <v>34</v>
      </c>
      <c r="H235" s="1" t="s">
        <v>29</v>
      </c>
      <c r="I235" s="1">
        <v>20</v>
      </c>
      <c r="J235" s="1">
        <v>60</v>
      </c>
      <c r="M235" s="1" t="s">
        <v>28</v>
      </c>
      <c r="N235" s="1">
        <v>5</v>
      </c>
      <c r="O235" s="1" t="s">
        <v>27</v>
      </c>
      <c r="P235" s="1">
        <v>44872</v>
      </c>
      <c r="Q235" s="1">
        <v>0.53929398148148</v>
      </c>
      <c r="R235" s="1" t="s">
        <v>900</v>
      </c>
      <c r="S235" s="1" t="s">
        <v>899</v>
      </c>
      <c r="T235" s="1" t="s">
        <v>335</v>
      </c>
      <c r="U235" s="1" t="s">
        <v>24</v>
      </c>
      <c r="V235" s="1">
        <v>1</v>
      </c>
      <c r="W235" s="1" t="s">
        <v>258</v>
      </c>
      <c r="Y235" s="1" t="s">
        <v>32</v>
      </c>
      <c r="Z235" s="1" t="s">
        <v>23</v>
      </c>
    </row>
    <row r="236" spans="1:26" x14ac:dyDescent="0.35">
      <c r="A236" s="1">
        <v>4001366</v>
      </c>
      <c r="B236" s="1" t="s">
        <v>31</v>
      </c>
      <c r="C236" s="1">
        <v>3300</v>
      </c>
      <c r="D236" s="1" t="s">
        <v>30</v>
      </c>
      <c r="E236" s="1">
        <v>301</v>
      </c>
      <c r="F236" s="1">
        <v>0</v>
      </c>
      <c r="G236" s="1">
        <v>100</v>
      </c>
      <c r="H236" s="1" t="s">
        <v>29</v>
      </c>
      <c r="I236" s="1" t="s">
        <v>71</v>
      </c>
      <c r="J236" s="1">
        <v>180</v>
      </c>
      <c r="M236" s="1" t="s">
        <v>28</v>
      </c>
      <c r="N236" s="1">
        <v>0</v>
      </c>
      <c r="O236" s="1" t="s">
        <v>27</v>
      </c>
      <c r="P236" s="1">
        <v>46057</v>
      </c>
      <c r="Q236" s="1">
        <v>0.33799768518519002</v>
      </c>
      <c r="R236" s="1" t="s">
        <v>898</v>
      </c>
      <c r="S236" s="1" t="s">
        <v>897</v>
      </c>
      <c r="T236" s="1" t="s">
        <v>335</v>
      </c>
      <c r="U236" s="1" t="s">
        <v>24</v>
      </c>
      <c r="V236" s="1">
        <v>1</v>
      </c>
      <c r="W236" s="1" t="s">
        <v>258</v>
      </c>
      <c r="X236" s="1" t="s">
        <v>141</v>
      </c>
      <c r="Y236" s="1" t="s">
        <v>32</v>
      </c>
      <c r="Z236" s="1" t="s">
        <v>32</v>
      </c>
    </row>
    <row r="237" spans="1:26" x14ac:dyDescent="0.35">
      <c r="A237" s="1">
        <v>4001367</v>
      </c>
      <c r="B237" s="1" t="s">
        <v>31</v>
      </c>
      <c r="C237" s="1">
        <v>3300</v>
      </c>
      <c r="D237" s="1" t="s">
        <v>30</v>
      </c>
      <c r="E237" s="1">
        <v>301</v>
      </c>
      <c r="F237" s="1">
        <v>0</v>
      </c>
      <c r="G237" s="1">
        <v>200</v>
      </c>
      <c r="H237" s="1" t="s">
        <v>29</v>
      </c>
      <c r="I237" s="1" t="s">
        <v>247</v>
      </c>
      <c r="J237" s="1">
        <v>600</v>
      </c>
      <c r="M237" s="1" t="s">
        <v>28</v>
      </c>
      <c r="N237" s="1">
        <v>0</v>
      </c>
      <c r="O237" s="1" t="s">
        <v>389</v>
      </c>
      <c r="P237" s="1">
        <v>44463</v>
      </c>
      <c r="Q237" s="1">
        <v>0.61228009259258998</v>
      </c>
      <c r="R237" s="1">
        <v>0</v>
      </c>
      <c r="U237" s="1" t="s">
        <v>24</v>
      </c>
      <c r="V237" s="1">
        <v>1</v>
      </c>
      <c r="W237" s="1" t="s">
        <v>258</v>
      </c>
      <c r="Y237" s="1" t="s">
        <v>32</v>
      </c>
      <c r="Z237" s="1" t="s">
        <v>23</v>
      </c>
    </row>
    <row r="238" spans="1:26" x14ac:dyDescent="0.35">
      <c r="A238" s="1">
        <v>4001368</v>
      </c>
      <c r="B238" s="1" t="s">
        <v>31</v>
      </c>
      <c r="C238" s="1">
        <v>3300</v>
      </c>
      <c r="D238" s="1" t="s">
        <v>30</v>
      </c>
      <c r="E238" s="1">
        <v>301</v>
      </c>
      <c r="F238" s="1">
        <v>0</v>
      </c>
      <c r="G238" s="1">
        <v>1200</v>
      </c>
      <c r="H238" s="1" t="s">
        <v>29</v>
      </c>
      <c r="I238" s="1" t="s">
        <v>71</v>
      </c>
      <c r="J238" s="1">
        <v>1000</v>
      </c>
      <c r="M238" s="1" t="s">
        <v>28</v>
      </c>
      <c r="N238" s="1">
        <v>0</v>
      </c>
      <c r="O238" s="1" t="s">
        <v>27</v>
      </c>
      <c r="P238" s="1">
        <v>45993</v>
      </c>
      <c r="Q238" s="1">
        <v>0.28533564814814999</v>
      </c>
      <c r="R238" s="1" t="s">
        <v>896</v>
      </c>
      <c r="S238" s="1" t="s">
        <v>895</v>
      </c>
      <c r="U238" s="1" t="s">
        <v>24</v>
      </c>
      <c r="V238" s="1">
        <v>1</v>
      </c>
      <c r="W238" s="1" t="s">
        <v>289</v>
      </c>
      <c r="Y238" s="1" t="s">
        <v>32</v>
      </c>
      <c r="Z238" s="1" t="s">
        <v>23</v>
      </c>
    </row>
    <row r="239" spans="1:26" x14ac:dyDescent="0.35">
      <c r="A239" s="1">
        <v>4001369</v>
      </c>
      <c r="B239" s="1" t="s">
        <v>31</v>
      </c>
      <c r="C239" s="1">
        <v>3300</v>
      </c>
      <c r="D239" s="1" t="s">
        <v>30</v>
      </c>
      <c r="E239" s="1">
        <v>301</v>
      </c>
      <c r="F239" s="1">
        <v>0</v>
      </c>
      <c r="G239" s="1">
        <v>1000</v>
      </c>
      <c r="H239" s="1" t="s">
        <v>29</v>
      </c>
      <c r="I239" s="1" t="s">
        <v>71</v>
      </c>
      <c r="J239" s="1">
        <v>1000</v>
      </c>
      <c r="M239" s="1" t="s">
        <v>28</v>
      </c>
      <c r="N239" s="1">
        <v>0</v>
      </c>
      <c r="O239" s="1" t="s">
        <v>199</v>
      </c>
      <c r="P239" s="1">
        <v>46072</v>
      </c>
      <c r="Q239" s="1">
        <v>0.47210648148147999</v>
      </c>
      <c r="R239" s="1" t="s">
        <v>894</v>
      </c>
      <c r="S239" s="1" t="s">
        <v>893</v>
      </c>
      <c r="U239" s="1" t="s">
        <v>24</v>
      </c>
      <c r="V239" s="1">
        <v>1</v>
      </c>
      <c r="W239" s="1" t="s">
        <v>258</v>
      </c>
      <c r="Y239" s="1" t="s">
        <v>32</v>
      </c>
      <c r="Z239" s="1" t="s">
        <v>23</v>
      </c>
    </row>
    <row r="240" spans="1:26" x14ac:dyDescent="0.35">
      <c r="A240" s="1">
        <v>4001371</v>
      </c>
      <c r="B240" s="1" t="s">
        <v>31</v>
      </c>
      <c r="C240" s="1">
        <v>3300</v>
      </c>
      <c r="D240" s="1" t="s">
        <v>30</v>
      </c>
      <c r="E240" s="1">
        <v>301</v>
      </c>
      <c r="F240" s="1">
        <v>0</v>
      </c>
      <c r="G240" s="1">
        <v>14</v>
      </c>
      <c r="H240" s="1" t="s">
        <v>29</v>
      </c>
      <c r="I240" s="1" t="s">
        <v>247</v>
      </c>
      <c r="J240" s="1">
        <v>7</v>
      </c>
      <c r="M240" s="1" t="s">
        <v>28</v>
      </c>
      <c r="N240" s="1">
        <v>0</v>
      </c>
      <c r="O240" s="1" t="s">
        <v>166</v>
      </c>
      <c r="P240" s="1">
        <v>45036</v>
      </c>
      <c r="Q240" s="1">
        <v>0.44420138888888999</v>
      </c>
      <c r="R240" s="1">
        <v>0</v>
      </c>
      <c r="T240" s="1" t="s">
        <v>335</v>
      </c>
      <c r="U240" s="1" t="s">
        <v>24</v>
      </c>
      <c r="V240" s="1">
        <v>1</v>
      </c>
      <c r="W240" s="1" t="s">
        <v>258</v>
      </c>
      <c r="Y240" s="1" t="s">
        <v>32</v>
      </c>
      <c r="Z240" s="1" t="s">
        <v>23</v>
      </c>
    </row>
    <row r="241" spans="1:26" x14ac:dyDescent="0.35">
      <c r="A241" s="1">
        <v>4001373</v>
      </c>
      <c r="B241" s="1" t="s">
        <v>31</v>
      </c>
      <c r="C241" s="1">
        <v>3300</v>
      </c>
      <c r="D241" s="1" t="s">
        <v>41</v>
      </c>
      <c r="G241" s="1">
        <v>0</v>
      </c>
      <c r="J241" s="1">
        <v>0</v>
      </c>
      <c r="M241" s="1" t="s">
        <v>28</v>
      </c>
      <c r="N241" s="1">
        <v>0</v>
      </c>
      <c r="O241" s="1" t="s">
        <v>277</v>
      </c>
      <c r="P241" s="1">
        <v>44495</v>
      </c>
      <c r="Q241" s="1">
        <v>0.70790509259259005</v>
      </c>
      <c r="R241" s="1">
        <v>0</v>
      </c>
      <c r="U241" s="1" t="s">
        <v>24</v>
      </c>
      <c r="V241" s="1">
        <v>1</v>
      </c>
      <c r="W241" s="1" t="s">
        <v>258</v>
      </c>
      <c r="Y241" s="1" t="s">
        <v>32</v>
      </c>
      <c r="Z241" s="1" t="s">
        <v>23</v>
      </c>
    </row>
    <row r="242" spans="1:26" x14ac:dyDescent="0.35">
      <c r="A242" s="1">
        <v>4001374</v>
      </c>
      <c r="B242" s="1" t="s">
        <v>31</v>
      </c>
      <c r="C242" s="1">
        <v>3300</v>
      </c>
      <c r="D242" s="1" t="s">
        <v>41</v>
      </c>
      <c r="G242" s="1">
        <v>0</v>
      </c>
      <c r="J242" s="1">
        <v>0</v>
      </c>
      <c r="M242" s="1" t="s">
        <v>28</v>
      </c>
      <c r="N242" s="1">
        <v>0</v>
      </c>
      <c r="O242" s="1" t="s">
        <v>277</v>
      </c>
      <c r="P242" s="1">
        <v>44495</v>
      </c>
      <c r="Q242" s="1">
        <v>0.71089120370369996</v>
      </c>
      <c r="R242" s="1">
        <v>0</v>
      </c>
      <c r="U242" s="1" t="s">
        <v>24</v>
      </c>
      <c r="V242" s="1">
        <v>1</v>
      </c>
      <c r="W242" s="1" t="s">
        <v>258</v>
      </c>
      <c r="Y242" s="1" t="s">
        <v>32</v>
      </c>
      <c r="Z242" s="1" t="s">
        <v>23</v>
      </c>
    </row>
    <row r="243" spans="1:26" x14ac:dyDescent="0.35">
      <c r="A243" s="1">
        <v>4001376</v>
      </c>
      <c r="B243" s="1" t="s">
        <v>31</v>
      </c>
      <c r="C243" s="1">
        <v>3300</v>
      </c>
      <c r="D243" s="1" t="s">
        <v>30</v>
      </c>
      <c r="E243" s="1">
        <v>301</v>
      </c>
      <c r="F243" s="1">
        <v>0</v>
      </c>
      <c r="G243" s="1">
        <v>1400</v>
      </c>
      <c r="H243" s="1" t="s">
        <v>29</v>
      </c>
      <c r="I243" s="1" t="s">
        <v>71</v>
      </c>
      <c r="J243" s="1">
        <v>400</v>
      </c>
      <c r="M243" s="1" t="s">
        <v>28</v>
      </c>
      <c r="N243" s="1">
        <v>5</v>
      </c>
      <c r="O243" s="1" t="s">
        <v>132</v>
      </c>
      <c r="P243" s="1">
        <v>46036</v>
      </c>
      <c r="Q243" s="1">
        <v>0.42037037037037001</v>
      </c>
      <c r="R243" s="1">
        <v>0</v>
      </c>
      <c r="T243" s="1" t="s">
        <v>335</v>
      </c>
      <c r="U243" s="1" t="s">
        <v>24</v>
      </c>
      <c r="V243" s="1">
        <v>1</v>
      </c>
      <c r="W243" s="1" t="s">
        <v>258</v>
      </c>
      <c r="X243" s="1" t="s">
        <v>141</v>
      </c>
      <c r="Y243" s="1" t="s">
        <v>32</v>
      </c>
      <c r="Z243" s="1" t="s">
        <v>32</v>
      </c>
    </row>
    <row r="244" spans="1:26" x14ac:dyDescent="0.35">
      <c r="A244" s="1">
        <v>4001379</v>
      </c>
      <c r="B244" s="1" t="s">
        <v>31</v>
      </c>
      <c r="C244" s="1">
        <v>3300</v>
      </c>
      <c r="D244" s="1" t="s">
        <v>30</v>
      </c>
      <c r="E244" s="1">
        <v>301</v>
      </c>
      <c r="F244" s="1">
        <v>0</v>
      </c>
      <c r="G244" s="1">
        <v>120</v>
      </c>
      <c r="H244" s="1" t="s">
        <v>29</v>
      </c>
      <c r="I244" s="1" t="s">
        <v>247</v>
      </c>
      <c r="J244" s="1">
        <v>80</v>
      </c>
      <c r="M244" s="1" t="s">
        <v>28</v>
      </c>
      <c r="N244" s="1">
        <v>0</v>
      </c>
      <c r="O244" s="1" t="s">
        <v>27</v>
      </c>
      <c r="P244" s="1">
        <v>46042</v>
      </c>
      <c r="Q244" s="1">
        <v>0.39643518518519</v>
      </c>
      <c r="R244" s="1">
        <v>0</v>
      </c>
      <c r="T244" s="1" t="s">
        <v>335</v>
      </c>
      <c r="U244" s="1" t="s">
        <v>24</v>
      </c>
      <c r="V244" s="1">
        <v>1</v>
      </c>
      <c r="W244" s="1" t="s">
        <v>289</v>
      </c>
      <c r="X244" s="1" t="s">
        <v>24</v>
      </c>
      <c r="Y244" s="1" t="s">
        <v>32</v>
      </c>
      <c r="Z244" s="1" t="s">
        <v>32</v>
      </c>
    </row>
    <row r="245" spans="1:26" x14ac:dyDescent="0.35">
      <c r="A245" s="1">
        <v>4001380</v>
      </c>
      <c r="B245" s="1" t="s">
        <v>31</v>
      </c>
      <c r="C245" s="1">
        <v>3300</v>
      </c>
      <c r="D245" s="1" t="s">
        <v>30</v>
      </c>
      <c r="E245" s="1">
        <v>301</v>
      </c>
      <c r="F245" s="1">
        <v>0</v>
      </c>
      <c r="G245" s="1">
        <v>320</v>
      </c>
      <c r="H245" s="1" t="s">
        <v>29</v>
      </c>
      <c r="I245" s="1">
        <v>20</v>
      </c>
      <c r="J245" s="1">
        <v>320</v>
      </c>
      <c r="M245" s="1" t="s">
        <v>28</v>
      </c>
      <c r="N245" s="1">
        <v>5</v>
      </c>
      <c r="O245" s="1" t="s">
        <v>199</v>
      </c>
      <c r="P245" s="1">
        <v>46037</v>
      </c>
      <c r="Q245" s="1">
        <v>0.45030092592593002</v>
      </c>
      <c r="R245" s="1">
        <v>0</v>
      </c>
      <c r="T245" s="1" t="s">
        <v>335</v>
      </c>
      <c r="U245" s="1" t="s">
        <v>24</v>
      </c>
      <c r="V245" s="1">
        <v>1</v>
      </c>
      <c r="W245" s="1" t="s">
        <v>258</v>
      </c>
      <c r="Y245" s="1" t="s">
        <v>32</v>
      </c>
      <c r="Z245" s="1" t="s">
        <v>23</v>
      </c>
    </row>
    <row r="246" spans="1:26" x14ac:dyDescent="0.35">
      <c r="A246" s="1">
        <v>4001383</v>
      </c>
      <c r="B246" s="1" t="s">
        <v>31</v>
      </c>
      <c r="C246" s="1">
        <v>3300</v>
      </c>
      <c r="D246" s="1" t="s">
        <v>30</v>
      </c>
      <c r="E246" s="1">
        <v>301</v>
      </c>
      <c r="F246" s="1">
        <v>0</v>
      </c>
      <c r="G246" s="1">
        <v>70</v>
      </c>
      <c r="H246" s="1" t="s">
        <v>29</v>
      </c>
      <c r="I246" s="1" t="s">
        <v>247</v>
      </c>
      <c r="J246" s="1">
        <v>100</v>
      </c>
      <c r="M246" s="1" t="s">
        <v>28</v>
      </c>
      <c r="N246" s="1">
        <v>0</v>
      </c>
      <c r="O246" s="1" t="s">
        <v>27</v>
      </c>
      <c r="P246" s="1">
        <v>46042</v>
      </c>
      <c r="Q246" s="1">
        <v>0.39881944444444001</v>
      </c>
      <c r="R246" s="1" t="s">
        <v>892</v>
      </c>
      <c r="S246" s="1" t="s">
        <v>891</v>
      </c>
      <c r="T246" s="1" t="s">
        <v>335</v>
      </c>
      <c r="U246" s="1" t="s">
        <v>24</v>
      </c>
      <c r="V246" s="1">
        <v>1</v>
      </c>
      <c r="W246" s="1" t="s">
        <v>289</v>
      </c>
      <c r="X246" s="1" t="s">
        <v>24</v>
      </c>
      <c r="Y246" s="1" t="s">
        <v>32</v>
      </c>
      <c r="Z246" s="1" t="s">
        <v>32</v>
      </c>
    </row>
    <row r="247" spans="1:26" x14ac:dyDescent="0.35">
      <c r="A247" s="1">
        <v>4001384</v>
      </c>
      <c r="B247" s="1" t="s">
        <v>31</v>
      </c>
      <c r="C247" s="1">
        <v>3300</v>
      </c>
      <c r="D247" s="1" t="s">
        <v>30</v>
      </c>
      <c r="E247" s="1">
        <v>301</v>
      </c>
      <c r="F247" s="1">
        <v>0</v>
      </c>
      <c r="G247" s="1">
        <v>70</v>
      </c>
      <c r="H247" s="1" t="s">
        <v>29</v>
      </c>
      <c r="I247" s="1" t="s">
        <v>247</v>
      </c>
      <c r="J247" s="1">
        <v>100</v>
      </c>
      <c r="M247" s="1" t="s">
        <v>28</v>
      </c>
      <c r="N247" s="1">
        <v>0</v>
      </c>
      <c r="O247" s="1" t="s">
        <v>27</v>
      </c>
      <c r="P247" s="1">
        <v>46042</v>
      </c>
      <c r="Q247" s="1">
        <v>0.39841435185184998</v>
      </c>
      <c r="R247" s="1">
        <v>0</v>
      </c>
      <c r="T247" s="1" t="s">
        <v>335</v>
      </c>
      <c r="U247" s="1" t="s">
        <v>24</v>
      </c>
      <c r="V247" s="1">
        <v>1</v>
      </c>
      <c r="W247" s="1" t="s">
        <v>289</v>
      </c>
      <c r="X247" s="1" t="s">
        <v>24</v>
      </c>
      <c r="Y247" s="1" t="s">
        <v>32</v>
      </c>
      <c r="Z247" s="1" t="s">
        <v>32</v>
      </c>
    </row>
    <row r="248" spans="1:26" x14ac:dyDescent="0.35">
      <c r="A248" s="1">
        <v>4001385</v>
      </c>
      <c r="B248" s="1" t="s">
        <v>31</v>
      </c>
      <c r="C248" s="1">
        <v>3300</v>
      </c>
      <c r="D248" s="1" t="s">
        <v>30</v>
      </c>
      <c r="E248" s="1">
        <v>301</v>
      </c>
      <c r="F248" s="1">
        <v>0</v>
      </c>
      <c r="G248" s="1">
        <v>200</v>
      </c>
      <c r="H248" s="1" t="s">
        <v>29</v>
      </c>
      <c r="I248" s="1" t="s">
        <v>71</v>
      </c>
      <c r="J248" s="1">
        <v>100</v>
      </c>
      <c r="M248" s="1" t="s">
        <v>28</v>
      </c>
      <c r="N248" s="1">
        <v>0</v>
      </c>
      <c r="O248" s="1" t="s">
        <v>132</v>
      </c>
      <c r="P248" s="1">
        <v>46036</v>
      </c>
      <c r="Q248" s="1">
        <v>0.42037037037037001</v>
      </c>
      <c r="R248" s="1" t="s">
        <v>890</v>
      </c>
      <c r="S248" s="1" t="s">
        <v>889</v>
      </c>
      <c r="U248" s="1" t="s">
        <v>24</v>
      </c>
      <c r="V248" s="1">
        <v>1</v>
      </c>
      <c r="W248" s="1" t="s">
        <v>258</v>
      </c>
      <c r="X248" s="1" t="s">
        <v>24</v>
      </c>
      <c r="Y248" s="1" t="s">
        <v>32</v>
      </c>
      <c r="Z248" s="1" t="s">
        <v>32</v>
      </c>
    </row>
    <row r="249" spans="1:26" x14ac:dyDescent="0.35">
      <c r="A249" s="1">
        <v>4001387</v>
      </c>
      <c r="B249" s="1" t="s">
        <v>31</v>
      </c>
      <c r="C249" s="1">
        <v>3300</v>
      </c>
      <c r="D249" s="1" t="s">
        <v>30</v>
      </c>
      <c r="E249" s="1">
        <v>301</v>
      </c>
      <c r="F249" s="1">
        <v>0</v>
      </c>
      <c r="G249" s="1">
        <v>1500</v>
      </c>
      <c r="H249" s="1" t="s">
        <v>29</v>
      </c>
      <c r="I249" s="1">
        <v>20</v>
      </c>
      <c r="J249" s="1">
        <v>560</v>
      </c>
      <c r="M249" s="1" t="s">
        <v>28</v>
      </c>
      <c r="N249" s="1">
        <v>5</v>
      </c>
      <c r="O249" s="1" t="s">
        <v>277</v>
      </c>
      <c r="P249" s="1">
        <v>44804</v>
      </c>
      <c r="Q249" s="1">
        <v>0.46351851851852</v>
      </c>
      <c r="R249" s="1">
        <v>0</v>
      </c>
      <c r="T249" s="1" t="s">
        <v>335</v>
      </c>
      <c r="U249" s="1" t="s">
        <v>24</v>
      </c>
      <c r="V249" s="1">
        <v>1</v>
      </c>
      <c r="W249" s="1" t="s">
        <v>258</v>
      </c>
      <c r="Y249" s="1" t="s">
        <v>32</v>
      </c>
      <c r="Z249" s="1" t="s">
        <v>23</v>
      </c>
    </row>
    <row r="250" spans="1:26" x14ac:dyDescent="0.35">
      <c r="A250" s="1">
        <v>4001388</v>
      </c>
      <c r="B250" s="1" t="s">
        <v>31</v>
      </c>
      <c r="C250" s="1">
        <v>3300</v>
      </c>
      <c r="D250" s="1" t="s">
        <v>30</v>
      </c>
      <c r="E250" s="1">
        <v>301</v>
      </c>
      <c r="F250" s="1">
        <v>0</v>
      </c>
      <c r="G250" s="1">
        <v>1150</v>
      </c>
      <c r="H250" s="1" t="s">
        <v>29</v>
      </c>
      <c r="I250" s="1">
        <v>20</v>
      </c>
      <c r="J250" s="1">
        <v>400</v>
      </c>
      <c r="M250" s="1" t="s">
        <v>28</v>
      </c>
      <c r="N250" s="1">
        <v>5</v>
      </c>
      <c r="O250" s="1" t="s">
        <v>277</v>
      </c>
      <c r="P250" s="1">
        <v>44803</v>
      </c>
      <c r="Q250" s="1">
        <v>0.47762731481481002</v>
      </c>
      <c r="R250" s="1" t="s">
        <v>888</v>
      </c>
      <c r="S250" s="1" t="s">
        <v>887</v>
      </c>
      <c r="T250" s="1" t="s">
        <v>335</v>
      </c>
      <c r="U250" s="1" t="s">
        <v>24</v>
      </c>
      <c r="V250" s="1">
        <v>1</v>
      </c>
      <c r="W250" s="1" t="s">
        <v>258</v>
      </c>
      <c r="Y250" s="1" t="s">
        <v>32</v>
      </c>
      <c r="Z250" s="1" t="s">
        <v>23</v>
      </c>
    </row>
    <row r="251" spans="1:26" x14ac:dyDescent="0.35">
      <c r="A251" s="1">
        <v>4001390</v>
      </c>
      <c r="B251" s="1" t="s">
        <v>31</v>
      </c>
      <c r="C251" s="1">
        <v>3300</v>
      </c>
      <c r="D251" s="1" t="s">
        <v>30</v>
      </c>
      <c r="E251" s="1">
        <v>301</v>
      </c>
      <c r="F251" s="1">
        <v>0</v>
      </c>
      <c r="G251" s="1">
        <v>1000</v>
      </c>
      <c r="H251" s="1" t="s">
        <v>29</v>
      </c>
      <c r="I251" s="1" t="s">
        <v>247</v>
      </c>
      <c r="J251" s="1">
        <v>2400</v>
      </c>
      <c r="M251" s="1" t="s">
        <v>28</v>
      </c>
      <c r="N251" s="1">
        <v>0</v>
      </c>
      <c r="O251" s="1" t="s">
        <v>389</v>
      </c>
      <c r="P251" s="1">
        <v>44463</v>
      </c>
      <c r="Q251" s="1">
        <v>0.61229166666667001</v>
      </c>
      <c r="R251" s="1">
        <v>0</v>
      </c>
      <c r="U251" s="1" t="s">
        <v>24</v>
      </c>
      <c r="V251" s="1">
        <v>1</v>
      </c>
      <c r="W251" s="1" t="s">
        <v>258</v>
      </c>
      <c r="Y251" s="1" t="s">
        <v>32</v>
      </c>
      <c r="Z251" s="1" t="s">
        <v>23</v>
      </c>
    </row>
    <row r="252" spans="1:26" x14ac:dyDescent="0.35">
      <c r="A252" s="1">
        <v>4001396</v>
      </c>
      <c r="B252" s="1" t="s">
        <v>31</v>
      </c>
      <c r="C252" s="1">
        <v>3300</v>
      </c>
      <c r="D252" s="1" t="s">
        <v>30</v>
      </c>
      <c r="E252" s="1">
        <v>301</v>
      </c>
      <c r="F252" s="1">
        <v>0</v>
      </c>
      <c r="G252" s="1">
        <v>100</v>
      </c>
      <c r="H252" s="1" t="s">
        <v>29</v>
      </c>
      <c r="I252" s="1" t="s">
        <v>71</v>
      </c>
      <c r="J252" s="1">
        <v>50</v>
      </c>
      <c r="M252" s="1" t="s">
        <v>28</v>
      </c>
      <c r="N252" s="1">
        <v>5</v>
      </c>
      <c r="O252" s="1" t="s">
        <v>132</v>
      </c>
      <c r="P252" s="1">
        <v>46036</v>
      </c>
      <c r="Q252" s="1">
        <v>0.42037037037037001</v>
      </c>
      <c r="R252" s="1" t="s">
        <v>886</v>
      </c>
      <c r="S252" s="1" t="s">
        <v>885</v>
      </c>
      <c r="T252" s="1" t="s">
        <v>335</v>
      </c>
      <c r="U252" s="1" t="s">
        <v>24</v>
      </c>
      <c r="V252" s="1">
        <v>1</v>
      </c>
      <c r="W252" s="1" t="s">
        <v>258</v>
      </c>
      <c r="X252" s="1" t="s">
        <v>24</v>
      </c>
      <c r="Y252" s="1" t="s">
        <v>32</v>
      </c>
      <c r="Z252" s="1" t="s">
        <v>32</v>
      </c>
    </row>
    <row r="253" spans="1:26" x14ac:dyDescent="0.35">
      <c r="A253" s="1">
        <v>4001401</v>
      </c>
      <c r="B253" s="1" t="s">
        <v>31</v>
      </c>
      <c r="C253" s="1">
        <v>3300</v>
      </c>
      <c r="D253" s="1" t="s">
        <v>30</v>
      </c>
      <c r="E253" s="1">
        <v>301</v>
      </c>
      <c r="F253" s="1">
        <v>0</v>
      </c>
      <c r="G253" s="1">
        <v>300</v>
      </c>
      <c r="H253" s="1" t="s">
        <v>29</v>
      </c>
      <c r="I253" s="1" t="s">
        <v>247</v>
      </c>
      <c r="J253" s="1">
        <v>200</v>
      </c>
      <c r="M253" s="1" t="s">
        <v>28</v>
      </c>
      <c r="N253" s="1">
        <v>5</v>
      </c>
      <c r="O253" s="1" t="s">
        <v>166</v>
      </c>
      <c r="P253" s="1">
        <v>45035</v>
      </c>
      <c r="Q253" s="1">
        <v>0.4316087962963</v>
      </c>
      <c r="R253" s="1">
        <v>0</v>
      </c>
      <c r="T253" s="1" t="s">
        <v>335</v>
      </c>
      <c r="U253" s="1" t="s">
        <v>24</v>
      </c>
      <c r="V253" s="1">
        <v>1</v>
      </c>
      <c r="W253" s="1" t="s">
        <v>271</v>
      </c>
      <c r="Y253" s="1" t="s">
        <v>32</v>
      </c>
      <c r="Z253" s="1" t="s">
        <v>23</v>
      </c>
    </row>
    <row r="254" spans="1:26" x14ac:dyDescent="0.35">
      <c r="A254" s="1">
        <v>4001403</v>
      </c>
      <c r="B254" s="1" t="s">
        <v>31</v>
      </c>
      <c r="C254" s="1">
        <v>3300</v>
      </c>
      <c r="D254" s="1" t="s">
        <v>30</v>
      </c>
      <c r="E254" s="1">
        <v>301</v>
      </c>
      <c r="F254" s="1">
        <v>0</v>
      </c>
      <c r="G254" s="1">
        <v>300</v>
      </c>
      <c r="H254" s="1" t="s">
        <v>29</v>
      </c>
      <c r="I254" s="1">
        <v>20</v>
      </c>
      <c r="J254" s="1">
        <v>200</v>
      </c>
      <c r="M254" s="1" t="s">
        <v>28</v>
      </c>
      <c r="N254" s="1">
        <v>5</v>
      </c>
      <c r="O254" s="1" t="s">
        <v>166</v>
      </c>
      <c r="P254" s="1">
        <v>45880</v>
      </c>
      <c r="Q254" s="1">
        <v>0.53711805555556003</v>
      </c>
      <c r="R254" s="1" t="s">
        <v>884</v>
      </c>
      <c r="S254" s="1" t="s">
        <v>883</v>
      </c>
      <c r="T254" s="1" t="s">
        <v>335</v>
      </c>
      <c r="U254" s="1" t="s">
        <v>24</v>
      </c>
      <c r="V254" s="1">
        <v>1</v>
      </c>
      <c r="W254" s="1" t="s">
        <v>271</v>
      </c>
      <c r="Y254" s="1" t="s">
        <v>32</v>
      </c>
      <c r="Z254" s="1" t="s">
        <v>23</v>
      </c>
    </row>
    <row r="255" spans="1:26" x14ac:dyDescent="0.35">
      <c r="A255" s="1">
        <v>4001449</v>
      </c>
      <c r="B255" s="1" t="s">
        <v>31</v>
      </c>
      <c r="C255" s="1">
        <v>3300</v>
      </c>
      <c r="D255" s="1" t="s">
        <v>30</v>
      </c>
      <c r="E255" s="1">
        <v>301</v>
      </c>
      <c r="F255" s="1">
        <v>0</v>
      </c>
      <c r="G255" s="1">
        <v>20</v>
      </c>
      <c r="H255" s="1" t="s">
        <v>29</v>
      </c>
      <c r="I255" s="1" t="s">
        <v>71</v>
      </c>
      <c r="J255" s="1">
        <v>20</v>
      </c>
      <c r="M255" s="1" t="s">
        <v>28</v>
      </c>
      <c r="N255" s="1">
        <v>0</v>
      </c>
      <c r="O255" s="1" t="s">
        <v>132</v>
      </c>
      <c r="P255" s="1">
        <v>46036</v>
      </c>
      <c r="Q255" s="1">
        <v>0.42038194444443999</v>
      </c>
      <c r="R255" s="1" t="s">
        <v>882</v>
      </c>
      <c r="S255" s="1" t="s">
        <v>881</v>
      </c>
      <c r="U255" s="1" t="s">
        <v>24</v>
      </c>
      <c r="V255" s="1">
        <v>1</v>
      </c>
      <c r="W255" s="1" t="s">
        <v>258</v>
      </c>
      <c r="X255" s="1" t="s">
        <v>141</v>
      </c>
      <c r="Y255" s="1" t="s">
        <v>32</v>
      </c>
      <c r="Z255" s="1" t="s">
        <v>32</v>
      </c>
    </row>
    <row r="256" spans="1:26" x14ac:dyDescent="0.35">
      <c r="A256" s="1">
        <v>4001451</v>
      </c>
      <c r="B256" s="1" t="s">
        <v>31</v>
      </c>
      <c r="C256" s="1">
        <v>3300</v>
      </c>
      <c r="D256" s="1" t="s">
        <v>41</v>
      </c>
      <c r="E256" s="1">
        <v>301</v>
      </c>
      <c r="F256" s="1">
        <v>0</v>
      </c>
      <c r="G256" s="1">
        <v>50</v>
      </c>
      <c r="H256" s="1" t="s">
        <v>29</v>
      </c>
      <c r="I256" s="1">
        <v>20</v>
      </c>
      <c r="J256" s="1">
        <v>50</v>
      </c>
      <c r="M256" s="1" t="s">
        <v>28</v>
      </c>
      <c r="N256" s="1">
        <v>5</v>
      </c>
      <c r="O256" s="1" t="s">
        <v>27</v>
      </c>
      <c r="P256" s="1">
        <v>45785</v>
      </c>
      <c r="Q256" s="1">
        <v>0.53201388888889001</v>
      </c>
      <c r="R256" s="1">
        <v>0</v>
      </c>
      <c r="T256" s="1" t="s">
        <v>335</v>
      </c>
      <c r="U256" s="1" t="s">
        <v>24</v>
      </c>
      <c r="V256" s="1">
        <v>1</v>
      </c>
      <c r="W256" s="1" t="s">
        <v>258</v>
      </c>
      <c r="Y256" s="1" t="s">
        <v>32</v>
      </c>
      <c r="Z256" s="1" t="s">
        <v>23</v>
      </c>
    </row>
    <row r="257" spans="1:26" x14ac:dyDescent="0.35">
      <c r="A257" s="1">
        <v>4001458</v>
      </c>
      <c r="B257" s="1" t="s">
        <v>31</v>
      </c>
      <c r="C257" s="1">
        <v>3300</v>
      </c>
      <c r="D257" s="1" t="s">
        <v>30</v>
      </c>
      <c r="E257" s="1">
        <v>301</v>
      </c>
      <c r="F257" s="1">
        <v>0</v>
      </c>
      <c r="G257" s="1">
        <v>10</v>
      </c>
      <c r="H257" s="1" t="s">
        <v>29</v>
      </c>
      <c r="I257" s="1" t="s">
        <v>71</v>
      </c>
      <c r="J257" s="1">
        <v>80</v>
      </c>
      <c r="M257" s="1" t="s">
        <v>28</v>
      </c>
      <c r="N257" s="1">
        <v>5</v>
      </c>
      <c r="O257" s="1" t="s">
        <v>27</v>
      </c>
      <c r="P257" s="1">
        <v>45925</v>
      </c>
      <c r="Q257" s="1">
        <v>0.51103009259259002</v>
      </c>
      <c r="R257" s="1" t="s">
        <v>880</v>
      </c>
      <c r="S257" s="1" t="s">
        <v>879</v>
      </c>
      <c r="U257" s="1" t="s">
        <v>24</v>
      </c>
      <c r="V257" s="1">
        <v>1</v>
      </c>
      <c r="W257" s="1" t="s">
        <v>258</v>
      </c>
      <c r="X257" s="1" t="s">
        <v>141</v>
      </c>
      <c r="Y257" s="1" t="s">
        <v>32</v>
      </c>
      <c r="Z257" s="1" t="s">
        <v>32</v>
      </c>
    </row>
    <row r="258" spans="1:26" x14ac:dyDescent="0.35">
      <c r="A258" s="1">
        <v>4001459</v>
      </c>
      <c r="B258" s="1" t="s">
        <v>31</v>
      </c>
      <c r="C258" s="1">
        <v>3300</v>
      </c>
      <c r="D258" s="1" t="s">
        <v>41</v>
      </c>
      <c r="E258" s="1">
        <v>301</v>
      </c>
      <c r="F258" s="1">
        <v>0</v>
      </c>
      <c r="G258" s="1">
        <v>0</v>
      </c>
      <c r="J258" s="1">
        <v>0</v>
      </c>
      <c r="K258" s="1" t="s">
        <v>24</v>
      </c>
      <c r="M258" s="1" t="s">
        <v>28</v>
      </c>
      <c r="N258" s="1">
        <v>5</v>
      </c>
      <c r="O258" s="1" t="s">
        <v>27</v>
      </c>
      <c r="P258" s="1">
        <v>44932</v>
      </c>
      <c r="Q258" s="1">
        <v>0.31730324074074001</v>
      </c>
      <c r="R258" s="1">
        <v>0</v>
      </c>
      <c r="T258" s="1" t="s">
        <v>335</v>
      </c>
      <c r="W258" s="1" t="s">
        <v>258</v>
      </c>
      <c r="Y258" s="1" t="s">
        <v>32</v>
      </c>
      <c r="Z258" s="1" t="s">
        <v>23</v>
      </c>
    </row>
    <row r="259" spans="1:26" x14ac:dyDescent="0.35">
      <c r="A259" s="1">
        <v>4001461</v>
      </c>
      <c r="B259" s="1" t="s">
        <v>31</v>
      </c>
      <c r="C259" s="1">
        <v>3300</v>
      </c>
      <c r="D259" s="1" t="s">
        <v>30</v>
      </c>
      <c r="E259" s="1">
        <v>301</v>
      </c>
      <c r="F259" s="1">
        <v>0</v>
      </c>
      <c r="G259" s="1">
        <v>100</v>
      </c>
      <c r="H259" s="1" t="s">
        <v>29</v>
      </c>
      <c r="I259" s="1" t="s">
        <v>71</v>
      </c>
      <c r="J259" s="1">
        <v>60</v>
      </c>
      <c r="M259" s="1" t="s">
        <v>28</v>
      </c>
      <c r="N259" s="1">
        <v>0</v>
      </c>
      <c r="O259" s="1" t="s">
        <v>27</v>
      </c>
      <c r="P259" s="1">
        <v>46070</v>
      </c>
      <c r="Q259" s="1">
        <v>0.41563657407407001</v>
      </c>
      <c r="R259" s="1">
        <v>0</v>
      </c>
      <c r="T259" s="1" t="s">
        <v>335</v>
      </c>
      <c r="U259" s="1" t="s">
        <v>24</v>
      </c>
      <c r="V259" s="1">
        <v>1</v>
      </c>
      <c r="W259" s="1" t="s">
        <v>258</v>
      </c>
      <c r="X259" s="1" t="s">
        <v>141</v>
      </c>
      <c r="Y259" s="1" t="s">
        <v>32</v>
      </c>
      <c r="Z259" s="1" t="s">
        <v>32</v>
      </c>
    </row>
    <row r="260" spans="1:26" x14ac:dyDescent="0.35">
      <c r="A260" s="1">
        <v>4001523</v>
      </c>
      <c r="B260" s="1" t="s">
        <v>31</v>
      </c>
      <c r="C260" s="1">
        <v>3300</v>
      </c>
      <c r="D260" s="1" t="s">
        <v>30</v>
      </c>
      <c r="E260" s="1">
        <v>301</v>
      </c>
      <c r="F260" s="1">
        <v>0</v>
      </c>
      <c r="G260" s="1">
        <v>2000</v>
      </c>
      <c r="H260" s="1" t="s">
        <v>29</v>
      </c>
      <c r="I260" s="1">
        <v>20</v>
      </c>
      <c r="J260" s="1">
        <v>1000</v>
      </c>
      <c r="M260" s="1" t="s">
        <v>28</v>
      </c>
      <c r="N260" s="1">
        <v>0</v>
      </c>
      <c r="O260" s="1" t="s">
        <v>277</v>
      </c>
      <c r="P260" s="1">
        <v>44851</v>
      </c>
      <c r="Q260" s="1">
        <v>0.33148148148147999</v>
      </c>
      <c r="R260" s="1">
        <v>0</v>
      </c>
      <c r="U260" s="1" t="s">
        <v>24</v>
      </c>
      <c r="V260" s="1">
        <v>1</v>
      </c>
      <c r="W260" s="1" t="s">
        <v>258</v>
      </c>
      <c r="Y260" s="1" t="s">
        <v>32</v>
      </c>
      <c r="Z260" s="1" t="s">
        <v>23</v>
      </c>
    </row>
    <row r="261" spans="1:26" x14ac:dyDescent="0.35">
      <c r="A261" s="1">
        <v>4001524</v>
      </c>
      <c r="B261" s="1" t="s">
        <v>31</v>
      </c>
      <c r="C261" s="1">
        <v>3300</v>
      </c>
      <c r="D261" s="1" t="s">
        <v>30</v>
      </c>
      <c r="E261" s="1">
        <v>301</v>
      </c>
      <c r="F261" s="1">
        <v>0</v>
      </c>
      <c r="G261" s="1">
        <v>1500</v>
      </c>
      <c r="H261" s="1" t="s">
        <v>29</v>
      </c>
      <c r="I261" s="1">
        <v>20</v>
      </c>
      <c r="J261" s="1">
        <v>1000</v>
      </c>
      <c r="M261" s="1" t="s">
        <v>28</v>
      </c>
      <c r="N261" s="1">
        <v>5</v>
      </c>
      <c r="O261" s="1" t="s">
        <v>277</v>
      </c>
      <c r="P261" s="1">
        <v>44804</v>
      </c>
      <c r="Q261" s="1">
        <v>0.45881944444444001</v>
      </c>
      <c r="R261" s="1" t="s">
        <v>878</v>
      </c>
      <c r="S261" s="1" t="s">
        <v>877</v>
      </c>
      <c r="T261" s="1" t="s">
        <v>335</v>
      </c>
      <c r="U261" s="1" t="s">
        <v>24</v>
      </c>
      <c r="V261" s="1">
        <v>1</v>
      </c>
      <c r="W261" s="1" t="s">
        <v>258</v>
      </c>
      <c r="Y261" s="1" t="s">
        <v>32</v>
      </c>
      <c r="Z261" s="1" t="s">
        <v>23</v>
      </c>
    </row>
    <row r="262" spans="1:26" x14ac:dyDescent="0.35">
      <c r="A262" s="1">
        <v>4001551</v>
      </c>
      <c r="B262" s="1" t="s">
        <v>31</v>
      </c>
      <c r="C262" s="1">
        <v>3300</v>
      </c>
      <c r="D262" s="1" t="s">
        <v>30</v>
      </c>
      <c r="E262" s="1">
        <v>301</v>
      </c>
      <c r="F262" s="1">
        <v>0</v>
      </c>
      <c r="G262" s="1">
        <v>1000</v>
      </c>
      <c r="H262" s="1" t="s">
        <v>29</v>
      </c>
      <c r="I262" s="1" t="s">
        <v>71</v>
      </c>
      <c r="J262" s="1">
        <v>2000</v>
      </c>
      <c r="M262" s="1" t="s">
        <v>28</v>
      </c>
      <c r="N262" s="1">
        <v>0</v>
      </c>
      <c r="O262" s="1" t="s">
        <v>27</v>
      </c>
      <c r="P262" s="1">
        <v>45944</v>
      </c>
      <c r="Q262" s="1">
        <v>0.28945601851851999</v>
      </c>
      <c r="R262" s="1">
        <v>0</v>
      </c>
      <c r="T262" s="1" t="s">
        <v>335</v>
      </c>
      <c r="U262" s="1" t="s">
        <v>24</v>
      </c>
      <c r="V262" s="1">
        <v>1</v>
      </c>
      <c r="W262" s="1" t="s">
        <v>271</v>
      </c>
      <c r="X262" s="1" t="s">
        <v>24</v>
      </c>
      <c r="Y262" s="1" t="s">
        <v>32</v>
      </c>
      <c r="Z262" s="1" t="s">
        <v>32</v>
      </c>
    </row>
    <row r="263" spans="1:26" x14ac:dyDescent="0.35">
      <c r="A263" s="1">
        <v>4001562</v>
      </c>
      <c r="B263" s="1" t="s">
        <v>31</v>
      </c>
      <c r="C263" s="1">
        <v>3300</v>
      </c>
      <c r="D263" s="1" t="s">
        <v>30</v>
      </c>
      <c r="E263" s="1">
        <v>301</v>
      </c>
      <c r="F263" s="1">
        <v>0</v>
      </c>
      <c r="G263" s="1">
        <v>20</v>
      </c>
      <c r="H263" s="1" t="s">
        <v>29</v>
      </c>
      <c r="I263" s="1" t="s">
        <v>247</v>
      </c>
      <c r="J263" s="1">
        <v>40</v>
      </c>
      <c r="M263" s="1" t="s">
        <v>28</v>
      </c>
      <c r="N263" s="1">
        <v>0</v>
      </c>
      <c r="O263" s="1" t="s">
        <v>27</v>
      </c>
      <c r="P263" s="1">
        <v>46042</v>
      </c>
      <c r="Q263" s="1">
        <v>0.39493055555556</v>
      </c>
      <c r="R263" s="1" t="s">
        <v>876</v>
      </c>
      <c r="S263" s="1" t="s">
        <v>875</v>
      </c>
      <c r="T263" s="1" t="s">
        <v>335</v>
      </c>
      <c r="U263" s="1" t="s">
        <v>24</v>
      </c>
      <c r="V263" s="1">
        <v>1</v>
      </c>
      <c r="W263" s="1" t="s">
        <v>258</v>
      </c>
      <c r="X263" s="1" t="s">
        <v>24</v>
      </c>
      <c r="Y263" s="1" t="s">
        <v>32</v>
      </c>
      <c r="Z263" s="1" t="s">
        <v>32</v>
      </c>
    </row>
    <row r="264" spans="1:26" x14ac:dyDescent="0.35">
      <c r="A264" s="1">
        <v>4001572</v>
      </c>
      <c r="B264" s="1" t="s">
        <v>31</v>
      </c>
      <c r="C264" s="1">
        <v>3300</v>
      </c>
      <c r="D264" s="1" t="s">
        <v>30</v>
      </c>
      <c r="E264" s="1">
        <v>301</v>
      </c>
      <c r="F264" s="1">
        <v>0</v>
      </c>
      <c r="G264" s="1">
        <v>150</v>
      </c>
      <c r="H264" s="1" t="s">
        <v>29</v>
      </c>
      <c r="I264" s="1" t="s">
        <v>71</v>
      </c>
      <c r="J264" s="1">
        <v>240</v>
      </c>
      <c r="M264" s="1" t="s">
        <v>28</v>
      </c>
      <c r="N264" s="1">
        <v>5</v>
      </c>
      <c r="O264" s="1" t="s">
        <v>746</v>
      </c>
      <c r="P264" s="1">
        <v>45896</v>
      </c>
      <c r="Q264" s="1">
        <v>0.49054398148147998</v>
      </c>
      <c r="R264" s="1">
        <v>0</v>
      </c>
      <c r="T264" s="1" t="s">
        <v>335</v>
      </c>
      <c r="U264" s="1" t="s">
        <v>24</v>
      </c>
      <c r="V264" s="1">
        <v>1</v>
      </c>
      <c r="W264" s="1" t="s">
        <v>258</v>
      </c>
      <c r="Y264" s="1" t="s">
        <v>32</v>
      </c>
      <c r="Z264" s="1" t="s">
        <v>23</v>
      </c>
    </row>
    <row r="265" spans="1:26" x14ac:dyDescent="0.35">
      <c r="A265" s="1">
        <v>4001573</v>
      </c>
      <c r="B265" s="1" t="s">
        <v>31</v>
      </c>
      <c r="C265" s="1">
        <v>3300</v>
      </c>
      <c r="D265" s="1" t="s">
        <v>30</v>
      </c>
      <c r="E265" s="1">
        <v>301</v>
      </c>
      <c r="F265" s="1">
        <v>0</v>
      </c>
      <c r="G265" s="1">
        <v>60</v>
      </c>
      <c r="H265" s="1" t="s">
        <v>29</v>
      </c>
      <c r="I265" s="1" t="s">
        <v>71</v>
      </c>
      <c r="J265" s="1">
        <v>60</v>
      </c>
      <c r="M265" s="1" t="s">
        <v>28</v>
      </c>
      <c r="N265" s="1">
        <v>5</v>
      </c>
      <c r="O265" s="1" t="s">
        <v>27</v>
      </c>
      <c r="P265" s="1">
        <v>45924</v>
      </c>
      <c r="Q265" s="1">
        <v>0.39167824074073998</v>
      </c>
      <c r="R265" s="1" t="s">
        <v>874</v>
      </c>
      <c r="S265" s="1" t="s">
        <v>873</v>
      </c>
      <c r="T265" s="1" t="s">
        <v>335</v>
      </c>
      <c r="U265" s="1" t="s">
        <v>24</v>
      </c>
      <c r="V265" s="1">
        <v>1</v>
      </c>
      <c r="W265" s="1" t="s">
        <v>258</v>
      </c>
      <c r="Y265" s="1" t="s">
        <v>32</v>
      </c>
      <c r="Z265" s="1" t="s">
        <v>23</v>
      </c>
    </row>
    <row r="266" spans="1:26" x14ac:dyDescent="0.35">
      <c r="A266" s="1">
        <v>4001574</v>
      </c>
      <c r="B266" s="1" t="s">
        <v>31</v>
      </c>
      <c r="C266" s="1">
        <v>3300</v>
      </c>
      <c r="D266" s="1" t="s">
        <v>30</v>
      </c>
      <c r="E266" s="1">
        <v>301</v>
      </c>
      <c r="F266" s="1">
        <v>0</v>
      </c>
      <c r="G266" s="1">
        <v>577</v>
      </c>
      <c r="H266" s="1" t="s">
        <v>29</v>
      </c>
      <c r="I266" s="1">
        <v>20</v>
      </c>
      <c r="J266" s="1">
        <v>360</v>
      </c>
      <c r="M266" s="1" t="s">
        <v>28</v>
      </c>
      <c r="N266" s="1">
        <v>5</v>
      </c>
      <c r="O266" s="1" t="s">
        <v>27</v>
      </c>
      <c r="P266" s="1">
        <v>45245</v>
      </c>
      <c r="Q266" s="1">
        <v>0.47930555555555998</v>
      </c>
      <c r="R266" s="1">
        <v>0</v>
      </c>
      <c r="T266" s="1" t="s">
        <v>335</v>
      </c>
      <c r="U266" s="1" t="s">
        <v>24</v>
      </c>
      <c r="V266" s="1">
        <v>1</v>
      </c>
      <c r="W266" s="1" t="s">
        <v>289</v>
      </c>
      <c r="X266" s="1" t="s">
        <v>141</v>
      </c>
      <c r="Y266" s="1" t="s">
        <v>32</v>
      </c>
      <c r="Z266" s="1" t="s">
        <v>32</v>
      </c>
    </row>
    <row r="267" spans="1:26" x14ac:dyDescent="0.35">
      <c r="A267" s="1">
        <v>4001576</v>
      </c>
      <c r="B267" s="1" t="s">
        <v>31</v>
      </c>
      <c r="C267" s="1">
        <v>3300</v>
      </c>
      <c r="D267" s="1" t="s">
        <v>30</v>
      </c>
      <c r="E267" s="1">
        <v>301</v>
      </c>
      <c r="F267" s="1">
        <v>0</v>
      </c>
      <c r="G267" s="1">
        <v>1500</v>
      </c>
      <c r="H267" s="1" t="s">
        <v>29</v>
      </c>
      <c r="I267" s="1" t="s">
        <v>247</v>
      </c>
      <c r="J267" s="1">
        <v>1200</v>
      </c>
      <c r="M267" s="1" t="s">
        <v>28</v>
      </c>
      <c r="N267" s="1">
        <v>0</v>
      </c>
      <c r="O267" s="1" t="s">
        <v>166</v>
      </c>
      <c r="P267" s="1">
        <v>45030</v>
      </c>
      <c r="Q267" s="1">
        <v>0.47405092592593001</v>
      </c>
      <c r="R267" s="1" t="s">
        <v>872</v>
      </c>
      <c r="S267" s="1" t="s">
        <v>871</v>
      </c>
      <c r="U267" s="1" t="s">
        <v>24</v>
      </c>
      <c r="V267" s="1">
        <v>1</v>
      </c>
      <c r="W267" s="1" t="s">
        <v>271</v>
      </c>
      <c r="Y267" s="1" t="s">
        <v>32</v>
      </c>
      <c r="Z267" s="1" t="s">
        <v>23</v>
      </c>
    </row>
    <row r="268" spans="1:26" x14ac:dyDescent="0.35">
      <c r="A268" s="1">
        <v>4001609</v>
      </c>
      <c r="B268" s="1" t="s">
        <v>31</v>
      </c>
      <c r="C268" s="1">
        <v>3300</v>
      </c>
      <c r="D268" s="1" t="s">
        <v>30</v>
      </c>
      <c r="E268" s="1">
        <v>301</v>
      </c>
      <c r="F268" s="1">
        <v>0</v>
      </c>
      <c r="G268" s="1">
        <v>40</v>
      </c>
      <c r="H268" s="1" t="s">
        <v>29</v>
      </c>
      <c r="I268" s="1" t="s">
        <v>274</v>
      </c>
      <c r="J268" s="1">
        <v>40</v>
      </c>
      <c r="M268" s="1" t="s">
        <v>28</v>
      </c>
      <c r="N268" s="1">
        <v>5</v>
      </c>
      <c r="O268" s="1" t="s">
        <v>27</v>
      </c>
      <c r="P268" s="1">
        <v>44866</v>
      </c>
      <c r="Q268" s="1">
        <v>0.44980324074074002</v>
      </c>
      <c r="R268" s="1" t="s">
        <v>870</v>
      </c>
      <c r="S268" s="1" t="s">
        <v>869</v>
      </c>
      <c r="T268" s="1" t="s">
        <v>335</v>
      </c>
      <c r="U268" s="1" t="s">
        <v>24</v>
      </c>
      <c r="V268" s="1">
        <v>1</v>
      </c>
      <c r="W268" s="1" t="s">
        <v>258</v>
      </c>
      <c r="Y268" s="1" t="s">
        <v>32</v>
      </c>
      <c r="Z268" s="1" t="s">
        <v>23</v>
      </c>
    </row>
    <row r="269" spans="1:26" x14ac:dyDescent="0.35">
      <c r="A269" s="1">
        <v>4001630</v>
      </c>
      <c r="B269" s="1" t="s">
        <v>31</v>
      </c>
      <c r="C269" s="1">
        <v>3300</v>
      </c>
      <c r="D269" s="1" t="s">
        <v>41</v>
      </c>
      <c r="G269" s="1">
        <v>0</v>
      </c>
      <c r="J269" s="1">
        <v>0</v>
      </c>
      <c r="M269" s="1" t="s">
        <v>28</v>
      </c>
      <c r="N269" s="1">
        <v>0</v>
      </c>
      <c r="O269" s="1" t="s">
        <v>236</v>
      </c>
      <c r="P269" s="1">
        <v>45233</v>
      </c>
      <c r="Q269" s="1">
        <v>0.40027777777778001</v>
      </c>
      <c r="R269" s="1">
        <v>0</v>
      </c>
      <c r="U269" s="1" t="s">
        <v>24</v>
      </c>
      <c r="V269" s="1">
        <v>1</v>
      </c>
      <c r="W269" s="1" t="s">
        <v>258</v>
      </c>
      <c r="X269" s="1" t="s">
        <v>24</v>
      </c>
      <c r="Y269" s="1" t="s">
        <v>32</v>
      </c>
      <c r="Z269" s="1" t="s">
        <v>32</v>
      </c>
    </row>
    <row r="270" spans="1:26" x14ac:dyDescent="0.35">
      <c r="A270" s="1">
        <v>4001691</v>
      </c>
      <c r="B270" s="1" t="s">
        <v>31</v>
      </c>
      <c r="C270" s="1">
        <v>3300</v>
      </c>
      <c r="D270" s="1" t="s">
        <v>30</v>
      </c>
      <c r="E270" s="1">
        <v>301</v>
      </c>
      <c r="F270" s="1">
        <v>0</v>
      </c>
      <c r="G270" s="1">
        <v>60</v>
      </c>
      <c r="H270" s="1" t="s">
        <v>29</v>
      </c>
      <c r="I270" s="1">
        <v>20</v>
      </c>
      <c r="J270" s="1">
        <v>40</v>
      </c>
      <c r="M270" s="1" t="s">
        <v>28</v>
      </c>
      <c r="N270" s="1">
        <v>5</v>
      </c>
      <c r="O270" s="1" t="s">
        <v>316</v>
      </c>
      <c r="P270" s="1">
        <v>44736</v>
      </c>
      <c r="Q270" s="1">
        <v>0.29484953703703998</v>
      </c>
      <c r="R270" s="1" t="s">
        <v>868</v>
      </c>
      <c r="S270" s="1" t="s">
        <v>867</v>
      </c>
      <c r="T270" s="1" t="s">
        <v>335</v>
      </c>
      <c r="U270" s="1" t="s">
        <v>24</v>
      </c>
      <c r="V270" s="1">
        <v>1</v>
      </c>
      <c r="W270" s="1" t="s">
        <v>258</v>
      </c>
      <c r="Y270" s="1" t="s">
        <v>32</v>
      </c>
      <c r="Z270" s="1" t="s">
        <v>23</v>
      </c>
    </row>
    <row r="271" spans="1:26" x14ac:dyDescent="0.35">
      <c r="A271" s="1">
        <v>4001701</v>
      </c>
      <c r="B271" s="1" t="s">
        <v>31</v>
      </c>
      <c r="C271" s="1">
        <v>3300</v>
      </c>
      <c r="D271" s="1" t="s">
        <v>30</v>
      </c>
      <c r="E271" s="1">
        <v>301</v>
      </c>
      <c r="F271" s="1">
        <v>0</v>
      </c>
      <c r="G271" s="1">
        <v>36</v>
      </c>
      <c r="H271" s="1" t="s">
        <v>29</v>
      </c>
      <c r="I271" s="1" t="s">
        <v>247</v>
      </c>
      <c r="J271" s="1">
        <v>36</v>
      </c>
      <c r="M271" s="1" t="s">
        <v>28</v>
      </c>
      <c r="N271" s="1">
        <v>0</v>
      </c>
      <c r="O271" s="1" t="s">
        <v>166</v>
      </c>
      <c r="P271" s="1">
        <v>45007</v>
      </c>
      <c r="Q271" s="1">
        <v>0.41833333333333</v>
      </c>
      <c r="R271" s="1">
        <v>0</v>
      </c>
      <c r="T271" s="1" t="s">
        <v>335</v>
      </c>
      <c r="U271" s="1" t="s">
        <v>24</v>
      </c>
      <c r="V271" s="1">
        <v>1</v>
      </c>
      <c r="W271" s="1" t="s">
        <v>258</v>
      </c>
      <c r="Y271" s="1" t="s">
        <v>32</v>
      </c>
      <c r="Z271" s="1" t="s">
        <v>23</v>
      </c>
    </row>
    <row r="272" spans="1:26" x14ac:dyDescent="0.35">
      <c r="A272" s="1">
        <v>4001754</v>
      </c>
      <c r="B272" s="1" t="s">
        <v>31</v>
      </c>
      <c r="C272" s="1">
        <v>3300</v>
      </c>
      <c r="D272" s="1" t="s">
        <v>30</v>
      </c>
      <c r="E272" s="1">
        <v>301</v>
      </c>
      <c r="F272" s="1">
        <v>0</v>
      </c>
      <c r="G272" s="1">
        <v>280</v>
      </c>
      <c r="H272" s="1" t="s">
        <v>29</v>
      </c>
      <c r="I272" s="1">
        <v>20</v>
      </c>
      <c r="J272" s="1">
        <v>200</v>
      </c>
      <c r="M272" s="1" t="s">
        <v>28</v>
      </c>
      <c r="N272" s="1">
        <v>5</v>
      </c>
      <c r="O272" s="1" t="s">
        <v>199</v>
      </c>
      <c r="P272" s="1">
        <v>46044</v>
      </c>
      <c r="Q272" s="1">
        <v>0.59130787037037003</v>
      </c>
      <c r="R272" s="1">
        <v>0</v>
      </c>
      <c r="T272" s="1" t="s">
        <v>335</v>
      </c>
      <c r="U272" s="1" t="s">
        <v>24</v>
      </c>
      <c r="V272" s="1">
        <v>1</v>
      </c>
      <c r="W272" s="1" t="s">
        <v>258</v>
      </c>
      <c r="Y272" s="1" t="s">
        <v>32</v>
      </c>
      <c r="Z272" s="1" t="s">
        <v>23</v>
      </c>
    </row>
    <row r="273" spans="1:26" x14ac:dyDescent="0.35">
      <c r="A273" s="1">
        <v>4001762</v>
      </c>
      <c r="B273" s="1" t="s">
        <v>31</v>
      </c>
      <c r="C273" s="1">
        <v>3300</v>
      </c>
      <c r="D273" s="1" t="s">
        <v>30</v>
      </c>
      <c r="E273" s="1">
        <v>301</v>
      </c>
      <c r="F273" s="1">
        <v>0</v>
      </c>
      <c r="G273" s="1">
        <v>1500</v>
      </c>
      <c r="H273" s="1" t="s">
        <v>29</v>
      </c>
      <c r="I273" s="1" t="s">
        <v>247</v>
      </c>
      <c r="J273" s="1">
        <v>1000</v>
      </c>
      <c r="M273" s="1" t="s">
        <v>28</v>
      </c>
      <c r="N273" s="1">
        <v>0</v>
      </c>
      <c r="O273" s="1" t="s">
        <v>27</v>
      </c>
      <c r="P273" s="1">
        <v>45468</v>
      </c>
      <c r="Q273" s="1">
        <v>0.48335648148148003</v>
      </c>
      <c r="R273" s="1" t="s">
        <v>866</v>
      </c>
      <c r="S273" s="1" t="s">
        <v>865</v>
      </c>
      <c r="T273" s="1" t="s">
        <v>335</v>
      </c>
      <c r="U273" s="1" t="s">
        <v>24</v>
      </c>
      <c r="V273" s="1">
        <v>1</v>
      </c>
      <c r="W273" s="1" t="s">
        <v>258</v>
      </c>
      <c r="X273" s="1" t="s">
        <v>24</v>
      </c>
      <c r="Y273" s="1" t="s">
        <v>32</v>
      </c>
      <c r="Z273" s="1" t="s">
        <v>32</v>
      </c>
    </row>
    <row r="274" spans="1:26" x14ac:dyDescent="0.35">
      <c r="A274" s="1">
        <v>4001763</v>
      </c>
      <c r="B274" s="1" t="s">
        <v>31</v>
      </c>
      <c r="C274" s="1">
        <v>3300</v>
      </c>
      <c r="D274" s="1" t="s">
        <v>30</v>
      </c>
      <c r="E274" s="1">
        <v>301</v>
      </c>
      <c r="F274" s="1">
        <v>0</v>
      </c>
      <c r="G274" s="1">
        <v>4000</v>
      </c>
      <c r="H274" s="1" t="s">
        <v>29</v>
      </c>
      <c r="I274" s="1">
        <v>20</v>
      </c>
      <c r="J274" s="1">
        <v>2000</v>
      </c>
      <c r="M274" s="1" t="s">
        <v>28</v>
      </c>
      <c r="N274" s="1">
        <v>5</v>
      </c>
      <c r="O274" s="1" t="s">
        <v>277</v>
      </c>
      <c r="P274" s="1">
        <v>44987</v>
      </c>
      <c r="Q274" s="1">
        <v>0.41326388888888999</v>
      </c>
      <c r="R274" s="1" t="s">
        <v>864</v>
      </c>
      <c r="S274" s="1" t="s">
        <v>863</v>
      </c>
      <c r="T274" s="1" t="s">
        <v>335</v>
      </c>
      <c r="U274" s="1" t="s">
        <v>24</v>
      </c>
      <c r="V274" s="1">
        <v>1</v>
      </c>
      <c r="W274" s="1" t="s">
        <v>258</v>
      </c>
      <c r="X274" s="1" t="s">
        <v>24</v>
      </c>
      <c r="Y274" s="1" t="s">
        <v>32</v>
      </c>
      <c r="Z274" s="1" t="s">
        <v>32</v>
      </c>
    </row>
    <row r="275" spans="1:26" x14ac:dyDescent="0.35">
      <c r="A275" s="1">
        <v>4001764</v>
      </c>
      <c r="B275" s="1" t="s">
        <v>31</v>
      </c>
      <c r="C275" s="1">
        <v>3300</v>
      </c>
      <c r="D275" s="1" t="s">
        <v>30</v>
      </c>
      <c r="E275" s="1">
        <v>301</v>
      </c>
      <c r="F275" s="1">
        <v>0</v>
      </c>
      <c r="G275" s="1">
        <v>1000</v>
      </c>
      <c r="H275" s="1" t="s">
        <v>29</v>
      </c>
      <c r="I275" s="1">
        <v>20</v>
      </c>
      <c r="J275" s="1">
        <v>400</v>
      </c>
      <c r="M275" s="1" t="s">
        <v>28</v>
      </c>
      <c r="N275" s="1">
        <v>0</v>
      </c>
      <c r="O275" s="1" t="s">
        <v>27</v>
      </c>
      <c r="P275" s="1">
        <v>45945</v>
      </c>
      <c r="Q275" s="1">
        <v>0.30643518518518997</v>
      </c>
      <c r="R275" s="1">
        <v>0</v>
      </c>
      <c r="T275" s="1" t="s">
        <v>335</v>
      </c>
      <c r="U275" s="1" t="s">
        <v>24</v>
      </c>
      <c r="V275" s="1">
        <v>1</v>
      </c>
      <c r="W275" s="1" t="s">
        <v>258</v>
      </c>
      <c r="X275" s="1" t="s">
        <v>141</v>
      </c>
      <c r="Y275" s="1" t="s">
        <v>32</v>
      </c>
      <c r="Z275" s="1" t="s">
        <v>32</v>
      </c>
    </row>
    <row r="276" spans="1:26" x14ac:dyDescent="0.35">
      <c r="A276" s="1">
        <v>4001809</v>
      </c>
      <c r="B276" s="1" t="s">
        <v>31</v>
      </c>
      <c r="C276" s="1">
        <v>3300</v>
      </c>
      <c r="D276" s="1" t="s">
        <v>30</v>
      </c>
      <c r="E276" s="1">
        <v>301</v>
      </c>
      <c r="F276" s="1">
        <v>0</v>
      </c>
      <c r="G276" s="1">
        <v>3000</v>
      </c>
      <c r="H276" s="1" t="s">
        <v>29</v>
      </c>
      <c r="I276" s="1">
        <v>20</v>
      </c>
      <c r="J276" s="1">
        <v>2000</v>
      </c>
      <c r="M276" s="1" t="s">
        <v>28</v>
      </c>
      <c r="N276" s="1">
        <v>5</v>
      </c>
      <c r="O276" s="1" t="s">
        <v>166</v>
      </c>
      <c r="P276" s="1">
        <v>45863</v>
      </c>
      <c r="Q276" s="1">
        <v>0.59748842592592999</v>
      </c>
      <c r="R276" s="1" t="s">
        <v>862</v>
      </c>
      <c r="S276" s="1" t="s">
        <v>861</v>
      </c>
      <c r="T276" s="1" t="s">
        <v>335</v>
      </c>
      <c r="U276" s="1" t="s">
        <v>24</v>
      </c>
      <c r="V276" s="1">
        <v>1</v>
      </c>
      <c r="W276" s="1" t="s">
        <v>258</v>
      </c>
      <c r="X276" s="1" t="s">
        <v>24</v>
      </c>
      <c r="Y276" s="1" t="s">
        <v>32</v>
      </c>
      <c r="Z276" s="1" t="s">
        <v>32</v>
      </c>
    </row>
    <row r="277" spans="1:26" x14ac:dyDescent="0.35">
      <c r="A277" s="1">
        <v>4001853</v>
      </c>
      <c r="B277" s="1" t="s">
        <v>31</v>
      </c>
      <c r="C277" s="1">
        <v>3300</v>
      </c>
      <c r="D277" s="1" t="s">
        <v>30</v>
      </c>
      <c r="E277" s="1">
        <v>301</v>
      </c>
      <c r="F277" s="1">
        <v>0</v>
      </c>
      <c r="G277" s="1">
        <v>15</v>
      </c>
      <c r="H277" s="1" t="s">
        <v>29</v>
      </c>
      <c r="I277" s="1" t="s">
        <v>247</v>
      </c>
      <c r="J277" s="1">
        <v>44</v>
      </c>
      <c r="M277" s="1" t="s">
        <v>28</v>
      </c>
      <c r="N277" s="1">
        <v>0</v>
      </c>
      <c r="O277" s="1" t="s">
        <v>166</v>
      </c>
      <c r="P277" s="1">
        <v>45037</v>
      </c>
      <c r="Q277" s="1">
        <v>0.48833333333333001</v>
      </c>
      <c r="R277" s="1">
        <v>0</v>
      </c>
      <c r="T277" s="1" t="s">
        <v>335</v>
      </c>
      <c r="U277" s="1" t="s">
        <v>24</v>
      </c>
      <c r="V277" s="1">
        <v>1</v>
      </c>
      <c r="W277" s="1" t="s">
        <v>258</v>
      </c>
      <c r="Y277" s="1" t="s">
        <v>32</v>
      </c>
      <c r="Z277" s="1" t="s">
        <v>23</v>
      </c>
    </row>
    <row r="278" spans="1:26" x14ac:dyDescent="0.35">
      <c r="A278" s="1">
        <v>4001969</v>
      </c>
      <c r="B278" s="1" t="s">
        <v>31</v>
      </c>
      <c r="C278" s="1">
        <v>3300</v>
      </c>
      <c r="D278" s="1" t="s">
        <v>30</v>
      </c>
      <c r="E278" s="1">
        <v>301</v>
      </c>
      <c r="F278" s="1">
        <v>0</v>
      </c>
      <c r="G278" s="1">
        <v>20</v>
      </c>
      <c r="H278" s="1" t="s">
        <v>29</v>
      </c>
      <c r="I278" s="1" t="s">
        <v>71</v>
      </c>
      <c r="J278" s="1">
        <v>15</v>
      </c>
      <c r="M278" s="1" t="s">
        <v>28</v>
      </c>
      <c r="N278" s="1">
        <v>0</v>
      </c>
      <c r="O278" s="1" t="s">
        <v>27</v>
      </c>
      <c r="P278" s="1">
        <v>46052</v>
      </c>
      <c r="Q278" s="1">
        <v>0.28753472222221998</v>
      </c>
      <c r="R278" s="1">
        <v>0</v>
      </c>
      <c r="T278" s="1" t="s">
        <v>335</v>
      </c>
      <c r="U278" s="1" t="s">
        <v>24</v>
      </c>
      <c r="V278" s="1">
        <v>1</v>
      </c>
      <c r="W278" s="1" t="s">
        <v>258</v>
      </c>
      <c r="X278" s="1" t="s">
        <v>24</v>
      </c>
      <c r="Y278" s="1" t="s">
        <v>32</v>
      </c>
      <c r="Z278" s="1" t="s">
        <v>32</v>
      </c>
    </row>
    <row r="279" spans="1:26" x14ac:dyDescent="0.35">
      <c r="A279" s="1">
        <v>4002229</v>
      </c>
      <c r="B279" s="1" t="s">
        <v>31</v>
      </c>
      <c r="C279" s="1">
        <v>3300</v>
      </c>
      <c r="D279" s="1" t="s">
        <v>41</v>
      </c>
      <c r="E279" s="1">
        <v>301</v>
      </c>
      <c r="F279" s="1">
        <v>0</v>
      </c>
      <c r="G279" s="1">
        <v>0</v>
      </c>
      <c r="J279" s="1">
        <v>0</v>
      </c>
      <c r="K279" s="1" t="s">
        <v>24</v>
      </c>
      <c r="M279" s="1" t="s">
        <v>28</v>
      </c>
      <c r="N279" s="1">
        <v>0</v>
      </c>
      <c r="O279" s="1" t="s">
        <v>373</v>
      </c>
      <c r="P279" s="1">
        <v>44476</v>
      </c>
      <c r="Q279" s="1">
        <v>0.53243055555555996</v>
      </c>
      <c r="R279" s="1">
        <v>0</v>
      </c>
      <c r="Y279" s="1" t="s">
        <v>23</v>
      </c>
      <c r="Z279" s="1" t="s">
        <v>23</v>
      </c>
    </row>
    <row r="280" spans="1:26" x14ac:dyDescent="0.35">
      <c r="A280" s="1">
        <v>4002233</v>
      </c>
      <c r="B280" s="1" t="s">
        <v>31</v>
      </c>
      <c r="C280" s="1">
        <v>3300</v>
      </c>
      <c r="D280" s="1" t="s">
        <v>30</v>
      </c>
      <c r="E280" s="1">
        <v>301</v>
      </c>
      <c r="F280" s="1">
        <v>0</v>
      </c>
      <c r="G280" s="1">
        <v>150</v>
      </c>
      <c r="H280" s="1" t="s">
        <v>29</v>
      </c>
      <c r="I280" s="1" t="s">
        <v>71</v>
      </c>
      <c r="J280" s="1">
        <v>300</v>
      </c>
      <c r="M280" s="1" t="s">
        <v>28</v>
      </c>
      <c r="N280" s="1">
        <v>0</v>
      </c>
      <c r="O280" s="1" t="s">
        <v>27</v>
      </c>
      <c r="P280" s="1">
        <v>45986</v>
      </c>
      <c r="Q280" s="1">
        <v>0.28436342592593</v>
      </c>
      <c r="R280" s="1" t="s">
        <v>860</v>
      </c>
      <c r="S280" s="1" t="s">
        <v>859</v>
      </c>
      <c r="T280" s="1" t="s">
        <v>335</v>
      </c>
      <c r="U280" s="1" t="s">
        <v>24</v>
      </c>
      <c r="V280" s="1">
        <v>1</v>
      </c>
      <c r="W280" s="1" t="s">
        <v>289</v>
      </c>
      <c r="Y280" s="1" t="s">
        <v>32</v>
      </c>
      <c r="Z280" s="1" t="s">
        <v>23</v>
      </c>
    </row>
    <row r="281" spans="1:26" x14ac:dyDescent="0.35">
      <c r="A281" s="1">
        <v>4002277</v>
      </c>
      <c r="B281" s="1" t="s">
        <v>31</v>
      </c>
      <c r="C281" s="1">
        <v>3300</v>
      </c>
      <c r="D281" s="1" t="s">
        <v>30</v>
      </c>
      <c r="E281" s="1">
        <v>301</v>
      </c>
      <c r="F281" s="1">
        <v>0</v>
      </c>
      <c r="G281" s="1">
        <v>200</v>
      </c>
      <c r="H281" s="1" t="s">
        <v>29</v>
      </c>
      <c r="I281" s="1" t="s">
        <v>71</v>
      </c>
      <c r="J281" s="1">
        <v>200</v>
      </c>
      <c r="M281" s="1" t="s">
        <v>28</v>
      </c>
      <c r="N281" s="1">
        <v>5</v>
      </c>
      <c r="O281" s="1" t="s">
        <v>27</v>
      </c>
      <c r="P281" s="1">
        <v>45924</v>
      </c>
      <c r="Q281" s="1">
        <v>0.39740740740740998</v>
      </c>
      <c r="R281" s="1">
        <v>0</v>
      </c>
      <c r="T281" s="1" t="s">
        <v>335</v>
      </c>
      <c r="U281" s="1" t="s">
        <v>24</v>
      </c>
      <c r="V281" s="1">
        <v>1</v>
      </c>
      <c r="W281" s="1" t="s">
        <v>289</v>
      </c>
      <c r="Y281" s="1" t="s">
        <v>32</v>
      </c>
      <c r="Z281" s="1" t="s">
        <v>23</v>
      </c>
    </row>
    <row r="282" spans="1:26" x14ac:dyDescent="0.35">
      <c r="A282" s="1">
        <v>4002292</v>
      </c>
      <c r="B282" s="1" t="s">
        <v>31</v>
      </c>
      <c r="C282" s="1">
        <v>3300</v>
      </c>
      <c r="D282" s="1" t="s">
        <v>30</v>
      </c>
      <c r="E282" s="1">
        <v>301</v>
      </c>
      <c r="F282" s="1">
        <v>0</v>
      </c>
      <c r="G282" s="1">
        <v>760</v>
      </c>
      <c r="H282" s="1" t="s">
        <v>29</v>
      </c>
      <c r="I282" s="1">
        <v>20</v>
      </c>
      <c r="J282" s="1">
        <v>500</v>
      </c>
      <c r="M282" s="1" t="s">
        <v>28</v>
      </c>
      <c r="N282" s="1">
        <v>5</v>
      </c>
      <c r="O282" s="1" t="s">
        <v>27</v>
      </c>
      <c r="P282" s="1">
        <v>45245</v>
      </c>
      <c r="Q282" s="1">
        <v>0.49946759259258999</v>
      </c>
      <c r="R282" s="1" t="s">
        <v>858</v>
      </c>
      <c r="S282" s="1" t="s">
        <v>857</v>
      </c>
      <c r="T282" s="1" t="s">
        <v>335</v>
      </c>
      <c r="U282" s="1" t="s">
        <v>24</v>
      </c>
      <c r="V282" s="1">
        <v>1</v>
      </c>
      <c r="W282" s="1" t="s">
        <v>258</v>
      </c>
      <c r="X282" s="1" t="s">
        <v>24</v>
      </c>
      <c r="Y282" s="1" t="s">
        <v>32</v>
      </c>
      <c r="Z282" s="1" t="s">
        <v>32</v>
      </c>
    </row>
    <row r="283" spans="1:26" x14ac:dyDescent="0.35">
      <c r="A283" s="1">
        <v>4002298</v>
      </c>
      <c r="B283" s="1" t="s">
        <v>31</v>
      </c>
      <c r="C283" s="1">
        <v>3300</v>
      </c>
      <c r="D283" s="1" t="s">
        <v>30</v>
      </c>
      <c r="E283" s="1">
        <v>301</v>
      </c>
      <c r="F283" s="1">
        <v>0</v>
      </c>
      <c r="G283" s="1">
        <v>200</v>
      </c>
      <c r="H283" s="1" t="s">
        <v>29</v>
      </c>
      <c r="I283" s="1" t="s">
        <v>71</v>
      </c>
      <c r="J283" s="1">
        <v>180</v>
      </c>
      <c r="M283" s="1" t="s">
        <v>28</v>
      </c>
      <c r="N283" s="1">
        <v>0</v>
      </c>
      <c r="O283" s="1" t="s">
        <v>27</v>
      </c>
      <c r="P283" s="1">
        <v>45664</v>
      </c>
      <c r="Q283" s="1">
        <v>0.31677083333333</v>
      </c>
      <c r="R283" s="1">
        <v>0</v>
      </c>
      <c r="T283" s="1" t="s">
        <v>335</v>
      </c>
      <c r="U283" s="1" t="s">
        <v>24</v>
      </c>
      <c r="V283" s="1">
        <v>1</v>
      </c>
      <c r="W283" s="1" t="s">
        <v>289</v>
      </c>
      <c r="X283" s="1" t="s">
        <v>141</v>
      </c>
      <c r="Y283" s="1" t="s">
        <v>32</v>
      </c>
      <c r="Z283" s="1" t="s">
        <v>32</v>
      </c>
    </row>
    <row r="284" spans="1:26" x14ac:dyDescent="0.35">
      <c r="A284" s="1">
        <v>4002302</v>
      </c>
      <c r="B284" s="1" t="s">
        <v>31</v>
      </c>
      <c r="C284" s="1">
        <v>3300</v>
      </c>
      <c r="D284" s="1" t="s">
        <v>41</v>
      </c>
      <c r="E284" s="1">
        <v>301</v>
      </c>
      <c r="F284" s="1">
        <v>0</v>
      </c>
      <c r="G284" s="1">
        <v>0</v>
      </c>
      <c r="J284" s="1">
        <v>0</v>
      </c>
      <c r="K284" s="1" t="s">
        <v>24</v>
      </c>
      <c r="M284" s="1" t="s">
        <v>28</v>
      </c>
      <c r="N284" s="1">
        <v>0</v>
      </c>
      <c r="O284" s="1" t="s">
        <v>373</v>
      </c>
      <c r="P284" s="1">
        <v>44476</v>
      </c>
      <c r="Q284" s="1">
        <v>0.53326388888888998</v>
      </c>
      <c r="R284" s="1">
        <v>0</v>
      </c>
      <c r="W284" s="1" t="s">
        <v>258</v>
      </c>
      <c r="Y284" s="1" t="s">
        <v>32</v>
      </c>
      <c r="Z284" s="1" t="s">
        <v>23</v>
      </c>
    </row>
    <row r="285" spans="1:26" x14ac:dyDescent="0.35">
      <c r="A285" s="1">
        <v>4002332</v>
      </c>
      <c r="B285" s="1" t="s">
        <v>31</v>
      </c>
      <c r="C285" s="1">
        <v>3300</v>
      </c>
      <c r="D285" s="1" t="s">
        <v>41</v>
      </c>
      <c r="E285" s="1">
        <v>301</v>
      </c>
      <c r="F285" s="1">
        <v>0</v>
      </c>
      <c r="G285" s="1">
        <v>6000</v>
      </c>
      <c r="H285" s="1" t="s">
        <v>29</v>
      </c>
      <c r="I285" s="1" t="s">
        <v>247</v>
      </c>
      <c r="J285" s="1">
        <v>8000</v>
      </c>
      <c r="K285" s="1" t="s">
        <v>24</v>
      </c>
      <c r="M285" s="1" t="s">
        <v>28</v>
      </c>
      <c r="N285" s="1">
        <v>0</v>
      </c>
      <c r="O285" s="1" t="s">
        <v>27</v>
      </c>
      <c r="P285" s="1">
        <v>45442</v>
      </c>
      <c r="Q285" s="1">
        <v>0.31896990740740999</v>
      </c>
      <c r="R285" s="1">
        <v>0</v>
      </c>
      <c r="W285" s="1" t="s">
        <v>289</v>
      </c>
      <c r="X285" s="1" t="s">
        <v>141</v>
      </c>
      <c r="Y285" s="1" t="s">
        <v>32</v>
      </c>
      <c r="Z285" s="1" t="s">
        <v>32</v>
      </c>
    </row>
    <row r="286" spans="1:26" x14ac:dyDescent="0.35">
      <c r="A286" s="1">
        <v>4002333</v>
      </c>
      <c r="B286" s="1" t="s">
        <v>31</v>
      </c>
      <c r="C286" s="1">
        <v>3300</v>
      </c>
      <c r="D286" s="1" t="s">
        <v>30</v>
      </c>
      <c r="E286" s="1">
        <v>301</v>
      </c>
      <c r="F286" s="1">
        <v>0</v>
      </c>
      <c r="G286" s="1">
        <v>10000</v>
      </c>
      <c r="H286" s="1" t="s">
        <v>29</v>
      </c>
      <c r="I286" s="1" t="s">
        <v>247</v>
      </c>
      <c r="J286" s="1">
        <v>3000</v>
      </c>
      <c r="M286" s="1" t="s">
        <v>28</v>
      </c>
      <c r="N286" s="1">
        <v>0</v>
      </c>
      <c r="O286" s="1" t="s">
        <v>27</v>
      </c>
      <c r="P286" s="1">
        <v>45968</v>
      </c>
      <c r="Q286" s="1">
        <v>0.38957175925926002</v>
      </c>
      <c r="R286" s="1" t="s">
        <v>856</v>
      </c>
      <c r="S286" s="1" t="s">
        <v>855</v>
      </c>
      <c r="U286" s="1" t="s">
        <v>24</v>
      </c>
      <c r="V286" s="1">
        <v>1</v>
      </c>
      <c r="W286" s="1" t="s">
        <v>289</v>
      </c>
      <c r="X286" s="1" t="s">
        <v>141</v>
      </c>
      <c r="Y286" s="1" t="s">
        <v>32</v>
      </c>
      <c r="Z286" s="1" t="s">
        <v>32</v>
      </c>
    </row>
    <row r="287" spans="1:26" x14ac:dyDescent="0.35">
      <c r="A287" s="1">
        <v>4002335</v>
      </c>
      <c r="B287" s="1" t="s">
        <v>31</v>
      </c>
      <c r="C287" s="1">
        <v>3300</v>
      </c>
      <c r="D287" s="1" t="s">
        <v>30</v>
      </c>
      <c r="E287" s="1">
        <v>301</v>
      </c>
      <c r="F287" s="1">
        <v>0</v>
      </c>
      <c r="G287" s="1">
        <v>200</v>
      </c>
      <c r="H287" s="1" t="s">
        <v>29</v>
      </c>
      <c r="I287" s="1" t="s">
        <v>247</v>
      </c>
      <c r="J287" s="1">
        <v>120</v>
      </c>
      <c r="M287" s="1" t="s">
        <v>28</v>
      </c>
      <c r="N287" s="1">
        <v>0</v>
      </c>
      <c r="O287" s="1" t="s">
        <v>166</v>
      </c>
      <c r="P287" s="1">
        <v>45861</v>
      </c>
      <c r="Q287" s="1">
        <v>0.38252314814815003</v>
      </c>
      <c r="R287" s="1" t="s">
        <v>854</v>
      </c>
      <c r="S287" s="1" t="s">
        <v>853</v>
      </c>
      <c r="U287" s="1" t="s">
        <v>24</v>
      </c>
      <c r="V287" s="1">
        <v>1</v>
      </c>
      <c r="W287" s="1" t="s">
        <v>271</v>
      </c>
      <c r="X287" s="1" t="s">
        <v>141</v>
      </c>
      <c r="Y287" s="1" t="s">
        <v>32</v>
      </c>
      <c r="Z287" s="1" t="s">
        <v>32</v>
      </c>
    </row>
    <row r="288" spans="1:26" x14ac:dyDescent="0.35">
      <c r="A288" s="1">
        <v>4002344</v>
      </c>
      <c r="B288" s="1" t="s">
        <v>31</v>
      </c>
      <c r="C288" s="1">
        <v>3300</v>
      </c>
      <c r="D288" s="1" t="s">
        <v>30</v>
      </c>
      <c r="E288" s="1">
        <v>301</v>
      </c>
      <c r="F288" s="1">
        <v>0</v>
      </c>
      <c r="G288" s="1">
        <v>30</v>
      </c>
      <c r="H288" s="1" t="s">
        <v>29</v>
      </c>
      <c r="I288" s="1">
        <v>20</v>
      </c>
      <c r="J288" s="1">
        <v>20</v>
      </c>
      <c r="M288" s="1" t="s">
        <v>28</v>
      </c>
      <c r="N288" s="1">
        <v>5</v>
      </c>
      <c r="O288" s="1" t="s">
        <v>166</v>
      </c>
      <c r="P288" s="1">
        <v>45483</v>
      </c>
      <c r="Q288" s="1">
        <v>0.57986111111111005</v>
      </c>
      <c r="R288" s="1">
        <v>0</v>
      </c>
      <c r="T288" s="1" t="s">
        <v>335</v>
      </c>
      <c r="U288" s="1" t="s">
        <v>24</v>
      </c>
      <c r="V288" s="1">
        <v>1</v>
      </c>
      <c r="W288" s="1" t="s">
        <v>258</v>
      </c>
      <c r="X288" s="1" t="s">
        <v>141</v>
      </c>
      <c r="Y288" s="1" t="s">
        <v>32</v>
      </c>
      <c r="Z288" s="1" t="s">
        <v>32</v>
      </c>
    </row>
    <row r="289" spans="1:26" x14ac:dyDescent="0.35">
      <c r="A289" s="1">
        <v>4002345</v>
      </c>
      <c r="B289" s="1" t="s">
        <v>31</v>
      </c>
      <c r="C289" s="1">
        <v>3300</v>
      </c>
      <c r="D289" s="1" t="s">
        <v>30</v>
      </c>
      <c r="E289" s="1">
        <v>301</v>
      </c>
      <c r="F289" s="1">
        <v>0</v>
      </c>
      <c r="G289" s="1">
        <v>40</v>
      </c>
      <c r="H289" s="1" t="s">
        <v>29</v>
      </c>
      <c r="I289" s="1" t="s">
        <v>247</v>
      </c>
      <c r="J289" s="1">
        <v>100</v>
      </c>
      <c r="M289" s="1" t="s">
        <v>28</v>
      </c>
      <c r="N289" s="1">
        <v>0</v>
      </c>
      <c r="O289" s="1" t="s">
        <v>27</v>
      </c>
      <c r="P289" s="1">
        <v>45245</v>
      </c>
      <c r="Q289" s="1">
        <v>0.50384259259259001</v>
      </c>
      <c r="R289" s="1">
        <v>0</v>
      </c>
      <c r="U289" s="1" t="s">
        <v>24</v>
      </c>
      <c r="V289" s="1">
        <v>1</v>
      </c>
      <c r="W289" s="1" t="s">
        <v>289</v>
      </c>
      <c r="X289" s="1" t="s">
        <v>141</v>
      </c>
      <c r="Y289" s="1" t="s">
        <v>32</v>
      </c>
      <c r="Z289" s="1" t="s">
        <v>32</v>
      </c>
    </row>
    <row r="290" spans="1:26" x14ac:dyDescent="0.35">
      <c r="A290" s="1">
        <v>4002416</v>
      </c>
      <c r="B290" s="1" t="s">
        <v>31</v>
      </c>
      <c r="C290" s="1">
        <v>3300</v>
      </c>
      <c r="D290" s="1" t="s">
        <v>41</v>
      </c>
      <c r="G290" s="1">
        <v>0</v>
      </c>
      <c r="J290" s="1">
        <v>0</v>
      </c>
      <c r="M290" s="1" t="s">
        <v>28</v>
      </c>
      <c r="N290" s="1">
        <v>0</v>
      </c>
      <c r="O290" s="1" t="s">
        <v>236</v>
      </c>
      <c r="P290" s="1">
        <v>45237</v>
      </c>
      <c r="Q290" s="1">
        <v>0.55415509259258999</v>
      </c>
      <c r="R290" s="1">
        <v>0</v>
      </c>
      <c r="U290" s="1" t="s">
        <v>24</v>
      </c>
      <c r="V290" s="1">
        <v>1</v>
      </c>
      <c r="W290" s="1" t="s">
        <v>258</v>
      </c>
      <c r="X290" s="1" t="s">
        <v>24</v>
      </c>
      <c r="Y290" s="1" t="s">
        <v>32</v>
      </c>
      <c r="Z290" s="1" t="s">
        <v>32</v>
      </c>
    </row>
    <row r="291" spans="1:26" x14ac:dyDescent="0.35">
      <c r="A291" s="1">
        <v>4002446</v>
      </c>
      <c r="B291" s="1" t="s">
        <v>31</v>
      </c>
      <c r="C291" s="1">
        <v>3300</v>
      </c>
      <c r="D291" s="1" t="s">
        <v>30</v>
      </c>
      <c r="E291" s="1">
        <v>301</v>
      </c>
      <c r="F291" s="1">
        <v>0</v>
      </c>
      <c r="G291" s="1">
        <v>5000</v>
      </c>
      <c r="H291" s="1" t="s">
        <v>29</v>
      </c>
      <c r="I291" s="1" t="s">
        <v>274</v>
      </c>
      <c r="J291" s="1">
        <v>4000</v>
      </c>
      <c r="M291" s="1" t="s">
        <v>28</v>
      </c>
      <c r="N291" s="1">
        <v>0</v>
      </c>
      <c r="O291" s="1" t="s">
        <v>27</v>
      </c>
      <c r="P291" s="1">
        <v>45245</v>
      </c>
      <c r="Q291" s="1">
        <v>0.50445601851851996</v>
      </c>
      <c r="R291" s="1">
        <v>0</v>
      </c>
      <c r="T291" s="1" t="s">
        <v>335</v>
      </c>
      <c r="U291" s="1" t="s">
        <v>24</v>
      </c>
      <c r="V291" s="1">
        <v>1</v>
      </c>
      <c r="W291" s="1" t="s">
        <v>271</v>
      </c>
      <c r="X291" s="1" t="s">
        <v>141</v>
      </c>
      <c r="Y291" s="1" t="s">
        <v>32</v>
      </c>
      <c r="Z291" s="1" t="s">
        <v>32</v>
      </c>
    </row>
    <row r="292" spans="1:26" x14ac:dyDescent="0.35">
      <c r="A292" s="1">
        <v>4002462</v>
      </c>
      <c r="B292" s="1" t="s">
        <v>31</v>
      </c>
      <c r="C292" s="1">
        <v>3300</v>
      </c>
      <c r="D292" s="1" t="s">
        <v>30</v>
      </c>
      <c r="E292" s="1">
        <v>301</v>
      </c>
      <c r="F292" s="1">
        <v>0</v>
      </c>
      <c r="G292" s="1">
        <v>600</v>
      </c>
      <c r="H292" s="1" t="s">
        <v>29</v>
      </c>
      <c r="I292" s="1" t="s">
        <v>274</v>
      </c>
      <c r="J292" s="1">
        <v>2400</v>
      </c>
      <c r="M292" s="1" t="s">
        <v>28</v>
      </c>
      <c r="N292" s="1">
        <v>0</v>
      </c>
      <c r="O292" s="1" t="s">
        <v>27</v>
      </c>
      <c r="P292" s="1">
        <v>46051</v>
      </c>
      <c r="Q292" s="1">
        <v>0.28728009259259002</v>
      </c>
      <c r="R292" s="1">
        <v>0</v>
      </c>
      <c r="U292" s="1" t="s">
        <v>24</v>
      </c>
      <c r="V292" s="1">
        <v>1</v>
      </c>
      <c r="W292" s="1" t="s">
        <v>289</v>
      </c>
      <c r="X292" s="1" t="s">
        <v>24</v>
      </c>
      <c r="Y292" s="1" t="s">
        <v>32</v>
      </c>
      <c r="Z292" s="1" t="s">
        <v>32</v>
      </c>
    </row>
    <row r="293" spans="1:26" x14ac:dyDescent="0.35">
      <c r="A293" s="1">
        <v>4002465</v>
      </c>
      <c r="B293" s="1" t="s">
        <v>31</v>
      </c>
      <c r="C293" s="1">
        <v>3300</v>
      </c>
      <c r="D293" s="1" t="s">
        <v>30</v>
      </c>
      <c r="E293" s="1">
        <v>301</v>
      </c>
      <c r="F293" s="1">
        <v>0</v>
      </c>
      <c r="G293" s="1">
        <v>900</v>
      </c>
      <c r="H293" s="1" t="s">
        <v>29</v>
      </c>
      <c r="I293" s="1" t="s">
        <v>71</v>
      </c>
      <c r="J293" s="1">
        <v>600</v>
      </c>
      <c r="M293" s="1" t="s">
        <v>28</v>
      </c>
      <c r="N293" s="1">
        <v>0</v>
      </c>
      <c r="O293" s="1" t="s">
        <v>27</v>
      </c>
      <c r="P293" s="1">
        <v>45791</v>
      </c>
      <c r="Q293" s="1">
        <v>0.27940972222221999</v>
      </c>
      <c r="R293" s="1">
        <v>0</v>
      </c>
      <c r="U293" s="1" t="s">
        <v>24</v>
      </c>
      <c r="V293" s="1">
        <v>1</v>
      </c>
      <c r="W293" s="1" t="s">
        <v>289</v>
      </c>
      <c r="X293" s="1" t="s">
        <v>141</v>
      </c>
      <c r="Y293" s="1" t="s">
        <v>32</v>
      </c>
      <c r="Z293" s="1" t="s">
        <v>32</v>
      </c>
    </row>
    <row r="294" spans="1:26" x14ac:dyDescent="0.35">
      <c r="A294" s="1">
        <v>4002466</v>
      </c>
      <c r="B294" s="1" t="s">
        <v>31</v>
      </c>
      <c r="C294" s="1">
        <v>3300</v>
      </c>
      <c r="D294" s="1" t="s">
        <v>30</v>
      </c>
      <c r="E294" s="1">
        <v>301</v>
      </c>
      <c r="F294" s="1">
        <v>0</v>
      </c>
      <c r="G294" s="1">
        <v>1000</v>
      </c>
      <c r="H294" s="1" t="s">
        <v>29</v>
      </c>
      <c r="I294" s="1" t="s">
        <v>71</v>
      </c>
      <c r="J294" s="1">
        <v>600</v>
      </c>
      <c r="M294" s="1" t="s">
        <v>28</v>
      </c>
      <c r="N294" s="1">
        <v>0</v>
      </c>
      <c r="O294" s="1" t="s">
        <v>27</v>
      </c>
      <c r="P294" s="1">
        <v>45931</v>
      </c>
      <c r="Q294" s="1">
        <v>0.40425925925925998</v>
      </c>
      <c r="R294" s="1">
        <v>0</v>
      </c>
      <c r="U294" s="1" t="s">
        <v>24</v>
      </c>
      <c r="V294" s="1">
        <v>1</v>
      </c>
      <c r="W294" s="1" t="s">
        <v>271</v>
      </c>
      <c r="X294" s="1" t="s">
        <v>141</v>
      </c>
      <c r="Y294" s="1" t="s">
        <v>32</v>
      </c>
      <c r="Z294" s="1" t="s">
        <v>32</v>
      </c>
    </row>
    <row r="295" spans="1:26" x14ac:dyDescent="0.35">
      <c r="A295" s="1">
        <v>4002467</v>
      </c>
      <c r="B295" s="1" t="s">
        <v>31</v>
      </c>
      <c r="C295" s="1">
        <v>3300</v>
      </c>
      <c r="D295" s="1" t="s">
        <v>30</v>
      </c>
      <c r="E295" s="1">
        <v>301</v>
      </c>
      <c r="F295" s="1">
        <v>0</v>
      </c>
      <c r="G295" s="1">
        <v>700</v>
      </c>
      <c r="H295" s="1" t="s">
        <v>29</v>
      </c>
      <c r="I295" s="1" t="s">
        <v>71</v>
      </c>
      <c r="J295" s="1">
        <v>600</v>
      </c>
      <c r="M295" s="1" t="s">
        <v>28</v>
      </c>
      <c r="N295" s="1">
        <v>0</v>
      </c>
      <c r="O295" s="1" t="s">
        <v>27</v>
      </c>
      <c r="P295" s="1">
        <v>45744</v>
      </c>
      <c r="Q295" s="1">
        <v>0.28791666666666998</v>
      </c>
      <c r="R295" s="1" t="s">
        <v>852</v>
      </c>
      <c r="S295" s="1" t="s">
        <v>851</v>
      </c>
      <c r="U295" s="1" t="s">
        <v>24</v>
      </c>
      <c r="V295" s="1">
        <v>1</v>
      </c>
      <c r="W295" s="1" t="s">
        <v>289</v>
      </c>
      <c r="X295" s="1" t="s">
        <v>141</v>
      </c>
      <c r="Y295" s="1" t="s">
        <v>32</v>
      </c>
      <c r="Z295" s="1" t="s">
        <v>32</v>
      </c>
    </row>
    <row r="296" spans="1:26" x14ac:dyDescent="0.35">
      <c r="A296" s="1">
        <v>4002468</v>
      </c>
      <c r="B296" s="1" t="s">
        <v>31</v>
      </c>
      <c r="C296" s="1">
        <v>3300</v>
      </c>
      <c r="D296" s="1" t="s">
        <v>30</v>
      </c>
      <c r="E296" s="1">
        <v>301</v>
      </c>
      <c r="F296" s="1">
        <v>0</v>
      </c>
      <c r="G296" s="1">
        <v>300</v>
      </c>
      <c r="H296" s="1" t="s">
        <v>29</v>
      </c>
      <c r="I296" s="1" t="s">
        <v>71</v>
      </c>
      <c r="J296" s="1">
        <v>400</v>
      </c>
      <c r="M296" s="1" t="s">
        <v>28</v>
      </c>
      <c r="N296" s="1">
        <v>0</v>
      </c>
      <c r="O296" s="1" t="s">
        <v>27</v>
      </c>
      <c r="P296" s="1">
        <v>45924</v>
      </c>
      <c r="Q296" s="1">
        <v>0.52484953703703996</v>
      </c>
      <c r="R296" s="1" t="s">
        <v>850</v>
      </c>
      <c r="S296" s="1" t="s">
        <v>849</v>
      </c>
      <c r="U296" s="1" t="s">
        <v>24</v>
      </c>
      <c r="V296" s="1">
        <v>1</v>
      </c>
      <c r="W296" s="1" t="s">
        <v>289</v>
      </c>
      <c r="X296" s="1" t="s">
        <v>141</v>
      </c>
      <c r="Y296" s="1" t="s">
        <v>32</v>
      </c>
      <c r="Z296" s="1" t="s">
        <v>32</v>
      </c>
    </row>
    <row r="297" spans="1:26" x14ac:dyDescent="0.35">
      <c r="A297" s="1">
        <v>4002472</v>
      </c>
      <c r="B297" s="1" t="s">
        <v>31</v>
      </c>
      <c r="C297" s="1">
        <v>3300</v>
      </c>
      <c r="D297" s="1" t="s">
        <v>30</v>
      </c>
      <c r="E297" s="1">
        <v>301</v>
      </c>
      <c r="F297" s="1">
        <v>0</v>
      </c>
      <c r="G297" s="1">
        <v>1728</v>
      </c>
      <c r="H297" s="1" t="s">
        <v>29</v>
      </c>
      <c r="I297" s="1" t="s">
        <v>71</v>
      </c>
      <c r="J297" s="1">
        <v>1728</v>
      </c>
      <c r="M297" s="1" t="s">
        <v>28</v>
      </c>
      <c r="N297" s="1">
        <v>0</v>
      </c>
      <c r="O297" s="1" t="s">
        <v>27</v>
      </c>
      <c r="P297" s="1">
        <v>45625</v>
      </c>
      <c r="Q297" s="1">
        <v>0.28738425925925998</v>
      </c>
      <c r="R297" s="1">
        <v>0</v>
      </c>
      <c r="U297" s="1" t="s">
        <v>24</v>
      </c>
      <c r="V297" s="1">
        <v>1</v>
      </c>
      <c r="W297" s="1" t="s">
        <v>271</v>
      </c>
      <c r="X297" s="1" t="s">
        <v>141</v>
      </c>
      <c r="Y297" s="1" t="s">
        <v>32</v>
      </c>
      <c r="Z297" s="1" t="s">
        <v>32</v>
      </c>
    </row>
    <row r="298" spans="1:26" x14ac:dyDescent="0.35">
      <c r="A298" s="1">
        <v>4002475</v>
      </c>
      <c r="B298" s="1" t="s">
        <v>31</v>
      </c>
      <c r="C298" s="1">
        <v>3300</v>
      </c>
      <c r="D298" s="1" t="s">
        <v>30</v>
      </c>
      <c r="E298" s="1">
        <v>301</v>
      </c>
      <c r="F298" s="1">
        <v>0</v>
      </c>
      <c r="G298" s="1">
        <v>50</v>
      </c>
      <c r="H298" s="1" t="s">
        <v>29</v>
      </c>
      <c r="I298" s="1">
        <v>20</v>
      </c>
      <c r="J298" s="1">
        <v>48</v>
      </c>
      <c r="M298" s="1" t="s">
        <v>28</v>
      </c>
      <c r="N298" s="1">
        <v>5</v>
      </c>
      <c r="O298" s="1" t="s">
        <v>199</v>
      </c>
      <c r="P298" s="1">
        <v>45289</v>
      </c>
      <c r="Q298" s="1">
        <v>0.30070601851852002</v>
      </c>
      <c r="R298" s="1">
        <v>0</v>
      </c>
      <c r="T298" s="1" t="s">
        <v>335</v>
      </c>
      <c r="U298" s="1" t="s">
        <v>24</v>
      </c>
      <c r="V298" s="1">
        <v>1</v>
      </c>
      <c r="W298" s="1" t="s">
        <v>258</v>
      </c>
      <c r="Y298" s="1" t="s">
        <v>32</v>
      </c>
      <c r="Z298" s="1" t="s">
        <v>23</v>
      </c>
    </row>
    <row r="299" spans="1:26" x14ac:dyDescent="0.35">
      <c r="A299" s="1">
        <v>4002477</v>
      </c>
      <c r="B299" s="1" t="s">
        <v>31</v>
      </c>
      <c r="C299" s="1">
        <v>3300</v>
      </c>
      <c r="D299" s="1" t="s">
        <v>30</v>
      </c>
      <c r="E299" s="1">
        <v>301</v>
      </c>
      <c r="F299" s="1">
        <v>0</v>
      </c>
      <c r="G299" s="1">
        <v>400</v>
      </c>
      <c r="H299" s="1" t="s">
        <v>29</v>
      </c>
      <c r="I299" s="1" t="s">
        <v>71</v>
      </c>
      <c r="J299" s="1">
        <v>600</v>
      </c>
      <c r="M299" s="1" t="s">
        <v>28</v>
      </c>
      <c r="N299" s="1">
        <v>0</v>
      </c>
      <c r="O299" s="1" t="s">
        <v>27</v>
      </c>
      <c r="P299" s="1">
        <v>45924</v>
      </c>
      <c r="Q299" s="1">
        <v>0.53319444444443997</v>
      </c>
      <c r="R299" s="1" t="s">
        <v>848</v>
      </c>
      <c r="S299" s="1" t="s">
        <v>847</v>
      </c>
      <c r="U299" s="1" t="s">
        <v>24</v>
      </c>
      <c r="V299" s="1">
        <v>1</v>
      </c>
      <c r="W299" s="1" t="s">
        <v>258</v>
      </c>
      <c r="X299" s="1" t="s">
        <v>757</v>
      </c>
      <c r="Y299" s="1" t="s">
        <v>32</v>
      </c>
      <c r="Z299" s="1" t="s">
        <v>32</v>
      </c>
    </row>
    <row r="300" spans="1:26" x14ac:dyDescent="0.35">
      <c r="A300" s="1">
        <v>4002481</v>
      </c>
      <c r="B300" s="1" t="s">
        <v>31</v>
      </c>
      <c r="C300" s="1">
        <v>3300</v>
      </c>
      <c r="D300" s="1" t="s">
        <v>30</v>
      </c>
      <c r="E300" s="1">
        <v>301</v>
      </c>
      <c r="F300" s="1">
        <v>0</v>
      </c>
      <c r="G300" s="1">
        <v>20</v>
      </c>
      <c r="H300" s="1" t="s">
        <v>29</v>
      </c>
      <c r="I300" s="1" t="s">
        <v>71</v>
      </c>
      <c r="J300" s="1">
        <v>50</v>
      </c>
      <c r="M300" s="1" t="s">
        <v>28</v>
      </c>
      <c r="N300" s="1">
        <v>5</v>
      </c>
      <c r="O300" s="1" t="s">
        <v>27</v>
      </c>
      <c r="P300" s="1">
        <v>45924</v>
      </c>
      <c r="Q300" s="1">
        <v>0.37800925925925999</v>
      </c>
      <c r="R300" s="1">
        <v>0</v>
      </c>
      <c r="T300" s="1" t="s">
        <v>335</v>
      </c>
      <c r="U300" s="1" t="s">
        <v>24</v>
      </c>
      <c r="V300" s="1">
        <v>1</v>
      </c>
      <c r="W300" s="1" t="s">
        <v>258</v>
      </c>
      <c r="X300" s="1" t="s">
        <v>141</v>
      </c>
      <c r="Y300" s="1" t="s">
        <v>32</v>
      </c>
      <c r="Z300" s="1" t="s">
        <v>32</v>
      </c>
    </row>
    <row r="301" spans="1:26" x14ac:dyDescent="0.35">
      <c r="A301" s="1">
        <v>4002482</v>
      </c>
      <c r="B301" s="1" t="s">
        <v>31</v>
      </c>
      <c r="C301" s="1">
        <v>3300</v>
      </c>
      <c r="D301" s="1" t="s">
        <v>30</v>
      </c>
      <c r="E301" s="1">
        <v>301</v>
      </c>
      <c r="F301" s="1">
        <v>0</v>
      </c>
      <c r="G301" s="1">
        <v>500</v>
      </c>
      <c r="H301" s="1" t="s">
        <v>29</v>
      </c>
      <c r="I301" s="1" t="s">
        <v>71</v>
      </c>
      <c r="J301" s="1">
        <v>600</v>
      </c>
      <c r="M301" s="1" t="s">
        <v>28</v>
      </c>
      <c r="N301" s="1">
        <v>5</v>
      </c>
      <c r="O301" s="1" t="s">
        <v>27</v>
      </c>
      <c r="P301" s="1">
        <v>45924</v>
      </c>
      <c r="Q301" s="1">
        <v>0.53484953703703997</v>
      </c>
      <c r="R301" s="1" t="s">
        <v>846</v>
      </c>
      <c r="S301" s="1" t="s">
        <v>845</v>
      </c>
      <c r="T301" s="1" t="s">
        <v>335</v>
      </c>
      <c r="U301" s="1" t="s">
        <v>24</v>
      </c>
      <c r="V301" s="1">
        <v>1</v>
      </c>
      <c r="W301" s="1" t="s">
        <v>258</v>
      </c>
      <c r="X301" s="1" t="s">
        <v>141</v>
      </c>
      <c r="Y301" s="1" t="s">
        <v>32</v>
      </c>
      <c r="Z301" s="1" t="s">
        <v>32</v>
      </c>
    </row>
    <row r="302" spans="1:26" x14ac:dyDescent="0.35">
      <c r="A302" s="1">
        <v>4002490</v>
      </c>
      <c r="B302" s="1" t="s">
        <v>31</v>
      </c>
      <c r="C302" s="1">
        <v>3300</v>
      </c>
      <c r="D302" s="1" t="s">
        <v>41</v>
      </c>
      <c r="E302" s="1">
        <v>301</v>
      </c>
      <c r="F302" s="1">
        <v>0</v>
      </c>
      <c r="G302" s="1">
        <v>200</v>
      </c>
      <c r="H302" s="1" t="s">
        <v>29</v>
      </c>
      <c r="I302" s="1">
        <v>20</v>
      </c>
      <c r="J302" s="1">
        <v>100</v>
      </c>
      <c r="M302" s="1" t="s">
        <v>28</v>
      </c>
      <c r="N302" s="1">
        <v>5</v>
      </c>
      <c r="O302" s="1" t="s">
        <v>27</v>
      </c>
      <c r="P302" s="1">
        <v>44887</v>
      </c>
      <c r="Q302" s="1">
        <v>0.41143518518519001</v>
      </c>
      <c r="R302" s="1" t="s">
        <v>844</v>
      </c>
      <c r="S302" s="1" t="s">
        <v>843</v>
      </c>
      <c r="T302" s="1" t="s">
        <v>335</v>
      </c>
      <c r="U302" s="1" t="s">
        <v>24</v>
      </c>
      <c r="V302" s="1">
        <v>1</v>
      </c>
      <c r="W302" s="1" t="s">
        <v>258</v>
      </c>
      <c r="Y302" s="1" t="s">
        <v>32</v>
      </c>
      <c r="Z302" s="1" t="s">
        <v>23</v>
      </c>
    </row>
    <row r="303" spans="1:26" x14ac:dyDescent="0.35">
      <c r="A303" s="1">
        <v>4002491</v>
      </c>
      <c r="B303" s="1" t="s">
        <v>31</v>
      </c>
      <c r="C303" s="1">
        <v>3300</v>
      </c>
      <c r="D303" s="1" t="s">
        <v>30</v>
      </c>
      <c r="E303" s="1">
        <v>301</v>
      </c>
      <c r="F303" s="1">
        <v>0</v>
      </c>
      <c r="G303" s="1">
        <v>259</v>
      </c>
      <c r="H303" s="1" t="s">
        <v>29</v>
      </c>
      <c r="I303" s="1" t="s">
        <v>71</v>
      </c>
      <c r="J303" s="1">
        <v>100</v>
      </c>
      <c r="M303" s="1" t="s">
        <v>28</v>
      </c>
      <c r="N303" s="1">
        <v>5</v>
      </c>
      <c r="O303" s="1" t="s">
        <v>132</v>
      </c>
      <c r="P303" s="1">
        <v>46036</v>
      </c>
      <c r="Q303" s="1">
        <v>0.42037037037037001</v>
      </c>
      <c r="R303" s="1" t="s">
        <v>842</v>
      </c>
      <c r="S303" s="1" t="s">
        <v>841</v>
      </c>
      <c r="T303" s="1" t="s">
        <v>335</v>
      </c>
      <c r="U303" s="1" t="s">
        <v>24</v>
      </c>
      <c r="V303" s="1">
        <v>1</v>
      </c>
      <c r="W303" s="1" t="s">
        <v>258</v>
      </c>
      <c r="X303" s="1" t="s">
        <v>141</v>
      </c>
      <c r="Y303" s="1" t="s">
        <v>32</v>
      </c>
      <c r="Z303" s="1" t="s">
        <v>32</v>
      </c>
    </row>
    <row r="304" spans="1:26" x14ac:dyDescent="0.35">
      <c r="A304" s="1">
        <v>4002495</v>
      </c>
      <c r="B304" s="1" t="s">
        <v>31</v>
      </c>
      <c r="C304" s="1">
        <v>3300</v>
      </c>
      <c r="D304" s="1" t="s">
        <v>41</v>
      </c>
      <c r="G304" s="1">
        <v>0</v>
      </c>
      <c r="J304" s="1">
        <v>0</v>
      </c>
      <c r="M304" s="1" t="s">
        <v>28</v>
      </c>
      <c r="N304" s="1">
        <v>5</v>
      </c>
      <c r="O304" s="1" t="s">
        <v>277</v>
      </c>
      <c r="P304" s="1">
        <v>44986</v>
      </c>
      <c r="Q304" s="1">
        <v>0.36677083333332999</v>
      </c>
      <c r="R304" s="1">
        <v>0</v>
      </c>
      <c r="T304" s="1" t="s">
        <v>335</v>
      </c>
      <c r="U304" s="1" t="s">
        <v>24</v>
      </c>
      <c r="V304" s="1">
        <v>1</v>
      </c>
      <c r="W304" s="1" t="s">
        <v>258</v>
      </c>
      <c r="Y304" s="1" t="s">
        <v>32</v>
      </c>
      <c r="Z304" s="1" t="s">
        <v>23</v>
      </c>
    </row>
    <row r="305" spans="1:26" x14ac:dyDescent="0.35">
      <c r="A305" s="1">
        <v>4002545</v>
      </c>
      <c r="B305" s="1" t="s">
        <v>31</v>
      </c>
      <c r="C305" s="1">
        <v>3300</v>
      </c>
      <c r="D305" s="1" t="s">
        <v>41</v>
      </c>
      <c r="G305" s="1">
        <v>0</v>
      </c>
      <c r="J305" s="1">
        <v>0</v>
      </c>
      <c r="K305" s="1" t="s">
        <v>24</v>
      </c>
      <c r="M305" s="1" t="s">
        <v>28</v>
      </c>
      <c r="N305" s="1">
        <v>5</v>
      </c>
      <c r="O305" s="1" t="s">
        <v>277</v>
      </c>
      <c r="P305" s="1">
        <v>44573</v>
      </c>
      <c r="Q305" s="1">
        <v>0.46863425925926</v>
      </c>
      <c r="R305" s="1">
        <v>0</v>
      </c>
      <c r="T305" s="1" t="s">
        <v>335</v>
      </c>
      <c r="Y305" s="1" t="s">
        <v>23</v>
      </c>
      <c r="Z305" s="1" t="s">
        <v>23</v>
      </c>
    </row>
    <row r="306" spans="1:26" x14ac:dyDescent="0.35">
      <c r="A306" s="1">
        <v>4002546</v>
      </c>
      <c r="B306" s="1" t="s">
        <v>31</v>
      </c>
      <c r="C306" s="1">
        <v>3300</v>
      </c>
      <c r="D306" s="1" t="s">
        <v>30</v>
      </c>
      <c r="E306" s="1">
        <v>301</v>
      </c>
      <c r="F306" s="1">
        <v>0</v>
      </c>
      <c r="G306" s="1">
        <v>800</v>
      </c>
      <c r="H306" s="1" t="s">
        <v>29</v>
      </c>
      <c r="I306" s="1">
        <v>20</v>
      </c>
      <c r="J306" s="1">
        <v>400</v>
      </c>
      <c r="M306" s="1" t="s">
        <v>28</v>
      </c>
      <c r="N306" s="1">
        <v>5</v>
      </c>
      <c r="O306" s="1" t="s">
        <v>277</v>
      </c>
      <c r="P306" s="1">
        <v>44799</v>
      </c>
      <c r="Q306" s="1">
        <v>0.4472337962963</v>
      </c>
      <c r="R306" s="1" t="s">
        <v>840</v>
      </c>
      <c r="S306" s="1" t="s">
        <v>839</v>
      </c>
      <c r="T306" s="1" t="s">
        <v>335</v>
      </c>
      <c r="U306" s="1" t="s">
        <v>24</v>
      </c>
      <c r="V306" s="1">
        <v>1</v>
      </c>
      <c r="W306" s="1" t="s">
        <v>258</v>
      </c>
      <c r="Y306" s="1" t="s">
        <v>32</v>
      </c>
      <c r="Z306" s="1" t="s">
        <v>23</v>
      </c>
    </row>
    <row r="307" spans="1:26" x14ac:dyDescent="0.35">
      <c r="A307" s="1">
        <v>4002621</v>
      </c>
      <c r="B307" s="1" t="s">
        <v>31</v>
      </c>
      <c r="C307" s="1">
        <v>3300</v>
      </c>
      <c r="D307" s="1" t="s">
        <v>30</v>
      </c>
      <c r="E307" s="1">
        <v>301</v>
      </c>
      <c r="F307" s="1">
        <v>0</v>
      </c>
      <c r="G307" s="1">
        <v>60</v>
      </c>
      <c r="H307" s="1" t="s">
        <v>29</v>
      </c>
      <c r="I307" s="1" t="s">
        <v>71</v>
      </c>
      <c r="J307" s="1">
        <v>40</v>
      </c>
      <c r="M307" s="1" t="s">
        <v>28</v>
      </c>
      <c r="N307" s="1">
        <v>0</v>
      </c>
      <c r="O307" s="1" t="s">
        <v>27</v>
      </c>
      <c r="P307" s="1">
        <v>46062</v>
      </c>
      <c r="Q307" s="1">
        <v>0.28739583333333002</v>
      </c>
      <c r="R307" s="1">
        <v>0</v>
      </c>
      <c r="T307" s="1" t="s">
        <v>335</v>
      </c>
      <c r="U307" s="1" t="s">
        <v>24</v>
      </c>
      <c r="V307" s="1">
        <v>1</v>
      </c>
      <c r="W307" s="1" t="s">
        <v>289</v>
      </c>
      <c r="Y307" s="1" t="s">
        <v>32</v>
      </c>
      <c r="Z307" s="1" t="s">
        <v>23</v>
      </c>
    </row>
    <row r="308" spans="1:26" x14ac:dyDescent="0.35">
      <c r="A308" s="1">
        <v>4002667</v>
      </c>
      <c r="B308" s="1" t="s">
        <v>31</v>
      </c>
      <c r="C308" s="1">
        <v>3300</v>
      </c>
      <c r="D308" s="1" t="s">
        <v>41</v>
      </c>
      <c r="E308" s="1">
        <v>301</v>
      </c>
      <c r="F308" s="1">
        <v>0</v>
      </c>
      <c r="G308" s="1">
        <v>50</v>
      </c>
      <c r="H308" s="1" t="s">
        <v>29</v>
      </c>
      <c r="I308" s="1">
        <v>20</v>
      </c>
      <c r="J308" s="1">
        <v>10</v>
      </c>
      <c r="K308" s="1" t="s">
        <v>24</v>
      </c>
      <c r="M308" s="1" t="s">
        <v>28</v>
      </c>
      <c r="N308" s="1">
        <v>5</v>
      </c>
      <c r="O308" s="1" t="s">
        <v>27</v>
      </c>
      <c r="P308" s="1">
        <v>45455</v>
      </c>
      <c r="Q308" s="1">
        <v>0.53307870370370003</v>
      </c>
      <c r="R308" s="1" t="s">
        <v>838</v>
      </c>
      <c r="S308" s="1" t="s">
        <v>837</v>
      </c>
      <c r="T308" s="1" t="s">
        <v>335</v>
      </c>
      <c r="W308" s="1" t="s">
        <v>258</v>
      </c>
      <c r="Y308" s="1" t="s">
        <v>32</v>
      </c>
      <c r="Z308" s="1" t="s">
        <v>23</v>
      </c>
    </row>
    <row r="309" spans="1:26" x14ac:dyDescent="0.35">
      <c r="A309" s="1">
        <v>4002675</v>
      </c>
      <c r="B309" s="1" t="s">
        <v>31</v>
      </c>
      <c r="C309" s="1">
        <v>3300</v>
      </c>
      <c r="D309" s="1" t="s">
        <v>30</v>
      </c>
      <c r="E309" s="1">
        <v>301</v>
      </c>
      <c r="F309" s="1">
        <v>0</v>
      </c>
      <c r="G309" s="1">
        <v>30</v>
      </c>
      <c r="H309" s="1" t="s">
        <v>29</v>
      </c>
      <c r="I309" s="1" t="s">
        <v>71</v>
      </c>
      <c r="J309" s="1">
        <v>48</v>
      </c>
      <c r="M309" s="1" t="s">
        <v>28</v>
      </c>
      <c r="N309" s="1">
        <v>0</v>
      </c>
      <c r="O309" s="1" t="s">
        <v>27</v>
      </c>
      <c r="P309" s="1">
        <v>45924</v>
      </c>
      <c r="Q309" s="1">
        <v>0.34868055555555999</v>
      </c>
      <c r="R309" s="1">
        <v>0</v>
      </c>
      <c r="T309" s="1" t="s">
        <v>335</v>
      </c>
      <c r="U309" s="1" t="s">
        <v>24</v>
      </c>
      <c r="V309" s="1">
        <v>1</v>
      </c>
      <c r="W309" s="1" t="s">
        <v>258</v>
      </c>
      <c r="X309" s="1" t="s">
        <v>141</v>
      </c>
      <c r="Y309" s="1" t="s">
        <v>32</v>
      </c>
      <c r="Z309" s="1" t="s">
        <v>32</v>
      </c>
    </row>
    <row r="310" spans="1:26" x14ac:dyDescent="0.35">
      <c r="A310" s="1">
        <v>4002677</v>
      </c>
      <c r="B310" s="1" t="s">
        <v>31</v>
      </c>
      <c r="C310" s="1">
        <v>3300</v>
      </c>
      <c r="D310" s="1" t="s">
        <v>30</v>
      </c>
      <c r="E310" s="1">
        <v>301</v>
      </c>
      <c r="F310" s="1">
        <v>0</v>
      </c>
      <c r="G310" s="1">
        <v>100</v>
      </c>
      <c r="H310" s="1" t="s">
        <v>29</v>
      </c>
      <c r="I310" s="1" t="s">
        <v>71</v>
      </c>
      <c r="J310" s="1">
        <v>240</v>
      </c>
      <c r="M310" s="1" t="s">
        <v>28</v>
      </c>
      <c r="N310" s="1">
        <v>5</v>
      </c>
      <c r="O310" s="1" t="s">
        <v>27</v>
      </c>
      <c r="P310" s="1">
        <v>45924</v>
      </c>
      <c r="Q310" s="1">
        <v>0.51949074074073998</v>
      </c>
      <c r="R310" s="1" t="s">
        <v>836</v>
      </c>
      <c r="S310" s="1" t="s">
        <v>835</v>
      </c>
      <c r="T310" s="1" t="s">
        <v>335</v>
      </c>
      <c r="U310" s="1" t="s">
        <v>24</v>
      </c>
      <c r="V310" s="1">
        <v>1</v>
      </c>
      <c r="W310" s="1" t="s">
        <v>258</v>
      </c>
      <c r="Y310" s="1" t="s">
        <v>32</v>
      </c>
      <c r="Z310" s="1" t="s">
        <v>23</v>
      </c>
    </row>
    <row r="311" spans="1:26" x14ac:dyDescent="0.35">
      <c r="A311" s="1">
        <v>4002679</v>
      </c>
      <c r="B311" s="1" t="s">
        <v>31</v>
      </c>
      <c r="C311" s="1">
        <v>3300</v>
      </c>
      <c r="D311" s="1" t="s">
        <v>30</v>
      </c>
      <c r="E311" s="1">
        <v>301</v>
      </c>
      <c r="F311" s="1">
        <v>0</v>
      </c>
      <c r="G311" s="1">
        <v>500</v>
      </c>
      <c r="H311" s="1" t="s">
        <v>29</v>
      </c>
      <c r="I311" s="1" t="s">
        <v>274</v>
      </c>
      <c r="J311" s="1">
        <v>500</v>
      </c>
      <c r="M311" s="1" t="s">
        <v>28</v>
      </c>
      <c r="N311" s="1">
        <v>0</v>
      </c>
      <c r="O311" s="1" t="s">
        <v>27</v>
      </c>
      <c r="P311" s="1">
        <v>46043</v>
      </c>
      <c r="Q311" s="1">
        <v>0.44832175925925999</v>
      </c>
      <c r="R311" s="1">
        <v>0</v>
      </c>
      <c r="U311" s="1" t="s">
        <v>24</v>
      </c>
      <c r="V311" s="1">
        <v>1</v>
      </c>
      <c r="W311" s="1" t="s">
        <v>271</v>
      </c>
      <c r="Y311" s="1" t="s">
        <v>32</v>
      </c>
      <c r="Z311" s="1" t="s">
        <v>23</v>
      </c>
    </row>
    <row r="312" spans="1:26" x14ac:dyDescent="0.35">
      <c r="A312" s="1">
        <v>4002682</v>
      </c>
      <c r="B312" s="1" t="s">
        <v>31</v>
      </c>
      <c r="C312" s="1">
        <v>3300</v>
      </c>
      <c r="D312" s="1" t="s">
        <v>41</v>
      </c>
      <c r="E312" s="1">
        <v>301</v>
      </c>
      <c r="F312" s="1">
        <v>0</v>
      </c>
      <c r="G312" s="1">
        <v>887</v>
      </c>
      <c r="H312" s="1" t="s">
        <v>29</v>
      </c>
      <c r="J312" s="1">
        <v>400</v>
      </c>
      <c r="M312" s="1" t="s">
        <v>28</v>
      </c>
      <c r="N312" s="1">
        <v>0</v>
      </c>
      <c r="O312" s="1" t="s">
        <v>27</v>
      </c>
      <c r="P312" s="1">
        <v>46050</v>
      </c>
      <c r="Q312" s="1">
        <v>0.30726851851852</v>
      </c>
      <c r="R312" s="1">
        <v>0</v>
      </c>
      <c r="T312" s="1" t="s">
        <v>335</v>
      </c>
      <c r="U312" s="1" t="s">
        <v>24</v>
      </c>
      <c r="V312" s="1">
        <v>1</v>
      </c>
      <c r="W312" s="1" t="s">
        <v>258</v>
      </c>
      <c r="X312" s="1" t="s">
        <v>141</v>
      </c>
      <c r="Y312" s="1" t="s">
        <v>32</v>
      </c>
      <c r="Z312" s="1" t="s">
        <v>32</v>
      </c>
    </row>
    <row r="313" spans="1:26" x14ac:dyDescent="0.35">
      <c r="A313" s="1">
        <v>4002684</v>
      </c>
      <c r="B313" s="1" t="s">
        <v>31</v>
      </c>
      <c r="C313" s="1">
        <v>3300</v>
      </c>
      <c r="D313" s="1" t="s">
        <v>30</v>
      </c>
      <c r="E313" s="1">
        <v>301</v>
      </c>
      <c r="F313" s="1">
        <v>0</v>
      </c>
      <c r="G313" s="1">
        <v>140</v>
      </c>
      <c r="H313" s="1" t="s">
        <v>29</v>
      </c>
      <c r="I313" s="1" t="s">
        <v>71</v>
      </c>
      <c r="J313" s="1">
        <v>50</v>
      </c>
      <c r="M313" s="1" t="s">
        <v>28</v>
      </c>
      <c r="N313" s="1">
        <v>5</v>
      </c>
      <c r="O313" s="1" t="s">
        <v>746</v>
      </c>
      <c r="P313" s="1">
        <v>45896</v>
      </c>
      <c r="Q313" s="1">
        <v>0.49053240740741</v>
      </c>
      <c r="R313" s="1" t="s">
        <v>834</v>
      </c>
      <c r="S313" s="1" t="s">
        <v>833</v>
      </c>
      <c r="T313" s="1" t="s">
        <v>335</v>
      </c>
      <c r="U313" s="1" t="s">
        <v>24</v>
      </c>
      <c r="V313" s="1">
        <v>1</v>
      </c>
      <c r="W313" s="1" t="s">
        <v>271</v>
      </c>
      <c r="Y313" s="1" t="s">
        <v>32</v>
      </c>
      <c r="Z313" s="1" t="s">
        <v>23</v>
      </c>
    </row>
    <row r="314" spans="1:26" x14ac:dyDescent="0.35">
      <c r="A314" s="1">
        <v>4002685</v>
      </c>
      <c r="B314" s="1" t="s">
        <v>31</v>
      </c>
      <c r="C314" s="1">
        <v>3300</v>
      </c>
      <c r="D314" s="1" t="s">
        <v>41</v>
      </c>
      <c r="G314" s="1">
        <v>0</v>
      </c>
      <c r="J314" s="1">
        <v>0</v>
      </c>
      <c r="M314" s="1" t="s">
        <v>28</v>
      </c>
      <c r="N314" s="1">
        <v>0</v>
      </c>
      <c r="O314" s="1" t="s">
        <v>277</v>
      </c>
      <c r="P314" s="1">
        <v>44495</v>
      </c>
      <c r="Q314" s="1">
        <v>0.75076388888889001</v>
      </c>
      <c r="R314" s="1" t="s">
        <v>832</v>
      </c>
      <c r="S314" s="1" t="s">
        <v>831</v>
      </c>
      <c r="U314" s="1" t="s">
        <v>24</v>
      </c>
      <c r="V314" s="1">
        <v>1</v>
      </c>
      <c r="W314" s="1" t="s">
        <v>258</v>
      </c>
      <c r="Y314" s="1" t="s">
        <v>32</v>
      </c>
      <c r="Z314" s="1" t="s">
        <v>23</v>
      </c>
    </row>
    <row r="315" spans="1:26" x14ac:dyDescent="0.35">
      <c r="A315" s="1">
        <v>4002686</v>
      </c>
      <c r="B315" s="1" t="s">
        <v>31</v>
      </c>
      <c r="C315" s="1">
        <v>3300</v>
      </c>
      <c r="D315" s="1" t="s">
        <v>41</v>
      </c>
      <c r="E315" s="1">
        <v>301</v>
      </c>
      <c r="F315" s="1">
        <v>0</v>
      </c>
      <c r="G315" s="1">
        <v>400</v>
      </c>
      <c r="H315" s="1" t="s">
        <v>29</v>
      </c>
      <c r="I315" s="1">
        <v>20</v>
      </c>
      <c r="J315" s="1">
        <v>180</v>
      </c>
      <c r="M315" s="1" t="s">
        <v>28</v>
      </c>
      <c r="N315" s="1">
        <v>5</v>
      </c>
      <c r="O315" s="1" t="s">
        <v>236</v>
      </c>
      <c r="P315" s="1">
        <v>45517</v>
      </c>
      <c r="Q315" s="1">
        <v>0.33567129629629999</v>
      </c>
      <c r="R315" s="1">
        <v>0</v>
      </c>
      <c r="T315" s="1" t="s">
        <v>335</v>
      </c>
      <c r="U315" s="1" t="s">
        <v>24</v>
      </c>
      <c r="V315" s="1">
        <v>1</v>
      </c>
      <c r="W315" s="1" t="s">
        <v>271</v>
      </c>
      <c r="Y315" s="1" t="s">
        <v>32</v>
      </c>
      <c r="Z315" s="1" t="s">
        <v>23</v>
      </c>
    </row>
    <row r="316" spans="1:26" x14ac:dyDescent="0.35">
      <c r="A316" s="1">
        <v>4002688</v>
      </c>
      <c r="B316" s="1" t="s">
        <v>31</v>
      </c>
      <c r="C316" s="1">
        <v>3300</v>
      </c>
      <c r="D316" s="1" t="s">
        <v>30</v>
      </c>
      <c r="E316" s="1">
        <v>301</v>
      </c>
      <c r="F316" s="1">
        <v>0</v>
      </c>
      <c r="G316" s="1">
        <v>132</v>
      </c>
      <c r="H316" s="1" t="s">
        <v>29</v>
      </c>
      <c r="I316" s="1" t="s">
        <v>71</v>
      </c>
      <c r="J316" s="1">
        <v>30</v>
      </c>
      <c r="M316" s="1" t="s">
        <v>28</v>
      </c>
      <c r="N316" s="1">
        <v>0</v>
      </c>
      <c r="O316" s="1" t="s">
        <v>27</v>
      </c>
      <c r="P316" s="1">
        <v>46014</v>
      </c>
      <c r="Q316" s="1">
        <v>0.28736111111111001</v>
      </c>
      <c r="R316" s="1">
        <v>0</v>
      </c>
      <c r="T316" s="1" t="s">
        <v>335</v>
      </c>
      <c r="U316" s="1" t="s">
        <v>24</v>
      </c>
      <c r="V316" s="1">
        <v>1</v>
      </c>
      <c r="W316" s="1" t="s">
        <v>289</v>
      </c>
      <c r="Y316" s="1" t="s">
        <v>32</v>
      </c>
      <c r="Z316" s="1" t="s">
        <v>23</v>
      </c>
    </row>
    <row r="317" spans="1:26" x14ac:dyDescent="0.35">
      <c r="A317" s="1">
        <v>4002709</v>
      </c>
      <c r="B317" s="1" t="s">
        <v>31</v>
      </c>
      <c r="C317" s="1">
        <v>3300</v>
      </c>
      <c r="D317" s="1" t="s">
        <v>30</v>
      </c>
      <c r="E317" s="1">
        <v>301</v>
      </c>
      <c r="F317" s="1">
        <v>0</v>
      </c>
      <c r="G317" s="1">
        <v>500</v>
      </c>
      <c r="H317" s="1" t="s">
        <v>29</v>
      </c>
      <c r="I317" s="1" t="s">
        <v>71</v>
      </c>
      <c r="J317" s="1">
        <v>300</v>
      </c>
      <c r="M317" s="1" t="s">
        <v>28</v>
      </c>
      <c r="N317" s="1">
        <v>0</v>
      </c>
      <c r="O317" s="1" t="s">
        <v>132</v>
      </c>
      <c r="P317" s="1">
        <v>46036</v>
      </c>
      <c r="Q317" s="1">
        <v>0.42037037037037001</v>
      </c>
      <c r="R317" s="1">
        <v>0</v>
      </c>
      <c r="U317" s="1" t="s">
        <v>24</v>
      </c>
      <c r="V317" s="1">
        <v>1</v>
      </c>
      <c r="W317" s="1" t="s">
        <v>258</v>
      </c>
      <c r="X317" s="1" t="s">
        <v>24</v>
      </c>
      <c r="Y317" s="1" t="s">
        <v>32</v>
      </c>
      <c r="Z317" s="1" t="s">
        <v>32</v>
      </c>
    </row>
    <row r="318" spans="1:26" x14ac:dyDescent="0.35">
      <c r="A318" s="1">
        <v>4002737</v>
      </c>
      <c r="B318" s="1" t="s">
        <v>31</v>
      </c>
      <c r="C318" s="1">
        <v>3300</v>
      </c>
      <c r="D318" s="1" t="s">
        <v>30</v>
      </c>
      <c r="E318" s="1">
        <v>301</v>
      </c>
      <c r="F318" s="1">
        <v>0</v>
      </c>
      <c r="G318" s="1">
        <v>120</v>
      </c>
      <c r="H318" s="1" t="s">
        <v>29</v>
      </c>
      <c r="I318" s="1">
        <v>20</v>
      </c>
      <c r="J318" s="1">
        <v>40</v>
      </c>
      <c r="M318" s="1" t="s">
        <v>28</v>
      </c>
      <c r="N318" s="1">
        <v>0</v>
      </c>
      <c r="O318" s="1" t="s">
        <v>27</v>
      </c>
      <c r="P318" s="1">
        <v>45527</v>
      </c>
      <c r="Q318" s="1">
        <v>0.45126157407407003</v>
      </c>
      <c r="R318" s="1" t="s">
        <v>830</v>
      </c>
      <c r="S318" s="1" t="s">
        <v>829</v>
      </c>
      <c r="U318" s="1" t="s">
        <v>24</v>
      </c>
      <c r="V318" s="1">
        <v>1</v>
      </c>
      <c r="X318" s="1" t="s">
        <v>24</v>
      </c>
      <c r="Y318" s="1" t="s">
        <v>23</v>
      </c>
      <c r="Z318" s="1" t="s">
        <v>32</v>
      </c>
    </row>
    <row r="319" spans="1:26" x14ac:dyDescent="0.35">
      <c r="A319" s="1">
        <v>4002738</v>
      </c>
      <c r="B319" s="1" t="s">
        <v>31</v>
      </c>
      <c r="C319" s="1">
        <v>3300</v>
      </c>
      <c r="D319" s="1" t="s">
        <v>30</v>
      </c>
      <c r="E319" s="1">
        <v>301</v>
      </c>
      <c r="F319" s="1">
        <v>0</v>
      </c>
      <c r="G319" s="1">
        <v>80</v>
      </c>
      <c r="H319" s="1" t="s">
        <v>29</v>
      </c>
      <c r="I319" s="1" t="s">
        <v>247</v>
      </c>
      <c r="J319" s="1">
        <v>80</v>
      </c>
      <c r="M319" s="1" t="s">
        <v>28</v>
      </c>
      <c r="N319" s="1">
        <v>0</v>
      </c>
      <c r="O319" s="1" t="s">
        <v>166</v>
      </c>
      <c r="P319" s="1">
        <v>45868</v>
      </c>
      <c r="Q319" s="1">
        <v>0.56350694444444005</v>
      </c>
      <c r="R319" s="1" t="s">
        <v>828</v>
      </c>
      <c r="S319" s="1" t="s">
        <v>827</v>
      </c>
      <c r="U319" s="1" t="s">
        <v>24</v>
      </c>
      <c r="V319" s="1">
        <v>1</v>
      </c>
      <c r="X319" s="1" t="s">
        <v>24</v>
      </c>
      <c r="Y319" s="1" t="s">
        <v>23</v>
      </c>
      <c r="Z319" s="1" t="s">
        <v>32</v>
      </c>
    </row>
    <row r="320" spans="1:26" x14ac:dyDescent="0.35">
      <c r="A320" s="1">
        <v>4002739</v>
      </c>
      <c r="B320" s="1" t="s">
        <v>31</v>
      </c>
      <c r="C320" s="1">
        <v>3300</v>
      </c>
      <c r="D320" s="1" t="s">
        <v>30</v>
      </c>
      <c r="E320" s="1">
        <v>301</v>
      </c>
      <c r="F320" s="1">
        <v>0</v>
      </c>
      <c r="G320" s="1">
        <v>160</v>
      </c>
      <c r="H320" s="1" t="s">
        <v>29</v>
      </c>
      <c r="I320" s="1">
        <v>20</v>
      </c>
      <c r="J320" s="1">
        <v>80</v>
      </c>
      <c r="M320" s="1" t="s">
        <v>28</v>
      </c>
      <c r="N320" s="1">
        <v>0</v>
      </c>
      <c r="O320" s="1" t="s">
        <v>27</v>
      </c>
      <c r="P320" s="1">
        <v>46009</v>
      </c>
      <c r="Q320" s="1">
        <v>0.51084490740740995</v>
      </c>
      <c r="R320" s="1" t="s">
        <v>826</v>
      </c>
      <c r="S320" s="1" t="s">
        <v>825</v>
      </c>
      <c r="U320" s="1" t="s">
        <v>24</v>
      </c>
      <c r="V320" s="1">
        <v>1</v>
      </c>
      <c r="X320" s="1" t="s">
        <v>24</v>
      </c>
      <c r="Y320" s="1" t="s">
        <v>23</v>
      </c>
      <c r="Z320" s="1" t="s">
        <v>32</v>
      </c>
    </row>
    <row r="321" spans="1:26" x14ac:dyDescent="0.35">
      <c r="A321" s="1">
        <v>4002740</v>
      </c>
      <c r="B321" s="1" t="s">
        <v>31</v>
      </c>
      <c r="C321" s="1">
        <v>3300</v>
      </c>
      <c r="D321" s="1" t="s">
        <v>30</v>
      </c>
      <c r="E321" s="1">
        <v>301</v>
      </c>
      <c r="F321" s="1">
        <v>0</v>
      </c>
      <c r="G321" s="1">
        <v>240</v>
      </c>
      <c r="H321" s="1" t="s">
        <v>29</v>
      </c>
      <c r="I321" s="1">
        <v>20</v>
      </c>
      <c r="J321" s="1">
        <v>80</v>
      </c>
      <c r="M321" s="1" t="s">
        <v>28</v>
      </c>
      <c r="N321" s="1">
        <v>0</v>
      </c>
      <c r="O321" s="1" t="s">
        <v>27</v>
      </c>
      <c r="P321" s="1">
        <v>45527</v>
      </c>
      <c r="Q321" s="1">
        <v>0.4575462962963</v>
      </c>
      <c r="R321" s="1" t="s">
        <v>824</v>
      </c>
      <c r="S321" s="1" t="s">
        <v>823</v>
      </c>
      <c r="U321" s="1" t="s">
        <v>24</v>
      </c>
      <c r="V321" s="1">
        <v>1</v>
      </c>
      <c r="X321" s="1" t="s">
        <v>24</v>
      </c>
      <c r="Y321" s="1" t="s">
        <v>23</v>
      </c>
      <c r="Z321" s="1" t="s">
        <v>32</v>
      </c>
    </row>
    <row r="322" spans="1:26" x14ac:dyDescent="0.35">
      <c r="A322" s="1">
        <v>4002741</v>
      </c>
      <c r="B322" s="1" t="s">
        <v>31</v>
      </c>
      <c r="C322" s="1">
        <v>3300</v>
      </c>
      <c r="D322" s="1" t="s">
        <v>30</v>
      </c>
      <c r="E322" s="1">
        <v>301</v>
      </c>
      <c r="F322" s="1">
        <v>0</v>
      </c>
      <c r="G322" s="1">
        <v>240</v>
      </c>
      <c r="H322" s="1" t="s">
        <v>29</v>
      </c>
      <c r="I322" s="1">
        <v>20</v>
      </c>
      <c r="J322" s="1">
        <v>80</v>
      </c>
      <c r="M322" s="1" t="s">
        <v>28</v>
      </c>
      <c r="N322" s="1">
        <v>0</v>
      </c>
      <c r="O322" s="1" t="s">
        <v>27</v>
      </c>
      <c r="P322" s="1">
        <v>45979</v>
      </c>
      <c r="Q322" s="1">
        <v>0.30329861111111001</v>
      </c>
      <c r="R322" s="1" t="s">
        <v>822</v>
      </c>
      <c r="S322" s="1" t="s">
        <v>821</v>
      </c>
      <c r="U322" s="1" t="s">
        <v>24</v>
      </c>
      <c r="V322" s="1">
        <v>1</v>
      </c>
      <c r="X322" s="1" t="s">
        <v>24</v>
      </c>
      <c r="Y322" s="1" t="s">
        <v>23</v>
      </c>
      <c r="Z322" s="1" t="s">
        <v>32</v>
      </c>
    </row>
    <row r="323" spans="1:26" x14ac:dyDescent="0.35">
      <c r="A323" s="1">
        <v>4002742</v>
      </c>
      <c r="B323" s="1" t="s">
        <v>31</v>
      </c>
      <c r="C323" s="1">
        <v>3300</v>
      </c>
      <c r="D323" s="1" t="s">
        <v>30</v>
      </c>
      <c r="E323" s="1">
        <v>301</v>
      </c>
      <c r="F323" s="1">
        <v>0</v>
      </c>
      <c r="G323" s="1">
        <v>400</v>
      </c>
      <c r="H323" s="1" t="s">
        <v>29</v>
      </c>
      <c r="I323" s="1">
        <v>20</v>
      </c>
      <c r="J323" s="1">
        <v>200</v>
      </c>
      <c r="M323" s="1" t="s">
        <v>28</v>
      </c>
      <c r="N323" s="1">
        <v>0</v>
      </c>
      <c r="O323" s="1" t="s">
        <v>27</v>
      </c>
      <c r="P323" s="1">
        <v>45674</v>
      </c>
      <c r="Q323" s="1">
        <v>0.55726851851852</v>
      </c>
      <c r="R323" s="1" t="s">
        <v>820</v>
      </c>
      <c r="S323" s="1" t="s">
        <v>819</v>
      </c>
      <c r="U323" s="1" t="s">
        <v>24</v>
      </c>
      <c r="V323" s="1">
        <v>1</v>
      </c>
      <c r="X323" s="1" t="s">
        <v>24</v>
      </c>
      <c r="Y323" s="1" t="s">
        <v>23</v>
      </c>
      <c r="Z323" s="1" t="s">
        <v>32</v>
      </c>
    </row>
    <row r="324" spans="1:26" x14ac:dyDescent="0.35">
      <c r="A324" s="1">
        <v>4002743</v>
      </c>
      <c r="B324" s="1" t="s">
        <v>31</v>
      </c>
      <c r="C324" s="1">
        <v>3300</v>
      </c>
      <c r="D324" s="1" t="s">
        <v>30</v>
      </c>
      <c r="E324" s="1">
        <v>301</v>
      </c>
      <c r="F324" s="1">
        <v>0</v>
      </c>
      <c r="G324" s="1">
        <v>180</v>
      </c>
      <c r="H324" s="1" t="s">
        <v>29</v>
      </c>
      <c r="I324" s="1">
        <v>20</v>
      </c>
      <c r="J324" s="1">
        <v>80</v>
      </c>
      <c r="M324" s="1" t="s">
        <v>28</v>
      </c>
      <c r="N324" s="1">
        <v>0</v>
      </c>
      <c r="O324" s="1" t="s">
        <v>166</v>
      </c>
      <c r="P324" s="1">
        <v>45637</v>
      </c>
      <c r="Q324" s="1">
        <v>0.54346064814814998</v>
      </c>
      <c r="R324" s="1" t="s">
        <v>818</v>
      </c>
      <c r="S324" s="1" t="s">
        <v>817</v>
      </c>
      <c r="U324" s="1" t="s">
        <v>24</v>
      </c>
      <c r="V324" s="1">
        <v>1</v>
      </c>
      <c r="X324" s="1" t="s">
        <v>24</v>
      </c>
      <c r="Y324" s="1" t="s">
        <v>23</v>
      </c>
      <c r="Z324" s="1" t="s">
        <v>32</v>
      </c>
    </row>
    <row r="325" spans="1:26" x14ac:dyDescent="0.35">
      <c r="A325" s="1">
        <v>4002745</v>
      </c>
      <c r="B325" s="1" t="s">
        <v>31</v>
      </c>
      <c r="C325" s="1">
        <v>3300</v>
      </c>
      <c r="D325" s="1" t="s">
        <v>30</v>
      </c>
      <c r="E325" s="1">
        <v>301</v>
      </c>
      <c r="F325" s="1">
        <v>0</v>
      </c>
      <c r="G325" s="1">
        <v>180</v>
      </c>
      <c r="H325" s="1" t="s">
        <v>29</v>
      </c>
      <c r="I325" s="1">
        <v>20</v>
      </c>
      <c r="J325" s="1">
        <v>80</v>
      </c>
      <c r="M325" s="1" t="s">
        <v>28</v>
      </c>
      <c r="N325" s="1">
        <v>0</v>
      </c>
      <c r="O325" s="1" t="s">
        <v>27</v>
      </c>
      <c r="P325" s="1">
        <v>45719</v>
      </c>
      <c r="Q325" s="1">
        <v>0.57864583333332997</v>
      </c>
      <c r="R325" s="1" t="s">
        <v>816</v>
      </c>
      <c r="S325" s="1" t="s">
        <v>815</v>
      </c>
      <c r="U325" s="1" t="s">
        <v>24</v>
      </c>
      <c r="V325" s="1">
        <v>1</v>
      </c>
      <c r="X325" s="1" t="s">
        <v>24</v>
      </c>
      <c r="Y325" s="1" t="s">
        <v>23</v>
      </c>
      <c r="Z325" s="1" t="s">
        <v>32</v>
      </c>
    </row>
    <row r="326" spans="1:26" x14ac:dyDescent="0.35">
      <c r="A326" s="1">
        <v>4002809</v>
      </c>
      <c r="B326" s="1" t="s">
        <v>31</v>
      </c>
      <c r="C326" s="1">
        <v>3300</v>
      </c>
      <c r="D326" s="1" t="s">
        <v>30</v>
      </c>
      <c r="E326" s="1">
        <v>301</v>
      </c>
      <c r="F326" s="1">
        <v>0</v>
      </c>
      <c r="G326" s="1">
        <v>5000</v>
      </c>
      <c r="H326" s="1" t="s">
        <v>29</v>
      </c>
      <c r="I326" s="1" t="s">
        <v>247</v>
      </c>
      <c r="J326" s="1">
        <v>9000</v>
      </c>
      <c r="M326" s="1" t="s">
        <v>28</v>
      </c>
      <c r="N326" s="1">
        <v>0</v>
      </c>
      <c r="O326" s="1" t="s">
        <v>166</v>
      </c>
      <c r="P326" s="1">
        <v>45888</v>
      </c>
      <c r="Q326" s="1">
        <v>0.36456018518519001</v>
      </c>
      <c r="R326" s="1" t="s">
        <v>814</v>
      </c>
      <c r="S326" s="1" t="s">
        <v>813</v>
      </c>
      <c r="U326" s="1" t="s">
        <v>24</v>
      </c>
      <c r="V326" s="1">
        <v>1</v>
      </c>
      <c r="W326" s="1" t="s">
        <v>271</v>
      </c>
      <c r="X326" s="1" t="s">
        <v>141</v>
      </c>
      <c r="Y326" s="1" t="s">
        <v>32</v>
      </c>
      <c r="Z326" s="1" t="s">
        <v>32</v>
      </c>
    </row>
    <row r="327" spans="1:26" x14ac:dyDescent="0.35">
      <c r="A327" s="1">
        <v>4002847</v>
      </c>
      <c r="B327" s="1" t="s">
        <v>31</v>
      </c>
      <c r="C327" s="1">
        <v>3300</v>
      </c>
      <c r="D327" s="1" t="s">
        <v>30</v>
      </c>
      <c r="E327" s="1">
        <v>301</v>
      </c>
      <c r="F327" s="1">
        <v>0</v>
      </c>
      <c r="G327" s="1">
        <v>100</v>
      </c>
      <c r="H327" s="1" t="s">
        <v>29</v>
      </c>
      <c r="I327" s="1" t="s">
        <v>71</v>
      </c>
      <c r="J327" s="1">
        <v>210</v>
      </c>
      <c r="M327" s="1" t="s">
        <v>28</v>
      </c>
      <c r="N327" s="1">
        <v>0</v>
      </c>
      <c r="O327" s="1" t="s">
        <v>27</v>
      </c>
      <c r="P327" s="1">
        <v>45924</v>
      </c>
      <c r="Q327" s="1">
        <v>0.39913194444444</v>
      </c>
      <c r="R327" s="1">
        <v>0</v>
      </c>
      <c r="T327" s="1" t="s">
        <v>335</v>
      </c>
      <c r="U327" s="1" t="s">
        <v>24</v>
      </c>
      <c r="V327" s="1">
        <v>1</v>
      </c>
      <c r="W327" s="1" t="s">
        <v>258</v>
      </c>
      <c r="X327" s="1" t="s">
        <v>24</v>
      </c>
      <c r="Y327" s="1" t="s">
        <v>32</v>
      </c>
      <c r="Z327" s="1" t="s">
        <v>32</v>
      </c>
    </row>
    <row r="328" spans="1:26" x14ac:dyDescent="0.35">
      <c r="A328" s="1">
        <v>4002874</v>
      </c>
      <c r="B328" s="1" t="s">
        <v>31</v>
      </c>
      <c r="C328" s="1">
        <v>3300</v>
      </c>
      <c r="D328" s="1" t="s">
        <v>30</v>
      </c>
      <c r="E328" s="1">
        <v>301</v>
      </c>
      <c r="F328" s="1">
        <v>0</v>
      </c>
      <c r="G328" s="1">
        <v>300</v>
      </c>
      <c r="H328" s="1" t="s">
        <v>29</v>
      </c>
      <c r="I328" s="1" t="s">
        <v>71</v>
      </c>
      <c r="J328" s="1">
        <v>300</v>
      </c>
      <c r="M328" s="1" t="s">
        <v>28</v>
      </c>
      <c r="N328" s="1">
        <v>0</v>
      </c>
      <c r="O328" s="1" t="s">
        <v>27</v>
      </c>
      <c r="P328" s="1">
        <v>45750</v>
      </c>
      <c r="Q328" s="1">
        <v>0.29042824074073997</v>
      </c>
      <c r="R328" s="1" t="s">
        <v>812</v>
      </c>
      <c r="S328" s="1" t="s">
        <v>811</v>
      </c>
      <c r="U328" s="1" t="s">
        <v>24</v>
      </c>
      <c r="V328" s="1">
        <v>1</v>
      </c>
      <c r="W328" s="1" t="s">
        <v>289</v>
      </c>
      <c r="Y328" s="1" t="s">
        <v>32</v>
      </c>
      <c r="Z328" s="1" t="s">
        <v>23</v>
      </c>
    </row>
    <row r="329" spans="1:26" x14ac:dyDescent="0.35">
      <c r="A329" s="1">
        <v>4002898</v>
      </c>
      <c r="B329" s="1" t="s">
        <v>31</v>
      </c>
      <c r="C329" s="1">
        <v>3300</v>
      </c>
      <c r="D329" s="1" t="s">
        <v>30</v>
      </c>
      <c r="E329" s="1">
        <v>301</v>
      </c>
      <c r="F329" s="1">
        <v>0</v>
      </c>
      <c r="G329" s="1">
        <v>300</v>
      </c>
      <c r="H329" s="1" t="s">
        <v>29</v>
      </c>
      <c r="I329" s="1">
        <v>20</v>
      </c>
      <c r="J329" s="1">
        <v>240</v>
      </c>
      <c r="M329" s="1" t="s">
        <v>28</v>
      </c>
      <c r="N329" s="1">
        <v>5</v>
      </c>
      <c r="O329" s="1" t="s">
        <v>166</v>
      </c>
      <c r="P329" s="1">
        <v>45637</v>
      </c>
      <c r="Q329" s="1">
        <v>0.45693287037037</v>
      </c>
      <c r="R329" s="1">
        <v>0</v>
      </c>
      <c r="T329" s="1" t="s">
        <v>335</v>
      </c>
      <c r="U329" s="1" t="s">
        <v>24</v>
      </c>
      <c r="V329" s="1">
        <v>1</v>
      </c>
      <c r="W329" s="1" t="s">
        <v>271</v>
      </c>
      <c r="Y329" s="1" t="s">
        <v>32</v>
      </c>
      <c r="Z329" s="1" t="s">
        <v>23</v>
      </c>
    </row>
    <row r="330" spans="1:26" x14ac:dyDescent="0.35">
      <c r="A330" s="1">
        <v>4002899</v>
      </c>
      <c r="B330" s="1" t="s">
        <v>31</v>
      </c>
      <c r="C330" s="1">
        <v>3300</v>
      </c>
      <c r="D330" s="1" t="s">
        <v>41</v>
      </c>
      <c r="G330" s="1">
        <v>0</v>
      </c>
      <c r="J330" s="1">
        <v>0</v>
      </c>
      <c r="M330" s="1" t="s">
        <v>28</v>
      </c>
      <c r="N330" s="1">
        <v>0</v>
      </c>
      <c r="O330" s="1" t="s">
        <v>277</v>
      </c>
      <c r="P330" s="1">
        <v>44495</v>
      </c>
      <c r="Q330" s="1">
        <v>0.74348379629630001</v>
      </c>
      <c r="R330" s="1">
        <v>0</v>
      </c>
      <c r="U330" s="1" t="s">
        <v>24</v>
      </c>
      <c r="V330" s="1">
        <v>1</v>
      </c>
      <c r="W330" s="1" t="s">
        <v>258</v>
      </c>
      <c r="Y330" s="1" t="s">
        <v>32</v>
      </c>
      <c r="Z330" s="1" t="s">
        <v>23</v>
      </c>
    </row>
    <row r="331" spans="1:26" x14ac:dyDescent="0.35">
      <c r="A331" s="1">
        <v>4002985</v>
      </c>
      <c r="B331" s="1" t="s">
        <v>31</v>
      </c>
      <c r="C331" s="1">
        <v>3300</v>
      </c>
      <c r="D331" s="1" t="s">
        <v>30</v>
      </c>
      <c r="E331" s="1">
        <v>301</v>
      </c>
      <c r="F331" s="1">
        <v>0</v>
      </c>
      <c r="G331" s="1">
        <v>70</v>
      </c>
      <c r="H331" s="1" t="s">
        <v>29</v>
      </c>
      <c r="I331" s="1" t="s">
        <v>71</v>
      </c>
      <c r="J331" s="1">
        <v>40</v>
      </c>
      <c r="M331" s="1" t="s">
        <v>28</v>
      </c>
      <c r="N331" s="1">
        <v>0</v>
      </c>
      <c r="O331" s="1" t="s">
        <v>199</v>
      </c>
      <c r="P331" s="1">
        <v>45813</v>
      </c>
      <c r="Q331" s="1">
        <v>0.60746527777778003</v>
      </c>
      <c r="R331" s="1" t="s">
        <v>810</v>
      </c>
      <c r="S331" s="1" t="s">
        <v>809</v>
      </c>
      <c r="U331" s="1" t="s">
        <v>24</v>
      </c>
      <c r="V331" s="1">
        <v>1</v>
      </c>
      <c r="W331" s="1" t="s">
        <v>258</v>
      </c>
      <c r="Y331" s="1" t="s">
        <v>32</v>
      </c>
      <c r="Z331" s="1" t="s">
        <v>23</v>
      </c>
    </row>
    <row r="332" spans="1:26" x14ac:dyDescent="0.35">
      <c r="A332" s="1">
        <v>4003002</v>
      </c>
      <c r="B332" s="1" t="s">
        <v>31</v>
      </c>
      <c r="C332" s="1">
        <v>3300</v>
      </c>
      <c r="D332" s="1" t="s">
        <v>30</v>
      </c>
      <c r="E332" s="1">
        <v>301</v>
      </c>
      <c r="F332" s="1">
        <v>0</v>
      </c>
      <c r="G332" s="1">
        <v>40</v>
      </c>
      <c r="H332" s="1" t="s">
        <v>29</v>
      </c>
      <c r="I332" s="1" t="s">
        <v>71</v>
      </c>
      <c r="J332" s="1">
        <v>50</v>
      </c>
      <c r="M332" s="1" t="s">
        <v>28</v>
      </c>
      <c r="N332" s="1">
        <v>5</v>
      </c>
      <c r="O332" s="1" t="s">
        <v>27</v>
      </c>
      <c r="P332" s="1">
        <v>45924</v>
      </c>
      <c r="Q332" s="1">
        <v>0.37153935185185</v>
      </c>
      <c r="R332" s="1">
        <v>0</v>
      </c>
      <c r="T332" s="1" t="s">
        <v>335</v>
      </c>
      <c r="U332" s="1" t="s">
        <v>24</v>
      </c>
      <c r="V332" s="1">
        <v>1</v>
      </c>
      <c r="W332" s="1" t="s">
        <v>271</v>
      </c>
      <c r="Y332" s="1" t="s">
        <v>32</v>
      </c>
      <c r="Z332" s="1" t="s">
        <v>23</v>
      </c>
    </row>
    <row r="333" spans="1:26" x14ac:dyDescent="0.35">
      <c r="A333" s="1">
        <v>4003004</v>
      </c>
      <c r="B333" s="1" t="s">
        <v>31</v>
      </c>
      <c r="C333" s="1">
        <v>3300</v>
      </c>
      <c r="D333" s="1" t="s">
        <v>30</v>
      </c>
      <c r="E333" s="1">
        <v>301</v>
      </c>
      <c r="F333" s="1">
        <v>0</v>
      </c>
      <c r="G333" s="1">
        <v>15</v>
      </c>
      <c r="H333" s="1" t="s">
        <v>29</v>
      </c>
      <c r="I333" s="1" t="s">
        <v>71</v>
      </c>
      <c r="J333" s="1">
        <v>30</v>
      </c>
      <c r="M333" s="1" t="s">
        <v>28</v>
      </c>
      <c r="N333" s="1">
        <v>5</v>
      </c>
      <c r="O333" s="1" t="s">
        <v>27</v>
      </c>
      <c r="P333" s="1">
        <v>45924</v>
      </c>
      <c r="Q333" s="1">
        <v>0.34640046296296001</v>
      </c>
      <c r="R333" s="1" t="s">
        <v>808</v>
      </c>
      <c r="S333" s="1" t="s">
        <v>807</v>
      </c>
      <c r="T333" s="1" t="s">
        <v>335</v>
      </c>
      <c r="U333" s="1" t="s">
        <v>24</v>
      </c>
      <c r="V333" s="1">
        <v>1</v>
      </c>
      <c r="W333" s="1" t="s">
        <v>258</v>
      </c>
      <c r="Y333" s="1" t="s">
        <v>32</v>
      </c>
      <c r="Z333" s="1" t="s">
        <v>23</v>
      </c>
    </row>
    <row r="334" spans="1:26" x14ac:dyDescent="0.35">
      <c r="A334" s="1">
        <v>4003005</v>
      </c>
      <c r="B334" s="1" t="s">
        <v>31</v>
      </c>
      <c r="C334" s="1">
        <v>3300</v>
      </c>
      <c r="D334" s="1" t="s">
        <v>30</v>
      </c>
      <c r="E334" s="1">
        <v>301</v>
      </c>
      <c r="F334" s="1">
        <v>0</v>
      </c>
      <c r="G334" s="1">
        <v>20</v>
      </c>
      <c r="H334" s="1" t="s">
        <v>29</v>
      </c>
      <c r="I334" s="1" t="s">
        <v>71</v>
      </c>
      <c r="J334" s="1">
        <v>20</v>
      </c>
      <c r="M334" s="1" t="s">
        <v>28</v>
      </c>
      <c r="N334" s="1">
        <v>0</v>
      </c>
      <c r="O334" s="1" t="s">
        <v>27</v>
      </c>
      <c r="P334" s="1">
        <v>46031</v>
      </c>
      <c r="Q334" s="1">
        <v>0.29123842592593002</v>
      </c>
      <c r="R334" s="1">
        <v>0</v>
      </c>
      <c r="T334" s="1" t="s">
        <v>335</v>
      </c>
      <c r="U334" s="1" t="s">
        <v>24</v>
      </c>
      <c r="V334" s="1">
        <v>1</v>
      </c>
      <c r="W334" s="1" t="s">
        <v>289</v>
      </c>
      <c r="Y334" s="1" t="s">
        <v>32</v>
      </c>
      <c r="Z334" s="1" t="s">
        <v>23</v>
      </c>
    </row>
    <row r="335" spans="1:26" x14ac:dyDescent="0.35">
      <c r="A335" s="1">
        <v>4003006</v>
      </c>
      <c r="B335" s="1" t="s">
        <v>31</v>
      </c>
      <c r="C335" s="1">
        <v>3300</v>
      </c>
      <c r="D335" s="1" t="s">
        <v>30</v>
      </c>
      <c r="E335" s="1">
        <v>301</v>
      </c>
      <c r="F335" s="1">
        <v>0</v>
      </c>
      <c r="G335" s="1">
        <v>20</v>
      </c>
      <c r="H335" s="1" t="s">
        <v>29</v>
      </c>
      <c r="I335" s="1" t="s">
        <v>247</v>
      </c>
      <c r="J335" s="1">
        <v>25</v>
      </c>
      <c r="M335" s="1" t="s">
        <v>28</v>
      </c>
      <c r="N335" s="1">
        <v>0</v>
      </c>
      <c r="O335" s="1" t="s">
        <v>166</v>
      </c>
      <c r="P335" s="1">
        <v>45050</v>
      </c>
      <c r="Q335" s="1">
        <v>0.53331018518519002</v>
      </c>
      <c r="R335" s="1" t="s">
        <v>806</v>
      </c>
      <c r="S335" s="1" t="s">
        <v>805</v>
      </c>
      <c r="T335" s="1" t="s">
        <v>335</v>
      </c>
      <c r="U335" s="1" t="s">
        <v>24</v>
      </c>
      <c r="V335" s="1">
        <v>1</v>
      </c>
      <c r="W335" s="1" t="s">
        <v>289</v>
      </c>
      <c r="Y335" s="1" t="s">
        <v>32</v>
      </c>
      <c r="Z335" s="1" t="s">
        <v>23</v>
      </c>
    </row>
    <row r="336" spans="1:26" x14ac:dyDescent="0.35">
      <c r="A336" s="1">
        <v>4003008</v>
      </c>
      <c r="B336" s="1" t="s">
        <v>31</v>
      </c>
      <c r="C336" s="1">
        <v>3300</v>
      </c>
      <c r="D336" s="1" t="s">
        <v>30</v>
      </c>
      <c r="E336" s="1">
        <v>301</v>
      </c>
      <c r="F336" s="1">
        <v>0</v>
      </c>
      <c r="G336" s="1">
        <v>100</v>
      </c>
      <c r="H336" s="1" t="s">
        <v>29</v>
      </c>
      <c r="I336" s="1">
        <v>20</v>
      </c>
      <c r="J336" s="1">
        <v>100</v>
      </c>
      <c r="M336" s="1" t="s">
        <v>28</v>
      </c>
      <c r="N336" s="1">
        <v>5</v>
      </c>
      <c r="O336" s="1" t="s">
        <v>277</v>
      </c>
      <c r="P336" s="1">
        <v>44820</v>
      </c>
      <c r="Q336" s="1">
        <v>0.42283564814815</v>
      </c>
      <c r="R336" s="1">
        <v>0</v>
      </c>
      <c r="T336" s="1" t="s">
        <v>335</v>
      </c>
      <c r="U336" s="1" t="s">
        <v>24</v>
      </c>
      <c r="V336" s="1">
        <v>1</v>
      </c>
      <c r="W336" s="1" t="s">
        <v>258</v>
      </c>
      <c r="Y336" s="1" t="s">
        <v>32</v>
      </c>
      <c r="Z336" s="1" t="s">
        <v>23</v>
      </c>
    </row>
    <row r="337" spans="1:26" x14ac:dyDescent="0.35">
      <c r="A337" s="1">
        <v>4003208</v>
      </c>
      <c r="B337" s="1" t="s">
        <v>31</v>
      </c>
      <c r="C337" s="1">
        <v>3300</v>
      </c>
      <c r="D337" s="1" t="s">
        <v>30</v>
      </c>
      <c r="E337" s="1">
        <v>301</v>
      </c>
      <c r="F337" s="1">
        <v>0</v>
      </c>
      <c r="G337" s="1">
        <v>80</v>
      </c>
      <c r="H337" s="1" t="s">
        <v>29</v>
      </c>
      <c r="I337" s="1" t="s">
        <v>71</v>
      </c>
      <c r="J337" s="1">
        <v>160</v>
      </c>
      <c r="M337" s="1" t="s">
        <v>28</v>
      </c>
      <c r="N337" s="1">
        <v>0</v>
      </c>
      <c r="O337" s="1" t="s">
        <v>27</v>
      </c>
      <c r="P337" s="1">
        <v>45924</v>
      </c>
      <c r="Q337" s="1">
        <v>0.37763888888889002</v>
      </c>
      <c r="R337" s="1" t="s">
        <v>804</v>
      </c>
      <c r="S337" s="1" t="s">
        <v>803</v>
      </c>
      <c r="U337" s="1" t="s">
        <v>24</v>
      </c>
      <c r="V337" s="1">
        <v>1</v>
      </c>
      <c r="W337" s="1" t="s">
        <v>258</v>
      </c>
      <c r="Y337" s="1" t="s">
        <v>32</v>
      </c>
      <c r="Z337" s="1" t="s">
        <v>23</v>
      </c>
    </row>
    <row r="338" spans="1:26" x14ac:dyDescent="0.35">
      <c r="A338" s="1">
        <v>4003238</v>
      </c>
      <c r="B338" s="1" t="s">
        <v>31</v>
      </c>
      <c r="C338" s="1">
        <v>3300</v>
      </c>
      <c r="D338" s="1" t="s">
        <v>30</v>
      </c>
      <c r="E338" s="1">
        <v>301</v>
      </c>
      <c r="F338" s="1">
        <v>0</v>
      </c>
      <c r="G338" s="1">
        <v>20</v>
      </c>
      <c r="H338" s="1" t="s">
        <v>29</v>
      </c>
      <c r="I338" s="1" t="s">
        <v>71</v>
      </c>
      <c r="J338" s="1">
        <v>20</v>
      </c>
      <c r="M338" s="1" t="s">
        <v>28</v>
      </c>
      <c r="N338" s="1">
        <v>0</v>
      </c>
      <c r="O338" s="1" t="s">
        <v>27</v>
      </c>
      <c r="P338" s="1">
        <v>45924</v>
      </c>
      <c r="Q338" s="1">
        <v>0.35030092592592998</v>
      </c>
      <c r="R338" s="1">
        <v>0</v>
      </c>
      <c r="T338" s="1" t="s">
        <v>335</v>
      </c>
      <c r="U338" s="1" t="s">
        <v>24</v>
      </c>
      <c r="V338" s="1">
        <v>1</v>
      </c>
      <c r="W338" s="1" t="s">
        <v>258</v>
      </c>
      <c r="X338" s="1" t="s">
        <v>24</v>
      </c>
      <c r="Y338" s="1" t="s">
        <v>32</v>
      </c>
      <c r="Z338" s="1" t="s">
        <v>32</v>
      </c>
    </row>
    <row r="339" spans="1:26" x14ac:dyDescent="0.35">
      <c r="A339" s="1">
        <v>4003241</v>
      </c>
      <c r="B339" s="1" t="s">
        <v>31</v>
      </c>
      <c r="C339" s="1">
        <v>3300</v>
      </c>
      <c r="D339" s="1" t="s">
        <v>30</v>
      </c>
      <c r="E339" s="1">
        <v>301</v>
      </c>
      <c r="F339" s="1">
        <v>0</v>
      </c>
      <c r="G339" s="1">
        <v>200</v>
      </c>
      <c r="H339" s="1" t="s">
        <v>29</v>
      </c>
      <c r="I339" s="1" t="s">
        <v>71</v>
      </c>
      <c r="J339" s="1">
        <v>120</v>
      </c>
      <c r="M339" s="1" t="s">
        <v>28</v>
      </c>
      <c r="N339" s="1">
        <v>0</v>
      </c>
      <c r="O339" s="1" t="s">
        <v>132</v>
      </c>
      <c r="P339" s="1">
        <v>46036</v>
      </c>
      <c r="Q339" s="1">
        <v>0.42037037037037001</v>
      </c>
      <c r="R339" s="1" t="s">
        <v>802</v>
      </c>
      <c r="S339" s="1" t="s">
        <v>801</v>
      </c>
      <c r="U339" s="1" t="s">
        <v>24</v>
      </c>
      <c r="V339" s="1">
        <v>1</v>
      </c>
      <c r="W339" s="1" t="s">
        <v>258</v>
      </c>
      <c r="Y339" s="1" t="s">
        <v>32</v>
      </c>
      <c r="Z339" s="1" t="s">
        <v>23</v>
      </c>
    </row>
    <row r="340" spans="1:26" x14ac:dyDescent="0.35">
      <c r="A340" s="1">
        <v>4003273</v>
      </c>
      <c r="B340" s="1" t="s">
        <v>31</v>
      </c>
      <c r="C340" s="1">
        <v>3300</v>
      </c>
      <c r="D340" s="1" t="s">
        <v>41</v>
      </c>
      <c r="E340" s="1">
        <v>301</v>
      </c>
      <c r="F340" s="1">
        <v>0</v>
      </c>
      <c r="G340" s="1">
        <v>72</v>
      </c>
      <c r="H340" s="1" t="s">
        <v>29</v>
      </c>
      <c r="I340" s="1">
        <v>20</v>
      </c>
      <c r="J340" s="1">
        <v>30</v>
      </c>
      <c r="K340" s="1" t="s">
        <v>24</v>
      </c>
      <c r="M340" s="1" t="s">
        <v>28</v>
      </c>
      <c r="N340" s="1">
        <v>5</v>
      </c>
      <c r="O340" s="1" t="s">
        <v>800</v>
      </c>
      <c r="P340" s="1">
        <v>45725</v>
      </c>
      <c r="Q340" s="1">
        <v>0.43966435185184999</v>
      </c>
      <c r="R340" s="1" t="s">
        <v>799</v>
      </c>
      <c r="S340" s="1" t="s">
        <v>798</v>
      </c>
      <c r="T340" s="1" t="s">
        <v>335</v>
      </c>
      <c r="W340" s="1" t="s">
        <v>258</v>
      </c>
      <c r="Y340" s="1" t="s">
        <v>32</v>
      </c>
      <c r="Z340" s="1" t="s">
        <v>23</v>
      </c>
    </row>
    <row r="341" spans="1:26" x14ac:dyDescent="0.35">
      <c r="A341" s="1">
        <v>4003308</v>
      </c>
      <c r="B341" s="1" t="s">
        <v>31</v>
      </c>
      <c r="C341" s="1">
        <v>3300</v>
      </c>
      <c r="D341" s="1" t="s">
        <v>41</v>
      </c>
      <c r="E341" s="1">
        <v>301</v>
      </c>
      <c r="F341" s="1">
        <v>0</v>
      </c>
      <c r="G341" s="1">
        <v>15000</v>
      </c>
      <c r="H341" s="1" t="s">
        <v>29</v>
      </c>
      <c r="I341" s="1" t="s">
        <v>274</v>
      </c>
      <c r="J341" s="1">
        <v>44000</v>
      </c>
      <c r="K341" s="1" t="s">
        <v>24</v>
      </c>
      <c r="M341" s="1" t="s">
        <v>28</v>
      </c>
      <c r="N341" s="1">
        <v>5</v>
      </c>
      <c r="O341" s="1" t="s">
        <v>27</v>
      </c>
      <c r="P341" s="1">
        <v>45460</v>
      </c>
      <c r="Q341" s="1">
        <v>0.28805555555556001</v>
      </c>
      <c r="R341" s="1">
        <v>0</v>
      </c>
      <c r="T341" s="1" t="s">
        <v>335</v>
      </c>
      <c r="W341" s="1" t="s">
        <v>271</v>
      </c>
      <c r="X341" s="1" t="s">
        <v>141</v>
      </c>
      <c r="Y341" s="1" t="s">
        <v>32</v>
      </c>
      <c r="Z341" s="1" t="s">
        <v>32</v>
      </c>
    </row>
    <row r="342" spans="1:26" x14ac:dyDescent="0.35">
      <c r="A342" s="1">
        <v>4003346</v>
      </c>
      <c r="B342" s="1" t="s">
        <v>31</v>
      </c>
      <c r="C342" s="1">
        <v>3300</v>
      </c>
      <c r="D342" s="1" t="s">
        <v>30</v>
      </c>
      <c r="E342" s="1">
        <v>301</v>
      </c>
      <c r="F342" s="1">
        <v>0</v>
      </c>
      <c r="G342" s="1">
        <v>70</v>
      </c>
      <c r="H342" s="1" t="s">
        <v>29</v>
      </c>
      <c r="I342" s="1">
        <v>20</v>
      </c>
      <c r="J342" s="1">
        <v>60</v>
      </c>
      <c r="M342" s="1" t="s">
        <v>28</v>
      </c>
      <c r="N342" s="1">
        <v>5</v>
      </c>
      <c r="O342" s="1" t="s">
        <v>386</v>
      </c>
      <c r="P342" s="1">
        <v>44522</v>
      </c>
      <c r="Q342" s="1">
        <v>0.56115740740741005</v>
      </c>
      <c r="R342" s="1">
        <v>0</v>
      </c>
      <c r="T342" s="1" t="s">
        <v>335</v>
      </c>
      <c r="U342" s="1" t="s">
        <v>24</v>
      </c>
      <c r="V342" s="1">
        <v>1</v>
      </c>
      <c r="W342" s="1" t="s">
        <v>289</v>
      </c>
      <c r="Y342" s="1" t="s">
        <v>32</v>
      </c>
      <c r="Z342" s="1" t="s">
        <v>23</v>
      </c>
    </row>
    <row r="343" spans="1:26" x14ac:dyDescent="0.35">
      <c r="A343" s="1">
        <v>4003357</v>
      </c>
      <c r="B343" s="1" t="s">
        <v>31</v>
      </c>
      <c r="C343" s="1">
        <v>3300</v>
      </c>
      <c r="D343" s="1" t="s">
        <v>41</v>
      </c>
      <c r="E343" s="1">
        <v>301</v>
      </c>
      <c r="F343" s="1">
        <v>0</v>
      </c>
      <c r="G343" s="1">
        <v>80</v>
      </c>
      <c r="H343" s="1" t="s">
        <v>29</v>
      </c>
      <c r="I343" s="1" t="s">
        <v>247</v>
      </c>
      <c r="J343" s="1">
        <v>150</v>
      </c>
      <c r="K343" s="1" t="s">
        <v>24</v>
      </c>
      <c r="M343" s="1" t="s">
        <v>28</v>
      </c>
      <c r="N343" s="1">
        <v>0</v>
      </c>
      <c r="O343" s="1" t="s">
        <v>373</v>
      </c>
      <c r="P343" s="1">
        <v>44510</v>
      </c>
      <c r="Q343" s="1">
        <v>0.59425925925926004</v>
      </c>
      <c r="R343" s="1" t="s">
        <v>797</v>
      </c>
      <c r="S343" s="1" t="s">
        <v>796</v>
      </c>
      <c r="W343" s="1" t="s">
        <v>258</v>
      </c>
      <c r="Y343" s="1" t="s">
        <v>32</v>
      </c>
      <c r="Z343" s="1" t="s">
        <v>23</v>
      </c>
    </row>
    <row r="344" spans="1:26" x14ac:dyDescent="0.35">
      <c r="A344" s="1">
        <v>4003416</v>
      </c>
      <c r="B344" s="1" t="s">
        <v>31</v>
      </c>
      <c r="C344" s="1">
        <v>3300</v>
      </c>
      <c r="D344" s="1" t="s">
        <v>41</v>
      </c>
      <c r="E344" s="1">
        <v>301</v>
      </c>
      <c r="F344" s="1">
        <v>0</v>
      </c>
      <c r="G344" s="1">
        <v>96</v>
      </c>
      <c r="H344" s="1" t="s">
        <v>29</v>
      </c>
      <c r="I344" s="1">
        <v>20</v>
      </c>
      <c r="J344" s="1">
        <v>96</v>
      </c>
      <c r="M344" s="1" t="s">
        <v>28</v>
      </c>
      <c r="N344" s="1">
        <v>5</v>
      </c>
      <c r="O344" s="1" t="s">
        <v>236</v>
      </c>
      <c r="P344" s="1">
        <v>45369</v>
      </c>
      <c r="Q344" s="1">
        <v>0.60603009259259</v>
      </c>
      <c r="R344" s="1" t="s">
        <v>795</v>
      </c>
      <c r="S344" s="1" t="s">
        <v>794</v>
      </c>
      <c r="T344" s="1" t="s">
        <v>335</v>
      </c>
      <c r="U344" s="1" t="s">
        <v>24</v>
      </c>
      <c r="V344" s="1">
        <v>1</v>
      </c>
      <c r="W344" s="1" t="s">
        <v>258</v>
      </c>
      <c r="Y344" s="1" t="s">
        <v>32</v>
      </c>
      <c r="Z344" s="1" t="s">
        <v>23</v>
      </c>
    </row>
    <row r="345" spans="1:26" x14ac:dyDescent="0.35">
      <c r="A345" s="1">
        <v>4003529</v>
      </c>
      <c r="B345" s="1" t="s">
        <v>31</v>
      </c>
      <c r="C345" s="1">
        <v>3300</v>
      </c>
      <c r="D345" s="1" t="s">
        <v>30</v>
      </c>
      <c r="E345" s="1">
        <v>301</v>
      </c>
      <c r="F345" s="1">
        <v>0</v>
      </c>
      <c r="G345" s="1">
        <v>2000</v>
      </c>
      <c r="H345" s="1" t="s">
        <v>29</v>
      </c>
      <c r="I345" s="1">
        <v>20</v>
      </c>
      <c r="J345" s="1">
        <v>4200</v>
      </c>
      <c r="M345" s="1" t="s">
        <v>28</v>
      </c>
      <c r="N345" s="1">
        <v>5</v>
      </c>
      <c r="O345" s="1" t="s">
        <v>277</v>
      </c>
      <c r="P345" s="1">
        <v>44804</v>
      </c>
      <c r="Q345" s="1">
        <v>0.44012731481480999</v>
      </c>
      <c r="R345" s="1">
        <v>0</v>
      </c>
      <c r="T345" s="1" t="s">
        <v>335</v>
      </c>
      <c r="U345" s="1" t="s">
        <v>24</v>
      </c>
      <c r="V345" s="1">
        <v>1</v>
      </c>
      <c r="W345" s="1" t="s">
        <v>258</v>
      </c>
      <c r="Y345" s="1" t="s">
        <v>32</v>
      </c>
      <c r="Z345" s="1" t="s">
        <v>23</v>
      </c>
    </row>
    <row r="346" spans="1:26" x14ac:dyDescent="0.35">
      <c r="A346" s="1">
        <v>4003611</v>
      </c>
      <c r="B346" s="1" t="s">
        <v>31</v>
      </c>
      <c r="C346" s="1">
        <v>3300</v>
      </c>
      <c r="D346" s="1" t="s">
        <v>30</v>
      </c>
      <c r="E346" s="1">
        <v>301</v>
      </c>
      <c r="F346" s="1">
        <v>0</v>
      </c>
      <c r="G346" s="1">
        <v>455</v>
      </c>
      <c r="H346" s="1" t="s">
        <v>29</v>
      </c>
      <c r="I346" s="1">
        <v>20</v>
      </c>
      <c r="J346" s="1">
        <v>2000</v>
      </c>
      <c r="M346" s="1" t="s">
        <v>28</v>
      </c>
      <c r="N346" s="1">
        <v>5</v>
      </c>
      <c r="O346" s="1" t="s">
        <v>27</v>
      </c>
      <c r="P346" s="1">
        <v>45245</v>
      </c>
      <c r="Q346" s="1">
        <v>0.51854166666667001</v>
      </c>
      <c r="R346" s="1" t="s">
        <v>793</v>
      </c>
      <c r="S346" s="1" t="s">
        <v>792</v>
      </c>
      <c r="T346" s="1" t="s">
        <v>335</v>
      </c>
      <c r="U346" s="1" t="s">
        <v>24</v>
      </c>
      <c r="V346" s="1">
        <v>1</v>
      </c>
      <c r="W346" s="1" t="s">
        <v>258</v>
      </c>
      <c r="X346" s="1" t="s">
        <v>141</v>
      </c>
      <c r="Y346" s="1" t="s">
        <v>32</v>
      </c>
      <c r="Z346" s="1" t="s">
        <v>32</v>
      </c>
    </row>
    <row r="347" spans="1:26" x14ac:dyDescent="0.35">
      <c r="A347" s="1">
        <v>4003836</v>
      </c>
      <c r="B347" s="1" t="s">
        <v>31</v>
      </c>
      <c r="C347" s="1">
        <v>3300</v>
      </c>
      <c r="D347" s="1" t="s">
        <v>41</v>
      </c>
      <c r="E347" s="1">
        <v>301</v>
      </c>
      <c r="F347" s="1">
        <v>0</v>
      </c>
      <c r="G347" s="1">
        <v>8</v>
      </c>
      <c r="H347" s="1" t="s">
        <v>29</v>
      </c>
      <c r="I347" s="1">
        <v>20</v>
      </c>
      <c r="J347" s="1">
        <v>12</v>
      </c>
      <c r="K347" s="1" t="s">
        <v>24</v>
      </c>
      <c r="M347" s="1" t="s">
        <v>28</v>
      </c>
      <c r="N347" s="1">
        <v>5</v>
      </c>
      <c r="O347" s="1" t="s">
        <v>316</v>
      </c>
      <c r="P347" s="1">
        <v>44621</v>
      </c>
      <c r="Q347" s="1">
        <v>0.53584490740740998</v>
      </c>
      <c r="R347" s="1">
        <v>0</v>
      </c>
      <c r="T347" s="1" t="s">
        <v>335</v>
      </c>
      <c r="W347" s="1" t="s">
        <v>258</v>
      </c>
      <c r="Y347" s="1" t="s">
        <v>32</v>
      </c>
      <c r="Z347" s="1" t="s">
        <v>23</v>
      </c>
    </row>
    <row r="348" spans="1:26" x14ac:dyDescent="0.35">
      <c r="A348" s="1">
        <v>4003844</v>
      </c>
      <c r="B348" s="1" t="s">
        <v>31</v>
      </c>
      <c r="C348" s="1">
        <v>3300</v>
      </c>
      <c r="D348" s="1" t="s">
        <v>30</v>
      </c>
      <c r="E348" s="1">
        <v>301</v>
      </c>
      <c r="F348" s="1">
        <v>0</v>
      </c>
      <c r="G348" s="1">
        <v>80</v>
      </c>
      <c r="H348" s="1" t="s">
        <v>29</v>
      </c>
      <c r="I348" s="1">
        <v>20</v>
      </c>
      <c r="J348" s="1">
        <v>80</v>
      </c>
      <c r="M348" s="1" t="s">
        <v>28</v>
      </c>
      <c r="N348" s="1">
        <v>5</v>
      </c>
      <c r="O348" s="1" t="s">
        <v>166</v>
      </c>
      <c r="P348" s="1">
        <v>45637</v>
      </c>
      <c r="Q348" s="1">
        <v>0.46010416666666998</v>
      </c>
      <c r="R348" s="1" t="s">
        <v>791</v>
      </c>
      <c r="S348" s="1" t="s">
        <v>790</v>
      </c>
      <c r="T348" s="1" t="s">
        <v>335</v>
      </c>
      <c r="U348" s="1" t="s">
        <v>24</v>
      </c>
      <c r="V348" s="1">
        <v>1</v>
      </c>
      <c r="W348" s="1" t="s">
        <v>258</v>
      </c>
      <c r="X348" s="1" t="s">
        <v>141</v>
      </c>
      <c r="Y348" s="1" t="s">
        <v>32</v>
      </c>
      <c r="Z348" s="1" t="s">
        <v>32</v>
      </c>
    </row>
    <row r="349" spans="1:26" x14ac:dyDescent="0.35">
      <c r="A349" s="1">
        <v>4003854</v>
      </c>
      <c r="B349" s="1" t="s">
        <v>31</v>
      </c>
      <c r="C349" s="1">
        <v>3300</v>
      </c>
      <c r="D349" s="1" t="s">
        <v>41</v>
      </c>
      <c r="E349" s="1">
        <v>301</v>
      </c>
      <c r="G349" s="1">
        <v>0</v>
      </c>
      <c r="J349" s="1">
        <v>0</v>
      </c>
      <c r="K349" s="1" t="s">
        <v>24</v>
      </c>
      <c r="M349" s="1" t="s">
        <v>28</v>
      </c>
      <c r="N349" s="1">
        <v>0</v>
      </c>
      <c r="O349" s="1" t="s">
        <v>277</v>
      </c>
      <c r="P349" s="1">
        <v>44529</v>
      </c>
      <c r="Q349" s="1">
        <v>0.61383101851851996</v>
      </c>
      <c r="R349" s="1">
        <v>0</v>
      </c>
      <c r="W349" s="1" t="s">
        <v>258</v>
      </c>
      <c r="Y349" s="1" t="s">
        <v>32</v>
      </c>
      <c r="Z349" s="1" t="s">
        <v>23</v>
      </c>
    </row>
    <row r="350" spans="1:26" x14ac:dyDescent="0.35">
      <c r="A350" s="1">
        <v>4003855</v>
      </c>
      <c r="B350" s="1" t="s">
        <v>31</v>
      </c>
      <c r="C350" s="1">
        <v>3300</v>
      </c>
      <c r="D350" s="1" t="s">
        <v>41</v>
      </c>
      <c r="G350" s="1">
        <v>0</v>
      </c>
      <c r="J350" s="1">
        <v>0</v>
      </c>
      <c r="M350" s="1" t="s">
        <v>28</v>
      </c>
      <c r="N350" s="1">
        <v>0</v>
      </c>
      <c r="O350" s="1" t="s">
        <v>27</v>
      </c>
      <c r="P350" s="1">
        <v>45245</v>
      </c>
      <c r="Q350" s="1">
        <v>0.46798611111110999</v>
      </c>
      <c r="R350" s="1" t="s">
        <v>789</v>
      </c>
      <c r="S350" s="1" t="s">
        <v>788</v>
      </c>
      <c r="U350" s="1" t="s">
        <v>24</v>
      </c>
      <c r="V350" s="1">
        <v>1</v>
      </c>
      <c r="W350" s="1" t="s">
        <v>258</v>
      </c>
      <c r="X350" s="1" t="s">
        <v>24</v>
      </c>
      <c r="Y350" s="1" t="s">
        <v>32</v>
      </c>
      <c r="Z350" s="1" t="s">
        <v>32</v>
      </c>
    </row>
    <row r="351" spans="1:26" x14ac:dyDescent="0.35">
      <c r="A351" s="1">
        <v>4003857</v>
      </c>
      <c r="B351" s="1" t="s">
        <v>31</v>
      </c>
      <c r="C351" s="1">
        <v>3300</v>
      </c>
      <c r="D351" s="1" t="s">
        <v>30</v>
      </c>
      <c r="E351" s="1">
        <v>301</v>
      </c>
      <c r="F351" s="1">
        <v>0</v>
      </c>
      <c r="G351" s="1">
        <v>4000</v>
      </c>
      <c r="H351" s="1" t="s">
        <v>29</v>
      </c>
      <c r="I351" s="1" t="s">
        <v>71</v>
      </c>
      <c r="J351" s="1">
        <v>12000</v>
      </c>
      <c r="M351" s="1" t="s">
        <v>28</v>
      </c>
      <c r="N351" s="1">
        <v>0</v>
      </c>
      <c r="O351" s="1" t="s">
        <v>27</v>
      </c>
      <c r="P351" s="1">
        <v>45986</v>
      </c>
      <c r="Q351" s="1">
        <v>0.27574074074074001</v>
      </c>
      <c r="R351" s="1" t="s">
        <v>787</v>
      </c>
      <c r="S351" s="1" t="s">
        <v>786</v>
      </c>
      <c r="U351" s="1" t="s">
        <v>24</v>
      </c>
      <c r="V351" s="1">
        <v>1</v>
      </c>
      <c r="W351" s="1" t="s">
        <v>271</v>
      </c>
      <c r="X351" s="1" t="s">
        <v>141</v>
      </c>
      <c r="Y351" s="1" t="s">
        <v>32</v>
      </c>
      <c r="Z351" s="1" t="s">
        <v>32</v>
      </c>
    </row>
    <row r="352" spans="1:26" x14ac:dyDescent="0.35">
      <c r="A352" s="1">
        <v>4003858</v>
      </c>
      <c r="B352" s="1" t="s">
        <v>31</v>
      </c>
      <c r="C352" s="1">
        <v>3300</v>
      </c>
      <c r="D352" s="1" t="s">
        <v>30</v>
      </c>
      <c r="E352" s="1">
        <v>301</v>
      </c>
      <c r="F352" s="1">
        <v>0</v>
      </c>
      <c r="G352" s="1">
        <v>4000</v>
      </c>
      <c r="H352" s="1" t="s">
        <v>29</v>
      </c>
      <c r="I352" s="1" t="s">
        <v>71</v>
      </c>
      <c r="J352" s="1">
        <v>12000</v>
      </c>
      <c r="M352" s="1" t="s">
        <v>28</v>
      </c>
      <c r="N352" s="1">
        <v>0</v>
      </c>
      <c r="O352" s="1" t="s">
        <v>27</v>
      </c>
      <c r="P352" s="1">
        <v>45994</v>
      </c>
      <c r="Q352" s="1">
        <v>0.27306712962962998</v>
      </c>
      <c r="R352" s="1" t="s">
        <v>785</v>
      </c>
      <c r="S352" s="1" t="s">
        <v>784</v>
      </c>
      <c r="U352" s="1" t="s">
        <v>24</v>
      </c>
      <c r="V352" s="1">
        <v>1</v>
      </c>
      <c r="W352" s="1" t="s">
        <v>271</v>
      </c>
      <c r="X352" s="1" t="s">
        <v>141</v>
      </c>
      <c r="Y352" s="1" t="s">
        <v>32</v>
      </c>
      <c r="Z352" s="1" t="s">
        <v>32</v>
      </c>
    </row>
    <row r="353" spans="1:26" x14ac:dyDescent="0.35">
      <c r="A353" s="1">
        <v>4003859</v>
      </c>
      <c r="B353" s="1" t="s">
        <v>31</v>
      </c>
      <c r="C353" s="1">
        <v>3300</v>
      </c>
      <c r="D353" s="1" t="s">
        <v>30</v>
      </c>
      <c r="E353" s="1">
        <v>301</v>
      </c>
      <c r="F353" s="1">
        <v>0</v>
      </c>
      <c r="G353" s="1">
        <v>40</v>
      </c>
      <c r="H353" s="1" t="s">
        <v>29</v>
      </c>
      <c r="I353" s="1">
        <v>20</v>
      </c>
      <c r="J353" s="1">
        <v>30</v>
      </c>
      <c r="M353" s="1" t="s">
        <v>28</v>
      </c>
      <c r="N353" s="1">
        <v>0</v>
      </c>
      <c r="O353" s="1" t="s">
        <v>27</v>
      </c>
      <c r="P353" s="1">
        <v>45945</v>
      </c>
      <c r="Q353" s="1">
        <v>0.31399305555556001</v>
      </c>
      <c r="R353" s="1" t="s">
        <v>783</v>
      </c>
      <c r="S353" s="1" t="s">
        <v>782</v>
      </c>
      <c r="T353" s="1" t="s">
        <v>335</v>
      </c>
      <c r="U353" s="1" t="s">
        <v>24</v>
      </c>
      <c r="V353" s="1">
        <v>1</v>
      </c>
      <c r="W353" s="1" t="s">
        <v>258</v>
      </c>
      <c r="Y353" s="1" t="s">
        <v>32</v>
      </c>
      <c r="Z353" s="1" t="s">
        <v>23</v>
      </c>
    </row>
    <row r="354" spans="1:26" x14ac:dyDescent="0.35">
      <c r="A354" s="1">
        <v>4003860</v>
      </c>
      <c r="B354" s="1" t="s">
        <v>31</v>
      </c>
      <c r="C354" s="1">
        <v>3300</v>
      </c>
      <c r="D354" s="1" t="s">
        <v>30</v>
      </c>
      <c r="E354" s="1">
        <v>301</v>
      </c>
      <c r="F354" s="1">
        <v>0</v>
      </c>
      <c r="G354" s="1">
        <v>50</v>
      </c>
      <c r="H354" s="1" t="s">
        <v>29</v>
      </c>
      <c r="I354" s="1">
        <v>20</v>
      </c>
      <c r="J354" s="1">
        <v>30</v>
      </c>
      <c r="M354" s="1" t="s">
        <v>28</v>
      </c>
      <c r="N354" s="1">
        <v>5</v>
      </c>
      <c r="O354" s="1" t="s">
        <v>277</v>
      </c>
      <c r="P354" s="1">
        <v>44820</v>
      </c>
      <c r="Q354" s="1">
        <v>0.40957175925925998</v>
      </c>
      <c r="R354" s="1">
        <v>0</v>
      </c>
      <c r="T354" s="1" t="s">
        <v>335</v>
      </c>
      <c r="U354" s="1" t="s">
        <v>24</v>
      </c>
      <c r="V354" s="1">
        <v>1</v>
      </c>
      <c r="W354" s="1" t="s">
        <v>258</v>
      </c>
      <c r="Y354" s="1" t="s">
        <v>32</v>
      </c>
      <c r="Z354" s="1" t="s">
        <v>23</v>
      </c>
    </row>
    <row r="355" spans="1:26" x14ac:dyDescent="0.35">
      <c r="A355" s="1">
        <v>4003862</v>
      </c>
      <c r="B355" s="1" t="s">
        <v>31</v>
      </c>
      <c r="C355" s="1">
        <v>3300</v>
      </c>
      <c r="D355" s="1" t="s">
        <v>41</v>
      </c>
      <c r="F355" s="1">
        <v>0</v>
      </c>
      <c r="G355" s="1">
        <v>0</v>
      </c>
      <c r="J355" s="1">
        <v>0</v>
      </c>
      <c r="K355" s="1" t="s">
        <v>24</v>
      </c>
      <c r="M355" s="1" t="s">
        <v>28</v>
      </c>
      <c r="N355" s="1">
        <v>0</v>
      </c>
      <c r="O355" s="1" t="s">
        <v>27</v>
      </c>
      <c r="P355" s="1">
        <v>45238</v>
      </c>
      <c r="Q355" s="1">
        <v>0.31188657407407</v>
      </c>
      <c r="R355" s="1">
        <v>0</v>
      </c>
      <c r="W355" s="1" t="s">
        <v>258</v>
      </c>
      <c r="X355" s="1" t="s">
        <v>24</v>
      </c>
      <c r="Y355" s="1" t="s">
        <v>32</v>
      </c>
      <c r="Z355" s="1" t="s">
        <v>32</v>
      </c>
    </row>
    <row r="356" spans="1:26" x14ac:dyDescent="0.35">
      <c r="A356" s="1">
        <v>4003864</v>
      </c>
      <c r="B356" s="1" t="s">
        <v>31</v>
      </c>
      <c r="C356" s="1">
        <v>3300</v>
      </c>
      <c r="D356" s="1" t="s">
        <v>30</v>
      </c>
      <c r="E356" s="1">
        <v>301</v>
      </c>
      <c r="F356" s="1">
        <v>0</v>
      </c>
      <c r="G356" s="1">
        <v>3000</v>
      </c>
      <c r="H356" s="1" t="s">
        <v>29</v>
      </c>
      <c r="I356" s="1" t="s">
        <v>71</v>
      </c>
      <c r="J356" s="1">
        <v>1600</v>
      </c>
      <c r="M356" s="1" t="s">
        <v>28</v>
      </c>
      <c r="N356" s="1">
        <v>0</v>
      </c>
      <c r="O356" s="1" t="s">
        <v>27</v>
      </c>
      <c r="P356" s="1">
        <v>45972</v>
      </c>
      <c r="Q356" s="1">
        <v>0.48805555555556002</v>
      </c>
      <c r="R356" s="1">
        <v>0</v>
      </c>
      <c r="U356" s="1" t="s">
        <v>24</v>
      </c>
      <c r="V356" s="1">
        <v>1</v>
      </c>
      <c r="W356" s="1" t="s">
        <v>258</v>
      </c>
      <c r="X356" s="1" t="s">
        <v>24</v>
      </c>
      <c r="Y356" s="1" t="s">
        <v>32</v>
      </c>
      <c r="Z356" s="1" t="s">
        <v>32</v>
      </c>
    </row>
    <row r="357" spans="1:26" x14ac:dyDescent="0.35">
      <c r="A357" s="1">
        <v>4003887</v>
      </c>
      <c r="B357" s="1" t="s">
        <v>31</v>
      </c>
      <c r="C357" s="1">
        <v>3300</v>
      </c>
      <c r="D357" s="1" t="s">
        <v>30</v>
      </c>
      <c r="E357" s="1">
        <v>301</v>
      </c>
      <c r="F357" s="1">
        <v>0</v>
      </c>
      <c r="G357" s="1">
        <v>15000</v>
      </c>
      <c r="H357" s="1" t="s">
        <v>29</v>
      </c>
      <c r="I357" s="1" t="s">
        <v>71</v>
      </c>
      <c r="J357" s="1">
        <v>10000</v>
      </c>
      <c r="M357" s="1" t="s">
        <v>28</v>
      </c>
      <c r="N357" s="1">
        <v>5</v>
      </c>
      <c r="O357" s="1" t="s">
        <v>27</v>
      </c>
      <c r="P357" s="1">
        <v>46070</v>
      </c>
      <c r="Q357" s="1">
        <v>0.46943287037037001</v>
      </c>
      <c r="R357" s="1" t="s">
        <v>781</v>
      </c>
      <c r="S357" s="1" t="s">
        <v>780</v>
      </c>
      <c r="T357" s="1" t="s">
        <v>335</v>
      </c>
      <c r="U357" s="1" t="s">
        <v>24</v>
      </c>
      <c r="V357" s="1">
        <v>1</v>
      </c>
      <c r="W357" s="1" t="s">
        <v>289</v>
      </c>
      <c r="X357" s="1" t="s">
        <v>141</v>
      </c>
      <c r="Y357" s="1" t="s">
        <v>32</v>
      </c>
      <c r="Z357" s="1" t="s">
        <v>32</v>
      </c>
    </row>
    <row r="358" spans="1:26" x14ac:dyDescent="0.35">
      <c r="A358" s="1">
        <v>4003889</v>
      </c>
      <c r="B358" s="1" t="s">
        <v>31</v>
      </c>
      <c r="C358" s="1">
        <v>3300</v>
      </c>
      <c r="D358" s="1" t="s">
        <v>41</v>
      </c>
      <c r="E358" s="1">
        <v>301</v>
      </c>
      <c r="F358" s="1">
        <v>0</v>
      </c>
      <c r="G358" s="1">
        <v>99</v>
      </c>
      <c r="H358" s="1" t="s">
        <v>29</v>
      </c>
      <c r="I358" s="1" t="s">
        <v>274</v>
      </c>
      <c r="J358" s="1">
        <v>75</v>
      </c>
      <c r="M358" s="1" t="s">
        <v>28</v>
      </c>
      <c r="N358" s="1">
        <v>5</v>
      </c>
      <c r="O358" s="1" t="s">
        <v>27</v>
      </c>
      <c r="P358" s="1">
        <v>45169</v>
      </c>
      <c r="Q358" s="1">
        <v>0.31502314814815002</v>
      </c>
      <c r="R358" s="1">
        <v>0</v>
      </c>
      <c r="T358" s="1" t="s">
        <v>335</v>
      </c>
      <c r="U358" s="1" t="s">
        <v>24</v>
      </c>
      <c r="V358" s="1">
        <v>1</v>
      </c>
      <c r="W358" s="1" t="s">
        <v>258</v>
      </c>
      <c r="Y358" s="1" t="s">
        <v>32</v>
      </c>
      <c r="Z358" s="1" t="s">
        <v>23</v>
      </c>
    </row>
    <row r="359" spans="1:26" x14ac:dyDescent="0.35">
      <c r="A359" s="1">
        <v>4003906</v>
      </c>
      <c r="B359" s="1" t="s">
        <v>31</v>
      </c>
      <c r="C359" s="1">
        <v>3300</v>
      </c>
      <c r="D359" s="1" t="s">
        <v>41</v>
      </c>
      <c r="E359" s="1">
        <v>301</v>
      </c>
      <c r="F359" s="1">
        <v>0</v>
      </c>
      <c r="G359" s="1">
        <v>750</v>
      </c>
      <c r="H359" s="1" t="s">
        <v>29</v>
      </c>
      <c r="I359" s="1">
        <v>20</v>
      </c>
      <c r="J359" s="1">
        <v>300</v>
      </c>
      <c r="M359" s="1" t="s">
        <v>28</v>
      </c>
      <c r="N359" s="1">
        <v>5</v>
      </c>
      <c r="O359" s="1" t="s">
        <v>27</v>
      </c>
      <c r="P359" s="1">
        <v>46021</v>
      </c>
      <c r="Q359" s="1">
        <v>0.45324074074074</v>
      </c>
      <c r="R359" s="1" t="s">
        <v>779</v>
      </c>
      <c r="S359" s="1" t="s">
        <v>778</v>
      </c>
      <c r="T359" s="1" t="s">
        <v>335</v>
      </c>
      <c r="U359" s="1" t="s">
        <v>24</v>
      </c>
      <c r="V359" s="1">
        <v>1</v>
      </c>
      <c r="W359" s="1" t="s">
        <v>289</v>
      </c>
      <c r="Y359" s="1" t="s">
        <v>32</v>
      </c>
      <c r="Z359" s="1" t="s">
        <v>23</v>
      </c>
    </row>
    <row r="360" spans="1:26" x14ac:dyDescent="0.35">
      <c r="A360" s="1">
        <v>4003911</v>
      </c>
      <c r="B360" s="1" t="s">
        <v>31</v>
      </c>
      <c r="C360" s="1">
        <v>3300</v>
      </c>
      <c r="D360" s="1" t="s">
        <v>30</v>
      </c>
      <c r="E360" s="1">
        <v>301</v>
      </c>
      <c r="F360" s="1">
        <v>0</v>
      </c>
      <c r="G360" s="1">
        <v>100</v>
      </c>
      <c r="H360" s="1" t="s">
        <v>29</v>
      </c>
      <c r="I360" s="1" t="s">
        <v>71</v>
      </c>
      <c r="J360" s="1">
        <v>200</v>
      </c>
      <c r="M360" s="1" t="s">
        <v>28</v>
      </c>
      <c r="N360" s="1">
        <v>5</v>
      </c>
      <c r="O360" s="1" t="s">
        <v>27</v>
      </c>
      <c r="P360" s="1">
        <v>45924</v>
      </c>
      <c r="Q360" s="1">
        <v>0.39407407407407002</v>
      </c>
      <c r="R360" s="1">
        <v>0</v>
      </c>
      <c r="T360" s="1" t="s">
        <v>335</v>
      </c>
      <c r="U360" s="1" t="s">
        <v>24</v>
      </c>
      <c r="V360" s="1">
        <v>1</v>
      </c>
      <c r="W360" s="1" t="s">
        <v>258</v>
      </c>
      <c r="X360" s="1" t="s">
        <v>24</v>
      </c>
      <c r="Y360" s="1" t="s">
        <v>32</v>
      </c>
      <c r="Z360" s="1" t="s">
        <v>32</v>
      </c>
    </row>
    <row r="361" spans="1:26" x14ac:dyDescent="0.35">
      <c r="A361" s="1">
        <v>4003915</v>
      </c>
      <c r="B361" s="1" t="s">
        <v>31</v>
      </c>
      <c r="C361" s="1">
        <v>3300</v>
      </c>
      <c r="D361" s="1" t="s">
        <v>30</v>
      </c>
      <c r="E361" s="1">
        <v>301</v>
      </c>
      <c r="F361" s="1">
        <v>0</v>
      </c>
      <c r="G361" s="1">
        <v>100</v>
      </c>
      <c r="H361" s="1" t="s">
        <v>29</v>
      </c>
      <c r="I361" s="1" t="s">
        <v>71</v>
      </c>
      <c r="J361" s="1">
        <v>140</v>
      </c>
      <c r="M361" s="1" t="s">
        <v>28</v>
      </c>
      <c r="N361" s="1">
        <v>5</v>
      </c>
      <c r="O361" s="1" t="s">
        <v>27</v>
      </c>
      <c r="P361" s="1">
        <v>46070</v>
      </c>
      <c r="Q361" s="1">
        <v>0.42754629629629998</v>
      </c>
      <c r="R361" s="1" t="s">
        <v>777</v>
      </c>
      <c r="S361" s="1" t="s">
        <v>776</v>
      </c>
      <c r="T361" s="1" t="s">
        <v>335</v>
      </c>
      <c r="U361" s="1" t="s">
        <v>24</v>
      </c>
      <c r="V361" s="1">
        <v>1</v>
      </c>
      <c r="W361" s="1" t="s">
        <v>258</v>
      </c>
      <c r="X361" s="1" t="s">
        <v>141</v>
      </c>
      <c r="Y361" s="1" t="s">
        <v>32</v>
      </c>
      <c r="Z361" s="1" t="s">
        <v>32</v>
      </c>
    </row>
    <row r="362" spans="1:26" x14ac:dyDescent="0.35">
      <c r="A362" s="1">
        <v>4003916</v>
      </c>
      <c r="B362" s="1" t="s">
        <v>31</v>
      </c>
      <c r="C362" s="1">
        <v>3300</v>
      </c>
      <c r="D362" s="1" t="s">
        <v>30</v>
      </c>
      <c r="E362" s="1">
        <v>301</v>
      </c>
      <c r="F362" s="1">
        <v>0</v>
      </c>
      <c r="G362" s="1">
        <v>280</v>
      </c>
      <c r="H362" s="1" t="s">
        <v>29</v>
      </c>
      <c r="I362" s="1">
        <v>20</v>
      </c>
      <c r="J362" s="1">
        <v>240</v>
      </c>
      <c r="M362" s="1" t="s">
        <v>28</v>
      </c>
      <c r="N362" s="1">
        <v>5</v>
      </c>
      <c r="O362" s="1" t="s">
        <v>27</v>
      </c>
      <c r="P362" s="1">
        <v>45246</v>
      </c>
      <c r="Q362" s="1">
        <v>0.43363425925926002</v>
      </c>
      <c r="R362" s="1" t="s">
        <v>775</v>
      </c>
      <c r="S362" s="1" t="s">
        <v>774</v>
      </c>
      <c r="T362" s="1" t="s">
        <v>335</v>
      </c>
      <c r="U362" s="1" t="s">
        <v>24</v>
      </c>
      <c r="V362" s="1">
        <v>1</v>
      </c>
      <c r="W362" s="1" t="s">
        <v>258</v>
      </c>
      <c r="X362" s="1" t="s">
        <v>24</v>
      </c>
      <c r="Y362" s="1" t="s">
        <v>32</v>
      </c>
      <c r="Z362" s="1" t="s">
        <v>32</v>
      </c>
    </row>
    <row r="363" spans="1:26" x14ac:dyDescent="0.35">
      <c r="A363" s="1">
        <v>4003922</v>
      </c>
      <c r="B363" s="1" t="s">
        <v>31</v>
      </c>
      <c r="C363" s="1">
        <v>3300</v>
      </c>
      <c r="D363" s="1" t="s">
        <v>41</v>
      </c>
      <c r="E363" s="1">
        <v>301</v>
      </c>
      <c r="F363" s="1">
        <v>0</v>
      </c>
      <c r="G363" s="1">
        <v>100</v>
      </c>
      <c r="H363" s="1" t="s">
        <v>29</v>
      </c>
      <c r="I363" s="1" t="s">
        <v>274</v>
      </c>
      <c r="J363" s="1">
        <v>195</v>
      </c>
      <c r="K363" s="1" t="s">
        <v>24</v>
      </c>
      <c r="M363" s="1" t="s">
        <v>28</v>
      </c>
      <c r="N363" s="1">
        <v>0</v>
      </c>
      <c r="O363" s="1" t="s">
        <v>27</v>
      </c>
      <c r="P363" s="1">
        <v>45294</v>
      </c>
      <c r="Q363" s="1">
        <v>0.47989583333333002</v>
      </c>
      <c r="R363" s="1" t="s">
        <v>773</v>
      </c>
      <c r="S363" s="1" t="s">
        <v>772</v>
      </c>
      <c r="W363" s="1" t="s">
        <v>258</v>
      </c>
      <c r="X363" s="1" t="s">
        <v>141</v>
      </c>
      <c r="Y363" s="1" t="s">
        <v>32</v>
      </c>
      <c r="Z363" s="1" t="s">
        <v>32</v>
      </c>
    </row>
    <row r="364" spans="1:26" x14ac:dyDescent="0.35">
      <c r="A364" s="1">
        <v>4004010</v>
      </c>
      <c r="B364" s="1" t="s">
        <v>31</v>
      </c>
      <c r="C364" s="1">
        <v>3300</v>
      </c>
      <c r="D364" s="1" t="s">
        <v>41</v>
      </c>
      <c r="E364" s="1">
        <v>301</v>
      </c>
      <c r="F364" s="1">
        <v>0</v>
      </c>
      <c r="G364" s="1">
        <v>0</v>
      </c>
      <c r="J364" s="1">
        <v>0</v>
      </c>
      <c r="K364" s="1" t="s">
        <v>24</v>
      </c>
      <c r="M364" s="1" t="s">
        <v>28</v>
      </c>
      <c r="N364" s="1">
        <v>0</v>
      </c>
      <c r="O364" s="1" t="s">
        <v>373</v>
      </c>
      <c r="P364" s="1">
        <v>44476</v>
      </c>
      <c r="Q364" s="1">
        <v>0.53408564814814996</v>
      </c>
      <c r="R364" s="1">
        <v>0</v>
      </c>
      <c r="W364" s="1" t="s">
        <v>258</v>
      </c>
      <c r="Y364" s="1" t="s">
        <v>32</v>
      </c>
      <c r="Z364" s="1" t="s">
        <v>23</v>
      </c>
    </row>
    <row r="365" spans="1:26" x14ac:dyDescent="0.35">
      <c r="A365" s="1">
        <v>4004015</v>
      </c>
      <c r="B365" s="1" t="s">
        <v>31</v>
      </c>
      <c r="C365" s="1">
        <v>3300</v>
      </c>
      <c r="D365" s="1" t="s">
        <v>30</v>
      </c>
      <c r="E365" s="1">
        <v>301</v>
      </c>
      <c r="F365" s="1">
        <v>0</v>
      </c>
      <c r="G365" s="1">
        <v>1200</v>
      </c>
      <c r="H365" s="1" t="s">
        <v>29</v>
      </c>
      <c r="I365" s="1" t="s">
        <v>71</v>
      </c>
      <c r="J365" s="1">
        <v>1000</v>
      </c>
      <c r="M365" s="1" t="s">
        <v>28</v>
      </c>
      <c r="N365" s="1">
        <v>0</v>
      </c>
      <c r="O365" s="1" t="s">
        <v>27</v>
      </c>
      <c r="P365" s="1">
        <v>46008</v>
      </c>
      <c r="Q365" s="1">
        <v>0.28547453703704001</v>
      </c>
      <c r="R365" s="1" t="s">
        <v>771</v>
      </c>
      <c r="S365" s="1" t="s">
        <v>770</v>
      </c>
      <c r="U365" s="1" t="s">
        <v>24</v>
      </c>
      <c r="V365" s="1">
        <v>1</v>
      </c>
      <c r="W365" s="1" t="s">
        <v>289</v>
      </c>
      <c r="Y365" s="1" t="s">
        <v>32</v>
      </c>
      <c r="Z365" s="1" t="s">
        <v>23</v>
      </c>
    </row>
    <row r="366" spans="1:26" x14ac:dyDescent="0.35">
      <c r="A366" s="1">
        <v>4004018</v>
      </c>
      <c r="B366" s="1" t="s">
        <v>31</v>
      </c>
      <c r="C366" s="1">
        <v>3300</v>
      </c>
      <c r="D366" s="1" t="s">
        <v>41</v>
      </c>
      <c r="E366" s="1">
        <v>301</v>
      </c>
      <c r="F366" s="1">
        <v>0</v>
      </c>
      <c r="G366" s="1">
        <v>50</v>
      </c>
      <c r="H366" s="1" t="s">
        <v>29</v>
      </c>
      <c r="I366" s="1" t="s">
        <v>247</v>
      </c>
      <c r="J366" s="1">
        <v>100</v>
      </c>
      <c r="K366" s="1" t="s">
        <v>24</v>
      </c>
      <c r="M366" s="1" t="s">
        <v>28</v>
      </c>
      <c r="N366" s="1">
        <v>0</v>
      </c>
      <c r="O366" s="1" t="s">
        <v>277</v>
      </c>
      <c r="P366" s="1">
        <v>44720</v>
      </c>
      <c r="Q366" s="1">
        <v>0.37892361111111</v>
      </c>
      <c r="R366" s="1">
        <v>0</v>
      </c>
      <c r="W366" s="1" t="s">
        <v>258</v>
      </c>
      <c r="Y366" s="1" t="s">
        <v>32</v>
      </c>
      <c r="Z366" s="1" t="s">
        <v>23</v>
      </c>
    </row>
    <row r="367" spans="1:26" x14ac:dyDescent="0.35">
      <c r="A367" s="1">
        <v>4004037</v>
      </c>
      <c r="B367" s="1" t="s">
        <v>31</v>
      </c>
      <c r="C367" s="1">
        <v>3300</v>
      </c>
      <c r="D367" s="1" t="s">
        <v>30</v>
      </c>
      <c r="E367" s="1">
        <v>301</v>
      </c>
      <c r="F367" s="1">
        <v>0</v>
      </c>
      <c r="G367" s="1">
        <v>200</v>
      </c>
      <c r="H367" s="1" t="s">
        <v>29</v>
      </c>
      <c r="I367" s="1" t="s">
        <v>71</v>
      </c>
      <c r="J367" s="1">
        <v>240</v>
      </c>
      <c r="M367" s="1" t="s">
        <v>28</v>
      </c>
      <c r="N367" s="1">
        <v>0</v>
      </c>
      <c r="O367" s="1" t="s">
        <v>27</v>
      </c>
      <c r="P367" s="1">
        <v>46070</v>
      </c>
      <c r="Q367" s="1">
        <v>0.42824074074073998</v>
      </c>
      <c r="R367" s="1" t="s">
        <v>769</v>
      </c>
      <c r="S367" s="1" t="s">
        <v>768</v>
      </c>
      <c r="U367" s="1" t="s">
        <v>24</v>
      </c>
      <c r="V367" s="1">
        <v>1</v>
      </c>
      <c r="W367" s="1" t="s">
        <v>271</v>
      </c>
      <c r="Y367" s="1" t="s">
        <v>32</v>
      </c>
      <c r="Z367" s="1" t="s">
        <v>23</v>
      </c>
    </row>
    <row r="368" spans="1:26" x14ac:dyDescent="0.35">
      <c r="A368" s="1">
        <v>4004039</v>
      </c>
      <c r="B368" s="1" t="s">
        <v>31</v>
      </c>
      <c r="C368" s="1">
        <v>3300</v>
      </c>
      <c r="D368" s="1" t="s">
        <v>30</v>
      </c>
      <c r="E368" s="1">
        <v>301</v>
      </c>
      <c r="F368" s="1">
        <v>0</v>
      </c>
      <c r="G368" s="1">
        <v>2134</v>
      </c>
      <c r="H368" s="1" t="s">
        <v>29</v>
      </c>
      <c r="I368" s="1">
        <v>20</v>
      </c>
      <c r="J368" s="1">
        <v>2000</v>
      </c>
      <c r="M368" s="1" t="s">
        <v>28</v>
      </c>
      <c r="N368" s="1">
        <v>5</v>
      </c>
      <c r="O368" s="1" t="s">
        <v>386</v>
      </c>
      <c r="P368" s="1">
        <v>44522</v>
      </c>
      <c r="Q368" s="1">
        <v>0.56112268518519004</v>
      </c>
      <c r="R368" s="1" t="s">
        <v>767</v>
      </c>
      <c r="S368" s="1" t="s">
        <v>766</v>
      </c>
      <c r="T368" s="1" t="s">
        <v>335</v>
      </c>
      <c r="U368" s="1" t="s">
        <v>24</v>
      </c>
      <c r="V368" s="1">
        <v>1</v>
      </c>
      <c r="W368" s="1" t="s">
        <v>289</v>
      </c>
      <c r="Y368" s="1" t="s">
        <v>32</v>
      </c>
      <c r="Z368" s="1" t="s">
        <v>23</v>
      </c>
    </row>
    <row r="369" spans="1:26" x14ac:dyDescent="0.35">
      <c r="A369" s="1">
        <v>4004041</v>
      </c>
      <c r="B369" s="1" t="s">
        <v>31</v>
      </c>
      <c r="C369" s="1">
        <v>3300</v>
      </c>
      <c r="D369" s="1" t="s">
        <v>30</v>
      </c>
      <c r="E369" s="1">
        <v>301</v>
      </c>
      <c r="F369" s="1">
        <v>0</v>
      </c>
      <c r="G369" s="1">
        <v>600</v>
      </c>
      <c r="H369" s="1" t="s">
        <v>29</v>
      </c>
      <c r="I369" s="1" t="s">
        <v>71</v>
      </c>
      <c r="J369" s="1">
        <v>400</v>
      </c>
      <c r="M369" s="1" t="s">
        <v>28</v>
      </c>
      <c r="N369" s="1">
        <v>0</v>
      </c>
      <c r="O369" s="1" t="s">
        <v>27</v>
      </c>
      <c r="P369" s="1">
        <v>46070</v>
      </c>
      <c r="Q369" s="1">
        <v>0.46369212962963002</v>
      </c>
      <c r="R369" s="1">
        <v>0</v>
      </c>
      <c r="T369" s="1" t="s">
        <v>335</v>
      </c>
      <c r="U369" s="1" t="s">
        <v>24</v>
      </c>
      <c r="V369" s="1">
        <v>1</v>
      </c>
      <c r="W369" s="1" t="s">
        <v>289</v>
      </c>
      <c r="X369" s="1" t="s">
        <v>141</v>
      </c>
      <c r="Y369" s="1" t="s">
        <v>32</v>
      </c>
      <c r="Z369" s="1" t="s">
        <v>32</v>
      </c>
    </row>
    <row r="370" spans="1:26" x14ac:dyDescent="0.35">
      <c r="A370" s="1">
        <v>4004049</v>
      </c>
      <c r="B370" s="1" t="s">
        <v>31</v>
      </c>
      <c r="C370" s="1">
        <v>3300</v>
      </c>
      <c r="D370" s="1" t="s">
        <v>30</v>
      </c>
      <c r="E370" s="1">
        <v>301</v>
      </c>
      <c r="F370" s="1">
        <v>0</v>
      </c>
      <c r="G370" s="1">
        <v>400</v>
      </c>
      <c r="H370" s="1" t="s">
        <v>29</v>
      </c>
      <c r="I370" s="1" t="s">
        <v>71</v>
      </c>
      <c r="J370" s="1">
        <v>1200</v>
      </c>
      <c r="M370" s="1" t="s">
        <v>28</v>
      </c>
      <c r="N370" s="1">
        <v>0</v>
      </c>
      <c r="O370" s="1" t="s">
        <v>27</v>
      </c>
      <c r="P370" s="1">
        <v>45924</v>
      </c>
      <c r="Q370" s="1">
        <v>0.53236111111110995</v>
      </c>
      <c r="R370" s="1">
        <v>0</v>
      </c>
      <c r="T370" s="1" t="s">
        <v>335</v>
      </c>
      <c r="U370" s="1" t="s">
        <v>24</v>
      </c>
      <c r="V370" s="1">
        <v>1</v>
      </c>
      <c r="W370" s="1" t="s">
        <v>258</v>
      </c>
      <c r="X370" s="1" t="s">
        <v>141</v>
      </c>
      <c r="Y370" s="1" t="s">
        <v>32</v>
      </c>
      <c r="Z370" s="1" t="s">
        <v>32</v>
      </c>
    </row>
    <row r="371" spans="1:26" x14ac:dyDescent="0.35">
      <c r="A371" s="1">
        <v>4004054</v>
      </c>
      <c r="B371" s="1" t="s">
        <v>31</v>
      </c>
      <c r="C371" s="1">
        <v>3300</v>
      </c>
      <c r="D371" s="1" t="s">
        <v>30</v>
      </c>
      <c r="E371" s="1">
        <v>301</v>
      </c>
      <c r="F371" s="1">
        <v>0</v>
      </c>
      <c r="G371" s="1">
        <v>40</v>
      </c>
      <c r="H371" s="1" t="s">
        <v>29</v>
      </c>
      <c r="I371" s="1">
        <v>20</v>
      </c>
      <c r="J371" s="1">
        <v>132</v>
      </c>
      <c r="M371" s="1" t="s">
        <v>28</v>
      </c>
      <c r="N371" s="1">
        <v>0</v>
      </c>
      <c r="O371" s="1" t="s">
        <v>132</v>
      </c>
      <c r="P371" s="1">
        <v>46056</v>
      </c>
      <c r="Q371" s="1">
        <v>0.60841435185185</v>
      </c>
      <c r="R371" s="1" t="s">
        <v>765</v>
      </c>
      <c r="S371" s="1" t="s">
        <v>764</v>
      </c>
      <c r="T371" s="1" t="s">
        <v>335</v>
      </c>
      <c r="U371" s="1" t="s">
        <v>24</v>
      </c>
      <c r="V371" s="1">
        <v>1</v>
      </c>
      <c r="W371" s="1" t="s">
        <v>258</v>
      </c>
      <c r="Y371" s="1" t="s">
        <v>32</v>
      </c>
      <c r="Z371" s="1" t="s">
        <v>23</v>
      </c>
    </row>
    <row r="372" spans="1:26" x14ac:dyDescent="0.35">
      <c r="A372" s="1">
        <v>4004067</v>
      </c>
      <c r="B372" s="1" t="s">
        <v>31</v>
      </c>
      <c r="C372" s="1">
        <v>3300</v>
      </c>
      <c r="D372" s="1" t="s">
        <v>41</v>
      </c>
      <c r="E372" s="1">
        <v>301</v>
      </c>
      <c r="F372" s="1">
        <v>0</v>
      </c>
      <c r="G372" s="1">
        <v>170</v>
      </c>
      <c r="H372" s="1" t="s">
        <v>29</v>
      </c>
      <c r="I372" s="1">
        <v>20</v>
      </c>
      <c r="J372" s="1">
        <v>96</v>
      </c>
      <c r="K372" s="1" t="s">
        <v>24</v>
      </c>
      <c r="M372" s="1" t="s">
        <v>28</v>
      </c>
      <c r="N372" s="1">
        <v>5</v>
      </c>
      <c r="O372" s="1" t="s">
        <v>316</v>
      </c>
      <c r="P372" s="1">
        <v>44602</v>
      </c>
      <c r="Q372" s="1">
        <v>0.26982638888888999</v>
      </c>
      <c r="R372" s="1">
        <v>0</v>
      </c>
      <c r="T372" s="1" t="s">
        <v>335</v>
      </c>
      <c r="W372" s="1" t="s">
        <v>258</v>
      </c>
      <c r="Y372" s="1" t="s">
        <v>32</v>
      </c>
      <c r="Z372" s="1" t="s">
        <v>23</v>
      </c>
    </row>
    <row r="373" spans="1:26" x14ac:dyDescent="0.35">
      <c r="A373" s="1">
        <v>4004068</v>
      </c>
      <c r="B373" s="1" t="s">
        <v>31</v>
      </c>
      <c r="C373" s="1">
        <v>3300</v>
      </c>
      <c r="D373" s="1" t="s">
        <v>41</v>
      </c>
      <c r="E373" s="1">
        <v>301</v>
      </c>
      <c r="F373" s="1">
        <v>0</v>
      </c>
      <c r="G373" s="1">
        <v>175</v>
      </c>
      <c r="H373" s="1" t="s">
        <v>29</v>
      </c>
      <c r="I373" s="1">
        <v>20</v>
      </c>
      <c r="J373" s="1">
        <v>96</v>
      </c>
      <c r="K373" s="1" t="s">
        <v>24</v>
      </c>
      <c r="M373" s="1" t="s">
        <v>28</v>
      </c>
      <c r="N373" s="1">
        <v>5</v>
      </c>
      <c r="O373" s="1" t="s">
        <v>316</v>
      </c>
      <c r="P373" s="1">
        <v>44602</v>
      </c>
      <c r="Q373" s="1">
        <v>0.26758101851852001</v>
      </c>
      <c r="R373" s="1" t="s">
        <v>763</v>
      </c>
      <c r="S373" s="1" t="s">
        <v>762</v>
      </c>
      <c r="T373" s="1" t="s">
        <v>335</v>
      </c>
      <c r="W373" s="1" t="s">
        <v>258</v>
      </c>
      <c r="Y373" s="1" t="s">
        <v>32</v>
      </c>
      <c r="Z373" s="1" t="s">
        <v>23</v>
      </c>
    </row>
    <row r="374" spans="1:26" x14ac:dyDescent="0.35">
      <c r="A374" s="1">
        <v>4004070</v>
      </c>
      <c r="B374" s="1" t="s">
        <v>31</v>
      </c>
      <c r="C374" s="1">
        <v>3300</v>
      </c>
      <c r="D374" s="1" t="s">
        <v>30</v>
      </c>
      <c r="E374" s="1">
        <v>301</v>
      </c>
      <c r="F374" s="1">
        <v>0</v>
      </c>
      <c r="G374" s="1">
        <v>63</v>
      </c>
      <c r="H374" s="1" t="s">
        <v>29</v>
      </c>
      <c r="I374" s="1">
        <v>20</v>
      </c>
      <c r="J374" s="1">
        <v>50</v>
      </c>
      <c r="M374" s="1" t="s">
        <v>28</v>
      </c>
      <c r="N374" s="1">
        <v>5</v>
      </c>
      <c r="O374" s="1" t="s">
        <v>743</v>
      </c>
      <c r="P374" s="1">
        <v>45245</v>
      </c>
      <c r="Q374" s="1">
        <v>0.62975694444443997</v>
      </c>
      <c r="R374" s="1" t="s">
        <v>761</v>
      </c>
      <c r="S374" s="1" t="s">
        <v>760</v>
      </c>
      <c r="T374" s="1" t="s">
        <v>335</v>
      </c>
      <c r="U374" s="1" t="s">
        <v>24</v>
      </c>
      <c r="V374" s="1">
        <v>1</v>
      </c>
      <c r="W374" s="1" t="s">
        <v>258</v>
      </c>
      <c r="X374" s="1" t="s">
        <v>141</v>
      </c>
      <c r="Y374" s="1" t="s">
        <v>32</v>
      </c>
      <c r="Z374" s="1" t="s">
        <v>32</v>
      </c>
    </row>
    <row r="375" spans="1:26" x14ac:dyDescent="0.35">
      <c r="A375" s="1">
        <v>4004071</v>
      </c>
      <c r="B375" s="1" t="s">
        <v>31</v>
      </c>
      <c r="C375" s="1">
        <v>3300</v>
      </c>
      <c r="D375" s="1" t="s">
        <v>30</v>
      </c>
      <c r="E375" s="1">
        <v>301</v>
      </c>
      <c r="F375" s="1">
        <v>0</v>
      </c>
      <c r="G375" s="1">
        <v>72</v>
      </c>
      <c r="H375" s="1" t="s">
        <v>29</v>
      </c>
      <c r="I375" s="1">
        <v>20</v>
      </c>
      <c r="J375" s="1">
        <v>72</v>
      </c>
      <c r="M375" s="1" t="s">
        <v>28</v>
      </c>
      <c r="N375" s="1">
        <v>5</v>
      </c>
      <c r="O375" s="1" t="s">
        <v>166</v>
      </c>
      <c r="P375" s="1">
        <v>45488</v>
      </c>
      <c r="Q375" s="1">
        <v>0.56439814814815004</v>
      </c>
      <c r="R375" s="1" t="s">
        <v>759</v>
      </c>
      <c r="S375" s="1" t="s">
        <v>758</v>
      </c>
      <c r="T375" s="1" t="s">
        <v>335</v>
      </c>
      <c r="U375" s="1" t="s">
        <v>24</v>
      </c>
      <c r="V375" s="1">
        <v>1</v>
      </c>
      <c r="W375" s="1" t="s">
        <v>258</v>
      </c>
      <c r="X375" s="1" t="s">
        <v>757</v>
      </c>
      <c r="Y375" s="1" t="s">
        <v>32</v>
      </c>
      <c r="Z375" s="1" t="s">
        <v>32</v>
      </c>
    </row>
    <row r="376" spans="1:26" x14ac:dyDescent="0.35">
      <c r="A376" s="1">
        <v>4004074</v>
      </c>
      <c r="B376" s="1" t="s">
        <v>31</v>
      </c>
      <c r="C376" s="1">
        <v>3300</v>
      </c>
      <c r="D376" s="1" t="s">
        <v>30</v>
      </c>
      <c r="E376" s="1">
        <v>301</v>
      </c>
      <c r="F376" s="1">
        <v>0</v>
      </c>
      <c r="G376" s="1">
        <v>180</v>
      </c>
      <c r="H376" s="1" t="s">
        <v>29</v>
      </c>
      <c r="I376" s="1">
        <v>20</v>
      </c>
      <c r="J376" s="1">
        <v>90</v>
      </c>
      <c r="M376" s="1" t="s">
        <v>28</v>
      </c>
      <c r="N376" s="1">
        <v>5</v>
      </c>
      <c r="O376" s="1" t="s">
        <v>277</v>
      </c>
      <c r="P376" s="1">
        <v>44729</v>
      </c>
      <c r="Q376" s="1">
        <v>0.51533564814815003</v>
      </c>
      <c r="R376" s="1" t="s">
        <v>756</v>
      </c>
      <c r="S376" s="1" t="s">
        <v>755</v>
      </c>
      <c r="T376" s="1" t="s">
        <v>335</v>
      </c>
      <c r="U376" s="1" t="s">
        <v>24</v>
      </c>
      <c r="V376" s="1">
        <v>1</v>
      </c>
      <c r="W376" s="1" t="s">
        <v>258</v>
      </c>
      <c r="Y376" s="1" t="s">
        <v>32</v>
      </c>
      <c r="Z376" s="1" t="s">
        <v>23</v>
      </c>
    </row>
    <row r="377" spans="1:26" x14ac:dyDescent="0.35">
      <c r="A377" s="1">
        <v>4004098</v>
      </c>
      <c r="B377" s="1" t="s">
        <v>31</v>
      </c>
      <c r="C377" s="1">
        <v>3300</v>
      </c>
      <c r="D377" s="1" t="s">
        <v>30</v>
      </c>
      <c r="E377" s="1">
        <v>301</v>
      </c>
      <c r="F377" s="1">
        <v>0</v>
      </c>
      <c r="G377" s="1">
        <v>20</v>
      </c>
      <c r="H377" s="1" t="s">
        <v>29</v>
      </c>
      <c r="I377" s="1" t="s">
        <v>71</v>
      </c>
      <c r="J377" s="1">
        <v>40</v>
      </c>
      <c r="M377" s="1" t="s">
        <v>28</v>
      </c>
      <c r="N377" s="1">
        <v>5</v>
      </c>
      <c r="O377" s="1" t="s">
        <v>27</v>
      </c>
      <c r="P377" s="1">
        <v>45924</v>
      </c>
      <c r="Q377" s="1">
        <v>0.37033564814815001</v>
      </c>
      <c r="R377" s="1">
        <v>0</v>
      </c>
      <c r="T377" s="1" t="s">
        <v>335</v>
      </c>
      <c r="U377" s="1" t="s">
        <v>24</v>
      </c>
      <c r="V377" s="1">
        <v>1</v>
      </c>
      <c r="W377" s="1" t="s">
        <v>258</v>
      </c>
      <c r="X377" s="1" t="s">
        <v>24</v>
      </c>
      <c r="Y377" s="1" t="s">
        <v>32</v>
      </c>
      <c r="Z377" s="1" t="s">
        <v>32</v>
      </c>
    </row>
    <row r="378" spans="1:26" x14ac:dyDescent="0.35">
      <c r="A378" s="1">
        <v>4004107</v>
      </c>
      <c r="B378" s="1" t="s">
        <v>31</v>
      </c>
      <c r="C378" s="1">
        <v>3300</v>
      </c>
      <c r="D378" s="1" t="s">
        <v>41</v>
      </c>
      <c r="G378" s="1">
        <v>0</v>
      </c>
      <c r="J378" s="1">
        <v>0</v>
      </c>
      <c r="M378" s="1" t="s">
        <v>28</v>
      </c>
      <c r="N378" s="1">
        <v>0</v>
      </c>
      <c r="O378" s="1" t="s">
        <v>277</v>
      </c>
      <c r="P378" s="1">
        <v>44495</v>
      </c>
      <c r="Q378" s="1">
        <v>0.72312500000000002</v>
      </c>
      <c r="R378" s="1" t="s">
        <v>754</v>
      </c>
      <c r="S378" s="1" t="s">
        <v>753</v>
      </c>
      <c r="U378" s="1" t="s">
        <v>24</v>
      </c>
      <c r="V378" s="1">
        <v>1</v>
      </c>
      <c r="W378" s="1" t="s">
        <v>258</v>
      </c>
      <c r="Y378" s="1" t="s">
        <v>32</v>
      </c>
      <c r="Z378" s="1" t="s">
        <v>23</v>
      </c>
    </row>
    <row r="379" spans="1:26" x14ac:dyDescent="0.35">
      <c r="A379" s="1">
        <v>4004110</v>
      </c>
      <c r="B379" s="1" t="s">
        <v>31</v>
      </c>
      <c r="C379" s="1">
        <v>3300</v>
      </c>
      <c r="D379" s="1" t="s">
        <v>30</v>
      </c>
      <c r="E379" s="1">
        <v>301</v>
      </c>
      <c r="F379" s="1">
        <v>0</v>
      </c>
      <c r="G379" s="1">
        <v>300</v>
      </c>
      <c r="H379" s="1" t="s">
        <v>29</v>
      </c>
      <c r="I379" s="1" t="s">
        <v>274</v>
      </c>
      <c r="J379" s="1">
        <v>400</v>
      </c>
      <c r="M379" s="1" t="s">
        <v>28</v>
      </c>
      <c r="N379" s="1">
        <v>0</v>
      </c>
      <c r="O379" s="1" t="s">
        <v>27</v>
      </c>
      <c r="P379" s="1">
        <v>46080</v>
      </c>
      <c r="Q379" s="1">
        <v>0.30758101851851999</v>
      </c>
      <c r="R379" s="1" t="s">
        <v>752</v>
      </c>
      <c r="S379" s="1" t="s">
        <v>751</v>
      </c>
      <c r="U379" s="1" t="s">
        <v>24</v>
      </c>
      <c r="V379" s="1">
        <v>1</v>
      </c>
      <c r="W379" s="1" t="s">
        <v>271</v>
      </c>
      <c r="X379" s="1" t="s">
        <v>24</v>
      </c>
      <c r="Y379" s="1" t="s">
        <v>32</v>
      </c>
      <c r="Z379" s="1" t="s">
        <v>32</v>
      </c>
    </row>
    <row r="380" spans="1:26" x14ac:dyDescent="0.35">
      <c r="A380" s="1">
        <v>4004111</v>
      </c>
      <c r="B380" s="1" t="s">
        <v>31</v>
      </c>
      <c r="C380" s="1">
        <v>3300</v>
      </c>
      <c r="D380" s="1" t="s">
        <v>41</v>
      </c>
      <c r="E380" s="1">
        <v>301</v>
      </c>
      <c r="F380" s="1">
        <v>0</v>
      </c>
      <c r="G380" s="1">
        <v>200</v>
      </c>
      <c r="H380" s="1" t="s">
        <v>29</v>
      </c>
      <c r="I380" s="1" t="s">
        <v>247</v>
      </c>
      <c r="J380" s="1">
        <v>150</v>
      </c>
      <c r="K380" s="1" t="s">
        <v>24</v>
      </c>
      <c r="M380" s="1" t="s">
        <v>28</v>
      </c>
      <c r="N380" s="1">
        <v>0</v>
      </c>
      <c r="O380" s="1" t="s">
        <v>27</v>
      </c>
      <c r="P380" s="1">
        <v>46042</v>
      </c>
      <c r="Q380" s="1">
        <v>0.43135416666666998</v>
      </c>
      <c r="R380" s="1" t="s">
        <v>750</v>
      </c>
      <c r="S380" s="1" t="s">
        <v>749</v>
      </c>
      <c r="W380" s="1" t="s">
        <v>258</v>
      </c>
      <c r="Y380" s="1" t="s">
        <v>32</v>
      </c>
      <c r="Z380" s="1" t="s">
        <v>23</v>
      </c>
    </row>
    <row r="381" spans="1:26" x14ac:dyDescent="0.35">
      <c r="A381" s="1">
        <v>4004114</v>
      </c>
      <c r="B381" s="1" t="s">
        <v>31</v>
      </c>
      <c r="C381" s="1">
        <v>3300</v>
      </c>
      <c r="D381" s="1" t="s">
        <v>30</v>
      </c>
      <c r="E381" s="1">
        <v>301</v>
      </c>
      <c r="F381" s="1">
        <v>0</v>
      </c>
      <c r="G381" s="1">
        <v>50</v>
      </c>
      <c r="H381" s="1" t="s">
        <v>29</v>
      </c>
      <c r="I381" s="1" t="s">
        <v>71</v>
      </c>
      <c r="J381" s="1">
        <v>100</v>
      </c>
      <c r="M381" s="1" t="s">
        <v>28</v>
      </c>
      <c r="N381" s="1">
        <v>0</v>
      </c>
      <c r="O381" s="1" t="s">
        <v>27</v>
      </c>
      <c r="P381" s="1">
        <v>45924</v>
      </c>
      <c r="Q381" s="1">
        <v>0.39548611111110998</v>
      </c>
      <c r="R381" s="1">
        <v>0</v>
      </c>
      <c r="T381" s="1" t="s">
        <v>335</v>
      </c>
      <c r="U381" s="1" t="s">
        <v>24</v>
      </c>
      <c r="V381" s="1">
        <v>1</v>
      </c>
      <c r="W381" s="1" t="s">
        <v>258</v>
      </c>
      <c r="X381" s="1" t="s">
        <v>24</v>
      </c>
      <c r="Y381" s="1" t="s">
        <v>32</v>
      </c>
      <c r="Z381" s="1" t="s">
        <v>32</v>
      </c>
    </row>
    <row r="382" spans="1:26" x14ac:dyDescent="0.35">
      <c r="A382" s="1">
        <v>4004121</v>
      </c>
      <c r="B382" s="1" t="s">
        <v>31</v>
      </c>
      <c r="C382" s="1">
        <v>3300</v>
      </c>
      <c r="D382" s="1" t="s">
        <v>30</v>
      </c>
      <c r="E382" s="1">
        <v>301</v>
      </c>
      <c r="F382" s="1">
        <v>0</v>
      </c>
      <c r="G382" s="1">
        <v>240</v>
      </c>
      <c r="H382" s="1" t="s">
        <v>29</v>
      </c>
      <c r="I382" s="1">
        <v>20</v>
      </c>
      <c r="J382" s="1">
        <v>120</v>
      </c>
      <c r="M382" s="1" t="s">
        <v>28</v>
      </c>
      <c r="N382" s="1">
        <v>5</v>
      </c>
      <c r="O382" s="1" t="s">
        <v>277</v>
      </c>
      <c r="P382" s="1">
        <v>44729</v>
      </c>
      <c r="Q382" s="1">
        <v>0.51005787037036998</v>
      </c>
      <c r="R382" s="1">
        <v>0</v>
      </c>
      <c r="T382" s="1" t="s">
        <v>335</v>
      </c>
      <c r="U382" s="1" t="s">
        <v>24</v>
      </c>
      <c r="V382" s="1">
        <v>1</v>
      </c>
      <c r="W382" s="1" t="s">
        <v>258</v>
      </c>
      <c r="Y382" s="1" t="s">
        <v>32</v>
      </c>
      <c r="Z382" s="1" t="s">
        <v>23</v>
      </c>
    </row>
    <row r="383" spans="1:26" x14ac:dyDescent="0.35">
      <c r="A383" s="1">
        <v>4004123</v>
      </c>
      <c r="B383" s="1" t="s">
        <v>31</v>
      </c>
      <c r="C383" s="1">
        <v>3300</v>
      </c>
      <c r="D383" s="1" t="s">
        <v>30</v>
      </c>
      <c r="E383" s="1">
        <v>301</v>
      </c>
      <c r="F383" s="1">
        <v>0</v>
      </c>
      <c r="G383" s="1">
        <v>100</v>
      </c>
      <c r="H383" s="1" t="s">
        <v>29</v>
      </c>
      <c r="I383" s="1">
        <v>20</v>
      </c>
      <c r="J383" s="1">
        <v>420</v>
      </c>
      <c r="M383" s="1" t="s">
        <v>28</v>
      </c>
      <c r="N383" s="1">
        <v>5</v>
      </c>
      <c r="O383" s="1" t="s">
        <v>282</v>
      </c>
      <c r="P383" s="1">
        <v>45355</v>
      </c>
      <c r="Q383" s="1">
        <v>0.53152777777778004</v>
      </c>
      <c r="R383" s="1" t="s">
        <v>748</v>
      </c>
      <c r="S383" s="1" t="s">
        <v>747</v>
      </c>
      <c r="T383" s="1" t="s">
        <v>335</v>
      </c>
      <c r="U383" s="1" t="s">
        <v>24</v>
      </c>
      <c r="V383" s="1">
        <v>1</v>
      </c>
      <c r="W383" s="1" t="s">
        <v>258</v>
      </c>
      <c r="Y383" s="1" t="s">
        <v>32</v>
      </c>
      <c r="Z383" s="1" t="s">
        <v>23</v>
      </c>
    </row>
    <row r="384" spans="1:26" x14ac:dyDescent="0.35">
      <c r="A384" s="1">
        <v>4004124</v>
      </c>
      <c r="B384" s="1" t="s">
        <v>31</v>
      </c>
      <c r="C384" s="1">
        <v>3300</v>
      </c>
      <c r="D384" s="1" t="s">
        <v>30</v>
      </c>
      <c r="E384" s="1">
        <v>301</v>
      </c>
      <c r="F384" s="1">
        <v>0</v>
      </c>
      <c r="G384" s="1">
        <v>460</v>
      </c>
      <c r="H384" s="1" t="s">
        <v>29</v>
      </c>
      <c r="I384" s="1">
        <v>20</v>
      </c>
      <c r="J384" s="1">
        <v>200</v>
      </c>
      <c r="M384" s="1" t="s">
        <v>28</v>
      </c>
      <c r="N384" s="1">
        <v>5</v>
      </c>
      <c r="O384" s="1" t="s">
        <v>277</v>
      </c>
      <c r="P384" s="1">
        <v>44820</v>
      </c>
      <c r="Q384" s="1">
        <v>0.30178240740741002</v>
      </c>
      <c r="R384" s="1">
        <v>0</v>
      </c>
      <c r="T384" s="1" t="s">
        <v>335</v>
      </c>
      <c r="U384" s="1" t="s">
        <v>24</v>
      </c>
      <c r="V384" s="1">
        <v>1</v>
      </c>
      <c r="W384" s="1" t="s">
        <v>258</v>
      </c>
      <c r="Y384" s="1" t="s">
        <v>32</v>
      </c>
      <c r="Z384" s="1" t="s">
        <v>23</v>
      </c>
    </row>
    <row r="385" spans="1:26" x14ac:dyDescent="0.35">
      <c r="A385" s="1">
        <v>4004137</v>
      </c>
      <c r="B385" s="1" t="s">
        <v>31</v>
      </c>
      <c r="C385" s="1">
        <v>3300</v>
      </c>
      <c r="D385" s="1" t="s">
        <v>30</v>
      </c>
      <c r="E385" s="1">
        <v>301</v>
      </c>
      <c r="F385" s="1">
        <v>0</v>
      </c>
      <c r="G385" s="1">
        <v>160</v>
      </c>
      <c r="H385" s="1" t="s">
        <v>29</v>
      </c>
      <c r="I385" s="1" t="s">
        <v>71</v>
      </c>
      <c r="J385" s="1">
        <v>160</v>
      </c>
      <c r="M385" s="1" t="s">
        <v>28</v>
      </c>
      <c r="N385" s="1">
        <v>0</v>
      </c>
      <c r="O385" s="1" t="s">
        <v>27</v>
      </c>
      <c r="P385" s="1">
        <v>45972</v>
      </c>
      <c r="Q385" s="1">
        <v>0.29101851851852001</v>
      </c>
      <c r="R385" s="1">
        <v>0</v>
      </c>
      <c r="U385" s="1" t="s">
        <v>24</v>
      </c>
      <c r="V385" s="1">
        <v>1</v>
      </c>
      <c r="W385" s="1" t="s">
        <v>289</v>
      </c>
      <c r="X385" s="1" t="s">
        <v>141</v>
      </c>
      <c r="Y385" s="1" t="s">
        <v>32</v>
      </c>
      <c r="Z385" s="1" t="s">
        <v>32</v>
      </c>
    </row>
    <row r="386" spans="1:26" x14ac:dyDescent="0.35">
      <c r="A386" s="1">
        <v>4004147</v>
      </c>
      <c r="B386" s="1" t="s">
        <v>31</v>
      </c>
      <c r="C386" s="1">
        <v>3300</v>
      </c>
      <c r="D386" s="1" t="s">
        <v>30</v>
      </c>
      <c r="E386" s="1">
        <v>300</v>
      </c>
      <c r="F386" s="1">
        <v>0</v>
      </c>
      <c r="G386" s="1">
        <v>400</v>
      </c>
      <c r="H386" s="1" t="s">
        <v>29</v>
      </c>
      <c r="I386" s="1" t="s">
        <v>71</v>
      </c>
      <c r="J386" s="1">
        <v>400</v>
      </c>
      <c r="M386" s="1" t="s">
        <v>28</v>
      </c>
      <c r="N386" s="1">
        <v>5</v>
      </c>
      <c r="O386" s="1" t="s">
        <v>746</v>
      </c>
      <c r="P386" s="1">
        <v>45896</v>
      </c>
      <c r="Q386" s="1">
        <v>0.49054398148147998</v>
      </c>
      <c r="R386" s="1" t="s">
        <v>745</v>
      </c>
      <c r="S386" s="1" t="s">
        <v>744</v>
      </c>
      <c r="U386" s="1" t="s">
        <v>24</v>
      </c>
      <c r="V386" s="1">
        <v>1</v>
      </c>
      <c r="W386" s="1" t="s">
        <v>258</v>
      </c>
      <c r="Y386" s="1" t="s">
        <v>32</v>
      </c>
      <c r="Z386" s="1" t="s">
        <v>23</v>
      </c>
    </row>
    <row r="387" spans="1:26" x14ac:dyDescent="0.35">
      <c r="A387" s="1">
        <v>4004149</v>
      </c>
      <c r="B387" s="1" t="s">
        <v>31</v>
      </c>
      <c r="C387" s="1">
        <v>3300</v>
      </c>
      <c r="D387" s="1" t="s">
        <v>41</v>
      </c>
      <c r="E387" s="1">
        <v>301</v>
      </c>
      <c r="F387" s="1">
        <v>0</v>
      </c>
      <c r="G387" s="1">
        <v>0</v>
      </c>
      <c r="J387" s="1">
        <v>0</v>
      </c>
      <c r="K387" s="1" t="s">
        <v>24</v>
      </c>
      <c r="M387" s="1" t="s">
        <v>28</v>
      </c>
      <c r="N387" s="1">
        <v>0</v>
      </c>
      <c r="O387" s="1" t="s">
        <v>373</v>
      </c>
      <c r="P387" s="1">
        <v>44476</v>
      </c>
      <c r="Q387" s="1">
        <v>0.53493055555556002</v>
      </c>
      <c r="R387" s="1">
        <v>0</v>
      </c>
      <c r="W387" s="1" t="s">
        <v>258</v>
      </c>
      <c r="Y387" s="1" t="s">
        <v>32</v>
      </c>
      <c r="Z387" s="1" t="s">
        <v>23</v>
      </c>
    </row>
    <row r="388" spans="1:26" x14ac:dyDescent="0.35">
      <c r="A388" s="1">
        <v>4004150</v>
      </c>
      <c r="B388" s="1" t="s">
        <v>31</v>
      </c>
      <c r="C388" s="1">
        <v>3300</v>
      </c>
      <c r="D388" s="1" t="s">
        <v>30</v>
      </c>
      <c r="E388" s="1">
        <v>301</v>
      </c>
      <c r="F388" s="1">
        <v>0</v>
      </c>
      <c r="G388" s="1">
        <v>700</v>
      </c>
      <c r="H388" s="1" t="s">
        <v>29</v>
      </c>
      <c r="I388" s="1">
        <v>20</v>
      </c>
      <c r="J388" s="1">
        <v>200</v>
      </c>
      <c r="M388" s="1" t="s">
        <v>28</v>
      </c>
      <c r="N388" s="1">
        <v>5</v>
      </c>
      <c r="O388" s="1" t="s">
        <v>743</v>
      </c>
      <c r="P388" s="1">
        <v>44706</v>
      </c>
      <c r="Q388" s="1">
        <v>0.37564814814815001</v>
      </c>
      <c r="R388" s="1" t="s">
        <v>742</v>
      </c>
      <c r="S388" s="1" t="s">
        <v>741</v>
      </c>
      <c r="T388" s="1" t="s">
        <v>335</v>
      </c>
      <c r="U388" s="1" t="s">
        <v>24</v>
      </c>
      <c r="V388" s="1">
        <v>1</v>
      </c>
      <c r="W388" s="1" t="s">
        <v>271</v>
      </c>
      <c r="X388" s="1" t="s">
        <v>141</v>
      </c>
      <c r="Y388" s="1" t="s">
        <v>32</v>
      </c>
      <c r="Z388" s="1" t="s">
        <v>32</v>
      </c>
    </row>
    <row r="389" spans="1:26" x14ac:dyDescent="0.35">
      <c r="A389" s="1">
        <v>4004152</v>
      </c>
      <c r="B389" s="1" t="s">
        <v>31</v>
      </c>
      <c r="C389" s="1">
        <v>3300</v>
      </c>
      <c r="D389" s="1" t="s">
        <v>41</v>
      </c>
      <c r="E389" s="1">
        <v>301</v>
      </c>
      <c r="F389" s="1">
        <v>0</v>
      </c>
      <c r="G389" s="1">
        <v>0</v>
      </c>
      <c r="J389" s="1">
        <v>0</v>
      </c>
      <c r="K389" s="1" t="s">
        <v>24</v>
      </c>
      <c r="M389" s="1" t="s">
        <v>28</v>
      </c>
      <c r="N389" s="1">
        <v>0</v>
      </c>
      <c r="O389" s="1" t="s">
        <v>373</v>
      </c>
      <c r="P389" s="1">
        <v>44476</v>
      </c>
      <c r="Q389" s="1">
        <v>0.53567129629629995</v>
      </c>
      <c r="R389" s="1">
        <v>0</v>
      </c>
      <c r="W389" s="1" t="s">
        <v>258</v>
      </c>
      <c r="Y389" s="1" t="s">
        <v>32</v>
      </c>
      <c r="Z389" s="1" t="s">
        <v>23</v>
      </c>
    </row>
    <row r="390" spans="1:26" x14ac:dyDescent="0.35">
      <c r="A390" s="1">
        <v>4004157</v>
      </c>
      <c r="B390" s="1" t="s">
        <v>31</v>
      </c>
      <c r="C390" s="1">
        <v>3300</v>
      </c>
      <c r="D390" s="1" t="s">
        <v>30</v>
      </c>
      <c r="E390" s="1">
        <v>301</v>
      </c>
      <c r="F390" s="1">
        <v>0</v>
      </c>
      <c r="G390" s="1">
        <v>40</v>
      </c>
      <c r="H390" s="1" t="s">
        <v>29</v>
      </c>
      <c r="I390" s="1" t="s">
        <v>247</v>
      </c>
      <c r="J390" s="1">
        <v>20</v>
      </c>
      <c r="M390" s="1" t="s">
        <v>28</v>
      </c>
      <c r="N390" s="1">
        <v>5</v>
      </c>
      <c r="O390" s="1" t="s">
        <v>166</v>
      </c>
      <c r="P390" s="1">
        <v>45247</v>
      </c>
      <c r="Q390" s="1">
        <v>0.47100694444444002</v>
      </c>
      <c r="R390" s="1">
        <v>0</v>
      </c>
      <c r="T390" s="1" t="s">
        <v>335</v>
      </c>
      <c r="U390" s="1" t="s">
        <v>24</v>
      </c>
      <c r="V390" s="1">
        <v>1</v>
      </c>
      <c r="W390" s="1" t="s">
        <v>271</v>
      </c>
      <c r="X390" s="1" t="s">
        <v>24</v>
      </c>
      <c r="Y390" s="1" t="s">
        <v>32</v>
      </c>
      <c r="Z390" s="1" t="s">
        <v>32</v>
      </c>
    </row>
    <row r="391" spans="1:26" x14ac:dyDescent="0.35">
      <c r="A391" s="1">
        <v>4004166</v>
      </c>
      <c r="B391" s="1" t="s">
        <v>31</v>
      </c>
      <c r="C391" s="1">
        <v>3300</v>
      </c>
      <c r="D391" s="1" t="s">
        <v>30</v>
      </c>
      <c r="E391" s="1">
        <v>301</v>
      </c>
      <c r="F391" s="1">
        <v>0</v>
      </c>
      <c r="G391" s="1">
        <v>100</v>
      </c>
      <c r="H391" s="1" t="s">
        <v>29</v>
      </c>
      <c r="I391" s="1" t="s">
        <v>71</v>
      </c>
      <c r="J391" s="1">
        <v>90</v>
      </c>
      <c r="M391" s="1" t="s">
        <v>28</v>
      </c>
      <c r="N391" s="1">
        <v>0</v>
      </c>
      <c r="O391" s="1" t="s">
        <v>27</v>
      </c>
      <c r="P391" s="1">
        <v>45944</v>
      </c>
      <c r="Q391" s="1">
        <v>0.39031250000000001</v>
      </c>
      <c r="R391" s="1" t="s">
        <v>740</v>
      </c>
      <c r="S391" s="1" t="s">
        <v>739</v>
      </c>
      <c r="T391" s="1" t="s">
        <v>335</v>
      </c>
      <c r="U391" s="1" t="s">
        <v>24</v>
      </c>
      <c r="V391" s="1">
        <v>1</v>
      </c>
      <c r="W391" s="1" t="s">
        <v>289</v>
      </c>
      <c r="X391" s="1" t="s">
        <v>141</v>
      </c>
      <c r="Y391" s="1" t="s">
        <v>32</v>
      </c>
      <c r="Z391" s="1" t="s">
        <v>32</v>
      </c>
    </row>
    <row r="392" spans="1:26" x14ac:dyDescent="0.35">
      <c r="A392" s="1">
        <v>4004168</v>
      </c>
      <c r="B392" s="1" t="s">
        <v>31</v>
      </c>
      <c r="C392" s="1">
        <v>3300</v>
      </c>
      <c r="D392" s="1" t="s">
        <v>30</v>
      </c>
      <c r="E392" s="1">
        <v>301</v>
      </c>
      <c r="F392" s="1">
        <v>0</v>
      </c>
      <c r="G392" s="1">
        <v>50</v>
      </c>
      <c r="H392" s="1" t="s">
        <v>29</v>
      </c>
      <c r="I392" s="1">
        <v>20</v>
      </c>
      <c r="J392" s="1">
        <v>10</v>
      </c>
      <c r="M392" s="1" t="s">
        <v>28</v>
      </c>
      <c r="N392" s="1">
        <v>5</v>
      </c>
      <c r="O392" s="1" t="s">
        <v>277</v>
      </c>
      <c r="P392" s="1">
        <v>44820</v>
      </c>
      <c r="Q392" s="1">
        <v>0.40781250000000002</v>
      </c>
      <c r="R392" s="1">
        <v>0</v>
      </c>
      <c r="T392" s="1" t="s">
        <v>335</v>
      </c>
      <c r="U392" s="1" t="s">
        <v>24</v>
      </c>
      <c r="V392" s="1">
        <v>1</v>
      </c>
      <c r="W392" s="1" t="s">
        <v>258</v>
      </c>
      <c r="Y392" s="1" t="s">
        <v>32</v>
      </c>
      <c r="Z392" s="1" t="s">
        <v>23</v>
      </c>
    </row>
    <row r="393" spans="1:26" x14ac:dyDescent="0.35">
      <c r="A393" s="1">
        <v>4004171</v>
      </c>
      <c r="B393" s="1" t="s">
        <v>31</v>
      </c>
      <c r="C393" s="1">
        <v>3300</v>
      </c>
      <c r="D393" s="1" t="s">
        <v>41</v>
      </c>
      <c r="E393" s="1">
        <v>301</v>
      </c>
      <c r="F393" s="1">
        <v>0</v>
      </c>
      <c r="G393" s="1">
        <v>432</v>
      </c>
      <c r="H393" s="1" t="s">
        <v>29</v>
      </c>
      <c r="I393" s="1">
        <v>20</v>
      </c>
      <c r="J393" s="1">
        <v>200</v>
      </c>
      <c r="K393" s="1" t="s">
        <v>24</v>
      </c>
      <c r="M393" s="1" t="s">
        <v>28</v>
      </c>
      <c r="N393" s="1">
        <v>5</v>
      </c>
      <c r="O393" s="1" t="s">
        <v>316</v>
      </c>
      <c r="P393" s="1">
        <v>44711</v>
      </c>
      <c r="Q393" s="1">
        <v>0.4237962962963</v>
      </c>
      <c r="R393" s="1">
        <v>0</v>
      </c>
      <c r="T393" s="1" t="s">
        <v>335</v>
      </c>
      <c r="W393" s="1" t="s">
        <v>258</v>
      </c>
      <c r="Y393" s="1" t="s">
        <v>32</v>
      </c>
      <c r="Z393" s="1" t="s">
        <v>23</v>
      </c>
    </row>
    <row r="394" spans="1:26" x14ac:dyDescent="0.35">
      <c r="A394" s="1">
        <v>4004200</v>
      </c>
      <c r="B394" s="1" t="s">
        <v>31</v>
      </c>
      <c r="C394" s="1">
        <v>3300</v>
      </c>
      <c r="D394" s="1" t="s">
        <v>30</v>
      </c>
      <c r="E394" s="1">
        <v>301</v>
      </c>
      <c r="F394" s="1">
        <v>0</v>
      </c>
      <c r="G394" s="1">
        <v>180</v>
      </c>
      <c r="H394" s="1" t="s">
        <v>29</v>
      </c>
      <c r="I394" s="1">
        <v>20</v>
      </c>
      <c r="J394" s="1">
        <v>90</v>
      </c>
      <c r="M394" s="1" t="s">
        <v>28</v>
      </c>
      <c r="N394" s="1">
        <v>5</v>
      </c>
      <c r="O394" s="1" t="s">
        <v>277</v>
      </c>
      <c r="P394" s="1">
        <v>44855</v>
      </c>
      <c r="Q394" s="1">
        <v>0.37969907407407</v>
      </c>
      <c r="R394" s="1" t="s">
        <v>738</v>
      </c>
      <c r="S394" s="1" t="s">
        <v>737</v>
      </c>
      <c r="T394" s="1" t="s">
        <v>335</v>
      </c>
      <c r="U394" s="1" t="s">
        <v>24</v>
      </c>
      <c r="V394" s="1">
        <v>1</v>
      </c>
      <c r="W394" s="1" t="s">
        <v>258</v>
      </c>
      <c r="Y394" s="1" t="s">
        <v>32</v>
      </c>
      <c r="Z394" s="1" t="s">
        <v>23</v>
      </c>
    </row>
    <row r="395" spans="1:26" x14ac:dyDescent="0.35">
      <c r="A395" s="1">
        <v>4004201</v>
      </c>
      <c r="B395" s="1" t="s">
        <v>31</v>
      </c>
      <c r="C395" s="1">
        <v>3300</v>
      </c>
      <c r="D395" s="1" t="s">
        <v>30</v>
      </c>
      <c r="E395" s="1">
        <v>301</v>
      </c>
      <c r="F395" s="1">
        <v>0</v>
      </c>
      <c r="G395" s="1">
        <v>120</v>
      </c>
      <c r="H395" s="1" t="s">
        <v>29</v>
      </c>
      <c r="I395" s="1">
        <v>20</v>
      </c>
      <c r="J395" s="1">
        <v>120</v>
      </c>
      <c r="M395" s="1" t="s">
        <v>28</v>
      </c>
      <c r="N395" s="1">
        <v>5</v>
      </c>
      <c r="O395" s="1" t="s">
        <v>277</v>
      </c>
      <c r="P395" s="1">
        <v>44804</v>
      </c>
      <c r="Q395" s="1">
        <v>0.53563657407406995</v>
      </c>
      <c r="R395" s="1">
        <v>0</v>
      </c>
      <c r="T395" s="1" t="s">
        <v>335</v>
      </c>
      <c r="U395" s="1" t="s">
        <v>24</v>
      </c>
      <c r="V395" s="1">
        <v>1</v>
      </c>
      <c r="W395" s="1" t="s">
        <v>258</v>
      </c>
      <c r="Y395" s="1" t="s">
        <v>32</v>
      </c>
      <c r="Z395" s="1" t="s">
        <v>23</v>
      </c>
    </row>
    <row r="396" spans="1:26" x14ac:dyDescent="0.35">
      <c r="A396" s="1">
        <v>4004203</v>
      </c>
      <c r="B396" s="1" t="s">
        <v>31</v>
      </c>
      <c r="C396" s="1">
        <v>3300</v>
      </c>
      <c r="D396" s="1" t="s">
        <v>30</v>
      </c>
      <c r="E396" s="1">
        <v>301</v>
      </c>
      <c r="F396" s="1">
        <v>0</v>
      </c>
      <c r="G396" s="1">
        <v>2000</v>
      </c>
      <c r="H396" s="1" t="s">
        <v>29</v>
      </c>
      <c r="I396" s="1">
        <v>20</v>
      </c>
      <c r="J396" s="1">
        <v>1800</v>
      </c>
      <c r="M396" s="1" t="s">
        <v>28</v>
      </c>
      <c r="N396" s="1">
        <v>5</v>
      </c>
      <c r="O396" s="1" t="s">
        <v>277</v>
      </c>
      <c r="P396" s="1">
        <v>44740</v>
      </c>
      <c r="Q396" s="1">
        <v>0.34082175925926</v>
      </c>
      <c r="R396" s="1" t="s">
        <v>736</v>
      </c>
      <c r="S396" s="1" t="s">
        <v>735</v>
      </c>
      <c r="T396" s="1" t="s">
        <v>335</v>
      </c>
      <c r="U396" s="1" t="s">
        <v>24</v>
      </c>
      <c r="V396" s="1">
        <v>1</v>
      </c>
      <c r="W396" s="1" t="s">
        <v>258</v>
      </c>
      <c r="Y396" s="1" t="s">
        <v>32</v>
      </c>
      <c r="Z396" s="1" t="s">
        <v>23</v>
      </c>
    </row>
    <row r="397" spans="1:26" x14ac:dyDescent="0.35">
      <c r="A397" s="1">
        <v>4004205</v>
      </c>
      <c r="B397" s="1" t="s">
        <v>31</v>
      </c>
      <c r="C397" s="1">
        <v>3300</v>
      </c>
      <c r="D397" s="1" t="s">
        <v>30</v>
      </c>
      <c r="E397" s="1">
        <v>301</v>
      </c>
      <c r="F397" s="1">
        <v>0</v>
      </c>
      <c r="G397" s="1">
        <v>500</v>
      </c>
      <c r="H397" s="1" t="s">
        <v>29</v>
      </c>
      <c r="I397" s="1" t="s">
        <v>71</v>
      </c>
      <c r="J397" s="1">
        <v>300</v>
      </c>
      <c r="M397" s="1" t="s">
        <v>28</v>
      </c>
      <c r="N397" s="1">
        <v>0</v>
      </c>
      <c r="O397" s="1" t="s">
        <v>27</v>
      </c>
      <c r="P397" s="1">
        <v>45968</v>
      </c>
      <c r="Q397" s="1">
        <v>0.28640046296296001</v>
      </c>
      <c r="R397" s="1">
        <v>0</v>
      </c>
      <c r="U397" s="1" t="s">
        <v>24</v>
      </c>
      <c r="V397" s="1">
        <v>1</v>
      </c>
      <c r="W397" s="1" t="s">
        <v>289</v>
      </c>
      <c r="Y397" s="1" t="s">
        <v>32</v>
      </c>
      <c r="Z397" s="1" t="s">
        <v>23</v>
      </c>
    </row>
    <row r="398" spans="1:26" x14ac:dyDescent="0.35">
      <c r="A398" s="1">
        <v>4004236</v>
      </c>
      <c r="B398" s="1" t="s">
        <v>31</v>
      </c>
      <c r="C398" s="1">
        <v>3300</v>
      </c>
      <c r="D398" s="1" t="s">
        <v>30</v>
      </c>
      <c r="E398" s="1">
        <v>301</v>
      </c>
      <c r="F398" s="1">
        <v>0</v>
      </c>
      <c r="G398" s="1">
        <v>120</v>
      </c>
      <c r="H398" s="1" t="s">
        <v>29</v>
      </c>
      <c r="I398" s="1" t="s">
        <v>247</v>
      </c>
      <c r="J398" s="1">
        <v>60</v>
      </c>
      <c r="M398" s="1" t="s">
        <v>28</v>
      </c>
      <c r="N398" s="1">
        <v>0</v>
      </c>
      <c r="O398" s="1" t="s">
        <v>166</v>
      </c>
      <c r="P398" s="1">
        <v>45007</v>
      </c>
      <c r="Q398" s="1">
        <v>0.44381944444443999</v>
      </c>
      <c r="R398" s="1">
        <v>0</v>
      </c>
      <c r="T398" s="1" t="s">
        <v>335</v>
      </c>
      <c r="U398" s="1" t="s">
        <v>24</v>
      </c>
      <c r="V398" s="1">
        <v>1</v>
      </c>
      <c r="W398" s="1" t="s">
        <v>258</v>
      </c>
      <c r="Y398" s="1" t="s">
        <v>32</v>
      </c>
      <c r="Z398" s="1" t="s">
        <v>23</v>
      </c>
    </row>
    <row r="399" spans="1:26" x14ac:dyDescent="0.35">
      <c r="A399" s="1">
        <v>4004237</v>
      </c>
      <c r="B399" s="1" t="s">
        <v>31</v>
      </c>
      <c r="C399" s="1">
        <v>3300</v>
      </c>
      <c r="D399" s="1" t="s">
        <v>30</v>
      </c>
      <c r="E399" s="1">
        <v>301</v>
      </c>
      <c r="F399" s="1">
        <v>0</v>
      </c>
      <c r="G399" s="1">
        <v>882</v>
      </c>
      <c r="H399" s="1" t="s">
        <v>29</v>
      </c>
      <c r="I399" s="1">
        <v>20</v>
      </c>
      <c r="J399" s="1">
        <v>2000</v>
      </c>
      <c r="M399" s="1" t="s">
        <v>28</v>
      </c>
      <c r="N399" s="1">
        <v>5</v>
      </c>
      <c r="O399" s="1" t="s">
        <v>386</v>
      </c>
      <c r="P399" s="1">
        <v>44522</v>
      </c>
      <c r="Q399" s="1">
        <v>0.56092592592593005</v>
      </c>
      <c r="R399" s="1">
        <v>0</v>
      </c>
      <c r="T399" s="1" t="s">
        <v>335</v>
      </c>
      <c r="U399" s="1" t="s">
        <v>24</v>
      </c>
      <c r="V399" s="1">
        <v>1</v>
      </c>
      <c r="W399" s="1" t="s">
        <v>258</v>
      </c>
      <c r="Y399" s="1" t="s">
        <v>32</v>
      </c>
      <c r="Z399" s="1" t="s">
        <v>23</v>
      </c>
    </row>
    <row r="400" spans="1:26" x14ac:dyDescent="0.35">
      <c r="A400" s="1">
        <v>4004238</v>
      </c>
      <c r="B400" s="1" t="s">
        <v>31</v>
      </c>
      <c r="C400" s="1">
        <v>3300</v>
      </c>
      <c r="D400" s="1" t="s">
        <v>30</v>
      </c>
      <c r="E400" s="1">
        <v>301</v>
      </c>
      <c r="F400" s="1">
        <v>0</v>
      </c>
      <c r="G400" s="1">
        <v>100</v>
      </c>
      <c r="H400" s="1" t="s">
        <v>29</v>
      </c>
      <c r="I400" s="1" t="s">
        <v>71</v>
      </c>
      <c r="J400" s="1">
        <v>100</v>
      </c>
      <c r="M400" s="1" t="s">
        <v>28</v>
      </c>
      <c r="N400" s="1">
        <v>0</v>
      </c>
      <c r="O400" s="1" t="s">
        <v>132</v>
      </c>
      <c r="P400" s="1">
        <v>46036</v>
      </c>
      <c r="Q400" s="1">
        <v>0.42037037037037001</v>
      </c>
      <c r="R400" s="1" t="s">
        <v>734</v>
      </c>
      <c r="S400" s="1" t="s">
        <v>733</v>
      </c>
      <c r="T400" s="1" t="s">
        <v>335</v>
      </c>
      <c r="U400" s="1" t="s">
        <v>24</v>
      </c>
      <c r="V400" s="1">
        <v>1</v>
      </c>
      <c r="W400" s="1" t="s">
        <v>258</v>
      </c>
      <c r="X400" s="1" t="s">
        <v>24</v>
      </c>
      <c r="Y400" s="1" t="s">
        <v>32</v>
      </c>
      <c r="Z400" s="1" t="s">
        <v>32</v>
      </c>
    </row>
    <row r="401" spans="1:26" x14ac:dyDescent="0.35">
      <c r="A401" s="1">
        <v>4004240</v>
      </c>
      <c r="B401" s="1" t="s">
        <v>31</v>
      </c>
      <c r="C401" s="1">
        <v>3300</v>
      </c>
      <c r="D401" s="1" t="s">
        <v>30</v>
      </c>
      <c r="E401" s="1">
        <v>301</v>
      </c>
      <c r="F401" s="1">
        <v>0</v>
      </c>
      <c r="G401" s="1">
        <v>1200</v>
      </c>
      <c r="H401" s="1" t="s">
        <v>29</v>
      </c>
      <c r="I401" s="1" t="s">
        <v>71</v>
      </c>
      <c r="J401" s="1">
        <v>600</v>
      </c>
      <c r="M401" s="1" t="s">
        <v>28</v>
      </c>
      <c r="N401" s="1">
        <v>5</v>
      </c>
      <c r="O401" s="1" t="s">
        <v>27</v>
      </c>
      <c r="P401" s="1">
        <v>46007</v>
      </c>
      <c r="Q401" s="1">
        <v>0.30480324074074</v>
      </c>
      <c r="R401" s="1">
        <v>0</v>
      </c>
      <c r="T401" s="1" t="s">
        <v>335</v>
      </c>
      <c r="U401" s="1" t="s">
        <v>24</v>
      </c>
      <c r="V401" s="1">
        <v>1</v>
      </c>
      <c r="W401" s="1" t="s">
        <v>258</v>
      </c>
      <c r="Y401" s="1" t="s">
        <v>32</v>
      </c>
      <c r="Z401" s="1" t="s">
        <v>23</v>
      </c>
    </row>
    <row r="402" spans="1:26" x14ac:dyDescent="0.35">
      <c r="A402" s="1">
        <v>4004241</v>
      </c>
      <c r="B402" s="1" t="s">
        <v>31</v>
      </c>
      <c r="C402" s="1">
        <v>3300</v>
      </c>
      <c r="D402" s="1" t="s">
        <v>30</v>
      </c>
      <c r="E402" s="1">
        <v>301</v>
      </c>
      <c r="F402" s="1">
        <v>0</v>
      </c>
      <c r="G402" s="1">
        <v>500</v>
      </c>
      <c r="H402" s="1" t="s">
        <v>29</v>
      </c>
      <c r="I402" s="1" t="s">
        <v>71</v>
      </c>
      <c r="J402" s="1">
        <v>500</v>
      </c>
      <c r="M402" s="1" t="s">
        <v>28</v>
      </c>
      <c r="N402" s="1">
        <v>5</v>
      </c>
      <c r="O402" s="1" t="s">
        <v>27</v>
      </c>
      <c r="P402" s="1">
        <v>45924</v>
      </c>
      <c r="Q402" s="1">
        <v>0.52398148148148005</v>
      </c>
      <c r="R402" s="1" t="s">
        <v>732</v>
      </c>
      <c r="S402" s="1" t="s">
        <v>731</v>
      </c>
      <c r="T402" s="1" t="s">
        <v>335</v>
      </c>
      <c r="U402" s="1" t="s">
        <v>24</v>
      </c>
      <c r="V402" s="1">
        <v>1</v>
      </c>
      <c r="W402" s="1" t="s">
        <v>258</v>
      </c>
      <c r="Y402" s="1" t="s">
        <v>32</v>
      </c>
      <c r="Z402" s="1" t="s">
        <v>23</v>
      </c>
    </row>
    <row r="403" spans="1:26" x14ac:dyDescent="0.35">
      <c r="A403" s="1">
        <v>4004246</v>
      </c>
      <c r="B403" s="1" t="s">
        <v>31</v>
      </c>
      <c r="C403" s="1">
        <v>3300</v>
      </c>
      <c r="D403" s="1" t="s">
        <v>30</v>
      </c>
      <c r="E403" s="1">
        <v>301</v>
      </c>
      <c r="F403" s="1">
        <v>0</v>
      </c>
      <c r="G403" s="1">
        <v>800</v>
      </c>
      <c r="H403" s="1" t="s">
        <v>29</v>
      </c>
      <c r="I403" s="1" t="s">
        <v>71</v>
      </c>
      <c r="J403" s="1">
        <v>500</v>
      </c>
      <c r="M403" s="1" t="s">
        <v>28</v>
      </c>
      <c r="N403" s="1">
        <v>0</v>
      </c>
      <c r="O403" s="1" t="s">
        <v>27</v>
      </c>
      <c r="P403" s="1">
        <v>45705</v>
      </c>
      <c r="Q403" s="1">
        <v>0.37437500000000001</v>
      </c>
      <c r="R403" s="1" t="s">
        <v>730</v>
      </c>
      <c r="S403" s="1" t="s">
        <v>729</v>
      </c>
      <c r="U403" s="1" t="s">
        <v>24</v>
      </c>
      <c r="V403" s="1">
        <v>1</v>
      </c>
      <c r="W403" s="1" t="s">
        <v>258</v>
      </c>
      <c r="X403" s="1" t="s">
        <v>24</v>
      </c>
      <c r="Y403" s="1" t="s">
        <v>32</v>
      </c>
      <c r="Z403" s="1" t="s">
        <v>32</v>
      </c>
    </row>
    <row r="404" spans="1:26" x14ac:dyDescent="0.35">
      <c r="A404" s="1">
        <v>4004247</v>
      </c>
      <c r="B404" s="1" t="s">
        <v>31</v>
      </c>
      <c r="C404" s="1">
        <v>3300</v>
      </c>
      <c r="D404" s="1" t="s">
        <v>30</v>
      </c>
      <c r="E404" s="1">
        <v>301</v>
      </c>
      <c r="F404" s="1">
        <v>0</v>
      </c>
      <c r="G404" s="1">
        <v>120</v>
      </c>
      <c r="H404" s="1" t="s">
        <v>29</v>
      </c>
      <c r="I404" s="1" t="s">
        <v>71</v>
      </c>
      <c r="J404" s="1">
        <v>120</v>
      </c>
      <c r="M404" s="1" t="s">
        <v>28</v>
      </c>
      <c r="N404" s="1">
        <v>0</v>
      </c>
      <c r="O404" s="1" t="s">
        <v>27</v>
      </c>
      <c r="P404" s="1">
        <v>45597</v>
      </c>
      <c r="Q404" s="1">
        <v>0.41420138888889002</v>
      </c>
      <c r="R404" s="1" t="s">
        <v>728</v>
      </c>
      <c r="S404" s="1" t="s">
        <v>727</v>
      </c>
      <c r="U404" s="1" t="s">
        <v>24</v>
      </c>
      <c r="V404" s="1">
        <v>1</v>
      </c>
      <c r="W404" s="1" t="s">
        <v>258</v>
      </c>
      <c r="X404" s="1" t="s">
        <v>141</v>
      </c>
      <c r="Y404" s="1" t="s">
        <v>32</v>
      </c>
      <c r="Z404" s="1" t="s">
        <v>32</v>
      </c>
    </row>
    <row r="405" spans="1:26" x14ac:dyDescent="0.35">
      <c r="A405" s="1">
        <v>4004248</v>
      </c>
      <c r="B405" s="1" t="s">
        <v>31</v>
      </c>
      <c r="C405" s="1">
        <v>3300</v>
      </c>
      <c r="D405" s="1" t="s">
        <v>30</v>
      </c>
      <c r="E405" s="1">
        <v>301</v>
      </c>
      <c r="F405" s="1">
        <v>0</v>
      </c>
      <c r="G405" s="1">
        <v>120</v>
      </c>
      <c r="H405" s="1" t="s">
        <v>29</v>
      </c>
      <c r="I405" s="1" t="s">
        <v>71</v>
      </c>
      <c r="J405" s="1">
        <v>500</v>
      </c>
      <c r="M405" s="1" t="s">
        <v>28</v>
      </c>
      <c r="N405" s="1">
        <v>0</v>
      </c>
      <c r="O405" s="1" t="s">
        <v>27</v>
      </c>
      <c r="P405" s="1">
        <v>45597</v>
      </c>
      <c r="Q405" s="1">
        <v>0.4171412037037</v>
      </c>
      <c r="R405" s="1" t="s">
        <v>726</v>
      </c>
      <c r="S405" s="1" t="s">
        <v>725</v>
      </c>
      <c r="U405" s="1" t="s">
        <v>24</v>
      </c>
      <c r="V405" s="1">
        <v>1</v>
      </c>
      <c r="W405" s="1" t="s">
        <v>258</v>
      </c>
      <c r="Y405" s="1" t="s">
        <v>32</v>
      </c>
      <c r="Z405" s="1" t="s">
        <v>23</v>
      </c>
    </row>
    <row r="406" spans="1:26" x14ac:dyDescent="0.35">
      <c r="A406" s="1">
        <v>4004250</v>
      </c>
      <c r="B406" s="1" t="s">
        <v>31</v>
      </c>
      <c r="C406" s="1">
        <v>3300</v>
      </c>
      <c r="D406" s="1" t="s">
        <v>30</v>
      </c>
      <c r="E406" s="1">
        <v>301</v>
      </c>
      <c r="F406" s="1">
        <v>0</v>
      </c>
      <c r="G406" s="1">
        <v>500</v>
      </c>
      <c r="H406" s="1" t="s">
        <v>29</v>
      </c>
      <c r="I406" s="1" t="s">
        <v>71</v>
      </c>
      <c r="J406" s="1">
        <v>1040</v>
      </c>
      <c r="M406" s="1" t="s">
        <v>28</v>
      </c>
      <c r="N406" s="1">
        <v>0</v>
      </c>
      <c r="O406" s="1" t="s">
        <v>199</v>
      </c>
      <c r="P406" s="1">
        <v>45653</v>
      </c>
      <c r="Q406" s="1">
        <v>0.36275462962963001</v>
      </c>
      <c r="R406" s="1" t="s">
        <v>724</v>
      </c>
      <c r="S406" s="1" t="s">
        <v>723</v>
      </c>
      <c r="U406" s="1" t="s">
        <v>24</v>
      </c>
      <c r="V406" s="1">
        <v>1</v>
      </c>
      <c r="W406" s="1" t="s">
        <v>289</v>
      </c>
      <c r="X406" s="1" t="s">
        <v>24</v>
      </c>
      <c r="Y406" s="1" t="s">
        <v>32</v>
      </c>
      <c r="Z406" s="1" t="s">
        <v>32</v>
      </c>
    </row>
    <row r="407" spans="1:26" x14ac:dyDescent="0.35">
      <c r="A407" s="1">
        <v>4004259</v>
      </c>
      <c r="B407" s="1" t="s">
        <v>31</v>
      </c>
      <c r="C407" s="1">
        <v>3300</v>
      </c>
      <c r="D407" s="1" t="s">
        <v>30</v>
      </c>
      <c r="E407" s="1">
        <v>301</v>
      </c>
      <c r="F407" s="1">
        <v>0</v>
      </c>
      <c r="G407" s="1">
        <v>42</v>
      </c>
      <c r="H407" s="1" t="s">
        <v>29</v>
      </c>
      <c r="I407" s="1" t="s">
        <v>71</v>
      </c>
      <c r="J407" s="1">
        <v>42</v>
      </c>
      <c r="M407" s="1" t="s">
        <v>28</v>
      </c>
      <c r="N407" s="1">
        <v>0</v>
      </c>
      <c r="O407" s="1" t="s">
        <v>199</v>
      </c>
      <c r="P407" s="1">
        <v>46009</v>
      </c>
      <c r="Q407" s="1">
        <v>0.56244212962963003</v>
      </c>
      <c r="R407" s="1">
        <v>0</v>
      </c>
      <c r="T407" s="1" t="s">
        <v>335</v>
      </c>
      <c r="U407" s="1" t="s">
        <v>24</v>
      </c>
      <c r="V407" s="1">
        <v>1</v>
      </c>
      <c r="W407" s="1" t="s">
        <v>258</v>
      </c>
      <c r="X407" s="1" t="s">
        <v>24</v>
      </c>
      <c r="Y407" s="1" t="s">
        <v>32</v>
      </c>
      <c r="Z407" s="1" t="s">
        <v>32</v>
      </c>
    </row>
    <row r="408" spans="1:26" x14ac:dyDescent="0.35">
      <c r="A408" s="1">
        <v>4004262</v>
      </c>
      <c r="B408" s="1" t="s">
        <v>31</v>
      </c>
      <c r="C408" s="1">
        <v>3300</v>
      </c>
      <c r="D408" s="1" t="s">
        <v>30</v>
      </c>
      <c r="E408" s="1">
        <v>301</v>
      </c>
      <c r="F408" s="1">
        <v>0</v>
      </c>
      <c r="G408" s="1">
        <v>40</v>
      </c>
      <c r="H408" s="1" t="s">
        <v>29</v>
      </c>
      <c r="I408" s="1" t="s">
        <v>71</v>
      </c>
      <c r="J408" s="1">
        <v>60</v>
      </c>
      <c r="M408" s="1" t="s">
        <v>28</v>
      </c>
      <c r="N408" s="1">
        <v>0</v>
      </c>
      <c r="O408" s="1" t="s">
        <v>27</v>
      </c>
      <c r="P408" s="1">
        <v>46043</v>
      </c>
      <c r="Q408" s="1">
        <v>0.27732638888889</v>
      </c>
      <c r="R408" s="1" t="s">
        <v>722</v>
      </c>
      <c r="S408" s="1" t="s">
        <v>721</v>
      </c>
      <c r="T408" s="1" t="s">
        <v>335</v>
      </c>
      <c r="U408" s="1" t="s">
        <v>24</v>
      </c>
      <c r="V408" s="1">
        <v>1</v>
      </c>
      <c r="W408" s="1" t="s">
        <v>258</v>
      </c>
      <c r="X408" s="1" t="s">
        <v>24</v>
      </c>
      <c r="Y408" s="1" t="s">
        <v>32</v>
      </c>
      <c r="Z408" s="1" t="s">
        <v>32</v>
      </c>
    </row>
    <row r="409" spans="1:26" x14ac:dyDescent="0.35">
      <c r="A409" s="1">
        <v>4004269</v>
      </c>
      <c r="B409" s="1" t="s">
        <v>31</v>
      </c>
      <c r="C409" s="1">
        <v>3300</v>
      </c>
      <c r="D409" s="1" t="s">
        <v>30</v>
      </c>
      <c r="E409" s="1">
        <v>301</v>
      </c>
      <c r="F409" s="1">
        <v>0</v>
      </c>
      <c r="G409" s="1">
        <v>2200</v>
      </c>
      <c r="H409" s="1" t="s">
        <v>29</v>
      </c>
      <c r="I409" s="1">
        <v>20</v>
      </c>
      <c r="J409" s="1">
        <v>1200</v>
      </c>
      <c r="M409" s="1" t="s">
        <v>28</v>
      </c>
      <c r="N409" s="1">
        <v>5</v>
      </c>
      <c r="O409" s="1" t="s">
        <v>27</v>
      </c>
      <c r="P409" s="1">
        <v>45246</v>
      </c>
      <c r="Q409" s="1">
        <v>0.44078703703703997</v>
      </c>
      <c r="R409" s="1">
        <v>0</v>
      </c>
      <c r="T409" s="1" t="s">
        <v>335</v>
      </c>
      <c r="U409" s="1" t="s">
        <v>24</v>
      </c>
      <c r="V409" s="1">
        <v>1</v>
      </c>
      <c r="W409" s="1" t="s">
        <v>258</v>
      </c>
      <c r="X409" s="1" t="s">
        <v>141</v>
      </c>
      <c r="Y409" s="1" t="s">
        <v>32</v>
      </c>
      <c r="Z409" s="1" t="s">
        <v>32</v>
      </c>
    </row>
    <row r="410" spans="1:26" x14ac:dyDescent="0.35">
      <c r="A410" s="1">
        <v>4004272</v>
      </c>
      <c r="B410" s="1" t="s">
        <v>31</v>
      </c>
      <c r="C410" s="1">
        <v>3300</v>
      </c>
      <c r="D410" s="1" t="s">
        <v>41</v>
      </c>
      <c r="E410" s="1">
        <v>301</v>
      </c>
      <c r="F410" s="1">
        <v>0</v>
      </c>
      <c r="G410" s="1">
        <v>0</v>
      </c>
      <c r="J410" s="1">
        <v>0</v>
      </c>
      <c r="K410" s="1" t="s">
        <v>24</v>
      </c>
      <c r="M410" s="1" t="s">
        <v>28</v>
      </c>
      <c r="N410" s="1">
        <v>0</v>
      </c>
      <c r="O410" s="1" t="s">
        <v>373</v>
      </c>
      <c r="P410" s="1">
        <v>44476</v>
      </c>
      <c r="Q410" s="1">
        <v>0.53643518518518996</v>
      </c>
      <c r="R410" s="1">
        <v>0</v>
      </c>
      <c r="W410" s="1" t="s">
        <v>258</v>
      </c>
      <c r="Y410" s="1" t="s">
        <v>32</v>
      </c>
      <c r="Z410" s="1" t="s">
        <v>23</v>
      </c>
    </row>
    <row r="411" spans="1:26" x14ac:dyDescent="0.35">
      <c r="A411" s="1">
        <v>4004276</v>
      </c>
      <c r="B411" s="1" t="s">
        <v>31</v>
      </c>
      <c r="C411" s="1">
        <v>3300</v>
      </c>
      <c r="D411" s="1" t="s">
        <v>30</v>
      </c>
      <c r="E411" s="1">
        <v>301</v>
      </c>
      <c r="F411" s="1">
        <v>0</v>
      </c>
      <c r="G411" s="1">
        <v>800</v>
      </c>
      <c r="H411" s="1" t="s">
        <v>29</v>
      </c>
      <c r="I411" s="1" t="s">
        <v>71</v>
      </c>
      <c r="J411" s="1">
        <v>600</v>
      </c>
      <c r="M411" s="1" t="s">
        <v>28</v>
      </c>
      <c r="N411" s="1">
        <v>0</v>
      </c>
      <c r="O411" s="1" t="s">
        <v>27</v>
      </c>
      <c r="P411" s="1">
        <v>45740</v>
      </c>
      <c r="Q411" s="1">
        <v>0.29960648148148</v>
      </c>
      <c r="R411" s="1">
        <v>0</v>
      </c>
      <c r="U411" s="1" t="s">
        <v>24</v>
      </c>
      <c r="V411" s="1">
        <v>1</v>
      </c>
      <c r="W411" s="1" t="s">
        <v>271</v>
      </c>
      <c r="Y411" s="1" t="s">
        <v>32</v>
      </c>
      <c r="Z411" s="1" t="s">
        <v>23</v>
      </c>
    </row>
    <row r="412" spans="1:26" x14ac:dyDescent="0.35">
      <c r="A412" s="1">
        <v>4004280</v>
      </c>
      <c r="B412" s="1" t="s">
        <v>31</v>
      </c>
      <c r="C412" s="1">
        <v>3300</v>
      </c>
      <c r="D412" s="1" t="s">
        <v>30</v>
      </c>
      <c r="E412" s="1">
        <v>301</v>
      </c>
      <c r="F412" s="1">
        <v>0</v>
      </c>
      <c r="G412" s="1">
        <v>600</v>
      </c>
      <c r="H412" s="1" t="s">
        <v>29</v>
      </c>
      <c r="I412" s="1">
        <v>20</v>
      </c>
      <c r="J412" s="1">
        <v>400</v>
      </c>
      <c r="M412" s="1" t="s">
        <v>28</v>
      </c>
      <c r="N412" s="1">
        <v>5</v>
      </c>
      <c r="O412" s="1" t="s">
        <v>277</v>
      </c>
      <c r="P412" s="1">
        <v>44781</v>
      </c>
      <c r="Q412" s="1">
        <v>0.35782407407407002</v>
      </c>
      <c r="R412" s="1">
        <v>0</v>
      </c>
      <c r="T412" s="1" t="s">
        <v>335</v>
      </c>
      <c r="U412" s="1" t="s">
        <v>24</v>
      </c>
      <c r="V412" s="1">
        <v>1</v>
      </c>
      <c r="W412" s="1" t="s">
        <v>258</v>
      </c>
      <c r="Y412" s="1" t="s">
        <v>32</v>
      </c>
      <c r="Z412" s="1" t="s">
        <v>23</v>
      </c>
    </row>
    <row r="413" spans="1:26" x14ac:dyDescent="0.35">
      <c r="A413" s="1">
        <v>4004281</v>
      </c>
      <c r="B413" s="1" t="s">
        <v>31</v>
      </c>
      <c r="C413" s="1">
        <v>3300</v>
      </c>
      <c r="D413" s="1" t="s">
        <v>30</v>
      </c>
      <c r="E413" s="1">
        <v>301</v>
      </c>
      <c r="F413" s="1">
        <v>0</v>
      </c>
      <c r="G413" s="1">
        <v>400</v>
      </c>
      <c r="H413" s="1" t="s">
        <v>29</v>
      </c>
      <c r="I413" s="1">
        <v>20</v>
      </c>
      <c r="J413" s="1">
        <v>200</v>
      </c>
      <c r="M413" s="1" t="s">
        <v>28</v>
      </c>
      <c r="N413" s="1">
        <v>5</v>
      </c>
      <c r="O413" s="1" t="s">
        <v>277</v>
      </c>
      <c r="P413" s="1">
        <v>44804</v>
      </c>
      <c r="Q413" s="1">
        <v>0.52231481481481001</v>
      </c>
      <c r="R413" s="1" t="s">
        <v>720</v>
      </c>
      <c r="S413" s="1" t="s">
        <v>719</v>
      </c>
      <c r="T413" s="1" t="s">
        <v>335</v>
      </c>
      <c r="U413" s="1" t="s">
        <v>24</v>
      </c>
      <c r="V413" s="1">
        <v>1</v>
      </c>
      <c r="W413" s="1" t="s">
        <v>258</v>
      </c>
      <c r="Y413" s="1" t="s">
        <v>32</v>
      </c>
      <c r="Z413" s="1" t="s">
        <v>23</v>
      </c>
    </row>
    <row r="414" spans="1:26" x14ac:dyDescent="0.35">
      <c r="A414" s="1">
        <v>4004319</v>
      </c>
      <c r="B414" s="1" t="s">
        <v>31</v>
      </c>
      <c r="C414" s="1">
        <v>3300</v>
      </c>
      <c r="D414" s="1" t="s">
        <v>30</v>
      </c>
      <c r="E414" s="1">
        <v>301</v>
      </c>
      <c r="F414" s="1">
        <v>0</v>
      </c>
      <c r="G414" s="1">
        <v>90</v>
      </c>
      <c r="H414" s="1" t="s">
        <v>29</v>
      </c>
      <c r="I414" s="1" t="s">
        <v>247</v>
      </c>
      <c r="J414" s="1">
        <v>90</v>
      </c>
      <c r="M414" s="1" t="s">
        <v>28</v>
      </c>
      <c r="N414" s="1">
        <v>0</v>
      </c>
      <c r="O414" s="1" t="s">
        <v>166</v>
      </c>
      <c r="P414" s="1">
        <v>45036</v>
      </c>
      <c r="Q414" s="1">
        <v>0.46559027777778</v>
      </c>
      <c r="R414" s="1" t="s">
        <v>718</v>
      </c>
      <c r="S414" s="1" t="s">
        <v>717</v>
      </c>
      <c r="T414" s="1" t="s">
        <v>335</v>
      </c>
      <c r="U414" s="1" t="s">
        <v>24</v>
      </c>
      <c r="V414" s="1">
        <v>1</v>
      </c>
      <c r="W414" s="1" t="s">
        <v>289</v>
      </c>
      <c r="Y414" s="1" t="s">
        <v>32</v>
      </c>
      <c r="Z414" s="1" t="s">
        <v>23</v>
      </c>
    </row>
    <row r="415" spans="1:26" x14ac:dyDescent="0.35">
      <c r="A415" s="1">
        <v>4004351</v>
      </c>
      <c r="B415" s="1" t="s">
        <v>31</v>
      </c>
      <c r="C415" s="1">
        <v>3300</v>
      </c>
      <c r="D415" s="1" t="s">
        <v>41</v>
      </c>
      <c r="F415" s="1">
        <v>0</v>
      </c>
      <c r="G415" s="1">
        <v>0</v>
      </c>
      <c r="J415" s="1">
        <v>0</v>
      </c>
      <c r="K415" s="1" t="s">
        <v>24</v>
      </c>
      <c r="M415" s="1" t="s">
        <v>28</v>
      </c>
      <c r="N415" s="1">
        <v>0</v>
      </c>
      <c r="O415" s="1" t="s">
        <v>277</v>
      </c>
      <c r="P415" s="1">
        <v>44911</v>
      </c>
      <c r="Q415" s="1">
        <v>0.37761574074074</v>
      </c>
      <c r="R415" s="1" t="s">
        <v>716</v>
      </c>
      <c r="S415" s="1" t="s">
        <v>715</v>
      </c>
      <c r="W415" s="1" t="s">
        <v>258</v>
      </c>
      <c r="Y415" s="1" t="s">
        <v>32</v>
      </c>
      <c r="Z415" s="1" t="s">
        <v>23</v>
      </c>
    </row>
    <row r="416" spans="1:26" x14ac:dyDescent="0.35">
      <c r="A416" s="1">
        <v>4004352</v>
      </c>
      <c r="B416" s="1" t="s">
        <v>31</v>
      </c>
      <c r="C416" s="1">
        <v>3300</v>
      </c>
      <c r="D416" s="1" t="s">
        <v>41</v>
      </c>
      <c r="E416" s="1">
        <v>301</v>
      </c>
      <c r="F416" s="1">
        <v>0</v>
      </c>
      <c r="G416" s="1">
        <v>1000</v>
      </c>
      <c r="H416" s="1" t="s">
        <v>29</v>
      </c>
      <c r="I416" s="1" t="s">
        <v>247</v>
      </c>
      <c r="J416" s="1">
        <v>4000</v>
      </c>
      <c r="M416" s="1" t="s">
        <v>28</v>
      </c>
      <c r="N416" s="1">
        <v>0</v>
      </c>
      <c r="O416" s="1" t="s">
        <v>27</v>
      </c>
      <c r="P416" s="1">
        <v>44733</v>
      </c>
      <c r="Q416" s="1">
        <v>0.47601851851852001</v>
      </c>
      <c r="R416" s="1">
        <v>0</v>
      </c>
      <c r="U416" s="1" t="s">
        <v>24</v>
      </c>
      <c r="V416" s="1">
        <v>1</v>
      </c>
      <c r="W416" s="1" t="s">
        <v>258</v>
      </c>
      <c r="X416" s="1" t="s">
        <v>24</v>
      </c>
      <c r="Y416" s="1" t="s">
        <v>32</v>
      </c>
      <c r="Z416" s="1" t="s">
        <v>32</v>
      </c>
    </row>
    <row r="417" spans="1:26" x14ac:dyDescent="0.35">
      <c r="A417" s="1">
        <v>4004353</v>
      </c>
      <c r="B417" s="1" t="s">
        <v>31</v>
      </c>
      <c r="C417" s="1">
        <v>3300</v>
      </c>
      <c r="D417" s="1" t="s">
        <v>30</v>
      </c>
      <c r="E417" s="1">
        <v>301</v>
      </c>
      <c r="F417" s="1">
        <v>0</v>
      </c>
      <c r="G417" s="1">
        <v>300</v>
      </c>
      <c r="H417" s="1" t="s">
        <v>29</v>
      </c>
      <c r="I417" s="1">
        <v>20</v>
      </c>
      <c r="J417" s="1">
        <v>200</v>
      </c>
      <c r="M417" s="1" t="s">
        <v>28</v>
      </c>
      <c r="N417" s="1">
        <v>0</v>
      </c>
      <c r="O417" s="1" t="s">
        <v>27</v>
      </c>
      <c r="P417" s="1">
        <v>46038</v>
      </c>
      <c r="Q417" s="1">
        <v>0.28922453703703999</v>
      </c>
      <c r="R417" s="1" t="s">
        <v>714</v>
      </c>
      <c r="S417" s="1" t="s">
        <v>713</v>
      </c>
      <c r="T417" s="1" t="s">
        <v>335</v>
      </c>
      <c r="U417" s="1" t="s">
        <v>24</v>
      </c>
      <c r="V417" s="1">
        <v>1</v>
      </c>
      <c r="W417" s="1" t="s">
        <v>258</v>
      </c>
      <c r="X417" s="1" t="s">
        <v>141</v>
      </c>
      <c r="Y417" s="1" t="s">
        <v>32</v>
      </c>
      <c r="Z417" s="1" t="s">
        <v>32</v>
      </c>
    </row>
    <row r="418" spans="1:26" x14ac:dyDescent="0.35">
      <c r="A418" s="1">
        <v>4004354</v>
      </c>
      <c r="B418" s="1" t="s">
        <v>31</v>
      </c>
      <c r="C418" s="1">
        <v>3300</v>
      </c>
      <c r="D418" s="1" t="s">
        <v>30</v>
      </c>
      <c r="E418" s="1">
        <v>301</v>
      </c>
      <c r="F418" s="1">
        <v>0</v>
      </c>
      <c r="G418" s="1">
        <v>200</v>
      </c>
      <c r="H418" s="1" t="s">
        <v>29</v>
      </c>
      <c r="I418" s="1" t="s">
        <v>247</v>
      </c>
      <c r="J418" s="1">
        <v>100</v>
      </c>
      <c r="M418" s="1" t="s">
        <v>28</v>
      </c>
      <c r="N418" s="1">
        <v>5</v>
      </c>
      <c r="O418" s="1" t="s">
        <v>27</v>
      </c>
      <c r="P418" s="1">
        <v>45246</v>
      </c>
      <c r="Q418" s="1">
        <v>0.44495370370370002</v>
      </c>
      <c r="R418" s="1">
        <v>0</v>
      </c>
      <c r="T418" s="1" t="s">
        <v>335</v>
      </c>
      <c r="U418" s="1" t="s">
        <v>24</v>
      </c>
      <c r="V418" s="1">
        <v>1</v>
      </c>
      <c r="W418" s="1" t="s">
        <v>289</v>
      </c>
      <c r="X418" s="1" t="s">
        <v>141</v>
      </c>
      <c r="Y418" s="1" t="s">
        <v>32</v>
      </c>
      <c r="Z418" s="1" t="s">
        <v>32</v>
      </c>
    </row>
    <row r="419" spans="1:26" x14ac:dyDescent="0.35">
      <c r="A419" s="1">
        <v>4004355</v>
      </c>
      <c r="B419" s="1" t="s">
        <v>31</v>
      </c>
      <c r="C419" s="1">
        <v>3300</v>
      </c>
      <c r="D419" s="1" t="s">
        <v>30</v>
      </c>
      <c r="E419" s="1">
        <v>301</v>
      </c>
      <c r="F419" s="1">
        <v>0</v>
      </c>
      <c r="G419" s="1">
        <v>100</v>
      </c>
      <c r="H419" s="1" t="s">
        <v>29</v>
      </c>
      <c r="I419" s="1" t="s">
        <v>247</v>
      </c>
      <c r="J419" s="1">
        <v>200</v>
      </c>
      <c r="M419" s="1" t="s">
        <v>28</v>
      </c>
      <c r="N419" s="1">
        <v>0</v>
      </c>
      <c r="O419" s="1" t="s">
        <v>27</v>
      </c>
      <c r="P419" s="1">
        <v>45468</v>
      </c>
      <c r="Q419" s="1">
        <v>0.48128472222222002</v>
      </c>
      <c r="R419" s="1" t="s">
        <v>712</v>
      </c>
      <c r="S419" s="1" t="s">
        <v>711</v>
      </c>
      <c r="T419" s="1" t="s">
        <v>335</v>
      </c>
      <c r="U419" s="1" t="s">
        <v>24</v>
      </c>
      <c r="V419" s="1">
        <v>1</v>
      </c>
      <c r="W419" s="1" t="s">
        <v>258</v>
      </c>
      <c r="X419" s="1" t="s">
        <v>141</v>
      </c>
      <c r="Y419" s="1" t="s">
        <v>32</v>
      </c>
      <c r="Z419" s="1" t="s">
        <v>32</v>
      </c>
    </row>
    <row r="420" spans="1:26" x14ac:dyDescent="0.35">
      <c r="A420" s="1">
        <v>4004359</v>
      </c>
      <c r="B420" s="1" t="s">
        <v>31</v>
      </c>
      <c r="C420" s="1">
        <v>3300</v>
      </c>
      <c r="D420" s="1" t="s">
        <v>30</v>
      </c>
      <c r="E420" s="1">
        <v>301</v>
      </c>
      <c r="F420" s="1">
        <v>0</v>
      </c>
      <c r="G420" s="1">
        <v>30</v>
      </c>
      <c r="H420" s="1" t="s">
        <v>29</v>
      </c>
      <c r="I420" s="1" t="s">
        <v>71</v>
      </c>
      <c r="J420" s="1">
        <v>48</v>
      </c>
      <c r="M420" s="1" t="s">
        <v>28</v>
      </c>
      <c r="N420" s="1">
        <v>5</v>
      </c>
      <c r="O420" s="1" t="s">
        <v>27</v>
      </c>
      <c r="P420" s="1">
        <v>45924</v>
      </c>
      <c r="Q420" s="1">
        <v>0.36952546296296002</v>
      </c>
      <c r="R420" s="1" t="s">
        <v>710</v>
      </c>
      <c r="S420" s="1" t="s">
        <v>709</v>
      </c>
      <c r="T420" s="1" t="s">
        <v>335</v>
      </c>
      <c r="U420" s="1" t="s">
        <v>24</v>
      </c>
      <c r="V420" s="1">
        <v>1</v>
      </c>
      <c r="W420" s="1" t="s">
        <v>258</v>
      </c>
      <c r="Y420" s="1" t="s">
        <v>32</v>
      </c>
      <c r="Z420" s="1" t="s">
        <v>23</v>
      </c>
    </row>
    <row r="421" spans="1:26" x14ac:dyDescent="0.35">
      <c r="A421" s="1">
        <v>4004360</v>
      </c>
      <c r="B421" s="1" t="s">
        <v>31</v>
      </c>
      <c r="C421" s="1">
        <v>3300</v>
      </c>
      <c r="D421" s="1" t="s">
        <v>30</v>
      </c>
      <c r="E421" s="1">
        <v>301</v>
      </c>
      <c r="F421" s="1">
        <v>0</v>
      </c>
      <c r="G421" s="1">
        <v>1500</v>
      </c>
      <c r="H421" s="1" t="s">
        <v>29</v>
      </c>
      <c r="I421" s="1" t="s">
        <v>71</v>
      </c>
      <c r="J421" s="1">
        <v>500</v>
      </c>
      <c r="M421" s="1" t="s">
        <v>28</v>
      </c>
      <c r="N421" s="1">
        <v>5</v>
      </c>
      <c r="O421" s="1" t="s">
        <v>132</v>
      </c>
      <c r="P421" s="1">
        <v>46036</v>
      </c>
      <c r="Q421" s="1">
        <v>0.42037037037037001</v>
      </c>
      <c r="R421" s="1">
        <v>0</v>
      </c>
      <c r="T421" s="1" t="s">
        <v>335</v>
      </c>
      <c r="U421" s="1" t="s">
        <v>24</v>
      </c>
      <c r="V421" s="1">
        <v>1</v>
      </c>
      <c r="W421" s="1" t="s">
        <v>289</v>
      </c>
      <c r="X421" s="1" t="s">
        <v>24</v>
      </c>
      <c r="Y421" s="1" t="s">
        <v>32</v>
      </c>
      <c r="Z421" s="1" t="s">
        <v>32</v>
      </c>
    </row>
    <row r="422" spans="1:26" x14ac:dyDescent="0.35">
      <c r="A422" s="1">
        <v>4004377</v>
      </c>
      <c r="B422" s="1" t="s">
        <v>31</v>
      </c>
      <c r="C422" s="1">
        <v>3300</v>
      </c>
      <c r="D422" s="1" t="s">
        <v>30</v>
      </c>
      <c r="E422" s="1">
        <v>301</v>
      </c>
      <c r="F422" s="1">
        <v>0</v>
      </c>
      <c r="G422" s="1">
        <v>50</v>
      </c>
      <c r="H422" s="1" t="s">
        <v>29</v>
      </c>
      <c r="I422" s="1" t="s">
        <v>71</v>
      </c>
      <c r="J422" s="1">
        <v>140</v>
      </c>
      <c r="M422" s="1" t="s">
        <v>28</v>
      </c>
      <c r="N422" s="1">
        <v>5</v>
      </c>
      <c r="O422" s="1" t="s">
        <v>27</v>
      </c>
      <c r="P422" s="1">
        <v>45924</v>
      </c>
      <c r="Q422" s="1">
        <v>0.37891203703704002</v>
      </c>
      <c r="R422" s="1" t="s">
        <v>708</v>
      </c>
      <c r="S422" s="1" t="s">
        <v>707</v>
      </c>
      <c r="T422" s="1" t="s">
        <v>335</v>
      </c>
      <c r="U422" s="1" t="s">
        <v>24</v>
      </c>
      <c r="V422" s="1">
        <v>1</v>
      </c>
      <c r="W422" s="1" t="s">
        <v>258</v>
      </c>
      <c r="X422" s="1" t="s">
        <v>141</v>
      </c>
      <c r="Y422" s="1" t="s">
        <v>32</v>
      </c>
      <c r="Z422" s="1" t="s">
        <v>32</v>
      </c>
    </row>
    <row r="423" spans="1:26" x14ac:dyDescent="0.35">
      <c r="A423" s="1">
        <v>4004385</v>
      </c>
      <c r="B423" s="1" t="s">
        <v>31</v>
      </c>
      <c r="C423" s="1">
        <v>3300</v>
      </c>
      <c r="D423" s="1" t="s">
        <v>30</v>
      </c>
      <c r="E423" s="1">
        <v>301</v>
      </c>
      <c r="F423" s="1">
        <v>0</v>
      </c>
      <c r="G423" s="1">
        <v>2000</v>
      </c>
      <c r="H423" s="1" t="s">
        <v>29</v>
      </c>
      <c r="I423" s="1" t="s">
        <v>71</v>
      </c>
      <c r="J423" s="1">
        <v>1200</v>
      </c>
      <c r="M423" s="1" t="s">
        <v>28</v>
      </c>
      <c r="N423" s="1">
        <v>0</v>
      </c>
      <c r="O423" s="1" t="s">
        <v>27</v>
      </c>
      <c r="P423" s="1">
        <v>46070</v>
      </c>
      <c r="Q423" s="1">
        <v>0.42061342592592998</v>
      </c>
      <c r="R423" s="1">
        <v>0</v>
      </c>
      <c r="U423" s="1" t="s">
        <v>24</v>
      </c>
      <c r="V423" s="1">
        <v>1</v>
      </c>
      <c r="W423" s="1" t="s">
        <v>271</v>
      </c>
      <c r="Y423" s="1" t="s">
        <v>32</v>
      </c>
      <c r="Z423" s="1" t="s">
        <v>23</v>
      </c>
    </row>
    <row r="424" spans="1:26" x14ac:dyDescent="0.35">
      <c r="A424" s="1">
        <v>4004397</v>
      </c>
      <c r="B424" s="1" t="s">
        <v>31</v>
      </c>
      <c r="C424" s="1">
        <v>3300</v>
      </c>
      <c r="D424" s="1" t="s">
        <v>30</v>
      </c>
      <c r="E424" s="1">
        <v>301</v>
      </c>
      <c r="F424" s="1">
        <v>0</v>
      </c>
      <c r="G424" s="1">
        <v>250</v>
      </c>
      <c r="H424" s="1" t="s">
        <v>29</v>
      </c>
      <c r="I424" s="1">
        <v>20</v>
      </c>
      <c r="J424" s="1">
        <v>220</v>
      </c>
      <c r="M424" s="1" t="s">
        <v>28</v>
      </c>
      <c r="N424" s="1">
        <v>5</v>
      </c>
      <c r="O424" s="1" t="s">
        <v>27</v>
      </c>
      <c r="P424" s="1">
        <v>45246</v>
      </c>
      <c r="Q424" s="1">
        <v>0.44767361111110998</v>
      </c>
      <c r="R424" s="1" t="s">
        <v>706</v>
      </c>
      <c r="S424" s="1" t="s">
        <v>705</v>
      </c>
      <c r="T424" s="1" t="s">
        <v>335</v>
      </c>
      <c r="U424" s="1" t="s">
        <v>24</v>
      </c>
      <c r="V424" s="1">
        <v>1</v>
      </c>
      <c r="W424" s="1" t="s">
        <v>258</v>
      </c>
      <c r="X424" s="1" t="s">
        <v>141</v>
      </c>
      <c r="Y424" s="1" t="s">
        <v>32</v>
      </c>
      <c r="Z424" s="1" t="s">
        <v>32</v>
      </c>
    </row>
    <row r="425" spans="1:26" x14ac:dyDescent="0.35">
      <c r="A425" s="1">
        <v>4004401</v>
      </c>
      <c r="B425" s="1" t="s">
        <v>31</v>
      </c>
      <c r="C425" s="1">
        <v>3300</v>
      </c>
      <c r="D425" s="1" t="s">
        <v>30</v>
      </c>
      <c r="E425" s="1">
        <v>301</v>
      </c>
      <c r="F425" s="1">
        <v>0</v>
      </c>
      <c r="G425" s="1">
        <v>72</v>
      </c>
      <c r="H425" s="1" t="s">
        <v>29</v>
      </c>
      <c r="I425" s="1" t="s">
        <v>247</v>
      </c>
      <c r="J425" s="1">
        <v>72</v>
      </c>
      <c r="M425" s="1" t="s">
        <v>28</v>
      </c>
      <c r="N425" s="1">
        <v>5</v>
      </c>
      <c r="O425" s="1" t="s">
        <v>166</v>
      </c>
      <c r="P425" s="1">
        <v>45013</v>
      </c>
      <c r="Q425" s="1">
        <v>0.59156249999999999</v>
      </c>
      <c r="R425" s="1">
        <v>0</v>
      </c>
      <c r="T425" s="1" t="s">
        <v>335</v>
      </c>
      <c r="U425" s="1" t="s">
        <v>24</v>
      </c>
      <c r="V425" s="1">
        <v>1</v>
      </c>
      <c r="W425" s="1" t="s">
        <v>271</v>
      </c>
      <c r="Y425" s="1" t="s">
        <v>32</v>
      </c>
      <c r="Z425" s="1" t="s">
        <v>23</v>
      </c>
    </row>
    <row r="426" spans="1:26" x14ac:dyDescent="0.35">
      <c r="A426" s="1">
        <v>4004408</v>
      </c>
      <c r="B426" s="1" t="s">
        <v>31</v>
      </c>
      <c r="C426" s="1">
        <v>3300</v>
      </c>
      <c r="D426" s="1" t="s">
        <v>30</v>
      </c>
      <c r="E426" s="1">
        <v>301</v>
      </c>
      <c r="F426" s="1">
        <v>0</v>
      </c>
      <c r="G426" s="1">
        <v>99</v>
      </c>
      <c r="H426" s="1" t="s">
        <v>29</v>
      </c>
      <c r="I426" s="1">
        <v>20</v>
      </c>
      <c r="J426" s="1">
        <v>96</v>
      </c>
      <c r="M426" s="1" t="s">
        <v>28</v>
      </c>
      <c r="N426" s="1">
        <v>5</v>
      </c>
      <c r="O426" s="1" t="s">
        <v>27</v>
      </c>
      <c r="P426" s="1">
        <v>45686</v>
      </c>
      <c r="Q426" s="1">
        <v>0.45119212962963001</v>
      </c>
      <c r="R426" s="1">
        <v>0</v>
      </c>
      <c r="T426" s="1" t="s">
        <v>335</v>
      </c>
      <c r="U426" s="1" t="s">
        <v>24</v>
      </c>
      <c r="V426" s="1">
        <v>1</v>
      </c>
      <c r="W426" s="1" t="s">
        <v>258</v>
      </c>
      <c r="X426" s="1" t="s">
        <v>24</v>
      </c>
      <c r="Y426" s="1" t="s">
        <v>32</v>
      </c>
      <c r="Z426" s="1" t="s">
        <v>32</v>
      </c>
    </row>
    <row r="427" spans="1:26" x14ac:dyDescent="0.35">
      <c r="A427" s="1">
        <v>4004410</v>
      </c>
      <c r="B427" s="1" t="s">
        <v>31</v>
      </c>
      <c r="C427" s="1">
        <v>3300</v>
      </c>
      <c r="D427" s="1" t="s">
        <v>30</v>
      </c>
      <c r="E427" s="1">
        <v>301</v>
      </c>
      <c r="F427" s="1">
        <v>0</v>
      </c>
      <c r="G427" s="1">
        <v>450</v>
      </c>
      <c r="H427" s="1" t="s">
        <v>29</v>
      </c>
      <c r="I427" s="1" t="s">
        <v>71</v>
      </c>
      <c r="J427" s="1">
        <v>200</v>
      </c>
      <c r="M427" s="1" t="s">
        <v>28</v>
      </c>
      <c r="N427" s="1">
        <v>0</v>
      </c>
      <c r="O427" s="1" t="s">
        <v>166</v>
      </c>
      <c r="P427" s="1">
        <v>45637</v>
      </c>
      <c r="Q427" s="1">
        <v>0.45239583333333</v>
      </c>
      <c r="R427" s="1">
        <v>0</v>
      </c>
      <c r="U427" s="1" t="s">
        <v>24</v>
      </c>
      <c r="V427" s="1">
        <v>1</v>
      </c>
      <c r="W427" s="1" t="s">
        <v>271</v>
      </c>
      <c r="X427" s="1" t="s">
        <v>24</v>
      </c>
      <c r="Y427" s="1" t="s">
        <v>32</v>
      </c>
      <c r="Z427" s="1" t="s">
        <v>32</v>
      </c>
    </row>
    <row r="428" spans="1:26" x14ac:dyDescent="0.35">
      <c r="A428" s="1">
        <v>4004428</v>
      </c>
      <c r="B428" s="1" t="s">
        <v>31</v>
      </c>
      <c r="C428" s="1">
        <v>3300</v>
      </c>
      <c r="D428" s="1" t="s">
        <v>41</v>
      </c>
      <c r="E428" s="1">
        <v>301</v>
      </c>
      <c r="F428" s="1">
        <v>0</v>
      </c>
      <c r="G428" s="1">
        <v>0</v>
      </c>
      <c r="J428" s="1">
        <v>0</v>
      </c>
      <c r="K428" s="1" t="s">
        <v>24</v>
      </c>
      <c r="M428" s="1" t="s">
        <v>28</v>
      </c>
      <c r="N428" s="1">
        <v>0</v>
      </c>
      <c r="O428" s="1" t="s">
        <v>373</v>
      </c>
      <c r="P428" s="1">
        <v>44476</v>
      </c>
      <c r="Q428" s="1">
        <v>0.53724537037037001</v>
      </c>
      <c r="R428" s="1" t="s">
        <v>704</v>
      </c>
      <c r="S428" s="1" t="s">
        <v>703</v>
      </c>
      <c r="W428" s="1" t="s">
        <v>258</v>
      </c>
      <c r="Y428" s="1" t="s">
        <v>32</v>
      </c>
      <c r="Z428" s="1" t="s">
        <v>23</v>
      </c>
    </row>
    <row r="429" spans="1:26" x14ac:dyDescent="0.35">
      <c r="A429" s="1">
        <v>4004437</v>
      </c>
      <c r="B429" s="1" t="s">
        <v>31</v>
      </c>
      <c r="C429" s="1">
        <v>3300</v>
      </c>
      <c r="D429" s="1" t="s">
        <v>30</v>
      </c>
      <c r="E429" s="1">
        <v>301</v>
      </c>
      <c r="F429" s="1">
        <v>0</v>
      </c>
      <c r="G429" s="1">
        <v>200</v>
      </c>
      <c r="H429" s="1" t="s">
        <v>29</v>
      </c>
      <c r="I429" s="1" t="s">
        <v>71</v>
      </c>
      <c r="J429" s="1">
        <v>100</v>
      </c>
      <c r="M429" s="1" t="s">
        <v>28</v>
      </c>
      <c r="N429" s="1">
        <v>0</v>
      </c>
      <c r="O429" s="1" t="s">
        <v>27</v>
      </c>
      <c r="P429" s="1">
        <v>45986</v>
      </c>
      <c r="Q429" s="1">
        <v>0.28083333333332999</v>
      </c>
      <c r="R429" s="1" t="s">
        <v>702</v>
      </c>
      <c r="S429" s="1" t="s">
        <v>701</v>
      </c>
      <c r="T429" s="1" t="s">
        <v>335</v>
      </c>
      <c r="U429" s="1" t="s">
        <v>24</v>
      </c>
      <c r="V429" s="1">
        <v>1</v>
      </c>
      <c r="W429" s="1" t="s">
        <v>289</v>
      </c>
      <c r="X429" s="1" t="s">
        <v>141</v>
      </c>
      <c r="Y429" s="1" t="s">
        <v>32</v>
      </c>
      <c r="Z429" s="1" t="s">
        <v>32</v>
      </c>
    </row>
    <row r="430" spans="1:26" x14ac:dyDescent="0.35">
      <c r="A430" s="1">
        <v>4004438</v>
      </c>
      <c r="B430" s="1" t="s">
        <v>31</v>
      </c>
      <c r="C430" s="1">
        <v>3300</v>
      </c>
      <c r="D430" s="1" t="s">
        <v>30</v>
      </c>
      <c r="E430" s="1">
        <v>301</v>
      </c>
      <c r="F430" s="1">
        <v>0</v>
      </c>
      <c r="G430" s="1">
        <v>250</v>
      </c>
      <c r="H430" s="1" t="s">
        <v>29</v>
      </c>
      <c r="I430" s="1" t="s">
        <v>71</v>
      </c>
      <c r="J430" s="1">
        <v>100</v>
      </c>
      <c r="M430" s="1" t="s">
        <v>28</v>
      </c>
      <c r="N430" s="1">
        <v>0</v>
      </c>
      <c r="O430" s="1" t="s">
        <v>27</v>
      </c>
      <c r="P430" s="1">
        <v>45974</v>
      </c>
      <c r="Q430" s="1">
        <v>0.41747685185185002</v>
      </c>
      <c r="R430" s="1">
        <v>0</v>
      </c>
      <c r="T430" s="1" t="s">
        <v>335</v>
      </c>
      <c r="U430" s="1" t="s">
        <v>24</v>
      </c>
      <c r="V430" s="1">
        <v>1</v>
      </c>
      <c r="W430" s="1" t="s">
        <v>271</v>
      </c>
      <c r="X430" s="1" t="s">
        <v>24</v>
      </c>
      <c r="Y430" s="1" t="s">
        <v>32</v>
      </c>
      <c r="Z430" s="1" t="s">
        <v>32</v>
      </c>
    </row>
    <row r="431" spans="1:26" x14ac:dyDescent="0.35">
      <c r="A431" s="1">
        <v>4004439</v>
      </c>
      <c r="B431" s="1" t="s">
        <v>31</v>
      </c>
      <c r="C431" s="1">
        <v>3300</v>
      </c>
      <c r="D431" s="1" t="s">
        <v>30</v>
      </c>
      <c r="E431" s="1">
        <v>301</v>
      </c>
      <c r="F431" s="1">
        <v>0</v>
      </c>
      <c r="G431" s="1">
        <v>100</v>
      </c>
      <c r="H431" s="1" t="s">
        <v>29</v>
      </c>
      <c r="I431" s="1" t="s">
        <v>71</v>
      </c>
      <c r="J431" s="1">
        <v>100</v>
      </c>
      <c r="M431" s="1" t="s">
        <v>28</v>
      </c>
      <c r="N431" s="1">
        <v>0</v>
      </c>
      <c r="O431" s="1" t="s">
        <v>27</v>
      </c>
      <c r="P431" s="1">
        <v>46045</v>
      </c>
      <c r="Q431" s="1">
        <v>0.30856481481481002</v>
      </c>
      <c r="R431" s="1" t="s">
        <v>700</v>
      </c>
      <c r="S431" s="1" t="s">
        <v>699</v>
      </c>
      <c r="T431" s="1" t="s">
        <v>335</v>
      </c>
      <c r="U431" s="1" t="s">
        <v>24</v>
      </c>
      <c r="V431" s="1">
        <v>1</v>
      </c>
      <c r="W431" s="1" t="s">
        <v>289</v>
      </c>
      <c r="X431" s="1" t="s">
        <v>24</v>
      </c>
      <c r="Y431" s="1" t="s">
        <v>32</v>
      </c>
      <c r="Z431" s="1" t="s">
        <v>32</v>
      </c>
    </row>
    <row r="432" spans="1:26" x14ac:dyDescent="0.35">
      <c r="A432" s="1">
        <v>4004440</v>
      </c>
      <c r="B432" s="1" t="s">
        <v>31</v>
      </c>
      <c r="C432" s="1">
        <v>3300</v>
      </c>
      <c r="D432" s="1" t="s">
        <v>30</v>
      </c>
      <c r="E432" s="1">
        <v>301</v>
      </c>
      <c r="F432" s="1">
        <v>0</v>
      </c>
      <c r="G432" s="1">
        <v>50</v>
      </c>
      <c r="H432" s="1" t="s">
        <v>29</v>
      </c>
      <c r="I432" s="1" t="s">
        <v>71</v>
      </c>
      <c r="J432" s="1">
        <v>100</v>
      </c>
      <c r="M432" s="1" t="s">
        <v>28</v>
      </c>
      <c r="N432" s="1">
        <v>0</v>
      </c>
      <c r="O432" s="1" t="s">
        <v>27</v>
      </c>
      <c r="P432" s="1">
        <v>45924</v>
      </c>
      <c r="Q432" s="1">
        <v>0.37422453703704001</v>
      </c>
      <c r="R432" s="1" t="s">
        <v>698</v>
      </c>
      <c r="S432" s="1" t="s">
        <v>697</v>
      </c>
      <c r="T432" s="1" t="s">
        <v>335</v>
      </c>
      <c r="U432" s="1" t="s">
        <v>24</v>
      </c>
      <c r="V432" s="1">
        <v>1</v>
      </c>
      <c r="W432" s="1" t="s">
        <v>258</v>
      </c>
      <c r="Y432" s="1" t="s">
        <v>32</v>
      </c>
      <c r="Z432" s="1" t="s">
        <v>23</v>
      </c>
    </row>
    <row r="433" spans="1:26" x14ac:dyDescent="0.35">
      <c r="A433" s="1">
        <v>4004441</v>
      </c>
      <c r="B433" s="1" t="s">
        <v>31</v>
      </c>
      <c r="C433" s="1">
        <v>3300</v>
      </c>
      <c r="D433" s="1" t="s">
        <v>30</v>
      </c>
      <c r="E433" s="1">
        <v>301</v>
      </c>
      <c r="F433" s="1">
        <v>0</v>
      </c>
      <c r="G433" s="1">
        <v>20</v>
      </c>
      <c r="H433" s="1" t="s">
        <v>29</v>
      </c>
      <c r="I433" s="1" t="s">
        <v>71</v>
      </c>
      <c r="J433" s="1">
        <v>10</v>
      </c>
      <c r="M433" s="1" t="s">
        <v>28</v>
      </c>
      <c r="N433" s="1">
        <v>0</v>
      </c>
      <c r="O433" s="1" t="s">
        <v>27</v>
      </c>
      <c r="P433" s="1">
        <v>45938</v>
      </c>
      <c r="Q433" s="1">
        <v>0.27710648148147998</v>
      </c>
      <c r="R433" s="1">
        <v>0</v>
      </c>
      <c r="T433" s="1" t="s">
        <v>335</v>
      </c>
      <c r="U433" s="1" t="s">
        <v>24</v>
      </c>
      <c r="V433" s="1">
        <v>1</v>
      </c>
      <c r="W433" s="1" t="s">
        <v>258</v>
      </c>
      <c r="X433" s="1" t="s">
        <v>141</v>
      </c>
      <c r="Y433" s="1" t="s">
        <v>32</v>
      </c>
      <c r="Z433" s="1" t="s">
        <v>32</v>
      </c>
    </row>
    <row r="434" spans="1:26" x14ac:dyDescent="0.35">
      <c r="A434" s="1">
        <v>4004447</v>
      </c>
      <c r="B434" s="1" t="s">
        <v>31</v>
      </c>
      <c r="C434" s="1">
        <v>3300</v>
      </c>
      <c r="D434" s="1" t="s">
        <v>30</v>
      </c>
      <c r="E434" s="1">
        <v>301</v>
      </c>
      <c r="F434" s="1">
        <v>0</v>
      </c>
      <c r="G434" s="1">
        <v>700</v>
      </c>
      <c r="H434" s="1" t="s">
        <v>29</v>
      </c>
      <c r="I434" s="1">
        <v>20</v>
      </c>
      <c r="J434" s="1">
        <v>400</v>
      </c>
      <c r="M434" s="1" t="s">
        <v>28</v>
      </c>
      <c r="N434" s="1">
        <v>5</v>
      </c>
      <c r="O434" s="1" t="s">
        <v>27</v>
      </c>
      <c r="P434" s="1">
        <v>45593</v>
      </c>
      <c r="Q434" s="1">
        <v>0.29795138888889</v>
      </c>
      <c r="R434" s="1" t="s">
        <v>696</v>
      </c>
      <c r="S434" s="1" t="s">
        <v>695</v>
      </c>
      <c r="U434" s="1" t="s">
        <v>24</v>
      </c>
      <c r="V434" s="1">
        <v>1</v>
      </c>
      <c r="W434" s="1" t="s">
        <v>258</v>
      </c>
      <c r="Y434" s="1" t="s">
        <v>32</v>
      </c>
      <c r="Z434" s="1" t="s">
        <v>23</v>
      </c>
    </row>
    <row r="435" spans="1:26" x14ac:dyDescent="0.35">
      <c r="A435" s="1">
        <v>4004450</v>
      </c>
      <c r="B435" s="1" t="s">
        <v>31</v>
      </c>
      <c r="C435" s="1">
        <v>3300</v>
      </c>
      <c r="D435" s="1" t="s">
        <v>30</v>
      </c>
      <c r="E435" s="1">
        <v>301</v>
      </c>
      <c r="F435" s="1">
        <v>0</v>
      </c>
      <c r="G435" s="1">
        <v>300</v>
      </c>
      <c r="H435" s="1" t="s">
        <v>29</v>
      </c>
      <c r="I435" s="1">
        <v>20</v>
      </c>
      <c r="J435" s="1">
        <v>240</v>
      </c>
      <c r="M435" s="1" t="s">
        <v>28</v>
      </c>
      <c r="N435" s="1">
        <v>5</v>
      </c>
      <c r="O435" s="1" t="s">
        <v>27</v>
      </c>
      <c r="P435" s="1">
        <v>44944</v>
      </c>
      <c r="Q435" s="1">
        <v>0.60291666666666999</v>
      </c>
      <c r="R435" s="1">
        <v>0</v>
      </c>
      <c r="T435" s="1" t="s">
        <v>335</v>
      </c>
      <c r="U435" s="1" t="s">
        <v>24</v>
      </c>
      <c r="V435" s="1">
        <v>1</v>
      </c>
      <c r="W435" s="1" t="s">
        <v>258</v>
      </c>
      <c r="Y435" s="1" t="s">
        <v>32</v>
      </c>
      <c r="Z435" s="1" t="s">
        <v>23</v>
      </c>
    </row>
    <row r="436" spans="1:26" x14ac:dyDescent="0.35">
      <c r="A436" s="1">
        <v>4004451</v>
      </c>
      <c r="B436" s="1" t="s">
        <v>31</v>
      </c>
      <c r="C436" s="1">
        <v>3300</v>
      </c>
      <c r="D436" s="1" t="s">
        <v>30</v>
      </c>
      <c r="E436" s="1">
        <v>301</v>
      </c>
      <c r="F436" s="1">
        <v>0</v>
      </c>
      <c r="G436" s="1">
        <v>40</v>
      </c>
      <c r="H436" s="1" t="s">
        <v>29</v>
      </c>
      <c r="I436" s="1">
        <v>20</v>
      </c>
      <c r="J436" s="1">
        <v>40</v>
      </c>
      <c r="M436" s="1" t="s">
        <v>28</v>
      </c>
      <c r="N436" s="1">
        <v>5</v>
      </c>
      <c r="O436" s="1" t="s">
        <v>27</v>
      </c>
      <c r="P436" s="1">
        <v>46028</v>
      </c>
      <c r="Q436" s="1">
        <v>0.45917824074073998</v>
      </c>
      <c r="R436" s="1">
        <v>0</v>
      </c>
      <c r="T436" s="1" t="s">
        <v>335</v>
      </c>
      <c r="U436" s="1" t="s">
        <v>24</v>
      </c>
      <c r="V436" s="1">
        <v>1</v>
      </c>
      <c r="W436" s="1" t="s">
        <v>258</v>
      </c>
      <c r="Y436" s="1" t="s">
        <v>32</v>
      </c>
      <c r="Z436" s="1" t="s">
        <v>23</v>
      </c>
    </row>
    <row r="437" spans="1:26" x14ac:dyDescent="0.35">
      <c r="A437" s="1">
        <v>4004453</v>
      </c>
      <c r="B437" s="1" t="s">
        <v>31</v>
      </c>
      <c r="C437" s="1">
        <v>3300</v>
      </c>
      <c r="D437" s="1" t="s">
        <v>30</v>
      </c>
      <c r="E437" s="1">
        <v>301</v>
      </c>
      <c r="F437" s="1">
        <v>0</v>
      </c>
      <c r="G437" s="1">
        <v>700</v>
      </c>
      <c r="H437" s="1" t="s">
        <v>29</v>
      </c>
      <c r="I437" s="1">
        <v>20</v>
      </c>
      <c r="J437" s="1">
        <v>300</v>
      </c>
      <c r="M437" s="1" t="s">
        <v>28</v>
      </c>
      <c r="N437" s="1">
        <v>5</v>
      </c>
      <c r="O437" s="1" t="s">
        <v>277</v>
      </c>
      <c r="P437" s="1">
        <v>44893</v>
      </c>
      <c r="Q437" s="1">
        <v>0.55164351851852</v>
      </c>
      <c r="R437" s="1">
        <v>0</v>
      </c>
      <c r="T437" s="1" t="s">
        <v>335</v>
      </c>
      <c r="U437" s="1" t="s">
        <v>24</v>
      </c>
      <c r="V437" s="1">
        <v>1</v>
      </c>
      <c r="W437" s="1" t="s">
        <v>258</v>
      </c>
      <c r="Y437" s="1" t="s">
        <v>32</v>
      </c>
      <c r="Z437" s="1" t="s">
        <v>23</v>
      </c>
    </row>
    <row r="438" spans="1:26" x14ac:dyDescent="0.35">
      <c r="A438" s="1">
        <v>4004670</v>
      </c>
      <c r="B438" s="1" t="s">
        <v>31</v>
      </c>
      <c r="C438" s="1">
        <v>3300</v>
      </c>
      <c r="D438" s="1" t="s">
        <v>41</v>
      </c>
      <c r="E438" s="1">
        <v>301</v>
      </c>
      <c r="F438" s="1">
        <v>0</v>
      </c>
      <c r="G438" s="1">
        <v>0</v>
      </c>
      <c r="J438" s="1">
        <v>0</v>
      </c>
      <c r="K438" s="1" t="s">
        <v>24</v>
      </c>
      <c r="M438" s="1" t="s">
        <v>28</v>
      </c>
      <c r="N438" s="1">
        <v>0</v>
      </c>
      <c r="O438" s="1" t="s">
        <v>373</v>
      </c>
      <c r="P438" s="1">
        <v>44476</v>
      </c>
      <c r="Q438" s="1">
        <v>0.53840277777778001</v>
      </c>
      <c r="R438" s="1" t="s">
        <v>694</v>
      </c>
      <c r="S438" s="1" t="s">
        <v>693</v>
      </c>
      <c r="W438" s="1" t="s">
        <v>258</v>
      </c>
      <c r="Y438" s="1" t="s">
        <v>32</v>
      </c>
      <c r="Z438" s="1" t="s">
        <v>23</v>
      </c>
    </row>
    <row r="439" spans="1:26" x14ac:dyDescent="0.35">
      <c r="A439" s="1">
        <v>4004674</v>
      </c>
      <c r="B439" s="1" t="s">
        <v>31</v>
      </c>
      <c r="C439" s="1">
        <v>3300</v>
      </c>
      <c r="D439" s="1" t="s">
        <v>30</v>
      </c>
      <c r="E439" s="1">
        <v>301</v>
      </c>
      <c r="F439" s="1">
        <v>0</v>
      </c>
      <c r="G439" s="1">
        <v>160</v>
      </c>
      <c r="H439" s="1" t="s">
        <v>29</v>
      </c>
      <c r="I439" s="1">
        <v>20</v>
      </c>
      <c r="J439" s="1">
        <v>240</v>
      </c>
      <c r="M439" s="1" t="s">
        <v>28</v>
      </c>
      <c r="N439" s="1">
        <v>5</v>
      </c>
      <c r="O439" s="1" t="s">
        <v>199</v>
      </c>
      <c r="P439" s="1">
        <v>46037</v>
      </c>
      <c r="Q439" s="1">
        <v>0.43496527777777999</v>
      </c>
      <c r="R439" s="1">
        <v>0</v>
      </c>
      <c r="T439" s="1" t="s">
        <v>335</v>
      </c>
      <c r="U439" s="1" t="s">
        <v>24</v>
      </c>
      <c r="V439" s="1">
        <v>1</v>
      </c>
      <c r="W439" s="1" t="s">
        <v>258</v>
      </c>
      <c r="X439" s="1" t="s">
        <v>141</v>
      </c>
      <c r="Y439" s="1" t="s">
        <v>32</v>
      </c>
      <c r="Z439" s="1" t="s">
        <v>32</v>
      </c>
    </row>
    <row r="440" spans="1:26" x14ac:dyDescent="0.35">
      <c r="A440" s="1">
        <v>4004679</v>
      </c>
      <c r="B440" s="1" t="s">
        <v>31</v>
      </c>
      <c r="C440" s="1">
        <v>3300</v>
      </c>
      <c r="D440" s="1" t="s">
        <v>30</v>
      </c>
      <c r="E440" s="1">
        <v>301</v>
      </c>
      <c r="F440" s="1">
        <v>0</v>
      </c>
      <c r="G440" s="1">
        <v>20</v>
      </c>
      <c r="H440" s="1" t="s">
        <v>29</v>
      </c>
      <c r="I440" s="1" t="s">
        <v>71</v>
      </c>
      <c r="J440" s="1">
        <v>100</v>
      </c>
      <c r="M440" s="1" t="s">
        <v>28</v>
      </c>
      <c r="N440" s="1">
        <v>0</v>
      </c>
      <c r="O440" s="1" t="s">
        <v>27</v>
      </c>
      <c r="P440" s="1">
        <v>45924</v>
      </c>
      <c r="Q440" s="1">
        <v>0.38901620370369999</v>
      </c>
      <c r="R440" s="1" t="s">
        <v>692</v>
      </c>
      <c r="S440" s="1" t="s">
        <v>691</v>
      </c>
      <c r="U440" s="1" t="s">
        <v>24</v>
      </c>
      <c r="V440" s="1">
        <v>1</v>
      </c>
      <c r="W440" s="1" t="s">
        <v>258</v>
      </c>
      <c r="X440" s="1" t="s">
        <v>24</v>
      </c>
      <c r="Y440" s="1" t="s">
        <v>32</v>
      </c>
      <c r="Z440" s="1" t="s">
        <v>32</v>
      </c>
    </row>
    <row r="441" spans="1:26" x14ac:dyDescent="0.35">
      <c r="A441" s="1">
        <v>4004700</v>
      </c>
      <c r="B441" s="1" t="s">
        <v>31</v>
      </c>
      <c r="C441" s="1">
        <v>3300</v>
      </c>
      <c r="D441" s="1" t="s">
        <v>30</v>
      </c>
      <c r="E441" s="1">
        <v>301</v>
      </c>
      <c r="F441" s="1">
        <v>0</v>
      </c>
      <c r="G441" s="1">
        <v>200</v>
      </c>
      <c r="H441" s="1" t="s">
        <v>29</v>
      </c>
      <c r="I441" s="1" t="s">
        <v>71</v>
      </c>
      <c r="J441" s="1">
        <v>200</v>
      </c>
      <c r="M441" s="1" t="s">
        <v>28</v>
      </c>
      <c r="N441" s="1">
        <v>0</v>
      </c>
      <c r="O441" s="1" t="s">
        <v>27</v>
      </c>
      <c r="P441" s="1">
        <v>46079</v>
      </c>
      <c r="Q441" s="1">
        <v>0.37336805555556002</v>
      </c>
      <c r="R441" s="1" t="s">
        <v>690</v>
      </c>
      <c r="S441" s="1" t="s">
        <v>689</v>
      </c>
      <c r="U441" s="1" t="s">
        <v>24</v>
      </c>
      <c r="V441" s="1">
        <v>1</v>
      </c>
      <c r="X441" s="1" t="s">
        <v>24</v>
      </c>
      <c r="Y441" s="1" t="s">
        <v>23</v>
      </c>
      <c r="Z441" s="1" t="s">
        <v>32</v>
      </c>
    </row>
    <row r="442" spans="1:26" x14ac:dyDescent="0.35">
      <c r="A442" s="1">
        <v>4004809</v>
      </c>
      <c r="B442" s="1" t="s">
        <v>31</v>
      </c>
      <c r="C442" s="1">
        <v>3300</v>
      </c>
      <c r="D442" s="1" t="s">
        <v>30</v>
      </c>
      <c r="E442" s="1">
        <v>301</v>
      </c>
      <c r="F442" s="1">
        <v>0</v>
      </c>
      <c r="G442" s="1">
        <v>150</v>
      </c>
      <c r="H442" s="1" t="s">
        <v>29</v>
      </c>
      <c r="I442" s="1" t="s">
        <v>71</v>
      </c>
      <c r="J442" s="1">
        <v>360</v>
      </c>
      <c r="M442" s="1" t="s">
        <v>28</v>
      </c>
      <c r="N442" s="1">
        <v>0</v>
      </c>
      <c r="O442" s="1" t="s">
        <v>27</v>
      </c>
      <c r="P442" s="1">
        <v>45924</v>
      </c>
      <c r="Q442" s="1">
        <v>0.52197916666666999</v>
      </c>
      <c r="R442" s="1">
        <v>0</v>
      </c>
      <c r="T442" s="1" t="s">
        <v>335</v>
      </c>
      <c r="U442" s="1" t="s">
        <v>24</v>
      </c>
      <c r="V442" s="1">
        <v>1</v>
      </c>
      <c r="W442" s="1" t="s">
        <v>271</v>
      </c>
      <c r="Y442" s="1" t="s">
        <v>32</v>
      </c>
      <c r="Z442" s="1" t="s">
        <v>23</v>
      </c>
    </row>
    <row r="443" spans="1:26" x14ac:dyDescent="0.35">
      <c r="A443" s="1">
        <v>4004810</v>
      </c>
      <c r="B443" s="1" t="s">
        <v>31</v>
      </c>
      <c r="C443" s="1">
        <v>3300</v>
      </c>
      <c r="D443" s="1" t="s">
        <v>41</v>
      </c>
      <c r="E443" s="1">
        <v>301</v>
      </c>
      <c r="F443" s="1">
        <v>0</v>
      </c>
      <c r="G443" s="1">
        <v>120</v>
      </c>
      <c r="H443" s="1" t="s">
        <v>29</v>
      </c>
      <c r="I443" s="1">
        <v>20</v>
      </c>
      <c r="J443" s="1">
        <v>60</v>
      </c>
      <c r="M443" s="1" t="s">
        <v>28</v>
      </c>
      <c r="N443" s="1">
        <v>5</v>
      </c>
      <c r="O443" s="1" t="s">
        <v>277</v>
      </c>
      <c r="P443" s="1">
        <v>45027</v>
      </c>
      <c r="Q443" s="1">
        <v>0.32805555555555999</v>
      </c>
      <c r="R443" s="1">
        <v>0</v>
      </c>
      <c r="T443" s="1" t="s">
        <v>335</v>
      </c>
      <c r="U443" s="1" t="s">
        <v>24</v>
      </c>
      <c r="V443" s="1">
        <v>1</v>
      </c>
      <c r="W443" s="1" t="s">
        <v>258</v>
      </c>
      <c r="Y443" s="1" t="s">
        <v>32</v>
      </c>
      <c r="Z443" s="1" t="s">
        <v>23</v>
      </c>
    </row>
    <row r="444" spans="1:26" x14ac:dyDescent="0.35">
      <c r="A444" s="1">
        <v>4004825</v>
      </c>
      <c r="B444" s="1" t="s">
        <v>31</v>
      </c>
      <c r="C444" s="1">
        <v>3300</v>
      </c>
      <c r="D444" s="1" t="s">
        <v>30</v>
      </c>
      <c r="E444" s="1">
        <v>301</v>
      </c>
      <c r="F444" s="1">
        <v>0</v>
      </c>
      <c r="G444" s="1">
        <v>2000</v>
      </c>
      <c r="H444" s="1" t="s">
        <v>29</v>
      </c>
      <c r="I444" s="1" t="s">
        <v>71</v>
      </c>
      <c r="J444" s="1">
        <v>600</v>
      </c>
      <c r="M444" s="1" t="s">
        <v>28</v>
      </c>
      <c r="N444" s="1">
        <v>5</v>
      </c>
      <c r="O444" s="1" t="s">
        <v>132</v>
      </c>
      <c r="P444" s="1">
        <v>46036</v>
      </c>
      <c r="Q444" s="1">
        <v>0.42037037037037001</v>
      </c>
      <c r="R444" s="1" t="s">
        <v>688</v>
      </c>
      <c r="S444" s="1" t="s">
        <v>687</v>
      </c>
      <c r="T444" s="1" t="s">
        <v>335</v>
      </c>
      <c r="U444" s="1" t="s">
        <v>24</v>
      </c>
      <c r="V444" s="1">
        <v>1</v>
      </c>
      <c r="W444" s="1" t="s">
        <v>271</v>
      </c>
      <c r="Y444" s="1" t="s">
        <v>32</v>
      </c>
      <c r="Z444" s="1" t="s">
        <v>23</v>
      </c>
    </row>
    <row r="445" spans="1:26" x14ac:dyDescent="0.35">
      <c r="A445" s="1">
        <v>4004843</v>
      </c>
      <c r="B445" s="1" t="s">
        <v>31</v>
      </c>
      <c r="C445" s="1">
        <v>3300</v>
      </c>
      <c r="D445" s="1" t="s">
        <v>30</v>
      </c>
      <c r="E445" s="1">
        <v>301</v>
      </c>
      <c r="F445" s="1">
        <v>0</v>
      </c>
      <c r="G445" s="1">
        <v>101</v>
      </c>
      <c r="H445" s="1" t="s">
        <v>29</v>
      </c>
      <c r="I445" s="1">
        <v>20</v>
      </c>
      <c r="J445" s="1">
        <v>100</v>
      </c>
      <c r="M445" s="1" t="s">
        <v>28</v>
      </c>
      <c r="N445" s="1">
        <v>5</v>
      </c>
      <c r="O445" s="1" t="s">
        <v>27</v>
      </c>
      <c r="P445" s="1">
        <v>45230</v>
      </c>
      <c r="Q445" s="1">
        <v>0.36487268518519</v>
      </c>
      <c r="R445" s="1" t="s">
        <v>686</v>
      </c>
      <c r="S445" s="1" t="s">
        <v>685</v>
      </c>
      <c r="T445" s="1" t="s">
        <v>335</v>
      </c>
      <c r="U445" s="1" t="s">
        <v>24</v>
      </c>
      <c r="V445" s="1">
        <v>1</v>
      </c>
      <c r="W445" s="1" t="s">
        <v>258</v>
      </c>
      <c r="Y445" s="1" t="s">
        <v>32</v>
      </c>
      <c r="Z445" s="1" t="s">
        <v>23</v>
      </c>
    </row>
    <row r="446" spans="1:26" x14ac:dyDescent="0.35">
      <c r="A446" s="1">
        <v>4004889</v>
      </c>
      <c r="B446" s="1" t="s">
        <v>31</v>
      </c>
      <c r="C446" s="1">
        <v>3300</v>
      </c>
      <c r="D446" s="1" t="s">
        <v>30</v>
      </c>
      <c r="E446" s="1">
        <v>301</v>
      </c>
      <c r="F446" s="1">
        <v>0</v>
      </c>
      <c r="G446" s="1">
        <v>60</v>
      </c>
      <c r="H446" s="1" t="s">
        <v>29</v>
      </c>
      <c r="I446" s="1" t="s">
        <v>71</v>
      </c>
      <c r="J446" s="1">
        <v>100</v>
      </c>
      <c r="M446" s="1" t="s">
        <v>28</v>
      </c>
      <c r="N446" s="1">
        <v>0</v>
      </c>
      <c r="O446" s="1" t="s">
        <v>199</v>
      </c>
      <c r="P446" s="1">
        <v>46014</v>
      </c>
      <c r="Q446" s="1">
        <v>0.51648148148147999</v>
      </c>
      <c r="R446" s="1" t="s">
        <v>684</v>
      </c>
      <c r="S446" s="1" t="s">
        <v>683</v>
      </c>
      <c r="U446" s="1" t="s">
        <v>24</v>
      </c>
      <c r="V446" s="1">
        <v>1</v>
      </c>
      <c r="W446" s="1" t="s">
        <v>258</v>
      </c>
      <c r="Y446" s="1" t="s">
        <v>32</v>
      </c>
      <c r="Z446" s="1" t="s">
        <v>23</v>
      </c>
    </row>
    <row r="447" spans="1:26" x14ac:dyDescent="0.35">
      <c r="A447" s="1">
        <v>4004891</v>
      </c>
      <c r="B447" s="1" t="s">
        <v>31</v>
      </c>
      <c r="C447" s="1">
        <v>3300</v>
      </c>
      <c r="D447" s="1" t="s">
        <v>30</v>
      </c>
      <c r="E447" s="1">
        <v>301</v>
      </c>
      <c r="F447" s="1">
        <v>0</v>
      </c>
      <c r="G447" s="1">
        <v>80</v>
      </c>
      <c r="H447" s="1" t="s">
        <v>29</v>
      </c>
      <c r="I447" s="1" t="s">
        <v>71</v>
      </c>
      <c r="J447" s="1">
        <v>80</v>
      </c>
      <c r="M447" s="1" t="s">
        <v>28</v>
      </c>
      <c r="N447" s="1">
        <v>0</v>
      </c>
      <c r="O447" s="1" t="s">
        <v>27</v>
      </c>
      <c r="P447" s="1">
        <v>45924</v>
      </c>
      <c r="Q447" s="1">
        <v>0.37686342592592997</v>
      </c>
      <c r="R447" s="1" t="s">
        <v>682</v>
      </c>
      <c r="S447" s="1" t="s">
        <v>681</v>
      </c>
      <c r="U447" s="1" t="s">
        <v>24</v>
      </c>
      <c r="V447" s="1">
        <v>1</v>
      </c>
      <c r="W447" s="1" t="s">
        <v>258</v>
      </c>
      <c r="Y447" s="1" t="s">
        <v>32</v>
      </c>
      <c r="Z447" s="1" t="s">
        <v>23</v>
      </c>
    </row>
    <row r="448" spans="1:26" x14ac:dyDescent="0.35">
      <c r="A448" s="1">
        <v>4004920</v>
      </c>
      <c r="B448" s="1" t="s">
        <v>31</v>
      </c>
      <c r="C448" s="1">
        <v>3300</v>
      </c>
      <c r="D448" s="1" t="s">
        <v>30</v>
      </c>
      <c r="E448" s="1">
        <v>301</v>
      </c>
      <c r="F448" s="1">
        <v>0</v>
      </c>
      <c r="G448" s="1">
        <v>100</v>
      </c>
      <c r="H448" s="1" t="s">
        <v>29</v>
      </c>
      <c r="I448" s="1" t="s">
        <v>71</v>
      </c>
      <c r="J448" s="1">
        <v>100</v>
      </c>
      <c r="M448" s="1" t="s">
        <v>28</v>
      </c>
      <c r="N448" s="1">
        <v>0</v>
      </c>
      <c r="O448" s="1" t="s">
        <v>199</v>
      </c>
      <c r="P448" s="1">
        <v>46030</v>
      </c>
      <c r="Q448" s="1">
        <v>0.51803240740740997</v>
      </c>
      <c r="R448" s="1" t="s">
        <v>680</v>
      </c>
      <c r="S448" s="1" t="s">
        <v>679</v>
      </c>
      <c r="U448" s="1" t="s">
        <v>24</v>
      </c>
      <c r="V448" s="1">
        <v>1</v>
      </c>
      <c r="X448" s="1" t="s">
        <v>141</v>
      </c>
      <c r="Y448" s="1" t="s">
        <v>23</v>
      </c>
      <c r="Z448" s="1" t="s">
        <v>32</v>
      </c>
    </row>
    <row r="449" spans="1:26" x14ac:dyDescent="0.35">
      <c r="A449" s="1">
        <v>4004963</v>
      </c>
      <c r="B449" s="1" t="s">
        <v>31</v>
      </c>
      <c r="C449" s="1">
        <v>3300</v>
      </c>
      <c r="D449" s="1" t="s">
        <v>30</v>
      </c>
      <c r="E449" s="1">
        <v>301</v>
      </c>
      <c r="F449" s="1">
        <v>0</v>
      </c>
      <c r="G449" s="1">
        <v>80</v>
      </c>
      <c r="H449" s="1" t="s">
        <v>29</v>
      </c>
      <c r="I449" s="1" t="s">
        <v>71</v>
      </c>
      <c r="J449" s="1">
        <v>36</v>
      </c>
      <c r="M449" s="1" t="s">
        <v>28</v>
      </c>
      <c r="N449" s="1">
        <v>0</v>
      </c>
      <c r="O449" s="1" t="s">
        <v>132</v>
      </c>
      <c r="P449" s="1">
        <v>46036</v>
      </c>
      <c r="Q449" s="1">
        <v>0.42038194444443999</v>
      </c>
      <c r="R449" s="1" t="s">
        <v>678</v>
      </c>
      <c r="S449" s="1" t="s">
        <v>677</v>
      </c>
      <c r="U449" s="1" t="s">
        <v>24</v>
      </c>
      <c r="V449" s="1">
        <v>1</v>
      </c>
      <c r="Y449" s="1" t="s">
        <v>23</v>
      </c>
      <c r="Z449" s="1" t="s">
        <v>23</v>
      </c>
    </row>
    <row r="450" spans="1:26" x14ac:dyDescent="0.35">
      <c r="A450" s="1">
        <v>4004967</v>
      </c>
      <c r="B450" s="1" t="s">
        <v>31</v>
      </c>
      <c r="C450" s="1">
        <v>3300</v>
      </c>
      <c r="D450" s="1" t="s">
        <v>41</v>
      </c>
      <c r="E450" s="1">
        <v>301</v>
      </c>
      <c r="F450" s="1">
        <v>0</v>
      </c>
      <c r="G450" s="1">
        <v>0</v>
      </c>
      <c r="J450" s="1">
        <v>0</v>
      </c>
      <c r="K450" s="1" t="s">
        <v>24</v>
      </c>
      <c r="M450" s="1" t="s">
        <v>28</v>
      </c>
      <c r="N450" s="1">
        <v>0</v>
      </c>
      <c r="O450" s="1" t="s">
        <v>373</v>
      </c>
      <c r="P450" s="1">
        <v>44510</v>
      </c>
      <c r="Q450" s="1">
        <v>0.68991898148148001</v>
      </c>
      <c r="R450" s="1" t="s">
        <v>676</v>
      </c>
      <c r="S450" s="1" t="s">
        <v>675</v>
      </c>
      <c r="W450" s="1" t="s">
        <v>258</v>
      </c>
      <c r="Y450" s="1" t="s">
        <v>32</v>
      </c>
      <c r="Z450" s="1" t="s">
        <v>23</v>
      </c>
    </row>
    <row r="451" spans="1:26" x14ac:dyDescent="0.35">
      <c r="A451" s="1">
        <v>4004969</v>
      </c>
      <c r="B451" s="1" t="s">
        <v>31</v>
      </c>
      <c r="C451" s="1">
        <v>3300</v>
      </c>
      <c r="D451" s="1" t="s">
        <v>41</v>
      </c>
      <c r="E451" s="1">
        <v>301</v>
      </c>
      <c r="F451" s="1">
        <v>0</v>
      </c>
      <c r="G451" s="1">
        <v>100</v>
      </c>
      <c r="H451" s="1" t="s">
        <v>29</v>
      </c>
      <c r="I451" s="1">
        <v>20</v>
      </c>
      <c r="J451" s="1">
        <v>100</v>
      </c>
      <c r="M451" s="1" t="s">
        <v>28</v>
      </c>
      <c r="N451" s="1">
        <v>5</v>
      </c>
      <c r="O451" s="1" t="s">
        <v>277</v>
      </c>
      <c r="P451" s="1">
        <v>44995</v>
      </c>
      <c r="Q451" s="1">
        <v>0.44166666666666998</v>
      </c>
      <c r="R451" s="1" t="s">
        <v>674</v>
      </c>
      <c r="S451" s="1" t="s">
        <v>673</v>
      </c>
      <c r="T451" s="1" t="s">
        <v>335</v>
      </c>
      <c r="U451" s="1" t="s">
        <v>24</v>
      </c>
      <c r="V451" s="1">
        <v>1</v>
      </c>
      <c r="W451" s="1" t="s">
        <v>258</v>
      </c>
      <c r="Y451" s="1" t="s">
        <v>32</v>
      </c>
      <c r="Z451" s="1" t="s">
        <v>23</v>
      </c>
    </row>
    <row r="452" spans="1:26" x14ac:dyDescent="0.35">
      <c r="A452" s="1">
        <v>4004972</v>
      </c>
      <c r="B452" s="1" t="s">
        <v>31</v>
      </c>
      <c r="C452" s="1">
        <v>3300</v>
      </c>
      <c r="D452" s="1" t="s">
        <v>30</v>
      </c>
      <c r="E452" s="1">
        <v>301</v>
      </c>
      <c r="F452" s="1">
        <v>0</v>
      </c>
      <c r="G452" s="1">
        <v>100</v>
      </c>
      <c r="H452" s="1" t="s">
        <v>29</v>
      </c>
      <c r="I452" s="1" t="s">
        <v>71</v>
      </c>
      <c r="J452" s="1">
        <v>100</v>
      </c>
      <c r="M452" s="1" t="s">
        <v>28</v>
      </c>
      <c r="N452" s="1">
        <v>0</v>
      </c>
      <c r="O452" s="1" t="s">
        <v>27</v>
      </c>
      <c r="P452" s="1">
        <v>45924</v>
      </c>
      <c r="Q452" s="1">
        <v>0.36315972222221998</v>
      </c>
      <c r="R452" s="1">
        <v>0</v>
      </c>
      <c r="T452" s="1" t="s">
        <v>335</v>
      </c>
      <c r="U452" s="1" t="s">
        <v>24</v>
      </c>
      <c r="V452" s="1">
        <v>1</v>
      </c>
      <c r="W452" s="1" t="s">
        <v>271</v>
      </c>
      <c r="X452" s="1" t="s">
        <v>24</v>
      </c>
      <c r="Y452" s="1" t="s">
        <v>32</v>
      </c>
      <c r="Z452" s="1" t="s">
        <v>32</v>
      </c>
    </row>
    <row r="453" spans="1:26" x14ac:dyDescent="0.35">
      <c r="A453" s="1">
        <v>4004973</v>
      </c>
      <c r="B453" s="1" t="s">
        <v>31</v>
      </c>
      <c r="C453" s="1">
        <v>3300</v>
      </c>
      <c r="D453" s="1" t="s">
        <v>30</v>
      </c>
      <c r="E453" s="1">
        <v>301</v>
      </c>
      <c r="F453" s="1">
        <v>0</v>
      </c>
      <c r="G453" s="1">
        <v>80</v>
      </c>
      <c r="H453" s="1" t="s">
        <v>29</v>
      </c>
      <c r="I453" s="1" t="s">
        <v>247</v>
      </c>
      <c r="J453" s="1">
        <v>80</v>
      </c>
      <c r="M453" s="1" t="s">
        <v>28</v>
      </c>
      <c r="N453" s="1">
        <v>0</v>
      </c>
      <c r="O453" s="1" t="s">
        <v>27</v>
      </c>
      <c r="P453" s="1">
        <v>46042</v>
      </c>
      <c r="Q453" s="1">
        <v>0.39578703703703999</v>
      </c>
      <c r="R453" s="1">
        <v>0</v>
      </c>
      <c r="T453" s="1" t="s">
        <v>335</v>
      </c>
      <c r="U453" s="1" t="s">
        <v>24</v>
      </c>
      <c r="V453" s="1">
        <v>1</v>
      </c>
      <c r="W453" s="1" t="s">
        <v>289</v>
      </c>
      <c r="X453" s="1" t="s">
        <v>24</v>
      </c>
      <c r="Y453" s="1" t="s">
        <v>32</v>
      </c>
      <c r="Z453" s="1" t="s">
        <v>32</v>
      </c>
    </row>
    <row r="454" spans="1:26" x14ac:dyDescent="0.35">
      <c r="A454" s="1">
        <v>4005020</v>
      </c>
      <c r="B454" s="1" t="s">
        <v>31</v>
      </c>
      <c r="C454" s="1">
        <v>3300</v>
      </c>
      <c r="D454" s="1" t="s">
        <v>30</v>
      </c>
      <c r="E454" s="1">
        <v>301</v>
      </c>
      <c r="F454" s="1">
        <v>0</v>
      </c>
      <c r="G454" s="1">
        <v>50</v>
      </c>
      <c r="H454" s="1" t="s">
        <v>29</v>
      </c>
      <c r="I454" s="1">
        <v>20</v>
      </c>
      <c r="J454" s="1">
        <v>50</v>
      </c>
      <c r="M454" s="1" t="s">
        <v>28</v>
      </c>
      <c r="N454" s="1">
        <v>0</v>
      </c>
      <c r="O454" s="1" t="s">
        <v>27</v>
      </c>
      <c r="P454" s="1">
        <v>45987</v>
      </c>
      <c r="Q454" s="1">
        <v>0.42013888888889001</v>
      </c>
      <c r="R454" s="1" t="s">
        <v>672</v>
      </c>
      <c r="S454" s="1" t="s">
        <v>671</v>
      </c>
      <c r="U454" s="1" t="s">
        <v>24</v>
      </c>
      <c r="V454" s="1">
        <v>1</v>
      </c>
      <c r="W454" s="1" t="s">
        <v>258</v>
      </c>
      <c r="Y454" s="1" t="s">
        <v>32</v>
      </c>
      <c r="Z454" s="1" t="s">
        <v>23</v>
      </c>
    </row>
    <row r="455" spans="1:26" x14ac:dyDescent="0.35">
      <c r="A455" s="1">
        <v>4005032</v>
      </c>
      <c r="B455" s="1" t="s">
        <v>31</v>
      </c>
      <c r="C455" s="1">
        <v>3300</v>
      </c>
      <c r="D455" s="1" t="s">
        <v>30</v>
      </c>
      <c r="E455" s="1">
        <v>301</v>
      </c>
      <c r="F455" s="1">
        <v>0</v>
      </c>
      <c r="G455" s="1">
        <v>30</v>
      </c>
      <c r="H455" s="1" t="s">
        <v>29</v>
      </c>
      <c r="I455" s="1">
        <v>20</v>
      </c>
      <c r="J455" s="1">
        <v>40</v>
      </c>
      <c r="M455" s="1" t="s">
        <v>28</v>
      </c>
      <c r="N455" s="1">
        <v>5</v>
      </c>
      <c r="O455" s="1" t="s">
        <v>27</v>
      </c>
      <c r="P455" s="1">
        <v>45951</v>
      </c>
      <c r="Q455" s="1">
        <v>0.35586805555556</v>
      </c>
      <c r="R455" s="1">
        <v>0</v>
      </c>
      <c r="T455" s="1" t="s">
        <v>335</v>
      </c>
      <c r="U455" s="1" t="s">
        <v>24</v>
      </c>
      <c r="V455" s="1">
        <v>1</v>
      </c>
      <c r="W455" s="1" t="s">
        <v>258</v>
      </c>
      <c r="X455" s="1" t="s">
        <v>24</v>
      </c>
      <c r="Y455" s="1" t="s">
        <v>32</v>
      </c>
      <c r="Z455" s="1" t="s">
        <v>32</v>
      </c>
    </row>
    <row r="456" spans="1:26" x14ac:dyDescent="0.35">
      <c r="A456" s="1">
        <v>4005052</v>
      </c>
      <c r="B456" s="1" t="s">
        <v>31</v>
      </c>
      <c r="C456" s="1">
        <v>3300</v>
      </c>
      <c r="D456" s="1" t="s">
        <v>30</v>
      </c>
      <c r="E456" s="1">
        <v>301</v>
      </c>
      <c r="F456" s="1">
        <v>0</v>
      </c>
      <c r="G456" s="1">
        <v>80</v>
      </c>
      <c r="H456" s="1" t="s">
        <v>29</v>
      </c>
      <c r="I456" s="1">
        <v>20</v>
      </c>
      <c r="J456" s="1">
        <v>32</v>
      </c>
      <c r="M456" s="1" t="s">
        <v>28</v>
      </c>
      <c r="N456" s="1">
        <v>0</v>
      </c>
      <c r="O456" s="1" t="s">
        <v>27</v>
      </c>
      <c r="P456" s="1">
        <v>45811</v>
      </c>
      <c r="Q456" s="1">
        <v>0.33666666666667</v>
      </c>
      <c r="R456" s="1" t="s">
        <v>670</v>
      </c>
      <c r="S456" s="1" t="s">
        <v>669</v>
      </c>
      <c r="U456" s="1" t="s">
        <v>24</v>
      </c>
      <c r="V456" s="1">
        <v>1</v>
      </c>
      <c r="Y456" s="1" t="s">
        <v>23</v>
      </c>
      <c r="Z456" s="1" t="s">
        <v>23</v>
      </c>
    </row>
    <row r="457" spans="1:26" x14ac:dyDescent="0.35">
      <c r="A457" s="1">
        <v>4005446</v>
      </c>
      <c r="B457" s="1" t="s">
        <v>31</v>
      </c>
      <c r="C457" s="1">
        <v>3300</v>
      </c>
      <c r="D457" s="1" t="s">
        <v>30</v>
      </c>
      <c r="E457" s="1">
        <v>301</v>
      </c>
      <c r="F457" s="1">
        <v>0</v>
      </c>
      <c r="G457" s="1">
        <v>80</v>
      </c>
      <c r="H457" s="1" t="s">
        <v>29</v>
      </c>
      <c r="I457" s="1" t="s">
        <v>71</v>
      </c>
      <c r="J457" s="1">
        <v>80</v>
      </c>
      <c r="M457" s="1" t="s">
        <v>28</v>
      </c>
      <c r="N457" s="1">
        <v>5</v>
      </c>
      <c r="O457" s="1" t="s">
        <v>132</v>
      </c>
      <c r="P457" s="1">
        <v>46036</v>
      </c>
      <c r="Q457" s="1">
        <v>0.42037037037037001</v>
      </c>
      <c r="R457" s="1" t="s">
        <v>668</v>
      </c>
      <c r="S457" s="1" t="s">
        <v>667</v>
      </c>
      <c r="U457" s="1" t="s">
        <v>24</v>
      </c>
      <c r="V457" s="1">
        <v>1</v>
      </c>
      <c r="W457" s="1" t="s">
        <v>258</v>
      </c>
      <c r="X457" s="1" t="s">
        <v>24</v>
      </c>
      <c r="Y457" s="1" t="s">
        <v>32</v>
      </c>
      <c r="Z457" s="1" t="s">
        <v>32</v>
      </c>
    </row>
    <row r="458" spans="1:26" x14ac:dyDescent="0.35">
      <c r="A458" s="1">
        <v>4005449</v>
      </c>
      <c r="B458" s="1" t="s">
        <v>31</v>
      </c>
      <c r="C458" s="1">
        <v>3300</v>
      </c>
      <c r="D458" s="1" t="s">
        <v>30</v>
      </c>
      <c r="E458" s="1">
        <v>301</v>
      </c>
      <c r="F458" s="1">
        <v>0</v>
      </c>
      <c r="G458" s="1">
        <v>25</v>
      </c>
      <c r="H458" s="1" t="s">
        <v>29</v>
      </c>
      <c r="I458" s="1" t="s">
        <v>71</v>
      </c>
      <c r="J458" s="1">
        <v>100</v>
      </c>
      <c r="M458" s="1" t="s">
        <v>28</v>
      </c>
      <c r="N458" s="1">
        <v>0</v>
      </c>
      <c r="O458" s="1" t="s">
        <v>27</v>
      </c>
      <c r="P458" s="1">
        <v>45924</v>
      </c>
      <c r="Q458" s="1">
        <v>0.38024305555555998</v>
      </c>
      <c r="R458" s="1" t="s">
        <v>666</v>
      </c>
      <c r="S458" s="1" t="s">
        <v>665</v>
      </c>
      <c r="U458" s="1" t="s">
        <v>24</v>
      </c>
      <c r="V458" s="1">
        <v>1</v>
      </c>
      <c r="W458" s="1" t="s">
        <v>258</v>
      </c>
      <c r="Y458" s="1" t="s">
        <v>32</v>
      </c>
      <c r="Z458" s="1" t="s">
        <v>23</v>
      </c>
    </row>
    <row r="459" spans="1:26" x14ac:dyDescent="0.35">
      <c r="A459" s="1">
        <v>4005454</v>
      </c>
      <c r="B459" s="1" t="s">
        <v>31</v>
      </c>
      <c r="C459" s="1">
        <v>3300</v>
      </c>
      <c r="D459" s="1" t="s">
        <v>41</v>
      </c>
      <c r="E459" s="1">
        <v>301</v>
      </c>
      <c r="F459" s="1">
        <v>0</v>
      </c>
      <c r="G459" s="1">
        <v>200</v>
      </c>
      <c r="H459" s="1" t="s">
        <v>29</v>
      </c>
      <c r="I459" s="1">
        <v>20</v>
      </c>
      <c r="J459" s="1">
        <v>100</v>
      </c>
      <c r="M459" s="1" t="s">
        <v>28</v>
      </c>
      <c r="N459" s="1">
        <v>0</v>
      </c>
      <c r="O459" s="1" t="s">
        <v>56</v>
      </c>
      <c r="P459" s="1">
        <v>45798</v>
      </c>
      <c r="Q459" s="1">
        <v>0.43688657407407</v>
      </c>
      <c r="R459" s="1" t="s">
        <v>664</v>
      </c>
      <c r="S459" s="1" t="s">
        <v>663</v>
      </c>
      <c r="U459" s="1" t="s">
        <v>24</v>
      </c>
      <c r="V459" s="1">
        <v>1</v>
      </c>
      <c r="W459" s="1" t="s">
        <v>258</v>
      </c>
      <c r="Y459" s="1" t="s">
        <v>32</v>
      </c>
      <c r="Z459" s="1" t="s">
        <v>23</v>
      </c>
    </row>
    <row r="460" spans="1:26" x14ac:dyDescent="0.35">
      <c r="A460" s="1">
        <v>4005458</v>
      </c>
      <c r="B460" s="1" t="s">
        <v>31</v>
      </c>
      <c r="C460" s="1">
        <v>3300</v>
      </c>
      <c r="D460" s="1" t="s">
        <v>41</v>
      </c>
      <c r="E460" s="1">
        <v>301</v>
      </c>
      <c r="F460" s="1">
        <v>0</v>
      </c>
      <c r="G460" s="1">
        <v>42</v>
      </c>
      <c r="H460" s="1" t="s">
        <v>29</v>
      </c>
      <c r="I460" s="1">
        <v>20</v>
      </c>
      <c r="J460" s="1">
        <v>250</v>
      </c>
      <c r="K460" s="1" t="s">
        <v>24</v>
      </c>
      <c r="M460" s="1" t="s">
        <v>28</v>
      </c>
      <c r="N460" s="1">
        <v>5</v>
      </c>
      <c r="O460" s="1" t="s">
        <v>316</v>
      </c>
      <c r="P460" s="1">
        <v>44651</v>
      </c>
      <c r="Q460" s="1">
        <v>0.53540509259258995</v>
      </c>
      <c r="R460" s="1" t="s">
        <v>662</v>
      </c>
      <c r="S460" s="1" t="s">
        <v>661</v>
      </c>
      <c r="T460" s="1" t="s">
        <v>335</v>
      </c>
      <c r="W460" s="1" t="s">
        <v>258</v>
      </c>
      <c r="Y460" s="1" t="s">
        <v>32</v>
      </c>
      <c r="Z460" s="1" t="s">
        <v>23</v>
      </c>
    </row>
    <row r="461" spans="1:26" x14ac:dyDescent="0.35">
      <c r="A461" s="1">
        <v>4005459</v>
      </c>
      <c r="B461" s="1" t="s">
        <v>31</v>
      </c>
      <c r="C461" s="1">
        <v>3300</v>
      </c>
      <c r="D461" s="1" t="s">
        <v>41</v>
      </c>
      <c r="E461" s="1">
        <v>301</v>
      </c>
      <c r="F461" s="1">
        <v>0</v>
      </c>
      <c r="G461" s="1">
        <v>426</v>
      </c>
      <c r="H461" s="1" t="s">
        <v>29</v>
      </c>
      <c r="I461" s="1">
        <v>20</v>
      </c>
      <c r="J461" s="1">
        <v>300</v>
      </c>
      <c r="K461" s="1" t="s">
        <v>24</v>
      </c>
      <c r="M461" s="1" t="s">
        <v>28</v>
      </c>
      <c r="N461" s="1">
        <v>5</v>
      </c>
      <c r="O461" s="1" t="s">
        <v>316</v>
      </c>
      <c r="P461" s="1">
        <v>44651</v>
      </c>
      <c r="Q461" s="1">
        <v>0.53684027777777998</v>
      </c>
      <c r="R461" s="1" t="s">
        <v>660</v>
      </c>
      <c r="S461" s="1" t="s">
        <v>659</v>
      </c>
      <c r="T461" s="1" t="s">
        <v>335</v>
      </c>
      <c r="W461" s="1" t="s">
        <v>258</v>
      </c>
      <c r="Y461" s="1" t="s">
        <v>32</v>
      </c>
      <c r="Z461" s="1" t="s">
        <v>23</v>
      </c>
    </row>
    <row r="462" spans="1:26" x14ac:dyDescent="0.35">
      <c r="A462" s="1">
        <v>4005503</v>
      </c>
      <c r="B462" s="1" t="s">
        <v>31</v>
      </c>
      <c r="C462" s="1">
        <v>3300</v>
      </c>
      <c r="D462" s="1" t="s">
        <v>30</v>
      </c>
      <c r="E462" s="1">
        <v>301</v>
      </c>
      <c r="F462" s="1">
        <v>0</v>
      </c>
      <c r="G462" s="1">
        <v>5280</v>
      </c>
      <c r="H462" s="1" t="s">
        <v>29</v>
      </c>
      <c r="I462" s="1" t="s">
        <v>71</v>
      </c>
      <c r="J462" s="1">
        <v>4320</v>
      </c>
      <c r="M462" s="1" t="s">
        <v>28</v>
      </c>
      <c r="N462" s="1">
        <v>0</v>
      </c>
      <c r="O462" s="1" t="s">
        <v>27</v>
      </c>
      <c r="P462" s="1">
        <v>45622</v>
      </c>
      <c r="Q462" s="1">
        <v>0.28089120370370002</v>
      </c>
      <c r="R462" s="1" t="s">
        <v>658</v>
      </c>
      <c r="S462" s="1" t="s">
        <v>657</v>
      </c>
      <c r="U462" s="1" t="s">
        <v>24</v>
      </c>
      <c r="V462" s="1">
        <v>1</v>
      </c>
      <c r="W462" s="1" t="s">
        <v>271</v>
      </c>
      <c r="X462" s="1" t="s">
        <v>24</v>
      </c>
      <c r="Y462" s="1" t="s">
        <v>32</v>
      </c>
      <c r="Z462" s="1" t="s">
        <v>32</v>
      </c>
    </row>
    <row r="463" spans="1:26" x14ac:dyDescent="0.35">
      <c r="A463" s="1">
        <v>4005583</v>
      </c>
      <c r="B463" s="1" t="s">
        <v>31</v>
      </c>
      <c r="C463" s="1">
        <v>3300</v>
      </c>
      <c r="D463" s="1" t="s">
        <v>30</v>
      </c>
      <c r="E463" s="1">
        <v>301</v>
      </c>
      <c r="F463" s="1">
        <v>0</v>
      </c>
      <c r="G463" s="1">
        <v>10000</v>
      </c>
      <c r="H463" s="1" t="s">
        <v>29</v>
      </c>
      <c r="I463" s="1" t="s">
        <v>71</v>
      </c>
      <c r="J463" s="1">
        <v>35000</v>
      </c>
      <c r="M463" s="1" t="s">
        <v>28</v>
      </c>
      <c r="N463" s="1">
        <v>5</v>
      </c>
      <c r="O463" s="1" t="s">
        <v>27</v>
      </c>
      <c r="P463" s="1">
        <v>45924</v>
      </c>
      <c r="Q463" s="1">
        <v>0.54024305555555996</v>
      </c>
      <c r="R463" s="1">
        <v>0</v>
      </c>
      <c r="T463" s="1" t="s">
        <v>335</v>
      </c>
      <c r="U463" s="1" t="s">
        <v>24</v>
      </c>
      <c r="V463" s="1">
        <v>1</v>
      </c>
      <c r="W463" s="1" t="s">
        <v>271</v>
      </c>
      <c r="X463" s="1" t="s">
        <v>141</v>
      </c>
      <c r="Y463" s="1" t="s">
        <v>32</v>
      </c>
      <c r="Z463" s="1" t="s">
        <v>32</v>
      </c>
    </row>
    <row r="464" spans="1:26" x14ac:dyDescent="0.35">
      <c r="A464" s="1">
        <v>4005584</v>
      </c>
      <c r="B464" s="1" t="s">
        <v>31</v>
      </c>
      <c r="C464" s="1">
        <v>3300</v>
      </c>
      <c r="D464" s="1" t="s">
        <v>30</v>
      </c>
      <c r="E464" s="1">
        <v>301</v>
      </c>
      <c r="F464" s="1">
        <v>0</v>
      </c>
      <c r="G464" s="1">
        <v>7000</v>
      </c>
      <c r="H464" s="1" t="s">
        <v>29</v>
      </c>
      <c r="I464" s="1" t="s">
        <v>71</v>
      </c>
      <c r="J464" s="1">
        <v>28000</v>
      </c>
      <c r="M464" s="1" t="s">
        <v>28</v>
      </c>
      <c r="N464" s="1">
        <v>0</v>
      </c>
      <c r="O464" s="1" t="s">
        <v>27</v>
      </c>
      <c r="P464" s="1">
        <v>45924</v>
      </c>
      <c r="Q464" s="1">
        <v>0.53892361111110998</v>
      </c>
      <c r="R464" s="1">
        <v>0</v>
      </c>
      <c r="T464" s="1" t="s">
        <v>335</v>
      </c>
      <c r="U464" s="1" t="s">
        <v>24</v>
      </c>
      <c r="V464" s="1">
        <v>1</v>
      </c>
      <c r="W464" s="1" t="s">
        <v>271</v>
      </c>
      <c r="X464" s="1" t="s">
        <v>141</v>
      </c>
      <c r="Y464" s="1" t="s">
        <v>32</v>
      </c>
      <c r="Z464" s="1" t="s">
        <v>32</v>
      </c>
    </row>
    <row r="465" spans="1:26" x14ac:dyDescent="0.35">
      <c r="A465" s="1">
        <v>4005783</v>
      </c>
      <c r="B465" s="1" t="s">
        <v>31</v>
      </c>
      <c r="C465" s="1">
        <v>3300</v>
      </c>
      <c r="D465" s="1" t="s">
        <v>30</v>
      </c>
      <c r="E465" s="1">
        <v>301</v>
      </c>
      <c r="F465" s="1">
        <v>0</v>
      </c>
      <c r="G465" s="1">
        <v>80</v>
      </c>
      <c r="H465" s="1" t="s">
        <v>29</v>
      </c>
      <c r="I465" s="1" t="s">
        <v>71</v>
      </c>
      <c r="J465" s="1">
        <v>80</v>
      </c>
      <c r="M465" s="1" t="s">
        <v>28</v>
      </c>
      <c r="N465" s="1">
        <v>5</v>
      </c>
      <c r="O465" s="1" t="s">
        <v>132</v>
      </c>
      <c r="P465" s="1">
        <v>46036</v>
      </c>
      <c r="Q465" s="1">
        <v>0.42037037037037001</v>
      </c>
      <c r="R465" s="1" t="s">
        <v>656</v>
      </c>
      <c r="S465" s="1" t="s">
        <v>655</v>
      </c>
      <c r="U465" s="1" t="s">
        <v>24</v>
      </c>
      <c r="V465" s="1">
        <v>1</v>
      </c>
      <c r="W465" s="1" t="s">
        <v>258</v>
      </c>
      <c r="Y465" s="1" t="s">
        <v>32</v>
      </c>
      <c r="Z465" s="1" t="s">
        <v>23</v>
      </c>
    </row>
    <row r="466" spans="1:26" x14ac:dyDescent="0.35">
      <c r="A466" s="1">
        <v>4005791</v>
      </c>
      <c r="B466" s="1" t="s">
        <v>31</v>
      </c>
      <c r="C466" s="1">
        <v>3300</v>
      </c>
      <c r="D466" s="1" t="s">
        <v>30</v>
      </c>
      <c r="E466" s="1">
        <v>301</v>
      </c>
      <c r="F466" s="1">
        <v>0</v>
      </c>
      <c r="G466" s="1">
        <v>9048</v>
      </c>
      <c r="H466" s="1" t="s">
        <v>29</v>
      </c>
      <c r="I466" s="1" t="s">
        <v>71</v>
      </c>
      <c r="J466" s="1">
        <v>4000</v>
      </c>
      <c r="M466" s="1" t="s">
        <v>28</v>
      </c>
      <c r="N466" s="1">
        <v>5</v>
      </c>
      <c r="O466" s="1" t="s">
        <v>132</v>
      </c>
      <c r="P466" s="1">
        <v>46036</v>
      </c>
      <c r="Q466" s="1">
        <v>0.42037037037037001</v>
      </c>
      <c r="R466" s="1" t="s">
        <v>654</v>
      </c>
      <c r="S466" s="1" t="s">
        <v>653</v>
      </c>
      <c r="T466" s="1" t="s">
        <v>335</v>
      </c>
      <c r="U466" s="1" t="s">
        <v>24</v>
      </c>
      <c r="V466" s="1">
        <v>1</v>
      </c>
      <c r="W466" s="1" t="s">
        <v>289</v>
      </c>
      <c r="X466" s="1" t="s">
        <v>141</v>
      </c>
      <c r="Y466" s="1" t="s">
        <v>32</v>
      </c>
      <c r="Z466" s="1" t="s">
        <v>32</v>
      </c>
    </row>
    <row r="467" spans="1:26" x14ac:dyDescent="0.35">
      <c r="A467" s="1">
        <v>4005792</v>
      </c>
      <c r="B467" s="1" t="s">
        <v>31</v>
      </c>
      <c r="C467" s="1">
        <v>3300</v>
      </c>
      <c r="D467" s="1" t="s">
        <v>30</v>
      </c>
      <c r="E467" s="1">
        <v>301</v>
      </c>
      <c r="F467" s="1">
        <v>0</v>
      </c>
      <c r="G467" s="1">
        <v>120</v>
      </c>
      <c r="H467" s="1" t="s">
        <v>29</v>
      </c>
      <c r="I467" s="1">
        <v>20</v>
      </c>
      <c r="J467" s="1">
        <v>60</v>
      </c>
      <c r="M467" s="1" t="s">
        <v>28</v>
      </c>
      <c r="N467" s="1">
        <v>5</v>
      </c>
      <c r="O467" s="1" t="s">
        <v>277</v>
      </c>
      <c r="P467" s="1">
        <v>44820</v>
      </c>
      <c r="Q467" s="1">
        <v>0.44990740740740998</v>
      </c>
      <c r="R467" s="1" t="s">
        <v>652</v>
      </c>
      <c r="S467" s="1" t="s">
        <v>651</v>
      </c>
      <c r="T467" s="1" t="s">
        <v>335</v>
      </c>
      <c r="U467" s="1" t="s">
        <v>24</v>
      </c>
      <c r="V467" s="1">
        <v>1</v>
      </c>
      <c r="W467" s="1" t="s">
        <v>258</v>
      </c>
      <c r="Y467" s="1" t="s">
        <v>32</v>
      </c>
      <c r="Z467" s="1" t="s">
        <v>23</v>
      </c>
    </row>
    <row r="468" spans="1:26" x14ac:dyDescent="0.35">
      <c r="A468" s="1">
        <v>4005868</v>
      </c>
      <c r="B468" s="1" t="s">
        <v>31</v>
      </c>
      <c r="C468" s="1">
        <v>3300</v>
      </c>
      <c r="D468" s="1" t="s">
        <v>30</v>
      </c>
      <c r="E468" s="1">
        <v>301</v>
      </c>
      <c r="F468" s="1">
        <v>0</v>
      </c>
      <c r="G468" s="1">
        <v>295</v>
      </c>
      <c r="H468" s="1" t="s">
        <v>29</v>
      </c>
      <c r="I468" s="1">
        <v>20</v>
      </c>
      <c r="J468" s="1">
        <v>252</v>
      </c>
      <c r="M468" s="1" t="s">
        <v>28</v>
      </c>
      <c r="N468" s="1">
        <v>5</v>
      </c>
      <c r="O468" s="1" t="s">
        <v>386</v>
      </c>
      <c r="P468" s="1">
        <v>44522</v>
      </c>
      <c r="Q468" s="1">
        <v>0.56090277777777997</v>
      </c>
      <c r="R468" s="1" t="s">
        <v>650</v>
      </c>
      <c r="S468" s="1" t="s">
        <v>649</v>
      </c>
      <c r="T468" s="1" t="s">
        <v>335</v>
      </c>
      <c r="U468" s="1" t="s">
        <v>24</v>
      </c>
      <c r="V468" s="1">
        <v>1</v>
      </c>
      <c r="W468" s="1" t="s">
        <v>289</v>
      </c>
      <c r="Y468" s="1" t="s">
        <v>32</v>
      </c>
      <c r="Z468" s="1" t="s">
        <v>23</v>
      </c>
    </row>
    <row r="469" spans="1:26" x14ac:dyDescent="0.35">
      <c r="A469" s="1">
        <v>4005876</v>
      </c>
      <c r="B469" s="1" t="s">
        <v>31</v>
      </c>
      <c r="C469" s="1">
        <v>3300</v>
      </c>
      <c r="D469" s="1" t="s">
        <v>30</v>
      </c>
      <c r="E469" s="1">
        <v>301</v>
      </c>
      <c r="F469" s="1">
        <v>0</v>
      </c>
      <c r="G469" s="1">
        <v>820</v>
      </c>
      <c r="H469" s="1" t="s">
        <v>29</v>
      </c>
      <c r="I469" s="1">
        <v>20</v>
      </c>
      <c r="J469" s="1">
        <v>288</v>
      </c>
      <c r="M469" s="1" t="s">
        <v>28</v>
      </c>
      <c r="N469" s="1">
        <v>0</v>
      </c>
      <c r="O469" s="1" t="s">
        <v>27</v>
      </c>
      <c r="P469" s="1">
        <v>45446</v>
      </c>
      <c r="Q469" s="1">
        <v>0.48929398148148001</v>
      </c>
      <c r="R469" s="1" t="s">
        <v>648</v>
      </c>
      <c r="S469" s="1" t="s">
        <v>647</v>
      </c>
      <c r="U469" s="1" t="s">
        <v>24</v>
      </c>
      <c r="V469" s="1">
        <v>1</v>
      </c>
      <c r="X469" s="1" t="s">
        <v>24</v>
      </c>
      <c r="Y469" s="1" t="s">
        <v>23</v>
      </c>
      <c r="Z469" s="1" t="s">
        <v>32</v>
      </c>
    </row>
    <row r="470" spans="1:26" x14ac:dyDescent="0.35">
      <c r="A470" s="1">
        <v>4005880</v>
      </c>
      <c r="B470" s="1" t="s">
        <v>31</v>
      </c>
      <c r="C470" s="1">
        <v>3300</v>
      </c>
      <c r="D470" s="1" t="s">
        <v>30</v>
      </c>
      <c r="E470" s="1">
        <v>301</v>
      </c>
      <c r="F470" s="1">
        <v>0</v>
      </c>
      <c r="G470" s="1">
        <v>432</v>
      </c>
      <c r="H470" s="1" t="s">
        <v>29</v>
      </c>
      <c r="I470" s="1">
        <v>20</v>
      </c>
      <c r="J470" s="1">
        <v>216</v>
      </c>
      <c r="M470" s="1" t="s">
        <v>28</v>
      </c>
      <c r="N470" s="1">
        <v>5</v>
      </c>
      <c r="O470" s="1" t="s">
        <v>277</v>
      </c>
      <c r="P470" s="1">
        <v>44820</v>
      </c>
      <c r="Q470" s="1">
        <v>0.36408564814814998</v>
      </c>
      <c r="R470" s="1">
        <v>0</v>
      </c>
      <c r="T470" s="1" t="s">
        <v>335</v>
      </c>
      <c r="U470" s="1" t="s">
        <v>24</v>
      </c>
      <c r="V470" s="1">
        <v>1</v>
      </c>
      <c r="W470" s="1" t="s">
        <v>289</v>
      </c>
      <c r="Y470" s="1" t="s">
        <v>32</v>
      </c>
      <c r="Z470" s="1" t="s">
        <v>23</v>
      </c>
    </row>
    <row r="471" spans="1:26" x14ac:dyDescent="0.35">
      <c r="A471" s="1">
        <v>4005881</v>
      </c>
      <c r="B471" s="1" t="s">
        <v>31</v>
      </c>
      <c r="C471" s="1">
        <v>3300</v>
      </c>
      <c r="D471" s="1" t="s">
        <v>30</v>
      </c>
      <c r="E471" s="1">
        <v>301</v>
      </c>
      <c r="F471" s="1">
        <v>0</v>
      </c>
      <c r="G471" s="1">
        <v>200</v>
      </c>
      <c r="H471" s="1" t="s">
        <v>29</v>
      </c>
      <c r="I471" s="1">
        <v>20</v>
      </c>
      <c r="J471" s="1">
        <v>144</v>
      </c>
      <c r="M471" s="1" t="s">
        <v>28</v>
      </c>
      <c r="N471" s="1">
        <v>5</v>
      </c>
      <c r="O471" s="1" t="s">
        <v>316</v>
      </c>
      <c r="P471" s="1">
        <v>44736</v>
      </c>
      <c r="Q471" s="1">
        <v>0.29545138888889</v>
      </c>
      <c r="R471" s="1" t="s">
        <v>646</v>
      </c>
      <c r="S471" s="1" t="s">
        <v>645</v>
      </c>
      <c r="T471" s="1" t="s">
        <v>335</v>
      </c>
      <c r="U471" s="1" t="s">
        <v>24</v>
      </c>
      <c r="V471" s="1">
        <v>1</v>
      </c>
      <c r="W471" s="1" t="s">
        <v>258</v>
      </c>
      <c r="Y471" s="1" t="s">
        <v>32</v>
      </c>
      <c r="Z471" s="1" t="s">
        <v>23</v>
      </c>
    </row>
    <row r="472" spans="1:26" x14ac:dyDescent="0.35">
      <c r="A472" s="1">
        <v>4005883</v>
      </c>
      <c r="B472" s="1" t="s">
        <v>31</v>
      </c>
      <c r="C472" s="1">
        <v>3300</v>
      </c>
      <c r="D472" s="1" t="s">
        <v>30</v>
      </c>
      <c r="E472" s="1">
        <v>301</v>
      </c>
      <c r="F472" s="1">
        <v>0</v>
      </c>
      <c r="G472" s="1">
        <v>384</v>
      </c>
      <c r="H472" s="1" t="s">
        <v>29</v>
      </c>
      <c r="I472" s="1">
        <v>20</v>
      </c>
      <c r="J472" s="1">
        <v>192</v>
      </c>
      <c r="M472" s="1" t="s">
        <v>28</v>
      </c>
      <c r="N472" s="1">
        <v>5</v>
      </c>
      <c r="O472" s="1" t="s">
        <v>277</v>
      </c>
      <c r="P472" s="1">
        <v>44831</v>
      </c>
      <c r="Q472" s="1">
        <v>0.57643518518518999</v>
      </c>
      <c r="R472" s="1">
        <v>0</v>
      </c>
      <c r="T472" s="1" t="s">
        <v>335</v>
      </c>
      <c r="U472" s="1" t="s">
        <v>24</v>
      </c>
      <c r="V472" s="1">
        <v>1</v>
      </c>
      <c r="W472" s="1" t="s">
        <v>258</v>
      </c>
      <c r="Y472" s="1" t="s">
        <v>32</v>
      </c>
      <c r="Z472" s="1" t="s">
        <v>23</v>
      </c>
    </row>
    <row r="473" spans="1:26" x14ac:dyDescent="0.35">
      <c r="A473" s="1">
        <v>4005885</v>
      </c>
      <c r="B473" s="1" t="s">
        <v>31</v>
      </c>
      <c r="C473" s="1">
        <v>3300</v>
      </c>
      <c r="D473" s="1" t="s">
        <v>30</v>
      </c>
      <c r="E473" s="1">
        <v>301</v>
      </c>
      <c r="F473" s="1">
        <v>0</v>
      </c>
      <c r="G473" s="1">
        <v>252</v>
      </c>
      <c r="H473" s="1" t="s">
        <v>29</v>
      </c>
      <c r="I473" s="1">
        <v>20</v>
      </c>
      <c r="J473" s="1">
        <v>288</v>
      </c>
      <c r="M473" s="1" t="s">
        <v>28</v>
      </c>
      <c r="N473" s="1">
        <v>5</v>
      </c>
      <c r="O473" s="1" t="s">
        <v>277</v>
      </c>
      <c r="P473" s="1">
        <v>44735</v>
      </c>
      <c r="Q473" s="1">
        <v>0.59488425925926003</v>
      </c>
      <c r="R473" s="1" t="s">
        <v>644</v>
      </c>
      <c r="S473" s="1" t="s">
        <v>643</v>
      </c>
      <c r="T473" s="1" t="s">
        <v>335</v>
      </c>
      <c r="U473" s="1" t="s">
        <v>24</v>
      </c>
      <c r="V473" s="1">
        <v>1</v>
      </c>
      <c r="W473" s="1" t="s">
        <v>258</v>
      </c>
      <c r="Y473" s="1" t="s">
        <v>32</v>
      </c>
      <c r="Z473" s="1" t="s">
        <v>23</v>
      </c>
    </row>
    <row r="474" spans="1:26" x14ac:dyDescent="0.35">
      <c r="A474" s="1">
        <v>4005925</v>
      </c>
      <c r="B474" s="1" t="s">
        <v>31</v>
      </c>
      <c r="C474" s="1">
        <v>3300</v>
      </c>
      <c r="D474" s="1" t="s">
        <v>30</v>
      </c>
      <c r="E474" s="1">
        <v>301</v>
      </c>
      <c r="F474" s="1">
        <v>0</v>
      </c>
      <c r="G474" s="1">
        <v>50</v>
      </c>
      <c r="H474" s="1" t="s">
        <v>29</v>
      </c>
      <c r="I474" s="1" t="s">
        <v>71</v>
      </c>
      <c r="J474" s="1">
        <v>24</v>
      </c>
      <c r="M474" s="1" t="s">
        <v>28</v>
      </c>
      <c r="N474" s="1">
        <v>0</v>
      </c>
      <c r="O474" s="1" t="s">
        <v>27</v>
      </c>
      <c r="P474" s="1">
        <v>46057</v>
      </c>
      <c r="Q474" s="1">
        <v>0.33961805555556002</v>
      </c>
      <c r="R474" s="1" t="s">
        <v>642</v>
      </c>
      <c r="S474" s="1" t="s">
        <v>641</v>
      </c>
      <c r="U474" s="1" t="s">
        <v>24</v>
      </c>
      <c r="V474" s="1">
        <v>1</v>
      </c>
      <c r="X474" s="1" t="s">
        <v>24</v>
      </c>
      <c r="Y474" s="1" t="s">
        <v>23</v>
      </c>
      <c r="Z474" s="1" t="s">
        <v>32</v>
      </c>
    </row>
    <row r="475" spans="1:26" x14ac:dyDescent="0.35">
      <c r="A475" s="1">
        <v>4005949</v>
      </c>
      <c r="B475" s="1" t="s">
        <v>31</v>
      </c>
      <c r="C475" s="1">
        <v>3300</v>
      </c>
      <c r="D475" s="1" t="s">
        <v>30</v>
      </c>
      <c r="E475" s="1">
        <v>301</v>
      </c>
      <c r="F475" s="1">
        <v>0</v>
      </c>
      <c r="G475" s="1">
        <v>75</v>
      </c>
      <c r="H475" s="1" t="s">
        <v>29</v>
      </c>
      <c r="I475" s="1" t="s">
        <v>71</v>
      </c>
      <c r="J475" s="1">
        <v>100</v>
      </c>
      <c r="M475" s="1" t="s">
        <v>28</v>
      </c>
      <c r="N475" s="1">
        <v>0</v>
      </c>
      <c r="O475" s="1" t="s">
        <v>27</v>
      </c>
      <c r="P475" s="1">
        <v>45924</v>
      </c>
      <c r="Q475" s="1">
        <v>0.38076388888889001</v>
      </c>
      <c r="R475" s="1" t="s">
        <v>640</v>
      </c>
      <c r="S475" s="1" t="s">
        <v>639</v>
      </c>
      <c r="U475" s="1" t="s">
        <v>24</v>
      </c>
      <c r="V475" s="1">
        <v>1</v>
      </c>
      <c r="W475" s="1" t="s">
        <v>258</v>
      </c>
      <c r="X475" s="1" t="s">
        <v>24</v>
      </c>
      <c r="Y475" s="1" t="s">
        <v>32</v>
      </c>
      <c r="Z475" s="1" t="s">
        <v>32</v>
      </c>
    </row>
    <row r="476" spans="1:26" x14ac:dyDescent="0.35">
      <c r="A476" s="1">
        <v>4005955</v>
      </c>
      <c r="B476" s="1" t="s">
        <v>31</v>
      </c>
      <c r="C476" s="1">
        <v>3300</v>
      </c>
      <c r="D476" s="1" t="s">
        <v>30</v>
      </c>
      <c r="E476" s="1">
        <v>301</v>
      </c>
      <c r="F476" s="1">
        <v>0</v>
      </c>
      <c r="G476" s="1">
        <v>500</v>
      </c>
      <c r="H476" s="1" t="s">
        <v>29</v>
      </c>
      <c r="I476" s="1" t="s">
        <v>71</v>
      </c>
      <c r="J476" s="1">
        <v>600</v>
      </c>
      <c r="M476" s="1" t="s">
        <v>28</v>
      </c>
      <c r="N476" s="1">
        <v>5</v>
      </c>
      <c r="O476" s="1" t="s">
        <v>27</v>
      </c>
      <c r="P476" s="1">
        <v>45924</v>
      </c>
      <c r="Q476" s="1">
        <v>0.53524305555555995</v>
      </c>
      <c r="R476" s="1">
        <v>0</v>
      </c>
      <c r="T476" s="1" t="s">
        <v>335</v>
      </c>
      <c r="U476" s="1" t="s">
        <v>24</v>
      </c>
      <c r="V476" s="1">
        <v>1</v>
      </c>
      <c r="W476" s="1" t="s">
        <v>289</v>
      </c>
      <c r="Y476" s="1" t="s">
        <v>32</v>
      </c>
      <c r="Z476" s="1" t="s">
        <v>23</v>
      </c>
    </row>
    <row r="477" spans="1:26" x14ac:dyDescent="0.35">
      <c r="A477" s="1">
        <v>4005962</v>
      </c>
      <c r="B477" s="1" t="s">
        <v>31</v>
      </c>
      <c r="C477" s="1">
        <v>3300</v>
      </c>
      <c r="D477" s="1" t="s">
        <v>41</v>
      </c>
      <c r="E477" s="1">
        <v>301</v>
      </c>
      <c r="F477" s="1">
        <v>0</v>
      </c>
      <c r="G477" s="1">
        <v>1500</v>
      </c>
      <c r="H477" s="1" t="s">
        <v>29</v>
      </c>
      <c r="J477" s="1">
        <v>4000</v>
      </c>
      <c r="K477" s="1" t="s">
        <v>24</v>
      </c>
      <c r="M477" s="1" t="s">
        <v>28</v>
      </c>
      <c r="N477" s="1">
        <v>0</v>
      </c>
      <c r="O477" s="1" t="s">
        <v>27</v>
      </c>
      <c r="P477" s="1">
        <v>45173</v>
      </c>
      <c r="Q477" s="1">
        <v>0.5906712962963</v>
      </c>
      <c r="R477" s="1" t="s">
        <v>638</v>
      </c>
      <c r="S477" s="1" t="s">
        <v>637</v>
      </c>
      <c r="W477" s="1" t="s">
        <v>258</v>
      </c>
      <c r="Y477" s="1" t="s">
        <v>32</v>
      </c>
      <c r="Z477" s="1" t="s">
        <v>23</v>
      </c>
    </row>
    <row r="478" spans="1:26" x14ac:dyDescent="0.35">
      <c r="A478" s="1">
        <v>4005997</v>
      </c>
      <c r="B478" s="1" t="s">
        <v>31</v>
      </c>
      <c r="C478" s="1">
        <v>3300</v>
      </c>
      <c r="D478" s="1" t="s">
        <v>41</v>
      </c>
      <c r="E478" s="1">
        <v>301</v>
      </c>
      <c r="F478" s="1">
        <v>0</v>
      </c>
      <c r="G478" s="1">
        <v>0</v>
      </c>
      <c r="J478" s="1">
        <v>0</v>
      </c>
      <c r="K478" s="1" t="s">
        <v>24</v>
      </c>
      <c r="M478" s="1" t="s">
        <v>28</v>
      </c>
      <c r="N478" s="1">
        <v>0</v>
      </c>
      <c r="O478" s="1" t="s">
        <v>277</v>
      </c>
      <c r="P478" s="1">
        <v>44573</v>
      </c>
      <c r="Q478" s="1">
        <v>0.44234953703704</v>
      </c>
      <c r="R478" s="1" t="s">
        <v>636</v>
      </c>
      <c r="S478" s="1" t="s">
        <v>635</v>
      </c>
      <c r="W478" s="1" t="s">
        <v>258</v>
      </c>
      <c r="Y478" s="1" t="s">
        <v>32</v>
      </c>
      <c r="Z478" s="1" t="s">
        <v>23</v>
      </c>
    </row>
    <row r="479" spans="1:26" x14ac:dyDescent="0.35">
      <c r="A479" s="1">
        <v>4006009</v>
      </c>
      <c r="B479" s="1" t="s">
        <v>31</v>
      </c>
      <c r="C479" s="1">
        <v>3300</v>
      </c>
      <c r="D479" s="1" t="s">
        <v>30</v>
      </c>
      <c r="E479" s="1">
        <v>301</v>
      </c>
      <c r="F479" s="1">
        <v>0</v>
      </c>
      <c r="G479" s="1">
        <v>192</v>
      </c>
      <c r="H479" s="1" t="s">
        <v>29</v>
      </c>
      <c r="I479" s="1">
        <v>20</v>
      </c>
      <c r="J479" s="1">
        <v>108</v>
      </c>
      <c r="M479" s="1" t="s">
        <v>28</v>
      </c>
      <c r="N479" s="1">
        <v>0</v>
      </c>
      <c r="O479" s="1" t="s">
        <v>27</v>
      </c>
      <c r="P479" s="1">
        <v>45455</v>
      </c>
      <c r="Q479" s="1">
        <v>0.47658564814815002</v>
      </c>
      <c r="R479" s="1" t="s">
        <v>634</v>
      </c>
      <c r="S479" s="1" t="s">
        <v>633</v>
      </c>
      <c r="U479" s="1" t="s">
        <v>24</v>
      </c>
      <c r="V479" s="1">
        <v>1</v>
      </c>
      <c r="X479" s="1" t="s">
        <v>24</v>
      </c>
      <c r="Y479" s="1" t="s">
        <v>23</v>
      </c>
      <c r="Z479" s="1" t="s">
        <v>32</v>
      </c>
    </row>
    <row r="480" spans="1:26" x14ac:dyDescent="0.35">
      <c r="A480" s="1">
        <v>4006012</v>
      </c>
      <c r="B480" s="1" t="s">
        <v>31</v>
      </c>
      <c r="C480" s="1">
        <v>3300</v>
      </c>
      <c r="D480" s="1" t="s">
        <v>30</v>
      </c>
      <c r="E480" s="1">
        <v>301</v>
      </c>
      <c r="F480" s="1">
        <v>0</v>
      </c>
      <c r="G480" s="1">
        <v>600</v>
      </c>
      <c r="H480" s="1" t="s">
        <v>29</v>
      </c>
      <c r="I480" s="1" t="s">
        <v>71</v>
      </c>
      <c r="J480" s="1">
        <v>192</v>
      </c>
      <c r="M480" s="1" t="s">
        <v>28</v>
      </c>
      <c r="N480" s="1">
        <v>0</v>
      </c>
      <c r="O480" s="1" t="s">
        <v>199</v>
      </c>
      <c r="P480" s="1">
        <v>46041</v>
      </c>
      <c r="Q480" s="1">
        <v>0.50106481481481002</v>
      </c>
      <c r="R480" s="1">
        <v>0</v>
      </c>
      <c r="T480" s="1" t="s">
        <v>335</v>
      </c>
      <c r="U480" s="1" t="s">
        <v>24</v>
      </c>
      <c r="V480" s="1">
        <v>1</v>
      </c>
      <c r="W480" s="1" t="s">
        <v>271</v>
      </c>
      <c r="Y480" s="1" t="s">
        <v>32</v>
      </c>
      <c r="Z480" s="1" t="s">
        <v>23</v>
      </c>
    </row>
    <row r="481" spans="1:26" x14ac:dyDescent="0.35">
      <c r="A481" s="1">
        <v>4006014</v>
      </c>
      <c r="B481" s="1" t="s">
        <v>31</v>
      </c>
      <c r="C481" s="1">
        <v>3300</v>
      </c>
      <c r="D481" s="1" t="s">
        <v>30</v>
      </c>
      <c r="E481" s="1">
        <v>301</v>
      </c>
      <c r="F481" s="1">
        <v>0</v>
      </c>
      <c r="G481" s="1">
        <v>430</v>
      </c>
      <c r="H481" s="1" t="s">
        <v>29</v>
      </c>
      <c r="I481" s="1">
        <v>20</v>
      </c>
      <c r="J481" s="1">
        <v>216</v>
      </c>
      <c r="M481" s="1" t="s">
        <v>28</v>
      </c>
      <c r="N481" s="1">
        <v>5</v>
      </c>
      <c r="O481" s="1" t="s">
        <v>386</v>
      </c>
      <c r="P481" s="1">
        <v>44522</v>
      </c>
      <c r="Q481" s="1">
        <v>0.56090277777777997</v>
      </c>
      <c r="R481" s="1">
        <v>0</v>
      </c>
      <c r="T481" s="1" t="s">
        <v>335</v>
      </c>
      <c r="U481" s="1" t="s">
        <v>24</v>
      </c>
      <c r="V481" s="1">
        <v>1</v>
      </c>
      <c r="W481" s="1" t="s">
        <v>258</v>
      </c>
      <c r="Y481" s="1" t="s">
        <v>32</v>
      </c>
      <c r="Z481" s="1" t="s">
        <v>23</v>
      </c>
    </row>
    <row r="482" spans="1:26" x14ac:dyDescent="0.35">
      <c r="A482" s="1">
        <v>4006023</v>
      </c>
      <c r="B482" s="1" t="s">
        <v>31</v>
      </c>
      <c r="C482" s="1">
        <v>3300</v>
      </c>
      <c r="D482" s="1" t="s">
        <v>30</v>
      </c>
      <c r="E482" s="1">
        <v>301</v>
      </c>
      <c r="F482" s="1">
        <v>0</v>
      </c>
      <c r="G482" s="1">
        <v>180</v>
      </c>
      <c r="H482" s="1" t="s">
        <v>29</v>
      </c>
      <c r="I482" s="1">
        <v>20</v>
      </c>
      <c r="J482" s="1">
        <v>180</v>
      </c>
      <c r="M482" s="1" t="s">
        <v>28</v>
      </c>
      <c r="N482" s="1">
        <v>5</v>
      </c>
      <c r="O482" s="1" t="s">
        <v>386</v>
      </c>
      <c r="P482" s="1">
        <v>44522</v>
      </c>
      <c r="Q482" s="1">
        <v>0.56089120370370005</v>
      </c>
      <c r="R482" s="1" t="s">
        <v>632</v>
      </c>
      <c r="S482" s="1" t="s">
        <v>631</v>
      </c>
      <c r="T482" s="1" t="s">
        <v>335</v>
      </c>
      <c r="U482" s="1" t="s">
        <v>24</v>
      </c>
      <c r="V482" s="1">
        <v>1</v>
      </c>
      <c r="W482" s="1" t="s">
        <v>289</v>
      </c>
      <c r="Y482" s="1" t="s">
        <v>32</v>
      </c>
      <c r="Z482" s="1" t="s">
        <v>23</v>
      </c>
    </row>
    <row r="483" spans="1:26" x14ac:dyDescent="0.35">
      <c r="A483" s="1">
        <v>4006027</v>
      </c>
      <c r="B483" s="1" t="s">
        <v>31</v>
      </c>
      <c r="C483" s="1">
        <v>3300</v>
      </c>
      <c r="D483" s="1" t="s">
        <v>30</v>
      </c>
      <c r="E483" s="1">
        <v>301</v>
      </c>
      <c r="F483" s="1">
        <v>0</v>
      </c>
      <c r="G483" s="1">
        <v>1155</v>
      </c>
      <c r="H483" s="1" t="s">
        <v>29</v>
      </c>
      <c r="I483" s="1">
        <v>20</v>
      </c>
      <c r="J483" s="1">
        <v>360</v>
      </c>
      <c r="M483" s="1" t="s">
        <v>28</v>
      </c>
      <c r="N483" s="1">
        <v>5</v>
      </c>
      <c r="O483" s="1" t="s">
        <v>386</v>
      </c>
      <c r="P483" s="1">
        <v>44522</v>
      </c>
      <c r="Q483" s="1">
        <v>0.56089120370370005</v>
      </c>
      <c r="R483" s="1">
        <v>0</v>
      </c>
      <c r="T483" s="1" t="s">
        <v>335</v>
      </c>
      <c r="U483" s="1" t="s">
        <v>24</v>
      </c>
      <c r="V483" s="1">
        <v>1</v>
      </c>
      <c r="W483" s="1" t="s">
        <v>271</v>
      </c>
      <c r="Y483" s="1" t="s">
        <v>32</v>
      </c>
      <c r="Z483" s="1" t="s">
        <v>23</v>
      </c>
    </row>
    <row r="484" spans="1:26" x14ac:dyDescent="0.35">
      <c r="A484" s="1">
        <v>4006037</v>
      </c>
      <c r="B484" s="1" t="s">
        <v>31</v>
      </c>
      <c r="C484" s="1">
        <v>3300</v>
      </c>
      <c r="D484" s="1" t="s">
        <v>30</v>
      </c>
      <c r="E484" s="1">
        <v>301</v>
      </c>
      <c r="F484" s="1">
        <v>0</v>
      </c>
      <c r="G484" s="1">
        <v>216</v>
      </c>
      <c r="H484" s="1" t="s">
        <v>29</v>
      </c>
      <c r="I484" s="1">
        <v>20</v>
      </c>
      <c r="J484" s="1">
        <v>108</v>
      </c>
      <c r="M484" s="1" t="s">
        <v>28</v>
      </c>
      <c r="N484" s="1">
        <v>5</v>
      </c>
      <c r="O484" s="1" t="s">
        <v>277</v>
      </c>
      <c r="P484" s="1">
        <v>44837</v>
      </c>
      <c r="Q484" s="1">
        <v>0.34376157407406999</v>
      </c>
      <c r="R484" s="1" t="s">
        <v>630</v>
      </c>
      <c r="S484" s="1" t="s">
        <v>629</v>
      </c>
      <c r="T484" s="1" t="s">
        <v>335</v>
      </c>
      <c r="U484" s="1" t="s">
        <v>24</v>
      </c>
      <c r="V484" s="1">
        <v>1</v>
      </c>
      <c r="W484" s="1" t="s">
        <v>258</v>
      </c>
      <c r="Y484" s="1" t="s">
        <v>32</v>
      </c>
      <c r="Z484" s="1" t="s">
        <v>23</v>
      </c>
    </row>
    <row r="485" spans="1:26" x14ac:dyDescent="0.35">
      <c r="A485" s="1">
        <v>4006043</v>
      </c>
      <c r="B485" s="1" t="s">
        <v>31</v>
      </c>
      <c r="C485" s="1">
        <v>3300</v>
      </c>
      <c r="D485" s="1" t="s">
        <v>30</v>
      </c>
      <c r="E485" s="1">
        <v>301</v>
      </c>
      <c r="F485" s="1">
        <v>0</v>
      </c>
      <c r="G485" s="1">
        <v>2000</v>
      </c>
      <c r="H485" s="1" t="s">
        <v>29</v>
      </c>
      <c r="I485" s="1" t="s">
        <v>71</v>
      </c>
      <c r="J485" s="1">
        <v>3200</v>
      </c>
      <c r="M485" s="1" t="s">
        <v>28</v>
      </c>
      <c r="N485" s="1">
        <v>0</v>
      </c>
      <c r="O485" s="1" t="s">
        <v>27</v>
      </c>
      <c r="P485" s="1">
        <v>46021</v>
      </c>
      <c r="Q485" s="1">
        <v>0.28993055555556002</v>
      </c>
      <c r="R485" s="1">
        <v>0</v>
      </c>
      <c r="U485" s="1" t="s">
        <v>24</v>
      </c>
      <c r="V485" s="1">
        <v>1</v>
      </c>
      <c r="W485" s="1" t="s">
        <v>289</v>
      </c>
      <c r="Y485" s="1" t="s">
        <v>32</v>
      </c>
      <c r="Z485" s="1" t="s">
        <v>23</v>
      </c>
    </row>
    <row r="486" spans="1:26" x14ac:dyDescent="0.35">
      <c r="A486" s="1">
        <v>4006062</v>
      </c>
      <c r="B486" s="1" t="s">
        <v>31</v>
      </c>
      <c r="C486" s="1">
        <v>3300</v>
      </c>
      <c r="D486" s="1" t="s">
        <v>30</v>
      </c>
      <c r="E486" s="1">
        <v>301</v>
      </c>
      <c r="F486" s="1">
        <v>0</v>
      </c>
      <c r="G486" s="1">
        <v>144</v>
      </c>
      <c r="H486" s="1" t="s">
        <v>29</v>
      </c>
      <c r="I486" s="1">
        <v>20</v>
      </c>
      <c r="J486" s="1">
        <v>72</v>
      </c>
      <c r="M486" s="1" t="s">
        <v>28</v>
      </c>
      <c r="N486" s="1">
        <v>5</v>
      </c>
      <c r="O486" s="1" t="s">
        <v>277</v>
      </c>
      <c r="P486" s="1">
        <v>44820</v>
      </c>
      <c r="Q486" s="1">
        <v>0.36446759259258998</v>
      </c>
      <c r="R486" s="1">
        <v>0</v>
      </c>
      <c r="T486" s="1" t="s">
        <v>335</v>
      </c>
      <c r="U486" s="1" t="s">
        <v>24</v>
      </c>
      <c r="V486" s="1">
        <v>1</v>
      </c>
      <c r="W486" s="1" t="s">
        <v>258</v>
      </c>
      <c r="Y486" s="1" t="s">
        <v>32</v>
      </c>
      <c r="Z486" s="1" t="s">
        <v>23</v>
      </c>
    </row>
    <row r="487" spans="1:26" x14ac:dyDescent="0.35">
      <c r="A487" s="1">
        <v>4006066</v>
      </c>
      <c r="B487" s="1" t="s">
        <v>31</v>
      </c>
      <c r="C487" s="1">
        <v>3300</v>
      </c>
      <c r="D487" s="1" t="s">
        <v>30</v>
      </c>
      <c r="E487" s="1">
        <v>301</v>
      </c>
      <c r="F487" s="1">
        <v>0</v>
      </c>
      <c r="G487" s="1">
        <v>288</v>
      </c>
      <c r="H487" s="1" t="s">
        <v>29</v>
      </c>
      <c r="I487" s="1">
        <v>20</v>
      </c>
      <c r="J487" s="1">
        <v>144</v>
      </c>
      <c r="M487" s="1" t="s">
        <v>28</v>
      </c>
      <c r="N487" s="1">
        <v>5</v>
      </c>
      <c r="O487" s="1" t="s">
        <v>277</v>
      </c>
      <c r="P487" s="1">
        <v>44804</v>
      </c>
      <c r="Q487" s="1">
        <v>0.52364583333333004</v>
      </c>
      <c r="R487" s="1" t="s">
        <v>628</v>
      </c>
      <c r="S487" s="1" t="s">
        <v>627</v>
      </c>
      <c r="T487" s="1" t="s">
        <v>335</v>
      </c>
      <c r="U487" s="1" t="s">
        <v>24</v>
      </c>
      <c r="V487" s="1">
        <v>1</v>
      </c>
      <c r="W487" s="1" t="s">
        <v>258</v>
      </c>
      <c r="Y487" s="1" t="s">
        <v>32</v>
      </c>
      <c r="Z487" s="1" t="s">
        <v>23</v>
      </c>
    </row>
    <row r="488" spans="1:26" x14ac:dyDescent="0.35">
      <c r="A488" s="1">
        <v>4006072</v>
      </c>
      <c r="B488" s="1" t="s">
        <v>31</v>
      </c>
      <c r="C488" s="1">
        <v>3300</v>
      </c>
      <c r="D488" s="1" t="s">
        <v>30</v>
      </c>
      <c r="E488" s="1">
        <v>301</v>
      </c>
      <c r="F488" s="1">
        <v>0</v>
      </c>
      <c r="G488" s="1">
        <v>108</v>
      </c>
      <c r="H488" s="1" t="s">
        <v>29</v>
      </c>
      <c r="I488" s="1">
        <v>20</v>
      </c>
      <c r="J488" s="1">
        <v>72</v>
      </c>
      <c r="M488" s="1" t="s">
        <v>28</v>
      </c>
      <c r="N488" s="1">
        <v>0</v>
      </c>
      <c r="O488" s="1" t="s">
        <v>27</v>
      </c>
      <c r="P488" s="1">
        <v>45625</v>
      </c>
      <c r="Q488" s="1">
        <v>0.33170138888889</v>
      </c>
      <c r="R488" s="1" t="s">
        <v>626</v>
      </c>
      <c r="S488" s="1" t="s">
        <v>625</v>
      </c>
      <c r="U488" s="1" t="s">
        <v>24</v>
      </c>
      <c r="V488" s="1">
        <v>1</v>
      </c>
      <c r="X488" s="1" t="s">
        <v>24</v>
      </c>
      <c r="Y488" s="1" t="s">
        <v>23</v>
      </c>
      <c r="Z488" s="1" t="s">
        <v>32</v>
      </c>
    </row>
    <row r="489" spans="1:26" x14ac:dyDescent="0.35">
      <c r="A489" s="1">
        <v>4006075</v>
      </c>
      <c r="B489" s="1" t="s">
        <v>31</v>
      </c>
      <c r="C489" s="1">
        <v>3300</v>
      </c>
      <c r="D489" s="1" t="s">
        <v>41</v>
      </c>
      <c r="E489" s="1">
        <v>301</v>
      </c>
      <c r="G489" s="1">
        <v>0</v>
      </c>
      <c r="J489" s="1">
        <v>0</v>
      </c>
      <c r="M489" s="1" t="s">
        <v>28</v>
      </c>
      <c r="N489" s="1">
        <v>0</v>
      </c>
      <c r="O489" s="1" t="s">
        <v>27</v>
      </c>
      <c r="P489" s="1">
        <v>45625</v>
      </c>
      <c r="Q489" s="1">
        <v>0.33505787037036999</v>
      </c>
      <c r="R489" s="1" t="s">
        <v>624</v>
      </c>
      <c r="S489" s="1" t="s">
        <v>623</v>
      </c>
      <c r="U489" s="1" t="s">
        <v>24</v>
      </c>
      <c r="V489" s="1">
        <v>1</v>
      </c>
      <c r="Y489" s="1" t="s">
        <v>23</v>
      </c>
      <c r="Z489" s="1" t="s">
        <v>23</v>
      </c>
    </row>
    <row r="490" spans="1:26" x14ac:dyDescent="0.35">
      <c r="A490" s="1">
        <v>4006088</v>
      </c>
      <c r="B490" s="1" t="s">
        <v>31</v>
      </c>
      <c r="C490" s="1">
        <v>3300</v>
      </c>
      <c r="D490" s="1" t="s">
        <v>30</v>
      </c>
      <c r="E490" s="1">
        <v>301</v>
      </c>
      <c r="F490" s="1">
        <v>0</v>
      </c>
      <c r="G490" s="1">
        <v>565</v>
      </c>
      <c r="H490" s="1" t="s">
        <v>29</v>
      </c>
      <c r="I490" s="1">
        <v>20</v>
      </c>
      <c r="J490" s="1">
        <v>252</v>
      </c>
      <c r="M490" s="1" t="s">
        <v>28</v>
      </c>
      <c r="N490" s="1">
        <v>5</v>
      </c>
      <c r="O490" s="1" t="s">
        <v>386</v>
      </c>
      <c r="P490" s="1">
        <v>44522</v>
      </c>
      <c r="Q490" s="1">
        <v>0.56086805555555996</v>
      </c>
      <c r="R490" s="1">
        <v>0</v>
      </c>
      <c r="T490" s="1" t="s">
        <v>335</v>
      </c>
      <c r="U490" s="1" t="s">
        <v>24</v>
      </c>
      <c r="V490" s="1">
        <v>1</v>
      </c>
      <c r="W490" s="1" t="s">
        <v>289</v>
      </c>
      <c r="Y490" s="1" t="s">
        <v>32</v>
      </c>
      <c r="Z490" s="1" t="s">
        <v>23</v>
      </c>
    </row>
    <row r="491" spans="1:26" x14ac:dyDescent="0.35">
      <c r="A491" s="1">
        <v>4006094</v>
      </c>
      <c r="B491" s="1" t="s">
        <v>31</v>
      </c>
      <c r="C491" s="1">
        <v>3300</v>
      </c>
      <c r="D491" s="1" t="s">
        <v>30</v>
      </c>
      <c r="E491" s="1">
        <v>301</v>
      </c>
      <c r="F491" s="1">
        <v>0</v>
      </c>
      <c r="G491" s="1">
        <v>430</v>
      </c>
      <c r="H491" s="1" t="s">
        <v>29</v>
      </c>
      <c r="I491" s="1">
        <v>20</v>
      </c>
      <c r="J491" s="1">
        <v>216</v>
      </c>
      <c r="M491" s="1" t="s">
        <v>28</v>
      </c>
      <c r="N491" s="1">
        <v>5</v>
      </c>
      <c r="O491" s="1" t="s">
        <v>386</v>
      </c>
      <c r="P491" s="1">
        <v>44522</v>
      </c>
      <c r="Q491" s="1">
        <v>0.56087962962963001</v>
      </c>
      <c r="R491" s="1" t="s">
        <v>622</v>
      </c>
      <c r="S491" s="1" t="s">
        <v>621</v>
      </c>
      <c r="T491" s="1" t="s">
        <v>335</v>
      </c>
      <c r="U491" s="1" t="s">
        <v>24</v>
      </c>
      <c r="V491" s="1">
        <v>1</v>
      </c>
      <c r="W491" s="1" t="s">
        <v>289</v>
      </c>
      <c r="Y491" s="1" t="s">
        <v>32</v>
      </c>
      <c r="Z491" s="1" t="s">
        <v>23</v>
      </c>
    </row>
    <row r="492" spans="1:26" x14ac:dyDescent="0.35">
      <c r="A492" s="1">
        <v>4006098</v>
      </c>
      <c r="B492" s="1" t="s">
        <v>31</v>
      </c>
      <c r="C492" s="1">
        <v>3300</v>
      </c>
      <c r="D492" s="1" t="s">
        <v>30</v>
      </c>
      <c r="E492" s="1">
        <v>301</v>
      </c>
      <c r="F492" s="1">
        <v>0</v>
      </c>
      <c r="G492" s="1">
        <v>479</v>
      </c>
      <c r="H492" s="1" t="s">
        <v>29</v>
      </c>
      <c r="I492" s="1">
        <v>20</v>
      </c>
      <c r="J492" s="1">
        <v>216</v>
      </c>
      <c r="M492" s="1" t="s">
        <v>28</v>
      </c>
      <c r="N492" s="1">
        <v>5</v>
      </c>
      <c r="O492" s="1" t="s">
        <v>386</v>
      </c>
      <c r="P492" s="1">
        <v>44522</v>
      </c>
      <c r="Q492" s="1">
        <v>0.56087962962963001</v>
      </c>
      <c r="R492" s="1">
        <v>0</v>
      </c>
      <c r="T492" s="1" t="s">
        <v>335</v>
      </c>
      <c r="U492" s="1" t="s">
        <v>24</v>
      </c>
      <c r="V492" s="1">
        <v>1</v>
      </c>
      <c r="W492" s="1" t="s">
        <v>258</v>
      </c>
      <c r="Y492" s="1" t="s">
        <v>32</v>
      </c>
      <c r="Z492" s="1" t="s">
        <v>23</v>
      </c>
    </row>
    <row r="493" spans="1:26" x14ac:dyDescent="0.35">
      <c r="A493" s="1">
        <v>4006114</v>
      </c>
      <c r="B493" s="1" t="s">
        <v>31</v>
      </c>
      <c r="C493" s="1">
        <v>3300</v>
      </c>
      <c r="D493" s="1" t="s">
        <v>41</v>
      </c>
      <c r="E493" s="1">
        <v>301</v>
      </c>
      <c r="F493" s="1">
        <v>0</v>
      </c>
      <c r="G493" s="1">
        <v>0</v>
      </c>
      <c r="I493" s="1" t="s">
        <v>247</v>
      </c>
      <c r="J493" s="1">
        <v>0</v>
      </c>
      <c r="M493" s="1" t="s">
        <v>28</v>
      </c>
      <c r="N493" s="1">
        <v>0</v>
      </c>
      <c r="O493" s="1" t="s">
        <v>277</v>
      </c>
      <c r="P493" s="1">
        <v>44721</v>
      </c>
      <c r="Q493" s="1">
        <v>0.49687500000000001</v>
      </c>
      <c r="R493" s="1">
        <v>0</v>
      </c>
      <c r="U493" s="1" t="s">
        <v>24</v>
      </c>
      <c r="V493" s="1">
        <v>1</v>
      </c>
      <c r="W493" s="1" t="s">
        <v>258</v>
      </c>
      <c r="Y493" s="1" t="s">
        <v>32</v>
      </c>
      <c r="Z493" s="1" t="s">
        <v>23</v>
      </c>
    </row>
    <row r="494" spans="1:26" x14ac:dyDescent="0.35">
      <c r="A494" s="1">
        <v>4006157</v>
      </c>
      <c r="B494" s="1" t="s">
        <v>31</v>
      </c>
      <c r="C494" s="1">
        <v>3300</v>
      </c>
      <c r="D494" s="1" t="s">
        <v>30</v>
      </c>
      <c r="E494" s="1">
        <v>301</v>
      </c>
      <c r="F494" s="1">
        <v>0</v>
      </c>
      <c r="G494" s="1">
        <v>50</v>
      </c>
      <c r="H494" s="1" t="s">
        <v>29</v>
      </c>
      <c r="I494" s="1" t="s">
        <v>71</v>
      </c>
      <c r="J494" s="1">
        <v>50</v>
      </c>
      <c r="M494" s="1" t="s">
        <v>28</v>
      </c>
      <c r="N494" s="1">
        <v>0</v>
      </c>
      <c r="O494" s="1" t="s">
        <v>27</v>
      </c>
      <c r="P494" s="1">
        <v>45947</v>
      </c>
      <c r="Q494" s="1">
        <v>0.29355324074074002</v>
      </c>
      <c r="R494" s="1" t="s">
        <v>620</v>
      </c>
      <c r="S494" s="1" t="s">
        <v>619</v>
      </c>
      <c r="U494" s="1" t="s">
        <v>24</v>
      </c>
      <c r="V494" s="1">
        <v>1</v>
      </c>
      <c r="W494" s="1" t="s">
        <v>289</v>
      </c>
      <c r="X494" s="1" t="s">
        <v>24</v>
      </c>
      <c r="Y494" s="1" t="s">
        <v>32</v>
      </c>
      <c r="Z494" s="1" t="s">
        <v>32</v>
      </c>
    </row>
    <row r="495" spans="1:26" x14ac:dyDescent="0.35">
      <c r="A495" s="1">
        <v>4006159</v>
      </c>
      <c r="B495" s="1" t="s">
        <v>31</v>
      </c>
      <c r="C495" s="1">
        <v>3300</v>
      </c>
      <c r="D495" s="1" t="s">
        <v>30</v>
      </c>
      <c r="E495" s="1">
        <v>301</v>
      </c>
      <c r="F495" s="1">
        <v>0</v>
      </c>
      <c r="G495" s="1">
        <v>2400</v>
      </c>
      <c r="H495" s="1" t="s">
        <v>29</v>
      </c>
      <c r="I495" s="1">
        <v>20</v>
      </c>
      <c r="J495" s="1">
        <v>800</v>
      </c>
      <c r="M495" s="1" t="s">
        <v>28</v>
      </c>
      <c r="N495" s="1">
        <v>5</v>
      </c>
      <c r="O495" s="1" t="s">
        <v>277</v>
      </c>
      <c r="P495" s="1">
        <v>44816</v>
      </c>
      <c r="Q495" s="1">
        <v>0.4537037037037</v>
      </c>
      <c r="R495" s="1">
        <v>0</v>
      </c>
      <c r="T495" s="1" t="s">
        <v>335</v>
      </c>
      <c r="U495" s="1" t="s">
        <v>24</v>
      </c>
      <c r="V495" s="1">
        <v>1</v>
      </c>
      <c r="W495" s="1" t="s">
        <v>258</v>
      </c>
      <c r="Y495" s="1" t="s">
        <v>32</v>
      </c>
      <c r="Z495" s="1" t="s">
        <v>23</v>
      </c>
    </row>
    <row r="496" spans="1:26" x14ac:dyDescent="0.35">
      <c r="A496" s="1">
        <v>4006161</v>
      </c>
      <c r="B496" s="1" t="s">
        <v>31</v>
      </c>
      <c r="C496" s="1">
        <v>3300</v>
      </c>
      <c r="D496" s="1" t="s">
        <v>30</v>
      </c>
      <c r="E496" s="1">
        <v>301</v>
      </c>
      <c r="F496" s="1">
        <v>0</v>
      </c>
      <c r="G496" s="1">
        <v>640</v>
      </c>
      <c r="H496" s="1" t="s">
        <v>29</v>
      </c>
      <c r="I496" s="1" t="s">
        <v>71</v>
      </c>
      <c r="J496" s="1">
        <v>640</v>
      </c>
      <c r="M496" s="1" t="s">
        <v>28</v>
      </c>
      <c r="N496" s="1">
        <v>0</v>
      </c>
      <c r="O496" s="1" t="s">
        <v>27</v>
      </c>
      <c r="P496" s="1">
        <v>45623</v>
      </c>
      <c r="Q496" s="1">
        <v>0.29474537037037002</v>
      </c>
      <c r="R496" s="1" t="s">
        <v>618</v>
      </c>
      <c r="S496" s="1" t="s">
        <v>617</v>
      </c>
      <c r="T496" s="1" t="s">
        <v>335</v>
      </c>
      <c r="U496" s="1" t="s">
        <v>24</v>
      </c>
      <c r="V496" s="1">
        <v>1</v>
      </c>
      <c r="W496" s="1" t="s">
        <v>289</v>
      </c>
      <c r="Y496" s="1" t="s">
        <v>32</v>
      </c>
      <c r="Z496" s="1" t="s">
        <v>23</v>
      </c>
    </row>
    <row r="497" spans="1:26" x14ac:dyDescent="0.35">
      <c r="A497" s="1">
        <v>4006163</v>
      </c>
      <c r="B497" s="1" t="s">
        <v>31</v>
      </c>
      <c r="C497" s="1">
        <v>3300</v>
      </c>
      <c r="D497" s="1" t="s">
        <v>41</v>
      </c>
      <c r="E497" s="1">
        <v>301</v>
      </c>
      <c r="F497" s="1">
        <v>0</v>
      </c>
      <c r="G497" s="1">
        <v>179</v>
      </c>
      <c r="H497" s="1" t="s">
        <v>29</v>
      </c>
      <c r="I497" s="1">
        <v>20</v>
      </c>
      <c r="J497" s="1">
        <v>120</v>
      </c>
      <c r="K497" s="1" t="s">
        <v>24</v>
      </c>
      <c r="M497" s="1" t="s">
        <v>28</v>
      </c>
      <c r="N497" s="1">
        <v>5</v>
      </c>
      <c r="O497" s="1" t="s">
        <v>316</v>
      </c>
      <c r="P497" s="1">
        <v>44602</v>
      </c>
      <c r="Q497" s="1">
        <v>0.27067129629629999</v>
      </c>
      <c r="R497" s="1" t="s">
        <v>616</v>
      </c>
      <c r="S497" s="1" t="s">
        <v>615</v>
      </c>
      <c r="T497" s="1" t="s">
        <v>335</v>
      </c>
      <c r="W497" s="1" t="s">
        <v>258</v>
      </c>
      <c r="Y497" s="1" t="s">
        <v>32</v>
      </c>
      <c r="Z497" s="1" t="s">
        <v>23</v>
      </c>
    </row>
    <row r="498" spans="1:26" x14ac:dyDescent="0.35">
      <c r="A498" s="1">
        <v>4006164</v>
      </c>
      <c r="B498" s="1" t="s">
        <v>31</v>
      </c>
      <c r="C498" s="1">
        <v>3300</v>
      </c>
      <c r="D498" s="1" t="s">
        <v>41</v>
      </c>
      <c r="E498" s="1">
        <v>301</v>
      </c>
      <c r="F498" s="1">
        <v>0</v>
      </c>
      <c r="G498" s="1">
        <v>157</v>
      </c>
      <c r="H498" s="1" t="s">
        <v>29</v>
      </c>
      <c r="I498" s="1">
        <v>20</v>
      </c>
      <c r="J498" s="1">
        <v>96</v>
      </c>
      <c r="K498" s="1" t="s">
        <v>24</v>
      </c>
      <c r="M498" s="1" t="s">
        <v>28</v>
      </c>
      <c r="N498" s="1">
        <v>5</v>
      </c>
      <c r="O498" s="1" t="s">
        <v>316</v>
      </c>
      <c r="P498" s="1">
        <v>44602</v>
      </c>
      <c r="Q498" s="1">
        <v>0.26641203703703997</v>
      </c>
      <c r="R498" s="1">
        <v>0</v>
      </c>
      <c r="T498" s="1" t="s">
        <v>335</v>
      </c>
      <c r="W498" s="1" t="s">
        <v>258</v>
      </c>
      <c r="Y498" s="1" t="s">
        <v>32</v>
      </c>
      <c r="Z498" s="1" t="s">
        <v>23</v>
      </c>
    </row>
    <row r="499" spans="1:26" x14ac:dyDescent="0.35">
      <c r="A499" s="1">
        <v>4006167</v>
      </c>
      <c r="B499" s="1" t="s">
        <v>31</v>
      </c>
      <c r="C499" s="1">
        <v>3300</v>
      </c>
      <c r="D499" s="1" t="s">
        <v>41</v>
      </c>
      <c r="E499" s="1">
        <v>301</v>
      </c>
      <c r="F499" s="1">
        <v>0</v>
      </c>
      <c r="G499" s="1">
        <v>0</v>
      </c>
      <c r="I499" s="1" t="s">
        <v>71</v>
      </c>
      <c r="J499" s="1">
        <v>0</v>
      </c>
      <c r="M499" s="1" t="s">
        <v>28</v>
      </c>
      <c r="N499" s="1">
        <v>5</v>
      </c>
      <c r="O499" s="1" t="s">
        <v>132</v>
      </c>
      <c r="P499" s="1">
        <v>46036</v>
      </c>
      <c r="Q499" s="1">
        <v>0.42037037037037001</v>
      </c>
      <c r="R499" s="1">
        <v>0</v>
      </c>
      <c r="T499" s="1" t="s">
        <v>335</v>
      </c>
      <c r="U499" s="1" t="s">
        <v>24</v>
      </c>
      <c r="V499" s="1">
        <v>1</v>
      </c>
      <c r="W499" s="1" t="s">
        <v>258</v>
      </c>
      <c r="Y499" s="1" t="s">
        <v>32</v>
      </c>
      <c r="Z499" s="1" t="s">
        <v>23</v>
      </c>
    </row>
    <row r="500" spans="1:26" x14ac:dyDescent="0.35">
      <c r="A500" s="1">
        <v>4006168</v>
      </c>
      <c r="B500" s="1" t="s">
        <v>31</v>
      </c>
      <c r="C500" s="1">
        <v>3300</v>
      </c>
      <c r="D500" s="1" t="s">
        <v>30</v>
      </c>
      <c r="E500" s="1">
        <v>301</v>
      </c>
      <c r="F500" s="1">
        <v>0</v>
      </c>
      <c r="G500" s="1">
        <v>120</v>
      </c>
      <c r="H500" s="1" t="s">
        <v>29</v>
      </c>
      <c r="I500" s="1">
        <v>20</v>
      </c>
      <c r="J500" s="1">
        <v>60</v>
      </c>
      <c r="M500" s="1" t="s">
        <v>28</v>
      </c>
      <c r="N500" s="1">
        <v>5</v>
      </c>
      <c r="O500" s="1" t="s">
        <v>277</v>
      </c>
      <c r="P500" s="1">
        <v>44820</v>
      </c>
      <c r="Q500" s="1">
        <v>0.44478009259258999</v>
      </c>
      <c r="R500" s="1" t="s">
        <v>614</v>
      </c>
      <c r="S500" s="1" t="s">
        <v>613</v>
      </c>
      <c r="T500" s="1" t="s">
        <v>335</v>
      </c>
      <c r="U500" s="1" t="s">
        <v>24</v>
      </c>
      <c r="V500" s="1">
        <v>1</v>
      </c>
      <c r="W500" s="1" t="s">
        <v>258</v>
      </c>
      <c r="Y500" s="1" t="s">
        <v>32</v>
      </c>
      <c r="Z500" s="1" t="s">
        <v>23</v>
      </c>
    </row>
    <row r="501" spans="1:26" x14ac:dyDescent="0.35">
      <c r="A501" s="1">
        <v>4006169</v>
      </c>
      <c r="B501" s="1" t="s">
        <v>31</v>
      </c>
      <c r="C501" s="1">
        <v>3300</v>
      </c>
      <c r="D501" s="1" t="s">
        <v>30</v>
      </c>
      <c r="E501" s="1">
        <v>301</v>
      </c>
      <c r="F501" s="1">
        <v>0</v>
      </c>
      <c r="G501" s="1">
        <v>50</v>
      </c>
      <c r="H501" s="1" t="s">
        <v>29</v>
      </c>
      <c r="I501" s="1">
        <v>20</v>
      </c>
      <c r="J501" s="1">
        <v>80</v>
      </c>
      <c r="M501" s="1" t="s">
        <v>28</v>
      </c>
      <c r="N501" s="1">
        <v>5</v>
      </c>
      <c r="O501" s="1" t="s">
        <v>277</v>
      </c>
      <c r="P501" s="1">
        <v>44727</v>
      </c>
      <c r="Q501" s="1">
        <v>0.39288194444444002</v>
      </c>
      <c r="R501" s="1">
        <v>0</v>
      </c>
      <c r="T501" s="1" t="s">
        <v>335</v>
      </c>
      <c r="U501" s="1" t="s">
        <v>24</v>
      </c>
      <c r="V501" s="1">
        <v>1</v>
      </c>
      <c r="W501" s="1" t="s">
        <v>258</v>
      </c>
      <c r="Y501" s="1" t="s">
        <v>32</v>
      </c>
      <c r="Z501" s="1" t="s">
        <v>23</v>
      </c>
    </row>
    <row r="502" spans="1:26" x14ac:dyDescent="0.35">
      <c r="A502" s="1">
        <v>4006170</v>
      </c>
      <c r="B502" s="1" t="s">
        <v>31</v>
      </c>
      <c r="C502" s="1">
        <v>3300</v>
      </c>
      <c r="D502" s="1" t="s">
        <v>30</v>
      </c>
      <c r="E502" s="1">
        <v>301</v>
      </c>
      <c r="F502" s="1">
        <v>0</v>
      </c>
      <c r="G502" s="1">
        <v>50</v>
      </c>
      <c r="H502" s="1" t="s">
        <v>29</v>
      </c>
      <c r="I502" s="1" t="s">
        <v>71</v>
      </c>
      <c r="J502" s="1">
        <v>50</v>
      </c>
      <c r="M502" s="1" t="s">
        <v>28</v>
      </c>
      <c r="N502" s="1">
        <v>0</v>
      </c>
      <c r="O502" s="1" t="s">
        <v>132</v>
      </c>
      <c r="P502" s="1">
        <v>46036</v>
      </c>
      <c r="Q502" s="1">
        <v>0.42038194444443999</v>
      </c>
      <c r="R502" s="1" t="s">
        <v>612</v>
      </c>
      <c r="S502" s="1" t="s">
        <v>611</v>
      </c>
      <c r="U502" s="1" t="s">
        <v>24</v>
      </c>
      <c r="V502" s="1">
        <v>1</v>
      </c>
      <c r="W502" s="1" t="s">
        <v>258</v>
      </c>
      <c r="Y502" s="1" t="s">
        <v>32</v>
      </c>
      <c r="Z502" s="1" t="s">
        <v>23</v>
      </c>
    </row>
    <row r="503" spans="1:26" x14ac:dyDescent="0.35">
      <c r="A503" s="1">
        <v>4006171</v>
      </c>
      <c r="B503" s="1" t="s">
        <v>31</v>
      </c>
      <c r="C503" s="1">
        <v>3300</v>
      </c>
      <c r="D503" s="1" t="s">
        <v>30</v>
      </c>
      <c r="E503" s="1">
        <v>301</v>
      </c>
      <c r="F503" s="1">
        <v>0</v>
      </c>
      <c r="G503" s="1">
        <v>200</v>
      </c>
      <c r="H503" s="1" t="s">
        <v>29</v>
      </c>
      <c r="I503" s="1" t="s">
        <v>71</v>
      </c>
      <c r="J503" s="1">
        <v>100</v>
      </c>
      <c r="M503" s="1" t="s">
        <v>28</v>
      </c>
      <c r="N503" s="1">
        <v>0</v>
      </c>
      <c r="O503" s="1" t="s">
        <v>132</v>
      </c>
      <c r="P503" s="1">
        <v>46036</v>
      </c>
      <c r="Q503" s="1">
        <v>0.42037037037037001</v>
      </c>
      <c r="R503" s="1" t="s">
        <v>610</v>
      </c>
      <c r="S503" s="1" t="s">
        <v>609</v>
      </c>
      <c r="U503" s="1" t="s">
        <v>24</v>
      </c>
      <c r="V503" s="1">
        <v>1</v>
      </c>
      <c r="W503" s="1" t="s">
        <v>258</v>
      </c>
      <c r="Y503" s="1" t="s">
        <v>32</v>
      </c>
      <c r="Z503" s="1" t="s">
        <v>23</v>
      </c>
    </row>
    <row r="504" spans="1:26" x14ac:dyDescent="0.35">
      <c r="A504" s="1">
        <v>4006172</v>
      </c>
      <c r="B504" s="1" t="s">
        <v>31</v>
      </c>
      <c r="C504" s="1">
        <v>3300</v>
      </c>
      <c r="D504" s="1" t="s">
        <v>41</v>
      </c>
      <c r="E504" s="1">
        <v>301</v>
      </c>
      <c r="F504" s="1">
        <v>0</v>
      </c>
      <c r="G504" s="1">
        <v>2800</v>
      </c>
      <c r="H504" s="1" t="s">
        <v>29</v>
      </c>
      <c r="I504" s="1" t="s">
        <v>71</v>
      </c>
      <c r="J504" s="1">
        <v>2400</v>
      </c>
      <c r="M504" s="1" t="s">
        <v>28</v>
      </c>
      <c r="N504" s="1">
        <v>0</v>
      </c>
      <c r="O504" s="1" t="s">
        <v>27</v>
      </c>
      <c r="P504" s="1">
        <v>46064</v>
      </c>
      <c r="Q504" s="1">
        <v>0.47001157407407002</v>
      </c>
      <c r="R504" s="1" t="s">
        <v>608</v>
      </c>
      <c r="S504" s="1" t="s">
        <v>607</v>
      </c>
      <c r="U504" s="1" t="s">
        <v>24</v>
      </c>
      <c r="V504" s="1">
        <v>1</v>
      </c>
      <c r="W504" s="1" t="s">
        <v>271</v>
      </c>
      <c r="X504" s="1" t="s">
        <v>24</v>
      </c>
      <c r="Y504" s="1" t="s">
        <v>32</v>
      </c>
      <c r="Z504" s="1" t="s">
        <v>32</v>
      </c>
    </row>
    <row r="505" spans="1:26" x14ac:dyDescent="0.35">
      <c r="A505" s="1">
        <v>4006174</v>
      </c>
      <c r="B505" s="1" t="s">
        <v>31</v>
      </c>
      <c r="C505" s="1">
        <v>3300</v>
      </c>
      <c r="D505" s="1" t="s">
        <v>30</v>
      </c>
      <c r="E505" s="1">
        <v>301</v>
      </c>
      <c r="F505" s="1">
        <v>0</v>
      </c>
      <c r="G505" s="1">
        <v>1200</v>
      </c>
      <c r="H505" s="1" t="s">
        <v>29</v>
      </c>
      <c r="I505" s="1" t="s">
        <v>71</v>
      </c>
      <c r="J505" s="1">
        <v>1600</v>
      </c>
      <c r="M505" s="1" t="s">
        <v>28</v>
      </c>
      <c r="N505" s="1">
        <v>5</v>
      </c>
      <c r="O505" s="1" t="s">
        <v>27</v>
      </c>
      <c r="P505" s="1">
        <v>45924</v>
      </c>
      <c r="Q505" s="1">
        <v>0.53657407407406998</v>
      </c>
      <c r="R505" s="1" t="s">
        <v>606</v>
      </c>
      <c r="S505" s="1" t="s">
        <v>605</v>
      </c>
      <c r="T505" s="1" t="s">
        <v>335</v>
      </c>
      <c r="U505" s="1" t="s">
        <v>24</v>
      </c>
      <c r="V505" s="1">
        <v>1</v>
      </c>
      <c r="W505" s="1" t="s">
        <v>258</v>
      </c>
      <c r="Y505" s="1" t="s">
        <v>32</v>
      </c>
      <c r="Z505" s="1" t="s">
        <v>23</v>
      </c>
    </row>
    <row r="506" spans="1:26" x14ac:dyDescent="0.35">
      <c r="A506" s="1">
        <v>4006176</v>
      </c>
      <c r="B506" s="1" t="s">
        <v>31</v>
      </c>
      <c r="C506" s="1">
        <v>3300</v>
      </c>
      <c r="D506" s="1" t="s">
        <v>30</v>
      </c>
      <c r="E506" s="1">
        <v>301</v>
      </c>
      <c r="F506" s="1">
        <v>0</v>
      </c>
      <c r="G506" s="1">
        <v>7000</v>
      </c>
      <c r="H506" s="1" t="s">
        <v>29</v>
      </c>
      <c r="I506" s="1" t="s">
        <v>247</v>
      </c>
      <c r="J506" s="1">
        <v>6480</v>
      </c>
      <c r="M506" s="1" t="s">
        <v>28</v>
      </c>
      <c r="N506" s="1">
        <v>0</v>
      </c>
      <c r="O506" s="1" t="s">
        <v>166</v>
      </c>
      <c r="P506" s="1">
        <v>45686</v>
      </c>
      <c r="Q506" s="1">
        <v>0.37413194444443998</v>
      </c>
      <c r="R506" s="1">
        <v>0</v>
      </c>
      <c r="U506" s="1" t="s">
        <v>24</v>
      </c>
      <c r="V506" s="1">
        <v>1</v>
      </c>
      <c r="W506" s="1" t="s">
        <v>258</v>
      </c>
      <c r="X506" s="1" t="s">
        <v>141</v>
      </c>
      <c r="Y506" s="1" t="s">
        <v>32</v>
      </c>
      <c r="Z506" s="1" t="s">
        <v>32</v>
      </c>
    </row>
    <row r="507" spans="1:26" x14ac:dyDescent="0.35">
      <c r="A507" s="1">
        <v>4006177</v>
      </c>
      <c r="B507" s="1" t="s">
        <v>31</v>
      </c>
      <c r="C507" s="1">
        <v>3300</v>
      </c>
      <c r="D507" s="1" t="s">
        <v>30</v>
      </c>
      <c r="E507" s="1">
        <v>301</v>
      </c>
      <c r="F507" s="1">
        <v>0</v>
      </c>
      <c r="G507" s="1">
        <v>179</v>
      </c>
      <c r="H507" s="1" t="s">
        <v>29</v>
      </c>
      <c r="I507" s="1">
        <v>20</v>
      </c>
      <c r="J507" s="1">
        <v>80</v>
      </c>
      <c r="M507" s="1" t="s">
        <v>28</v>
      </c>
      <c r="N507" s="1">
        <v>5</v>
      </c>
      <c r="O507" s="1" t="s">
        <v>386</v>
      </c>
      <c r="P507" s="1">
        <v>44522</v>
      </c>
      <c r="Q507" s="1">
        <v>0.56089120370370005</v>
      </c>
      <c r="R507" s="1">
        <v>0</v>
      </c>
      <c r="T507" s="1" t="s">
        <v>335</v>
      </c>
      <c r="U507" s="1" t="s">
        <v>24</v>
      </c>
      <c r="V507" s="1">
        <v>1</v>
      </c>
      <c r="W507" s="1" t="s">
        <v>258</v>
      </c>
      <c r="Y507" s="1" t="s">
        <v>32</v>
      </c>
      <c r="Z507" s="1" t="s">
        <v>23</v>
      </c>
    </row>
    <row r="508" spans="1:26" x14ac:dyDescent="0.35">
      <c r="A508" s="1">
        <v>4006181</v>
      </c>
      <c r="B508" s="1" t="s">
        <v>31</v>
      </c>
      <c r="C508" s="1">
        <v>3300</v>
      </c>
      <c r="D508" s="1" t="s">
        <v>41</v>
      </c>
      <c r="E508" s="1">
        <v>301</v>
      </c>
      <c r="F508" s="1">
        <v>0</v>
      </c>
      <c r="G508" s="1">
        <v>0</v>
      </c>
      <c r="J508" s="1">
        <v>0</v>
      </c>
      <c r="K508" s="1" t="s">
        <v>24</v>
      </c>
      <c r="M508" s="1" t="s">
        <v>28</v>
      </c>
      <c r="N508" s="1">
        <v>0</v>
      </c>
      <c r="O508" s="1" t="s">
        <v>277</v>
      </c>
      <c r="P508" s="1">
        <v>44573</v>
      </c>
      <c r="Q508" s="1">
        <v>0.44052083333332998</v>
      </c>
      <c r="R508" s="1" t="s">
        <v>604</v>
      </c>
      <c r="S508" s="1" t="s">
        <v>603</v>
      </c>
      <c r="W508" s="1" t="s">
        <v>258</v>
      </c>
      <c r="Y508" s="1" t="s">
        <v>32</v>
      </c>
      <c r="Z508" s="1" t="s">
        <v>23</v>
      </c>
    </row>
    <row r="509" spans="1:26" x14ac:dyDescent="0.35">
      <c r="A509" s="1">
        <v>4006185</v>
      </c>
      <c r="B509" s="1" t="s">
        <v>31</v>
      </c>
      <c r="C509" s="1">
        <v>3300</v>
      </c>
      <c r="D509" s="1" t="s">
        <v>30</v>
      </c>
      <c r="E509" s="1">
        <v>301</v>
      </c>
      <c r="F509" s="1">
        <v>0</v>
      </c>
      <c r="G509" s="1">
        <v>120</v>
      </c>
      <c r="H509" s="1" t="s">
        <v>29</v>
      </c>
      <c r="I509" s="1">
        <v>20</v>
      </c>
      <c r="J509" s="1">
        <v>60</v>
      </c>
      <c r="M509" s="1" t="s">
        <v>28</v>
      </c>
      <c r="N509" s="1">
        <v>5</v>
      </c>
      <c r="O509" s="1" t="s">
        <v>277</v>
      </c>
      <c r="P509" s="1">
        <v>44820</v>
      </c>
      <c r="Q509" s="1">
        <v>0.42211805555555998</v>
      </c>
      <c r="R509" s="1">
        <v>0</v>
      </c>
      <c r="T509" s="1" t="s">
        <v>335</v>
      </c>
      <c r="U509" s="1" t="s">
        <v>24</v>
      </c>
      <c r="V509" s="1">
        <v>1</v>
      </c>
      <c r="W509" s="1" t="s">
        <v>258</v>
      </c>
      <c r="Y509" s="1" t="s">
        <v>32</v>
      </c>
      <c r="Z509" s="1" t="s">
        <v>23</v>
      </c>
    </row>
    <row r="510" spans="1:26" x14ac:dyDescent="0.35">
      <c r="A510" s="1">
        <v>4006187</v>
      </c>
      <c r="B510" s="1" t="s">
        <v>31</v>
      </c>
      <c r="C510" s="1">
        <v>3300</v>
      </c>
      <c r="D510" s="1" t="s">
        <v>30</v>
      </c>
      <c r="E510" s="1">
        <v>301</v>
      </c>
      <c r="F510" s="1">
        <v>0</v>
      </c>
      <c r="G510" s="1">
        <v>240</v>
      </c>
      <c r="H510" s="1" t="s">
        <v>29</v>
      </c>
      <c r="I510" s="1">
        <v>20</v>
      </c>
      <c r="J510" s="1">
        <v>120</v>
      </c>
      <c r="M510" s="1" t="s">
        <v>28</v>
      </c>
      <c r="N510" s="1">
        <v>5</v>
      </c>
      <c r="O510" s="1" t="s">
        <v>27</v>
      </c>
      <c r="P510" s="1">
        <v>45247</v>
      </c>
      <c r="Q510" s="1">
        <v>0.42283564814815</v>
      </c>
      <c r="R510" s="1" t="s">
        <v>602</v>
      </c>
      <c r="S510" s="1" t="s">
        <v>601</v>
      </c>
      <c r="T510" s="1" t="s">
        <v>335</v>
      </c>
      <c r="U510" s="1" t="s">
        <v>24</v>
      </c>
      <c r="V510" s="1">
        <v>1</v>
      </c>
      <c r="W510" s="1" t="s">
        <v>258</v>
      </c>
      <c r="X510" s="1" t="s">
        <v>141</v>
      </c>
      <c r="Y510" s="1" t="s">
        <v>32</v>
      </c>
      <c r="Z510" s="1" t="s">
        <v>32</v>
      </c>
    </row>
    <row r="511" spans="1:26" x14ac:dyDescent="0.35">
      <c r="A511" s="1">
        <v>4006188</v>
      </c>
      <c r="B511" s="1" t="s">
        <v>31</v>
      </c>
      <c r="C511" s="1">
        <v>3300</v>
      </c>
      <c r="D511" s="1" t="s">
        <v>30</v>
      </c>
      <c r="E511" s="1">
        <v>301</v>
      </c>
      <c r="F511" s="1">
        <v>0</v>
      </c>
      <c r="G511" s="1">
        <v>300</v>
      </c>
      <c r="H511" s="1" t="s">
        <v>29</v>
      </c>
      <c r="I511" s="1" t="s">
        <v>71</v>
      </c>
      <c r="J511" s="1">
        <v>240</v>
      </c>
      <c r="M511" s="1" t="s">
        <v>28</v>
      </c>
      <c r="N511" s="1">
        <v>5</v>
      </c>
      <c r="O511" s="1" t="s">
        <v>132</v>
      </c>
      <c r="P511" s="1">
        <v>46036</v>
      </c>
      <c r="Q511" s="1">
        <v>0.42037037037037001</v>
      </c>
      <c r="R511" s="1" t="s">
        <v>600</v>
      </c>
      <c r="S511" s="1" t="s">
        <v>599</v>
      </c>
      <c r="T511" s="1" t="s">
        <v>335</v>
      </c>
      <c r="U511" s="1" t="s">
        <v>24</v>
      </c>
      <c r="V511" s="1">
        <v>1</v>
      </c>
      <c r="W511" s="1" t="s">
        <v>258</v>
      </c>
      <c r="X511" s="1" t="s">
        <v>24</v>
      </c>
      <c r="Y511" s="1" t="s">
        <v>32</v>
      </c>
      <c r="Z511" s="1" t="s">
        <v>32</v>
      </c>
    </row>
    <row r="512" spans="1:26" x14ac:dyDescent="0.35">
      <c r="A512" s="1">
        <v>4006193</v>
      </c>
      <c r="B512" s="1" t="s">
        <v>31</v>
      </c>
      <c r="C512" s="1">
        <v>3300</v>
      </c>
      <c r="D512" s="1" t="s">
        <v>30</v>
      </c>
      <c r="E512" s="1">
        <v>301</v>
      </c>
      <c r="F512" s="1">
        <v>0</v>
      </c>
      <c r="G512" s="1">
        <v>150</v>
      </c>
      <c r="H512" s="1" t="s">
        <v>29</v>
      </c>
      <c r="I512" s="1">
        <v>20</v>
      </c>
      <c r="J512" s="1">
        <v>200</v>
      </c>
      <c r="M512" s="1" t="s">
        <v>28</v>
      </c>
      <c r="N512" s="1">
        <v>0</v>
      </c>
      <c r="O512" s="1" t="s">
        <v>27</v>
      </c>
      <c r="P512" s="1">
        <v>45247</v>
      </c>
      <c r="Q512" s="1">
        <v>0.42363425925926002</v>
      </c>
      <c r="R512" s="1" t="s">
        <v>598</v>
      </c>
      <c r="S512" s="1" t="s">
        <v>597</v>
      </c>
      <c r="U512" s="1" t="s">
        <v>24</v>
      </c>
      <c r="V512" s="1">
        <v>1</v>
      </c>
      <c r="W512" s="1" t="s">
        <v>258</v>
      </c>
      <c r="X512" s="1" t="s">
        <v>24</v>
      </c>
      <c r="Y512" s="1" t="s">
        <v>32</v>
      </c>
      <c r="Z512" s="1" t="s">
        <v>32</v>
      </c>
    </row>
    <row r="513" spans="1:26" x14ac:dyDescent="0.35">
      <c r="A513" s="1">
        <v>4006210</v>
      </c>
      <c r="B513" s="1" t="s">
        <v>31</v>
      </c>
      <c r="C513" s="1">
        <v>3300</v>
      </c>
      <c r="D513" s="1" t="s">
        <v>30</v>
      </c>
      <c r="E513" s="1">
        <v>301</v>
      </c>
      <c r="F513" s="1">
        <v>0</v>
      </c>
      <c r="G513" s="1">
        <v>100</v>
      </c>
      <c r="H513" s="1" t="s">
        <v>29</v>
      </c>
      <c r="I513" s="1" t="s">
        <v>71</v>
      </c>
      <c r="J513" s="1">
        <v>50</v>
      </c>
      <c r="M513" s="1" t="s">
        <v>28</v>
      </c>
      <c r="N513" s="1">
        <v>0</v>
      </c>
      <c r="O513" s="1" t="s">
        <v>27</v>
      </c>
      <c r="P513" s="1">
        <v>46070</v>
      </c>
      <c r="Q513" s="1">
        <v>0.41435185185184997</v>
      </c>
      <c r="R513" s="1">
        <v>0</v>
      </c>
      <c r="T513" s="1" t="s">
        <v>335</v>
      </c>
      <c r="U513" s="1" t="s">
        <v>24</v>
      </c>
      <c r="V513" s="1">
        <v>1</v>
      </c>
      <c r="W513" s="1" t="s">
        <v>289</v>
      </c>
      <c r="Y513" s="1" t="s">
        <v>32</v>
      </c>
      <c r="Z513" s="1" t="s">
        <v>23</v>
      </c>
    </row>
    <row r="514" spans="1:26" x14ac:dyDescent="0.35">
      <c r="A514" s="1">
        <v>4006235</v>
      </c>
      <c r="B514" s="1" t="s">
        <v>31</v>
      </c>
      <c r="C514" s="1">
        <v>3300</v>
      </c>
      <c r="D514" s="1" t="s">
        <v>30</v>
      </c>
      <c r="E514" s="1">
        <v>301</v>
      </c>
      <c r="F514" s="1">
        <v>0</v>
      </c>
      <c r="G514" s="1">
        <v>126</v>
      </c>
      <c r="H514" s="1" t="s">
        <v>29</v>
      </c>
      <c r="I514" s="1">
        <v>20</v>
      </c>
      <c r="J514" s="1">
        <v>108</v>
      </c>
      <c r="M514" s="1" t="s">
        <v>28</v>
      </c>
      <c r="N514" s="1">
        <v>0</v>
      </c>
      <c r="O514" s="1" t="s">
        <v>27</v>
      </c>
      <c r="P514" s="1">
        <v>45526</v>
      </c>
      <c r="Q514" s="1">
        <v>0.40530092592592998</v>
      </c>
      <c r="R514" s="1" t="s">
        <v>596</v>
      </c>
      <c r="S514" s="1" t="s">
        <v>595</v>
      </c>
      <c r="U514" s="1" t="s">
        <v>24</v>
      </c>
      <c r="V514" s="1">
        <v>1</v>
      </c>
      <c r="X514" s="1" t="s">
        <v>24</v>
      </c>
      <c r="Y514" s="1" t="s">
        <v>23</v>
      </c>
      <c r="Z514" s="1" t="s">
        <v>32</v>
      </c>
    </row>
    <row r="515" spans="1:26" x14ac:dyDescent="0.35">
      <c r="A515" s="1">
        <v>4006236</v>
      </c>
      <c r="B515" s="1" t="s">
        <v>31</v>
      </c>
      <c r="C515" s="1">
        <v>3300</v>
      </c>
      <c r="D515" s="1" t="s">
        <v>30</v>
      </c>
      <c r="E515" s="1">
        <v>301</v>
      </c>
      <c r="F515" s="1">
        <v>0</v>
      </c>
      <c r="G515" s="1">
        <v>12</v>
      </c>
      <c r="H515" s="1" t="s">
        <v>29</v>
      </c>
      <c r="I515" s="1" t="s">
        <v>247</v>
      </c>
      <c r="J515" s="1">
        <v>9</v>
      </c>
      <c r="M515" s="1" t="s">
        <v>28</v>
      </c>
      <c r="N515" s="1">
        <v>0</v>
      </c>
      <c r="O515" s="1" t="s">
        <v>166</v>
      </c>
      <c r="P515" s="1">
        <v>45614</v>
      </c>
      <c r="Q515" s="1">
        <v>0.57043981481480999</v>
      </c>
      <c r="R515" s="1" t="s">
        <v>594</v>
      </c>
      <c r="S515" s="1" t="s">
        <v>593</v>
      </c>
      <c r="U515" s="1" t="s">
        <v>24</v>
      </c>
      <c r="V515" s="1">
        <v>1</v>
      </c>
      <c r="X515" s="1" t="s">
        <v>24</v>
      </c>
      <c r="Y515" s="1" t="s">
        <v>23</v>
      </c>
      <c r="Z515" s="1" t="s">
        <v>32</v>
      </c>
    </row>
    <row r="516" spans="1:26" x14ac:dyDescent="0.35">
      <c r="A516" s="1">
        <v>4006332</v>
      </c>
      <c r="B516" s="1" t="s">
        <v>31</v>
      </c>
      <c r="C516" s="1">
        <v>3300</v>
      </c>
      <c r="D516" s="1" t="s">
        <v>30</v>
      </c>
      <c r="E516" s="1">
        <v>301</v>
      </c>
      <c r="F516" s="1">
        <v>0</v>
      </c>
      <c r="G516" s="1">
        <v>200</v>
      </c>
      <c r="H516" s="1" t="s">
        <v>29</v>
      </c>
      <c r="I516" s="1">
        <v>20</v>
      </c>
      <c r="J516" s="1">
        <v>100</v>
      </c>
      <c r="M516" s="1" t="s">
        <v>28</v>
      </c>
      <c r="N516" s="1">
        <v>5</v>
      </c>
      <c r="O516" s="1" t="s">
        <v>277</v>
      </c>
      <c r="P516" s="1">
        <v>44763</v>
      </c>
      <c r="Q516" s="1">
        <v>0.56893518518519004</v>
      </c>
      <c r="R516" s="1">
        <v>0</v>
      </c>
      <c r="T516" s="1" t="s">
        <v>335</v>
      </c>
      <c r="U516" s="1" t="s">
        <v>24</v>
      </c>
      <c r="V516" s="1">
        <v>1</v>
      </c>
      <c r="W516" s="1" t="s">
        <v>258</v>
      </c>
      <c r="Y516" s="1" t="s">
        <v>32</v>
      </c>
      <c r="Z516" s="1" t="s">
        <v>23</v>
      </c>
    </row>
    <row r="517" spans="1:26" x14ac:dyDescent="0.35">
      <c r="A517" s="1">
        <v>4006333</v>
      </c>
      <c r="B517" s="1" t="s">
        <v>31</v>
      </c>
      <c r="C517" s="1">
        <v>3300</v>
      </c>
      <c r="D517" s="1" t="s">
        <v>30</v>
      </c>
      <c r="E517" s="1">
        <v>301</v>
      </c>
      <c r="F517" s="1">
        <v>0</v>
      </c>
      <c r="G517" s="1">
        <v>140</v>
      </c>
      <c r="H517" s="1" t="s">
        <v>29</v>
      </c>
      <c r="I517" s="1">
        <v>20</v>
      </c>
      <c r="J517" s="1">
        <v>70</v>
      </c>
      <c r="M517" s="1" t="s">
        <v>28</v>
      </c>
      <c r="N517" s="1">
        <v>5</v>
      </c>
      <c r="O517" s="1" t="s">
        <v>277</v>
      </c>
      <c r="P517" s="1">
        <v>44804</v>
      </c>
      <c r="Q517" s="1">
        <v>0.53357638888889003</v>
      </c>
      <c r="R517" s="1" t="s">
        <v>592</v>
      </c>
      <c r="S517" s="1" t="s">
        <v>591</v>
      </c>
      <c r="T517" s="1" t="s">
        <v>335</v>
      </c>
      <c r="U517" s="1" t="s">
        <v>24</v>
      </c>
      <c r="V517" s="1">
        <v>1</v>
      </c>
      <c r="W517" s="1" t="s">
        <v>258</v>
      </c>
      <c r="Y517" s="1" t="s">
        <v>32</v>
      </c>
      <c r="Z517" s="1" t="s">
        <v>23</v>
      </c>
    </row>
    <row r="518" spans="1:26" x14ac:dyDescent="0.35">
      <c r="A518" s="1">
        <v>4006341</v>
      </c>
      <c r="B518" s="1" t="s">
        <v>31</v>
      </c>
      <c r="C518" s="1">
        <v>3300</v>
      </c>
      <c r="D518" s="1" t="s">
        <v>30</v>
      </c>
      <c r="E518" s="1">
        <v>301</v>
      </c>
      <c r="F518" s="1">
        <v>0</v>
      </c>
      <c r="G518" s="1">
        <v>200</v>
      </c>
      <c r="H518" s="1" t="s">
        <v>29</v>
      </c>
      <c r="I518" s="1">
        <v>20</v>
      </c>
      <c r="J518" s="1">
        <v>500</v>
      </c>
      <c r="M518" s="1" t="s">
        <v>28</v>
      </c>
      <c r="N518" s="1">
        <v>0</v>
      </c>
      <c r="O518" s="1" t="s">
        <v>27</v>
      </c>
      <c r="P518" s="1">
        <v>45572</v>
      </c>
      <c r="Q518" s="1">
        <v>0.32087962962963001</v>
      </c>
      <c r="R518" s="1" t="s">
        <v>590</v>
      </c>
      <c r="S518" s="1" t="s">
        <v>589</v>
      </c>
      <c r="U518" s="1" t="s">
        <v>24</v>
      </c>
      <c r="V518" s="1">
        <v>1</v>
      </c>
      <c r="X518" s="1" t="s">
        <v>24</v>
      </c>
      <c r="Y518" s="1" t="s">
        <v>23</v>
      </c>
      <c r="Z518" s="1" t="s">
        <v>32</v>
      </c>
    </row>
    <row r="519" spans="1:26" x14ac:dyDescent="0.35">
      <c r="A519" s="1">
        <v>4006367</v>
      </c>
      <c r="B519" s="1" t="s">
        <v>31</v>
      </c>
      <c r="C519" s="1">
        <v>3300</v>
      </c>
      <c r="D519" s="1" t="s">
        <v>30</v>
      </c>
      <c r="E519" s="1">
        <v>301</v>
      </c>
      <c r="F519" s="1">
        <v>0</v>
      </c>
      <c r="G519" s="1">
        <v>2000</v>
      </c>
      <c r="H519" s="1" t="s">
        <v>29</v>
      </c>
      <c r="I519" s="1">
        <v>20</v>
      </c>
      <c r="J519" s="1">
        <v>2000</v>
      </c>
      <c r="M519" s="1" t="s">
        <v>28</v>
      </c>
      <c r="N519" s="1">
        <v>5</v>
      </c>
      <c r="O519" s="1" t="s">
        <v>199</v>
      </c>
      <c r="P519" s="1">
        <v>45959</v>
      </c>
      <c r="Q519" s="1">
        <v>0.56807870370369995</v>
      </c>
      <c r="R519" s="1" t="s">
        <v>588</v>
      </c>
      <c r="S519" s="1" t="s">
        <v>587</v>
      </c>
      <c r="T519" s="1" t="s">
        <v>335</v>
      </c>
      <c r="U519" s="1" t="s">
        <v>24</v>
      </c>
      <c r="V519" s="1">
        <v>1</v>
      </c>
      <c r="W519" s="1" t="s">
        <v>271</v>
      </c>
      <c r="Y519" s="1" t="s">
        <v>32</v>
      </c>
      <c r="Z519" s="1" t="s">
        <v>23</v>
      </c>
    </row>
    <row r="520" spans="1:26" x14ac:dyDescent="0.35">
      <c r="A520" s="1">
        <v>4006368</v>
      </c>
      <c r="B520" s="1" t="s">
        <v>31</v>
      </c>
      <c r="C520" s="1">
        <v>3300</v>
      </c>
      <c r="D520" s="1" t="s">
        <v>30</v>
      </c>
      <c r="E520" s="1">
        <v>301</v>
      </c>
      <c r="F520" s="1">
        <v>0</v>
      </c>
      <c r="G520" s="1">
        <v>1686</v>
      </c>
      <c r="H520" s="1" t="s">
        <v>29</v>
      </c>
      <c r="I520" s="1">
        <v>20</v>
      </c>
      <c r="J520" s="1">
        <v>760</v>
      </c>
      <c r="M520" s="1" t="s">
        <v>28</v>
      </c>
      <c r="N520" s="1">
        <v>5</v>
      </c>
      <c r="O520" s="1" t="s">
        <v>386</v>
      </c>
      <c r="P520" s="1">
        <v>44522</v>
      </c>
      <c r="Q520" s="1">
        <v>0.56112268518519004</v>
      </c>
      <c r="R520" s="1">
        <v>0</v>
      </c>
      <c r="T520" s="1" t="s">
        <v>335</v>
      </c>
      <c r="U520" s="1" t="s">
        <v>24</v>
      </c>
      <c r="V520" s="1">
        <v>1</v>
      </c>
      <c r="W520" s="1" t="s">
        <v>271</v>
      </c>
      <c r="Y520" s="1" t="s">
        <v>32</v>
      </c>
      <c r="Z520" s="1" t="s">
        <v>23</v>
      </c>
    </row>
    <row r="521" spans="1:26" x14ac:dyDescent="0.35">
      <c r="A521" s="1">
        <v>4006370</v>
      </c>
      <c r="B521" s="1" t="s">
        <v>31</v>
      </c>
      <c r="C521" s="1">
        <v>3300</v>
      </c>
      <c r="D521" s="1" t="s">
        <v>30</v>
      </c>
      <c r="E521" s="1">
        <v>301</v>
      </c>
      <c r="F521" s="1">
        <v>0</v>
      </c>
      <c r="G521" s="1">
        <v>5605</v>
      </c>
      <c r="H521" s="1" t="s">
        <v>29</v>
      </c>
      <c r="I521" s="1">
        <v>20</v>
      </c>
      <c r="J521" s="1">
        <v>2400</v>
      </c>
      <c r="M521" s="1" t="s">
        <v>28</v>
      </c>
      <c r="N521" s="1">
        <v>5</v>
      </c>
      <c r="O521" s="1" t="s">
        <v>386</v>
      </c>
      <c r="P521" s="1">
        <v>44522</v>
      </c>
      <c r="Q521" s="1">
        <v>0.56091435185185001</v>
      </c>
      <c r="R521" s="1" t="s">
        <v>586</v>
      </c>
      <c r="S521" s="1" t="s">
        <v>585</v>
      </c>
      <c r="T521" s="1" t="s">
        <v>335</v>
      </c>
      <c r="U521" s="1" t="s">
        <v>24</v>
      </c>
      <c r="V521" s="1">
        <v>1</v>
      </c>
      <c r="W521" s="1" t="s">
        <v>289</v>
      </c>
      <c r="Y521" s="1" t="s">
        <v>32</v>
      </c>
      <c r="Z521" s="1" t="s">
        <v>23</v>
      </c>
    </row>
    <row r="522" spans="1:26" x14ac:dyDescent="0.35">
      <c r="A522" s="1">
        <v>4006372</v>
      </c>
      <c r="B522" s="1" t="s">
        <v>31</v>
      </c>
      <c r="C522" s="1">
        <v>3300</v>
      </c>
      <c r="D522" s="1" t="s">
        <v>30</v>
      </c>
      <c r="E522" s="1">
        <v>301</v>
      </c>
      <c r="F522" s="1">
        <v>0</v>
      </c>
      <c r="G522" s="1">
        <v>600</v>
      </c>
      <c r="H522" s="1" t="s">
        <v>29</v>
      </c>
      <c r="I522" s="1">
        <v>20</v>
      </c>
      <c r="J522" s="1">
        <v>600</v>
      </c>
      <c r="M522" s="1" t="s">
        <v>28</v>
      </c>
      <c r="N522" s="1">
        <v>5</v>
      </c>
      <c r="O522" s="1" t="s">
        <v>27</v>
      </c>
      <c r="P522" s="1">
        <v>45554</v>
      </c>
      <c r="Q522" s="1">
        <v>0.31768518518519001</v>
      </c>
      <c r="R522" s="1" t="s">
        <v>584</v>
      </c>
      <c r="S522" s="1" t="s">
        <v>583</v>
      </c>
      <c r="T522" s="1" t="s">
        <v>335</v>
      </c>
      <c r="U522" s="1" t="s">
        <v>24</v>
      </c>
      <c r="V522" s="1">
        <v>1</v>
      </c>
      <c r="W522" s="1" t="s">
        <v>258</v>
      </c>
      <c r="Y522" s="1" t="s">
        <v>32</v>
      </c>
      <c r="Z522" s="1" t="s">
        <v>23</v>
      </c>
    </row>
    <row r="523" spans="1:26" x14ac:dyDescent="0.35">
      <c r="A523" s="1">
        <v>4006375</v>
      </c>
      <c r="B523" s="1" t="s">
        <v>31</v>
      </c>
      <c r="C523" s="1">
        <v>3300</v>
      </c>
      <c r="D523" s="1" t="s">
        <v>30</v>
      </c>
      <c r="E523" s="1">
        <v>301</v>
      </c>
      <c r="F523" s="1">
        <v>0</v>
      </c>
      <c r="G523" s="1">
        <v>1800</v>
      </c>
      <c r="H523" s="1" t="s">
        <v>29</v>
      </c>
      <c r="I523" s="1">
        <v>20</v>
      </c>
      <c r="J523" s="1">
        <v>1800</v>
      </c>
      <c r="M523" s="1" t="s">
        <v>28</v>
      </c>
      <c r="N523" s="1">
        <v>5</v>
      </c>
      <c r="O523" s="1" t="s">
        <v>277</v>
      </c>
      <c r="P523" s="1">
        <v>44804</v>
      </c>
      <c r="Q523" s="1">
        <v>0.45820601851852</v>
      </c>
      <c r="R523" s="1">
        <v>0</v>
      </c>
      <c r="T523" s="1" t="s">
        <v>335</v>
      </c>
      <c r="U523" s="1" t="s">
        <v>24</v>
      </c>
      <c r="V523" s="1">
        <v>1</v>
      </c>
      <c r="W523" s="1" t="s">
        <v>258</v>
      </c>
      <c r="Y523" s="1" t="s">
        <v>32</v>
      </c>
      <c r="Z523" s="1" t="s">
        <v>23</v>
      </c>
    </row>
    <row r="524" spans="1:26" x14ac:dyDescent="0.35">
      <c r="A524" s="1">
        <v>4006377</v>
      </c>
      <c r="B524" s="1" t="s">
        <v>31</v>
      </c>
      <c r="C524" s="1">
        <v>3300</v>
      </c>
      <c r="D524" s="1" t="s">
        <v>30</v>
      </c>
      <c r="E524" s="1">
        <v>301</v>
      </c>
      <c r="F524" s="1">
        <v>0</v>
      </c>
      <c r="G524" s="1">
        <v>2400</v>
      </c>
      <c r="H524" s="1" t="s">
        <v>29</v>
      </c>
      <c r="I524" s="1">
        <v>20</v>
      </c>
      <c r="J524" s="1">
        <v>2400</v>
      </c>
      <c r="M524" s="1" t="s">
        <v>28</v>
      </c>
      <c r="N524" s="1">
        <v>5</v>
      </c>
      <c r="O524" s="1" t="s">
        <v>277</v>
      </c>
      <c r="P524" s="1">
        <v>44804</v>
      </c>
      <c r="Q524" s="1">
        <v>0.44520833333332999</v>
      </c>
      <c r="R524" s="1" t="s">
        <v>582</v>
      </c>
      <c r="S524" s="1" t="s">
        <v>581</v>
      </c>
      <c r="T524" s="1" t="s">
        <v>335</v>
      </c>
      <c r="U524" s="1" t="s">
        <v>24</v>
      </c>
      <c r="V524" s="1">
        <v>1</v>
      </c>
      <c r="W524" s="1" t="s">
        <v>258</v>
      </c>
      <c r="Y524" s="1" t="s">
        <v>32</v>
      </c>
      <c r="Z524" s="1" t="s">
        <v>23</v>
      </c>
    </row>
    <row r="525" spans="1:26" x14ac:dyDescent="0.35">
      <c r="A525" s="1">
        <v>4006378</v>
      </c>
      <c r="B525" s="1" t="s">
        <v>31</v>
      </c>
      <c r="C525" s="1">
        <v>3300</v>
      </c>
      <c r="D525" s="1" t="s">
        <v>30</v>
      </c>
      <c r="E525" s="1">
        <v>301</v>
      </c>
      <c r="F525" s="1">
        <v>0</v>
      </c>
      <c r="G525" s="1">
        <v>1479</v>
      </c>
      <c r="H525" s="1" t="s">
        <v>29</v>
      </c>
      <c r="I525" s="1">
        <v>20</v>
      </c>
      <c r="J525" s="1">
        <v>1200</v>
      </c>
      <c r="M525" s="1" t="s">
        <v>28</v>
      </c>
      <c r="N525" s="1">
        <v>5</v>
      </c>
      <c r="O525" s="1" t="s">
        <v>386</v>
      </c>
      <c r="P525" s="1">
        <v>44522</v>
      </c>
      <c r="Q525" s="1">
        <v>0.56091435185185001</v>
      </c>
      <c r="R525" s="1">
        <v>0</v>
      </c>
      <c r="T525" s="1" t="s">
        <v>335</v>
      </c>
      <c r="U525" s="1" t="s">
        <v>24</v>
      </c>
      <c r="V525" s="1">
        <v>1</v>
      </c>
      <c r="W525" s="1" t="s">
        <v>258</v>
      </c>
      <c r="Y525" s="1" t="s">
        <v>32</v>
      </c>
      <c r="Z525" s="1" t="s">
        <v>23</v>
      </c>
    </row>
    <row r="526" spans="1:26" x14ac:dyDescent="0.35">
      <c r="A526" s="1">
        <v>4006380</v>
      </c>
      <c r="B526" s="1" t="s">
        <v>31</v>
      </c>
      <c r="C526" s="1">
        <v>3300</v>
      </c>
      <c r="D526" s="1" t="s">
        <v>30</v>
      </c>
      <c r="E526" s="1">
        <v>301</v>
      </c>
      <c r="F526" s="1">
        <v>0</v>
      </c>
      <c r="G526" s="1">
        <v>3585</v>
      </c>
      <c r="H526" s="1" t="s">
        <v>29</v>
      </c>
      <c r="I526" s="1">
        <v>20</v>
      </c>
      <c r="J526" s="1">
        <v>1800</v>
      </c>
      <c r="M526" s="1" t="s">
        <v>28</v>
      </c>
      <c r="N526" s="1">
        <v>5</v>
      </c>
      <c r="O526" s="1" t="s">
        <v>386</v>
      </c>
      <c r="P526" s="1">
        <v>44522</v>
      </c>
      <c r="Q526" s="1">
        <v>0.56091435185185001</v>
      </c>
      <c r="R526" s="1" t="s">
        <v>580</v>
      </c>
      <c r="S526" s="1" t="s">
        <v>579</v>
      </c>
      <c r="T526" s="1" t="s">
        <v>335</v>
      </c>
      <c r="U526" s="1" t="s">
        <v>24</v>
      </c>
      <c r="V526" s="1">
        <v>1</v>
      </c>
      <c r="W526" s="1" t="s">
        <v>258</v>
      </c>
      <c r="Y526" s="1" t="s">
        <v>32</v>
      </c>
      <c r="Z526" s="1" t="s">
        <v>23</v>
      </c>
    </row>
    <row r="527" spans="1:26" x14ac:dyDescent="0.35">
      <c r="A527" s="1">
        <v>4006381</v>
      </c>
      <c r="B527" s="1" t="s">
        <v>31</v>
      </c>
      <c r="C527" s="1">
        <v>3300</v>
      </c>
      <c r="D527" s="1" t="s">
        <v>30</v>
      </c>
      <c r="E527" s="1">
        <v>301</v>
      </c>
      <c r="F527" s="1">
        <v>0</v>
      </c>
      <c r="G527" s="1">
        <v>1201</v>
      </c>
      <c r="H527" s="1" t="s">
        <v>29</v>
      </c>
      <c r="I527" s="1">
        <v>20</v>
      </c>
      <c r="J527" s="1">
        <v>1200</v>
      </c>
      <c r="M527" s="1" t="s">
        <v>28</v>
      </c>
      <c r="N527" s="1">
        <v>0</v>
      </c>
      <c r="O527" s="1" t="s">
        <v>27</v>
      </c>
      <c r="P527" s="1">
        <v>45800</v>
      </c>
      <c r="Q527" s="1">
        <v>0.35697916666667001</v>
      </c>
      <c r="R527" s="1">
        <v>0</v>
      </c>
      <c r="T527" s="1" t="s">
        <v>335</v>
      </c>
      <c r="U527" s="1" t="s">
        <v>24</v>
      </c>
      <c r="V527" s="1">
        <v>1</v>
      </c>
      <c r="W527" s="1" t="s">
        <v>258</v>
      </c>
      <c r="Y527" s="1" t="s">
        <v>32</v>
      </c>
      <c r="Z527" s="1" t="s">
        <v>23</v>
      </c>
    </row>
    <row r="528" spans="1:26" x14ac:dyDescent="0.35">
      <c r="A528" s="1">
        <v>4006387</v>
      </c>
      <c r="B528" s="1" t="s">
        <v>31</v>
      </c>
      <c r="C528" s="1">
        <v>3300</v>
      </c>
      <c r="D528" s="1" t="s">
        <v>41</v>
      </c>
      <c r="E528" s="1">
        <v>301</v>
      </c>
      <c r="F528" s="1">
        <v>0</v>
      </c>
      <c r="G528" s="1">
        <v>0</v>
      </c>
      <c r="J528" s="1">
        <v>0</v>
      </c>
      <c r="M528" s="1" t="s">
        <v>28</v>
      </c>
      <c r="N528" s="1">
        <v>5</v>
      </c>
      <c r="O528" s="1" t="s">
        <v>277</v>
      </c>
      <c r="P528" s="1">
        <v>44978</v>
      </c>
      <c r="Q528" s="1">
        <v>0.34259259259259001</v>
      </c>
      <c r="R528" s="1">
        <v>0</v>
      </c>
      <c r="T528" s="1" t="s">
        <v>335</v>
      </c>
      <c r="U528" s="1" t="s">
        <v>24</v>
      </c>
      <c r="V528" s="1">
        <v>1</v>
      </c>
      <c r="W528" s="1" t="s">
        <v>258</v>
      </c>
      <c r="Y528" s="1" t="s">
        <v>32</v>
      </c>
      <c r="Z528" s="1" t="s">
        <v>23</v>
      </c>
    </row>
    <row r="529" spans="1:26" x14ac:dyDescent="0.35">
      <c r="A529" s="1">
        <v>4006406</v>
      </c>
      <c r="B529" s="1" t="s">
        <v>31</v>
      </c>
      <c r="C529" s="1">
        <v>3300</v>
      </c>
      <c r="D529" s="1" t="s">
        <v>30</v>
      </c>
      <c r="E529" s="1">
        <v>301</v>
      </c>
      <c r="F529" s="1">
        <v>0</v>
      </c>
      <c r="G529" s="1">
        <v>1500</v>
      </c>
      <c r="H529" s="1" t="s">
        <v>29</v>
      </c>
      <c r="I529" s="1" t="s">
        <v>247</v>
      </c>
      <c r="J529" s="1">
        <v>2400</v>
      </c>
      <c r="M529" s="1" t="s">
        <v>28</v>
      </c>
      <c r="N529" s="1">
        <v>5</v>
      </c>
      <c r="O529" s="1" t="s">
        <v>166</v>
      </c>
      <c r="P529" s="1">
        <v>44999</v>
      </c>
      <c r="Q529" s="1">
        <v>0.55748842592592995</v>
      </c>
      <c r="R529" s="1" t="s">
        <v>578</v>
      </c>
      <c r="S529" s="1" t="s">
        <v>577</v>
      </c>
      <c r="T529" s="1" t="s">
        <v>335</v>
      </c>
      <c r="U529" s="1" t="s">
        <v>24</v>
      </c>
      <c r="V529" s="1">
        <v>1</v>
      </c>
      <c r="W529" s="1" t="s">
        <v>271</v>
      </c>
      <c r="Y529" s="1" t="s">
        <v>32</v>
      </c>
      <c r="Z529" s="1" t="s">
        <v>23</v>
      </c>
    </row>
    <row r="530" spans="1:26" x14ac:dyDescent="0.35">
      <c r="A530" s="1">
        <v>4006417</v>
      </c>
      <c r="B530" s="1" t="s">
        <v>31</v>
      </c>
      <c r="C530" s="1">
        <v>3300</v>
      </c>
      <c r="D530" s="1" t="s">
        <v>41</v>
      </c>
      <c r="E530" s="1">
        <v>301</v>
      </c>
      <c r="G530" s="1">
        <v>0</v>
      </c>
      <c r="J530" s="1">
        <v>0</v>
      </c>
      <c r="K530" s="1" t="s">
        <v>24</v>
      </c>
      <c r="M530" s="1" t="s">
        <v>28</v>
      </c>
      <c r="N530" s="1">
        <v>0</v>
      </c>
      <c r="O530" s="1" t="s">
        <v>316</v>
      </c>
      <c r="P530" s="1">
        <v>44712</v>
      </c>
      <c r="Q530" s="1">
        <v>0.37730324074074001</v>
      </c>
      <c r="R530" s="1">
        <v>0</v>
      </c>
      <c r="W530" s="1" t="s">
        <v>258</v>
      </c>
      <c r="Y530" s="1" t="s">
        <v>32</v>
      </c>
      <c r="Z530" s="1" t="s">
        <v>23</v>
      </c>
    </row>
    <row r="531" spans="1:26" x14ac:dyDescent="0.35">
      <c r="A531" s="1">
        <v>4006431</v>
      </c>
      <c r="B531" s="1" t="s">
        <v>31</v>
      </c>
      <c r="C531" s="1">
        <v>3300</v>
      </c>
      <c r="D531" s="1" t="s">
        <v>30</v>
      </c>
      <c r="E531" s="1">
        <v>301</v>
      </c>
      <c r="F531" s="1">
        <v>0</v>
      </c>
      <c r="G531" s="1">
        <v>500</v>
      </c>
      <c r="H531" s="1" t="s">
        <v>29</v>
      </c>
      <c r="I531" s="1" t="s">
        <v>71</v>
      </c>
      <c r="J531" s="1">
        <v>400</v>
      </c>
      <c r="M531" s="1" t="s">
        <v>28</v>
      </c>
      <c r="N531" s="1">
        <v>0</v>
      </c>
      <c r="O531" s="1" t="s">
        <v>27</v>
      </c>
      <c r="P531" s="1">
        <v>45924</v>
      </c>
      <c r="Q531" s="1">
        <v>0.52043981481481005</v>
      </c>
      <c r="R531" s="1" t="s">
        <v>576</v>
      </c>
      <c r="S531" s="1" t="s">
        <v>575</v>
      </c>
      <c r="T531" s="1" t="s">
        <v>335</v>
      </c>
      <c r="U531" s="1" t="s">
        <v>24</v>
      </c>
      <c r="V531" s="1">
        <v>1</v>
      </c>
      <c r="W531" s="1" t="s">
        <v>271</v>
      </c>
      <c r="X531" s="1" t="s">
        <v>141</v>
      </c>
      <c r="Y531" s="1" t="s">
        <v>32</v>
      </c>
      <c r="Z531" s="1" t="s">
        <v>32</v>
      </c>
    </row>
    <row r="532" spans="1:26" x14ac:dyDescent="0.35">
      <c r="A532" s="1">
        <v>4006432</v>
      </c>
      <c r="B532" s="1" t="s">
        <v>31</v>
      </c>
      <c r="C532" s="1">
        <v>3300</v>
      </c>
      <c r="D532" s="1" t="s">
        <v>30</v>
      </c>
      <c r="E532" s="1">
        <v>301</v>
      </c>
      <c r="F532" s="1">
        <v>0</v>
      </c>
      <c r="G532" s="1">
        <v>450</v>
      </c>
      <c r="H532" s="1" t="s">
        <v>29</v>
      </c>
      <c r="I532" s="1" t="s">
        <v>71</v>
      </c>
      <c r="J532" s="1">
        <v>400</v>
      </c>
      <c r="M532" s="1" t="s">
        <v>28</v>
      </c>
      <c r="N532" s="1">
        <v>0</v>
      </c>
      <c r="O532" s="1" t="s">
        <v>27</v>
      </c>
      <c r="P532" s="1">
        <v>45608</v>
      </c>
      <c r="Q532" s="1">
        <v>0.28348379629629999</v>
      </c>
      <c r="R532" s="1">
        <v>0</v>
      </c>
      <c r="T532" s="1" t="s">
        <v>335</v>
      </c>
      <c r="U532" s="1" t="s">
        <v>24</v>
      </c>
      <c r="V532" s="1">
        <v>1</v>
      </c>
      <c r="W532" s="1" t="s">
        <v>289</v>
      </c>
      <c r="X532" s="1" t="s">
        <v>141</v>
      </c>
      <c r="Y532" s="1" t="s">
        <v>32</v>
      </c>
      <c r="Z532" s="1" t="s">
        <v>32</v>
      </c>
    </row>
    <row r="533" spans="1:26" x14ac:dyDescent="0.35">
      <c r="A533" s="1">
        <v>4006450</v>
      </c>
      <c r="B533" s="1" t="s">
        <v>31</v>
      </c>
      <c r="C533" s="1">
        <v>3300</v>
      </c>
      <c r="D533" s="1" t="s">
        <v>41</v>
      </c>
      <c r="E533" s="1">
        <v>301</v>
      </c>
      <c r="F533" s="1">
        <v>0</v>
      </c>
      <c r="G533" s="1">
        <v>200</v>
      </c>
      <c r="H533" s="1" t="s">
        <v>29</v>
      </c>
      <c r="I533" s="1">
        <v>20</v>
      </c>
      <c r="J533" s="1">
        <v>100</v>
      </c>
      <c r="M533" s="1" t="s">
        <v>28</v>
      </c>
      <c r="N533" s="1">
        <v>0</v>
      </c>
      <c r="O533" s="1" t="s">
        <v>27</v>
      </c>
      <c r="P533" s="1">
        <v>45807</v>
      </c>
      <c r="Q533" s="1">
        <v>0.34496527777778002</v>
      </c>
      <c r="R533" s="1" t="s">
        <v>574</v>
      </c>
      <c r="S533" s="1" t="s">
        <v>573</v>
      </c>
      <c r="U533" s="1" t="s">
        <v>24</v>
      </c>
      <c r="V533" s="1">
        <v>1</v>
      </c>
      <c r="W533" s="1" t="s">
        <v>289</v>
      </c>
      <c r="X533" s="1" t="s">
        <v>24</v>
      </c>
      <c r="Y533" s="1" t="s">
        <v>32</v>
      </c>
      <c r="Z533" s="1" t="s">
        <v>32</v>
      </c>
    </row>
    <row r="534" spans="1:26" x14ac:dyDescent="0.35">
      <c r="A534" s="1">
        <v>4006451</v>
      </c>
      <c r="B534" s="1" t="s">
        <v>31</v>
      </c>
      <c r="C534" s="1">
        <v>3300</v>
      </c>
      <c r="D534" s="1" t="s">
        <v>41</v>
      </c>
      <c r="E534" s="1">
        <v>301</v>
      </c>
      <c r="F534" s="1">
        <v>0</v>
      </c>
      <c r="G534" s="1">
        <v>200</v>
      </c>
      <c r="H534" s="1" t="s">
        <v>29</v>
      </c>
      <c r="I534" s="1">
        <v>20</v>
      </c>
      <c r="J534" s="1">
        <v>100</v>
      </c>
      <c r="M534" s="1" t="s">
        <v>28</v>
      </c>
      <c r="N534" s="1">
        <v>0</v>
      </c>
      <c r="O534" s="1" t="s">
        <v>27</v>
      </c>
      <c r="P534" s="1">
        <v>45807</v>
      </c>
      <c r="Q534" s="1">
        <v>0.34638888888889002</v>
      </c>
      <c r="R534" s="1" t="s">
        <v>572</v>
      </c>
      <c r="S534" s="1" t="s">
        <v>571</v>
      </c>
      <c r="U534" s="1" t="s">
        <v>24</v>
      </c>
      <c r="V534" s="1">
        <v>1</v>
      </c>
      <c r="W534" s="1" t="s">
        <v>289</v>
      </c>
      <c r="X534" s="1" t="s">
        <v>24</v>
      </c>
      <c r="Y534" s="1" t="s">
        <v>32</v>
      </c>
      <c r="Z534" s="1" t="s">
        <v>32</v>
      </c>
    </row>
    <row r="535" spans="1:26" x14ac:dyDescent="0.35">
      <c r="A535" s="1">
        <v>4006464</v>
      </c>
      <c r="B535" s="1" t="s">
        <v>31</v>
      </c>
      <c r="C535" s="1">
        <v>3300</v>
      </c>
      <c r="D535" s="1" t="s">
        <v>30</v>
      </c>
      <c r="E535" s="1">
        <v>301</v>
      </c>
      <c r="F535" s="1">
        <v>0</v>
      </c>
      <c r="G535" s="1">
        <v>75</v>
      </c>
      <c r="H535" s="1" t="s">
        <v>29</v>
      </c>
      <c r="I535" s="1">
        <v>20</v>
      </c>
      <c r="J535" s="1">
        <v>300</v>
      </c>
      <c r="M535" s="1" t="s">
        <v>28</v>
      </c>
      <c r="N535" s="1">
        <v>5</v>
      </c>
      <c r="O535" s="1" t="s">
        <v>27</v>
      </c>
      <c r="P535" s="1">
        <v>45810</v>
      </c>
      <c r="Q535" s="1">
        <v>0.57361111111110996</v>
      </c>
      <c r="R535" s="1" t="s">
        <v>570</v>
      </c>
      <c r="S535" s="1" t="s">
        <v>569</v>
      </c>
      <c r="T535" s="1" t="s">
        <v>335</v>
      </c>
      <c r="U535" s="1" t="s">
        <v>24</v>
      </c>
      <c r="V535" s="1">
        <v>1</v>
      </c>
      <c r="W535" s="1" t="s">
        <v>258</v>
      </c>
      <c r="Y535" s="1" t="s">
        <v>32</v>
      </c>
      <c r="Z535" s="1" t="s">
        <v>23</v>
      </c>
    </row>
    <row r="536" spans="1:26" x14ac:dyDescent="0.35">
      <c r="A536" s="1">
        <v>4006497</v>
      </c>
      <c r="B536" s="1" t="s">
        <v>31</v>
      </c>
      <c r="C536" s="1">
        <v>3300</v>
      </c>
      <c r="D536" s="1" t="s">
        <v>41</v>
      </c>
      <c r="G536" s="1">
        <v>0</v>
      </c>
      <c r="J536" s="1">
        <v>0</v>
      </c>
      <c r="M536" s="1" t="s">
        <v>28</v>
      </c>
      <c r="N536" s="1">
        <v>0</v>
      </c>
      <c r="O536" s="1" t="s">
        <v>236</v>
      </c>
      <c r="P536" s="1">
        <v>45232</v>
      </c>
      <c r="Q536" s="1">
        <v>0.60833333333332995</v>
      </c>
      <c r="R536" s="1" t="s">
        <v>568</v>
      </c>
      <c r="S536" s="1" t="s">
        <v>567</v>
      </c>
      <c r="U536" s="1" t="s">
        <v>24</v>
      </c>
      <c r="V536" s="1">
        <v>1</v>
      </c>
      <c r="W536" s="1" t="s">
        <v>258</v>
      </c>
      <c r="X536" s="1" t="s">
        <v>141</v>
      </c>
      <c r="Y536" s="1" t="s">
        <v>32</v>
      </c>
      <c r="Z536" s="1" t="s">
        <v>32</v>
      </c>
    </row>
    <row r="537" spans="1:26" x14ac:dyDescent="0.35">
      <c r="A537" s="1">
        <v>4006499</v>
      </c>
      <c r="B537" s="1" t="s">
        <v>31</v>
      </c>
      <c r="C537" s="1">
        <v>3300</v>
      </c>
      <c r="D537" s="1" t="s">
        <v>41</v>
      </c>
      <c r="E537" s="1">
        <v>301</v>
      </c>
      <c r="F537" s="1">
        <v>0</v>
      </c>
      <c r="G537" s="1">
        <v>8</v>
      </c>
      <c r="H537" s="1" t="s">
        <v>29</v>
      </c>
      <c r="I537" s="1">
        <v>20</v>
      </c>
      <c r="J537" s="1">
        <v>10</v>
      </c>
      <c r="K537" s="1" t="s">
        <v>24</v>
      </c>
      <c r="M537" s="1" t="s">
        <v>28</v>
      </c>
      <c r="N537" s="1">
        <v>5</v>
      </c>
      <c r="O537" s="1" t="s">
        <v>316</v>
      </c>
      <c r="P537" s="1">
        <v>44624</v>
      </c>
      <c r="Q537" s="1">
        <v>0.31028935185185003</v>
      </c>
      <c r="R537" s="1">
        <v>0</v>
      </c>
      <c r="T537" s="1" t="s">
        <v>335</v>
      </c>
      <c r="W537" s="1" t="s">
        <v>258</v>
      </c>
      <c r="Y537" s="1" t="s">
        <v>32</v>
      </c>
      <c r="Z537" s="1" t="s">
        <v>23</v>
      </c>
    </row>
    <row r="538" spans="1:26" x14ac:dyDescent="0.35">
      <c r="A538" s="1">
        <v>4006501</v>
      </c>
      <c r="B538" s="1" t="s">
        <v>31</v>
      </c>
      <c r="C538" s="1">
        <v>3300</v>
      </c>
      <c r="D538" s="1" t="s">
        <v>30</v>
      </c>
      <c r="E538" s="1">
        <v>301</v>
      </c>
      <c r="F538" s="1">
        <v>0</v>
      </c>
      <c r="G538" s="1">
        <v>4500</v>
      </c>
      <c r="H538" s="1" t="s">
        <v>29</v>
      </c>
      <c r="I538" s="1" t="s">
        <v>71</v>
      </c>
      <c r="J538" s="1">
        <v>3200</v>
      </c>
      <c r="M538" s="1" t="s">
        <v>28</v>
      </c>
      <c r="N538" s="1">
        <v>0</v>
      </c>
      <c r="O538" s="1" t="s">
        <v>199</v>
      </c>
      <c r="P538" s="1">
        <v>45735</v>
      </c>
      <c r="Q538" s="1">
        <v>0.54343750000000002</v>
      </c>
      <c r="R538" s="1">
        <v>0</v>
      </c>
      <c r="U538" s="1" t="s">
        <v>24</v>
      </c>
      <c r="V538" s="1">
        <v>1</v>
      </c>
      <c r="W538" s="1" t="s">
        <v>289</v>
      </c>
      <c r="Y538" s="1" t="s">
        <v>32</v>
      </c>
      <c r="Z538" s="1" t="s">
        <v>23</v>
      </c>
    </row>
    <row r="539" spans="1:26" x14ac:dyDescent="0.35">
      <c r="A539" s="1">
        <v>4006502</v>
      </c>
      <c r="B539" s="1" t="s">
        <v>31</v>
      </c>
      <c r="C539" s="1">
        <v>3300</v>
      </c>
      <c r="D539" s="1" t="s">
        <v>30</v>
      </c>
      <c r="E539" s="1">
        <v>301</v>
      </c>
      <c r="F539" s="1">
        <v>0</v>
      </c>
      <c r="G539" s="1">
        <v>20</v>
      </c>
      <c r="H539" s="1" t="s">
        <v>29</v>
      </c>
      <c r="I539" s="1" t="s">
        <v>274</v>
      </c>
      <c r="J539" s="1">
        <v>20</v>
      </c>
      <c r="M539" s="1" t="s">
        <v>28</v>
      </c>
      <c r="N539" s="1">
        <v>0</v>
      </c>
      <c r="O539" s="1" t="s">
        <v>27</v>
      </c>
      <c r="P539" s="1">
        <v>45085</v>
      </c>
      <c r="Q539" s="1">
        <v>0.46981481481481002</v>
      </c>
      <c r="R539" s="1" t="s">
        <v>566</v>
      </c>
      <c r="S539" s="1" t="s">
        <v>565</v>
      </c>
      <c r="U539" s="1" t="s">
        <v>24</v>
      </c>
      <c r="V539" s="1">
        <v>1</v>
      </c>
      <c r="W539" s="1" t="s">
        <v>258</v>
      </c>
      <c r="Y539" s="1" t="s">
        <v>32</v>
      </c>
      <c r="Z539" s="1" t="s">
        <v>23</v>
      </c>
    </row>
    <row r="540" spans="1:26" x14ac:dyDescent="0.35">
      <c r="A540" s="1">
        <v>4006504</v>
      </c>
      <c r="B540" s="1" t="s">
        <v>31</v>
      </c>
      <c r="C540" s="1">
        <v>3300</v>
      </c>
      <c r="D540" s="1" t="s">
        <v>30</v>
      </c>
      <c r="E540" s="1">
        <v>301</v>
      </c>
      <c r="F540" s="1">
        <v>0</v>
      </c>
      <c r="G540" s="1">
        <v>2400</v>
      </c>
      <c r="H540" s="1" t="s">
        <v>29</v>
      </c>
      <c r="I540" s="1" t="s">
        <v>71</v>
      </c>
      <c r="J540" s="1">
        <v>1200</v>
      </c>
      <c r="M540" s="1" t="s">
        <v>28</v>
      </c>
      <c r="N540" s="1">
        <v>0</v>
      </c>
      <c r="O540" s="1" t="s">
        <v>27</v>
      </c>
      <c r="P540" s="1">
        <v>45646</v>
      </c>
      <c r="Q540" s="1">
        <v>0.29032407407407002</v>
      </c>
      <c r="R540" s="1">
        <v>0</v>
      </c>
      <c r="T540" s="1" t="s">
        <v>335</v>
      </c>
      <c r="U540" s="1" t="s">
        <v>24</v>
      </c>
      <c r="V540" s="1">
        <v>1</v>
      </c>
      <c r="W540" s="1" t="s">
        <v>289</v>
      </c>
      <c r="X540" s="1" t="s">
        <v>141</v>
      </c>
      <c r="Y540" s="1" t="s">
        <v>32</v>
      </c>
      <c r="Z540" s="1" t="s">
        <v>32</v>
      </c>
    </row>
    <row r="541" spans="1:26" x14ac:dyDescent="0.35">
      <c r="A541" s="1">
        <v>4006529</v>
      </c>
      <c r="B541" s="1" t="s">
        <v>31</v>
      </c>
      <c r="C541" s="1">
        <v>3300</v>
      </c>
      <c r="D541" s="1" t="s">
        <v>30</v>
      </c>
      <c r="E541" s="1">
        <v>301</v>
      </c>
      <c r="F541" s="1">
        <v>0</v>
      </c>
      <c r="G541" s="1">
        <v>200</v>
      </c>
      <c r="H541" s="1" t="s">
        <v>29</v>
      </c>
      <c r="I541" s="1" t="s">
        <v>71</v>
      </c>
      <c r="J541" s="1">
        <v>100</v>
      </c>
      <c r="M541" s="1" t="s">
        <v>28</v>
      </c>
      <c r="N541" s="1">
        <v>0</v>
      </c>
      <c r="O541" s="1" t="s">
        <v>132</v>
      </c>
      <c r="P541" s="1">
        <v>46036</v>
      </c>
      <c r="Q541" s="1">
        <v>0.42038194444443999</v>
      </c>
      <c r="R541" s="1" t="s">
        <v>564</v>
      </c>
      <c r="S541" s="1" t="s">
        <v>563</v>
      </c>
      <c r="U541" s="1" t="s">
        <v>24</v>
      </c>
      <c r="V541" s="1">
        <v>1</v>
      </c>
      <c r="W541" s="1" t="s">
        <v>258</v>
      </c>
      <c r="Y541" s="1" t="s">
        <v>32</v>
      </c>
      <c r="Z541" s="1" t="s">
        <v>23</v>
      </c>
    </row>
    <row r="542" spans="1:26" x14ac:dyDescent="0.35">
      <c r="A542" s="1">
        <v>4006543</v>
      </c>
      <c r="B542" s="1" t="s">
        <v>31</v>
      </c>
      <c r="C542" s="1">
        <v>3300</v>
      </c>
      <c r="D542" s="1" t="s">
        <v>30</v>
      </c>
      <c r="E542" s="1">
        <v>301</v>
      </c>
      <c r="F542" s="1">
        <v>0</v>
      </c>
      <c r="G542" s="1">
        <v>15000</v>
      </c>
      <c r="H542" s="1" t="s">
        <v>29</v>
      </c>
      <c r="I542" s="1" t="s">
        <v>247</v>
      </c>
      <c r="J542" s="1">
        <v>7200</v>
      </c>
      <c r="M542" s="1" t="s">
        <v>28</v>
      </c>
      <c r="N542" s="1">
        <v>0</v>
      </c>
      <c r="O542" s="1" t="s">
        <v>166</v>
      </c>
      <c r="P542" s="1">
        <v>45590</v>
      </c>
      <c r="Q542" s="1">
        <v>0.57013888888888997</v>
      </c>
      <c r="R542" s="1" t="s">
        <v>562</v>
      </c>
      <c r="S542" s="1" t="s">
        <v>561</v>
      </c>
      <c r="U542" s="1" t="s">
        <v>24</v>
      </c>
      <c r="V542" s="1">
        <v>1</v>
      </c>
      <c r="W542" s="1" t="s">
        <v>271</v>
      </c>
      <c r="Y542" s="1" t="s">
        <v>32</v>
      </c>
      <c r="Z542" s="1" t="s">
        <v>23</v>
      </c>
    </row>
    <row r="543" spans="1:26" x14ac:dyDescent="0.35">
      <c r="A543" s="1">
        <v>4006545</v>
      </c>
      <c r="B543" s="1" t="s">
        <v>31</v>
      </c>
      <c r="C543" s="1">
        <v>3300</v>
      </c>
      <c r="D543" s="1" t="s">
        <v>30</v>
      </c>
      <c r="E543" s="1">
        <v>301</v>
      </c>
      <c r="F543" s="1">
        <v>0</v>
      </c>
      <c r="G543" s="1">
        <v>6000</v>
      </c>
      <c r="H543" s="1" t="s">
        <v>29</v>
      </c>
      <c r="I543" s="1" t="s">
        <v>71</v>
      </c>
      <c r="J543" s="1">
        <v>10000</v>
      </c>
      <c r="M543" s="1" t="s">
        <v>28</v>
      </c>
      <c r="N543" s="1">
        <v>5</v>
      </c>
      <c r="O543" s="1" t="s">
        <v>27</v>
      </c>
      <c r="P543" s="1">
        <v>45924</v>
      </c>
      <c r="Q543" s="1">
        <v>0.53932870370370001</v>
      </c>
      <c r="R543" s="1" t="s">
        <v>560</v>
      </c>
      <c r="S543" s="1" t="s">
        <v>559</v>
      </c>
      <c r="T543" s="1" t="s">
        <v>335</v>
      </c>
      <c r="U543" s="1" t="s">
        <v>24</v>
      </c>
      <c r="V543" s="1">
        <v>1</v>
      </c>
      <c r="W543" s="1" t="s">
        <v>289</v>
      </c>
      <c r="Y543" s="1" t="s">
        <v>32</v>
      </c>
      <c r="Z543" s="1" t="s">
        <v>23</v>
      </c>
    </row>
    <row r="544" spans="1:26" x14ac:dyDescent="0.35">
      <c r="A544" s="1">
        <v>4006546</v>
      </c>
      <c r="B544" s="1" t="s">
        <v>31</v>
      </c>
      <c r="C544" s="1">
        <v>3300</v>
      </c>
      <c r="D544" s="1" t="s">
        <v>30</v>
      </c>
      <c r="E544" s="1">
        <v>301</v>
      </c>
      <c r="F544" s="1">
        <v>0</v>
      </c>
      <c r="G544" s="1">
        <v>100</v>
      </c>
      <c r="H544" s="1" t="s">
        <v>29</v>
      </c>
      <c r="I544" s="1" t="s">
        <v>71</v>
      </c>
      <c r="J544" s="1">
        <v>480</v>
      </c>
      <c r="M544" s="1" t="s">
        <v>28</v>
      </c>
      <c r="N544" s="1">
        <v>0</v>
      </c>
      <c r="O544" s="1" t="s">
        <v>27</v>
      </c>
      <c r="P544" s="1">
        <v>45924</v>
      </c>
      <c r="Q544" s="1">
        <v>0.52163194444444005</v>
      </c>
      <c r="R544" s="1" t="s">
        <v>558</v>
      </c>
      <c r="S544" s="1" t="s">
        <v>557</v>
      </c>
      <c r="U544" s="1" t="s">
        <v>24</v>
      </c>
      <c r="V544" s="1">
        <v>1</v>
      </c>
      <c r="W544" s="1" t="s">
        <v>258</v>
      </c>
      <c r="Y544" s="1" t="s">
        <v>32</v>
      </c>
      <c r="Z544" s="1" t="s">
        <v>23</v>
      </c>
    </row>
    <row r="545" spans="1:26" x14ac:dyDescent="0.35">
      <c r="A545" s="1">
        <v>4006560</v>
      </c>
      <c r="B545" s="1" t="s">
        <v>31</v>
      </c>
      <c r="C545" s="1">
        <v>3300</v>
      </c>
      <c r="D545" s="1" t="s">
        <v>30</v>
      </c>
      <c r="E545" s="1">
        <v>301</v>
      </c>
      <c r="F545" s="1">
        <v>0</v>
      </c>
      <c r="G545" s="1">
        <v>60</v>
      </c>
      <c r="H545" s="1" t="s">
        <v>29</v>
      </c>
      <c r="I545" s="1">
        <v>20</v>
      </c>
      <c r="J545" s="1">
        <v>30</v>
      </c>
      <c r="M545" s="1" t="s">
        <v>28</v>
      </c>
      <c r="N545" s="1">
        <v>0</v>
      </c>
      <c r="O545" s="1" t="s">
        <v>199</v>
      </c>
      <c r="P545" s="1">
        <v>45947</v>
      </c>
      <c r="Q545" s="1">
        <v>0.44438657407407001</v>
      </c>
      <c r="R545" s="1" t="s">
        <v>556</v>
      </c>
      <c r="S545" s="1" t="s">
        <v>555</v>
      </c>
      <c r="U545" s="1" t="s">
        <v>24</v>
      </c>
      <c r="V545" s="1">
        <v>1</v>
      </c>
      <c r="W545" s="1" t="s">
        <v>289</v>
      </c>
      <c r="X545" s="1" t="s">
        <v>141</v>
      </c>
      <c r="Y545" s="1" t="s">
        <v>32</v>
      </c>
      <c r="Z545" s="1" t="s">
        <v>32</v>
      </c>
    </row>
    <row r="546" spans="1:26" x14ac:dyDescent="0.35">
      <c r="A546" s="1">
        <v>4006561</v>
      </c>
      <c r="B546" s="1" t="s">
        <v>31</v>
      </c>
      <c r="C546" s="1">
        <v>3300</v>
      </c>
      <c r="D546" s="1" t="s">
        <v>30</v>
      </c>
      <c r="E546" s="1">
        <v>301</v>
      </c>
      <c r="F546" s="1">
        <v>0</v>
      </c>
      <c r="G546" s="1">
        <v>120</v>
      </c>
      <c r="H546" s="1" t="s">
        <v>29</v>
      </c>
      <c r="I546" s="1">
        <v>20</v>
      </c>
      <c r="J546" s="1">
        <v>240</v>
      </c>
      <c r="M546" s="1" t="s">
        <v>28</v>
      </c>
      <c r="N546" s="1">
        <v>0</v>
      </c>
      <c r="O546" s="1" t="s">
        <v>166</v>
      </c>
      <c r="P546" s="1">
        <v>45133</v>
      </c>
      <c r="Q546" s="1">
        <v>0.55005787037037002</v>
      </c>
      <c r="R546" s="1" t="s">
        <v>554</v>
      </c>
      <c r="S546" s="1" t="s">
        <v>553</v>
      </c>
      <c r="U546" s="1" t="s">
        <v>24</v>
      </c>
      <c r="V546" s="1">
        <v>1</v>
      </c>
      <c r="W546" s="1" t="s">
        <v>258</v>
      </c>
      <c r="X546" s="1" t="s">
        <v>141</v>
      </c>
      <c r="Y546" s="1" t="s">
        <v>32</v>
      </c>
      <c r="Z546" s="1" t="s">
        <v>32</v>
      </c>
    </row>
    <row r="547" spans="1:26" x14ac:dyDescent="0.35">
      <c r="A547" s="1">
        <v>4006565</v>
      </c>
      <c r="B547" s="1" t="s">
        <v>31</v>
      </c>
      <c r="C547" s="1">
        <v>3300</v>
      </c>
      <c r="D547" s="1" t="s">
        <v>30</v>
      </c>
      <c r="E547" s="1">
        <v>301</v>
      </c>
      <c r="F547" s="1">
        <v>0</v>
      </c>
      <c r="G547" s="1">
        <v>288</v>
      </c>
      <c r="H547" s="1" t="s">
        <v>29</v>
      </c>
      <c r="I547" s="1">
        <v>20</v>
      </c>
      <c r="J547" s="1">
        <v>216</v>
      </c>
      <c r="M547" s="1" t="s">
        <v>28</v>
      </c>
      <c r="N547" s="1">
        <v>0</v>
      </c>
      <c r="O547" s="1" t="s">
        <v>27</v>
      </c>
      <c r="P547" s="1">
        <v>45247</v>
      </c>
      <c r="Q547" s="1">
        <v>0.40357638888889003</v>
      </c>
      <c r="R547" s="1" t="s">
        <v>552</v>
      </c>
      <c r="S547" s="1" t="s">
        <v>551</v>
      </c>
      <c r="U547" s="1" t="s">
        <v>24</v>
      </c>
      <c r="V547" s="1">
        <v>1</v>
      </c>
      <c r="Y547" s="1" t="s">
        <v>23</v>
      </c>
      <c r="Z547" s="1" t="s">
        <v>23</v>
      </c>
    </row>
    <row r="548" spans="1:26" x14ac:dyDescent="0.35">
      <c r="A548" s="1">
        <v>4006590</v>
      </c>
      <c r="B548" s="1" t="s">
        <v>31</v>
      </c>
      <c r="C548" s="1">
        <v>3300</v>
      </c>
      <c r="D548" s="1" t="s">
        <v>30</v>
      </c>
      <c r="E548" s="1">
        <v>301</v>
      </c>
      <c r="F548" s="1">
        <v>0</v>
      </c>
      <c r="G548" s="1">
        <v>100</v>
      </c>
      <c r="H548" s="1" t="s">
        <v>29</v>
      </c>
      <c r="I548" s="1" t="s">
        <v>71</v>
      </c>
      <c r="J548" s="1">
        <v>48</v>
      </c>
      <c r="M548" s="1" t="s">
        <v>28</v>
      </c>
      <c r="N548" s="1">
        <v>0</v>
      </c>
      <c r="O548" s="1" t="s">
        <v>27</v>
      </c>
      <c r="P548" s="1">
        <v>45978</v>
      </c>
      <c r="Q548" s="1">
        <v>0.29457175925925999</v>
      </c>
      <c r="R548" s="1">
        <v>0</v>
      </c>
      <c r="U548" s="1" t="s">
        <v>24</v>
      </c>
      <c r="V548" s="1">
        <v>1</v>
      </c>
      <c r="W548" s="1" t="s">
        <v>258</v>
      </c>
      <c r="Y548" s="1" t="s">
        <v>32</v>
      </c>
      <c r="Z548" s="1" t="s">
        <v>23</v>
      </c>
    </row>
    <row r="549" spans="1:26" x14ac:dyDescent="0.35">
      <c r="A549" s="1">
        <v>4006599</v>
      </c>
      <c r="B549" s="1" t="s">
        <v>31</v>
      </c>
      <c r="C549" s="1">
        <v>3300</v>
      </c>
      <c r="D549" s="1" t="s">
        <v>41</v>
      </c>
      <c r="G549" s="1">
        <v>0</v>
      </c>
      <c r="J549" s="1">
        <v>0</v>
      </c>
      <c r="K549" s="1" t="s">
        <v>24</v>
      </c>
      <c r="M549" s="1" t="s">
        <v>28</v>
      </c>
      <c r="N549" s="1">
        <v>0</v>
      </c>
      <c r="O549" s="1" t="s">
        <v>277</v>
      </c>
      <c r="P549" s="1">
        <v>44588</v>
      </c>
      <c r="Q549" s="1">
        <v>0.43145833333333</v>
      </c>
      <c r="R549" s="1" t="s">
        <v>550</v>
      </c>
      <c r="S549" s="1" t="s">
        <v>549</v>
      </c>
      <c r="Y549" s="1" t="s">
        <v>23</v>
      </c>
      <c r="Z549" s="1" t="s">
        <v>23</v>
      </c>
    </row>
    <row r="550" spans="1:26" x14ac:dyDescent="0.35">
      <c r="A550" s="1">
        <v>4006665</v>
      </c>
      <c r="B550" s="1" t="s">
        <v>31</v>
      </c>
      <c r="C550" s="1">
        <v>3300</v>
      </c>
      <c r="D550" s="1" t="s">
        <v>30</v>
      </c>
      <c r="E550" s="1">
        <v>301</v>
      </c>
      <c r="F550" s="1">
        <v>0</v>
      </c>
      <c r="G550" s="1">
        <v>3000</v>
      </c>
      <c r="H550" s="1" t="s">
        <v>29</v>
      </c>
      <c r="I550" s="1">
        <v>20</v>
      </c>
      <c r="J550" s="1">
        <v>600</v>
      </c>
      <c r="M550" s="1" t="s">
        <v>28</v>
      </c>
      <c r="N550" s="1">
        <v>0</v>
      </c>
      <c r="O550" s="1" t="s">
        <v>27</v>
      </c>
      <c r="P550" s="1">
        <v>45814</v>
      </c>
      <c r="Q550" s="1">
        <v>0.34901620370370001</v>
      </c>
      <c r="R550" s="1" t="s">
        <v>548</v>
      </c>
      <c r="S550" s="1" t="s">
        <v>547</v>
      </c>
      <c r="U550" s="1" t="s">
        <v>24</v>
      </c>
      <c r="V550" s="1">
        <v>1</v>
      </c>
      <c r="X550" s="1" t="s">
        <v>24</v>
      </c>
      <c r="Y550" s="1" t="s">
        <v>23</v>
      </c>
      <c r="Z550" s="1" t="s">
        <v>32</v>
      </c>
    </row>
    <row r="551" spans="1:26" x14ac:dyDescent="0.35">
      <c r="A551" s="1">
        <v>4006678</v>
      </c>
      <c r="B551" s="1" t="s">
        <v>31</v>
      </c>
      <c r="C551" s="1">
        <v>3300</v>
      </c>
      <c r="D551" s="1" t="s">
        <v>30</v>
      </c>
      <c r="E551" s="1">
        <v>301</v>
      </c>
      <c r="F551" s="1">
        <v>0</v>
      </c>
      <c r="G551" s="1">
        <v>96</v>
      </c>
      <c r="H551" s="1" t="s">
        <v>29</v>
      </c>
      <c r="I551" s="1">
        <v>20</v>
      </c>
      <c r="J551" s="1">
        <v>96</v>
      </c>
      <c r="M551" s="1" t="s">
        <v>28</v>
      </c>
      <c r="N551" s="1">
        <v>0</v>
      </c>
      <c r="O551" s="1" t="s">
        <v>27</v>
      </c>
      <c r="P551" s="1">
        <v>45296</v>
      </c>
      <c r="Q551" s="1">
        <v>0.31432870370369997</v>
      </c>
      <c r="R551" s="1" t="s">
        <v>546</v>
      </c>
      <c r="S551" s="1" t="s">
        <v>545</v>
      </c>
      <c r="T551" s="1" t="s">
        <v>335</v>
      </c>
      <c r="U551" s="1" t="s">
        <v>24</v>
      </c>
      <c r="V551" s="1">
        <v>1</v>
      </c>
      <c r="W551" s="1" t="s">
        <v>258</v>
      </c>
      <c r="Y551" s="1" t="s">
        <v>32</v>
      </c>
      <c r="Z551" s="1" t="s">
        <v>23</v>
      </c>
    </row>
    <row r="552" spans="1:26" x14ac:dyDescent="0.35">
      <c r="A552" s="1">
        <v>4006755</v>
      </c>
      <c r="B552" s="1" t="s">
        <v>31</v>
      </c>
      <c r="C552" s="1">
        <v>3300</v>
      </c>
      <c r="D552" s="1" t="s">
        <v>30</v>
      </c>
      <c r="E552" s="1">
        <v>301</v>
      </c>
      <c r="F552" s="1">
        <v>0</v>
      </c>
      <c r="G552" s="1">
        <v>400</v>
      </c>
      <c r="H552" s="1" t="s">
        <v>29</v>
      </c>
      <c r="I552" s="1">
        <v>20</v>
      </c>
      <c r="J552" s="1">
        <v>400</v>
      </c>
      <c r="L552" s="1" t="s">
        <v>24</v>
      </c>
      <c r="M552" s="1" t="s">
        <v>438</v>
      </c>
      <c r="N552" s="1">
        <v>5</v>
      </c>
      <c r="O552" s="1" t="s">
        <v>386</v>
      </c>
      <c r="P552" s="1">
        <v>44522</v>
      </c>
      <c r="Q552" s="1">
        <v>0.56097222222221998</v>
      </c>
      <c r="R552" s="1">
        <v>0</v>
      </c>
      <c r="T552" s="1" t="s">
        <v>335</v>
      </c>
      <c r="U552" s="1" t="s">
        <v>24</v>
      </c>
      <c r="V552" s="1">
        <v>1</v>
      </c>
      <c r="W552" s="1" t="s">
        <v>289</v>
      </c>
      <c r="Y552" s="1" t="s">
        <v>32</v>
      </c>
      <c r="Z552" s="1" t="s">
        <v>23</v>
      </c>
    </row>
    <row r="553" spans="1:26" x14ac:dyDescent="0.35">
      <c r="A553" s="1">
        <v>4006758</v>
      </c>
      <c r="B553" s="1" t="s">
        <v>31</v>
      </c>
      <c r="C553" s="1">
        <v>3300</v>
      </c>
      <c r="D553" s="1" t="s">
        <v>30</v>
      </c>
      <c r="E553" s="1">
        <v>301</v>
      </c>
      <c r="F553" s="1">
        <v>0</v>
      </c>
      <c r="G553" s="1">
        <v>300</v>
      </c>
      <c r="H553" s="1" t="s">
        <v>29</v>
      </c>
      <c r="I553" s="1">
        <v>20</v>
      </c>
      <c r="J553" s="1">
        <v>100</v>
      </c>
      <c r="M553" s="1" t="s">
        <v>28</v>
      </c>
      <c r="N553" s="1">
        <v>0</v>
      </c>
      <c r="O553" s="1" t="s">
        <v>27</v>
      </c>
      <c r="P553" s="1">
        <v>45777</v>
      </c>
      <c r="Q553" s="1">
        <v>0.39792824074074001</v>
      </c>
      <c r="R553" s="1" t="s">
        <v>544</v>
      </c>
      <c r="S553" s="1" t="s">
        <v>543</v>
      </c>
      <c r="U553" s="1" t="s">
        <v>24</v>
      </c>
      <c r="V553" s="1">
        <v>1</v>
      </c>
      <c r="W553" s="1" t="s">
        <v>289</v>
      </c>
      <c r="X553" s="1" t="s">
        <v>141</v>
      </c>
      <c r="Y553" s="1" t="s">
        <v>32</v>
      </c>
      <c r="Z553" s="1" t="s">
        <v>32</v>
      </c>
    </row>
    <row r="554" spans="1:26" x14ac:dyDescent="0.35">
      <c r="A554" s="1">
        <v>4006770</v>
      </c>
      <c r="B554" s="1" t="s">
        <v>31</v>
      </c>
      <c r="C554" s="1">
        <v>3300</v>
      </c>
      <c r="D554" s="1" t="s">
        <v>30</v>
      </c>
      <c r="E554" s="1">
        <v>301</v>
      </c>
      <c r="F554" s="1">
        <v>0</v>
      </c>
      <c r="G554" s="1">
        <v>488</v>
      </c>
      <c r="H554" s="1" t="s">
        <v>29</v>
      </c>
      <c r="I554" s="1">
        <v>20</v>
      </c>
      <c r="J554" s="1">
        <v>216</v>
      </c>
      <c r="M554" s="1" t="s">
        <v>28</v>
      </c>
      <c r="N554" s="1">
        <v>5</v>
      </c>
      <c r="O554" s="1" t="s">
        <v>27</v>
      </c>
      <c r="P554" s="1">
        <v>45868</v>
      </c>
      <c r="Q554" s="1">
        <v>0.28761574074073998</v>
      </c>
      <c r="R554" s="1" t="s">
        <v>542</v>
      </c>
      <c r="S554" s="1" t="s">
        <v>541</v>
      </c>
      <c r="T554" s="1" t="s">
        <v>335</v>
      </c>
      <c r="U554" s="1" t="s">
        <v>24</v>
      </c>
      <c r="V554" s="1">
        <v>1</v>
      </c>
      <c r="W554" s="1" t="s">
        <v>258</v>
      </c>
      <c r="X554" s="1" t="s">
        <v>24</v>
      </c>
      <c r="Y554" s="1" t="s">
        <v>32</v>
      </c>
      <c r="Z554" s="1" t="s">
        <v>32</v>
      </c>
    </row>
    <row r="555" spans="1:26" x14ac:dyDescent="0.35">
      <c r="A555" s="1">
        <v>4006771</v>
      </c>
      <c r="B555" s="1" t="s">
        <v>31</v>
      </c>
      <c r="C555" s="1">
        <v>3300</v>
      </c>
      <c r="D555" s="1" t="s">
        <v>30</v>
      </c>
      <c r="E555" s="1">
        <v>301</v>
      </c>
      <c r="F555" s="1">
        <v>0</v>
      </c>
      <c r="G555" s="1">
        <v>651</v>
      </c>
      <c r="H555" s="1" t="s">
        <v>29</v>
      </c>
      <c r="I555" s="1">
        <v>20</v>
      </c>
      <c r="J555" s="1">
        <v>216</v>
      </c>
      <c r="M555" s="1" t="s">
        <v>28</v>
      </c>
      <c r="N555" s="1">
        <v>5</v>
      </c>
      <c r="O555" s="1" t="s">
        <v>386</v>
      </c>
      <c r="P555" s="1">
        <v>44522</v>
      </c>
      <c r="Q555" s="1">
        <v>0.56090277777777997</v>
      </c>
      <c r="R555" s="1">
        <v>0</v>
      </c>
      <c r="T555" s="1" t="s">
        <v>335</v>
      </c>
      <c r="U555" s="1" t="s">
        <v>24</v>
      </c>
      <c r="V555" s="1">
        <v>1</v>
      </c>
      <c r="W555" s="1" t="s">
        <v>289</v>
      </c>
      <c r="Y555" s="1" t="s">
        <v>32</v>
      </c>
      <c r="Z555" s="1" t="s">
        <v>23</v>
      </c>
    </row>
    <row r="556" spans="1:26" x14ac:dyDescent="0.35">
      <c r="A556" s="1">
        <v>4006775</v>
      </c>
      <c r="B556" s="1" t="s">
        <v>31</v>
      </c>
      <c r="C556" s="1">
        <v>3300</v>
      </c>
      <c r="D556" s="1" t="s">
        <v>30</v>
      </c>
      <c r="E556" s="1">
        <v>301</v>
      </c>
      <c r="F556" s="1">
        <v>0</v>
      </c>
      <c r="G556" s="1">
        <v>240</v>
      </c>
      <c r="H556" s="1" t="s">
        <v>29</v>
      </c>
      <c r="I556" s="1">
        <v>20</v>
      </c>
      <c r="J556" s="1">
        <v>180</v>
      </c>
      <c r="M556" s="1" t="s">
        <v>28</v>
      </c>
      <c r="N556" s="1">
        <v>5</v>
      </c>
      <c r="O556" s="1" t="s">
        <v>277</v>
      </c>
      <c r="P556" s="1">
        <v>44804</v>
      </c>
      <c r="Q556" s="1">
        <v>0.52396990740741001</v>
      </c>
      <c r="R556" s="1">
        <v>0</v>
      </c>
      <c r="T556" s="1" t="s">
        <v>335</v>
      </c>
      <c r="U556" s="1" t="s">
        <v>24</v>
      </c>
      <c r="V556" s="1">
        <v>1</v>
      </c>
      <c r="W556" s="1" t="s">
        <v>258</v>
      </c>
      <c r="Y556" s="1" t="s">
        <v>32</v>
      </c>
      <c r="Z556" s="1" t="s">
        <v>23</v>
      </c>
    </row>
    <row r="557" spans="1:26" x14ac:dyDescent="0.35">
      <c r="A557" s="1">
        <v>4006778</v>
      </c>
      <c r="B557" s="1" t="s">
        <v>31</v>
      </c>
      <c r="C557" s="1">
        <v>3300</v>
      </c>
      <c r="D557" s="1" t="s">
        <v>30</v>
      </c>
      <c r="E557" s="1">
        <v>301</v>
      </c>
      <c r="F557" s="1">
        <v>0</v>
      </c>
      <c r="G557" s="1">
        <v>432</v>
      </c>
      <c r="H557" s="1" t="s">
        <v>29</v>
      </c>
      <c r="I557" s="1">
        <v>20</v>
      </c>
      <c r="J557" s="1">
        <v>288</v>
      </c>
      <c r="M557" s="1" t="s">
        <v>28</v>
      </c>
      <c r="N557" s="1">
        <v>5</v>
      </c>
      <c r="O557" s="1" t="s">
        <v>27</v>
      </c>
      <c r="P557" s="1">
        <v>45461</v>
      </c>
      <c r="Q557" s="1">
        <v>0.34857638888888998</v>
      </c>
      <c r="R557" s="1" t="s">
        <v>540</v>
      </c>
      <c r="S557" s="1" t="s">
        <v>539</v>
      </c>
      <c r="T557" s="1" t="s">
        <v>335</v>
      </c>
      <c r="U557" s="1" t="s">
        <v>24</v>
      </c>
      <c r="V557" s="1">
        <v>1</v>
      </c>
      <c r="W557" s="1" t="s">
        <v>289</v>
      </c>
      <c r="Y557" s="1" t="s">
        <v>32</v>
      </c>
      <c r="Z557" s="1" t="s">
        <v>23</v>
      </c>
    </row>
    <row r="558" spans="1:26" x14ac:dyDescent="0.35">
      <c r="A558" s="1">
        <v>4006780</v>
      </c>
      <c r="B558" s="1" t="s">
        <v>31</v>
      </c>
      <c r="C558" s="1">
        <v>3300</v>
      </c>
      <c r="D558" s="1" t="s">
        <v>30</v>
      </c>
      <c r="E558" s="1">
        <v>301</v>
      </c>
      <c r="F558" s="1">
        <v>0</v>
      </c>
      <c r="G558" s="1">
        <v>120</v>
      </c>
      <c r="H558" s="1" t="s">
        <v>29</v>
      </c>
      <c r="I558" s="1">
        <v>20</v>
      </c>
      <c r="J558" s="1">
        <v>60</v>
      </c>
      <c r="M558" s="1" t="s">
        <v>28</v>
      </c>
      <c r="N558" s="1">
        <v>5</v>
      </c>
      <c r="O558" s="1" t="s">
        <v>277</v>
      </c>
      <c r="P558" s="1">
        <v>44820</v>
      </c>
      <c r="Q558" s="1">
        <v>0.36480324074074</v>
      </c>
      <c r="R558" s="1">
        <v>0</v>
      </c>
      <c r="T558" s="1" t="s">
        <v>335</v>
      </c>
      <c r="U558" s="1" t="s">
        <v>24</v>
      </c>
      <c r="V558" s="1">
        <v>1</v>
      </c>
      <c r="W558" s="1" t="s">
        <v>258</v>
      </c>
      <c r="Y558" s="1" t="s">
        <v>32</v>
      </c>
      <c r="Z558" s="1" t="s">
        <v>23</v>
      </c>
    </row>
    <row r="559" spans="1:26" x14ac:dyDescent="0.35">
      <c r="A559" s="1">
        <v>4006795</v>
      </c>
      <c r="B559" s="1" t="s">
        <v>31</v>
      </c>
      <c r="C559" s="1">
        <v>3300</v>
      </c>
      <c r="D559" s="1" t="s">
        <v>30</v>
      </c>
      <c r="E559" s="1">
        <v>301</v>
      </c>
      <c r="F559" s="1">
        <v>0</v>
      </c>
      <c r="G559" s="1">
        <v>90</v>
      </c>
      <c r="H559" s="1" t="s">
        <v>29</v>
      </c>
      <c r="I559" s="1">
        <v>20</v>
      </c>
      <c r="J559" s="1">
        <v>30</v>
      </c>
      <c r="M559" s="1" t="s">
        <v>28</v>
      </c>
      <c r="N559" s="1">
        <v>5</v>
      </c>
      <c r="O559" s="1" t="s">
        <v>277</v>
      </c>
      <c r="P559" s="1">
        <v>44820</v>
      </c>
      <c r="Q559" s="1">
        <v>0.42980324074074</v>
      </c>
      <c r="R559" s="1">
        <v>0</v>
      </c>
      <c r="T559" s="1" t="s">
        <v>335</v>
      </c>
      <c r="U559" s="1" t="s">
        <v>24</v>
      </c>
      <c r="V559" s="1">
        <v>1</v>
      </c>
      <c r="W559" s="1" t="s">
        <v>289</v>
      </c>
      <c r="Y559" s="1" t="s">
        <v>32</v>
      </c>
      <c r="Z559" s="1" t="s">
        <v>23</v>
      </c>
    </row>
    <row r="560" spans="1:26" x14ac:dyDescent="0.35">
      <c r="A560" s="1">
        <v>4007769</v>
      </c>
      <c r="B560" s="1" t="s">
        <v>31</v>
      </c>
      <c r="C560" s="1">
        <v>3300</v>
      </c>
      <c r="D560" s="1" t="s">
        <v>30</v>
      </c>
      <c r="E560" s="1">
        <v>301</v>
      </c>
      <c r="F560" s="1">
        <v>0</v>
      </c>
      <c r="G560" s="1">
        <v>630</v>
      </c>
      <c r="H560" s="1" t="s">
        <v>29</v>
      </c>
      <c r="I560" s="1">
        <v>20</v>
      </c>
      <c r="J560" s="1">
        <v>180</v>
      </c>
      <c r="M560" s="1" t="s">
        <v>28</v>
      </c>
      <c r="N560" s="1">
        <v>0</v>
      </c>
      <c r="O560" s="1" t="s">
        <v>27</v>
      </c>
      <c r="P560" s="1">
        <v>45446</v>
      </c>
      <c r="Q560" s="1">
        <v>0.49467592592593002</v>
      </c>
      <c r="R560" s="1" t="s">
        <v>538</v>
      </c>
      <c r="S560" s="1" t="s">
        <v>537</v>
      </c>
      <c r="U560" s="1" t="s">
        <v>24</v>
      </c>
      <c r="V560" s="1">
        <v>1</v>
      </c>
      <c r="X560" s="1" t="s">
        <v>24</v>
      </c>
      <c r="Y560" s="1" t="s">
        <v>23</v>
      </c>
      <c r="Z560" s="1" t="s">
        <v>32</v>
      </c>
    </row>
    <row r="561" spans="1:26" x14ac:dyDescent="0.35">
      <c r="A561" s="1">
        <v>4007774</v>
      </c>
      <c r="B561" s="1" t="s">
        <v>31</v>
      </c>
      <c r="C561" s="1">
        <v>3300</v>
      </c>
      <c r="D561" s="1" t="s">
        <v>30</v>
      </c>
      <c r="E561" s="1">
        <v>301</v>
      </c>
      <c r="F561" s="1">
        <v>0</v>
      </c>
      <c r="G561" s="1">
        <v>1602</v>
      </c>
      <c r="H561" s="1" t="s">
        <v>29</v>
      </c>
      <c r="I561" s="1">
        <v>20</v>
      </c>
      <c r="J561" s="1">
        <v>216</v>
      </c>
      <c r="M561" s="1" t="s">
        <v>28</v>
      </c>
      <c r="N561" s="1">
        <v>0</v>
      </c>
      <c r="O561" s="1" t="s">
        <v>27</v>
      </c>
      <c r="P561" s="1">
        <v>45462</v>
      </c>
      <c r="Q561" s="1">
        <v>0.59046296296295997</v>
      </c>
      <c r="R561" s="1" t="s">
        <v>536</v>
      </c>
      <c r="S561" s="1" t="s">
        <v>535</v>
      </c>
      <c r="U561" s="1" t="s">
        <v>24</v>
      </c>
      <c r="V561" s="1">
        <v>1</v>
      </c>
      <c r="X561" s="1" t="s">
        <v>24</v>
      </c>
      <c r="Y561" s="1" t="s">
        <v>23</v>
      </c>
      <c r="Z561" s="1" t="s">
        <v>32</v>
      </c>
    </row>
    <row r="562" spans="1:26" x14ac:dyDescent="0.35">
      <c r="A562" s="1">
        <v>4007802</v>
      </c>
      <c r="B562" s="1" t="s">
        <v>31</v>
      </c>
      <c r="C562" s="1">
        <v>3300</v>
      </c>
      <c r="D562" s="1" t="s">
        <v>41</v>
      </c>
      <c r="E562" s="1">
        <v>301</v>
      </c>
      <c r="F562" s="1">
        <v>0</v>
      </c>
      <c r="G562" s="1">
        <v>967</v>
      </c>
      <c r="H562" s="1" t="s">
        <v>29</v>
      </c>
      <c r="I562" s="1">
        <v>20</v>
      </c>
      <c r="J562" s="1">
        <v>600</v>
      </c>
      <c r="K562" s="1" t="s">
        <v>24</v>
      </c>
      <c r="M562" s="1" t="s">
        <v>28</v>
      </c>
      <c r="N562" s="1">
        <v>5</v>
      </c>
      <c r="O562" s="1" t="s">
        <v>316</v>
      </c>
      <c r="P562" s="1">
        <v>44651</v>
      </c>
      <c r="Q562" s="1">
        <v>0.53350694444444002</v>
      </c>
      <c r="R562" s="1">
        <v>0</v>
      </c>
      <c r="T562" s="1" t="s">
        <v>335</v>
      </c>
      <c r="W562" s="1" t="s">
        <v>258</v>
      </c>
      <c r="Y562" s="1" t="s">
        <v>32</v>
      </c>
      <c r="Z562" s="1" t="s">
        <v>23</v>
      </c>
    </row>
    <row r="563" spans="1:26" x14ac:dyDescent="0.35">
      <c r="A563" s="1">
        <v>4007817</v>
      </c>
      <c r="B563" s="1" t="s">
        <v>31</v>
      </c>
      <c r="C563" s="1">
        <v>3300</v>
      </c>
      <c r="D563" s="1" t="s">
        <v>30</v>
      </c>
      <c r="E563" s="1">
        <v>301</v>
      </c>
      <c r="F563" s="1">
        <v>0</v>
      </c>
      <c r="G563" s="1">
        <v>120</v>
      </c>
      <c r="H563" s="1" t="s">
        <v>29</v>
      </c>
      <c r="I563" s="1">
        <v>20</v>
      </c>
      <c r="J563" s="1">
        <v>60</v>
      </c>
      <c r="M563" s="1" t="s">
        <v>28</v>
      </c>
      <c r="N563" s="1">
        <v>5</v>
      </c>
      <c r="O563" s="1" t="s">
        <v>277</v>
      </c>
      <c r="P563" s="1">
        <v>44820</v>
      </c>
      <c r="Q563" s="1">
        <v>0.45236111111110999</v>
      </c>
      <c r="R563" s="1" t="s">
        <v>534</v>
      </c>
      <c r="S563" s="1" t="s">
        <v>533</v>
      </c>
      <c r="T563" s="1" t="s">
        <v>335</v>
      </c>
      <c r="U563" s="1" t="s">
        <v>24</v>
      </c>
      <c r="V563" s="1">
        <v>1</v>
      </c>
      <c r="W563" s="1" t="s">
        <v>258</v>
      </c>
      <c r="Y563" s="1" t="s">
        <v>32</v>
      </c>
      <c r="Z563" s="1" t="s">
        <v>23</v>
      </c>
    </row>
    <row r="564" spans="1:26" x14ac:dyDescent="0.35">
      <c r="A564" s="1">
        <v>4007818</v>
      </c>
      <c r="B564" s="1" t="s">
        <v>31</v>
      </c>
      <c r="C564" s="1">
        <v>3300</v>
      </c>
      <c r="D564" s="1" t="s">
        <v>30</v>
      </c>
      <c r="E564" s="1">
        <v>301</v>
      </c>
      <c r="F564" s="1">
        <v>0</v>
      </c>
      <c r="G564" s="1">
        <v>180</v>
      </c>
      <c r="H564" s="1" t="s">
        <v>29</v>
      </c>
      <c r="I564" s="1">
        <v>20</v>
      </c>
      <c r="J564" s="1">
        <v>60</v>
      </c>
      <c r="M564" s="1" t="s">
        <v>28</v>
      </c>
      <c r="N564" s="1">
        <v>5</v>
      </c>
      <c r="O564" s="1" t="s">
        <v>277</v>
      </c>
      <c r="P564" s="1">
        <v>44820</v>
      </c>
      <c r="Q564" s="1">
        <v>0.42164351851852</v>
      </c>
      <c r="R564" s="1">
        <v>0</v>
      </c>
      <c r="T564" s="1" t="s">
        <v>335</v>
      </c>
      <c r="U564" s="1" t="s">
        <v>24</v>
      </c>
      <c r="V564" s="1">
        <v>1</v>
      </c>
      <c r="W564" s="1" t="s">
        <v>258</v>
      </c>
      <c r="Y564" s="1" t="s">
        <v>32</v>
      </c>
      <c r="Z564" s="1" t="s">
        <v>23</v>
      </c>
    </row>
    <row r="565" spans="1:26" x14ac:dyDescent="0.35">
      <c r="A565" s="1">
        <v>4007825</v>
      </c>
      <c r="B565" s="1" t="s">
        <v>31</v>
      </c>
      <c r="C565" s="1">
        <v>3300</v>
      </c>
      <c r="D565" s="1" t="s">
        <v>41</v>
      </c>
      <c r="E565" s="1">
        <v>301</v>
      </c>
      <c r="F565" s="1">
        <v>0</v>
      </c>
      <c r="G565" s="1">
        <v>400</v>
      </c>
      <c r="H565" s="1" t="s">
        <v>29</v>
      </c>
      <c r="I565" s="1">
        <v>20</v>
      </c>
      <c r="J565" s="1">
        <v>500</v>
      </c>
      <c r="M565" s="1" t="s">
        <v>28</v>
      </c>
      <c r="N565" s="1">
        <v>5</v>
      </c>
      <c r="O565" s="1" t="s">
        <v>27</v>
      </c>
      <c r="P565" s="1">
        <v>46048</v>
      </c>
      <c r="Q565" s="1">
        <v>0.52877314814815002</v>
      </c>
      <c r="R565" s="1">
        <v>0</v>
      </c>
      <c r="T565" s="1" t="s">
        <v>335</v>
      </c>
      <c r="U565" s="1" t="s">
        <v>24</v>
      </c>
      <c r="V565" s="1">
        <v>1</v>
      </c>
      <c r="W565" s="1" t="s">
        <v>258</v>
      </c>
      <c r="Y565" s="1" t="s">
        <v>32</v>
      </c>
      <c r="Z565" s="1" t="s">
        <v>23</v>
      </c>
    </row>
    <row r="566" spans="1:26" x14ac:dyDescent="0.35">
      <c r="A566" s="1">
        <v>4007843</v>
      </c>
      <c r="B566" s="1" t="s">
        <v>31</v>
      </c>
      <c r="C566" s="1">
        <v>3300</v>
      </c>
      <c r="D566" s="1" t="s">
        <v>30</v>
      </c>
      <c r="E566" s="1">
        <v>301</v>
      </c>
      <c r="F566" s="1">
        <v>0</v>
      </c>
      <c r="G566" s="1">
        <v>1200</v>
      </c>
      <c r="H566" s="1" t="s">
        <v>29</v>
      </c>
      <c r="I566" s="1" t="s">
        <v>71</v>
      </c>
      <c r="J566" s="1">
        <v>960</v>
      </c>
      <c r="M566" s="1" t="s">
        <v>28</v>
      </c>
      <c r="N566" s="1">
        <v>0</v>
      </c>
      <c r="O566" s="1" t="s">
        <v>27</v>
      </c>
      <c r="P566" s="1">
        <v>45930</v>
      </c>
      <c r="Q566" s="1">
        <v>0.29207175925925999</v>
      </c>
      <c r="R566" s="1">
        <v>0</v>
      </c>
      <c r="T566" s="1" t="s">
        <v>335</v>
      </c>
      <c r="U566" s="1" t="s">
        <v>24</v>
      </c>
      <c r="V566" s="1">
        <v>1</v>
      </c>
      <c r="W566" s="1" t="s">
        <v>289</v>
      </c>
      <c r="Y566" s="1" t="s">
        <v>32</v>
      </c>
      <c r="Z566" s="1" t="s">
        <v>23</v>
      </c>
    </row>
    <row r="567" spans="1:26" x14ac:dyDescent="0.35">
      <c r="A567" s="1">
        <v>4008002</v>
      </c>
      <c r="B567" s="1" t="s">
        <v>31</v>
      </c>
      <c r="C567" s="1">
        <v>3300</v>
      </c>
      <c r="D567" s="1" t="s">
        <v>30</v>
      </c>
      <c r="E567" s="1">
        <v>301</v>
      </c>
      <c r="F567" s="1">
        <v>0</v>
      </c>
      <c r="G567" s="1">
        <v>80</v>
      </c>
      <c r="H567" s="1" t="s">
        <v>29</v>
      </c>
      <c r="I567" s="1">
        <v>20</v>
      </c>
      <c r="J567" s="1">
        <v>20</v>
      </c>
      <c r="M567" s="1" t="s">
        <v>28</v>
      </c>
      <c r="N567" s="1">
        <v>0</v>
      </c>
      <c r="O567" s="1" t="s">
        <v>277</v>
      </c>
      <c r="P567" s="1">
        <v>44816</v>
      </c>
      <c r="Q567" s="1">
        <v>0.53003472222222003</v>
      </c>
      <c r="R567" s="1" t="s">
        <v>532</v>
      </c>
      <c r="S567" s="1" t="s">
        <v>531</v>
      </c>
      <c r="U567" s="1" t="s">
        <v>24</v>
      </c>
      <c r="V567" s="1">
        <v>1</v>
      </c>
      <c r="W567" s="1" t="s">
        <v>258</v>
      </c>
      <c r="Y567" s="1" t="s">
        <v>32</v>
      </c>
      <c r="Z567" s="1" t="s">
        <v>23</v>
      </c>
    </row>
    <row r="568" spans="1:26" x14ac:dyDescent="0.35">
      <c r="A568" s="1">
        <v>4008010</v>
      </c>
      <c r="B568" s="1" t="s">
        <v>31</v>
      </c>
      <c r="C568" s="1">
        <v>3300</v>
      </c>
      <c r="D568" s="1" t="s">
        <v>30</v>
      </c>
      <c r="E568" s="1">
        <v>301</v>
      </c>
      <c r="F568" s="1">
        <v>0</v>
      </c>
      <c r="G568" s="1">
        <v>200</v>
      </c>
      <c r="H568" s="1" t="s">
        <v>29</v>
      </c>
      <c r="I568" s="1">
        <v>20</v>
      </c>
      <c r="J568" s="1">
        <v>200</v>
      </c>
      <c r="M568" s="1" t="s">
        <v>28</v>
      </c>
      <c r="N568" s="1">
        <v>5</v>
      </c>
      <c r="O568" s="1" t="s">
        <v>530</v>
      </c>
      <c r="P568" s="1">
        <v>44977</v>
      </c>
      <c r="Q568" s="1">
        <v>0.39730324074074003</v>
      </c>
      <c r="R568" s="1" t="s">
        <v>529</v>
      </c>
      <c r="S568" s="1" t="s">
        <v>528</v>
      </c>
      <c r="T568" s="1" t="s">
        <v>335</v>
      </c>
      <c r="U568" s="1" t="s">
        <v>24</v>
      </c>
      <c r="V568" s="1">
        <v>1</v>
      </c>
      <c r="W568" s="1" t="s">
        <v>258</v>
      </c>
      <c r="Y568" s="1" t="s">
        <v>32</v>
      </c>
      <c r="Z568" s="1" t="s">
        <v>23</v>
      </c>
    </row>
    <row r="569" spans="1:26" x14ac:dyDescent="0.35">
      <c r="A569" s="1">
        <v>4008022</v>
      </c>
      <c r="B569" s="1" t="s">
        <v>31</v>
      </c>
      <c r="C569" s="1">
        <v>3300</v>
      </c>
      <c r="D569" s="1" t="s">
        <v>30</v>
      </c>
      <c r="E569" s="1">
        <v>301</v>
      </c>
      <c r="F569" s="1">
        <v>0</v>
      </c>
      <c r="G569" s="1">
        <v>40</v>
      </c>
      <c r="H569" s="1" t="s">
        <v>29</v>
      </c>
      <c r="I569" s="1" t="s">
        <v>71</v>
      </c>
      <c r="J569" s="1">
        <v>20</v>
      </c>
      <c r="M569" s="1" t="s">
        <v>28</v>
      </c>
      <c r="N569" s="1">
        <v>0</v>
      </c>
      <c r="O569" s="1" t="s">
        <v>27</v>
      </c>
      <c r="P569" s="1">
        <v>46045</v>
      </c>
      <c r="Q569" s="1">
        <v>0.30722222222222001</v>
      </c>
      <c r="R569" s="1" t="s">
        <v>527</v>
      </c>
      <c r="S569" s="1" t="s">
        <v>526</v>
      </c>
      <c r="U569" s="1" t="s">
        <v>24</v>
      </c>
      <c r="V569" s="1">
        <v>1</v>
      </c>
      <c r="W569" s="1" t="s">
        <v>258</v>
      </c>
      <c r="X569" s="1" t="s">
        <v>24</v>
      </c>
      <c r="Y569" s="1" t="s">
        <v>32</v>
      </c>
      <c r="Z569" s="1" t="s">
        <v>32</v>
      </c>
    </row>
    <row r="570" spans="1:26" x14ac:dyDescent="0.35">
      <c r="A570" s="1">
        <v>4008023</v>
      </c>
      <c r="B570" s="1" t="s">
        <v>31</v>
      </c>
      <c r="C570" s="1">
        <v>3300</v>
      </c>
      <c r="D570" s="1" t="s">
        <v>30</v>
      </c>
      <c r="E570" s="1">
        <v>301</v>
      </c>
      <c r="F570" s="1">
        <v>0</v>
      </c>
      <c r="G570" s="1">
        <v>100</v>
      </c>
      <c r="H570" s="1" t="s">
        <v>29</v>
      </c>
      <c r="I570" s="1">
        <v>20</v>
      </c>
      <c r="J570" s="1">
        <v>100</v>
      </c>
      <c r="M570" s="1" t="s">
        <v>28</v>
      </c>
      <c r="N570" s="1">
        <v>5</v>
      </c>
      <c r="O570" s="1" t="s">
        <v>27</v>
      </c>
      <c r="P570" s="1">
        <v>45929</v>
      </c>
      <c r="Q570" s="1">
        <v>0.3574537037037</v>
      </c>
      <c r="R570" s="1">
        <v>0</v>
      </c>
      <c r="T570" s="1" t="s">
        <v>335</v>
      </c>
      <c r="U570" s="1" t="s">
        <v>24</v>
      </c>
      <c r="V570" s="1">
        <v>1</v>
      </c>
      <c r="W570" s="1" t="s">
        <v>258</v>
      </c>
      <c r="X570" s="1" t="s">
        <v>24</v>
      </c>
      <c r="Y570" s="1" t="s">
        <v>32</v>
      </c>
      <c r="Z570" s="1" t="s">
        <v>32</v>
      </c>
    </row>
    <row r="571" spans="1:26" x14ac:dyDescent="0.35">
      <c r="A571" s="1">
        <v>4008024</v>
      </c>
      <c r="B571" s="1" t="s">
        <v>31</v>
      </c>
      <c r="C571" s="1">
        <v>3300</v>
      </c>
      <c r="D571" s="1" t="s">
        <v>41</v>
      </c>
      <c r="G571" s="1">
        <v>0</v>
      </c>
      <c r="J571" s="1">
        <v>0</v>
      </c>
      <c r="M571" s="1" t="s">
        <v>28</v>
      </c>
      <c r="N571" s="1">
        <v>5</v>
      </c>
      <c r="O571" s="1" t="s">
        <v>277</v>
      </c>
      <c r="P571" s="1">
        <v>44735</v>
      </c>
      <c r="Q571" s="1">
        <v>0.52116898148148005</v>
      </c>
      <c r="R571" s="1" t="s">
        <v>525</v>
      </c>
      <c r="S571" s="1" t="s">
        <v>524</v>
      </c>
      <c r="T571" s="1" t="s">
        <v>335</v>
      </c>
      <c r="U571" s="1" t="s">
        <v>24</v>
      </c>
      <c r="V571" s="1">
        <v>1</v>
      </c>
      <c r="W571" s="1" t="s">
        <v>258</v>
      </c>
      <c r="X571" s="1" t="s">
        <v>24</v>
      </c>
      <c r="Y571" s="1" t="s">
        <v>32</v>
      </c>
      <c r="Z571" s="1" t="s">
        <v>32</v>
      </c>
    </row>
    <row r="572" spans="1:26" x14ac:dyDescent="0.35">
      <c r="A572" s="1">
        <v>4008026</v>
      </c>
      <c r="B572" s="1" t="s">
        <v>31</v>
      </c>
      <c r="C572" s="1">
        <v>3300</v>
      </c>
      <c r="D572" s="1" t="s">
        <v>41</v>
      </c>
      <c r="E572" s="1">
        <v>301</v>
      </c>
      <c r="F572" s="1">
        <v>0</v>
      </c>
      <c r="G572" s="1">
        <v>2020</v>
      </c>
      <c r="H572" s="1" t="s">
        <v>29</v>
      </c>
      <c r="I572" s="1">
        <v>20</v>
      </c>
      <c r="J572" s="1">
        <v>800</v>
      </c>
      <c r="K572" s="1" t="s">
        <v>24</v>
      </c>
      <c r="M572" s="1" t="s">
        <v>28</v>
      </c>
      <c r="N572" s="1">
        <v>5</v>
      </c>
      <c r="O572" s="1" t="s">
        <v>523</v>
      </c>
      <c r="P572" s="1">
        <v>44729</v>
      </c>
      <c r="Q572" s="1">
        <v>0.32328703703703998</v>
      </c>
      <c r="R572" s="1">
        <v>0</v>
      </c>
      <c r="T572" s="1" t="s">
        <v>335</v>
      </c>
      <c r="W572" s="1" t="s">
        <v>258</v>
      </c>
      <c r="Y572" s="1" t="s">
        <v>32</v>
      </c>
      <c r="Z572" s="1" t="s">
        <v>23</v>
      </c>
    </row>
    <row r="573" spans="1:26" x14ac:dyDescent="0.35">
      <c r="A573" s="1">
        <v>4008027</v>
      </c>
      <c r="B573" s="1" t="s">
        <v>31</v>
      </c>
      <c r="C573" s="1">
        <v>3300</v>
      </c>
      <c r="D573" s="1" t="s">
        <v>41</v>
      </c>
      <c r="E573" s="1">
        <v>301</v>
      </c>
      <c r="F573" s="1">
        <v>0</v>
      </c>
      <c r="G573" s="1">
        <v>2</v>
      </c>
      <c r="H573" s="1" t="s">
        <v>29</v>
      </c>
      <c r="I573" s="1">
        <v>20</v>
      </c>
      <c r="J573" s="1">
        <v>10</v>
      </c>
      <c r="K573" s="1" t="s">
        <v>24</v>
      </c>
      <c r="M573" s="1" t="s">
        <v>28</v>
      </c>
      <c r="N573" s="1">
        <v>0</v>
      </c>
      <c r="O573" s="1" t="s">
        <v>373</v>
      </c>
      <c r="P573" s="1">
        <v>44496</v>
      </c>
      <c r="Q573" s="1">
        <v>0.47540509259259001</v>
      </c>
      <c r="R573" s="1">
        <v>0</v>
      </c>
      <c r="Y573" s="1" t="s">
        <v>23</v>
      </c>
      <c r="Z573" s="1" t="s">
        <v>23</v>
      </c>
    </row>
    <row r="574" spans="1:26" x14ac:dyDescent="0.35">
      <c r="A574" s="1">
        <v>4008033</v>
      </c>
      <c r="B574" s="1" t="s">
        <v>31</v>
      </c>
      <c r="C574" s="1">
        <v>3300</v>
      </c>
      <c r="D574" s="1" t="s">
        <v>30</v>
      </c>
      <c r="E574" s="1">
        <v>301</v>
      </c>
      <c r="F574" s="1">
        <v>0</v>
      </c>
      <c r="G574" s="1">
        <v>32</v>
      </c>
      <c r="H574" s="1" t="s">
        <v>29</v>
      </c>
      <c r="I574" s="1">
        <v>20</v>
      </c>
      <c r="J574" s="1">
        <v>16</v>
      </c>
      <c r="M574" s="1" t="s">
        <v>28</v>
      </c>
      <c r="N574" s="1">
        <v>5</v>
      </c>
      <c r="O574" s="1" t="s">
        <v>236</v>
      </c>
      <c r="P574" s="1">
        <v>45232</v>
      </c>
      <c r="Q574" s="1">
        <v>0.60258101851851997</v>
      </c>
      <c r="R574" s="1" t="s">
        <v>522</v>
      </c>
      <c r="S574" s="1" t="s">
        <v>521</v>
      </c>
      <c r="T574" s="1" t="s">
        <v>335</v>
      </c>
      <c r="U574" s="1" t="s">
        <v>24</v>
      </c>
      <c r="V574" s="1">
        <v>1</v>
      </c>
      <c r="W574" s="1" t="s">
        <v>258</v>
      </c>
      <c r="X574" s="1" t="s">
        <v>141</v>
      </c>
      <c r="Y574" s="1" t="s">
        <v>32</v>
      </c>
      <c r="Z574" s="1" t="s">
        <v>32</v>
      </c>
    </row>
    <row r="575" spans="1:26" x14ac:dyDescent="0.35">
      <c r="A575" s="1">
        <v>4008034</v>
      </c>
      <c r="B575" s="1" t="s">
        <v>31</v>
      </c>
      <c r="C575" s="1">
        <v>3300</v>
      </c>
      <c r="D575" s="1" t="s">
        <v>30</v>
      </c>
      <c r="E575" s="1">
        <v>301</v>
      </c>
      <c r="F575" s="1">
        <v>0</v>
      </c>
      <c r="G575" s="1">
        <v>180</v>
      </c>
      <c r="H575" s="1" t="s">
        <v>29</v>
      </c>
      <c r="I575" s="1">
        <v>20</v>
      </c>
      <c r="J575" s="1">
        <v>60</v>
      </c>
      <c r="M575" s="1" t="s">
        <v>28</v>
      </c>
      <c r="N575" s="1">
        <v>5</v>
      </c>
      <c r="O575" s="1" t="s">
        <v>236</v>
      </c>
      <c r="P575" s="1">
        <v>45232</v>
      </c>
      <c r="Q575" s="1">
        <v>0.60201388888888996</v>
      </c>
      <c r="R575" s="1">
        <v>0</v>
      </c>
      <c r="T575" s="1" t="s">
        <v>335</v>
      </c>
      <c r="U575" s="1" t="s">
        <v>24</v>
      </c>
      <c r="V575" s="1">
        <v>1</v>
      </c>
      <c r="W575" s="1" t="s">
        <v>289</v>
      </c>
      <c r="X575" s="1" t="s">
        <v>141</v>
      </c>
      <c r="Y575" s="1" t="s">
        <v>32</v>
      </c>
      <c r="Z575" s="1" t="s">
        <v>32</v>
      </c>
    </row>
    <row r="576" spans="1:26" x14ac:dyDescent="0.35">
      <c r="A576" s="1">
        <v>4008035</v>
      </c>
      <c r="B576" s="1" t="s">
        <v>31</v>
      </c>
      <c r="C576" s="1">
        <v>3300</v>
      </c>
      <c r="D576" s="1" t="s">
        <v>41</v>
      </c>
      <c r="G576" s="1">
        <v>0</v>
      </c>
      <c r="J576" s="1">
        <v>0</v>
      </c>
      <c r="M576" s="1" t="s">
        <v>28</v>
      </c>
      <c r="N576" s="1">
        <v>0</v>
      </c>
      <c r="O576" s="1" t="s">
        <v>236</v>
      </c>
      <c r="P576" s="1">
        <v>45232</v>
      </c>
      <c r="Q576" s="1">
        <v>0.60148148148147995</v>
      </c>
      <c r="R576" s="1" t="s">
        <v>520</v>
      </c>
      <c r="S576" s="1" t="s">
        <v>519</v>
      </c>
      <c r="U576" s="1" t="s">
        <v>24</v>
      </c>
      <c r="V576" s="1">
        <v>1</v>
      </c>
      <c r="W576" s="1" t="s">
        <v>258</v>
      </c>
      <c r="X576" s="1" t="s">
        <v>24</v>
      </c>
      <c r="Y576" s="1" t="s">
        <v>32</v>
      </c>
      <c r="Z576" s="1" t="s">
        <v>32</v>
      </c>
    </row>
    <row r="577" spans="1:26" x14ac:dyDescent="0.35">
      <c r="A577" s="1">
        <v>4008075</v>
      </c>
      <c r="B577" s="1" t="s">
        <v>31</v>
      </c>
      <c r="C577" s="1">
        <v>3300</v>
      </c>
      <c r="D577" s="1" t="s">
        <v>41</v>
      </c>
      <c r="E577" s="1">
        <v>301</v>
      </c>
      <c r="F577" s="1">
        <v>0</v>
      </c>
      <c r="G577" s="1">
        <v>40</v>
      </c>
      <c r="H577" s="1" t="s">
        <v>29</v>
      </c>
      <c r="I577" s="1">
        <v>20</v>
      </c>
      <c r="J577" s="1">
        <v>30</v>
      </c>
      <c r="K577" s="1" t="s">
        <v>24</v>
      </c>
      <c r="M577" s="1" t="s">
        <v>28</v>
      </c>
      <c r="N577" s="1">
        <v>5</v>
      </c>
      <c r="O577" s="1" t="s">
        <v>27</v>
      </c>
      <c r="P577" s="1">
        <v>45425</v>
      </c>
      <c r="Q577" s="1">
        <v>0.33192129629630002</v>
      </c>
      <c r="R577" s="1" t="s">
        <v>518</v>
      </c>
      <c r="S577" s="1" t="s">
        <v>517</v>
      </c>
      <c r="T577" s="1" t="s">
        <v>335</v>
      </c>
      <c r="W577" s="1" t="s">
        <v>258</v>
      </c>
      <c r="Y577" s="1" t="s">
        <v>32</v>
      </c>
      <c r="Z577" s="1" t="s">
        <v>23</v>
      </c>
    </row>
    <row r="578" spans="1:26" x14ac:dyDescent="0.35">
      <c r="A578" s="1">
        <v>4008076</v>
      </c>
      <c r="B578" s="1" t="s">
        <v>31</v>
      </c>
      <c r="C578" s="1">
        <v>3300</v>
      </c>
      <c r="D578" s="1" t="s">
        <v>30</v>
      </c>
      <c r="E578" s="1">
        <v>301</v>
      </c>
      <c r="F578" s="1">
        <v>0</v>
      </c>
      <c r="G578" s="1">
        <v>73</v>
      </c>
      <c r="H578" s="1" t="s">
        <v>29</v>
      </c>
      <c r="I578" s="1">
        <v>20</v>
      </c>
      <c r="J578" s="1">
        <v>150</v>
      </c>
      <c r="M578" s="1" t="s">
        <v>28</v>
      </c>
      <c r="N578" s="1">
        <v>5</v>
      </c>
      <c r="O578" s="1" t="s">
        <v>386</v>
      </c>
      <c r="P578" s="1">
        <v>44522</v>
      </c>
      <c r="Q578" s="1">
        <v>0.56098379629630002</v>
      </c>
      <c r="R578" s="1">
        <v>0</v>
      </c>
      <c r="T578" s="1" t="s">
        <v>335</v>
      </c>
      <c r="U578" s="1" t="s">
        <v>24</v>
      </c>
      <c r="V578" s="1">
        <v>1</v>
      </c>
      <c r="W578" s="1" t="s">
        <v>258</v>
      </c>
      <c r="Y578" s="1" t="s">
        <v>32</v>
      </c>
      <c r="Z578" s="1" t="s">
        <v>23</v>
      </c>
    </row>
    <row r="579" spans="1:26" x14ac:dyDescent="0.35">
      <c r="A579" s="1">
        <v>4008077</v>
      </c>
      <c r="B579" s="1" t="s">
        <v>31</v>
      </c>
      <c r="C579" s="1">
        <v>3300</v>
      </c>
      <c r="D579" s="1" t="s">
        <v>30</v>
      </c>
      <c r="E579" s="1">
        <v>301</v>
      </c>
      <c r="F579" s="1">
        <v>0</v>
      </c>
      <c r="G579" s="1">
        <v>130</v>
      </c>
      <c r="H579" s="1" t="s">
        <v>29</v>
      </c>
      <c r="I579" s="1">
        <v>20</v>
      </c>
      <c r="J579" s="1">
        <v>90</v>
      </c>
      <c r="M579" s="1" t="s">
        <v>28</v>
      </c>
      <c r="N579" s="1">
        <v>5</v>
      </c>
      <c r="O579" s="1" t="s">
        <v>277</v>
      </c>
      <c r="P579" s="1">
        <v>44820</v>
      </c>
      <c r="Q579" s="1">
        <v>0.44664351851852002</v>
      </c>
      <c r="R579" s="1" t="s">
        <v>516</v>
      </c>
      <c r="S579" s="1" t="s">
        <v>515</v>
      </c>
      <c r="T579" s="1" t="s">
        <v>335</v>
      </c>
      <c r="U579" s="1" t="s">
        <v>24</v>
      </c>
      <c r="V579" s="1">
        <v>1</v>
      </c>
      <c r="W579" s="1" t="s">
        <v>258</v>
      </c>
      <c r="Y579" s="1" t="s">
        <v>32</v>
      </c>
      <c r="Z579" s="1" t="s">
        <v>23</v>
      </c>
    </row>
    <row r="580" spans="1:26" x14ac:dyDescent="0.35">
      <c r="A580" s="1">
        <v>4008079</v>
      </c>
      <c r="B580" s="1" t="s">
        <v>31</v>
      </c>
      <c r="C580" s="1">
        <v>3300</v>
      </c>
      <c r="D580" s="1" t="s">
        <v>30</v>
      </c>
      <c r="E580" s="1">
        <v>301</v>
      </c>
      <c r="F580" s="1">
        <v>0</v>
      </c>
      <c r="G580" s="1">
        <v>500</v>
      </c>
      <c r="H580" s="1" t="s">
        <v>29</v>
      </c>
      <c r="I580" s="1" t="s">
        <v>71</v>
      </c>
      <c r="J580" s="1">
        <v>500</v>
      </c>
      <c r="M580" s="1" t="s">
        <v>28</v>
      </c>
      <c r="N580" s="1">
        <v>5</v>
      </c>
      <c r="O580" s="1" t="s">
        <v>27</v>
      </c>
      <c r="P580" s="1">
        <v>45999</v>
      </c>
      <c r="Q580" s="1">
        <v>0.41807870370369998</v>
      </c>
      <c r="R580" s="1" t="s">
        <v>514</v>
      </c>
      <c r="S580" s="1" t="s">
        <v>513</v>
      </c>
      <c r="T580" s="1" t="s">
        <v>335</v>
      </c>
      <c r="U580" s="1" t="s">
        <v>24</v>
      </c>
      <c r="V580" s="1">
        <v>1</v>
      </c>
      <c r="W580" s="1" t="s">
        <v>258</v>
      </c>
      <c r="Y580" s="1" t="s">
        <v>32</v>
      </c>
      <c r="Z580" s="1" t="s">
        <v>23</v>
      </c>
    </row>
    <row r="581" spans="1:26" x14ac:dyDescent="0.35">
      <c r="A581" s="1">
        <v>4008095</v>
      </c>
      <c r="B581" s="1" t="s">
        <v>31</v>
      </c>
      <c r="C581" s="1">
        <v>3300</v>
      </c>
      <c r="D581" s="1" t="s">
        <v>30</v>
      </c>
      <c r="E581" s="1">
        <v>301</v>
      </c>
      <c r="F581" s="1">
        <v>0</v>
      </c>
      <c r="G581" s="1">
        <v>1500</v>
      </c>
      <c r="H581" s="1" t="s">
        <v>29</v>
      </c>
      <c r="I581" s="1">
        <v>20</v>
      </c>
      <c r="J581" s="1">
        <v>1000</v>
      </c>
      <c r="M581" s="1" t="s">
        <v>28</v>
      </c>
      <c r="N581" s="1">
        <v>5</v>
      </c>
      <c r="O581" s="1" t="s">
        <v>277</v>
      </c>
      <c r="P581" s="1">
        <v>44992</v>
      </c>
      <c r="Q581" s="1">
        <v>0.31450231481481</v>
      </c>
      <c r="R581" s="1" t="s">
        <v>512</v>
      </c>
      <c r="S581" s="1" t="s">
        <v>511</v>
      </c>
      <c r="T581" s="1" t="s">
        <v>335</v>
      </c>
      <c r="U581" s="1" t="s">
        <v>24</v>
      </c>
      <c r="V581" s="1">
        <v>1</v>
      </c>
      <c r="W581" s="1" t="s">
        <v>258</v>
      </c>
      <c r="Y581" s="1" t="s">
        <v>32</v>
      </c>
      <c r="Z581" s="1" t="s">
        <v>23</v>
      </c>
    </row>
    <row r="582" spans="1:26" x14ac:dyDescent="0.35">
      <c r="A582" s="1">
        <v>4008096</v>
      </c>
      <c r="B582" s="1" t="s">
        <v>31</v>
      </c>
      <c r="C582" s="1">
        <v>3300</v>
      </c>
      <c r="D582" s="1" t="s">
        <v>30</v>
      </c>
      <c r="E582" s="1">
        <v>301</v>
      </c>
      <c r="F582" s="1">
        <v>0</v>
      </c>
      <c r="G582" s="1">
        <v>4908</v>
      </c>
      <c r="H582" s="1" t="s">
        <v>29</v>
      </c>
      <c r="I582" s="1">
        <v>20</v>
      </c>
      <c r="J582" s="1">
        <v>2016</v>
      </c>
      <c r="M582" s="1" t="s">
        <v>28</v>
      </c>
      <c r="N582" s="1">
        <v>5</v>
      </c>
      <c r="O582" s="1" t="s">
        <v>27</v>
      </c>
      <c r="P582" s="1">
        <v>45730</v>
      </c>
      <c r="Q582" s="1">
        <v>0.44710648148148002</v>
      </c>
      <c r="R582" s="1" t="s">
        <v>510</v>
      </c>
      <c r="S582" s="1" t="s">
        <v>509</v>
      </c>
      <c r="T582" s="1" t="s">
        <v>335</v>
      </c>
      <c r="U582" s="1" t="s">
        <v>24</v>
      </c>
      <c r="V582" s="1">
        <v>1</v>
      </c>
      <c r="W582" s="1" t="s">
        <v>271</v>
      </c>
      <c r="Y582" s="1" t="s">
        <v>32</v>
      </c>
      <c r="Z582" s="1" t="s">
        <v>23</v>
      </c>
    </row>
    <row r="583" spans="1:26" x14ac:dyDescent="0.35">
      <c r="A583" s="1">
        <v>4008099</v>
      </c>
      <c r="B583" s="1" t="s">
        <v>31</v>
      </c>
      <c r="C583" s="1">
        <v>3300</v>
      </c>
      <c r="D583" s="1" t="s">
        <v>30</v>
      </c>
      <c r="E583" s="1">
        <v>301</v>
      </c>
      <c r="F583" s="1">
        <v>0</v>
      </c>
      <c r="G583" s="1">
        <v>386</v>
      </c>
      <c r="H583" s="1" t="s">
        <v>29</v>
      </c>
      <c r="I583" s="1">
        <v>20</v>
      </c>
      <c r="J583" s="1">
        <v>200</v>
      </c>
      <c r="M583" s="1" t="s">
        <v>28</v>
      </c>
      <c r="N583" s="1">
        <v>5</v>
      </c>
      <c r="O583" s="1" t="s">
        <v>386</v>
      </c>
      <c r="P583" s="1">
        <v>44522</v>
      </c>
      <c r="Q583" s="1">
        <v>0.56112268518519004</v>
      </c>
      <c r="R583" s="1">
        <v>0</v>
      </c>
      <c r="T583" s="1" t="s">
        <v>335</v>
      </c>
      <c r="U583" s="1" t="s">
        <v>24</v>
      </c>
      <c r="V583" s="1">
        <v>1</v>
      </c>
      <c r="W583" s="1" t="s">
        <v>258</v>
      </c>
      <c r="Y583" s="1" t="s">
        <v>32</v>
      </c>
      <c r="Z583" s="1" t="s">
        <v>23</v>
      </c>
    </row>
    <row r="584" spans="1:26" x14ac:dyDescent="0.35">
      <c r="A584" s="1">
        <v>4008100</v>
      </c>
      <c r="B584" s="1" t="s">
        <v>31</v>
      </c>
      <c r="C584" s="1">
        <v>3300</v>
      </c>
      <c r="D584" s="1" t="s">
        <v>30</v>
      </c>
      <c r="E584" s="1">
        <v>301</v>
      </c>
      <c r="F584" s="1">
        <v>0</v>
      </c>
      <c r="G584" s="1">
        <v>12</v>
      </c>
      <c r="H584" s="1" t="s">
        <v>29</v>
      </c>
      <c r="I584" s="1">
        <v>20</v>
      </c>
      <c r="J584" s="1">
        <v>5</v>
      </c>
      <c r="M584" s="1" t="s">
        <v>28</v>
      </c>
      <c r="N584" s="1">
        <v>5</v>
      </c>
      <c r="O584" s="1" t="s">
        <v>277</v>
      </c>
      <c r="P584" s="1">
        <v>44820</v>
      </c>
      <c r="Q584" s="1">
        <v>0.40600694444444002</v>
      </c>
      <c r="R584" s="1" t="s">
        <v>508</v>
      </c>
      <c r="S584" s="1" t="s">
        <v>507</v>
      </c>
      <c r="T584" s="1" t="s">
        <v>335</v>
      </c>
      <c r="U584" s="1" t="s">
        <v>24</v>
      </c>
      <c r="V584" s="1">
        <v>1</v>
      </c>
      <c r="W584" s="1" t="s">
        <v>258</v>
      </c>
      <c r="Y584" s="1" t="s">
        <v>32</v>
      </c>
      <c r="Z584" s="1" t="s">
        <v>23</v>
      </c>
    </row>
    <row r="585" spans="1:26" x14ac:dyDescent="0.35">
      <c r="A585" s="1">
        <v>4008106</v>
      </c>
      <c r="B585" s="1" t="s">
        <v>31</v>
      </c>
      <c r="C585" s="1">
        <v>3300</v>
      </c>
      <c r="D585" s="1" t="s">
        <v>30</v>
      </c>
      <c r="E585" s="1">
        <v>301</v>
      </c>
      <c r="F585" s="1">
        <v>0</v>
      </c>
      <c r="G585" s="1">
        <v>409</v>
      </c>
      <c r="H585" s="1" t="s">
        <v>29</v>
      </c>
      <c r="I585" s="1">
        <v>20</v>
      </c>
      <c r="J585" s="1">
        <v>1200</v>
      </c>
      <c r="M585" s="1" t="s">
        <v>28</v>
      </c>
      <c r="N585" s="1">
        <v>5</v>
      </c>
      <c r="O585" s="1" t="s">
        <v>236</v>
      </c>
      <c r="P585" s="1">
        <v>45232</v>
      </c>
      <c r="Q585" s="1">
        <v>0.59807870370369998</v>
      </c>
      <c r="R585" s="1" t="s">
        <v>506</v>
      </c>
      <c r="S585" s="1" t="s">
        <v>505</v>
      </c>
      <c r="T585" s="1" t="s">
        <v>335</v>
      </c>
      <c r="U585" s="1" t="s">
        <v>24</v>
      </c>
      <c r="V585" s="1">
        <v>1</v>
      </c>
      <c r="W585" s="1" t="s">
        <v>258</v>
      </c>
      <c r="X585" s="1" t="s">
        <v>141</v>
      </c>
      <c r="Y585" s="1" t="s">
        <v>32</v>
      </c>
      <c r="Z585" s="1" t="s">
        <v>32</v>
      </c>
    </row>
    <row r="586" spans="1:26" x14ac:dyDescent="0.35">
      <c r="A586" s="1">
        <v>4008108</v>
      </c>
      <c r="B586" s="1" t="s">
        <v>31</v>
      </c>
      <c r="C586" s="1">
        <v>3300</v>
      </c>
      <c r="D586" s="1" t="s">
        <v>30</v>
      </c>
      <c r="E586" s="1">
        <v>301</v>
      </c>
      <c r="F586" s="1">
        <v>0</v>
      </c>
      <c r="G586" s="1">
        <v>50</v>
      </c>
      <c r="H586" s="1" t="s">
        <v>29</v>
      </c>
      <c r="I586" s="1" t="s">
        <v>247</v>
      </c>
      <c r="J586" s="1">
        <v>50</v>
      </c>
      <c r="M586" s="1" t="s">
        <v>28</v>
      </c>
      <c r="N586" s="1">
        <v>0</v>
      </c>
      <c r="O586" s="1" t="s">
        <v>166</v>
      </c>
      <c r="P586" s="1">
        <v>45520</v>
      </c>
      <c r="Q586" s="1">
        <v>0.45526620370370002</v>
      </c>
      <c r="R586" s="1" t="s">
        <v>504</v>
      </c>
      <c r="S586" s="1" t="s">
        <v>503</v>
      </c>
      <c r="T586" s="1" t="s">
        <v>335</v>
      </c>
      <c r="U586" s="1" t="s">
        <v>24</v>
      </c>
      <c r="V586" s="1">
        <v>1</v>
      </c>
      <c r="W586" s="1" t="s">
        <v>289</v>
      </c>
      <c r="Y586" s="1" t="s">
        <v>32</v>
      </c>
      <c r="Z586" s="1" t="s">
        <v>23</v>
      </c>
    </row>
    <row r="587" spans="1:26" x14ac:dyDescent="0.35">
      <c r="A587" s="1">
        <v>4008109</v>
      </c>
      <c r="B587" s="1" t="s">
        <v>31</v>
      </c>
      <c r="C587" s="1">
        <v>3300</v>
      </c>
      <c r="D587" s="1" t="s">
        <v>30</v>
      </c>
      <c r="E587" s="1">
        <v>301</v>
      </c>
      <c r="F587" s="1">
        <v>0</v>
      </c>
      <c r="G587" s="1">
        <v>180</v>
      </c>
      <c r="H587" s="1" t="s">
        <v>29</v>
      </c>
      <c r="I587" s="1" t="s">
        <v>247</v>
      </c>
      <c r="J587" s="1">
        <v>300</v>
      </c>
      <c r="M587" s="1" t="s">
        <v>28</v>
      </c>
      <c r="N587" s="1">
        <v>0</v>
      </c>
      <c r="O587" s="1" t="s">
        <v>166</v>
      </c>
      <c r="P587" s="1">
        <v>45534</v>
      </c>
      <c r="Q587" s="1">
        <v>0.57771990740740997</v>
      </c>
      <c r="R587" s="1">
        <v>0</v>
      </c>
      <c r="U587" s="1" t="s">
        <v>24</v>
      </c>
      <c r="V587" s="1">
        <v>1</v>
      </c>
      <c r="W587" s="1" t="s">
        <v>289</v>
      </c>
      <c r="Y587" s="1" t="s">
        <v>32</v>
      </c>
      <c r="Z587" s="1" t="s">
        <v>23</v>
      </c>
    </row>
    <row r="588" spans="1:26" x14ac:dyDescent="0.35">
      <c r="A588" s="1">
        <v>4008110</v>
      </c>
      <c r="B588" s="1" t="s">
        <v>31</v>
      </c>
      <c r="C588" s="1">
        <v>3300</v>
      </c>
      <c r="D588" s="1" t="s">
        <v>30</v>
      </c>
      <c r="E588" s="1">
        <v>301</v>
      </c>
      <c r="F588" s="1">
        <v>0</v>
      </c>
      <c r="G588" s="1">
        <v>300</v>
      </c>
      <c r="H588" s="1" t="s">
        <v>29</v>
      </c>
      <c r="I588" s="1">
        <v>20</v>
      </c>
      <c r="J588" s="1">
        <v>200</v>
      </c>
      <c r="M588" s="1" t="s">
        <v>28</v>
      </c>
      <c r="N588" s="1">
        <v>0</v>
      </c>
      <c r="O588" s="1" t="s">
        <v>27</v>
      </c>
      <c r="P588" s="1">
        <v>46058</v>
      </c>
      <c r="Q588" s="1">
        <v>0.27584490740741002</v>
      </c>
      <c r="R588" s="1" t="s">
        <v>502</v>
      </c>
      <c r="S588" s="1" t="s">
        <v>501</v>
      </c>
      <c r="T588" s="1" t="s">
        <v>335</v>
      </c>
      <c r="U588" s="1" t="s">
        <v>24</v>
      </c>
      <c r="V588" s="1">
        <v>1</v>
      </c>
      <c r="W588" s="1" t="s">
        <v>258</v>
      </c>
      <c r="Y588" s="1" t="s">
        <v>32</v>
      </c>
      <c r="Z588" s="1" t="s">
        <v>23</v>
      </c>
    </row>
    <row r="589" spans="1:26" x14ac:dyDescent="0.35">
      <c r="A589" s="1">
        <v>4008121</v>
      </c>
      <c r="B589" s="1" t="s">
        <v>31</v>
      </c>
      <c r="C589" s="1">
        <v>3300</v>
      </c>
      <c r="D589" s="1" t="s">
        <v>30</v>
      </c>
      <c r="E589" s="1">
        <v>301</v>
      </c>
      <c r="F589" s="1">
        <v>0</v>
      </c>
      <c r="G589" s="1">
        <v>240</v>
      </c>
      <c r="H589" s="1" t="s">
        <v>29</v>
      </c>
      <c r="I589" s="1">
        <v>20</v>
      </c>
      <c r="J589" s="1">
        <v>140</v>
      </c>
      <c r="M589" s="1" t="s">
        <v>28</v>
      </c>
      <c r="N589" s="1">
        <v>5</v>
      </c>
      <c r="O589" s="1" t="s">
        <v>27</v>
      </c>
      <c r="P589" s="1">
        <v>45537</v>
      </c>
      <c r="Q589" s="1">
        <v>0.34421296296296</v>
      </c>
      <c r="R589" s="1" t="s">
        <v>500</v>
      </c>
      <c r="S589" s="1" t="s">
        <v>499</v>
      </c>
      <c r="T589" s="1" t="s">
        <v>335</v>
      </c>
      <c r="U589" s="1" t="s">
        <v>24</v>
      </c>
      <c r="V589" s="1">
        <v>1</v>
      </c>
      <c r="W589" s="1" t="s">
        <v>289</v>
      </c>
      <c r="X589" s="1" t="s">
        <v>141</v>
      </c>
      <c r="Y589" s="1" t="s">
        <v>32</v>
      </c>
      <c r="Z589" s="1" t="s">
        <v>32</v>
      </c>
    </row>
    <row r="590" spans="1:26" x14ac:dyDescent="0.35">
      <c r="A590" s="1">
        <v>4008122</v>
      </c>
      <c r="B590" s="1" t="s">
        <v>31</v>
      </c>
      <c r="C590" s="1">
        <v>3300</v>
      </c>
      <c r="D590" s="1" t="s">
        <v>30</v>
      </c>
      <c r="E590" s="1">
        <v>301</v>
      </c>
      <c r="F590" s="1">
        <v>0</v>
      </c>
      <c r="G590" s="1">
        <v>91</v>
      </c>
      <c r="H590" s="1" t="s">
        <v>29</v>
      </c>
      <c r="I590" s="1">
        <v>20</v>
      </c>
      <c r="J590" s="1">
        <v>100</v>
      </c>
      <c r="M590" s="1" t="s">
        <v>28</v>
      </c>
      <c r="N590" s="1">
        <v>5</v>
      </c>
      <c r="O590" s="1" t="s">
        <v>386</v>
      </c>
      <c r="P590" s="1">
        <v>44522</v>
      </c>
      <c r="Q590" s="1">
        <v>0.56098379629630002</v>
      </c>
      <c r="R590" s="1">
        <v>0</v>
      </c>
      <c r="T590" s="1" t="s">
        <v>335</v>
      </c>
      <c r="U590" s="1" t="s">
        <v>24</v>
      </c>
      <c r="V590" s="1">
        <v>1</v>
      </c>
      <c r="W590" s="1" t="s">
        <v>258</v>
      </c>
      <c r="Y590" s="1" t="s">
        <v>32</v>
      </c>
      <c r="Z590" s="1" t="s">
        <v>23</v>
      </c>
    </row>
    <row r="591" spans="1:26" x14ac:dyDescent="0.35">
      <c r="A591" s="1">
        <v>4008123</v>
      </c>
      <c r="B591" s="1" t="s">
        <v>31</v>
      </c>
      <c r="C591" s="1">
        <v>3300</v>
      </c>
      <c r="D591" s="1" t="s">
        <v>30</v>
      </c>
      <c r="E591" s="1">
        <v>301</v>
      </c>
      <c r="F591" s="1">
        <v>0</v>
      </c>
      <c r="G591" s="1">
        <v>65</v>
      </c>
      <c r="H591" s="1" t="s">
        <v>29</v>
      </c>
      <c r="I591" s="1">
        <v>20</v>
      </c>
      <c r="J591" s="1">
        <v>40</v>
      </c>
      <c r="M591" s="1" t="s">
        <v>28</v>
      </c>
      <c r="N591" s="1">
        <v>5</v>
      </c>
      <c r="O591" s="1" t="s">
        <v>386</v>
      </c>
      <c r="P591" s="1">
        <v>44522</v>
      </c>
      <c r="Q591" s="1">
        <v>0.56098379629630002</v>
      </c>
      <c r="R591" s="1" t="s">
        <v>498</v>
      </c>
      <c r="S591" s="1" t="s">
        <v>497</v>
      </c>
      <c r="T591" s="1" t="s">
        <v>335</v>
      </c>
      <c r="U591" s="1" t="s">
        <v>24</v>
      </c>
      <c r="V591" s="1">
        <v>1</v>
      </c>
      <c r="W591" s="1" t="s">
        <v>258</v>
      </c>
      <c r="Y591" s="1" t="s">
        <v>32</v>
      </c>
      <c r="Z591" s="1" t="s">
        <v>23</v>
      </c>
    </row>
    <row r="592" spans="1:26" x14ac:dyDescent="0.35">
      <c r="A592" s="1">
        <v>4008124</v>
      </c>
      <c r="B592" s="1" t="s">
        <v>31</v>
      </c>
      <c r="C592" s="1">
        <v>3300</v>
      </c>
      <c r="D592" s="1" t="s">
        <v>41</v>
      </c>
      <c r="E592" s="1">
        <v>301</v>
      </c>
      <c r="F592" s="1">
        <v>0</v>
      </c>
      <c r="G592" s="1">
        <v>13</v>
      </c>
      <c r="H592" s="1" t="s">
        <v>29</v>
      </c>
      <c r="J592" s="1">
        <v>12</v>
      </c>
      <c r="M592" s="1" t="s">
        <v>28</v>
      </c>
      <c r="N592" s="1">
        <v>5</v>
      </c>
      <c r="O592" s="1" t="s">
        <v>27</v>
      </c>
      <c r="P592" s="1">
        <v>45967</v>
      </c>
      <c r="Q592" s="1">
        <v>0.53334490740741003</v>
      </c>
      <c r="R592" s="1">
        <v>0</v>
      </c>
      <c r="T592" s="1" t="s">
        <v>335</v>
      </c>
      <c r="U592" s="1" t="s">
        <v>24</v>
      </c>
      <c r="V592" s="1">
        <v>1</v>
      </c>
      <c r="W592" s="1" t="s">
        <v>258</v>
      </c>
      <c r="Y592" s="1" t="s">
        <v>32</v>
      </c>
      <c r="Z592" s="1" t="s">
        <v>23</v>
      </c>
    </row>
    <row r="593" spans="1:26" x14ac:dyDescent="0.35">
      <c r="A593" s="1">
        <v>4008133</v>
      </c>
      <c r="B593" s="1" t="s">
        <v>31</v>
      </c>
      <c r="C593" s="1">
        <v>3300</v>
      </c>
      <c r="D593" s="1" t="s">
        <v>30</v>
      </c>
      <c r="E593" s="1">
        <v>301</v>
      </c>
      <c r="F593" s="1">
        <v>0</v>
      </c>
      <c r="G593" s="1">
        <v>12</v>
      </c>
      <c r="H593" s="1" t="s">
        <v>29</v>
      </c>
      <c r="I593" s="1">
        <v>20</v>
      </c>
      <c r="J593" s="1">
        <v>6</v>
      </c>
      <c r="M593" s="1" t="s">
        <v>28</v>
      </c>
      <c r="N593" s="1">
        <v>5</v>
      </c>
      <c r="O593" s="1" t="s">
        <v>27</v>
      </c>
      <c r="P593" s="1">
        <v>45923</v>
      </c>
      <c r="Q593" s="1">
        <v>0.42991898148148</v>
      </c>
      <c r="R593" s="1" t="s">
        <v>496</v>
      </c>
      <c r="S593" s="1" t="s">
        <v>495</v>
      </c>
      <c r="T593" s="1" t="s">
        <v>335</v>
      </c>
      <c r="U593" s="1" t="s">
        <v>24</v>
      </c>
      <c r="V593" s="1">
        <v>1</v>
      </c>
      <c r="W593" s="1" t="s">
        <v>258</v>
      </c>
      <c r="Y593" s="1" t="s">
        <v>32</v>
      </c>
      <c r="Z593" s="1" t="s">
        <v>23</v>
      </c>
    </row>
    <row r="594" spans="1:26" x14ac:dyDescent="0.35">
      <c r="A594" s="1">
        <v>4008142</v>
      </c>
      <c r="B594" s="1" t="s">
        <v>31</v>
      </c>
      <c r="C594" s="1">
        <v>3300</v>
      </c>
      <c r="D594" s="1" t="s">
        <v>30</v>
      </c>
      <c r="E594" s="1">
        <v>301</v>
      </c>
      <c r="F594" s="1">
        <v>0</v>
      </c>
      <c r="G594" s="1">
        <v>100</v>
      </c>
      <c r="H594" s="1" t="s">
        <v>29</v>
      </c>
      <c r="I594" s="1">
        <v>20</v>
      </c>
      <c r="J594" s="1">
        <v>50</v>
      </c>
      <c r="M594" s="1" t="s">
        <v>28</v>
      </c>
      <c r="N594" s="1">
        <v>5</v>
      </c>
      <c r="O594" s="1" t="s">
        <v>277</v>
      </c>
      <c r="P594" s="1">
        <v>44820</v>
      </c>
      <c r="Q594" s="1">
        <v>0.41777777777778002</v>
      </c>
      <c r="R594" s="1">
        <v>0</v>
      </c>
      <c r="T594" s="1" t="s">
        <v>335</v>
      </c>
      <c r="U594" s="1" t="s">
        <v>24</v>
      </c>
      <c r="V594" s="1">
        <v>1</v>
      </c>
      <c r="W594" s="1" t="s">
        <v>258</v>
      </c>
      <c r="Y594" s="1" t="s">
        <v>32</v>
      </c>
      <c r="Z594" s="1" t="s">
        <v>23</v>
      </c>
    </row>
    <row r="595" spans="1:26" x14ac:dyDescent="0.35">
      <c r="A595" s="1">
        <v>4008143</v>
      </c>
      <c r="B595" s="1" t="s">
        <v>31</v>
      </c>
      <c r="C595" s="1">
        <v>3300</v>
      </c>
      <c r="D595" s="1" t="s">
        <v>30</v>
      </c>
      <c r="E595" s="1">
        <v>301</v>
      </c>
      <c r="F595" s="1">
        <v>0</v>
      </c>
      <c r="G595" s="1">
        <v>80</v>
      </c>
      <c r="H595" s="1" t="s">
        <v>29</v>
      </c>
      <c r="I595" s="1">
        <v>20</v>
      </c>
      <c r="J595" s="1">
        <v>40</v>
      </c>
      <c r="M595" s="1" t="s">
        <v>28</v>
      </c>
      <c r="N595" s="1">
        <v>5</v>
      </c>
      <c r="O595" s="1" t="s">
        <v>277</v>
      </c>
      <c r="P595" s="1">
        <v>44820</v>
      </c>
      <c r="Q595" s="1">
        <v>0.41732638888889001</v>
      </c>
      <c r="R595" s="1" t="s">
        <v>494</v>
      </c>
      <c r="S595" s="1" t="s">
        <v>493</v>
      </c>
      <c r="T595" s="1" t="s">
        <v>335</v>
      </c>
      <c r="U595" s="1" t="s">
        <v>24</v>
      </c>
      <c r="V595" s="1">
        <v>1</v>
      </c>
      <c r="W595" s="1" t="s">
        <v>258</v>
      </c>
      <c r="Y595" s="1" t="s">
        <v>32</v>
      </c>
      <c r="Z595" s="1" t="s">
        <v>23</v>
      </c>
    </row>
    <row r="596" spans="1:26" x14ac:dyDescent="0.35">
      <c r="A596" s="1">
        <v>4008145</v>
      </c>
      <c r="B596" s="1" t="s">
        <v>31</v>
      </c>
      <c r="C596" s="1">
        <v>3300</v>
      </c>
      <c r="D596" s="1" t="s">
        <v>30</v>
      </c>
      <c r="E596" s="1">
        <v>301</v>
      </c>
      <c r="F596" s="1">
        <v>0</v>
      </c>
      <c r="G596" s="1">
        <v>1500</v>
      </c>
      <c r="H596" s="1" t="s">
        <v>29</v>
      </c>
      <c r="I596" s="1">
        <v>20</v>
      </c>
      <c r="J596" s="1">
        <v>750</v>
      </c>
      <c r="M596" s="1" t="s">
        <v>28</v>
      </c>
      <c r="N596" s="1">
        <v>0</v>
      </c>
      <c r="O596" s="1" t="s">
        <v>27</v>
      </c>
      <c r="P596" s="1">
        <v>46071</v>
      </c>
      <c r="Q596" s="1">
        <v>0.33056712962962997</v>
      </c>
      <c r="R596" s="1">
        <v>0</v>
      </c>
      <c r="T596" s="1" t="s">
        <v>335</v>
      </c>
      <c r="U596" s="1" t="s">
        <v>24</v>
      </c>
      <c r="V596" s="1">
        <v>1</v>
      </c>
      <c r="W596" s="1" t="s">
        <v>258</v>
      </c>
      <c r="Y596" s="1" t="s">
        <v>32</v>
      </c>
      <c r="Z596" s="1" t="s">
        <v>23</v>
      </c>
    </row>
    <row r="597" spans="1:26" x14ac:dyDescent="0.35">
      <c r="A597" s="1">
        <v>4008148</v>
      </c>
      <c r="B597" s="1" t="s">
        <v>31</v>
      </c>
      <c r="C597" s="1">
        <v>3300</v>
      </c>
      <c r="D597" s="1" t="s">
        <v>30</v>
      </c>
      <c r="E597" s="1">
        <v>301</v>
      </c>
      <c r="F597" s="1">
        <v>0</v>
      </c>
      <c r="G597" s="1">
        <v>700</v>
      </c>
      <c r="H597" s="1" t="s">
        <v>29</v>
      </c>
      <c r="I597" s="1" t="s">
        <v>247</v>
      </c>
      <c r="J597" s="1">
        <v>1600</v>
      </c>
      <c r="M597" s="1" t="s">
        <v>28</v>
      </c>
      <c r="N597" s="1">
        <v>0</v>
      </c>
      <c r="O597" s="1" t="s">
        <v>27</v>
      </c>
      <c r="P597" s="1">
        <v>46071</v>
      </c>
      <c r="Q597" s="1">
        <v>0.42372685185184999</v>
      </c>
      <c r="R597" s="1" t="s">
        <v>492</v>
      </c>
      <c r="S597" s="1" t="s">
        <v>491</v>
      </c>
      <c r="U597" s="1" t="s">
        <v>24</v>
      </c>
      <c r="V597" s="1">
        <v>1</v>
      </c>
      <c r="W597" s="1" t="s">
        <v>258</v>
      </c>
      <c r="Y597" s="1" t="s">
        <v>32</v>
      </c>
      <c r="Z597" s="1" t="s">
        <v>23</v>
      </c>
    </row>
    <row r="598" spans="1:26" x14ac:dyDescent="0.35">
      <c r="A598" s="1">
        <v>4008152</v>
      </c>
      <c r="B598" s="1" t="s">
        <v>31</v>
      </c>
      <c r="C598" s="1">
        <v>3300</v>
      </c>
      <c r="D598" s="1" t="s">
        <v>30</v>
      </c>
      <c r="E598" s="1">
        <v>301</v>
      </c>
      <c r="F598" s="1">
        <v>0</v>
      </c>
      <c r="G598" s="1">
        <v>50</v>
      </c>
      <c r="H598" s="1" t="s">
        <v>29</v>
      </c>
      <c r="I598" s="1">
        <v>20</v>
      </c>
      <c r="J598" s="1">
        <v>20</v>
      </c>
      <c r="M598" s="1" t="s">
        <v>28</v>
      </c>
      <c r="N598" s="1">
        <v>5</v>
      </c>
      <c r="O598" s="1" t="s">
        <v>277</v>
      </c>
      <c r="P598" s="1">
        <v>44820</v>
      </c>
      <c r="Q598" s="1">
        <v>0.36704861111110998</v>
      </c>
      <c r="R598" s="1">
        <v>0</v>
      </c>
      <c r="T598" s="1" t="s">
        <v>335</v>
      </c>
      <c r="U598" s="1" t="s">
        <v>24</v>
      </c>
      <c r="V598" s="1">
        <v>1</v>
      </c>
      <c r="W598" s="1" t="s">
        <v>289</v>
      </c>
      <c r="Y598" s="1" t="s">
        <v>32</v>
      </c>
      <c r="Z598" s="1" t="s">
        <v>23</v>
      </c>
    </row>
    <row r="599" spans="1:26" x14ac:dyDescent="0.35">
      <c r="A599" s="1">
        <v>4008157</v>
      </c>
      <c r="B599" s="1" t="s">
        <v>31</v>
      </c>
      <c r="C599" s="1">
        <v>3300</v>
      </c>
      <c r="D599" s="1" t="s">
        <v>30</v>
      </c>
      <c r="E599" s="1">
        <v>301</v>
      </c>
      <c r="F599" s="1">
        <v>0</v>
      </c>
      <c r="G599" s="1">
        <v>200</v>
      </c>
      <c r="H599" s="1" t="s">
        <v>29</v>
      </c>
      <c r="I599" s="1">
        <v>20</v>
      </c>
      <c r="J599" s="1">
        <v>75</v>
      </c>
      <c r="M599" s="1" t="s">
        <v>28</v>
      </c>
      <c r="N599" s="1">
        <v>5</v>
      </c>
      <c r="O599" s="1" t="s">
        <v>166</v>
      </c>
      <c r="P599" s="1">
        <v>45488</v>
      </c>
      <c r="Q599" s="1">
        <v>0.48679398148148001</v>
      </c>
      <c r="R599" s="1">
        <v>0</v>
      </c>
      <c r="T599" s="1" t="s">
        <v>335</v>
      </c>
      <c r="U599" s="1" t="s">
        <v>24</v>
      </c>
      <c r="V599" s="1">
        <v>1</v>
      </c>
      <c r="W599" s="1" t="s">
        <v>258</v>
      </c>
      <c r="Y599" s="1" t="s">
        <v>32</v>
      </c>
      <c r="Z599" s="1" t="s">
        <v>23</v>
      </c>
    </row>
    <row r="600" spans="1:26" x14ac:dyDescent="0.35">
      <c r="A600" s="1">
        <v>4008159</v>
      </c>
      <c r="B600" s="1" t="s">
        <v>31</v>
      </c>
      <c r="C600" s="1">
        <v>3300</v>
      </c>
      <c r="D600" s="1" t="s">
        <v>41</v>
      </c>
      <c r="E600" s="1">
        <v>301</v>
      </c>
      <c r="F600" s="1">
        <v>0</v>
      </c>
      <c r="G600" s="1">
        <v>100</v>
      </c>
      <c r="H600" s="1" t="s">
        <v>29</v>
      </c>
      <c r="I600" s="1">
        <v>20</v>
      </c>
      <c r="J600" s="1">
        <v>100</v>
      </c>
      <c r="M600" s="1" t="s">
        <v>28</v>
      </c>
      <c r="N600" s="1">
        <v>5</v>
      </c>
      <c r="O600" s="1" t="s">
        <v>277</v>
      </c>
      <c r="P600" s="1">
        <v>44994</v>
      </c>
      <c r="Q600" s="1">
        <v>0.37968750000000001</v>
      </c>
      <c r="R600" s="1">
        <v>0</v>
      </c>
      <c r="T600" s="1" t="s">
        <v>335</v>
      </c>
      <c r="U600" s="1" t="s">
        <v>24</v>
      </c>
      <c r="V600" s="1">
        <v>1</v>
      </c>
      <c r="W600" s="1" t="s">
        <v>258</v>
      </c>
      <c r="Y600" s="1" t="s">
        <v>32</v>
      </c>
      <c r="Z600" s="1" t="s">
        <v>23</v>
      </c>
    </row>
    <row r="601" spans="1:26" x14ac:dyDescent="0.35">
      <c r="A601" s="1">
        <v>4008161</v>
      </c>
      <c r="B601" s="1" t="s">
        <v>31</v>
      </c>
      <c r="C601" s="1">
        <v>3300</v>
      </c>
      <c r="D601" s="1" t="s">
        <v>30</v>
      </c>
      <c r="E601" s="1">
        <v>301</v>
      </c>
      <c r="F601" s="1">
        <v>0</v>
      </c>
      <c r="G601" s="1">
        <v>400</v>
      </c>
      <c r="H601" s="1" t="s">
        <v>29</v>
      </c>
      <c r="I601" s="1" t="s">
        <v>247</v>
      </c>
      <c r="J601" s="1">
        <v>200</v>
      </c>
      <c r="M601" s="1" t="s">
        <v>28</v>
      </c>
      <c r="N601" s="1">
        <v>5</v>
      </c>
      <c r="O601" s="1" t="s">
        <v>166</v>
      </c>
      <c r="P601" s="1">
        <v>45055</v>
      </c>
      <c r="Q601" s="1">
        <v>0.35788194444443999</v>
      </c>
      <c r="R601" s="1">
        <v>0</v>
      </c>
      <c r="T601" s="1" t="s">
        <v>335</v>
      </c>
      <c r="U601" s="1" t="s">
        <v>24</v>
      </c>
      <c r="V601" s="1">
        <v>1</v>
      </c>
      <c r="W601" s="1" t="s">
        <v>271</v>
      </c>
      <c r="Y601" s="1" t="s">
        <v>32</v>
      </c>
      <c r="Z601" s="1" t="s">
        <v>23</v>
      </c>
    </row>
    <row r="602" spans="1:26" x14ac:dyDescent="0.35">
      <c r="A602" s="1">
        <v>4008184</v>
      </c>
      <c r="B602" s="1" t="s">
        <v>31</v>
      </c>
      <c r="C602" s="1">
        <v>3300</v>
      </c>
      <c r="D602" s="1" t="s">
        <v>30</v>
      </c>
      <c r="E602" s="1">
        <v>301</v>
      </c>
      <c r="F602" s="1">
        <v>0</v>
      </c>
      <c r="G602" s="1">
        <v>100</v>
      </c>
      <c r="H602" s="1" t="s">
        <v>29</v>
      </c>
      <c r="I602" s="1" t="s">
        <v>247</v>
      </c>
      <c r="J602" s="1">
        <v>150</v>
      </c>
      <c r="M602" s="1" t="s">
        <v>28</v>
      </c>
      <c r="N602" s="1">
        <v>5</v>
      </c>
      <c r="O602" s="1" t="s">
        <v>27</v>
      </c>
      <c r="P602" s="1">
        <v>45001</v>
      </c>
      <c r="Q602" s="1">
        <v>0.48731481481480998</v>
      </c>
      <c r="R602" s="1">
        <v>0</v>
      </c>
      <c r="T602" s="1" t="s">
        <v>335</v>
      </c>
      <c r="U602" s="1" t="s">
        <v>24</v>
      </c>
      <c r="V602" s="1">
        <v>1</v>
      </c>
      <c r="W602" s="1" t="s">
        <v>271</v>
      </c>
      <c r="Y602" s="1" t="s">
        <v>32</v>
      </c>
      <c r="Z602" s="1" t="s">
        <v>23</v>
      </c>
    </row>
    <row r="603" spans="1:26" x14ac:dyDescent="0.35">
      <c r="A603" s="1">
        <v>4008194</v>
      </c>
      <c r="B603" s="1" t="s">
        <v>31</v>
      </c>
      <c r="C603" s="1">
        <v>3300</v>
      </c>
      <c r="D603" s="1" t="s">
        <v>30</v>
      </c>
      <c r="E603" s="1">
        <v>301</v>
      </c>
      <c r="F603" s="1">
        <v>0</v>
      </c>
      <c r="G603" s="1">
        <v>150</v>
      </c>
      <c r="H603" s="1" t="s">
        <v>29</v>
      </c>
      <c r="I603" s="1">
        <v>20</v>
      </c>
      <c r="J603" s="1">
        <v>120</v>
      </c>
      <c r="M603" s="1" t="s">
        <v>28</v>
      </c>
      <c r="N603" s="1">
        <v>5</v>
      </c>
      <c r="O603" s="1" t="s">
        <v>277</v>
      </c>
      <c r="P603" s="1">
        <v>44820</v>
      </c>
      <c r="Q603" s="1">
        <v>0.41155092592593001</v>
      </c>
      <c r="R603" s="1" t="s">
        <v>490</v>
      </c>
      <c r="S603" s="1" t="s">
        <v>489</v>
      </c>
      <c r="T603" s="1" t="s">
        <v>335</v>
      </c>
      <c r="U603" s="1" t="s">
        <v>24</v>
      </c>
      <c r="V603" s="1">
        <v>1</v>
      </c>
      <c r="W603" s="1" t="s">
        <v>258</v>
      </c>
      <c r="Y603" s="1" t="s">
        <v>32</v>
      </c>
      <c r="Z603" s="1" t="s">
        <v>23</v>
      </c>
    </row>
    <row r="604" spans="1:26" x14ac:dyDescent="0.35">
      <c r="A604" s="1">
        <v>4008197</v>
      </c>
      <c r="B604" s="1" t="s">
        <v>31</v>
      </c>
      <c r="C604" s="1">
        <v>3300</v>
      </c>
      <c r="D604" s="1" t="s">
        <v>30</v>
      </c>
      <c r="E604" s="1">
        <v>301</v>
      </c>
      <c r="F604" s="1">
        <v>0</v>
      </c>
      <c r="G604" s="1">
        <v>40</v>
      </c>
      <c r="H604" s="1" t="s">
        <v>29</v>
      </c>
      <c r="I604" s="1" t="s">
        <v>71</v>
      </c>
      <c r="J604" s="1">
        <v>40</v>
      </c>
      <c r="M604" s="1" t="s">
        <v>28</v>
      </c>
      <c r="N604" s="1">
        <v>5</v>
      </c>
      <c r="O604" s="1" t="s">
        <v>27</v>
      </c>
      <c r="P604" s="1">
        <v>45924</v>
      </c>
      <c r="Q604" s="1">
        <v>0.36913194444443997</v>
      </c>
      <c r="R604" s="1" t="s">
        <v>488</v>
      </c>
      <c r="S604" s="1" t="s">
        <v>487</v>
      </c>
      <c r="T604" s="1" t="s">
        <v>335</v>
      </c>
      <c r="U604" s="1" t="s">
        <v>24</v>
      </c>
      <c r="V604" s="1">
        <v>1</v>
      </c>
      <c r="W604" s="1" t="s">
        <v>258</v>
      </c>
      <c r="Y604" s="1" t="s">
        <v>32</v>
      </c>
      <c r="Z604" s="1" t="s">
        <v>23</v>
      </c>
    </row>
    <row r="605" spans="1:26" x14ac:dyDescent="0.35">
      <c r="A605" s="1">
        <v>4008198</v>
      </c>
      <c r="B605" s="1" t="s">
        <v>31</v>
      </c>
      <c r="C605" s="1">
        <v>3300</v>
      </c>
      <c r="D605" s="1" t="s">
        <v>30</v>
      </c>
      <c r="E605" s="1">
        <v>301</v>
      </c>
      <c r="F605" s="1">
        <v>0</v>
      </c>
      <c r="G605" s="1">
        <v>240</v>
      </c>
      <c r="H605" s="1" t="s">
        <v>29</v>
      </c>
      <c r="I605" s="1">
        <v>20</v>
      </c>
      <c r="J605" s="1">
        <v>120</v>
      </c>
      <c r="M605" s="1" t="s">
        <v>28</v>
      </c>
      <c r="N605" s="1">
        <v>5</v>
      </c>
      <c r="O605" s="1" t="s">
        <v>277</v>
      </c>
      <c r="P605" s="1">
        <v>44734</v>
      </c>
      <c r="Q605" s="1">
        <v>0.32099537037037001</v>
      </c>
      <c r="R605" s="1">
        <v>0</v>
      </c>
      <c r="T605" s="1" t="s">
        <v>335</v>
      </c>
      <c r="U605" s="1" t="s">
        <v>24</v>
      </c>
      <c r="V605" s="1">
        <v>1</v>
      </c>
      <c r="W605" s="1" t="s">
        <v>258</v>
      </c>
      <c r="Y605" s="1" t="s">
        <v>32</v>
      </c>
      <c r="Z605" s="1" t="s">
        <v>23</v>
      </c>
    </row>
    <row r="606" spans="1:26" x14ac:dyDescent="0.35">
      <c r="A606" s="1">
        <v>4008201</v>
      </c>
      <c r="B606" s="1" t="s">
        <v>31</v>
      </c>
      <c r="C606" s="1">
        <v>3300</v>
      </c>
      <c r="D606" s="1" t="s">
        <v>30</v>
      </c>
      <c r="E606" s="1">
        <v>301</v>
      </c>
      <c r="F606" s="1">
        <v>0</v>
      </c>
      <c r="G606" s="1">
        <v>700</v>
      </c>
      <c r="H606" s="1" t="s">
        <v>29</v>
      </c>
      <c r="I606" s="1" t="s">
        <v>71</v>
      </c>
      <c r="J606" s="1">
        <v>500</v>
      </c>
      <c r="M606" s="1" t="s">
        <v>28</v>
      </c>
      <c r="N606" s="1">
        <v>0</v>
      </c>
      <c r="O606" s="1" t="s">
        <v>27</v>
      </c>
      <c r="P606" s="1">
        <v>45720</v>
      </c>
      <c r="Q606" s="1">
        <v>0.31923611111111</v>
      </c>
      <c r="R606" s="1" t="s">
        <v>486</v>
      </c>
      <c r="S606" s="1" t="s">
        <v>485</v>
      </c>
      <c r="T606" s="1" t="s">
        <v>335</v>
      </c>
      <c r="U606" s="1" t="s">
        <v>24</v>
      </c>
      <c r="V606" s="1">
        <v>1</v>
      </c>
      <c r="W606" s="1" t="s">
        <v>271</v>
      </c>
      <c r="Y606" s="1" t="s">
        <v>32</v>
      </c>
      <c r="Z606" s="1" t="s">
        <v>23</v>
      </c>
    </row>
    <row r="607" spans="1:26" x14ac:dyDescent="0.35">
      <c r="A607" s="1">
        <v>4008203</v>
      </c>
      <c r="B607" s="1" t="s">
        <v>31</v>
      </c>
      <c r="C607" s="1">
        <v>3300</v>
      </c>
      <c r="D607" s="1" t="s">
        <v>41</v>
      </c>
      <c r="F607" s="1">
        <v>0</v>
      </c>
      <c r="G607" s="1">
        <v>0</v>
      </c>
      <c r="J607" s="1">
        <v>0</v>
      </c>
      <c r="K607" s="1" t="s">
        <v>24</v>
      </c>
      <c r="M607" s="1" t="s">
        <v>28</v>
      </c>
      <c r="N607" s="1">
        <v>5</v>
      </c>
      <c r="O607" s="1" t="s">
        <v>277</v>
      </c>
      <c r="P607" s="1">
        <v>44895</v>
      </c>
      <c r="Q607" s="1">
        <v>0.29678240740741002</v>
      </c>
      <c r="R607" s="1" t="s">
        <v>484</v>
      </c>
      <c r="S607" s="1" t="s">
        <v>483</v>
      </c>
      <c r="T607" s="1" t="s">
        <v>335</v>
      </c>
      <c r="W607" s="1" t="s">
        <v>258</v>
      </c>
      <c r="Y607" s="1" t="s">
        <v>32</v>
      </c>
      <c r="Z607" s="1" t="s">
        <v>23</v>
      </c>
    </row>
    <row r="608" spans="1:26" x14ac:dyDescent="0.35">
      <c r="A608" s="1">
        <v>4008204</v>
      </c>
      <c r="B608" s="1" t="s">
        <v>31</v>
      </c>
      <c r="C608" s="1">
        <v>3300</v>
      </c>
      <c r="D608" s="1" t="s">
        <v>41</v>
      </c>
      <c r="E608" s="1">
        <v>301</v>
      </c>
      <c r="F608" s="1">
        <v>0</v>
      </c>
      <c r="G608" s="1">
        <v>50</v>
      </c>
      <c r="H608" s="1" t="s">
        <v>29</v>
      </c>
      <c r="I608" s="1">
        <v>20</v>
      </c>
      <c r="J608" s="1">
        <v>30</v>
      </c>
      <c r="M608" s="1" t="s">
        <v>28</v>
      </c>
      <c r="N608" s="1">
        <v>5</v>
      </c>
      <c r="O608" s="1" t="s">
        <v>27</v>
      </c>
      <c r="P608" s="1">
        <v>45988</v>
      </c>
      <c r="Q608" s="1">
        <v>0.45124999999999998</v>
      </c>
      <c r="R608" s="1">
        <v>0</v>
      </c>
      <c r="T608" s="1" t="s">
        <v>335</v>
      </c>
      <c r="U608" s="1" t="s">
        <v>24</v>
      </c>
      <c r="V608" s="1">
        <v>1</v>
      </c>
      <c r="W608" s="1" t="s">
        <v>258</v>
      </c>
      <c r="Y608" s="1" t="s">
        <v>32</v>
      </c>
      <c r="Z608" s="1" t="s">
        <v>23</v>
      </c>
    </row>
    <row r="609" spans="1:26" x14ac:dyDescent="0.35">
      <c r="A609" s="1">
        <v>4008206</v>
      </c>
      <c r="B609" s="1" t="s">
        <v>31</v>
      </c>
      <c r="C609" s="1">
        <v>3300</v>
      </c>
      <c r="D609" s="1" t="s">
        <v>30</v>
      </c>
      <c r="E609" s="1">
        <v>301</v>
      </c>
      <c r="F609" s="1">
        <v>0</v>
      </c>
      <c r="G609" s="1">
        <v>80</v>
      </c>
      <c r="H609" s="1" t="s">
        <v>29</v>
      </c>
      <c r="I609" s="1">
        <v>20</v>
      </c>
      <c r="J609" s="1">
        <v>30</v>
      </c>
      <c r="M609" s="1" t="s">
        <v>28</v>
      </c>
      <c r="N609" s="1">
        <v>5</v>
      </c>
      <c r="O609" s="1" t="s">
        <v>277</v>
      </c>
      <c r="P609" s="1">
        <v>44816</v>
      </c>
      <c r="Q609" s="1">
        <v>0.53629629629630005</v>
      </c>
      <c r="R609" s="1">
        <v>0</v>
      </c>
      <c r="T609" s="1" t="s">
        <v>335</v>
      </c>
      <c r="U609" s="1" t="s">
        <v>24</v>
      </c>
      <c r="V609" s="1">
        <v>1</v>
      </c>
      <c r="W609" s="1" t="s">
        <v>258</v>
      </c>
      <c r="X609" s="1" t="s">
        <v>24</v>
      </c>
      <c r="Y609" s="1" t="s">
        <v>32</v>
      </c>
      <c r="Z609" s="1" t="s">
        <v>32</v>
      </c>
    </row>
    <row r="610" spans="1:26" x14ac:dyDescent="0.35">
      <c r="A610" s="1">
        <v>4008209</v>
      </c>
      <c r="B610" s="1" t="s">
        <v>31</v>
      </c>
      <c r="C610" s="1">
        <v>3300</v>
      </c>
      <c r="D610" s="1" t="s">
        <v>41</v>
      </c>
      <c r="E610" s="1">
        <v>301</v>
      </c>
      <c r="F610" s="1">
        <v>0</v>
      </c>
      <c r="G610" s="1">
        <v>120</v>
      </c>
      <c r="H610" s="1" t="s">
        <v>29</v>
      </c>
      <c r="J610" s="1">
        <v>60</v>
      </c>
      <c r="K610" s="1" t="s">
        <v>24</v>
      </c>
      <c r="M610" s="1" t="s">
        <v>28</v>
      </c>
      <c r="N610" s="1">
        <v>5</v>
      </c>
      <c r="O610" s="1" t="s">
        <v>27</v>
      </c>
      <c r="P610" s="1">
        <v>45434</v>
      </c>
      <c r="Q610" s="1">
        <v>0.30520833333332997</v>
      </c>
      <c r="R610" s="1" t="s">
        <v>482</v>
      </c>
      <c r="S610" s="1" t="s">
        <v>481</v>
      </c>
      <c r="T610" s="1" t="s">
        <v>335</v>
      </c>
      <c r="W610" s="1" t="s">
        <v>258</v>
      </c>
      <c r="Y610" s="1" t="s">
        <v>32</v>
      </c>
      <c r="Z610" s="1" t="s">
        <v>23</v>
      </c>
    </row>
    <row r="611" spans="1:26" x14ac:dyDescent="0.35">
      <c r="A611" s="1">
        <v>4008211</v>
      </c>
      <c r="B611" s="1" t="s">
        <v>31</v>
      </c>
      <c r="C611" s="1">
        <v>3300</v>
      </c>
      <c r="D611" s="1" t="s">
        <v>30</v>
      </c>
      <c r="E611" s="1">
        <v>301</v>
      </c>
      <c r="F611" s="1">
        <v>0</v>
      </c>
      <c r="G611" s="1">
        <v>50</v>
      </c>
      <c r="H611" s="1" t="s">
        <v>29</v>
      </c>
      <c r="I611" s="1" t="s">
        <v>71</v>
      </c>
      <c r="J611" s="1">
        <v>50</v>
      </c>
      <c r="M611" s="1" t="s">
        <v>28</v>
      </c>
      <c r="N611" s="1">
        <v>0</v>
      </c>
      <c r="O611" s="1" t="s">
        <v>27</v>
      </c>
      <c r="P611" s="1">
        <v>46070</v>
      </c>
      <c r="Q611" s="1">
        <v>0.42157407407406999</v>
      </c>
      <c r="R611" s="1" t="s">
        <v>480</v>
      </c>
      <c r="S611" s="1" t="s">
        <v>479</v>
      </c>
      <c r="U611" s="1" t="s">
        <v>24</v>
      </c>
      <c r="V611" s="1">
        <v>1</v>
      </c>
      <c r="W611" s="1" t="s">
        <v>258</v>
      </c>
      <c r="Y611" s="1" t="s">
        <v>32</v>
      </c>
      <c r="Z611" s="1" t="s">
        <v>23</v>
      </c>
    </row>
    <row r="612" spans="1:26" x14ac:dyDescent="0.35">
      <c r="A612" s="1">
        <v>4008212</v>
      </c>
      <c r="B612" s="1" t="s">
        <v>31</v>
      </c>
      <c r="C612" s="1">
        <v>3300</v>
      </c>
      <c r="D612" s="1" t="s">
        <v>30</v>
      </c>
      <c r="E612" s="1">
        <v>301</v>
      </c>
      <c r="F612" s="1">
        <v>0</v>
      </c>
      <c r="G612" s="1">
        <v>50</v>
      </c>
      <c r="H612" s="1" t="s">
        <v>29</v>
      </c>
      <c r="I612" s="1" t="s">
        <v>71</v>
      </c>
      <c r="J612" s="1">
        <v>100</v>
      </c>
      <c r="M612" s="1" t="s">
        <v>28</v>
      </c>
      <c r="N612" s="1">
        <v>0</v>
      </c>
      <c r="O612" s="1" t="s">
        <v>27</v>
      </c>
      <c r="P612" s="1">
        <v>45924</v>
      </c>
      <c r="Q612" s="1">
        <v>0.37219907407406999</v>
      </c>
      <c r="R612" s="1" t="s">
        <v>478</v>
      </c>
      <c r="S612" s="1" t="s">
        <v>477</v>
      </c>
      <c r="U612" s="1" t="s">
        <v>24</v>
      </c>
      <c r="V612" s="1">
        <v>1</v>
      </c>
      <c r="W612" s="1" t="s">
        <v>258</v>
      </c>
      <c r="Y612" s="1" t="s">
        <v>32</v>
      </c>
      <c r="Z612" s="1" t="s">
        <v>23</v>
      </c>
    </row>
    <row r="613" spans="1:26" x14ac:dyDescent="0.35">
      <c r="A613" s="1">
        <v>4008213</v>
      </c>
      <c r="B613" s="1" t="s">
        <v>31</v>
      </c>
      <c r="C613" s="1">
        <v>3300</v>
      </c>
      <c r="D613" s="1" t="s">
        <v>30</v>
      </c>
      <c r="E613" s="1">
        <v>301</v>
      </c>
      <c r="F613" s="1">
        <v>0</v>
      </c>
      <c r="G613" s="1">
        <v>40</v>
      </c>
      <c r="H613" s="1" t="s">
        <v>29</v>
      </c>
      <c r="I613" s="1" t="s">
        <v>71</v>
      </c>
      <c r="J613" s="1">
        <v>100</v>
      </c>
      <c r="M613" s="1" t="s">
        <v>28</v>
      </c>
      <c r="N613" s="1">
        <v>0</v>
      </c>
      <c r="O613" s="1" t="s">
        <v>27</v>
      </c>
      <c r="P613" s="1">
        <v>45924</v>
      </c>
      <c r="Q613" s="1">
        <v>0.35084490740740998</v>
      </c>
      <c r="R613" s="1" t="s">
        <v>476</v>
      </c>
      <c r="S613" s="1" t="s">
        <v>475</v>
      </c>
      <c r="U613" s="1" t="s">
        <v>24</v>
      </c>
      <c r="V613" s="1">
        <v>1</v>
      </c>
      <c r="W613" s="1" t="s">
        <v>258</v>
      </c>
      <c r="Y613" s="1" t="s">
        <v>32</v>
      </c>
      <c r="Z613" s="1" t="s">
        <v>23</v>
      </c>
    </row>
    <row r="614" spans="1:26" x14ac:dyDescent="0.35">
      <c r="A614" s="1">
        <v>4008214</v>
      </c>
      <c r="B614" s="1" t="s">
        <v>31</v>
      </c>
      <c r="C614" s="1">
        <v>3300</v>
      </c>
      <c r="D614" s="1" t="s">
        <v>30</v>
      </c>
      <c r="E614" s="1">
        <v>301</v>
      </c>
      <c r="F614" s="1">
        <v>0</v>
      </c>
      <c r="G614" s="1">
        <v>20</v>
      </c>
      <c r="H614" s="1" t="s">
        <v>29</v>
      </c>
      <c r="I614" s="1" t="s">
        <v>71</v>
      </c>
      <c r="J614" s="1">
        <v>100</v>
      </c>
      <c r="M614" s="1" t="s">
        <v>28</v>
      </c>
      <c r="N614" s="1">
        <v>0</v>
      </c>
      <c r="O614" s="1" t="s">
        <v>27</v>
      </c>
      <c r="P614" s="1">
        <v>45924</v>
      </c>
      <c r="Q614" s="1">
        <v>0.37372685185185001</v>
      </c>
      <c r="R614" s="1" t="s">
        <v>474</v>
      </c>
      <c r="S614" s="1" t="s">
        <v>473</v>
      </c>
      <c r="U614" s="1" t="s">
        <v>24</v>
      </c>
      <c r="V614" s="1">
        <v>1</v>
      </c>
      <c r="W614" s="1" t="s">
        <v>258</v>
      </c>
      <c r="Y614" s="1" t="s">
        <v>32</v>
      </c>
      <c r="Z614" s="1" t="s">
        <v>23</v>
      </c>
    </row>
    <row r="615" spans="1:26" x14ac:dyDescent="0.35">
      <c r="A615" s="1">
        <v>4008217</v>
      </c>
      <c r="B615" s="1" t="s">
        <v>31</v>
      </c>
      <c r="C615" s="1">
        <v>3300</v>
      </c>
      <c r="D615" s="1" t="s">
        <v>41</v>
      </c>
      <c r="E615" s="1">
        <v>301</v>
      </c>
      <c r="F615" s="1">
        <v>0</v>
      </c>
      <c r="G615" s="1">
        <v>0</v>
      </c>
      <c r="J615" s="1">
        <v>0</v>
      </c>
      <c r="K615" s="1" t="s">
        <v>24</v>
      </c>
      <c r="M615" s="1" t="s">
        <v>28</v>
      </c>
      <c r="N615" s="1">
        <v>0</v>
      </c>
      <c r="O615" s="1" t="s">
        <v>316</v>
      </c>
      <c r="P615" s="1">
        <v>44582</v>
      </c>
      <c r="Q615" s="1">
        <v>0.40024305555556</v>
      </c>
      <c r="R615" s="1">
        <v>0</v>
      </c>
      <c r="W615" s="1" t="s">
        <v>258</v>
      </c>
      <c r="Y615" s="1" t="s">
        <v>32</v>
      </c>
      <c r="Z615" s="1" t="s">
        <v>23</v>
      </c>
    </row>
    <row r="616" spans="1:26" x14ac:dyDescent="0.35">
      <c r="A616" s="1">
        <v>4008222</v>
      </c>
      <c r="B616" s="1" t="s">
        <v>31</v>
      </c>
      <c r="C616" s="1">
        <v>3300</v>
      </c>
      <c r="D616" s="1" t="s">
        <v>41</v>
      </c>
      <c r="E616" s="1">
        <v>301</v>
      </c>
      <c r="F616" s="1">
        <v>0</v>
      </c>
      <c r="G616" s="1">
        <v>2</v>
      </c>
      <c r="H616" s="1" t="s">
        <v>29</v>
      </c>
      <c r="I616" s="1">
        <v>20</v>
      </c>
      <c r="J616" s="1">
        <v>3</v>
      </c>
      <c r="K616" s="1" t="s">
        <v>24</v>
      </c>
      <c r="M616" s="1" t="s">
        <v>28</v>
      </c>
      <c r="N616" s="1">
        <v>5</v>
      </c>
      <c r="O616" s="1" t="s">
        <v>316</v>
      </c>
      <c r="P616" s="1">
        <v>44627</v>
      </c>
      <c r="Q616" s="1">
        <v>0.40076388888888997</v>
      </c>
      <c r="R616" s="1" t="s">
        <v>472</v>
      </c>
      <c r="S616" s="1" t="s">
        <v>471</v>
      </c>
      <c r="T616" s="1" t="s">
        <v>335</v>
      </c>
      <c r="W616" s="1" t="s">
        <v>258</v>
      </c>
      <c r="Y616" s="1" t="s">
        <v>32</v>
      </c>
      <c r="Z616" s="1" t="s">
        <v>23</v>
      </c>
    </row>
    <row r="617" spans="1:26" x14ac:dyDescent="0.35">
      <c r="A617" s="1">
        <v>4008223</v>
      </c>
      <c r="B617" s="1" t="s">
        <v>31</v>
      </c>
      <c r="C617" s="1">
        <v>3300</v>
      </c>
      <c r="D617" s="1" t="s">
        <v>41</v>
      </c>
      <c r="E617" s="1">
        <v>301</v>
      </c>
      <c r="F617" s="1">
        <v>0</v>
      </c>
      <c r="G617" s="1">
        <v>0</v>
      </c>
      <c r="J617" s="1">
        <v>0</v>
      </c>
      <c r="K617" s="1" t="s">
        <v>24</v>
      </c>
      <c r="M617" s="1" t="s">
        <v>28</v>
      </c>
      <c r="N617" s="1">
        <v>5</v>
      </c>
      <c r="O617" s="1" t="s">
        <v>27</v>
      </c>
      <c r="P617" s="1">
        <v>45237</v>
      </c>
      <c r="Q617" s="1">
        <v>0.30533564814815001</v>
      </c>
      <c r="R617" s="1">
        <v>0</v>
      </c>
      <c r="T617" s="1" t="s">
        <v>335</v>
      </c>
      <c r="W617" s="1" t="s">
        <v>258</v>
      </c>
      <c r="Y617" s="1" t="s">
        <v>32</v>
      </c>
      <c r="Z617" s="1" t="s">
        <v>23</v>
      </c>
    </row>
    <row r="618" spans="1:26" x14ac:dyDescent="0.35">
      <c r="A618" s="1">
        <v>4008239</v>
      </c>
      <c r="B618" s="1" t="s">
        <v>31</v>
      </c>
      <c r="C618" s="1">
        <v>3300</v>
      </c>
      <c r="D618" s="1" t="s">
        <v>30</v>
      </c>
      <c r="E618" s="1">
        <v>301</v>
      </c>
      <c r="F618" s="1">
        <v>0</v>
      </c>
      <c r="G618" s="1">
        <v>126</v>
      </c>
      <c r="H618" s="1" t="s">
        <v>29</v>
      </c>
      <c r="I618" s="1" t="s">
        <v>71</v>
      </c>
      <c r="J618" s="1">
        <v>48</v>
      </c>
      <c r="M618" s="1" t="s">
        <v>28</v>
      </c>
      <c r="N618" s="1">
        <v>0</v>
      </c>
      <c r="O618" s="1" t="s">
        <v>27</v>
      </c>
      <c r="P618" s="1">
        <v>45944</v>
      </c>
      <c r="Q618" s="1">
        <v>0.38511574074074001</v>
      </c>
      <c r="R618" s="1">
        <v>0</v>
      </c>
      <c r="T618" s="1" t="s">
        <v>335</v>
      </c>
      <c r="U618" s="1" t="s">
        <v>24</v>
      </c>
      <c r="V618" s="1">
        <v>1</v>
      </c>
      <c r="W618" s="1" t="s">
        <v>289</v>
      </c>
      <c r="Y618" s="1" t="s">
        <v>32</v>
      </c>
      <c r="Z618" s="1" t="s">
        <v>23</v>
      </c>
    </row>
    <row r="619" spans="1:26" x14ac:dyDescent="0.35">
      <c r="A619" s="1">
        <v>4008245</v>
      </c>
      <c r="B619" s="1" t="s">
        <v>31</v>
      </c>
      <c r="C619" s="1">
        <v>3300</v>
      </c>
      <c r="D619" s="1" t="s">
        <v>41</v>
      </c>
      <c r="G619" s="1">
        <v>0</v>
      </c>
      <c r="J619" s="1">
        <v>0</v>
      </c>
      <c r="M619" s="1" t="s">
        <v>28</v>
      </c>
      <c r="N619" s="1">
        <v>0</v>
      </c>
      <c r="O619" s="1" t="s">
        <v>277</v>
      </c>
      <c r="P619" s="1">
        <v>44495</v>
      </c>
      <c r="Q619" s="1">
        <v>0.75364583333333002</v>
      </c>
      <c r="R619" s="1">
        <v>0</v>
      </c>
      <c r="U619" s="1" t="s">
        <v>24</v>
      </c>
      <c r="V619" s="1">
        <v>1</v>
      </c>
      <c r="W619" s="1" t="s">
        <v>258</v>
      </c>
      <c r="Y619" s="1" t="s">
        <v>32</v>
      </c>
      <c r="Z619" s="1" t="s">
        <v>23</v>
      </c>
    </row>
    <row r="620" spans="1:26" x14ac:dyDescent="0.35">
      <c r="A620" s="1">
        <v>4008247</v>
      </c>
      <c r="B620" s="1" t="s">
        <v>31</v>
      </c>
      <c r="C620" s="1">
        <v>3300</v>
      </c>
      <c r="D620" s="1" t="s">
        <v>30</v>
      </c>
      <c r="E620" s="1">
        <v>301</v>
      </c>
      <c r="F620" s="1">
        <v>0</v>
      </c>
      <c r="G620" s="1">
        <v>1160</v>
      </c>
      <c r="H620" s="1" t="s">
        <v>29</v>
      </c>
      <c r="I620" s="1">
        <v>20</v>
      </c>
      <c r="J620" s="1">
        <v>400</v>
      </c>
      <c r="M620" s="1" t="s">
        <v>28</v>
      </c>
      <c r="N620" s="1">
        <v>5</v>
      </c>
      <c r="O620" s="1" t="s">
        <v>277</v>
      </c>
      <c r="P620" s="1">
        <v>44804</v>
      </c>
      <c r="Q620" s="1">
        <v>0.46690972222221999</v>
      </c>
      <c r="R620" s="1" t="s">
        <v>470</v>
      </c>
      <c r="S620" s="1" t="s">
        <v>469</v>
      </c>
      <c r="T620" s="1" t="s">
        <v>335</v>
      </c>
      <c r="U620" s="1" t="s">
        <v>24</v>
      </c>
      <c r="V620" s="1">
        <v>1</v>
      </c>
      <c r="W620" s="1" t="s">
        <v>289</v>
      </c>
      <c r="Y620" s="1" t="s">
        <v>32</v>
      </c>
      <c r="Z620" s="1" t="s">
        <v>23</v>
      </c>
    </row>
    <row r="621" spans="1:26" x14ac:dyDescent="0.35">
      <c r="A621" s="1">
        <v>4008248</v>
      </c>
      <c r="B621" s="1" t="s">
        <v>31</v>
      </c>
      <c r="C621" s="1">
        <v>3300</v>
      </c>
      <c r="D621" s="1" t="s">
        <v>41</v>
      </c>
      <c r="G621" s="1">
        <v>0</v>
      </c>
      <c r="J621" s="1">
        <v>0</v>
      </c>
      <c r="M621" s="1" t="s">
        <v>28</v>
      </c>
      <c r="N621" s="1">
        <v>0</v>
      </c>
      <c r="O621" s="1" t="s">
        <v>277</v>
      </c>
      <c r="P621" s="1">
        <v>44495</v>
      </c>
      <c r="Q621" s="1">
        <v>0.72804398148147997</v>
      </c>
      <c r="R621" s="1">
        <v>0</v>
      </c>
      <c r="U621" s="1" t="s">
        <v>24</v>
      </c>
      <c r="V621" s="1">
        <v>1</v>
      </c>
      <c r="W621" s="1" t="s">
        <v>258</v>
      </c>
      <c r="Y621" s="1" t="s">
        <v>32</v>
      </c>
      <c r="Z621" s="1" t="s">
        <v>23</v>
      </c>
    </row>
    <row r="622" spans="1:26" x14ac:dyDescent="0.35">
      <c r="A622" s="1">
        <v>4008253</v>
      </c>
      <c r="B622" s="1" t="s">
        <v>31</v>
      </c>
      <c r="C622" s="1">
        <v>3300</v>
      </c>
      <c r="D622" s="1" t="s">
        <v>41</v>
      </c>
      <c r="E622" s="1">
        <v>301</v>
      </c>
      <c r="F622" s="1">
        <v>0</v>
      </c>
      <c r="G622" s="1">
        <v>50</v>
      </c>
      <c r="H622" s="1" t="s">
        <v>29</v>
      </c>
      <c r="I622" s="1">
        <v>20</v>
      </c>
      <c r="J622" s="1">
        <v>24</v>
      </c>
      <c r="M622" s="1" t="s">
        <v>28</v>
      </c>
      <c r="N622" s="1">
        <v>5</v>
      </c>
      <c r="O622" s="1" t="s">
        <v>236</v>
      </c>
      <c r="P622" s="1">
        <v>45369</v>
      </c>
      <c r="Q622" s="1">
        <v>0.60649305555555999</v>
      </c>
      <c r="R622" s="1" t="s">
        <v>468</v>
      </c>
      <c r="S622" s="1" t="s">
        <v>467</v>
      </c>
      <c r="T622" s="1" t="s">
        <v>335</v>
      </c>
      <c r="U622" s="1" t="s">
        <v>24</v>
      </c>
      <c r="V622" s="1">
        <v>1</v>
      </c>
      <c r="W622" s="1" t="s">
        <v>258</v>
      </c>
      <c r="Y622" s="1" t="s">
        <v>32</v>
      </c>
      <c r="Z622" s="1" t="s">
        <v>23</v>
      </c>
    </row>
    <row r="623" spans="1:26" x14ac:dyDescent="0.35">
      <c r="A623" s="1">
        <v>4008254</v>
      </c>
      <c r="B623" s="1" t="s">
        <v>31</v>
      </c>
      <c r="C623" s="1">
        <v>3300</v>
      </c>
      <c r="D623" s="1" t="s">
        <v>30</v>
      </c>
      <c r="E623" s="1">
        <v>301</v>
      </c>
      <c r="F623" s="1">
        <v>0</v>
      </c>
      <c r="G623" s="1">
        <v>90</v>
      </c>
      <c r="H623" s="1" t="s">
        <v>29</v>
      </c>
      <c r="I623" s="1">
        <v>20</v>
      </c>
      <c r="J623" s="1">
        <v>40</v>
      </c>
      <c r="M623" s="1" t="s">
        <v>28</v>
      </c>
      <c r="N623" s="1">
        <v>5</v>
      </c>
      <c r="O623" s="1" t="s">
        <v>27</v>
      </c>
      <c r="P623" s="1">
        <v>45987</v>
      </c>
      <c r="Q623" s="1">
        <v>0.42193287037036997</v>
      </c>
      <c r="R623" s="1" t="s">
        <v>466</v>
      </c>
      <c r="S623" s="1" t="s">
        <v>465</v>
      </c>
      <c r="T623" s="1" t="s">
        <v>335</v>
      </c>
      <c r="U623" s="1" t="s">
        <v>24</v>
      </c>
      <c r="V623" s="1">
        <v>1</v>
      </c>
      <c r="W623" s="1" t="s">
        <v>258</v>
      </c>
      <c r="Y623" s="1" t="s">
        <v>32</v>
      </c>
      <c r="Z623" s="1" t="s">
        <v>23</v>
      </c>
    </row>
    <row r="624" spans="1:26" x14ac:dyDescent="0.35">
      <c r="A624" s="1">
        <v>4008258</v>
      </c>
      <c r="B624" s="1" t="s">
        <v>31</v>
      </c>
      <c r="C624" s="1">
        <v>3300</v>
      </c>
      <c r="D624" s="1" t="s">
        <v>30</v>
      </c>
      <c r="E624" s="1">
        <v>301</v>
      </c>
      <c r="F624" s="1">
        <v>0</v>
      </c>
      <c r="G624" s="1">
        <v>350</v>
      </c>
      <c r="H624" s="1" t="s">
        <v>29</v>
      </c>
      <c r="I624" s="1">
        <v>20</v>
      </c>
      <c r="J624" s="1">
        <v>300</v>
      </c>
      <c r="M624" s="1" t="s">
        <v>28</v>
      </c>
      <c r="N624" s="1">
        <v>5</v>
      </c>
      <c r="O624" s="1" t="s">
        <v>166</v>
      </c>
      <c r="P624" s="1">
        <v>45881</v>
      </c>
      <c r="Q624" s="1">
        <v>0.48496527777777998</v>
      </c>
      <c r="R624" s="1" t="s">
        <v>464</v>
      </c>
      <c r="S624" s="1" t="s">
        <v>463</v>
      </c>
      <c r="T624" s="1" t="s">
        <v>335</v>
      </c>
      <c r="U624" s="1" t="s">
        <v>24</v>
      </c>
      <c r="V624" s="1">
        <v>1</v>
      </c>
      <c r="W624" s="1" t="s">
        <v>258</v>
      </c>
      <c r="X624" s="1" t="s">
        <v>141</v>
      </c>
      <c r="Y624" s="1" t="s">
        <v>32</v>
      </c>
      <c r="Z624" s="1" t="s">
        <v>32</v>
      </c>
    </row>
    <row r="625" spans="1:26" x14ac:dyDescent="0.35">
      <c r="A625" s="1">
        <v>4008259</v>
      </c>
      <c r="B625" s="1" t="s">
        <v>31</v>
      </c>
      <c r="C625" s="1">
        <v>3300</v>
      </c>
      <c r="D625" s="1" t="s">
        <v>30</v>
      </c>
      <c r="E625" s="1">
        <v>301</v>
      </c>
      <c r="F625" s="1">
        <v>0</v>
      </c>
      <c r="G625" s="1">
        <v>140</v>
      </c>
      <c r="H625" s="1" t="s">
        <v>29</v>
      </c>
      <c r="I625" s="1" t="s">
        <v>71</v>
      </c>
      <c r="J625" s="1">
        <v>160</v>
      </c>
      <c r="M625" s="1" t="s">
        <v>28</v>
      </c>
      <c r="N625" s="1">
        <v>0</v>
      </c>
      <c r="O625" s="1" t="s">
        <v>27</v>
      </c>
      <c r="P625" s="1">
        <v>45965</v>
      </c>
      <c r="Q625" s="1">
        <v>0.28099537037036998</v>
      </c>
      <c r="R625" s="1">
        <v>0</v>
      </c>
      <c r="U625" s="1" t="s">
        <v>24</v>
      </c>
      <c r="V625" s="1">
        <v>1</v>
      </c>
      <c r="W625" s="1" t="s">
        <v>289</v>
      </c>
      <c r="Y625" s="1" t="s">
        <v>32</v>
      </c>
      <c r="Z625" s="1" t="s">
        <v>23</v>
      </c>
    </row>
    <row r="626" spans="1:26" x14ac:dyDescent="0.35">
      <c r="A626" s="1">
        <v>4008263</v>
      </c>
      <c r="B626" s="1" t="s">
        <v>31</v>
      </c>
      <c r="C626" s="1">
        <v>3300</v>
      </c>
      <c r="D626" s="1" t="s">
        <v>30</v>
      </c>
      <c r="E626" s="1">
        <v>301</v>
      </c>
      <c r="F626" s="1">
        <v>0</v>
      </c>
      <c r="G626" s="1">
        <v>120</v>
      </c>
      <c r="H626" s="1" t="s">
        <v>29</v>
      </c>
      <c r="I626" s="1">
        <v>20</v>
      </c>
      <c r="J626" s="1">
        <v>120</v>
      </c>
      <c r="M626" s="1" t="s">
        <v>28</v>
      </c>
      <c r="N626" s="1">
        <v>5</v>
      </c>
      <c r="O626" s="1" t="s">
        <v>277</v>
      </c>
      <c r="P626" s="1">
        <v>44799</v>
      </c>
      <c r="Q626" s="1">
        <v>0.41880787037036998</v>
      </c>
      <c r="R626" s="1" t="s">
        <v>462</v>
      </c>
      <c r="S626" s="1" t="s">
        <v>461</v>
      </c>
      <c r="T626" s="1" t="s">
        <v>335</v>
      </c>
      <c r="U626" s="1" t="s">
        <v>24</v>
      </c>
      <c r="V626" s="1">
        <v>1</v>
      </c>
      <c r="W626" s="1" t="s">
        <v>258</v>
      </c>
      <c r="Y626" s="1" t="s">
        <v>32</v>
      </c>
      <c r="Z626" s="1" t="s">
        <v>23</v>
      </c>
    </row>
    <row r="627" spans="1:26" x14ac:dyDescent="0.35">
      <c r="A627" s="1">
        <v>4008265</v>
      </c>
      <c r="B627" s="1" t="s">
        <v>31</v>
      </c>
      <c r="C627" s="1">
        <v>3300</v>
      </c>
      <c r="D627" s="1" t="s">
        <v>30</v>
      </c>
      <c r="E627" s="1">
        <v>301</v>
      </c>
      <c r="F627" s="1">
        <v>0</v>
      </c>
      <c r="G627" s="1">
        <v>100</v>
      </c>
      <c r="H627" s="1" t="s">
        <v>29</v>
      </c>
      <c r="I627" s="1">
        <v>20</v>
      </c>
      <c r="J627" s="1">
        <v>100</v>
      </c>
      <c r="M627" s="1" t="s">
        <v>28</v>
      </c>
      <c r="N627" s="1">
        <v>5</v>
      </c>
      <c r="O627" s="1" t="s">
        <v>277</v>
      </c>
      <c r="P627" s="1">
        <v>44820</v>
      </c>
      <c r="Q627" s="1">
        <v>0.44818287037037002</v>
      </c>
      <c r="R627" s="1">
        <v>0</v>
      </c>
      <c r="T627" s="1" t="s">
        <v>335</v>
      </c>
      <c r="U627" s="1" t="s">
        <v>24</v>
      </c>
      <c r="V627" s="1">
        <v>1</v>
      </c>
      <c r="W627" s="1" t="s">
        <v>258</v>
      </c>
      <c r="Y627" s="1" t="s">
        <v>32</v>
      </c>
      <c r="Z627" s="1" t="s">
        <v>23</v>
      </c>
    </row>
    <row r="628" spans="1:26" x14ac:dyDescent="0.35">
      <c r="A628" s="1">
        <v>4008266</v>
      </c>
      <c r="B628" s="1" t="s">
        <v>31</v>
      </c>
      <c r="C628" s="1">
        <v>3300</v>
      </c>
      <c r="D628" s="1" t="s">
        <v>30</v>
      </c>
      <c r="E628" s="1">
        <v>301</v>
      </c>
      <c r="F628" s="1">
        <v>0</v>
      </c>
      <c r="G628" s="1">
        <v>80</v>
      </c>
      <c r="H628" s="1" t="s">
        <v>29</v>
      </c>
      <c r="I628" s="1" t="s">
        <v>71</v>
      </c>
      <c r="J628" s="1">
        <v>100</v>
      </c>
      <c r="M628" s="1" t="s">
        <v>28</v>
      </c>
      <c r="N628" s="1">
        <v>0</v>
      </c>
      <c r="O628" s="1" t="s">
        <v>27</v>
      </c>
      <c r="P628" s="1">
        <v>45597</v>
      </c>
      <c r="Q628" s="1">
        <v>0.41846064814814998</v>
      </c>
      <c r="R628" s="1" t="s">
        <v>460</v>
      </c>
      <c r="S628" s="1" t="s">
        <v>459</v>
      </c>
      <c r="T628" s="1" t="s">
        <v>335</v>
      </c>
      <c r="U628" s="1" t="s">
        <v>24</v>
      </c>
      <c r="V628" s="1">
        <v>1</v>
      </c>
      <c r="W628" s="1" t="s">
        <v>258</v>
      </c>
      <c r="Y628" s="1" t="s">
        <v>32</v>
      </c>
      <c r="Z628" s="1" t="s">
        <v>23</v>
      </c>
    </row>
    <row r="629" spans="1:26" x14ac:dyDescent="0.35">
      <c r="A629" s="1">
        <v>4008267</v>
      </c>
      <c r="B629" s="1" t="s">
        <v>31</v>
      </c>
      <c r="C629" s="1">
        <v>3300</v>
      </c>
      <c r="D629" s="1" t="s">
        <v>30</v>
      </c>
      <c r="E629" s="1">
        <v>301</v>
      </c>
      <c r="F629" s="1">
        <v>0</v>
      </c>
      <c r="G629" s="1">
        <v>480</v>
      </c>
      <c r="H629" s="1" t="s">
        <v>29</v>
      </c>
      <c r="I629" s="1" t="s">
        <v>71</v>
      </c>
      <c r="J629" s="1">
        <v>480</v>
      </c>
      <c r="M629" s="1" t="s">
        <v>28</v>
      </c>
      <c r="N629" s="1">
        <v>0</v>
      </c>
      <c r="O629" s="1" t="s">
        <v>199</v>
      </c>
      <c r="P629" s="1">
        <v>45944</v>
      </c>
      <c r="Q629" s="1">
        <v>0.59875</v>
      </c>
      <c r="R629" s="1" t="s">
        <v>458</v>
      </c>
      <c r="S629" s="1" t="s">
        <v>457</v>
      </c>
      <c r="U629" s="1" t="s">
        <v>24</v>
      </c>
      <c r="V629" s="1">
        <v>1</v>
      </c>
      <c r="W629" s="1" t="s">
        <v>271</v>
      </c>
      <c r="Y629" s="1" t="s">
        <v>32</v>
      </c>
      <c r="Z629" s="1" t="s">
        <v>23</v>
      </c>
    </row>
    <row r="630" spans="1:26" x14ac:dyDescent="0.35">
      <c r="A630" s="1">
        <v>4008272</v>
      </c>
      <c r="B630" s="1" t="s">
        <v>31</v>
      </c>
      <c r="C630" s="1">
        <v>3300</v>
      </c>
      <c r="D630" s="1" t="s">
        <v>30</v>
      </c>
      <c r="E630" s="1">
        <v>301</v>
      </c>
      <c r="F630" s="1">
        <v>0</v>
      </c>
      <c r="G630" s="1">
        <v>150</v>
      </c>
      <c r="H630" s="1" t="s">
        <v>29</v>
      </c>
      <c r="I630" s="1">
        <v>20</v>
      </c>
      <c r="J630" s="1">
        <v>100</v>
      </c>
      <c r="M630" s="1" t="s">
        <v>28</v>
      </c>
      <c r="N630" s="1">
        <v>5</v>
      </c>
      <c r="O630" s="1" t="s">
        <v>27</v>
      </c>
      <c r="P630" s="1">
        <v>45065</v>
      </c>
      <c r="Q630" s="1">
        <v>0.30322916666666999</v>
      </c>
      <c r="R630" s="1">
        <v>0</v>
      </c>
      <c r="T630" s="1" t="s">
        <v>335</v>
      </c>
      <c r="U630" s="1" t="s">
        <v>24</v>
      </c>
      <c r="V630" s="1">
        <v>1</v>
      </c>
      <c r="W630" s="1" t="s">
        <v>289</v>
      </c>
      <c r="Y630" s="1" t="s">
        <v>32</v>
      </c>
      <c r="Z630" s="1" t="s">
        <v>23</v>
      </c>
    </row>
    <row r="631" spans="1:26" x14ac:dyDescent="0.35">
      <c r="A631" s="1">
        <v>4008274</v>
      </c>
      <c r="B631" s="1" t="s">
        <v>31</v>
      </c>
      <c r="C631" s="1">
        <v>3300</v>
      </c>
      <c r="D631" s="1" t="s">
        <v>30</v>
      </c>
      <c r="E631" s="1">
        <v>301</v>
      </c>
      <c r="F631" s="1">
        <v>0</v>
      </c>
      <c r="G631" s="1">
        <v>30</v>
      </c>
      <c r="H631" s="1" t="s">
        <v>29</v>
      </c>
      <c r="I631" s="1">
        <v>20</v>
      </c>
      <c r="J631" s="1">
        <v>30</v>
      </c>
      <c r="L631" s="1" t="s">
        <v>24</v>
      </c>
      <c r="M631" s="1" t="s">
        <v>438</v>
      </c>
      <c r="N631" s="1">
        <v>0</v>
      </c>
      <c r="O631" s="1" t="s">
        <v>27</v>
      </c>
      <c r="P631" s="1">
        <v>46079</v>
      </c>
      <c r="Q631" s="1">
        <v>0.29831018518518998</v>
      </c>
      <c r="R631" s="1">
        <v>0</v>
      </c>
      <c r="T631" s="1" t="s">
        <v>335</v>
      </c>
      <c r="U631" s="1" t="s">
        <v>24</v>
      </c>
      <c r="V631" s="1">
        <v>1</v>
      </c>
      <c r="W631" s="1" t="s">
        <v>258</v>
      </c>
      <c r="Y631" s="1" t="s">
        <v>32</v>
      </c>
      <c r="Z631" s="1" t="s">
        <v>23</v>
      </c>
    </row>
    <row r="632" spans="1:26" x14ac:dyDescent="0.35">
      <c r="A632" s="1">
        <v>4008276</v>
      </c>
      <c r="B632" s="1" t="s">
        <v>31</v>
      </c>
      <c r="C632" s="1">
        <v>3300</v>
      </c>
      <c r="D632" s="1" t="s">
        <v>30</v>
      </c>
      <c r="E632" s="1">
        <v>301</v>
      </c>
      <c r="F632" s="1">
        <v>0</v>
      </c>
      <c r="G632" s="1">
        <v>100</v>
      </c>
      <c r="H632" s="1" t="s">
        <v>29</v>
      </c>
      <c r="I632" s="1" t="s">
        <v>71</v>
      </c>
      <c r="J632" s="1">
        <v>50</v>
      </c>
      <c r="M632" s="1" t="s">
        <v>28</v>
      </c>
      <c r="N632" s="1">
        <v>0</v>
      </c>
      <c r="O632" s="1" t="s">
        <v>27</v>
      </c>
      <c r="P632" s="1">
        <v>45964</v>
      </c>
      <c r="Q632" s="1">
        <v>0.32728009259259</v>
      </c>
      <c r="R632" s="1" t="s">
        <v>456</v>
      </c>
      <c r="S632" s="1" t="s">
        <v>455</v>
      </c>
      <c r="T632" s="1" t="s">
        <v>335</v>
      </c>
      <c r="U632" s="1" t="s">
        <v>24</v>
      </c>
      <c r="V632" s="1">
        <v>1</v>
      </c>
      <c r="W632" s="1" t="s">
        <v>258</v>
      </c>
      <c r="X632" s="1" t="s">
        <v>24</v>
      </c>
      <c r="Y632" s="1" t="s">
        <v>32</v>
      </c>
      <c r="Z632" s="1" t="s">
        <v>32</v>
      </c>
    </row>
    <row r="633" spans="1:26" x14ac:dyDescent="0.35">
      <c r="A633" s="1">
        <v>4008277</v>
      </c>
      <c r="B633" s="1" t="s">
        <v>31</v>
      </c>
      <c r="C633" s="1">
        <v>3300</v>
      </c>
      <c r="D633" s="1" t="s">
        <v>41</v>
      </c>
      <c r="E633" s="1">
        <v>301</v>
      </c>
      <c r="F633" s="1">
        <v>0</v>
      </c>
      <c r="G633" s="1">
        <v>160</v>
      </c>
      <c r="H633" s="1" t="s">
        <v>29</v>
      </c>
      <c r="I633" s="1">
        <v>20</v>
      </c>
      <c r="J633" s="1">
        <v>100</v>
      </c>
      <c r="M633" s="1" t="s">
        <v>28</v>
      </c>
      <c r="N633" s="1">
        <v>5</v>
      </c>
      <c r="O633" s="1" t="s">
        <v>236</v>
      </c>
      <c r="P633" s="1">
        <v>45842</v>
      </c>
      <c r="Q633" s="1">
        <v>0.56277777777778004</v>
      </c>
      <c r="R633" s="1">
        <v>0</v>
      </c>
      <c r="T633" s="1" t="s">
        <v>335</v>
      </c>
      <c r="U633" s="1" t="s">
        <v>24</v>
      </c>
      <c r="V633" s="1">
        <v>1</v>
      </c>
      <c r="W633" s="1" t="s">
        <v>258</v>
      </c>
      <c r="Y633" s="1" t="s">
        <v>32</v>
      </c>
      <c r="Z633" s="1" t="s">
        <v>23</v>
      </c>
    </row>
    <row r="634" spans="1:26" x14ac:dyDescent="0.35">
      <c r="A634" s="1">
        <v>4008278</v>
      </c>
      <c r="B634" s="1" t="s">
        <v>31</v>
      </c>
      <c r="C634" s="1">
        <v>3300</v>
      </c>
      <c r="D634" s="1" t="s">
        <v>41</v>
      </c>
      <c r="E634" s="1">
        <v>301</v>
      </c>
      <c r="F634" s="1">
        <v>0</v>
      </c>
      <c r="G634" s="1">
        <v>9</v>
      </c>
      <c r="H634" s="1" t="s">
        <v>29</v>
      </c>
      <c r="I634" s="1">
        <v>20</v>
      </c>
      <c r="J634" s="1">
        <v>8</v>
      </c>
      <c r="M634" s="1" t="s">
        <v>28</v>
      </c>
      <c r="N634" s="1">
        <v>0</v>
      </c>
      <c r="O634" s="1" t="s">
        <v>27</v>
      </c>
      <c r="P634" s="1">
        <v>45971</v>
      </c>
      <c r="Q634" s="1">
        <v>0.39010416666667003</v>
      </c>
      <c r="R634" s="1" t="s">
        <v>454</v>
      </c>
      <c r="S634" s="1" t="s">
        <v>453</v>
      </c>
      <c r="T634" s="1" t="s">
        <v>335</v>
      </c>
      <c r="U634" s="1" t="s">
        <v>24</v>
      </c>
      <c r="V634" s="1">
        <v>1</v>
      </c>
      <c r="W634" s="1" t="s">
        <v>258</v>
      </c>
      <c r="Y634" s="1" t="s">
        <v>32</v>
      </c>
      <c r="Z634" s="1" t="s">
        <v>23</v>
      </c>
    </row>
    <row r="635" spans="1:26" x14ac:dyDescent="0.35">
      <c r="A635" s="1">
        <v>4008279</v>
      </c>
      <c r="B635" s="1" t="s">
        <v>31</v>
      </c>
      <c r="C635" s="1">
        <v>3300</v>
      </c>
      <c r="D635" s="1" t="s">
        <v>30</v>
      </c>
      <c r="E635" s="1">
        <v>301</v>
      </c>
      <c r="F635" s="1">
        <v>0</v>
      </c>
      <c r="G635" s="1">
        <v>60</v>
      </c>
      <c r="H635" s="1" t="s">
        <v>29</v>
      </c>
      <c r="I635" s="1" t="s">
        <v>71</v>
      </c>
      <c r="J635" s="1">
        <v>40</v>
      </c>
      <c r="M635" s="1" t="s">
        <v>28</v>
      </c>
      <c r="N635" s="1">
        <v>0</v>
      </c>
      <c r="O635" s="1" t="s">
        <v>27</v>
      </c>
      <c r="P635" s="1">
        <v>45978</v>
      </c>
      <c r="Q635" s="1">
        <v>0.29148148148148001</v>
      </c>
      <c r="R635" s="1" t="s">
        <v>452</v>
      </c>
      <c r="S635" s="1" t="s">
        <v>451</v>
      </c>
      <c r="U635" s="1" t="s">
        <v>24</v>
      </c>
      <c r="V635" s="1">
        <v>1</v>
      </c>
      <c r="W635" s="1" t="s">
        <v>271</v>
      </c>
      <c r="X635" s="1" t="s">
        <v>24</v>
      </c>
      <c r="Y635" s="1" t="s">
        <v>32</v>
      </c>
      <c r="Z635" s="1" t="s">
        <v>32</v>
      </c>
    </row>
    <row r="636" spans="1:26" x14ac:dyDescent="0.35">
      <c r="A636" s="1">
        <v>4008280</v>
      </c>
      <c r="B636" s="1" t="s">
        <v>31</v>
      </c>
      <c r="C636" s="1">
        <v>3300</v>
      </c>
      <c r="D636" s="1" t="s">
        <v>30</v>
      </c>
      <c r="E636" s="1">
        <v>301</v>
      </c>
      <c r="F636" s="1">
        <v>0</v>
      </c>
      <c r="G636" s="1">
        <v>20</v>
      </c>
      <c r="H636" s="1" t="s">
        <v>29</v>
      </c>
      <c r="I636" s="1" t="s">
        <v>71</v>
      </c>
      <c r="J636" s="1">
        <v>40</v>
      </c>
      <c r="M636" s="1" t="s">
        <v>28</v>
      </c>
      <c r="N636" s="1">
        <v>0</v>
      </c>
      <c r="O636" s="1" t="s">
        <v>27</v>
      </c>
      <c r="P636" s="1">
        <v>45924</v>
      </c>
      <c r="Q636" s="1">
        <v>0.55084490740740999</v>
      </c>
      <c r="R636" s="1" t="s">
        <v>450</v>
      </c>
      <c r="S636" s="1" t="s">
        <v>449</v>
      </c>
      <c r="U636" s="1" t="s">
        <v>24</v>
      </c>
      <c r="V636" s="1">
        <v>1</v>
      </c>
      <c r="X636" s="1" t="s">
        <v>24</v>
      </c>
      <c r="Y636" s="1" t="s">
        <v>23</v>
      </c>
      <c r="Z636" s="1" t="s">
        <v>32</v>
      </c>
    </row>
    <row r="637" spans="1:26" x14ac:dyDescent="0.35">
      <c r="A637" s="1">
        <v>4008289</v>
      </c>
      <c r="B637" s="1" t="s">
        <v>31</v>
      </c>
      <c r="C637" s="1">
        <v>3300</v>
      </c>
      <c r="D637" s="1" t="s">
        <v>30</v>
      </c>
      <c r="E637" s="1">
        <v>301</v>
      </c>
      <c r="F637" s="1">
        <v>0</v>
      </c>
      <c r="G637" s="1">
        <v>288</v>
      </c>
      <c r="H637" s="1" t="s">
        <v>29</v>
      </c>
      <c r="I637" s="1">
        <v>20</v>
      </c>
      <c r="J637" s="1">
        <v>144</v>
      </c>
      <c r="M637" s="1" t="s">
        <v>28</v>
      </c>
      <c r="N637" s="1">
        <v>5</v>
      </c>
      <c r="O637" s="1" t="s">
        <v>236</v>
      </c>
      <c r="P637" s="1">
        <v>45232</v>
      </c>
      <c r="Q637" s="1">
        <v>0.58530092592592997</v>
      </c>
      <c r="R637" s="1" t="s">
        <v>448</v>
      </c>
      <c r="S637" s="1" t="s">
        <v>447</v>
      </c>
      <c r="T637" s="1" t="s">
        <v>335</v>
      </c>
      <c r="U637" s="1" t="s">
        <v>24</v>
      </c>
      <c r="V637" s="1">
        <v>1</v>
      </c>
      <c r="W637" s="1" t="s">
        <v>258</v>
      </c>
      <c r="X637" s="1" t="s">
        <v>141</v>
      </c>
      <c r="Y637" s="1" t="s">
        <v>32</v>
      </c>
      <c r="Z637" s="1" t="s">
        <v>32</v>
      </c>
    </row>
    <row r="638" spans="1:26" x14ac:dyDescent="0.35">
      <c r="A638" s="1">
        <v>4008290</v>
      </c>
      <c r="B638" s="1" t="s">
        <v>31</v>
      </c>
      <c r="C638" s="1">
        <v>3300</v>
      </c>
      <c r="D638" s="1" t="s">
        <v>41</v>
      </c>
      <c r="E638" s="1">
        <v>301</v>
      </c>
      <c r="F638" s="1">
        <v>0</v>
      </c>
      <c r="G638" s="1">
        <v>0</v>
      </c>
      <c r="J638" s="1">
        <v>0</v>
      </c>
      <c r="K638" s="1" t="s">
        <v>24</v>
      </c>
      <c r="M638" s="1" t="s">
        <v>28</v>
      </c>
      <c r="N638" s="1">
        <v>0</v>
      </c>
      <c r="O638" s="1" t="s">
        <v>277</v>
      </c>
      <c r="P638" s="1">
        <v>44573</v>
      </c>
      <c r="Q638" s="1">
        <v>0.43768518518519001</v>
      </c>
      <c r="R638" s="1">
        <v>0</v>
      </c>
      <c r="W638" s="1" t="s">
        <v>258</v>
      </c>
      <c r="Y638" s="1" t="s">
        <v>32</v>
      </c>
      <c r="Z638" s="1" t="s">
        <v>23</v>
      </c>
    </row>
    <row r="639" spans="1:26" x14ac:dyDescent="0.35">
      <c r="A639" s="1">
        <v>4008291</v>
      </c>
      <c r="B639" s="1" t="s">
        <v>31</v>
      </c>
      <c r="C639" s="1">
        <v>3300</v>
      </c>
      <c r="D639" s="1" t="s">
        <v>30</v>
      </c>
      <c r="E639" s="1">
        <v>301</v>
      </c>
      <c r="F639" s="1">
        <v>0</v>
      </c>
      <c r="G639" s="1">
        <v>432</v>
      </c>
      <c r="H639" s="1" t="s">
        <v>29</v>
      </c>
      <c r="I639" s="1">
        <v>20</v>
      </c>
      <c r="J639" s="1">
        <v>144</v>
      </c>
      <c r="M639" s="1" t="s">
        <v>28</v>
      </c>
      <c r="N639" s="1">
        <v>5</v>
      </c>
      <c r="O639" s="1" t="s">
        <v>277</v>
      </c>
      <c r="P639" s="1">
        <v>44804</v>
      </c>
      <c r="Q639" s="1">
        <v>0.51543981481481005</v>
      </c>
      <c r="R639" s="1" t="s">
        <v>446</v>
      </c>
      <c r="S639" s="1" t="s">
        <v>445</v>
      </c>
      <c r="T639" s="1" t="s">
        <v>335</v>
      </c>
      <c r="U639" s="1" t="s">
        <v>24</v>
      </c>
      <c r="V639" s="1">
        <v>1</v>
      </c>
      <c r="W639" s="1" t="s">
        <v>258</v>
      </c>
      <c r="Y639" s="1" t="s">
        <v>32</v>
      </c>
      <c r="Z639" s="1" t="s">
        <v>23</v>
      </c>
    </row>
    <row r="640" spans="1:26" x14ac:dyDescent="0.35">
      <c r="A640" s="1">
        <v>4008292</v>
      </c>
      <c r="B640" s="1" t="s">
        <v>31</v>
      </c>
      <c r="C640" s="1">
        <v>3300</v>
      </c>
      <c r="D640" s="1" t="s">
        <v>30</v>
      </c>
      <c r="E640" s="1">
        <v>301</v>
      </c>
      <c r="F640" s="1">
        <v>0</v>
      </c>
      <c r="G640" s="1">
        <v>147</v>
      </c>
      <c r="H640" s="1" t="s">
        <v>29</v>
      </c>
      <c r="I640" s="1">
        <v>20</v>
      </c>
      <c r="J640" s="1">
        <v>108</v>
      </c>
      <c r="M640" s="1" t="s">
        <v>28</v>
      </c>
      <c r="N640" s="1">
        <v>5</v>
      </c>
      <c r="O640" s="1" t="s">
        <v>386</v>
      </c>
      <c r="P640" s="1">
        <v>44522</v>
      </c>
      <c r="Q640" s="1">
        <v>0.56096064814815005</v>
      </c>
      <c r="R640" s="1">
        <v>0</v>
      </c>
      <c r="T640" s="1" t="s">
        <v>335</v>
      </c>
      <c r="U640" s="1" t="s">
        <v>24</v>
      </c>
      <c r="V640" s="1">
        <v>1</v>
      </c>
      <c r="W640" s="1" t="s">
        <v>258</v>
      </c>
      <c r="Y640" s="1" t="s">
        <v>32</v>
      </c>
      <c r="Z640" s="1" t="s">
        <v>23</v>
      </c>
    </row>
    <row r="641" spans="1:26" x14ac:dyDescent="0.35">
      <c r="A641" s="1">
        <v>4008295</v>
      </c>
      <c r="B641" s="1" t="s">
        <v>31</v>
      </c>
      <c r="C641" s="1">
        <v>3300</v>
      </c>
      <c r="D641" s="1" t="s">
        <v>30</v>
      </c>
      <c r="E641" s="1">
        <v>301</v>
      </c>
      <c r="F641" s="1">
        <v>0</v>
      </c>
      <c r="G641" s="1">
        <v>3000</v>
      </c>
      <c r="H641" s="1" t="s">
        <v>29</v>
      </c>
      <c r="I641" s="1">
        <v>20</v>
      </c>
      <c r="J641" s="1">
        <v>600</v>
      </c>
      <c r="M641" s="1" t="s">
        <v>28</v>
      </c>
      <c r="N641" s="1">
        <v>0</v>
      </c>
      <c r="O641" s="1" t="s">
        <v>27</v>
      </c>
      <c r="P641" s="1">
        <v>45814</v>
      </c>
      <c r="Q641" s="1">
        <v>0.35605324074074002</v>
      </c>
      <c r="R641" s="1" t="s">
        <v>444</v>
      </c>
      <c r="S641" s="1" t="s">
        <v>443</v>
      </c>
      <c r="U641" s="1" t="s">
        <v>24</v>
      </c>
      <c r="V641" s="1">
        <v>1</v>
      </c>
      <c r="X641" s="1" t="s">
        <v>24</v>
      </c>
      <c r="Y641" s="1" t="s">
        <v>23</v>
      </c>
      <c r="Z641" s="1" t="s">
        <v>32</v>
      </c>
    </row>
    <row r="642" spans="1:26" x14ac:dyDescent="0.35">
      <c r="A642" s="1">
        <v>4008296</v>
      </c>
      <c r="B642" s="1" t="s">
        <v>31</v>
      </c>
      <c r="C642" s="1">
        <v>3300</v>
      </c>
      <c r="D642" s="1" t="s">
        <v>30</v>
      </c>
      <c r="E642" s="1">
        <v>301</v>
      </c>
      <c r="F642" s="1">
        <v>0</v>
      </c>
      <c r="G642" s="1">
        <v>400</v>
      </c>
      <c r="H642" s="1" t="s">
        <v>29</v>
      </c>
      <c r="I642" s="1" t="s">
        <v>247</v>
      </c>
      <c r="J642" s="1">
        <v>200</v>
      </c>
      <c r="M642" s="1" t="s">
        <v>28</v>
      </c>
      <c r="N642" s="1">
        <v>0</v>
      </c>
      <c r="O642" s="1" t="s">
        <v>166</v>
      </c>
      <c r="P642" s="1">
        <v>45034</v>
      </c>
      <c r="Q642" s="1">
        <v>0.35319444444443998</v>
      </c>
      <c r="R642" s="1" t="s">
        <v>442</v>
      </c>
      <c r="S642" s="1" t="s">
        <v>441</v>
      </c>
      <c r="T642" s="1" t="s">
        <v>335</v>
      </c>
      <c r="U642" s="1" t="s">
        <v>24</v>
      </c>
      <c r="V642" s="1">
        <v>1</v>
      </c>
      <c r="W642" s="1" t="s">
        <v>258</v>
      </c>
      <c r="Y642" s="1" t="s">
        <v>32</v>
      </c>
      <c r="Z642" s="1" t="s">
        <v>23</v>
      </c>
    </row>
    <row r="643" spans="1:26" x14ac:dyDescent="0.35">
      <c r="A643" s="1">
        <v>4008297</v>
      </c>
      <c r="B643" s="1" t="s">
        <v>31</v>
      </c>
      <c r="C643" s="1">
        <v>3300</v>
      </c>
      <c r="D643" s="1" t="s">
        <v>41</v>
      </c>
      <c r="E643" s="1">
        <v>301</v>
      </c>
      <c r="F643" s="1">
        <v>0</v>
      </c>
      <c r="G643" s="1">
        <v>0</v>
      </c>
      <c r="J643" s="1">
        <v>0</v>
      </c>
      <c r="K643" s="1" t="s">
        <v>24</v>
      </c>
      <c r="M643" s="1" t="s">
        <v>28</v>
      </c>
      <c r="N643" s="1">
        <v>5</v>
      </c>
      <c r="O643" s="1" t="s">
        <v>277</v>
      </c>
      <c r="P643" s="1">
        <v>44781</v>
      </c>
      <c r="Q643" s="1">
        <v>0.40782407407407001</v>
      </c>
      <c r="R643" s="1">
        <v>0</v>
      </c>
      <c r="T643" s="1" t="s">
        <v>335</v>
      </c>
      <c r="W643" s="1" t="s">
        <v>258</v>
      </c>
      <c r="Y643" s="1" t="s">
        <v>32</v>
      </c>
      <c r="Z643" s="1" t="s">
        <v>23</v>
      </c>
    </row>
    <row r="644" spans="1:26" x14ac:dyDescent="0.35">
      <c r="A644" s="1">
        <v>4008299</v>
      </c>
      <c r="B644" s="1" t="s">
        <v>31</v>
      </c>
      <c r="C644" s="1">
        <v>3300</v>
      </c>
      <c r="D644" s="1" t="s">
        <v>41</v>
      </c>
      <c r="E644" s="1">
        <v>301</v>
      </c>
      <c r="F644" s="1">
        <v>0</v>
      </c>
      <c r="G644" s="1">
        <v>0</v>
      </c>
      <c r="J644" s="1">
        <v>0</v>
      </c>
      <c r="K644" s="1" t="s">
        <v>24</v>
      </c>
      <c r="M644" s="1" t="s">
        <v>28</v>
      </c>
      <c r="N644" s="1">
        <v>0</v>
      </c>
      <c r="O644" s="1" t="s">
        <v>373</v>
      </c>
      <c r="P644" s="1">
        <v>44476</v>
      </c>
      <c r="Q644" s="1">
        <v>0.54039351851852002</v>
      </c>
      <c r="R644" s="1" t="s">
        <v>440</v>
      </c>
      <c r="S644" s="1" t="s">
        <v>439</v>
      </c>
      <c r="W644" s="1" t="s">
        <v>258</v>
      </c>
      <c r="Y644" s="1" t="s">
        <v>32</v>
      </c>
      <c r="Z644" s="1" t="s">
        <v>23</v>
      </c>
    </row>
    <row r="645" spans="1:26" x14ac:dyDescent="0.35">
      <c r="A645" s="1">
        <v>4008307</v>
      </c>
      <c r="B645" s="1" t="s">
        <v>31</v>
      </c>
      <c r="C645" s="1">
        <v>3300</v>
      </c>
      <c r="D645" s="1" t="s">
        <v>41</v>
      </c>
      <c r="G645" s="1">
        <v>0</v>
      </c>
      <c r="J645" s="1">
        <v>0</v>
      </c>
      <c r="K645" s="1" t="s">
        <v>24</v>
      </c>
      <c r="M645" s="1" t="s">
        <v>28</v>
      </c>
      <c r="N645" s="1">
        <v>0</v>
      </c>
      <c r="O645" s="1" t="s">
        <v>277</v>
      </c>
      <c r="P645" s="1">
        <v>44525</v>
      </c>
      <c r="Q645" s="1">
        <v>0.40843750000000001</v>
      </c>
      <c r="R645" s="1">
        <v>0</v>
      </c>
      <c r="T645" s="1" t="s">
        <v>335</v>
      </c>
      <c r="W645" s="1" t="s">
        <v>258</v>
      </c>
      <c r="X645" s="1" t="s">
        <v>24</v>
      </c>
      <c r="Y645" s="1" t="s">
        <v>32</v>
      </c>
      <c r="Z645" s="1" t="s">
        <v>32</v>
      </c>
    </row>
    <row r="646" spans="1:26" x14ac:dyDescent="0.35">
      <c r="A646" s="1">
        <v>4008308</v>
      </c>
      <c r="B646" s="1" t="s">
        <v>31</v>
      </c>
      <c r="C646" s="1">
        <v>3300</v>
      </c>
      <c r="D646" s="1" t="s">
        <v>30</v>
      </c>
      <c r="E646" s="1">
        <v>301</v>
      </c>
      <c r="F646" s="1">
        <v>0</v>
      </c>
      <c r="G646" s="1">
        <v>20</v>
      </c>
      <c r="H646" s="1" t="s">
        <v>29</v>
      </c>
      <c r="I646" s="1" t="s">
        <v>71</v>
      </c>
      <c r="J646" s="1">
        <v>30</v>
      </c>
      <c r="L646" s="1" t="s">
        <v>24</v>
      </c>
      <c r="M646" s="1" t="s">
        <v>438</v>
      </c>
      <c r="N646" s="1">
        <v>0</v>
      </c>
      <c r="O646" s="1" t="s">
        <v>27</v>
      </c>
      <c r="P646" s="1">
        <v>45924</v>
      </c>
      <c r="Q646" s="1">
        <v>0.34923611111111003</v>
      </c>
      <c r="R646" s="1">
        <v>0</v>
      </c>
      <c r="T646" s="1" t="s">
        <v>335</v>
      </c>
      <c r="U646" s="1" t="s">
        <v>24</v>
      </c>
      <c r="V646" s="1">
        <v>1</v>
      </c>
      <c r="W646" s="1" t="s">
        <v>289</v>
      </c>
      <c r="X646" s="1" t="s">
        <v>24</v>
      </c>
      <c r="Y646" s="1" t="s">
        <v>32</v>
      </c>
      <c r="Z646" s="1" t="s">
        <v>32</v>
      </c>
    </row>
    <row r="647" spans="1:26" x14ac:dyDescent="0.35">
      <c r="A647" s="1">
        <v>4008314</v>
      </c>
      <c r="B647" s="1" t="s">
        <v>31</v>
      </c>
      <c r="C647" s="1">
        <v>3300</v>
      </c>
      <c r="D647" s="1" t="s">
        <v>30</v>
      </c>
      <c r="E647" s="1">
        <v>301</v>
      </c>
      <c r="F647" s="1">
        <v>0</v>
      </c>
      <c r="G647" s="1">
        <v>98</v>
      </c>
      <c r="H647" s="1" t="s">
        <v>29</v>
      </c>
      <c r="I647" s="1" t="s">
        <v>71</v>
      </c>
      <c r="J647" s="1">
        <v>68</v>
      </c>
      <c r="M647" s="1" t="s">
        <v>28</v>
      </c>
      <c r="N647" s="1">
        <v>0</v>
      </c>
      <c r="O647" s="1" t="s">
        <v>27</v>
      </c>
      <c r="P647" s="1">
        <v>45973</v>
      </c>
      <c r="Q647" s="1">
        <v>0.28381944444444002</v>
      </c>
      <c r="R647" s="1">
        <v>0</v>
      </c>
      <c r="U647" s="1" t="s">
        <v>24</v>
      </c>
      <c r="V647" s="1">
        <v>1</v>
      </c>
      <c r="W647" s="1" t="s">
        <v>271</v>
      </c>
      <c r="X647" s="1" t="s">
        <v>141</v>
      </c>
      <c r="Y647" s="1" t="s">
        <v>32</v>
      </c>
      <c r="Z647" s="1" t="s">
        <v>32</v>
      </c>
    </row>
    <row r="648" spans="1:26" x14ac:dyDescent="0.35">
      <c r="A648" s="1">
        <v>4008327</v>
      </c>
      <c r="B648" s="1" t="s">
        <v>31</v>
      </c>
      <c r="C648" s="1">
        <v>3300</v>
      </c>
      <c r="D648" s="1" t="s">
        <v>30</v>
      </c>
      <c r="E648" s="1">
        <v>301</v>
      </c>
      <c r="F648" s="1">
        <v>0</v>
      </c>
      <c r="G648" s="1">
        <v>60</v>
      </c>
      <c r="H648" s="1" t="s">
        <v>29</v>
      </c>
      <c r="I648" s="1">
        <v>20</v>
      </c>
      <c r="J648" s="1">
        <v>40</v>
      </c>
      <c r="M648" s="1" t="s">
        <v>28</v>
      </c>
      <c r="N648" s="1">
        <v>5</v>
      </c>
      <c r="O648" s="1" t="s">
        <v>236</v>
      </c>
      <c r="P648" s="1">
        <v>45232</v>
      </c>
      <c r="Q648" s="1">
        <v>0.57828703703703999</v>
      </c>
      <c r="R648" s="1">
        <v>0</v>
      </c>
      <c r="T648" s="1" t="s">
        <v>335</v>
      </c>
      <c r="U648" s="1" t="s">
        <v>24</v>
      </c>
      <c r="V648" s="1">
        <v>1</v>
      </c>
      <c r="W648" s="1" t="s">
        <v>258</v>
      </c>
      <c r="X648" s="1" t="s">
        <v>141</v>
      </c>
      <c r="Y648" s="1" t="s">
        <v>32</v>
      </c>
      <c r="Z648" s="1" t="s">
        <v>32</v>
      </c>
    </row>
    <row r="649" spans="1:26" x14ac:dyDescent="0.35">
      <c r="A649" s="1">
        <v>4008328</v>
      </c>
      <c r="B649" s="1" t="s">
        <v>31</v>
      </c>
      <c r="C649" s="1">
        <v>3300</v>
      </c>
      <c r="D649" s="1" t="s">
        <v>30</v>
      </c>
      <c r="E649" s="1">
        <v>301</v>
      </c>
      <c r="F649" s="1">
        <v>0</v>
      </c>
      <c r="G649" s="1">
        <v>6000</v>
      </c>
      <c r="H649" s="1" t="s">
        <v>29</v>
      </c>
      <c r="I649" s="1" t="s">
        <v>247</v>
      </c>
      <c r="J649" s="1">
        <v>10800</v>
      </c>
      <c r="M649" s="1" t="s">
        <v>28</v>
      </c>
      <c r="N649" s="1">
        <v>0</v>
      </c>
      <c r="O649" s="1" t="s">
        <v>166</v>
      </c>
      <c r="P649" s="1">
        <v>45597</v>
      </c>
      <c r="Q649" s="1">
        <v>0.32951388888888999</v>
      </c>
      <c r="R649" s="1">
        <v>0</v>
      </c>
      <c r="U649" s="1" t="s">
        <v>24</v>
      </c>
      <c r="V649" s="1">
        <v>1</v>
      </c>
      <c r="W649" s="1" t="s">
        <v>289</v>
      </c>
      <c r="X649" s="1" t="s">
        <v>141</v>
      </c>
      <c r="Y649" s="1" t="s">
        <v>32</v>
      </c>
      <c r="Z649" s="1" t="s">
        <v>32</v>
      </c>
    </row>
    <row r="650" spans="1:26" x14ac:dyDescent="0.35">
      <c r="A650" s="1">
        <v>4008333</v>
      </c>
      <c r="B650" s="1" t="s">
        <v>31</v>
      </c>
      <c r="C650" s="1">
        <v>3300</v>
      </c>
      <c r="D650" s="1" t="s">
        <v>41</v>
      </c>
      <c r="G650" s="1">
        <v>0</v>
      </c>
      <c r="J650" s="1">
        <v>0</v>
      </c>
      <c r="M650" s="1" t="s">
        <v>28</v>
      </c>
      <c r="N650" s="1">
        <v>0</v>
      </c>
      <c r="O650" s="1" t="s">
        <v>236</v>
      </c>
      <c r="P650" s="1">
        <v>45232</v>
      </c>
      <c r="Q650" s="1">
        <v>0.57693287037037</v>
      </c>
      <c r="R650" s="1" t="s">
        <v>437</v>
      </c>
      <c r="S650" s="1" t="s">
        <v>436</v>
      </c>
      <c r="U650" s="1" t="s">
        <v>24</v>
      </c>
      <c r="V650" s="1">
        <v>1</v>
      </c>
      <c r="W650" s="1" t="s">
        <v>258</v>
      </c>
      <c r="X650" s="1" t="s">
        <v>24</v>
      </c>
      <c r="Y650" s="1" t="s">
        <v>32</v>
      </c>
      <c r="Z650" s="1" t="s">
        <v>32</v>
      </c>
    </row>
    <row r="651" spans="1:26" x14ac:dyDescent="0.35">
      <c r="A651" s="1">
        <v>4008334</v>
      </c>
      <c r="B651" s="1" t="s">
        <v>31</v>
      </c>
      <c r="C651" s="1">
        <v>3300</v>
      </c>
      <c r="D651" s="1" t="s">
        <v>30</v>
      </c>
      <c r="E651" s="1">
        <v>301</v>
      </c>
      <c r="F651" s="1">
        <v>0</v>
      </c>
      <c r="G651" s="1">
        <v>120</v>
      </c>
      <c r="H651" s="1" t="s">
        <v>29</v>
      </c>
      <c r="I651" s="1" t="s">
        <v>247</v>
      </c>
      <c r="J651" s="1">
        <v>120</v>
      </c>
      <c r="M651" s="1" t="s">
        <v>28</v>
      </c>
      <c r="N651" s="1">
        <v>0</v>
      </c>
      <c r="O651" s="1" t="s">
        <v>166</v>
      </c>
      <c r="P651" s="1">
        <v>45006</v>
      </c>
      <c r="Q651" s="1">
        <v>0.45728009259259</v>
      </c>
      <c r="R651" s="1">
        <v>0</v>
      </c>
      <c r="T651" s="1" t="s">
        <v>335</v>
      </c>
      <c r="U651" s="1" t="s">
        <v>24</v>
      </c>
      <c r="V651" s="1">
        <v>1</v>
      </c>
      <c r="W651" s="1" t="s">
        <v>258</v>
      </c>
      <c r="Y651" s="1" t="s">
        <v>32</v>
      </c>
      <c r="Z651" s="1" t="s">
        <v>23</v>
      </c>
    </row>
    <row r="652" spans="1:26" x14ac:dyDescent="0.35">
      <c r="A652" s="1">
        <v>4008335</v>
      </c>
      <c r="B652" s="1" t="s">
        <v>31</v>
      </c>
      <c r="C652" s="1">
        <v>3300</v>
      </c>
      <c r="D652" s="1" t="s">
        <v>30</v>
      </c>
      <c r="E652" s="1">
        <v>301</v>
      </c>
      <c r="F652" s="1">
        <v>0</v>
      </c>
      <c r="G652" s="1">
        <v>13960</v>
      </c>
      <c r="H652" s="1" t="s">
        <v>29</v>
      </c>
      <c r="I652" s="1" t="s">
        <v>247</v>
      </c>
      <c r="J652" s="1">
        <v>12960</v>
      </c>
      <c r="M652" s="1" t="s">
        <v>28</v>
      </c>
      <c r="N652" s="1">
        <v>0</v>
      </c>
      <c r="O652" s="1" t="s">
        <v>27</v>
      </c>
      <c r="P652" s="1">
        <v>45971</v>
      </c>
      <c r="Q652" s="1">
        <v>0.51064814814814996</v>
      </c>
      <c r="R652" s="1" t="s">
        <v>435</v>
      </c>
      <c r="S652" s="1" t="s">
        <v>434</v>
      </c>
      <c r="U652" s="1" t="s">
        <v>24</v>
      </c>
      <c r="V652" s="1">
        <v>1</v>
      </c>
      <c r="W652" s="1" t="s">
        <v>271</v>
      </c>
      <c r="X652" s="1" t="s">
        <v>141</v>
      </c>
      <c r="Y652" s="1" t="s">
        <v>32</v>
      </c>
      <c r="Z652" s="1" t="s">
        <v>32</v>
      </c>
    </row>
    <row r="653" spans="1:26" x14ac:dyDescent="0.35">
      <c r="A653" s="1">
        <v>4008336</v>
      </c>
      <c r="B653" s="1" t="s">
        <v>31</v>
      </c>
      <c r="C653" s="1">
        <v>3300</v>
      </c>
      <c r="D653" s="1" t="s">
        <v>30</v>
      </c>
      <c r="E653" s="1">
        <v>301</v>
      </c>
      <c r="F653" s="1">
        <v>0</v>
      </c>
      <c r="G653" s="1">
        <v>6600</v>
      </c>
      <c r="H653" s="1" t="s">
        <v>29</v>
      </c>
      <c r="I653" s="1" t="s">
        <v>247</v>
      </c>
      <c r="J653" s="1">
        <v>14400</v>
      </c>
      <c r="M653" s="1" t="s">
        <v>28</v>
      </c>
      <c r="N653" s="1">
        <v>0</v>
      </c>
      <c r="O653" s="1" t="s">
        <v>166</v>
      </c>
      <c r="P653" s="1">
        <v>45607</v>
      </c>
      <c r="Q653" s="1">
        <v>0.28540509259259</v>
      </c>
      <c r="R653" s="1" t="s">
        <v>433</v>
      </c>
      <c r="S653" s="1" t="s">
        <v>432</v>
      </c>
      <c r="U653" s="1" t="s">
        <v>24</v>
      </c>
      <c r="V653" s="1">
        <v>1</v>
      </c>
      <c r="W653" s="1" t="s">
        <v>289</v>
      </c>
      <c r="X653" s="1" t="s">
        <v>141</v>
      </c>
      <c r="Y653" s="1" t="s">
        <v>32</v>
      </c>
      <c r="Z653" s="1" t="s">
        <v>32</v>
      </c>
    </row>
    <row r="654" spans="1:26" x14ac:dyDescent="0.35">
      <c r="A654" s="1">
        <v>4008337</v>
      </c>
      <c r="B654" s="1" t="s">
        <v>31</v>
      </c>
      <c r="C654" s="1">
        <v>3300</v>
      </c>
      <c r="D654" s="1" t="s">
        <v>30</v>
      </c>
      <c r="E654" s="1">
        <v>301</v>
      </c>
      <c r="F654" s="1">
        <v>0</v>
      </c>
      <c r="G654" s="1">
        <v>4680</v>
      </c>
      <c r="H654" s="1" t="s">
        <v>29</v>
      </c>
      <c r="I654" s="1" t="s">
        <v>71</v>
      </c>
      <c r="J654" s="1">
        <v>3510</v>
      </c>
      <c r="M654" s="1" t="s">
        <v>28</v>
      </c>
      <c r="N654" s="1">
        <v>0</v>
      </c>
      <c r="O654" s="1" t="s">
        <v>27</v>
      </c>
      <c r="P654" s="1">
        <v>46076</v>
      </c>
      <c r="Q654" s="1">
        <v>0.29892361111110999</v>
      </c>
      <c r="R654" s="1">
        <v>0</v>
      </c>
      <c r="U654" s="1" t="s">
        <v>24</v>
      </c>
      <c r="V654" s="1">
        <v>1</v>
      </c>
      <c r="W654" s="1" t="s">
        <v>271</v>
      </c>
      <c r="X654" s="1" t="s">
        <v>141</v>
      </c>
      <c r="Y654" s="1" t="s">
        <v>32</v>
      </c>
      <c r="Z654" s="1" t="s">
        <v>32</v>
      </c>
    </row>
    <row r="655" spans="1:26" x14ac:dyDescent="0.35">
      <c r="A655" s="1">
        <v>4008338</v>
      </c>
      <c r="B655" s="1" t="s">
        <v>31</v>
      </c>
      <c r="C655" s="1">
        <v>3300</v>
      </c>
      <c r="D655" s="1" t="s">
        <v>30</v>
      </c>
      <c r="E655" s="1">
        <v>301</v>
      </c>
      <c r="F655" s="1">
        <v>0</v>
      </c>
      <c r="G655" s="1">
        <v>30</v>
      </c>
      <c r="H655" s="1" t="s">
        <v>29</v>
      </c>
      <c r="I655" s="1" t="s">
        <v>71</v>
      </c>
      <c r="J655" s="1">
        <v>30</v>
      </c>
      <c r="M655" s="1" t="s">
        <v>28</v>
      </c>
      <c r="N655" s="1">
        <v>0</v>
      </c>
      <c r="O655" s="1" t="s">
        <v>27</v>
      </c>
      <c r="P655" s="1">
        <v>45940</v>
      </c>
      <c r="Q655" s="1">
        <v>0.28725694444444</v>
      </c>
      <c r="R655" s="1" t="s">
        <v>431</v>
      </c>
      <c r="S655" s="1" t="s">
        <v>430</v>
      </c>
      <c r="U655" s="1" t="s">
        <v>24</v>
      </c>
      <c r="V655" s="1">
        <v>1</v>
      </c>
      <c r="W655" s="1" t="s">
        <v>258</v>
      </c>
      <c r="Y655" s="1" t="s">
        <v>32</v>
      </c>
      <c r="Z655" s="1" t="s">
        <v>23</v>
      </c>
    </row>
    <row r="656" spans="1:26" x14ac:dyDescent="0.35">
      <c r="A656" s="1">
        <v>4008339</v>
      </c>
      <c r="B656" s="1" t="s">
        <v>31</v>
      </c>
      <c r="C656" s="1">
        <v>3300</v>
      </c>
      <c r="D656" s="1" t="s">
        <v>30</v>
      </c>
      <c r="E656" s="1">
        <v>301</v>
      </c>
      <c r="F656" s="1">
        <v>0</v>
      </c>
      <c r="G656" s="1">
        <v>1800</v>
      </c>
      <c r="H656" s="1" t="s">
        <v>29</v>
      </c>
      <c r="I656" s="1" t="s">
        <v>71</v>
      </c>
      <c r="J656" s="1">
        <v>1800</v>
      </c>
      <c r="M656" s="1" t="s">
        <v>28</v>
      </c>
      <c r="N656" s="1">
        <v>0</v>
      </c>
      <c r="O656" s="1" t="s">
        <v>27</v>
      </c>
      <c r="P656" s="1">
        <v>46072</v>
      </c>
      <c r="Q656" s="1">
        <v>0.41020833333333001</v>
      </c>
      <c r="R656" s="1">
        <v>0</v>
      </c>
      <c r="T656" s="1" t="s">
        <v>335</v>
      </c>
      <c r="U656" s="1" t="s">
        <v>24</v>
      </c>
      <c r="V656" s="1">
        <v>1</v>
      </c>
      <c r="W656" s="1" t="s">
        <v>271</v>
      </c>
      <c r="X656" s="1" t="s">
        <v>141</v>
      </c>
      <c r="Y656" s="1" t="s">
        <v>32</v>
      </c>
      <c r="Z656" s="1" t="s">
        <v>32</v>
      </c>
    </row>
    <row r="657" spans="1:26" x14ac:dyDescent="0.35">
      <c r="A657" s="1">
        <v>4008340</v>
      </c>
      <c r="B657" s="1" t="s">
        <v>31</v>
      </c>
      <c r="C657" s="1">
        <v>3300</v>
      </c>
      <c r="D657" s="1" t="s">
        <v>30</v>
      </c>
      <c r="E657" s="1">
        <v>301</v>
      </c>
      <c r="F657" s="1">
        <v>0</v>
      </c>
      <c r="G657" s="1">
        <v>5200</v>
      </c>
      <c r="H657" s="1" t="s">
        <v>29</v>
      </c>
      <c r="I657" s="1" t="s">
        <v>247</v>
      </c>
      <c r="J657" s="1">
        <v>9600</v>
      </c>
      <c r="M657" s="1" t="s">
        <v>28</v>
      </c>
      <c r="N657" s="1">
        <v>0</v>
      </c>
      <c r="O657" s="1" t="s">
        <v>166</v>
      </c>
      <c r="P657" s="1">
        <v>45629</v>
      </c>
      <c r="Q657" s="1">
        <v>0.33512731481481001</v>
      </c>
      <c r="R657" s="1" t="s">
        <v>429</v>
      </c>
      <c r="S657" s="1" t="s">
        <v>428</v>
      </c>
      <c r="U657" s="1" t="s">
        <v>24</v>
      </c>
      <c r="V657" s="1">
        <v>1</v>
      </c>
      <c r="W657" s="1" t="s">
        <v>289</v>
      </c>
      <c r="X657" s="1" t="s">
        <v>141</v>
      </c>
      <c r="Y657" s="1" t="s">
        <v>32</v>
      </c>
      <c r="Z657" s="1" t="s">
        <v>32</v>
      </c>
    </row>
    <row r="658" spans="1:26" x14ac:dyDescent="0.35">
      <c r="A658" s="1">
        <v>4008342</v>
      </c>
      <c r="B658" s="1" t="s">
        <v>31</v>
      </c>
      <c r="C658" s="1">
        <v>3300</v>
      </c>
      <c r="D658" s="1" t="s">
        <v>41</v>
      </c>
      <c r="G658" s="1">
        <v>0</v>
      </c>
      <c r="J658" s="1">
        <v>0</v>
      </c>
      <c r="M658" s="1" t="s">
        <v>28</v>
      </c>
      <c r="N658" s="1">
        <v>0</v>
      </c>
      <c r="O658" s="1" t="s">
        <v>236</v>
      </c>
      <c r="P658" s="1">
        <v>45232</v>
      </c>
      <c r="Q658" s="1">
        <v>0.57059027777778004</v>
      </c>
      <c r="R658" s="1">
        <v>0</v>
      </c>
      <c r="U658" s="1" t="s">
        <v>24</v>
      </c>
      <c r="V658" s="1">
        <v>1</v>
      </c>
      <c r="W658" s="1" t="s">
        <v>258</v>
      </c>
      <c r="X658" s="1" t="s">
        <v>141</v>
      </c>
      <c r="Y658" s="1" t="s">
        <v>32</v>
      </c>
      <c r="Z658" s="1" t="s">
        <v>32</v>
      </c>
    </row>
    <row r="659" spans="1:26" x14ac:dyDescent="0.35">
      <c r="A659" s="1">
        <v>4008343</v>
      </c>
      <c r="B659" s="1" t="s">
        <v>31</v>
      </c>
      <c r="C659" s="1">
        <v>3300</v>
      </c>
      <c r="D659" s="1" t="s">
        <v>30</v>
      </c>
      <c r="E659" s="1">
        <v>301</v>
      </c>
      <c r="F659" s="1">
        <v>0</v>
      </c>
      <c r="G659" s="1">
        <v>240</v>
      </c>
      <c r="H659" s="1" t="s">
        <v>29</v>
      </c>
      <c r="I659" s="1" t="s">
        <v>247</v>
      </c>
      <c r="J659" s="1">
        <v>720</v>
      </c>
      <c r="M659" s="1" t="s">
        <v>28</v>
      </c>
      <c r="N659" s="1">
        <v>0</v>
      </c>
      <c r="O659" s="1" t="s">
        <v>389</v>
      </c>
      <c r="P659" s="1">
        <v>44463</v>
      </c>
      <c r="Q659" s="1">
        <v>0.61276620370370005</v>
      </c>
      <c r="R659" s="1">
        <v>0</v>
      </c>
      <c r="U659" s="1" t="s">
        <v>24</v>
      </c>
      <c r="V659" s="1">
        <v>1</v>
      </c>
      <c r="W659" s="1" t="s">
        <v>258</v>
      </c>
      <c r="Y659" s="1" t="s">
        <v>32</v>
      </c>
      <c r="Z659" s="1" t="s">
        <v>23</v>
      </c>
    </row>
    <row r="660" spans="1:26" x14ac:dyDescent="0.35">
      <c r="A660" s="1">
        <v>4008345</v>
      </c>
      <c r="B660" s="1" t="s">
        <v>31</v>
      </c>
      <c r="C660" s="1">
        <v>3300</v>
      </c>
      <c r="D660" s="1" t="s">
        <v>30</v>
      </c>
      <c r="E660" s="1">
        <v>301</v>
      </c>
      <c r="F660" s="1">
        <v>0</v>
      </c>
      <c r="G660" s="1">
        <v>100</v>
      </c>
      <c r="H660" s="1" t="s">
        <v>29</v>
      </c>
      <c r="I660" s="1" t="s">
        <v>71</v>
      </c>
      <c r="J660" s="1">
        <v>60</v>
      </c>
      <c r="M660" s="1" t="s">
        <v>28</v>
      </c>
      <c r="N660" s="1">
        <v>5</v>
      </c>
      <c r="O660" s="1" t="s">
        <v>27</v>
      </c>
      <c r="P660" s="1">
        <v>45987</v>
      </c>
      <c r="Q660" s="1">
        <v>0.28472222222221999</v>
      </c>
      <c r="R660" s="1" t="s">
        <v>427</v>
      </c>
      <c r="S660" s="1" t="s">
        <v>426</v>
      </c>
      <c r="T660" s="1" t="s">
        <v>335</v>
      </c>
      <c r="U660" s="1" t="s">
        <v>24</v>
      </c>
      <c r="V660" s="1">
        <v>1</v>
      </c>
      <c r="W660" s="1" t="s">
        <v>289</v>
      </c>
      <c r="Y660" s="1" t="s">
        <v>32</v>
      </c>
      <c r="Z660" s="1" t="s">
        <v>23</v>
      </c>
    </row>
    <row r="661" spans="1:26" x14ac:dyDescent="0.35">
      <c r="A661" s="1">
        <v>4008346</v>
      </c>
      <c r="B661" s="1" t="s">
        <v>31</v>
      </c>
      <c r="C661" s="1">
        <v>3300</v>
      </c>
      <c r="D661" s="1" t="s">
        <v>30</v>
      </c>
      <c r="E661" s="1">
        <v>301</v>
      </c>
      <c r="F661" s="1">
        <v>0</v>
      </c>
      <c r="G661" s="1">
        <v>5000</v>
      </c>
      <c r="H661" s="1" t="s">
        <v>29</v>
      </c>
      <c r="I661" s="1">
        <v>20</v>
      </c>
      <c r="J661" s="1">
        <v>7000</v>
      </c>
      <c r="M661" s="1" t="s">
        <v>28</v>
      </c>
      <c r="N661" s="1">
        <v>0</v>
      </c>
      <c r="O661" s="1" t="s">
        <v>27</v>
      </c>
      <c r="P661" s="1">
        <v>45945</v>
      </c>
      <c r="Q661" s="1">
        <v>0.31614583333333002</v>
      </c>
      <c r="R661" s="1">
        <v>0</v>
      </c>
      <c r="T661" s="1" t="s">
        <v>335</v>
      </c>
      <c r="U661" s="1" t="s">
        <v>24</v>
      </c>
      <c r="V661" s="1">
        <v>1</v>
      </c>
      <c r="W661" s="1" t="s">
        <v>258</v>
      </c>
      <c r="Y661" s="1" t="s">
        <v>32</v>
      </c>
      <c r="Z661" s="1" t="s">
        <v>23</v>
      </c>
    </row>
    <row r="662" spans="1:26" x14ac:dyDescent="0.35">
      <c r="A662" s="1">
        <v>4008347</v>
      </c>
      <c r="B662" s="1" t="s">
        <v>31</v>
      </c>
      <c r="C662" s="1">
        <v>3300</v>
      </c>
      <c r="D662" s="1" t="s">
        <v>30</v>
      </c>
      <c r="E662" s="1">
        <v>301</v>
      </c>
      <c r="F662" s="1">
        <v>0</v>
      </c>
      <c r="G662" s="1">
        <v>3000</v>
      </c>
      <c r="H662" s="1" t="s">
        <v>29</v>
      </c>
      <c r="I662" s="1">
        <v>20</v>
      </c>
      <c r="J662" s="1">
        <v>5000</v>
      </c>
      <c r="M662" s="1" t="s">
        <v>28</v>
      </c>
      <c r="N662" s="1">
        <v>0</v>
      </c>
      <c r="O662" s="1" t="s">
        <v>27</v>
      </c>
      <c r="P662" s="1">
        <v>45629</v>
      </c>
      <c r="Q662" s="1">
        <v>0.30315972222221998</v>
      </c>
      <c r="R662" s="1">
        <v>0</v>
      </c>
      <c r="T662" s="1" t="s">
        <v>335</v>
      </c>
      <c r="U662" s="1" t="s">
        <v>24</v>
      </c>
      <c r="V662" s="1">
        <v>1</v>
      </c>
      <c r="W662" s="1" t="s">
        <v>258</v>
      </c>
      <c r="Y662" s="1" t="s">
        <v>32</v>
      </c>
      <c r="Z662" s="1" t="s">
        <v>23</v>
      </c>
    </row>
    <row r="663" spans="1:26" x14ac:dyDescent="0.35">
      <c r="A663" s="1">
        <v>4008354</v>
      </c>
      <c r="B663" s="1" t="s">
        <v>31</v>
      </c>
      <c r="C663" s="1">
        <v>3300</v>
      </c>
      <c r="D663" s="1" t="s">
        <v>30</v>
      </c>
      <c r="E663" s="1">
        <v>301</v>
      </c>
      <c r="F663" s="1">
        <v>0</v>
      </c>
      <c r="G663" s="1">
        <v>80</v>
      </c>
      <c r="H663" s="1" t="s">
        <v>29</v>
      </c>
      <c r="I663" s="1">
        <v>20</v>
      </c>
      <c r="J663" s="1">
        <v>20</v>
      </c>
      <c r="M663" s="1" t="s">
        <v>28</v>
      </c>
      <c r="N663" s="1">
        <v>5</v>
      </c>
      <c r="O663" s="1" t="s">
        <v>277</v>
      </c>
      <c r="P663" s="1">
        <v>44816</v>
      </c>
      <c r="Q663" s="1">
        <v>0.53055555555556</v>
      </c>
      <c r="R663" s="1" t="s">
        <v>425</v>
      </c>
      <c r="S663" s="1" t="s">
        <v>424</v>
      </c>
      <c r="T663" s="1" t="s">
        <v>335</v>
      </c>
      <c r="U663" s="1" t="s">
        <v>24</v>
      </c>
      <c r="V663" s="1">
        <v>1</v>
      </c>
      <c r="W663" s="1" t="s">
        <v>258</v>
      </c>
      <c r="Y663" s="1" t="s">
        <v>32</v>
      </c>
      <c r="Z663" s="1" t="s">
        <v>23</v>
      </c>
    </row>
    <row r="664" spans="1:26" x14ac:dyDescent="0.35">
      <c r="A664" s="1">
        <v>4008377</v>
      </c>
      <c r="B664" s="1" t="s">
        <v>31</v>
      </c>
      <c r="C664" s="1">
        <v>3300</v>
      </c>
      <c r="D664" s="1" t="s">
        <v>30</v>
      </c>
      <c r="E664" s="1">
        <v>301</v>
      </c>
      <c r="F664" s="1">
        <v>0</v>
      </c>
      <c r="G664" s="1">
        <v>72</v>
      </c>
      <c r="H664" s="1" t="s">
        <v>29</v>
      </c>
      <c r="I664" s="1">
        <v>20</v>
      </c>
      <c r="J664" s="1">
        <v>36</v>
      </c>
      <c r="M664" s="1" t="s">
        <v>28</v>
      </c>
      <c r="N664" s="1">
        <v>5</v>
      </c>
      <c r="O664" s="1" t="s">
        <v>277</v>
      </c>
      <c r="P664" s="1">
        <v>44816</v>
      </c>
      <c r="Q664" s="1">
        <v>0.45684027777778002</v>
      </c>
      <c r="R664" s="1" t="s">
        <v>423</v>
      </c>
      <c r="S664" s="1" t="s">
        <v>422</v>
      </c>
      <c r="T664" s="1" t="s">
        <v>335</v>
      </c>
      <c r="U664" s="1" t="s">
        <v>24</v>
      </c>
      <c r="V664" s="1">
        <v>1</v>
      </c>
      <c r="W664" s="1" t="s">
        <v>258</v>
      </c>
      <c r="Y664" s="1" t="s">
        <v>32</v>
      </c>
      <c r="Z664" s="1" t="s">
        <v>23</v>
      </c>
    </row>
    <row r="665" spans="1:26" x14ac:dyDescent="0.35">
      <c r="A665" s="1">
        <v>4008378</v>
      </c>
      <c r="B665" s="1" t="s">
        <v>31</v>
      </c>
      <c r="C665" s="1">
        <v>3300</v>
      </c>
      <c r="D665" s="1" t="s">
        <v>30</v>
      </c>
      <c r="E665" s="1">
        <v>301</v>
      </c>
      <c r="F665" s="1">
        <v>0</v>
      </c>
      <c r="G665" s="1">
        <v>200</v>
      </c>
      <c r="H665" s="1" t="s">
        <v>29</v>
      </c>
      <c r="I665" s="1">
        <v>20</v>
      </c>
      <c r="J665" s="1">
        <v>96</v>
      </c>
      <c r="M665" s="1" t="s">
        <v>28</v>
      </c>
      <c r="N665" s="1">
        <v>5</v>
      </c>
      <c r="O665" s="1" t="s">
        <v>277</v>
      </c>
      <c r="P665" s="1">
        <v>44924</v>
      </c>
      <c r="Q665" s="1">
        <v>0.36608796296295998</v>
      </c>
      <c r="R665" s="1">
        <v>0</v>
      </c>
      <c r="T665" s="1" t="s">
        <v>335</v>
      </c>
      <c r="U665" s="1" t="s">
        <v>24</v>
      </c>
      <c r="V665" s="1">
        <v>1</v>
      </c>
      <c r="W665" s="1" t="s">
        <v>258</v>
      </c>
      <c r="Y665" s="1" t="s">
        <v>32</v>
      </c>
      <c r="Z665" s="1" t="s">
        <v>23</v>
      </c>
    </row>
    <row r="666" spans="1:26" x14ac:dyDescent="0.35">
      <c r="A666" s="1">
        <v>4008379</v>
      </c>
      <c r="B666" s="1" t="s">
        <v>31</v>
      </c>
      <c r="C666" s="1">
        <v>3300</v>
      </c>
      <c r="D666" s="1" t="s">
        <v>30</v>
      </c>
      <c r="E666" s="1">
        <v>301</v>
      </c>
      <c r="F666" s="1">
        <v>0</v>
      </c>
      <c r="G666" s="1">
        <v>129</v>
      </c>
      <c r="H666" s="1" t="s">
        <v>29</v>
      </c>
      <c r="I666" s="1">
        <v>20</v>
      </c>
      <c r="J666" s="1">
        <v>48</v>
      </c>
      <c r="M666" s="1" t="s">
        <v>28</v>
      </c>
      <c r="N666" s="1">
        <v>5</v>
      </c>
      <c r="O666" s="1" t="s">
        <v>386</v>
      </c>
      <c r="P666" s="1">
        <v>44522</v>
      </c>
      <c r="Q666" s="1">
        <v>0.56109953703703996</v>
      </c>
      <c r="R666" s="1" t="s">
        <v>421</v>
      </c>
      <c r="S666" s="1" t="s">
        <v>420</v>
      </c>
      <c r="T666" s="1" t="s">
        <v>335</v>
      </c>
      <c r="U666" s="1" t="s">
        <v>24</v>
      </c>
      <c r="V666" s="1">
        <v>1</v>
      </c>
      <c r="W666" s="1" t="s">
        <v>289</v>
      </c>
      <c r="Y666" s="1" t="s">
        <v>32</v>
      </c>
      <c r="Z666" s="1" t="s">
        <v>23</v>
      </c>
    </row>
    <row r="667" spans="1:26" x14ac:dyDescent="0.35">
      <c r="A667" s="1">
        <v>4008380</v>
      </c>
      <c r="B667" s="1" t="s">
        <v>31</v>
      </c>
      <c r="C667" s="1">
        <v>3300</v>
      </c>
      <c r="D667" s="1" t="s">
        <v>30</v>
      </c>
      <c r="E667" s="1">
        <v>301</v>
      </c>
      <c r="F667" s="1">
        <v>0</v>
      </c>
      <c r="G667" s="1">
        <v>300</v>
      </c>
      <c r="H667" s="1" t="s">
        <v>29</v>
      </c>
      <c r="I667" s="1">
        <v>20</v>
      </c>
      <c r="J667" s="1">
        <v>144</v>
      </c>
      <c r="M667" s="1" t="s">
        <v>28</v>
      </c>
      <c r="N667" s="1">
        <v>5</v>
      </c>
      <c r="O667" s="1" t="s">
        <v>166</v>
      </c>
      <c r="P667" s="1">
        <v>45868</v>
      </c>
      <c r="Q667" s="1">
        <v>0.56021990740741001</v>
      </c>
      <c r="R667" s="1">
        <v>0</v>
      </c>
      <c r="T667" s="1" t="s">
        <v>335</v>
      </c>
      <c r="U667" s="1" t="s">
        <v>24</v>
      </c>
      <c r="V667" s="1">
        <v>1</v>
      </c>
      <c r="W667" s="1" t="s">
        <v>271</v>
      </c>
      <c r="X667" s="1" t="s">
        <v>24</v>
      </c>
      <c r="Y667" s="1" t="s">
        <v>32</v>
      </c>
      <c r="Z667" s="1" t="s">
        <v>32</v>
      </c>
    </row>
    <row r="668" spans="1:26" x14ac:dyDescent="0.35">
      <c r="A668" s="1">
        <v>4008387</v>
      </c>
      <c r="B668" s="1" t="s">
        <v>31</v>
      </c>
      <c r="C668" s="1">
        <v>3300</v>
      </c>
      <c r="D668" s="1" t="s">
        <v>30</v>
      </c>
      <c r="E668" s="1">
        <v>301</v>
      </c>
      <c r="F668" s="1">
        <v>0</v>
      </c>
      <c r="G668" s="1">
        <v>40</v>
      </c>
      <c r="H668" s="1" t="s">
        <v>29</v>
      </c>
      <c r="I668" s="1" t="s">
        <v>71</v>
      </c>
      <c r="J668" s="1">
        <v>20</v>
      </c>
      <c r="M668" s="1" t="s">
        <v>28</v>
      </c>
      <c r="N668" s="1">
        <v>0</v>
      </c>
      <c r="O668" s="1" t="s">
        <v>27</v>
      </c>
      <c r="P668" s="1">
        <v>45930</v>
      </c>
      <c r="Q668" s="1">
        <v>0.29274305555556002</v>
      </c>
      <c r="R668" s="1" t="s">
        <v>419</v>
      </c>
      <c r="S668" s="1" t="s">
        <v>418</v>
      </c>
      <c r="U668" s="1" t="s">
        <v>24</v>
      </c>
      <c r="V668" s="1">
        <v>1</v>
      </c>
      <c r="W668" s="1" t="s">
        <v>258</v>
      </c>
      <c r="Y668" s="1" t="s">
        <v>32</v>
      </c>
      <c r="Z668" s="1" t="s">
        <v>23</v>
      </c>
    </row>
    <row r="669" spans="1:26" x14ac:dyDescent="0.35">
      <c r="A669" s="1">
        <v>4008388</v>
      </c>
      <c r="B669" s="1" t="s">
        <v>31</v>
      </c>
      <c r="C669" s="1">
        <v>3300</v>
      </c>
      <c r="D669" s="1" t="s">
        <v>30</v>
      </c>
      <c r="E669" s="1">
        <v>301</v>
      </c>
      <c r="F669" s="1">
        <v>0</v>
      </c>
      <c r="G669" s="1">
        <v>700</v>
      </c>
      <c r="H669" s="1" t="s">
        <v>29</v>
      </c>
      <c r="I669" s="1">
        <v>20</v>
      </c>
      <c r="J669" s="1">
        <v>200</v>
      </c>
      <c r="M669" s="1" t="s">
        <v>28</v>
      </c>
      <c r="N669" s="1">
        <v>5</v>
      </c>
      <c r="O669" s="1" t="s">
        <v>27</v>
      </c>
      <c r="P669" s="1">
        <v>45091</v>
      </c>
      <c r="Q669" s="1">
        <v>0.28077546296296002</v>
      </c>
      <c r="R669" s="1">
        <v>0</v>
      </c>
      <c r="T669" s="1" t="s">
        <v>335</v>
      </c>
      <c r="U669" s="1" t="s">
        <v>24</v>
      </c>
      <c r="V669" s="1">
        <v>1</v>
      </c>
      <c r="W669" s="1" t="s">
        <v>258</v>
      </c>
      <c r="Y669" s="1" t="s">
        <v>32</v>
      </c>
      <c r="Z669" s="1" t="s">
        <v>23</v>
      </c>
    </row>
    <row r="670" spans="1:26" x14ac:dyDescent="0.35">
      <c r="A670" s="1">
        <v>4008411</v>
      </c>
      <c r="B670" s="1" t="s">
        <v>31</v>
      </c>
      <c r="C670" s="1">
        <v>3300</v>
      </c>
      <c r="D670" s="1" t="s">
        <v>30</v>
      </c>
      <c r="E670" s="1">
        <v>301</v>
      </c>
      <c r="F670" s="1">
        <v>0</v>
      </c>
      <c r="G670" s="1">
        <v>40</v>
      </c>
      <c r="H670" s="1" t="s">
        <v>29</v>
      </c>
      <c r="I670" s="1" t="s">
        <v>247</v>
      </c>
      <c r="J670" s="1">
        <v>40</v>
      </c>
      <c r="M670" s="1" t="s">
        <v>28</v>
      </c>
      <c r="N670" s="1">
        <v>0</v>
      </c>
      <c r="O670" s="1" t="s">
        <v>166</v>
      </c>
      <c r="P670" s="1">
        <v>45048</v>
      </c>
      <c r="Q670" s="1">
        <v>0.34196759259259002</v>
      </c>
      <c r="R670" s="1" t="s">
        <v>417</v>
      </c>
      <c r="S670" s="1" t="s">
        <v>416</v>
      </c>
      <c r="T670" s="1" t="s">
        <v>335</v>
      </c>
      <c r="U670" s="1" t="s">
        <v>24</v>
      </c>
      <c r="V670" s="1">
        <v>1</v>
      </c>
      <c r="W670" s="1" t="s">
        <v>289</v>
      </c>
      <c r="Y670" s="1" t="s">
        <v>32</v>
      </c>
      <c r="Z670" s="1" t="s">
        <v>23</v>
      </c>
    </row>
    <row r="671" spans="1:26" x14ac:dyDescent="0.35">
      <c r="A671" s="1">
        <v>4008412</v>
      </c>
      <c r="B671" s="1" t="s">
        <v>31</v>
      </c>
      <c r="C671" s="1">
        <v>3300</v>
      </c>
      <c r="D671" s="1" t="s">
        <v>30</v>
      </c>
      <c r="E671" s="1">
        <v>301</v>
      </c>
      <c r="F671" s="1">
        <v>0</v>
      </c>
      <c r="G671" s="1">
        <v>1500</v>
      </c>
      <c r="H671" s="1" t="s">
        <v>29</v>
      </c>
      <c r="I671" s="1" t="s">
        <v>71</v>
      </c>
      <c r="J671" s="1">
        <v>800</v>
      </c>
      <c r="M671" s="1" t="s">
        <v>28</v>
      </c>
      <c r="N671" s="1">
        <v>0</v>
      </c>
      <c r="O671" s="1" t="s">
        <v>27</v>
      </c>
      <c r="P671" s="1">
        <v>45981</v>
      </c>
      <c r="Q671" s="1">
        <v>0.29788194444443999</v>
      </c>
      <c r="R671" s="1" t="s">
        <v>415</v>
      </c>
      <c r="S671" s="1" t="s">
        <v>414</v>
      </c>
      <c r="U671" s="1" t="s">
        <v>24</v>
      </c>
      <c r="V671" s="1">
        <v>1</v>
      </c>
      <c r="W671" s="1" t="s">
        <v>258</v>
      </c>
      <c r="X671" s="1" t="s">
        <v>141</v>
      </c>
      <c r="Y671" s="1" t="s">
        <v>32</v>
      </c>
      <c r="Z671" s="1" t="s">
        <v>32</v>
      </c>
    </row>
    <row r="672" spans="1:26" x14ac:dyDescent="0.35">
      <c r="A672" s="1">
        <v>4008413</v>
      </c>
      <c r="B672" s="1" t="s">
        <v>31</v>
      </c>
      <c r="C672" s="1">
        <v>3300</v>
      </c>
      <c r="D672" s="1" t="s">
        <v>30</v>
      </c>
      <c r="E672" s="1">
        <v>301</v>
      </c>
      <c r="F672" s="1">
        <v>0</v>
      </c>
      <c r="G672" s="1">
        <v>120</v>
      </c>
      <c r="H672" s="1" t="s">
        <v>29</v>
      </c>
      <c r="I672" s="1" t="s">
        <v>247</v>
      </c>
      <c r="J672" s="1">
        <v>180</v>
      </c>
      <c r="M672" s="1" t="s">
        <v>28</v>
      </c>
      <c r="N672" s="1">
        <v>0</v>
      </c>
      <c r="O672" s="1" t="s">
        <v>166</v>
      </c>
      <c r="P672" s="1">
        <v>45098</v>
      </c>
      <c r="Q672" s="1">
        <v>0.4266087962963</v>
      </c>
      <c r="R672" s="1" t="s">
        <v>413</v>
      </c>
      <c r="S672" s="1" t="s">
        <v>412</v>
      </c>
      <c r="T672" s="1" t="s">
        <v>335</v>
      </c>
      <c r="U672" s="1" t="s">
        <v>24</v>
      </c>
      <c r="V672" s="1">
        <v>1</v>
      </c>
      <c r="W672" s="1" t="s">
        <v>258</v>
      </c>
      <c r="Y672" s="1" t="s">
        <v>32</v>
      </c>
      <c r="Z672" s="1" t="s">
        <v>23</v>
      </c>
    </row>
    <row r="673" spans="1:26" x14ac:dyDescent="0.35">
      <c r="A673" s="1">
        <v>4008414</v>
      </c>
      <c r="B673" s="1" t="s">
        <v>31</v>
      </c>
      <c r="C673" s="1">
        <v>3300</v>
      </c>
      <c r="D673" s="1" t="s">
        <v>41</v>
      </c>
      <c r="G673" s="1">
        <v>0</v>
      </c>
      <c r="J673" s="1">
        <v>0</v>
      </c>
      <c r="M673" s="1" t="s">
        <v>28</v>
      </c>
      <c r="N673" s="1">
        <v>0</v>
      </c>
      <c r="O673" s="1" t="s">
        <v>277</v>
      </c>
      <c r="P673" s="1">
        <v>44495</v>
      </c>
      <c r="Q673" s="1">
        <v>0.75501157407407005</v>
      </c>
      <c r="R673" s="1" t="s">
        <v>411</v>
      </c>
      <c r="S673" s="1" t="s">
        <v>410</v>
      </c>
      <c r="U673" s="1" t="s">
        <v>24</v>
      </c>
      <c r="V673" s="1">
        <v>1</v>
      </c>
      <c r="W673" s="1" t="s">
        <v>258</v>
      </c>
      <c r="Y673" s="1" t="s">
        <v>32</v>
      </c>
      <c r="Z673" s="1" t="s">
        <v>23</v>
      </c>
    </row>
    <row r="674" spans="1:26" x14ac:dyDescent="0.35">
      <c r="A674" s="1">
        <v>4008419</v>
      </c>
      <c r="B674" s="1" t="s">
        <v>31</v>
      </c>
      <c r="C674" s="1">
        <v>3300</v>
      </c>
      <c r="D674" s="1" t="s">
        <v>30</v>
      </c>
      <c r="E674" s="1">
        <v>301</v>
      </c>
      <c r="F674" s="1">
        <v>0</v>
      </c>
      <c r="G674" s="1">
        <v>620</v>
      </c>
      <c r="H674" s="1" t="s">
        <v>29</v>
      </c>
      <c r="I674" s="1">
        <v>20</v>
      </c>
      <c r="J674" s="1">
        <v>600</v>
      </c>
      <c r="M674" s="1" t="s">
        <v>28</v>
      </c>
      <c r="N674" s="1">
        <v>5</v>
      </c>
      <c r="O674" s="1" t="s">
        <v>277</v>
      </c>
      <c r="P674" s="1">
        <v>44888</v>
      </c>
      <c r="Q674" s="1">
        <v>0.62290509259258997</v>
      </c>
      <c r="R674" s="1">
        <v>0</v>
      </c>
      <c r="T674" s="1" t="s">
        <v>335</v>
      </c>
      <c r="U674" s="1" t="s">
        <v>24</v>
      </c>
      <c r="V674" s="1">
        <v>1</v>
      </c>
      <c r="W674" s="1" t="s">
        <v>258</v>
      </c>
      <c r="Y674" s="1" t="s">
        <v>32</v>
      </c>
      <c r="Z674" s="1" t="s">
        <v>23</v>
      </c>
    </row>
    <row r="675" spans="1:26" x14ac:dyDescent="0.35">
      <c r="A675" s="1">
        <v>4008431</v>
      </c>
      <c r="B675" s="1" t="s">
        <v>31</v>
      </c>
      <c r="C675" s="1">
        <v>3300</v>
      </c>
      <c r="D675" s="1" t="s">
        <v>30</v>
      </c>
      <c r="E675" s="1">
        <v>301</v>
      </c>
      <c r="F675" s="1">
        <v>0</v>
      </c>
      <c r="G675" s="1">
        <v>400</v>
      </c>
      <c r="H675" s="1" t="s">
        <v>29</v>
      </c>
      <c r="I675" s="1">
        <v>20</v>
      </c>
      <c r="J675" s="1">
        <v>240</v>
      </c>
      <c r="M675" s="1" t="s">
        <v>28</v>
      </c>
      <c r="N675" s="1">
        <v>5</v>
      </c>
      <c r="O675" s="1" t="s">
        <v>27</v>
      </c>
      <c r="P675" s="1">
        <v>44960</v>
      </c>
      <c r="Q675" s="1">
        <v>0.35387731481481</v>
      </c>
      <c r="R675" s="1" t="s">
        <v>409</v>
      </c>
      <c r="S675" s="1" t="s">
        <v>408</v>
      </c>
      <c r="T675" s="1" t="s">
        <v>335</v>
      </c>
      <c r="U675" s="1" t="s">
        <v>24</v>
      </c>
      <c r="V675" s="1">
        <v>1</v>
      </c>
      <c r="W675" s="1" t="s">
        <v>258</v>
      </c>
      <c r="Y675" s="1" t="s">
        <v>32</v>
      </c>
      <c r="Z675" s="1" t="s">
        <v>23</v>
      </c>
    </row>
    <row r="676" spans="1:26" x14ac:dyDescent="0.35">
      <c r="A676" s="1">
        <v>4008432</v>
      </c>
      <c r="B676" s="1" t="s">
        <v>31</v>
      </c>
      <c r="C676" s="1">
        <v>3300</v>
      </c>
      <c r="D676" s="1" t="s">
        <v>41</v>
      </c>
      <c r="E676" s="1">
        <v>301</v>
      </c>
      <c r="F676" s="1">
        <v>0</v>
      </c>
      <c r="G676" s="1">
        <v>0</v>
      </c>
      <c r="J676" s="1">
        <v>0</v>
      </c>
      <c r="K676" s="1" t="s">
        <v>24</v>
      </c>
      <c r="M676" s="1" t="s">
        <v>28</v>
      </c>
      <c r="N676" s="1">
        <v>0</v>
      </c>
      <c r="O676" s="1" t="s">
        <v>277</v>
      </c>
      <c r="P676" s="1">
        <v>44573</v>
      </c>
      <c r="Q676" s="1">
        <v>0.435</v>
      </c>
      <c r="R676" s="1">
        <v>0</v>
      </c>
      <c r="W676" s="1" t="s">
        <v>258</v>
      </c>
      <c r="Y676" s="1" t="s">
        <v>32</v>
      </c>
      <c r="Z676" s="1" t="s">
        <v>23</v>
      </c>
    </row>
    <row r="677" spans="1:26" x14ac:dyDescent="0.35">
      <c r="A677" s="1">
        <v>4008436</v>
      </c>
      <c r="B677" s="1" t="s">
        <v>31</v>
      </c>
      <c r="C677" s="1">
        <v>3300</v>
      </c>
      <c r="D677" s="1" t="s">
        <v>30</v>
      </c>
      <c r="E677" s="1">
        <v>301</v>
      </c>
      <c r="F677" s="1">
        <v>0</v>
      </c>
      <c r="G677" s="1">
        <v>480</v>
      </c>
      <c r="H677" s="1" t="s">
        <v>29</v>
      </c>
      <c r="I677" s="1">
        <v>20</v>
      </c>
      <c r="J677" s="1">
        <v>960</v>
      </c>
      <c r="M677" s="1" t="s">
        <v>28</v>
      </c>
      <c r="N677" s="1">
        <v>5</v>
      </c>
      <c r="O677" s="1" t="s">
        <v>199</v>
      </c>
      <c r="P677" s="1">
        <v>45898</v>
      </c>
      <c r="Q677" s="1">
        <v>0.40332175925926</v>
      </c>
      <c r="R677" s="1" t="s">
        <v>407</v>
      </c>
      <c r="S677" s="1" t="s">
        <v>406</v>
      </c>
      <c r="T677" s="1" t="s">
        <v>335</v>
      </c>
      <c r="U677" s="1" t="s">
        <v>24</v>
      </c>
      <c r="V677" s="1">
        <v>1</v>
      </c>
      <c r="W677" s="1" t="s">
        <v>271</v>
      </c>
      <c r="X677" s="1" t="s">
        <v>141</v>
      </c>
      <c r="Y677" s="1" t="s">
        <v>32</v>
      </c>
      <c r="Z677" s="1" t="s">
        <v>32</v>
      </c>
    </row>
    <row r="678" spans="1:26" x14ac:dyDescent="0.35">
      <c r="A678" s="1">
        <v>4008438</v>
      </c>
      <c r="B678" s="1" t="s">
        <v>31</v>
      </c>
      <c r="C678" s="1">
        <v>3300</v>
      </c>
      <c r="D678" s="1" t="s">
        <v>30</v>
      </c>
      <c r="E678" s="1">
        <v>301</v>
      </c>
      <c r="F678" s="1">
        <v>0</v>
      </c>
      <c r="G678" s="1">
        <v>6000</v>
      </c>
      <c r="H678" s="1" t="s">
        <v>29</v>
      </c>
      <c r="I678" s="1">
        <v>20</v>
      </c>
      <c r="J678" s="1">
        <v>2400</v>
      </c>
      <c r="M678" s="1" t="s">
        <v>28</v>
      </c>
      <c r="N678" s="1">
        <v>0</v>
      </c>
      <c r="O678" s="1" t="s">
        <v>27</v>
      </c>
      <c r="P678" s="1">
        <v>45565</v>
      </c>
      <c r="Q678" s="1">
        <v>0.34063657407407</v>
      </c>
      <c r="R678" s="1">
        <v>0</v>
      </c>
      <c r="T678" s="1" t="s">
        <v>335</v>
      </c>
      <c r="U678" s="1" t="s">
        <v>24</v>
      </c>
      <c r="V678" s="1">
        <v>1</v>
      </c>
      <c r="W678" s="1" t="s">
        <v>289</v>
      </c>
      <c r="Y678" s="1" t="s">
        <v>32</v>
      </c>
      <c r="Z678" s="1" t="s">
        <v>23</v>
      </c>
    </row>
    <row r="679" spans="1:26" x14ac:dyDescent="0.35">
      <c r="A679" s="1">
        <v>4008439</v>
      </c>
      <c r="B679" s="1" t="s">
        <v>31</v>
      </c>
      <c r="C679" s="1">
        <v>3300</v>
      </c>
      <c r="D679" s="1" t="s">
        <v>30</v>
      </c>
      <c r="E679" s="1">
        <v>301</v>
      </c>
      <c r="F679" s="1">
        <v>0</v>
      </c>
      <c r="G679" s="1">
        <v>1600</v>
      </c>
      <c r="H679" s="1" t="s">
        <v>29</v>
      </c>
      <c r="I679" s="1">
        <v>20</v>
      </c>
      <c r="J679" s="1">
        <v>1600</v>
      </c>
      <c r="M679" s="1" t="s">
        <v>28</v>
      </c>
      <c r="N679" s="1">
        <v>5</v>
      </c>
      <c r="O679" s="1" t="s">
        <v>277</v>
      </c>
      <c r="P679" s="1">
        <v>44804</v>
      </c>
      <c r="Q679" s="1">
        <v>0.46391203703703998</v>
      </c>
      <c r="R679" s="1" t="s">
        <v>405</v>
      </c>
      <c r="S679" s="1" t="s">
        <v>404</v>
      </c>
      <c r="T679" s="1" t="s">
        <v>335</v>
      </c>
      <c r="U679" s="1" t="s">
        <v>24</v>
      </c>
      <c r="V679" s="1">
        <v>1</v>
      </c>
      <c r="W679" s="1" t="s">
        <v>258</v>
      </c>
      <c r="Y679" s="1" t="s">
        <v>32</v>
      </c>
      <c r="Z679" s="1" t="s">
        <v>23</v>
      </c>
    </row>
    <row r="680" spans="1:26" x14ac:dyDescent="0.35">
      <c r="A680" s="1">
        <v>4008440</v>
      </c>
      <c r="B680" s="1" t="s">
        <v>31</v>
      </c>
      <c r="C680" s="1">
        <v>3300</v>
      </c>
      <c r="D680" s="1" t="s">
        <v>41</v>
      </c>
      <c r="G680" s="1">
        <v>0</v>
      </c>
      <c r="J680" s="1">
        <v>0</v>
      </c>
      <c r="M680" s="1" t="s">
        <v>28</v>
      </c>
      <c r="N680" s="1">
        <v>0</v>
      </c>
      <c r="O680" s="1" t="s">
        <v>277</v>
      </c>
      <c r="P680" s="1">
        <v>44495</v>
      </c>
      <c r="Q680" s="1">
        <v>0.67003472222222005</v>
      </c>
      <c r="R680" s="1">
        <v>0</v>
      </c>
      <c r="U680" s="1" t="s">
        <v>24</v>
      </c>
      <c r="V680" s="1">
        <v>1</v>
      </c>
      <c r="W680" s="1" t="s">
        <v>258</v>
      </c>
      <c r="Y680" s="1" t="s">
        <v>32</v>
      </c>
      <c r="Z680" s="1" t="s">
        <v>23</v>
      </c>
    </row>
    <row r="681" spans="1:26" x14ac:dyDescent="0.35">
      <c r="A681" s="1">
        <v>4008441</v>
      </c>
      <c r="B681" s="1" t="s">
        <v>31</v>
      </c>
      <c r="C681" s="1">
        <v>3300</v>
      </c>
      <c r="D681" s="1" t="s">
        <v>30</v>
      </c>
      <c r="E681" s="1">
        <v>301</v>
      </c>
      <c r="F681" s="1">
        <v>0</v>
      </c>
      <c r="G681" s="1">
        <v>300</v>
      </c>
      <c r="H681" s="1" t="s">
        <v>29</v>
      </c>
      <c r="I681" s="1">
        <v>20</v>
      </c>
      <c r="J681" s="1">
        <v>100</v>
      </c>
      <c r="M681" s="1" t="s">
        <v>28</v>
      </c>
      <c r="N681" s="1">
        <v>0</v>
      </c>
      <c r="O681" s="1" t="s">
        <v>27</v>
      </c>
      <c r="P681" s="1">
        <v>45303</v>
      </c>
      <c r="Q681" s="1">
        <v>0.29936342592593002</v>
      </c>
      <c r="R681" s="1">
        <v>0</v>
      </c>
      <c r="T681" s="1" t="s">
        <v>335</v>
      </c>
      <c r="U681" s="1" t="s">
        <v>24</v>
      </c>
      <c r="V681" s="1">
        <v>1</v>
      </c>
      <c r="W681" s="1" t="s">
        <v>289</v>
      </c>
      <c r="Y681" s="1" t="s">
        <v>32</v>
      </c>
      <c r="Z681" s="1" t="s">
        <v>23</v>
      </c>
    </row>
    <row r="682" spans="1:26" x14ac:dyDescent="0.35">
      <c r="A682" s="1">
        <v>4008446</v>
      </c>
      <c r="B682" s="1" t="s">
        <v>31</v>
      </c>
      <c r="C682" s="1">
        <v>3300</v>
      </c>
      <c r="D682" s="1" t="s">
        <v>30</v>
      </c>
      <c r="E682" s="1">
        <v>301</v>
      </c>
      <c r="F682" s="1">
        <v>0</v>
      </c>
      <c r="G682" s="1">
        <v>30</v>
      </c>
      <c r="H682" s="1" t="s">
        <v>29</v>
      </c>
      <c r="I682" s="1" t="s">
        <v>247</v>
      </c>
      <c r="J682" s="1">
        <v>10</v>
      </c>
      <c r="M682" s="1" t="s">
        <v>28</v>
      </c>
      <c r="N682" s="1">
        <v>0</v>
      </c>
      <c r="O682" s="1" t="s">
        <v>166</v>
      </c>
      <c r="P682" s="1">
        <v>45469</v>
      </c>
      <c r="Q682" s="1">
        <v>0.3803125</v>
      </c>
      <c r="R682" s="1" t="s">
        <v>403</v>
      </c>
      <c r="S682" s="1" t="s">
        <v>402</v>
      </c>
      <c r="T682" s="1" t="s">
        <v>335</v>
      </c>
      <c r="U682" s="1" t="s">
        <v>24</v>
      </c>
      <c r="V682" s="1">
        <v>1</v>
      </c>
      <c r="W682" s="1" t="s">
        <v>271</v>
      </c>
      <c r="Y682" s="1" t="s">
        <v>32</v>
      </c>
      <c r="Z682" s="1" t="s">
        <v>23</v>
      </c>
    </row>
    <row r="683" spans="1:26" x14ac:dyDescent="0.35">
      <c r="A683" s="1">
        <v>4008447</v>
      </c>
      <c r="B683" s="1" t="s">
        <v>31</v>
      </c>
      <c r="C683" s="1">
        <v>3300</v>
      </c>
      <c r="D683" s="1" t="s">
        <v>30</v>
      </c>
      <c r="E683" s="1">
        <v>301</v>
      </c>
      <c r="F683" s="1">
        <v>0</v>
      </c>
      <c r="G683" s="1">
        <v>288</v>
      </c>
      <c r="H683" s="1" t="s">
        <v>29</v>
      </c>
      <c r="I683" s="1">
        <v>20</v>
      </c>
      <c r="J683" s="1">
        <v>144</v>
      </c>
      <c r="M683" s="1" t="s">
        <v>28</v>
      </c>
      <c r="N683" s="1">
        <v>5</v>
      </c>
      <c r="O683" s="1" t="s">
        <v>277</v>
      </c>
      <c r="P683" s="1">
        <v>44804</v>
      </c>
      <c r="Q683" s="1">
        <v>0.52493055555556001</v>
      </c>
      <c r="R683" s="1">
        <v>0</v>
      </c>
      <c r="T683" s="1" t="s">
        <v>335</v>
      </c>
      <c r="U683" s="1" t="s">
        <v>24</v>
      </c>
      <c r="V683" s="1">
        <v>1</v>
      </c>
      <c r="W683" s="1" t="s">
        <v>289</v>
      </c>
      <c r="Y683" s="1" t="s">
        <v>32</v>
      </c>
      <c r="Z683" s="1" t="s">
        <v>23</v>
      </c>
    </row>
    <row r="684" spans="1:26" x14ac:dyDescent="0.35">
      <c r="A684" s="1">
        <v>4008448</v>
      </c>
      <c r="B684" s="1" t="s">
        <v>31</v>
      </c>
      <c r="C684" s="1">
        <v>3300</v>
      </c>
      <c r="D684" s="1" t="s">
        <v>30</v>
      </c>
      <c r="E684" s="1">
        <v>301</v>
      </c>
      <c r="F684" s="1">
        <v>0</v>
      </c>
      <c r="G684" s="1">
        <v>393</v>
      </c>
      <c r="H684" s="1" t="s">
        <v>29</v>
      </c>
      <c r="I684" s="1">
        <v>20</v>
      </c>
      <c r="J684" s="1">
        <v>252</v>
      </c>
      <c r="M684" s="1" t="s">
        <v>28</v>
      </c>
      <c r="N684" s="1">
        <v>5</v>
      </c>
      <c r="O684" s="1" t="s">
        <v>386</v>
      </c>
      <c r="P684" s="1">
        <v>44522</v>
      </c>
      <c r="Q684" s="1">
        <v>0.56094907407407002</v>
      </c>
      <c r="R684" s="1" t="s">
        <v>401</v>
      </c>
      <c r="S684" s="1" t="s">
        <v>400</v>
      </c>
      <c r="T684" s="1" t="s">
        <v>335</v>
      </c>
      <c r="U684" s="1" t="s">
        <v>24</v>
      </c>
      <c r="V684" s="1">
        <v>1</v>
      </c>
      <c r="W684" s="1" t="s">
        <v>289</v>
      </c>
      <c r="Y684" s="1" t="s">
        <v>32</v>
      </c>
      <c r="Z684" s="1" t="s">
        <v>23</v>
      </c>
    </row>
    <row r="685" spans="1:26" x14ac:dyDescent="0.35">
      <c r="A685" s="1">
        <v>4008449</v>
      </c>
      <c r="B685" s="1" t="s">
        <v>31</v>
      </c>
      <c r="C685" s="1">
        <v>3300</v>
      </c>
      <c r="D685" s="1" t="s">
        <v>30</v>
      </c>
      <c r="E685" s="1">
        <v>301</v>
      </c>
      <c r="F685" s="1">
        <v>0</v>
      </c>
      <c r="G685" s="1">
        <v>180</v>
      </c>
      <c r="H685" s="1" t="s">
        <v>29</v>
      </c>
      <c r="I685" s="1">
        <v>20</v>
      </c>
      <c r="J685" s="1">
        <v>144</v>
      </c>
      <c r="M685" s="1" t="s">
        <v>28</v>
      </c>
      <c r="N685" s="1">
        <v>5</v>
      </c>
      <c r="O685" s="1" t="s">
        <v>277</v>
      </c>
      <c r="P685" s="1">
        <v>44734</v>
      </c>
      <c r="Q685" s="1">
        <v>0.38200231481481001</v>
      </c>
      <c r="R685" s="1">
        <v>0</v>
      </c>
      <c r="T685" s="1" t="s">
        <v>335</v>
      </c>
      <c r="U685" s="1" t="s">
        <v>24</v>
      </c>
      <c r="V685" s="1">
        <v>1</v>
      </c>
      <c r="W685" s="1" t="s">
        <v>258</v>
      </c>
      <c r="Y685" s="1" t="s">
        <v>32</v>
      </c>
      <c r="Z685" s="1" t="s">
        <v>23</v>
      </c>
    </row>
    <row r="686" spans="1:26" x14ac:dyDescent="0.35">
      <c r="A686" s="1">
        <v>4008450</v>
      </c>
      <c r="B686" s="1" t="s">
        <v>31</v>
      </c>
      <c r="C686" s="1">
        <v>3300</v>
      </c>
      <c r="D686" s="1" t="s">
        <v>41</v>
      </c>
      <c r="E686" s="1">
        <v>301</v>
      </c>
      <c r="F686" s="1">
        <v>0</v>
      </c>
      <c r="G686" s="1">
        <v>0</v>
      </c>
      <c r="J686" s="1">
        <v>0</v>
      </c>
      <c r="K686" s="1" t="s">
        <v>24</v>
      </c>
      <c r="M686" s="1" t="s">
        <v>28</v>
      </c>
      <c r="N686" s="1">
        <v>0</v>
      </c>
      <c r="O686" s="1" t="s">
        <v>277</v>
      </c>
      <c r="P686" s="1">
        <v>44573</v>
      </c>
      <c r="Q686" s="1">
        <v>0.43358796296295998</v>
      </c>
      <c r="R686" s="1" t="s">
        <v>399</v>
      </c>
      <c r="S686" s="1" t="s">
        <v>398</v>
      </c>
      <c r="W686" s="1" t="s">
        <v>258</v>
      </c>
      <c r="Y686" s="1" t="s">
        <v>32</v>
      </c>
      <c r="Z686" s="1" t="s">
        <v>23</v>
      </c>
    </row>
    <row r="687" spans="1:26" x14ac:dyDescent="0.35">
      <c r="A687" s="1">
        <v>4008451</v>
      </c>
      <c r="B687" s="1" t="s">
        <v>31</v>
      </c>
      <c r="C687" s="1">
        <v>3300</v>
      </c>
      <c r="D687" s="1" t="s">
        <v>30</v>
      </c>
      <c r="E687" s="1">
        <v>301</v>
      </c>
      <c r="F687" s="1">
        <v>0</v>
      </c>
      <c r="G687" s="1">
        <v>150</v>
      </c>
      <c r="H687" s="1" t="s">
        <v>29</v>
      </c>
      <c r="I687" s="1">
        <v>20</v>
      </c>
      <c r="J687" s="1">
        <v>108</v>
      </c>
      <c r="M687" s="1" t="s">
        <v>28</v>
      </c>
      <c r="N687" s="1">
        <v>5</v>
      </c>
      <c r="O687" s="1" t="s">
        <v>27</v>
      </c>
      <c r="P687" s="1">
        <v>45666</v>
      </c>
      <c r="Q687" s="1">
        <v>0.49741898148148</v>
      </c>
      <c r="R687" s="1">
        <v>0</v>
      </c>
      <c r="T687" s="1" t="s">
        <v>335</v>
      </c>
      <c r="U687" s="1" t="s">
        <v>24</v>
      </c>
      <c r="V687" s="1">
        <v>1</v>
      </c>
      <c r="W687" s="1" t="s">
        <v>258</v>
      </c>
      <c r="Y687" s="1" t="s">
        <v>32</v>
      </c>
      <c r="Z687" s="1" t="s">
        <v>23</v>
      </c>
    </row>
    <row r="688" spans="1:26" x14ac:dyDescent="0.35">
      <c r="A688" s="1">
        <v>4008452</v>
      </c>
      <c r="B688" s="1" t="s">
        <v>31</v>
      </c>
      <c r="C688" s="1">
        <v>3300</v>
      </c>
      <c r="D688" s="1" t="s">
        <v>41</v>
      </c>
      <c r="E688" s="1">
        <v>301</v>
      </c>
      <c r="F688" s="1">
        <v>0</v>
      </c>
      <c r="G688" s="1">
        <v>0</v>
      </c>
      <c r="J688" s="1">
        <v>0</v>
      </c>
      <c r="K688" s="1" t="s">
        <v>24</v>
      </c>
      <c r="M688" s="1" t="s">
        <v>28</v>
      </c>
      <c r="N688" s="1">
        <v>0</v>
      </c>
      <c r="O688" s="1" t="s">
        <v>277</v>
      </c>
      <c r="P688" s="1">
        <v>44573</v>
      </c>
      <c r="Q688" s="1">
        <v>0.43246527777777999</v>
      </c>
      <c r="R688" s="1" t="s">
        <v>397</v>
      </c>
      <c r="S688" s="1" t="s">
        <v>396</v>
      </c>
      <c r="W688" s="1" t="s">
        <v>258</v>
      </c>
      <c r="Y688" s="1" t="s">
        <v>32</v>
      </c>
      <c r="Z688" s="1" t="s">
        <v>23</v>
      </c>
    </row>
    <row r="689" spans="1:26" x14ac:dyDescent="0.35">
      <c r="A689" s="1">
        <v>4008453</v>
      </c>
      <c r="B689" s="1" t="s">
        <v>31</v>
      </c>
      <c r="C689" s="1">
        <v>3300</v>
      </c>
      <c r="D689" s="1" t="s">
        <v>30</v>
      </c>
      <c r="E689" s="1">
        <v>301</v>
      </c>
      <c r="F689" s="1">
        <v>0</v>
      </c>
      <c r="G689" s="1">
        <v>432</v>
      </c>
      <c r="H689" s="1" t="s">
        <v>29</v>
      </c>
      <c r="I689" s="1">
        <v>20</v>
      </c>
      <c r="J689" s="1">
        <v>216</v>
      </c>
      <c r="M689" s="1" t="s">
        <v>28</v>
      </c>
      <c r="N689" s="1">
        <v>5</v>
      </c>
      <c r="O689" s="1" t="s">
        <v>277</v>
      </c>
      <c r="P689" s="1">
        <v>44804</v>
      </c>
      <c r="Q689" s="1">
        <v>0.52574074074073995</v>
      </c>
      <c r="R689" s="1">
        <v>0</v>
      </c>
      <c r="T689" s="1" t="s">
        <v>335</v>
      </c>
      <c r="U689" s="1" t="s">
        <v>24</v>
      </c>
      <c r="V689" s="1">
        <v>1</v>
      </c>
      <c r="W689" s="1" t="s">
        <v>258</v>
      </c>
      <c r="Y689" s="1" t="s">
        <v>32</v>
      </c>
      <c r="Z689" s="1" t="s">
        <v>23</v>
      </c>
    </row>
    <row r="690" spans="1:26" x14ac:dyDescent="0.35">
      <c r="A690" s="1">
        <v>4008454</v>
      </c>
      <c r="B690" s="1" t="s">
        <v>31</v>
      </c>
      <c r="C690" s="1">
        <v>3300</v>
      </c>
      <c r="D690" s="1" t="s">
        <v>30</v>
      </c>
      <c r="E690" s="1">
        <v>301</v>
      </c>
      <c r="F690" s="1">
        <v>0</v>
      </c>
      <c r="G690" s="1">
        <v>258</v>
      </c>
      <c r="H690" s="1" t="s">
        <v>29</v>
      </c>
      <c r="I690" s="1">
        <v>20</v>
      </c>
      <c r="J690" s="1">
        <v>216</v>
      </c>
      <c r="M690" s="1" t="s">
        <v>28</v>
      </c>
      <c r="N690" s="1">
        <v>5</v>
      </c>
      <c r="O690" s="1" t="s">
        <v>386</v>
      </c>
      <c r="P690" s="1">
        <v>44522</v>
      </c>
      <c r="Q690" s="1">
        <v>0.56094907407407002</v>
      </c>
      <c r="R690" s="1" t="s">
        <v>395</v>
      </c>
      <c r="S690" s="1" t="s">
        <v>394</v>
      </c>
      <c r="T690" s="1" t="s">
        <v>335</v>
      </c>
      <c r="U690" s="1" t="s">
        <v>24</v>
      </c>
      <c r="V690" s="1">
        <v>1</v>
      </c>
      <c r="W690" s="1" t="s">
        <v>289</v>
      </c>
      <c r="Y690" s="1" t="s">
        <v>32</v>
      </c>
      <c r="Z690" s="1" t="s">
        <v>23</v>
      </c>
    </row>
    <row r="691" spans="1:26" x14ac:dyDescent="0.35">
      <c r="A691" s="1">
        <v>4008455</v>
      </c>
      <c r="B691" s="1" t="s">
        <v>31</v>
      </c>
      <c r="C691" s="1">
        <v>3300</v>
      </c>
      <c r="D691" s="1" t="s">
        <v>30</v>
      </c>
      <c r="E691" s="1">
        <v>301</v>
      </c>
      <c r="F691" s="1">
        <v>0</v>
      </c>
      <c r="G691" s="1">
        <v>216</v>
      </c>
      <c r="H691" s="1" t="s">
        <v>29</v>
      </c>
      <c r="I691" s="1">
        <v>20</v>
      </c>
      <c r="J691" s="1">
        <v>288</v>
      </c>
      <c r="M691" s="1" t="s">
        <v>28</v>
      </c>
      <c r="N691" s="1">
        <v>5</v>
      </c>
      <c r="O691" s="1" t="s">
        <v>277</v>
      </c>
      <c r="P691" s="1">
        <v>44734</v>
      </c>
      <c r="Q691" s="1">
        <v>0.29893518518519002</v>
      </c>
      <c r="R691" s="1">
        <v>0</v>
      </c>
      <c r="T691" s="1" t="s">
        <v>335</v>
      </c>
      <c r="U691" s="1" t="s">
        <v>24</v>
      </c>
      <c r="V691" s="1">
        <v>1</v>
      </c>
      <c r="W691" s="1" t="s">
        <v>258</v>
      </c>
      <c r="Y691" s="1" t="s">
        <v>32</v>
      </c>
      <c r="Z691" s="1" t="s">
        <v>23</v>
      </c>
    </row>
    <row r="692" spans="1:26" x14ac:dyDescent="0.35">
      <c r="A692" s="1">
        <v>4008456</v>
      </c>
      <c r="B692" s="1" t="s">
        <v>31</v>
      </c>
      <c r="C692" s="1">
        <v>3300</v>
      </c>
      <c r="D692" s="1" t="s">
        <v>30</v>
      </c>
      <c r="E692" s="1">
        <v>301</v>
      </c>
      <c r="F692" s="1">
        <v>0</v>
      </c>
      <c r="G692" s="1">
        <v>144</v>
      </c>
      <c r="H692" s="1" t="s">
        <v>29</v>
      </c>
      <c r="I692" s="1">
        <v>20</v>
      </c>
      <c r="J692" s="1">
        <v>144</v>
      </c>
      <c r="M692" s="1" t="s">
        <v>28</v>
      </c>
      <c r="N692" s="1">
        <v>5</v>
      </c>
      <c r="O692" s="1" t="s">
        <v>277</v>
      </c>
      <c r="P692" s="1">
        <v>44820</v>
      </c>
      <c r="Q692" s="1">
        <v>0.36524305555556003</v>
      </c>
      <c r="R692" s="1" t="s">
        <v>393</v>
      </c>
      <c r="S692" s="1" t="s">
        <v>392</v>
      </c>
      <c r="T692" s="1" t="s">
        <v>335</v>
      </c>
      <c r="U692" s="1" t="s">
        <v>24</v>
      </c>
      <c r="V692" s="1">
        <v>1</v>
      </c>
      <c r="W692" s="1" t="s">
        <v>258</v>
      </c>
      <c r="Y692" s="1" t="s">
        <v>32</v>
      </c>
      <c r="Z692" s="1" t="s">
        <v>23</v>
      </c>
    </row>
    <row r="693" spans="1:26" x14ac:dyDescent="0.35">
      <c r="A693" s="1">
        <v>4008457</v>
      </c>
      <c r="B693" s="1" t="s">
        <v>31</v>
      </c>
      <c r="C693" s="1">
        <v>3300</v>
      </c>
      <c r="D693" s="1" t="s">
        <v>30</v>
      </c>
      <c r="E693" s="1">
        <v>301</v>
      </c>
      <c r="F693" s="1">
        <v>0</v>
      </c>
      <c r="G693" s="1">
        <v>432</v>
      </c>
      <c r="H693" s="1" t="s">
        <v>29</v>
      </c>
      <c r="I693" s="1">
        <v>20</v>
      </c>
      <c r="J693" s="1">
        <v>216</v>
      </c>
      <c r="M693" s="1" t="s">
        <v>28</v>
      </c>
      <c r="N693" s="1">
        <v>5</v>
      </c>
      <c r="O693" s="1" t="s">
        <v>277</v>
      </c>
      <c r="P693" s="1">
        <v>44825</v>
      </c>
      <c r="Q693" s="1">
        <v>0.59750000000000003</v>
      </c>
      <c r="R693" s="1">
        <v>0</v>
      </c>
      <c r="T693" s="1" t="s">
        <v>335</v>
      </c>
      <c r="U693" s="1" t="s">
        <v>24</v>
      </c>
      <c r="V693" s="1">
        <v>1</v>
      </c>
      <c r="W693" s="1" t="s">
        <v>258</v>
      </c>
      <c r="Y693" s="1" t="s">
        <v>32</v>
      </c>
      <c r="Z693" s="1" t="s">
        <v>23</v>
      </c>
    </row>
    <row r="694" spans="1:26" x14ac:dyDescent="0.35">
      <c r="A694" s="1">
        <v>4008458</v>
      </c>
      <c r="B694" s="1" t="s">
        <v>31</v>
      </c>
      <c r="C694" s="1">
        <v>3300</v>
      </c>
      <c r="D694" s="1" t="s">
        <v>30</v>
      </c>
      <c r="E694" s="1">
        <v>301</v>
      </c>
      <c r="F694" s="1">
        <v>0</v>
      </c>
      <c r="G694" s="1">
        <v>432</v>
      </c>
      <c r="H694" s="1" t="s">
        <v>29</v>
      </c>
      <c r="I694" s="1">
        <v>20</v>
      </c>
      <c r="J694" s="1">
        <v>48</v>
      </c>
      <c r="M694" s="1" t="s">
        <v>28</v>
      </c>
      <c r="N694" s="1">
        <v>0</v>
      </c>
      <c r="O694" s="1" t="s">
        <v>27</v>
      </c>
      <c r="P694" s="1">
        <v>45446</v>
      </c>
      <c r="Q694" s="1">
        <v>0.47972222222222</v>
      </c>
      <c r="R694" s="1" t="s">
        <v>391</v>
      </c>
      <c r="S694" s="1" t="s">
        <v>390</v>
      </c>
      <c r="U694" s="1" t="s">
        <v>24</v>
      </c>
      <c r="V694" s="1">
        <v>1</v>
      </c>
      <c r="W694" s="1" t="s">
        <v>258</v>
      </c>
      <c r="X694" s="1" t="s">
        <v>24</v>
      </c>
      <c r="Y694" s="1" t="s">
        <v>32</v>
      </c>
      <c r="Z694" s="1" t="s">
        <v>32</v>
      </c>
    </row>
    <row r="695" spans="1:26" x14ac:dyDescent="0.35">
      <c r="A695" s="1">
        <v>4008459</v>
      </c>
      <c r="B695" s="1" t="s">
        <v>31</v>
      </c>
      <c r="C695" s="1">
        <v>3300</v>
      </c>
      <c r="D695" s="1" t="s">
        <v>41</v>
      </c>
      <c r="E695" s="1">
        <v>301</v>
      </c>
      <c r="F695" s="1">
        <v>0</v>
      </c>
      <c r="G695" s="1">
        <v>0</v>
      </c>
      <c r="J695" s="1">
        <v>0</v>
      </c>
      <c r="M695" s="1" t="s">
        <v>28</v>
      </c>
      <c r="N695" s="1">
        <v>0</v>
      </c>
      <c r="O695" s="1" t="s">
        <v>389</v>
      </c>
      <c r="P695" s="1">
        <v>44463</v>
      </c>
      <c r="Q695" s="1">
        <v>0.84136574074074</v>
      </c>
      <c r="R695" s="1">
        <v>0</v>
      </c>
      <c r="U695" s="1" t="s">
        <v>24</v>
      </c>
      <c r="V695" s="1">
        <v>1</v>
      </c>
      <c r="W695" s="1" t="s">
        <v>258</v>
      </c>
      <c r="Y695" s="1" t="s">
        <v>32</v>
      </c>
      <c r="Z695" s="1" t="s">
        <v>23</v>
      </c>
    </row>
    <row r="696" spans="1:26" x14ac:dyDescent="0.35">
      <c r="A696" s="1">
        <v>4008460</v>
      </c>
      <c r="B696" s="1" t="s">
        <v>31</v>
      </c>
      <c r="C696" s="1">
        <v>3300</v>
      </c>
      <c r="D696" s="1" t="s">
        <v>30</v>
      </c>
      <c r="E696" s="1">
        <v>301</v>
      </c>
      <c r="F696" s="1">
        <v>0</v>
      </c>
      <c r="G696" s="1">
        <v>144</v>
      </c>
      <c r="H696" s="1" t="s">
        <v>29</v>
      </c>
      <c r="I696" s="1">
        <v>20</v>
      </c>
      <c r="J696" s="1">
        <v>144</v>
      </c>
      <c r="M696" s="1" t="s">
        <v>28</v>
      </c>
      <c r="N696" s="1">
        <v>5</v>
      </c>
      <c r="O696" s="1" t="s">
        <v>277</v>
      </c>
      <c r="P696" s="1">
        <v>44820</v>
      </c>
      <c r="Q696" s="1">
        <v>0.36556712962963001</v>
      </c>
      <c r="R696" s="1" t="s">
        <v>388</v>
      </c>
      <c r="S696" s="1" t="s">
        <v>387</v>
      </c>
      <c r="T696" s="1" t="s">
        <v>335</v>
      </c>
      <c r="U696" s="1" t="s">
        <v>24</v>
      </c>
      <c r="V696" s="1">
        <v>1</v>
      </c>
      <c r="W696" s="1" t="s">
        <v>258</v>
      </c>
      <c r="Y696" s="1" t="s">
        <v>32</v>
      </c>
      <c r="Z696" s="1" t="s">
        <v>23</v>
      </c>
    </row>
    <row r="697" spans="1:26" x14ac:dyDescent="0.35">
      <c r="A697" s="1">
        <v>4008461</v>
      </c>
      <c r="B697" s="1" t="s">
        <v>31</v>
      </c>
      <c r="C697" s="1">
        <v>3300</v>
      </c>
      <c r="D697" s="1" t="s">
        <v>30</v>
      </c>
      <c r="E697" s="1">
        <v>301</v>
      </c>
      <c r="F697" s="1">
        <v>0</v>
      </c>
      <c r="G697" s="1">
        <v>144</v>
      </c>
      <c r="H697" s="1" t="s">
        <v>29</v>
      </c>
      <c r="I697" s="1">
        <v>20</v>
      </c>
      <c r="J697" s="1">
        <v>72</v>
      </c>
      <c r="M697" s="1" t="s">
        <v>28</v>
      </c>
      <c r="N697" s="1">
        <v>5</v>
      </c>
      <c r="O697" s="1" t="s">
        <v>277</v>
      </c>
      <c r="P697" s="1">
        <v>44820</v>
      </c>
      <c r="Q697" s="1">
        <v>0.44561342592593001</v>
      </c>
      <c r="R697" s="1">
        <v>0</v>
      </c>
      <c r="T697" s="1" t="s">
        <v>335</v>
      </c>
      <c r="U697" s="1" t="s">
        <v>24</v>
      </c>
      <c r="V697" s="1">
        <v>1</v>
      </c>
      <c r="W697" s="1" t="s">
        <v>258</v>
      </c>
      <c r="Y697" s="1" t="s">
        <v>32</v>
      </c>
      <c r="Z697" s="1" t="s">
        <v>23</v>
      </c>
    </row>
    <row r="698" spans="1:26" x14ac:dyDescent="0.35">
      <c r="A698" s="1">
        <v>4008462</v>
      </c>
      <c r="B698" s="1" t="s">
        <v>31</v>
      </c>
      <c r="C698" s="1">
        <v>3300</v>
      </c>
      <c r="D698" s="1" t="s">
        <v>30</v>
      </c>
      <c r="E698" s="1">
        <v>301</v>
      </c>
      <c r="F698" s="1">
        <v>0</v>
      </c>
      <c r="G698" s="1">
        <v>252</v>
      </c>
      <c r="H698" s="1" t="s">
        <v>29</v>
      </c>
      <c r="I698" s="1">
        <v>20</v>
      </c>
      <c r="J698" s="1">
        <v>252</v>
      </c>
      <c r="M698" s="1" t="s">
        <v>28</v>
      </c>
      <c r="N698" s="1">
        <v>5</v>
      </c>
      <c r="O698" s="1" t="s">
        <v>386</v>
      </c>
      <c r="P698" s="1">
        <v>44522</v>
      </c>
      <c r="Q698" s="1">
        <v>0.56097222222221998</v>
      </c>
      <c r="R698" s="1" t="s">
        <v>385</v>
      </c>
      <c r="S698" s="1" t="s">
        <v>384</v>
      </c>
      <c r="T698" s="1" t="s">
        <v>335</v>
      </c>
      <c r="U698" s="1" t="s">
        <v>24</v>
      </c>
      <c r="V698" s="1">
        <v>1</v>
      </c>
      <c r="W698" s="1" t="s">
        <v>271</v>
      </c>
      <c r="Y698" s="1" t="s">
        <v>32</v>
      </c>
      <c r="Z698" s="1" t="s">
        <v>23</v>
      </c>
    </row>
    <row r="699" spans="1:26" x14ac:dyDescent="0.35">
      <c r="A699" s="1">
        <v>4008463</v>
      </c>
      <c r="B699" s="1" t="s">
        <v>31</v>
      </c>
      <c r="C699" s="1">
        <v>3300</v>
      </c>
      <c r="D699" s="1" t="s">
        <v>30</v>
      </c>
      <c r="E699" s="1">
        <v>301</v>
      </c>
      <c r="F699" s="1">
        <v>0</v>
      </c>
      <c r="G699" s="1">
        <v>288</v>
      </c>
      <c r="H699" s="1" t="s">
        <v>29</v>
      </c>
      <c r="I699" s="1">
        <v>20</v>
      </c>
      <c r="J699" s="1">
        <v>216</v>
      </c>
      <c r="M699" s="1" t="s">
        <v>28</v>
      </c>
      <c r="N699" s="1">
        <v>5</v>
      </c>
      <c r="O699" s="1" t="s">
        <v>277</v>
      </c>
      <c r="P699" s="1">
        <v>44804</v>
      </c>
      <c r="Q699" s="1">
        <v>0.52648148148148</v>
      </c>
      <c r="R699" s="1">
        <v>0</v>
      </c>
      <c r="T699" s="1" t="s">
        <v>335</v>
      </c>
      <c r="U699" s="1" t="s">
        <v>24</v>
      </c>
      <c r="V699" s="1">
        <v>1</v>
      </c>
      <c r="W699" s="1" t="s">
        <v>258</v>
      </c>
      <c r="Y699" s="1" t="s">
        <v>32</v>
      </c>
      <c r="Z699" s="1" t="s">
        <v>23</v>
      </c>
    </row>
    <row r="700" spans="1:26" x14ac:dyDescent="0.35">
      <c r="A700" s="1">
        <v>4008464</v>
      </c>
      <c r="B700" s="1" t="s">
        <v>31</v>
      </c>
      <c r="C700" s="1">
        <v>3300</v>
      </c>
      <c r="D700" s="1" t="s">
        <v>30</v>
      </c>
      <c r="E700" s="1">
        <v>301</v>
      </c>
      <c r="F700" s="1">
        <v>0</v>
      </c>
      <c r="G700" s="1">
        <v>144</v>
      </c>
      <c r="H700" s="1" t="s">
        <v>29</v>
      </c>
      <c r="I700" s="1">
        <v>20</v>
      </c>
      <c r="J700" s="1">
        <v>48</v>
      </c>
      <c r="M700" s="1" t="s">
        <v>28</v>
      </c>
      <c r="N700" s="1">
        <v>5</v>
      </c>
      <c r="O700" s="1" t="s">
        <v>277</v>
      </c>
      <c r="P700" s="1">
        <v>44820</v>
      </c>
      <c r="Q700" s="1">
        <v>0.41416666666667001</v>
      </c>
      <c r="R700" s="1" t="s">
        <v>383</v>
      </c>
      <c r="S700" s="1" t="s">
        <v>382</v>
      </c>
      <c r="T700" s="1" t="s">
        <v>335</v>
      </c>
      <c r="U700" s="1" t="s">
        <v>24</v>
      </c>
      <c r="V700" s="1">
        <v>1</v>
      </c>
      <c r="W700" s="1" t="s">
        <v>258</v>
      </c>
      <c r="Y700" s="1" t="s">
        <v>32</v>
      </c>
      <c r="Z700" s="1" t="s">
        <v>23</v>
      </c>
    </row>
    <row r="701" spans="1:26" x14ac:dyDescent="0.35">
      <c r="A701" s="1">
        <v>4008465</v>
      </c>
      <c r="B701" s="1" t="s">
        <v>31</v>
      </c>
      <c r="C701" s="1">
        <v>3300</v>
      </c>
      <c r="D701" s="1" t="s">
        <v>30</v>
      </c>
      <c r="E701" s="1">
        <v>301</v>
      </c>
      <c r="F701" s="1">
        <v>0</v>
      </c>
      <c r="G701" s="1">
        <v>4000</v>
      </c>
      <c r="H701" s="1" t="s">
        <v>29</v>
      </c>
      <c r="I701" s="1" t="s">
        <v>71</v>
      </c>
      <c r="J701" s="1">
        <v>12800</v>
      </c>
      <c r="M701" s="1" t="s">
        <v>28</v>
      </c>
      <c r="N701" s="1">
        <v>5</v>
      </c>
      <c r="O701" s="1" t="s">
        <v>27</v>
      </c>
      <c r="P701" s="1">
        <v>45924</v>
      </c>
      <c r="Q701" s="1">
        <v>0.53810185185185</v>
      </c>
      <c r="R701" s="1">
        <v>0</v>
      </c>
      <c r="T701" s="1" t="s">
        <v>335</v>
      </c>
      <c r="U701" s="1" t="s">
        <v>24</v>
      </c>
      <c r="V701" s="1">
        <v>1</v>
      </c>
      <c r="W701" s="1" t="s">
        <v>271</v>
      </c>
      <c r="X701" s="1" t="s">
        <v>141</v>
      </c>
      <c r="Y701" s="1" t="s">
        <v>32</v>
      </c>
      <c r="Z701" s="1" t="s">
        <v>32</v>
      </c>
    </row>
    <row r="702" spans="1:26" x14ac:dyDescent="0.35">
      <c r="A702" s="1">
        <v>4008466</v>
      </c>
      <c r="B702" s="1" t="s">
        <v>31</v>
      </c>
      <c r="C702" s="1">
        <v>3300</v>
      </c>
      <c r="D702" s="1" t="s">
        <v>30</v>
      </c>
      <c r="E702" s="1">
        <v>301</v>
      </c>
      <c r="F702" s="1">
        <v>0</v>
      </c>
      <c r="G702" s="1">
        <v>1200</v>
      </c>
      <c r="H702" s="1" t="s">
        <v>29</v>
      </c>
      <c r="I702" s="1" t="s">
        <v>274</v>
      </c>
      <c r="J702" s="1">
        <v>12800</v>
      </c>
      <c r="M702" s="1" t="s">
        <v>28</v>
      </c>
      <c r="N702" s="1">
        <v>0</v>
      </c>
      <c r="O702" s="1" t="s">
        <v>132</v>
      </c>
      <c r="P702" s="1">
        <v>46042</v>
      </c>
      <c r="Q702" s="1">
        <v>0.56432870370370003</v>
      </c>
      <c r="R702" s="1">
        <v>0</v>
      </c>
      <c r="U702" s="1" t="s">
        <v>24</v>
      </c>
      <c r="V702" s="1">
        <v>1</v>
      </c>
      <c r="W702" s="1" t="s">
        <v>271</v>
      </c>
      <c r="X702" s="1" t="s">
        <v>141</v>
      </c>
      <c r="Y702" s="1" t="s">
        <v>32</v>
      </c>
      <c r="Z702" s="1" t="s">
        <v>32</v>
      </c>
    </row>
    <row r="703" spans="1:26" x14ac:dyDescent="0.35">
      <c r="A703" s="1">
        <v>4008467</v>
      </c>
      <c r="B703" s="1" t="s">
        <v>31</v>
      </c>
      <c r="C703" s="1">
        <v>3300</v>
      </c>
      <c r="D703" s="1" t="s">
        <v>41</v>
      </c>
      <c r="G703" s="1">
        <v>0</v>
      </c>
      <c r="J703" s="1">
        <v>0</v>
      </c>
      <c r="M703" s="1" t="s">
        <v>28</v>
      </c>
      <c r="N703" s="1">
        <v>0</v>
      </c>
      <c r="O703" s="1" t="s">
        <v>277</v>
      </c>
      <c r="P703" s="1">
        <v>44495</v>
      </c>
      <c r="Q703" s="1">
        <v>0.70540509259258999</v>
      </c>
      <c r="R703" s="1" t="s">
        <v>381</v>
      </c>
      <c r="S703" s="1" t="s">
        <v>380</v>
      </c>
      <c r="U703" s="1" t="s">
        <v>24</v>
      </c>
      <c r="V703" s="1">
        <v>1</v>
      </c>
      <c r="W703" s="1" t="s">
        <v>258</v>
      </c>
      <c r="Y703" s="1" t="s">
        <v>32</v>
      </c>
      <c r="Z703" s="1" t="s">
        <v>23</v>
      </c>
    </row>
    <row r="704" spans="1:26" x14ac:dyDescent="0.35">
      <c r="A704" s="1">
        <v>4008468</v>
      </c>
      <c r="B704" s="1" t="s">
        <v>31</v>
      </c>
      <c r="C704" s="1">
        <v>3300</v>
      </c>
      <c r="D704" s="1" t="s">
        <v>41</v>
      </c>
      <c r="G704" s="1">
        <v>0</v>
      </c>
      <c r="J704" s="1">
        <v>0</v>
      </c>
      <c r="M704" s="1" t="s">
        <v>28</v>
      </c>
      <c r="N704" s="1">
        <v>0</v>
      </c>
      <c r="O704" s="1" t="s">
        <v>277</v>
      </c>
      <c r="P704" s="1">
        <v>44495</v>
      </c>
      <c r="Q704" s="1">
        <v>0.72615740740740997</v>
      </c>
      <c r="R704" s="1">
        <v>0</v>
      </c>
      <c r="U704" s="1" t="s">
        <v>24</v>
      </c>
      <c r="V704" s="1">
        <v>1</v>
      </c>
      <c r="W704" s="1" t="s">
        <v>258</v>
      </c>
      <c r="Y704" s="1" t="s">
        <v>32</v>
      </c>
      <c r="Z704" s="1" t="s">
        <v>23</v>
      </c>
    </row>
    <row r="705" spans="1:26" x14ac:dyDescent="0.35">
      <c r="A705" s="1">
        <v>4008469</v>
      </c>
      <c r="B705" s="1" t="s">
        <v>31</v>
      </c>
      <c r="C705" s="1">
        <v>3300</v>
      </c>
      <c r="D705" s="1" t="s">
        <v>41</v>
      </c>
      <c r="G705" s="1">
        <v>0</v>
      </c>
      <c r="I705" s="1">
        <v>20</v>
      </c>
      <c r="J705" s="1">
        <v>0</v>
      </c>
      <c r="K705" s="1" t="s">
        <v>24</v>
      </c>
      <c r="M705" s="1" t="s">
        <v>28</v>
      </c>
      <c r="N705" s="1">
        <v>0</v>
      </c>
      <c r="O705" s="1" t="s">
        <v>27</v>
      </c>
      <c r="P705" s="1">
        <v>44895</v>
      </c>
      <c r="Q705" s="1">
        <v>0.34453703703703997</v>
      </c>
      <c r="R705" s="1">
        <v>0</v>
      </c>
      <c r="W705" s="1" t="s">
        <v>258</v>
      </c>
      <c r="Y705" s="1" t="s">
        <v>32</v>
      </c>
      <c r="Z705" s="1" t="s">
        <v>23</v>
      </c>
    </row>
    <row r="706" spans="1:26" x14ac:dyDescent="0.35">
      <c r="A706" s="1">
        <v>4008470</v>
      </c>
      <c r="B706" s="1" t="s">
        <v>31</v>
      </c>
      <c r="C706" s="1">
        <v>3300</v>
      </c>
      <c r="D706" s="1" t="s">
        <v>41</v>
      </c>
      <c r="E706" s="1">
        <v>301</v>
      </c>
      <c r="F706" s="1">
        <v>0</v>
      </c>
      <c r="G706" s="1">
        <v>0</v>
      </c>
      <c r="J706" s="1">
        <v>0</v>
      </c>
      <c r="K706" s="1" t="s">
        <v>24</v>
      </c>
      <c r="M706" s="1" t="s">
        <v>28</v>
      </c>
      <c r="N706" s="1">
        <v>0</v>
      </c>
      <c r="O706" s="1" t="s">
        <v>277</v>
      </c>
      <c r="P706" s="1">
        <v>44573</v>
      </c>
      <c r="Q706" s="1">
        <v>0.43025462962963001</v>
      </c>
      <c r="R706" s="1">
        <v>0</v>
      </c>
      <c r="W706" s="1" t="s">
        <v>258</v>
      </c>
      <c r="Y706" s="1" t="s">
        <v>32</v>
      </c>
      <c r="Z706" s="1" t="s">
        <v>23</v>
      </c>
    </row>
    <row r="707" spans="1:26" x14ac:dyDescent="0.35">
      <c r="A707" s="1">
        <v>4008471</v>
      </c>
      <c r="B707" s="1" t="s">
        <v>31</v>
      </c>
      <c r="C707" s="1">
        <v>3300</v>
      </c>
      <c r="D707" s="1" t="s">
        <v>30</v>
      </c>
      <c r="E707" s="1">
        <v>301</v>
      </c>
      <c r="F707" s="1">
        <v>0</v>
      </c>
      <c r="G707" s="1">
        <v>200</v>
      </c>
      <c r="H707" s="1" t="s">
        <v>29</v>
      </c>
      <c r="I707" s="1">
        <v>20</v>
      </c>
      <c r="J707" s="1">
        <v>100</v>
      </c>
      <c r="M707" s="1" t="s">
        <v>28</v>
      </c>
      <c r="N707" s="1">
        <v>5</v>
      </c>
      <c r="O707" s="1" t="s">
        <v>277</v>
      </c>
      <c r="P707" s="1">
        <v>44734</v>
      </c>
      <c r="Q707" s="1">
        <v>0.31730324074074001</v>
      </c>
      <c r="R707" s="1" t="s">
        <v>379</v>
      </c>
      <c r="S707" s="1" t="s">
        <v>378</v>
      </c>
      <c r="T707" s="1" t="s">
        <v>335</v>
      </c>
      <c r="U707" s="1" t="s">
        <v>24</v>
      </c>
      <c r="V707" s="1">
        <v>1</v>
      </c>
      <c r="W707" s="1" t="s">
        <v>258</v>
      </c>
      <c r="Y707" s="1" t="s">
        <v>32</v>
      </c>
      <c r="Z707" s="1" t="s">
        <v>23</v>
      </c>
    </row>
    <row r="708" spans="1:26" x14ac:dyDescent="0.35">
      <c r="A708" s="1">
        <v>4008472</v>
      </c>
      <c r="B708" s="1" t="s">
        <v>31</v>
      </c>
      <c r="C708" s="1">
        <v>3300</v>
      </c>
      <c r="D708" s="1" t="s">
        <v>41</v>
      </c>
      <c r="G708" s="1">
        <v>0</v>
      </c>
      <c r="J708" s="1">
        <v>0</v>
      </c>
      <c r="K708" s="1" t="s">
        <v>24</v>
      </c>
      <c r="M708" s="1" t="s">
        <v>28</v>
      </c>
      <c r="N708" s="1">
        <v>0</v>
      </c>
      <c r="O708" s="1" t="s">
        <v>277</v>
      </c>
      <c r="P708" s="1">
        <v>44622</v>
      </c>
      <c r="Q708" s="1">
        <v>0.34430555555555997</v>
      </c>
      <c r="R708" s="1">
        <v>0</v>
      </c>
      <c r="W708" s="1" t="s">
        <v>258</v>
      </c>
      <c r="Y708" s="1" t="s">
        <v>32</v>
      </c>
      <c r="Z708" s="1" t="s">
        <v>23</v>
      </c>
    </row>
    <row r="709" spans="1:26" x14ac:dyDescent="0.35">
      <c r="A709" s="1">
        <v>4008473</v>
      </c>
      <c r="B709" s="1" t="s">
        <v>31</v>
      </c>
      <c r="C709" s="1">
        <v>3300</v>
      </c>
      <c r="D709" s="1" t="s">
        <v>30</v>
      </c>
      <c r="E709" s="1">
        <v>301</v>
      </c>
      <c r="F709" s="1">
        <v>0</v>
      </c>
      <c r="G709" s="1">
        <v>100</v>
      </c>
      <c r="H709" s="1" t="s">
        <v>29</v>
      </c>
      <c r="I709" s="1">
        <v>20</v>
      </c>
      <c r="J709" s="1">
        <v>30</v>
      </c>
      <c r="M709" s="1" t="s">
        <v>28</v>
      </c>
      <c r="N709" s="1">
        <v>5</v>
      </c>
      <c r="O709" s="1" t="s">
        <v>277</v>
      </c>
      <c r="P709" s="1">
        <v>44816</v>
      </c>
      <c r="Q709" s="1">
        <v>0.53282407407406995</v>
      </c>
      <c r="R709" s="1">
        <v>0</v>
      </c>
      <c r="T709" s="1" t="s">
        <v>335</v>
      </c>
      <c r="U709" s="1" t="s">
        <v>24</v>
      </c>
      <c r="V709" s="1">
        <v>1</v>
      </c>
      <c r="W709" s="1" t="s">
        <v>258</v>
      </c>
      <c r="Y709" s="1" t="s">
        <v>32</v>
      </c>
      <c r="Z709" s="1" t="s">
        <v>23</v>
      </c>
    </row>
    <row r="710" spans="1:26" x14ac:dyDescent="0.35">
      <c r="A710" s="1">
        <v>4008474</v>
      </c>
      <c r="B710" s="1" t="s">
        <v>31</v>
      </c>
      <c r="C710" s="1">
        <v>3300</v>
      </c>
      <c r="D710" s="1" t="s">
        <v>41</v>
      </c>
      <c r="E710" s="1">
        <v>301</v>
      </c>
      <c r="F710" s="1">
        <v>0</v>
      </c>
      <c r="G710" s="1">
        <v>1</v>
      </c>
      <c r="H710" s="1" t="s">
        <v>29</v>
      </c>
      <c r="I710" s="1">
        <v>20</v>
      </c>
      <c r="J710" s="1">
        <v>1</v>
      </c>
      <c r="K710" s="1" t="s">
        <v>24</v>
      </c>
      <c r="M710" s="1" t="s">
        <v>28</v>
      </c>
      <c r="N710" s="1">
        <v>0</v>
      </c>
      <c r="O710" s="1" t="s">
        <v>27</v>
      </c>
      <c r="P710" s="1">
        <v>45587</v>
      </c>
      <c r="Q710" s="1">
        <v>0.34150462962963002</v>
      </c>
      <c r="R710" s="1" t="s">
        <v>377</v>
      </c>
      <c r="S710" s="1" t="s">
        <v>376</v>
      </c>
      <c r="T710" s="1" t="s">
        <v>335</v>
      </c>
      <c r="W710" s="1" t="s">
        <v>258</v>
      </c>
      <c r="Y710" s="1" t="s">
        <v>32</v>
      </c>
      <c r="Z710" s="1" t="s">
        <v>23</v>
      </c>
    </row>
    <row r="711" spans="1:26" x14ac:dyDescent="0.35">
      <c r="A711" s="1">
        <v>4008475</v>
      </c>
      <c r="B711" s="1" t="s">
        <v>31</v>
      </c>
      <c r="C711" s="1">
        <v>3300</v>
      </c>
      <c r="D711" s="1" t="s">
        <v>30</v>
      </c>
      <c r="E711" s="1">
        <v>301</v>
      </c>
      <c r="F711" s="1">
        <v>0</v>
      </c>
      <c r="G711" s="1">
        <v>50</v>
      </c>
      <c r="H711" s="1" t="s">
        <v>29</v>
      </c>
      <c r="I711" s="1">
        <v>20</v>
      </c>
      <c r="J711" s="1">
        <v>50</v>
      </c>
      <c r="M711" s="1" t="s">
        <v>28</v>
      </c>
      <c r="N711" s="1">
        <v>5</v>
      </c>
      <c r="O711" s="1" t="s">
        <v>277</v>
      </c>
      <c r="P711" s="1">
        <v>44740</v>
      </c>
      <c r="Q711" s="1">
        <v>0.34356481481480999</v>
      </c>
      <c r="R711" s="1">
        <v>0</v>
      </c>
      <c r="T711" s="1" t="s">
        <v>335</v>
      </c>
      <c r="U711" s="1" t="s">
        <v>24</v>
      </c>
      <c r="V711" s="1">
        <v>1</v>
      </c>
      <c r="W711" s="1" t="s">
        <v>258</v>
      </c>
      <c r="Y711" s="1" t="s">
        <v>32</v>
      </c>
      <c r="Z711" s="1" t="s">
        <v>23</v>
      </c>
    </row>
    <row r="712" spans="1:26" x14ac:dyDescent="0.35">
      <c r="A712" s="1">
        <v>4008476</v>
      </c>
      <c r="B712" s="1" t="s">
        <v>31</v>
      </c>
      <c r="C712" s="1">
        <v>3300</v>
      </c>
      <c r="D712" s="1" t="s">
        <v>30</v>
      </c>
      <c r="E712" s="1">
        <v>301</v>
      </c>
      <c r="F712" s="1">
        <v>0</v>
      </c>
      <c r="G712" s="1">
        <v>120</v>
      </c>
      <c r="H712" s="1" t="s">
        <v>29</v>
      </c>
      <c r="I712" s="1">
        <v>20</v>
      </c>
      <c r="J712" s="1">
        <v>60</v>
      </c>
      <c r="M712" s="1" t="s">
        <v>28</v>
      </c>
      <c r="N712" s="1">
        <v>5</v>
      </c>
      <c r="O712" s="1" t="s">
        <v>277</v>
      </c>
      <c r="P712" s="1">
        <v>44762</v>
      </c>
      <c r="Q712" s="1">
        <v>0.34665509259258998</v>
      </c>
      <c r="R712" s="1" t="s">
        <v>375</v>
      </c>
      <c r="S712" s="1" t="s">
        <v>374</v>
      </c>
      <c r="T712" s="1" t="s">
        <v>335</v>
      </c>
      <c r="U712" s="1" t="s">
        <v>24</v>
      </c>
      <c r="V712" s="1">
        <v>1</v>
      </c>
      <c r="W712" s="1" t="s">
        <v>258</v>
      </c>
      <c r="Y712" s="1" t="s">
        <v>32</v>
      </c>
      <c r="Z712" s="1" t="s">
        <v>23</v>
      </c>
    </row>
    <row r="713" spans="1:26" x14ac:dyDescent="0.35">
      <c r="A713" s="1">
        <v>4008477</v>
      </c>
      <c r="B713" s="1" t="s">
        <v>31</v>
      </c>
      <c r="C713" s="1">
        <v>3300</v>
      </c>
      <c r="D713" s="1" t="s">
        <v>41</v>
      </c>
      <c r="E713" s="1">
        <v>301</v>
      </c>
      <c r="F713" s="1">
        <v>0</v>
      </c>
      <c r="G713" s="1">
        <v>0</v>
      </c>
      <c r="J713" s="1">
        <v>0</v>
      </c>
      <c r="K713" s="1" t="s">
        <v>24</v>
      </c>
      <c r="M713" s="1" t="s">
        <v>28</v>
      </c>
      <c r="N713" s="1">
        <v>0</v>
      </c>
      <c r="O713" s="1" t="s">
        <v>27</v>
      </c>
      <c r="P713" s="1">
        <v>45460</v>
      </c>
      <c r="Q713" s="1">
        <v>0.28734953703704003</v>
      </c>
      <c r="R713" s="1">
        <v>0</v>
      </c>
      <c r="W713" s="1" t="s">
        <v>258</v>
      </c>
      <c r="Y713" s="1" t="s">
        <v>32</v>
      </c>
      <c r="Z713" s="1" t="s">
        <v>23</v>
      </c>
    </row>
    <row r="714" spans="1:26" x14ac:dyDescent="0.35">
      <c r="A714" s="1">
        <v>4008481</v>
      </c>
      <c r="B714" s="1" t="s">
        <v>31</v>
      </c>
      <c r="C714" s="1">
        <v>3300</v>
      </c>
      <c r="D714" s="1" t="s">
        <v>41</v>
      </c>
      <c r="E714" s="1">
        <v>301</v>
      </c>
      <c r="F714" s="1">
        <v>0</v>
      </c>
      <c r="G714" s="1">
        <v>157</v>
      </c>
      <c r="H714" s="1" t="s">
        <v>29</v>
      </c>
      <c r="J714" s="1">
        <v>72</v>
      </c>
      <c r="M714" s="1" t="s">
        <v>28</v>
      </c>
      <c r="N714" s="1">
        <v>5</v>
      </c>
      <c r="O714" s="1" t="s">
        <v>27</v>
      </c>
      <c r="P714" s="1">
        <v>46008</v>
      </c>
      <c r="Q714" s="1">
        <v>0.41542824074073997</v>
      </c>
      <c r="R714" s="1">
        <v>0</v>
      </c>
      <c r="T714" s="1" t="s">
        <v>335</v>
      </c>
      <c r="U714" s="1" t="s">
        <v>24</v>
      </c>
      <c r="V714" s="1">
        <v>1</v>
      </c>
      <c r="W714" s="1" t="s">
        <v>258</v>
      </c>
      <c r="Y714" s="1" t="s">
        <v>32</v>
      </c>
      <c r="Z714" s="1" t="s">
        <v>23</v>
      </c>
    </row>
    <row r="715" spans="1:26" x14ac:dyDescent="0.35">
      <c r="A715" s="1">
        <v>4008483</v>
      </c>
      <c r="B715" s="1" t="s">
        <v>31</v>
      </c>
      <c r="C715" s="1">
        <v>3300</v>
      </c>
      <c r="D715" s="1" t="s">
        <v>41</v>
      </c>
      <c r="E715" s="1">
        <v>301</v>
      </c>
      <c r="F715" s="1">
        <v>0</v>
      </c>
      <c r="G715" s="1">
        <v>0</v>
      </c>
      <c r="J715" s="1">
        <v>0</v>
      </c>
      <c r="K715" s="1" t="s">
        <v>24</v>
      </c>
      <c r="M715" s="1" t="s">
        <v>28</v>
      </c>
      <c r="N715" s="1">
        <v>0</v>
      </c>
      <c r="O715" s="1" t="s">
        <v>373</v>
      </c>
      <c r="P715" s="1">
        <v>44476</v>
      </c>
      <c r="Q715" s="1">
        <v>0.52975694444443999</v>
      </c>
      <c r="R715" s="1">
        <v>0</v>
      </c>
      <c r="W715" s="1" t="s">
        <v>258</v>
      </c>
      <c r="Y715" s="1" t="s">
        <v>32</v>
      </c>
      <c r="Z715" s="1" t="s">
        <v>23</v>
      </c>
    </row>
    <row r="716" spans="1:26" x14ac:dyDescent="0.35">
      <c r="A716" s="1">
        <v>4008484</v>
      </c>
      <c r="B716" s="1" t="s">
        <v>31</v>
      </c>
      <c r="C716" s="1">
        <v>3300</v>
      </c>
      <c r="D716" s="1" t="s">
        <v>41</v>
      </c>
      <c r="E716" s="1">
        <v>301</v>
      </c>
      <c r="F716" s="1">
        <v>0</v>
      </c>
      <c r="G716" s="1">
        <v>0</v>
      </c>
      <c r="J716" s="1">
        <v>0</v>
      </c>
      <c r="K716" s="1" t="s">
        <v>24</v>
      </c>
      <c r="M716" s="1" t="s">
        <v>28</v>
      </c>
      <c r="N716" s="1">
        <v>0</v>
      </c>
      <c r="O716" s="1" t="s">
        <v>373</v>
      </c>
      <c r="P716" s="1">
        <v>44476</v>
      </c>
      <c r="Q716" s="1">
        <v>0.53021990740740998</v>
      </c>
      <c r="R716" s="1" t="s">
        <v>372</v>
      </c>
      <c r="S716" s="1" t="s">
        <v>371</v>
      </c>
      <c r="W716" s="1" t="s">
        <v>258</v>
      </c>
      <c r="Y716" s="1" t="s">
        <v>32</v>
      </c>
      <c r="Z716" s="1" t="s">
        <v>23</v>
      </c>
    </row>
    <row r="717" spans="1:26" x14ac:dyDescent="0.35">
      <c r="A717" s="1">
        <v>4008490</v>
      </c>
      <c r="B717" s="1" t="s">
        <v>31</v>
      </c>
      <c r="C717" s="1">
        <v>3300</v>
      </c>
      <c r="D717" s="1" t="s">
        <v>30</v>
      </c>
      <c r="E717" s="1">
        <v>301</v>
      </c>
      <c r="F717" s="1">
        <v>0</v>
      </c>
      <c r="G717" s="1">
        <v>20</v>
      </c>
      <c r="H717" s="1" t="s">
        <v>29</v>
      </c>
      <c r="I717" s="1" t="s">
        <v>71</v>
      </c>
      <c r="J717" s="1">
        <v>20</v>
      </c>
      <c r="M717" s="1" t="s">
        <v>28</v>
      </c>
      <c r="N717" s="1">
        <v>0</v>
      </c>
      <c r="O717" s="1" t="s">
        <v>27</v>
      </c>
      <c r="P717" s="1">
        <v>45924</v>
      </c>
      <c r="Q717" s="1">
        <v>0.34548611111110999</v>
      </c>
      <c r="R717" s="1">
        <v>0</v>
      </c>
      <c r="U717" s="1" t="s">
        <v>24</v>
      </c>
      <c r="V717" s="1">
        <v>1</v>
      </c>
      <c r="W717" s="1" t="s">
        <v>258</v>
      </c>
      <c r="X717" s="1" t="s">
        <v>24</v>
      </c>
      <c r="Y717" s="1" t="s">
        <v>32</v>
      </c>
      <c r="Z717" s="1" t="s">
        <v>32</v>
      </c>
    </row>
    <row r="718" spans="1:26" x14ac:dyDescent="0.35">
      <c r="A718" s="1">
        <v>4008494</v>
      </c>
      <c r="B718" s="1" t="s">
        <v>31</v>
      </c>
      <c r="C718" s="1">
        <v>3300</v>
      </c>
      <c r="D718" s="1" t="s">
        <v>41</v>
      </c>
      <c r="E718" s="1">
        <v>301</v>
      </c>
      <c r="F718" s="1">
        <v>0</v>
      </c>
      <c r="G718" s="1">
        <v>0</v>
      </c>
      <c r="J718" s="1">
        <v>0</v>
      </c>
      <c r="K718" s="1" t="s">
        <v>24</v>
      </c>
      <c r="M718" s="1" t="s">
        <v>28</v>
      </c>
      <c r="N718" s="1">
        <v>5</v>
      </c>
      <c r="O718" s="1" t="s">
        <v>27</v>
      </c>
      <c r="P718" s="1">
        <v>45237</v>
      </c>
      <c r="Q718" s="1">
        <v>0.32819444444444001</v>
      </c>
      <c r="R718" s="1">
        <v>0</v>
      </c>
      <c r="T718" s="1" t="s">
        <v>335</v>
      </c>
      <c r="Y718" s="1" t="s">
        <v>23</v>
      </c>
      <c r="Z718" s="1" t="s">
        <v>23</v>
      </c>
    </row>
    <row r="719" spans="1:26" x14ac:dyDescent="0.35">
      <c r="A719" s="1">
        <v>4008506</v>
      </c>
      <c r="B719" s="1" t="s">
        <v>31</v>
      </c>
      <c r="C719" s="1">
        <v>3300</v>
      </c>
      <c r="D719" s="1" t="s">
        <v>30</v>
      </c>
      <c r="E719" s="1">
        <v>301</v>
      </c>
      <c r="F719" s="1">
        <v>0</v>
      </c>
      <c r="G719" s="1">
        <v>600</v>
      </c>
      <c r="H719" s="1" t="s">
        <v>29</v>
      </c>
      <c r="I719" s="1">
        <v>20</v>
      </c>
      <c r="J719" s="1">
        <v>600</v>
      </c>
      <c r="M719" s="1" t="s">
        <v>28</v>
      </c>
      <c r="N719" s="1">
        <v>5</v>
      </c>
      <c r="O719" s="1" t="s">
        <v>370</v>
      </c>
      <c r="P719" s="1">
        <v>45567</v>
      </c>
      <c r="Q719" s="1">
        <v>0.59486111111110995</v>
      </c>
      <c r="R719" s="1" t="s">
        <v>369</v>
      </c>
      <c r="S719" s="1" t="s">
        <v>368</v>
      </c>
      <c r="U719" s="1" t="s">
        <v>24</v>
      </c>
      <c r="V719" s="1">
        <v>1</v>
      </c>
      <c r="Y719" s="1" t="s">
        <v>23</v>
      </c>
      <c r="Z719" s="1" t="s">
        <v>23</v>
      </c>
    </row>
    <row r="720" spans="1:26" x14ac:dyDescent="0.35">
      <c r="A720" s="1">
        <v>4008507</v>
      </c>
      <c r="B720" s="1" t="s">
        <v>31</v>
      </c>
      <c r="C720" s="1">
        <v>3300</v>
      </c>
      <c r="D720" s="1" t="s">
        <v>30</v>
      </c>
      <c r="E720" s="1">
        <v>301</v>
      </c>
      <c r="F720" s="1">
        <v>0</v>
      </c>
      <c r="G720" s="1">
        <v>1200</v>
      </c>
      <c r="H720" s="1" t="s">
        <v>29</v>
      </c>
      <c r="I720" s="1">
        <v>20</v>
      </c>
      <c r="J720" s="1">
        <v>600</v>
      </c>
      <c r="M720" s="1" t="s">
        <v>28</v>
      </c>
      <c r="N720" s="1">
        <v>0</v>
      </c>
      <c r="O720" s="1" t="s">
        <v>27</v>
      </c>
      <c r="P720" s="1">
        <v>45302</v>
      </c>
      <c r="Q720" s="1">
        <v>0.5753125</v>
      </c>
      <c r="R720" s="1" t="s">
        <v>367</v>
      </c>
      <c r="S720" s="1" t="s">
        <v>366</v>
      </c>
      <c r="U720" s="1" t="s">
        <v>24</v>
      </c>
      <c r="V720" s="1">
        <v>1</v>
      </c>
      <c r="Y720" s="1" t="s">
        <v>23</v>
      </c>
      <c r="Z720" s="1" t="s">
        <v>23</v>
      </c>
    </row>
    <row r="721" spans="1:26" x14ac:dyDescent="0.35">
      <c r="A721" s="1">
        <v>4008508</v>
      </c>
      <c r="B721" s="1" t="s">
        <v>31</v>
      </c>
      <c r="C721" s="1">
        <v>3300</v>
      </c>
      <c r="D721" s="1" t="s">
        <v>30</v>
      </c>
      <c r="E721" s="1">
        <v>301</v>
      </c>
      <c r="F721" s="1">
        <v>0</v>
      </c>
      <c r="G721" s="1">
        <v>1500</v>
      </c>
      <c r="H721" s="1" t="s">
        <v>29</v>
      </c>
      <c r="I721" s="1">
        <v>20</v>
      </c>
      <c r="J721" s="1">
        <v>600</v>
      </c>
      <c r="M721" s="1" t="s">
        <v>28</v>
      </c>
      <c r="N721" s="1">
        <v>0</v>
      </c>
      <c r="O721" s="1" t="s">
        <v>27</v>
      </c>
      <c r="P721" s="1">
        <v>45302</v>
      </c>
      <c r="Q721" s="1">
        <v>0.57589120370369995</v>
      </c>
      <c r="R721" s="1" t="s">
        <v>365</v>
      </c>
      <c r="S721" s="1" t="s">
        <v>364</v>
      </c>
      <c r="U721" s="1" t="s">
        <v>24</v>
      </c>
      <c r="V721" s="1">
        <v>1</v>
      </c>
      <c r="Y721" s="1" t="s">
        <v>23</v>
      </c>
      <c r="Z721" s="1" t="s">
        <v>23</v>
      </c>
    </row>
    <row r="722" spans="1:26" x14ac:dyDescent="0.35">
      <c r="A722" s="1">
        <v>4008511</v>
      </c>
      <c r="B722" s="1" t="s">
        <v>31</v>
      </c>
      <c r="C722" s="1">
        <v>3300</v>
      </c>
      <c r="D722" s="1" t="s">
        <v>30</v>
      </c>
      <c r="E722" s="1">
        <v>301</v>
      </c>
      <c r="F722" s="1">
        <v>0</v>
      </c>
      <c r="G722" s="1">
        <v>13</v>
      </c>
      <c r="H722" s="1" t="s">
        <v>29</v>
      </c>
      <c r="I722" s="1" t="s">
        <v>71</v>
      </c>
      <c r="J722" s="1">
        <v>12</v>
      </c>
      <c r="M722" s="1" t="s">
        <v>28</v>
      </c>
      <c r="N722" s="1">
        <v>0</v>
      </c>
      <c r="O722" s="1" t="s">
        <v>132</v>
      </c>
      <c r="P722" s="1">
        <v>46036</v>
      </c>
      <c r="Q722" s="1">
        <v>0.42038194444443999</v>
      </c>
      <c r="R722" s="1" t="s">
        <v>363</v>
      </c>
      <c r="S722" s="1" t="s">
        <v>362</v>
      </c>
      <c r="U722" s="1" t="s">
        <v>24</v>
      </c>
      <c r="V722" s="1">
        <v>1</v>
      </c>
      <c r="Y722" s="1" t="s">
        <v>23</v>
      </c>
      <c r="Z722" s="1" t="s">
        <v>23</v>
      </c>
    </row>
    <row r="723" spans="1:26" x14ac:dyDescent="0.35">
      <c r="A723" s="1">
        <v>4008530</v>
      </c>
      <c r="B723" s="1" t="s">
        <v>31</v>
      </c>
      <c r="C723" s="1">
        <v>3300</v>
      </c>
      <c r="D723" s="1" t="s">
        <v>30</v>
      </c>
      <c r="E723" s="1">
        <v>301</v>
      </c>
      <c r="F723" s="1">
        <v>0</v>
      </c>
      <c r="G723" s="1">
        <v>100</v>
      </c>
      <c r="H723" s="1" t="s">
        <v>29</v>
      </c>
      <c r="I723" s="1" t="s">
        <v>71</v>
      </c>
      <c r="J723" s="1">
        <v>100</v>
      </c>
      <c r="M723" s="1" t="s">
        <v>28</v>
      </c>
      <c r="N723" s="1">
        <v>0</v>
      </c>
      <c r="O723" s="1" t="s">
        <v>27</v>
      </c>
      <c r="P723" s="1">
        <v>45924</v>
      </c>
      <c r="Q723" s="1">
        <v>0.39609953703703998</v>
      </c>
      <c r="R723" s="1" t="s">
        <v>361</v>
      </c>
      <c r="S723" s="1" t="s">
        <v>360</v>
      </c>
      <c r="U723" s="1" t="s">
        <v>24</v>
      </c>
      <c r="V723" s="1">
        <v>1</v>
      </c>
      <c r="X723" s="1" t="s">
        <v>24</v>
      </c>
      <c r="Y723" s="1" t="s">
        <v>23</v>
      </c>
      <c r="Z723" s="1" t="s">
        <v>32</v>
      </c>
    </row>
    <row r="724" spans="1:26" x14ac:dyDescent="0.35">
      <c r="A724" s="1">
        <v>4008559</v>
      </c>
      <c r="B724" s="1" t="s">
        <v>31</v>
      </c>
      <c r="C724" s="1">
        <v>3300</v>
      </c>
      <c r="D724" s="1" t="s">
        <v>30</v>
      </c>
      <c r="E724" s="1">
        <v>301</v>
      </c>
      <c r="F724" s="1">
        <v>0</v>
      </c>
      <c r="G724" s="1">
        <v>150</v>
      </c>
      <c r="H724" s="1" t="s">
        <v>29</v>
      </c>
      <c r="I724" s="1">
        <v>20</v>
      </c>
      <c r="J724" s="1">
        <v>100</v>
      </c>
      <c r="M724" s="1" t="s">
        <v>28</v>
      </c>
      <c r="N724" s="1">
        <v>0</v>
      </c>
      <c r="O724" s="1" t="s">
        <v>27</v>
      </c>
      <c r="P724" s="1">
        <v>46036</v>
      </c>
      <c r="Q724" s="1">
        <v>0.34381944444444001</v>
      </c>
      <c r="R724" s="1" t="s">
        <v>359</v>
      </c>
      <c r="S724" s="1" t="s">
        <v>358</v>
      </c>
      <c r="U724" s="1" t="s">
        <v>24</v>
      </c>
      <c r="V724" s="1">
        <v>1</v>
      </c>
      <c r="W724" s="1" t="s">
        <v>258</v>
      </c>
      <c r="Y724" s="1" t="s">
        <v>32</v>
      </c>
      <c r="Z724" s="1" t="s">
        <v>23</v>
      </c>
    </row>
    <row r="725" spans="1:26" x14ac:dyDescent="0.35">
      <c r="A725" s="1">
        <v>4008583</v>
      </c>
      <c r="B725" s="1" t="s">
        <v>31</v>
      </c>
      <c r="C725" s="1">
        <v>3300</v>
      </c>
      <c r="D725" s="1" t="s">
        <v>41</v>
      </c>
      <c r="E725" s="1">
        <v>301</v>
      </c>
      <c r="F725" s="1">
        <v>0</v>
      </c>
      <c r="G725" s="1">
        <v>8</v>
      </c>
      <c r="H725" s="1" t="s">
        <v>29</v>
      </c>
      <c r="I725" s="1">
        <v>20</v>
      </c>
      <c r="J725" s="1">
        <v>6</v>
      </c>
      <c r="M725" s="1" t="s">
        <v>28</v>
      </c>
      <c r="N725" s="1">
        <v>0</v>
      </c>
      <c r="O725" s="1" t="s">
        <v>27</v>
      </c>
      <c r="P725" s="1">
        <v>46048</v>
      </c>
      <c r="Q725" s="1">
        <v>0.52737268518518998</v>
      </c>
      <c r="R725" s="1" t="s">
        <v>357</v>
      </c>
      <c r="S725" s="1" t="s">
        <v>356</v>
      </c>
      <c r="U725" s="1" t="s">
        <v>24</v>
      </c>
      <c r="V725" s="1">
        <v>1</v>
      </c>
      <c r="W725" s="1" t="s">
        <v>258</v>
      </c>
      <c r="Y725" s="1" t="s">
        <v>32</v>
      </c>
      <c r="Z725" s="1" t="s">
        <v>23</v>
      </c>
    </row>
    <row r="726" spans="1:26" x14ac:dyDescent="0.35">
      <c r="A726" s="1">
        <v>4008589</v>
      </c>
      <c r="B726" s="1" t="s">
        <v>31</v>
      </c>
      <c r="C726" s="1">
        <v>3300</v>
      </c>
      <c r="D726" s="1" t="s">
        <v>30</v>
      </c>
      <c r="E726" s="1">
        <v>301</v>
      </c>
      <c r="F726" s="1">
        <v>0</v>
      </c>
      <c r="G726" s="1">
        <v>30</v>
      </c>
      <c r="H726" s="1" t="s">
        <v>29</v>
      </c>
      <c r="I726" s="1">
        <v>20</v>
      </c>
      <c r="J726" s="1">
        <v>50</v>
      </c>
      <c r="M726" s="1" t="s">
        <v>28</v>
      </c>
      <c r="N726" s="1">
        <v>0</v>
      </c>
      <c r="O726" s="1" t="s">
        <v>27</v>
      </c>
      <c r="P726" s="1">
        <v>45715</v>
      </c>
      <c r="Q726" s="1">
        <v>0.59810185185185005</v>
      </c>
      <c r="R726" s="1" t="s">
        <v>355</v>
      </c>
      <c r="S726" s="1" t="s">
        <v>354</v>
      </c>
      <c r="U726" s="1" t="s">
        <v>24</v>
      </c>
      <c r="V726" s="1">
        <v>1</v>
      </c>
      <c r="W726" s="1" t="s">
        <v>258</v>
      </c>
      <c r="Y726" s="1" t="s">
        <v>32</v>
      </c>
      <c r="Z726" s="1" t="s">
        <v>23</v>
      </c>
    </row>
    <row r="727" spans="1:26" x14ac:dyDescent="0.35">
      <c r="A727" s="1">
        <v>4008609</v>
      </c>
      <c r="B727" s="1" t="s">
        <v>31</v>
      </c>
      <c r="C727" s="1">
        <v>3300</v>
      </c>
      <c r="D727" s="1" t="s">
        <v>30</v>
      </c>
      <c r="E727" s="1">
        <v>301</v>
      </c>
      <c r="F727" s="1">
        <v>0</v>
      </c>
      <c r="G727" s="1">
        <v>144</v>
      </c>
      <c r="H727" s="1" t="s">
        <v>29</v>
      </c>
      <c r="I727" s="1">
        <v>20</v>
      </c>
      <c r="J727" s="1">
        <v>72</v>
      </c>
      <c r="M727" s="1" t="s">
        <v>28</v>
      </c>
      <c r="N727" s="1">
        <v>5</v>
      </c>
      <c r="O727" s="1" t="s">
        <v>277</v>
      </c>
      <c r="P727" s="1">
        <v>44804</v>
      </c>
      <c r="Q727" s="1">
        <v>0.53104166666666996</v>
      </c>
      <c r="R727" s="1">
        <v>0</v>
      </c>
      <c r="T727" s="1" t="s">
        <v>335</v>
      </c>
      <c r="U727" s="1" t="s">
        <v>24</v>
      </c>
      <c r="V727" s="1">
        <v>1</v>
      </c>
      <c r="W727" s="1" t="s">
        <v>258</v>
      </c>
      <c r="Y727" s="1" t="s">
        <v>32</v>
      </c>
      <c r="Z727" s="1" t="s">
        <v>23</v>
      </c>
    </row>
    <row r="728" spans="1:26" x14ac:dyDescent="0.35">
      <c r="A728" s="1">
        <v>4008615</v>
      </c>
      <c r="B728" s="1" t="s">
        <v>31</v>
      </c>
      <c r="C728" s="1">
        <v>3300</v>
      </c>
      <c r="D728" s="1" t="s">
        <v>41</v>
      </c>
      <c r="E728" s="1">
        <v>301</v>
      </c>
      <c r="F728" s="1">
        <v>0</v>
      </c>
      <c r="G728" s="1">
        <v>100</v>
      </c>
      <c r="H728" s="1" t="s">
        <v>29</v>
      </c>
      <c r="I728" s="1">
        <v>20</v>
      </c>
      <c r="J728" s="1">
        <v>100</v>
      </c>
      <c r="M728" s="1" t="s">
        <v>28</v>
      </c>
      <c r="N728" s="1">
        <v>0</v>
      </c>
      <c r="O728" s="1" t="s">
        <v>27</v>
      </c>
      <c r="P728" s="1">
        <v>45295</v>
      </c>
      <c r="Q728" s="1">
        <v>0.50210648148147996</v>
      </c>
      <c r="R728" s="1" t="s">
        <v>353</v>
      </c>
      <c r="S728" s="1" t="s">
        <v>352</v>
      </c>
      <c r="U728" s="1" t="s">
        <v>24</v>
      </c>
      <c r="V728" s="1">
        <v>1</v>
      </c>
      <c r="W728" s="1" t="s">
        <v>271</v>
      </c>
      <c r="X728" s="1" t="s">
        <v>24</v>
      </c>
      <c r="Y728" s="1" t="s">
        <v>32</v>
      </c>
      <c r="Z728" s="1" t="s">
        <v>32</v>
      </c>
    </row>
    <row r="729" spans="1:26" x14ac:dyDescent="0.35">
      <c r="A729" s="1">
        <v>4009078</v>
      </c>
      <c r="B729" s="1" t="s">
        <v>31</v>
      </c>
      <c r="C729" s="1">
        <v>3300</v>
      </c>
      <c r="D729" s="1" t="s">
        <v>30</v>
      </c>
      <c r="E729" s="1">
        <v>301</v>
      </c>
      <c r="F729" s="1">
        <v>0</v>
      </c>
      <c r="G729" s="1">
        <v>450</v>
      </c>
      <c r="H729" s="1" t="s">
        <v>29</v>
      </c>
      <c r="I729" s="1" t="s">
        <v>71</v>
      </c>
      <c r="J729" s="1">
        <v>400</v>
      </c>
      <c r="M729" s="1" t="s">
        <v>28</v>
      </c>
      <c r="N729" s="1">
        <v>0</v>
      </c>
      <c r="O729" s="1" t="s">
        <v>27</v>
      </c>
      <c r="P729" s="1">
        <v>45835</v>
      </c>
      <c r="Q729" s="1">
        <v>0.28854166666667003</v>
      </c>
      <c r="R729" s="1" t="s">
        <v>351</v>
      </c>
      <c r="S729" s="1" t="s">
        <v>350</v>
      </c>
      <c r="T729" s="1" t="s">
        <v>335</v>
      </c>
      <c r="U729" s="1" t="s">
        <v>24</v>
      </c>
      <c r="V729" s="1">
        <v>1</v>
      </c>
      <c r="W729" s="1" t="s">
        <v>271</v>
      </c>
      <c r="Y729" s="1" t="s">
        <v>32</v>
      </c>
      <c r="Z729" s="1" t="s">
        <v>23</v>
      </c>
    </row>
    <row r="730" spans="1:26" x14ac:dyDescent="0.35">
      <c r="A730" s="1">
        <v>4009081</v>
      </c>
      <c r="B730" s="1" t="s">
        <v>31</v>
      </c>
      <c r="C730" s="1">
        <v>3300</v>
      </c>
      <c r="D730" s="1" t="s">
        <v>30</v>
      </c>
      <c r="E730" s="1">
        <v>301</v>
      </c>
      <c r="F730" s="1">
        <v>0</v>
      </c>
      <c r="G730" s="1">
        <v>160</v>
      </c>
      <c r="H730" s="1" t="s">
        <v>29</v>
      </c>
      <c r="I730" s="1">
        <v>20</v>
      </c>
      <c r="J730" s="1">
        <v>160</v>
      </c>
      <c r="M730" s="1" t="s">
        <v>28</v>
      </c>
      <c r="N730" s="1">
        <v>5</v>
      </c>
      <c r="O730" s="1" t="s">
        <v>199</v>
      </c>
      <c r="P730" s="1">
        <v>45471</v>
      </c>
      <c r="Q730" s="1">
        <v>0.42046296296295999</v>
      </c>
      <c r="R730" s="1" t="s">
        <v>349</v>
      </c>
      <c r="S730" s="1" t="s">
        <v>348</v>
      </c>
      <c r="T730" s="1" t="s">
        <v>335</v>
      </c>
      <c r="U730" s="1" t="s">
        <v>24</v>
      </c>
      <c r="V730" s="1">
        <v>1</v>
      </c>
      <c r="W730" s="1" t="s">
        <v>271</v>
      </c>
      <c r="Y730" s="1" t="s">
        <v>32</v>
      </c>
      <c r="Z730" s="1" t="s">
        <v>23</v>
      </c>
    </row>
    <row r="731" spans="1:26" x14ac:dyDescent="0.35">
      <c r="A731" s="1">
        <v>4009082</v>
      </c>
      <c r="B731" s="1" t="s">
        <v>31</v>
      </c>
      <c r="C731" s="1">
        <v>3300</v>
      </c>
      <c r="D731" s="1" t="s">
        <v>41</v>
      </c>
      <c r="E731" s="1">
        <v>301</v>
      </c>
      <c r="F731" s="1">
        <v>0</v>
      </c>
      <c r="G731" s="1">
        <v>150</v>
      </c>
      <c r="H731" s="1" t="s">
        <v>29</v>
      </c>
      <c r="I731" s="1" t="s">
        <v>247</v>
      </c>
      <c r="J731" s="1">
        <v>100</v>
      </c>
      <c r="M731" s="1" t="s">
        <v>28</v>
      </c>
      <c r="N731" s="1">
        <v>0</v>
      </c>
      <c r="O731" s="1" t="s">
        <v>166</v>
      </c>
      <c r="P731" s="1">
        <v>45701</v>
      </c>
      <c r="Q731" s="1">
        <v>0.29946759259258998</v>
      </c>
      <c r="R731" s="1" t="s">
        <v>347</v>
      </c>
      <c r="S731" s="1" t="s">
        <v>346</v>
      </c>
      <c r="T731" s="1" t="s">
        <v>335</v>
      </c>
      <c r="U731" s="1" t="s">
        <v>24</v>
      </c>
      <c r="V731" s="1">
        <v>1</v>
      </c>
      <c r="W731" s="1" t="s">
        <v>258</v>
      </c>
      <c r="Y731" s="1" t="s">
        <v>32</v>
      </c>
      <c r="Z731" s="1" t="s">
        <v>23</v>
      </c>
    </row>
    <row r="732" spans="1:26" x14ac:dyDescent="0.35">
      <c r="A732" s="1">
        <v>4009084</v>
      </c>
      <c r="B732" s="1" t="s">
        <v>31</v>
      </c>
      <c r="C732" s="1">
        <v>3300</v>
      </c>
      <c r="D732" s="1" t="s">
        <v>30</v>
      </c>
      <c r="E732" s="1">
        <v>301</v>
      </c>
      <c r="F732" s="1">
        <v>0</v>
      </c>
      <c r="G732" s="1">
        <v>300</v>
      </c>
      <c r="H732" s="1" t="s">
        <v>29</v>
      </c>
      <c r="I732" s="1" t="s">
        <v>71</v>
      </c>
      <c r="J732" s="1">
        <v>200</v>
      </c>
      <c r="M732" s="1" t="s">
        <v>28</v>
      </c>
      <c r="N732" s="1">
        <v>0</v>
      </c>
      <c r="O732" s="1" t="s">
        <v>27</v>
      </c>
      <c r="P732" s="1">
        <v>45951</v>
      </c>
      <c r="Q732" s="1">
        <v>0.28579861111110999</v>
      </c>
      <c r="R732" s="1" t="s">
        <v>345</v>
      </c>
      <c r="S732" s="1" t="s">
        <v>344</v>
      </c>
      <c r="U732" s="1" t="s">
        <v>24</v>
      </c>
      <c r="V732" s="1">
        <v>1</v>
      </c>
      <c r="W732" s="1" t="s">
        <v>271</v>
      </c>
      <c r="X732" s="1" t="s">
        <v>24</v>
      </c>
      <c r="Y732" s="1" t="s">
        <v>32</v>
      </c>
      <c r="Z732" s="1" t="s">
        <v>32</v>
      </c>
    </row>
    <row r="733" spans="1:26" x14ac:dyDescent="0.35">
      <c r="A733" s="1">
        <v>4009085</v>
      </c>
      <c r="B733" s="1" t="s">
        <v>31</v>
      </c>
      <c r="C733" s="1">
        <v>3300</v>
      </c>
      <c r="D733" s="1" t="s">
        <v>41</v>
      </c>
      <c r="G733" s="1">
        <v>0</v>
      </c>
      <c r="J733" s="1">
        <v>0</v>
      </c>
      <c r="M733" s="1" t="s">
        <v>28</v>
      </c>
      <c r="N733" s="1">
        <v>0</v>
      </c>
      <c r="O733" s="1" t="s">
        <v>277</v>
      </c>
      <c r="P733" s="1">
        <v>44495</v>
      </c>
      <c r="Q733" s="1">
        <v>0.74524305555556003</v>
      </c>
      <c r="R733" s="1" t="s">
        <v>343</v>
      </c>
      <c r="S733" s="1" t="s">
        <v>342</v>
      </c>
      <c r="U733" s="1" t="s">
        <v>24</v>
      </c>
      <c r="V733" s="1">
        <v>1</v>
      </c>
      <c r="W733" s="1" t="s">
        <v>258</v>
      </c>
      <c r="Y733" s="1" t="s">
        <v>32</v>
      </c>
      <c r="Z733" s="1" t="s">
        <v>23</v>
      </c>
    </row>
    <row r="734" spans="1:26" x14ac:dyDescent="0.35">
      <c r="A734" s="1">
        <v>4009086</v>
      </c>
      <c r="B734" s="1" t="s">
        <v>31</v>
      </c>
      <c r="C734" s="1">
        <v>3300</v>
      </c>
      <c r="D734" s="1" t="s">
        <v>41</v>
      </c>
      <c r="G734" s="1">
        <v>0</v>
      </c>
      <c r="J734" s="1">
        <v>0</v>
      </c>
      <c r="K734" s="1" t="s">
        <v>24</v>
      </c>
      <c r="M734" s="1" t="s">
        <v>28</v>
      </c>
      <c r="N734" s="1">
        <v>5</v>
      </c>
      <c r="O734" s="1" t="s">
        <v>27</v>
      </c>
      <c r="P734" s="1">
        <v>45237</v>
      </c>
      <c r="Q734" s="1">
        <v>0.32746527777778001</v>
      </c>
      <c r="R734" s="1" t="s">
        <v>341</v>
      </c>
      <c r="S734" s="1" t="s">
        <v>340</v>
      </c>
      <c r="T734" s="1" t="s">
        <v>335</v>
      </c>
      <c r="W734" s="1" t="s">
        <v>258</v>
      </c>
      <c r="Y734" s="1" t="s">
        <v>32</v>
      </c>
      <c r="Z734" s="1" t="s">
        <v>23</v>
      </c>
    </row>
    <row r="735" spans="1:26" x14ac:dyDescent="0.35">
      <c r="A735" s="1">
        <v>4009089</v>
      </c>
      <c r="B735" s="1" t="s">
        <v>31</v>
      </c>
      <c r="C735" s="1">
        <v>3300</v>
      </c>
      <c r="D735" s="1" t="s">
        <v>41</v>
      </c>
      <c r="E735" s="1">
        <v>301</v>
      </c>
      <c r="F735" s="1">
        <v>0</v>
      </c>
      <c r="G735" s="1">
        <v>50</v>
      </c>
      <c r="H735" s="1" t="s">
        <v>29</v>
      </c>
      <c r="J735" s="1">
        <v>20</v>
      </c>
      <c r="M735" s="1" t="s">
        <v>28</v>
      </c>
      <c r="N735" s="1">
        <v>0</v>
      </c>
      <c r="O735" s="1" t="s">
        <v>27</v>
      </c>
      <c r="P735" s="1">
        <v>45730</v>
      </c>
      <c r="Q735" s="1">
        <v>0.47739583333333002</v>
      </c>
      <c r="R735" s="1" t="s">
        <v>339</v>
      </c>
      <c r="S735" s="1" t="s">
        <v>338</v>
      </c>
      <c r="T735" s="1" t="s">
        <v>335</v>
      </c>
      <c r="U735" s="1" t="s">
        <v>24</v>
      </c>
      <c r="V735" s="1">
        <v>1</v>
      </c>
      <c r="W735" s="1" t="s">
        <v>258</v>
      </c>
      <c r="Y735" s="1" t="s">
        <v>32</v>
      </c>
      <c r="Z735" s="1" t="s">
        <v>23</v>
      </c>
    </row>
    <row r="736" spans="1:26" x14ac:dyDescent="0.35">
      <c r="A736" s="1">
        <v>4009091</v>
      </c>
      <c r="B736" s="1" t="s">
        <v>31</v>
      </c>
      <c r="C736" s="1">
        <v>3300</v>
      </c>
      <c r="D736" s="1" t="s">
        <v>41</v>
      </c>
      <c r="E736" s="1">
        <v>301</v>
      </c>
      <c r="F736" s="1">
        <v>0</v>
      </c>
      <c r="G736" s="1">
        <v>600</v>
      </c>
      <c r="H736" s="1" t="s">
        <v>29</v>
      </c>
      <c r="I736" s="1">
        <v>20</v>
      </c>
      <c r="J736" s="1">
        <v>150</v>
      </c>
      <c r="K736" s="1" t="s">
        <v>24</v>
      </c>
      <c r="M736" s="1" t="s">
        <v>28</v>
      </c>
      <c r="N736" s="1">
        <v>5</v>
      </c>
      <c r="O736" s="1" t="s">
        <v>277</v>
      </c>
      <c r="P736" s="1">
        <v>44845</v>
      </c>
      <c r="Q736" s="1">
        <v>0.61341435185185</v>
      </c>
      <c r="R736" s="1">
        <v>0</v>
      </c>
      <c r="T736" s="1" t="s">
        <v>335</v>
      </c>
      <c r="W736" s="1" t="s">
        <v>258</v>
      </c>
      <c r="X736" s="1" t="s">
        <v>24</v>
      </c>
      <c r="Y736" s="1" t="s">
        <v>32</v>
      </c>
      <c r="Z736" s="1" t="s">
        <v>32</v>
      </c>
    </row>
    <row r="737" spans="1:26" x14ac:dyDescent="0.35">
      <c r="A737" s="1">
        <v>4009092</v>
      </c>
      <c r="B737" s="1" t="s">
        <v>31</v>
      </c>
      <c r="C737" s="1">
        <v>3300</v>
      </c>
      <c r="D737" s="1" t="s">
        <v>30</v>
      </c>
      <c r="E737" s="1">
        <v>301</v>
      </c>
      <c r="F737" s="1">
        <v>0</v>
      </c>
      <c r="G737" s="1">
        <v>50</v>
      </c>
      <c r="H737" s="1" t="s">
        <v>29</v>
      </c>
      <c r="I737" s="1" t="s">
        <v>71</v>
      </c>
      <c r="J737" s="1">
        <v>30</v>
      </c>
      <c r="M737" s="1" t="s">
        <v>28</v>
      </c>
      <c r="N737" s="1">
        <v>0</v>
      </c>
      <c r="O737" s="1" t="s">
        <v>27</v>
      </c>
      <c r="P737" s="1">
        <v>45924</v>
      </c>
      <c r="Q737" s="1">
        <v>0.34704861111111002</v>
      </c>
      <c r="R737" s="1" t="s">
        <v>337</v>
      </c>
      <c r="S737" s="1" t="s">
        <v>336</v>
      </c>
      <c r="T737" s="1" t="s">
        <v>335</v>
      </c>
      <c r="U737" s="1" t="s">
        <v>24</v>
      </c>
      <c r="V737" s="1">
        <v>1</v>
      </c>
      <c r="W737" s="1" t="s">
        <v>271</v>
      </c>
      <c r="Y737" s="1" t="s">
        <v>32</v>
      </c>
      <c r="Z737" s="1" t="s">
        <v>23</v>
      </c>
    </row>
    <row r="738" spans="1:26" x14ac:dyDescent="0.35">
      <c r="A738" s="1">
        <v>4009221</v>
      </c>
      <c r="B738" s="1" t="s">
        <v>31</v>
      </c>
      <c r="C738" s="1">
        <v>3300</v>
      </c>
      <c r="D738" s="1" t="s">
        <v>30</v>
      </c>
      <c r="E738" s="1">
        <v>301</v>
      </c>
      <c r="F738" s="1">
        <v>0</v>
      </c>
      <c r="G738" s="1">
        <v>70</v>
      </c>
      <c r="H738" s="1" t="s">
        <v>29</v>
      </c>
      <c r="I738" s="1">
        <v>20</v>
      </c>
      <c r="J738" s="1">
        <v>50</v>
      </c>
      <c r="M738" s="1" t="s">
        <v>28</v>
      </c>
      <c r="N738" s="1">
        <v>0</v>
      </c>
      <c r="O738" s="1" t="s">
        <v>166</v>
      </c>
      <c r="P738" s="1">
        <v>45637</v>
      </c>
      <c r="Q738" s="1">
        <v>0.38038194444444001</v>
      </c>
      <c r="R738" s="1" t="s">
        <v>334</v>
      </c>
      <c r="S738" s="1" t="s">
        <v>333</v>
      </c>
      <c r="U738" s="1" t="s">
        <v>24</v>
      </c>
      <c r="V738" s="1">
        <v>1</v>
      </c>
      <c r="W738" s="1" t="s">
        <v>271</v>
      </c>
      <c r="Y738" s="1" t="s">
        <v>32</v>
      </c>
      <c r="Z738" s="1" t="s">
        <v>23</v>
      </c>
    </row>
    <row r="739" spans="1:26" x14ac:dyDescent="0.35">
      <c r="A739" s="1">
        <v>4009223</v>
      </c>
      <c r="B739" s="1" t="s">
        <v>31</v>
      </c>
      <c r="C739" s="1">
        <v>3300</v>
      </c>
      <c r="D739" s="1" t="s">
        <v>30</v>
      </c>
      <c r="E739" s="1">
        <v>301</v>
      </c>
      <c r="F739" s="1">
        <v>0</v>
      </c>
      <c r="G739" s="1">
        <v>25</v>
      </c>
      <c r="H739" s="1" t="s">
        <v>29</v>
      </c>
      <c r="I739" s="1">
        <v>20</v>
      </c>
      <c r="J739" s="1">
        <v>50</v>
      </c>
      <c r="M739" s="1" t="s">
        <v>28</v>
      </c>
      <c r="N739" s="1">
        <v>0</v>
      </c>
      <c r="O739" s="1" t="s">
        <v>277</v>
      </c>
      <c r="P739" s="1">
        <v>44593</v>
      </c>
      <c r="Q739" s="1">
        <v>0.51449074074073997</v>
      </c>
      <c r="R739" s="1" t="s">
        <v>332</v>
      </c>
      <c r="S739" s="1" t="s">
        <v>331</v>
      </c>
      <c r="U739" s="1" t="s">
        <v>24</v>
      </c>
      <c r="V739" s="1">
        <v>1</v>
      </c>
      <c r="W739" s="1" t="s">
        <v>289</v>
      </c>
      <c r="Y739" s="1" t="s">
        <v>32</v>
      </c>
      <c r="Z739" s="1" t="s">
        <v>23</v>
      </c>
    </row>
    <row r="740" spans="1:26" x14ac:dyDescent="0.35">
      <c r="A740" s="1">
        <v>4009225</v>
      </c>
      <c r="B740" s="1" t="s">
        <v>31</v>
      </c>
      <c r="C740" s="1">
        <v>3300</v>
      </c>
      <c r="D740" s="1" t="s">
        <v>30</v>
      </c>
      <c r="E740" s="1">
        <v>301</v>
      </c>
      <c r="F740" s="1">
        <v>0</v>
      </c>
      <c r="G740" s="1">
        <v>25</v>
      </c>
      <c r="H740" s="1" t="s">
        <v>29</v>
      </c>
      <c r="I740" s="1">
        <v>20</v>
      </c>
      <c r="J740" s="1">
        <v>50</v>
      </c>
      <c r="M740" s="1" t="s">
        <v>28</v>
      </c>
      <c r="N740" s="1">
        <v>0</v>
      </c>
      <c r="O740" s="1" t="s">
        <v>277</v>
      </c>
      <c r="P740" s="1">
        <v>44593</v>
      </c>
      <c r="Q740" s="1">
        <v>0.51599537037037002</v>
      </c>
      <c r="R740" s="1" t="s">
        <v>330</v>
      </c>
      <c r="S740" s="1" t="s">
        <v>329</v>
      </c>
      <c r="U740" s="1" t="s">
        <v>24</v>
      </c>
      <c r="V740" s="1">
        <v>1</v>
      </c>
      <c r="W740" s="1" t="s">
        <v>258</v>
      </c>
      <c r="Y740" s="1" t="s">
        <v>32</v>
      </c>
      <c r="Z740" s="1" t="s">
        <v>23</v>
      </c>
    </row>
    <row r="741" spans="1:26" x14ac:dyDescent="0.35">
      <c r="A741" s="1">
        <v>4009249</v>
      </c>
      <c r="B741" s="1" t="s">
        <v>31</v>
      </c>
      <c r="C741" s="1">
        <v>3300</v>
      </c>
      <c r="D741" s="1" t="s">
        <v>41</v>
      </c>
      <c r="E741" s="1">
        <v>301</v>
      </c>
      <c r="F741" s="1">
        <v>0</v>
      </c>
      <c r="G741" s="1">
        <v>10</v>
      </c>
      <c r="H741" s="1" t="s">
        <v>29</v>
      </c>
      <c r="I741" s="1">
        <v>20</v>
      </c>
      <c r="J741" s="1">
        <v>10</v>
      </c>
      <c r="M741" s="1" t="s">
        <v>28</v>
      </c>
      <c r="N741" s="1">
        <v>5</v>
      </c>
      <c r="O741" s="1" t="s">
        <v>56</v>
      </c>
      <c r="P741" s="1">
        <v>45622</v>
      </c>
      <c r="Q741" s="1">
        <v>0.56974537037036999</v>
      </c>
      <c r="R741" s="1" t="s">
        <v>328</v>
      </c>
      <c r="S741" s="1" t="s">
        <v>327</v>
      </c>
      <c r="U741" s="1" t="s">
        <v>24</v>
      </c>
      <c r="V741" s="1">
        <v>1</v>
      </c>
      <c r="W741" s="1" t="s">
        <v>258</v>
      </c>
      <c r="Y741" s="1" t="s">
        <v>32</v>
      </c>
      <c r="Z741" s="1" t="s">
        <v>23</v>
      </c>
    </row>
    <row r="742" spans="1:26" x14ac:dyDescent="0.35">
      <c r="A742" s="1">
        <v>4009250</v>
      </c>
      <c r="B742" s="1" t="s">
        <v>31</v>
      </c>
      <c r="C742" s="1">
        <v>3300</v>
      </c>
      <c r="D742" s="1" t="s">
        <v>30</v>
      </c>
      <c r="E742" s="1">
        <v>301</v>
      </c>
      <c r="F742" s="1">
        <v>0</v>
      </c>
      <c r="G742" s="1">
        <v>200</v>
      </c>
      <c r="H742" s="1" t="s">
        <v>29</v>
      </c>
      <c r="I742" s="1">
        <v>20</v>
      </c>
      <c r="J742" s="1">
        <v>96</v>
      </c>
      <c r="M742" s="1" t="s">
        <v>28</v>
      </c>
      <c r="N742" s="1">
        <v>0</v>
      </c>
      <c r="O742" s="1" t="s">
        <v>277</v>
      </c>
      <c r="P742" s="1">
        <v>44804</v>
      </c>
      <c r="Q742" s="1">
        <v>0.51332175925926005</v>
      </c>
      <c r="R742" s="1" t="s">
        <v>326</v>
      </c>
      <c r="S742" s="1" t="s">
        <v>325</v>
      </c>
      <c r="U742" s="1" t="s">
        <v>24</v>
      </c>
      <c r="V742" s="1">
        <v>1</v>
      </c>
      <c r="W742" s="1" t="s">
        <v>271</v>
      </c>
      <c r="Y742" s="1" t="s">
        <v>32</v>
      </c>
      <c r="Z742" s="1" t="s">
        <v>23</v>
      </c>
    </row>
    <row r="743" spans="1:26" x14ac:dyDescent="0.35">
      <c r="A743" s="1">
        <v>4009251</v>
      </c>
      <c r="B743" s="1" t="s">
        <v>31</v>
      </c>
      <c r="C743" s="1">
        <v>3300</v>
      </c>
      <c r="D743" s="1" t="s">
        <v>30</v>
      </c>
      <c r="E743" s="1">
        <v>301</v>
      </c>
      <c r="F743" s="1">
        <v>0</v>
      </c>
      <c r="G743" s="1">
        <v>80</v>
      </c>
      <c r="H743" s="1" t="s">
        <v>29</v>
      </c>
      <c r="I743" s="1" t="s">
        <v>71</v>
      </c>
      <c r="J743" s="1">
        <v>80</v>
      </c>
      <c r="M743" s="1" t="s">
        <v>28</v>
      </c>
      <c r="N743" s="1">
        <v>5</v>
      </c>
      <c r="O743" s="1" t="s">
        <v>132</v>
      </c>
      <c r="P743" s="1">
        <v>46036</v>
      </c>
      <c r="Q743" s="1">
        <v>0.42038194444443999</v>
      </c>
      <c r="R743" s="1" t="s">
        <v>324</v>
      </c>
      <c r="S743" s="1" t="s">
        <v>323</v>
      </c>
      <c r="U743" s="1" t="s">
        <v>24</v>
      </c>
      <c r="V743" s="1">
        <v>1</v>
      </c>
      <c r="W743" s="1" t="s">
        <v>258</v>
      </c>
      <c r="Y743" s="1" t="s">
        <v>32</v>
      </c>
      <c r="Z743" s="1" t="s">
        <v>23</v>
      </c>
    </row>
    <row r="744" spans="1:26" x14ac:dyDescent="0.35">
      <c r="A744" s="1">
        <v>4009254</v>
      </c>
      <c r="B744" s="1" t="s">
        <v>31</v>
      </c>
      <c r="C744" s="1">
        <v>3300</v>
      </c>
      <c r="D744" s="1" t="s">
        <v>30</v>
      </c>
      <c r="E744" s="1">
        <v>301</v>
      </c>
      <c r="F744" s="1">
        <v>0</v>
      </c>
      <c r="G744" s="1">
        <v>50</v>
      </c>
      <c r="H744" s="1" t="s">
        <v>29</v>
      </c>
      <c r="I744" s="1">
        <v>20</v>
      </c>
      <c r="J744" s="1">
        <v>50</v>
      </c>
      <c r="M744" s="1" t="s">
        <v>28</v>
      </c>
      <c r="N744" s="1">
        <v>5</v>
      </c>
      <c r="O744" s="1" t="s">
        <v>27</v>
      </c>
      <c r="P744" s="1">
        <v>44606</v>
      </c>
      <c r="Q744" s="1">
        <v>0.35876157407407</v>
      </c>
      <c r="R744" s="1" t="s">
        <v>322</v>
      </c>
      <c r="S744" s="1" t="s">
        <v>321</v>
      </c>
      <c r="U744" s="1" t="s">
        <v>24</v>
      </c>
      <c r="V744" s="1">
        <v>1</v>
      </c>
      <c r="W744" s="1" t="s">
        <v>258</v>
      </c>
      <c r="Y744" s="1" t="s">
        <v>32</v>
      </c>
      <c r="Z744" s="1" t="s">
        <v>23</v>
      </c>
    </row>
    <row r="745" spans="1:26" x14ac:dyDescent="0.35">
      <c r="A745" s="1">
        <v>4009256</v>
      </c>
      <c r="B745" s="1" t="s">
        <v>31</v>
      </c>
      <c r="C745" s="1">
        <v>3300</v>
      </c>
      <c r="D745" s="1" t="s">
        <v>30</v>
      </c>
      <c r="E745" s="1">
        <v>301</v>
      </c>
      <c r="F745" s="1">
        <v>0</v>
      </c>
      <c r="G745" s="1">
        <v>96</v>
      </c>
      <c r="H745" s="1" t="s">
        <v>29</v>
      </c>
      <c r="I745" s="1">
        <v>20</v>
      </c>
      <c r="J745" s="1">
        <v>96</v>
      </c>
      <c r="M745" s="1" t="s">
        <v>28</v>
      </c>
      <c r="N745" s="1">
        <v>5</v>
      </c>
      <c r="O745" s="1" t="s">
        <v>166</v>
      </c>
      <c r="P745" s="1">
        <v>45868</v>
      </c>
      <c r="Q745" s="1">
        <v>0.56902777777778002</v>
      </c>
      <c r="R745" s="1" t="s">
        <v>320</v>
      </c>
      <c r="S745" s="1" t="s">
        <v>319</v>
      </c>
      <c r="U745" s="1" t="s">
        <v>24</v>
      </c>
      <c r="V745" s="1">
        <v>1</v>
      </c>
      <c r="W745" s="1" t="s">
        <v>271</v>
      </c>
      <c r="Y745" s="1" t="s">
        <v>32</v>
      </c>
      <c r="Z745" s="1" t="s">
        <v>23</v>
      </c>
    </row>
    <row r="746" spans="1:26" x14ac:dyDescent="0.35">
      <c r="A746" s="1">
        <v>4009257</v>
      </c>
      <c r="B746" s="1" t="s">
        <v>31</v>
      </c>
      <c r="C746" s="1">
        <v>3300</v>
      </c>
      <c r="D746" s="1" t="s">
        <v>30</v>
      </c>
      <c r="E746" s="1">
        <v>301</v>
      </c>
      <c r="F746" s="1">
        <v>0</v>
      </c>
      <c r="G746" s="1">
        <v>179</v>
      </c>
      <c r="H746" s="1" t="s">
        <v>29</v>
      </c>
      <c r="I746" s="1">
        <v>20</v>
      </c>
      <c r="J746" s="1">
        <v>120</v>
      </c>
      <c r="M746" s="1" t="s">
        <v>28</v>
      </c>
      <c r="N746" s="1">
        <v>5</v>
      </c>
      <c r="O746" s="1" t="s">
        <v>316</v>
      </c>
      <c r="P746" s="1">
        <v>44601</v>
      </c>
      <c r="Q746" s="1">
        <v>0.42074074074074003</v>
      </c>
      <c r="R746" s="1" t="s">
        <v>318</v>
      </c>
      <c r="S746" s="1" t="s">
        <v>317</v>
      </c>
      <c r="U746" s="1" t="s">
        <v>24</v>
      </c>
      <c r="V746" s="1">
        <v>1</v>
      </c>
      <c r="W746" s="1" t="s">
        <v>271</v>
      </c>
      <c r="Y746" s="1" t="s">
        <v>32</v>
      </c>
      <c r="Z746" s="1" t="s">
        <v>23</v>
      </c>
    </row>
    <row r="747" spans="1:26" x14ac:dyDescent="0.35">
      <c r="A747" s="1">
        <v>4009261</v>
      </c>
      <c r="B747" s="1" t="s">
        <v>31</v>
      </c>
      <c r="C747" s="1">
        <v>3300</v>
      </c>
      <c r="D747" s="1" t="s">
        <v>30</v>
      </c>
      <c r="E747" s="1">
        <v>301</v>
      </c>
      <c r="F747" s="1">
        <v>0</v>
      </c>
      <c r="G747" s="1">
        <v>175</v>
      </c>
      <c r="H747" s="1" t="s">
        <v>29</v>
      </c>
      <c r="I747" s="1">
        <v>20</v>
      </c>
      <c r="J747" s="1">
        <v>96</v>
      </c>
      <c r="M747" s="1" t="s">
        <v>28</v>
      </c>
      <c r="N747" s="1">
        <v>5</v>
      </c>
      <c r="O747" s="1" t="s">
        <v>316</v>
      </c>
      <c r="P747" s="1">
        <v>44601</v>
      </c>
      <c r="Q747" s="1">
        <v>0.41476851851851998</v>
      </c>
      <c r="R747" s="1" t="s">
        <v>315</v>
      </c>
      <c r="S747" s="1" t="s">
        <v>314</v>
      </c>
      <c r="U747" s="1" t="s">
        <v>24</v>
      </c>
      <c r="V747" s="1">
        <v>1</v>
      </c>
      <c r="W747" s="1" t="s">
        <v>289</v>
      </c>
      <c r="Y747" s="1" t="s">
        <v>32</v>
      </c>
      <c r="Z747" s="1" t="s">
        <v>23</v>
      </c>
    </row>
    <row r="748" spans="1:26" x14ac:dyDescent="0.35">
      <c r="A748" s="1">
        <v>4009476</v>
      </c>
      <c r="B748" s="1" t="s">
        <v>31</v>
      </c>
      <c r="C748" s="1">
        <v>3300</v>
      </c>
      <c r="D748" s="1" t="s">
        <v>30</v>
      </c>
      <c r="E748" s="1">
        <v>301</v>
      </c>
      <c r="F748" s="1">
        <v>0</v>
      </c>
      <c r="G748" s="1">
        <v>150</v>
      </c>
      <c r="H748" s="1" t="s">
        <v>29</v>
      </c>
      <c r="I748" s="1">
        <v>20</v>
      </c>
      <c r="J748" s="1">
        <v>144</v>
      </c>
      <c r="M748" s="1" t="s">
        <v>28</v>
      </c>
      <c r="N748" s="1">
        <v>0</v>
      </c>
      <c r="O748" s="1" t="s">
        <v>27</v>
      </c>
      <c r="P748" s="1">
        <v>45558</v>
      </c>
      <c r="Q748" s="1">
        <v>0.53725694444444005</v>
      </c>
      <c r="R748" s="1" t="s">
        <v>313</v>
      </c>
      <c r="S748" s="1" t="s">
        <v>312</v>
      </c>
      <c r="U748" s="1" t="s">
        <v>24</v>
      </c>
      <c r="V748" s="1">
        <v>1</v>
      </c>
      <c r="W748" s="1" t="s">
        <v>289</v>
      </c>
      <c r="Y748" s="1" t="s">
        <v>32</v>
      </c>
      <c r="Z748" s="1" t="s">
        <v>23</v>
      </c>
    </row>
    <row r="749" spans="1:26" x14ac:dyDescent="0.35">
      <c r="A749" s="1">
        <v>4009686</v>
      </c>
      <c r="B749" s="1" t="s">
        <v>31</v>
      </c>
      <c r="C749" s="1">
        <v>3300</v>
      </c>
      <c r="D749" s="1" t="s">
        <v>41</v>
      </c>
      <c r="F749" s="1">
        <v>0</v>
      </c>
      <c r="G749" s="1">
        <v>0</v>
      </c>
      <c r="J749" s="1">
        <v>0</v>
      </c>
      <c r="K749" s="1" t="s">
        <v>24</v>
      </c>
      <c r="M749" s="1" t="s">
        <v>28</v>
      </c>
      <c r="N749" s="1">
        <v>0</v>
      </c>
      <c r="O749" s="1" t="s">
        <v>277</v>
      </c>
      <c r="P749" s="1">
        <v>44887</v>
      </c>
      <c r="Q749" s="1">
        <v>0.46373842592593001</v>
      </c>
      <c r="R749" s="1" t="s">
        <v>311</v>
      </c>
      <c r="S749" s="1" t="s">
        <v>310</v>
      </c>
      <c r="W749" s="1" t="s">
        <v>258</v>
      </c>
      <c r="Y749" s="1" t="s">
        <v>32</v>
      </c>
      <c r="Z749" s="1" t="s">
        <v>23</v>
      </c>
    </row>
    <row r="750" spans="1:26" x14ac:dyDescent="0.35">
      <c r="A750" s="1">
        <v>4009745</v>
      </c>
      <c r="B750" s="1" t="s">
        <v>31</v>
      </c>
      <c r="C750" s="1">
        <v>3300</v>
      </c>
      <c r="D750" s="1" t="s">
        <v>30</v>
      </c>
      <c r="E750" s="1">
        <v>301</v>
      </c>
      <c r="F750" s="1">
        <v>0</v>
      </c>
      <c r="G750" s="1">
        <v>400</v>
      </c>
      <c r="H750" s="1" t="s">
        <v>29</v>
      </c>
      <c r="I750" s="1">
        <v>20</v>
      </c>
      <c r="J750" s="1">
        <v>200</v>
      </c>
      <c r="M750" s="1" t="s">
        <v>28</v>
      </c>
      <c r="N750" s="1">
        <v>0</v>
      </c>
      <c r="O750" s="1" t="s">
        <v>166</v>
      </c>
      <c r="P750" s="1">
        <v>45868</v>
      </c>
      <c r="Q750" s="1">
        <v>0.55576388888888995</v>
      </c>
      <c r="R750" s="1" t="s">
        <v>309</v>
      </c>
      <c r="S750" s="1" t="s">
        <v>308</v>
      </c>
      <c r="U750" s="1" t="s">
        <v>24</v>
      </c>
      <c r="V750" s="1">
        <v>1</v>
      </c>
      <c r="W750" s="1" t="s">
        <v>258</v>
      </c>
      <c r="Y750" s="1" t="s">
        <v>32</v>
      </c>
      <c r="Z750" s="1" t="s">
        <v>23</v>
      </c>
    </row>
    <row r="751" spans="1:26" x14ac:dyDescent="0.35">
      <c r="A751" s="1">
        <v>4009893</v>
      </c>
      <c r="B751" s="1" t="s">
        <v>31</v>
      </c>
      <c r="C751" s="1">
        <v>3300</v>
      </c>
      <c r="D751" s="1" t="s">
        <v>41</v>
      </c>
      <c r="E751" s="1">
        <v>301</v>
      </c>
      <c r="F751" s="1">
        <v>0</v>
      </c>
      <c r="G751" s="1">
        <v>0</v>
      </c>
      <c r="J751" s="1">
        <v>0</v>
      </c>
      <c r="K751" s="1" t="s">
        <v>24</v>
      </c>
      <c r="M751" s="1" t="s">
        <v>28</v>
      </c>
      <c r="N751" s="1">
        <v>0</v>
      </c>
      <c r="O751" s="1" t="s">
        <v>277</v>
      </c>
      <c r="P751" s="1">
        <v>44986</v>
      </c>
      <c r="Q751" s="1">
        <v>0.33666666666667</v>
      </c>
      <c r="R751" s="1" t="s">
        <v>307</v>
      </c>
      <c r="S751" s="1" t="s">
        <v>306</v>
      </c>
      <c r="W751" s="1" t="s">
        <v>258</v>
      </c>
      <c r="Y751" s="1" t="s">
        <v>32</v>
      </c>
      <c r="Z751" s="1" t="s">
        <v>23</v>
      </c>
    </row>
    <row r="752" spans="1:26" x14ac:dyDescent="0.35">
      <c r="A752" s="1">
        <v>4009895</v>
      </c>
      <c r="B752" s="1" t="s">
        <v>31</v>
      </c>
      <c r="C752" s="1">
        <v>3300</v>
      </c>
      <c r="D752" s="1" t="s">
        <v>30</v>
      </c>
      <c r="E752" s="1">
        <v>301</v>
      </c>
      <c r="F752" s="1">
        <v>0</v>
      </c>
      <c r="G752" s="1">
        <v>100</v>
      </c>
      <c r="H752" s="1" t="s">
        <v>29</v>
      </c>
      <c r="I752" s="1">
        <v>20</v>
      </c>
      <c r="J752" s="1">
        <v>50</v>
      </c>
      <c r="M752" s="1" t="s">
        <v>28</v>
      </c>
      <c r="N752" s="1">
        <v>0</v>
      </c>
      <c r="O752" s="1" t="s">
        <v>277</v>
      </c>
      <c r="P752" s="1">
        <v>44938</v>
      </c>
      <c r="Q752" s="1">
        <v>0.38190972222222003</v>
      </c>
      <c r="R752" s="1" t="s">
        <v>305</v>
      </c>
      <c r="S752" s="1" t="s">
        <v>304</v>
      </c>
      <c r="U752" s="1" t="s">
        <v>24</v>
      </c>
      <c r="V752" s="1">
        <v>1</v>
      </c>
      <c r="W752" s="1" t="s">
        <v>258</v>
      </c>
      <c r="Y752" s="1" t="s">
        <v>32</v>
      </c>
      <c r="Z752" s="1" t="s">
        <v>23</v>
      </c>
    </row>
    <row r="753" spans="1:26" x14ac:dyDescent="0.35">
      <c r="A753" s="1">
        <v>4009896</v>
      </c>
      <c r="B753" s="1" t="s">
        <v>31</v>
      </c>
      <c r="C753" s="1">
        <v>3300</v>
      </c>
      <c r="D753" s="1" t="s">
        <v>41</v>
      </c>
      <c r="E753" s="1">
        <v>301</v>
      </c>
      <c r="F753" s="1">
        <v>0</v>
      </c>
      <c r="G753" s="1">
        <v>100</v>
      </c>
      <c r="H753" s="1" t="s">
        <v>29</v>
      </c>
      <c r="I753" s="1">
        <v>20</v>
      </c>
      <c r="J753" s="1">
        <v>50</v>
      </c>
      <c r="M753" s="1" t="s">
        <v>28</v>
      </c>
      <c r="N753" s="1">
        <v>0</v>
      </c>
      <c r="O753" s="1" t="s">
        <v>56</v>
      </c>
      <c r="P753" s="1">
        <v>45874</v>
      </c>
      <c r="Q753" s="1">
        <v>0.33089120370370001</v>
      </c>
      <c r="R753" s="1" t="s">
        <v>303</v>
      </c>
      <c r="S753" s="1" t="s">
        <v>302</v>
      </c>
      <c r="U753" s="1" t="s">
        <v>24</v>
      </c>
      <c r="V753" s="1">
        <v>1</v>
      </c>
      <c r="W753" s="1" t="s">
        <v>258</v>
      </c>
      <c r="Y753" s="1" t="s">
        <v>32</v>
      </c>
      <c r="Z753" s="1" t="s">
        <v>23</v>
      </c>
    </row>
    <row r="754" spans="1:26" x14ac:dyDescent="0.35">
      <c r="A754" s="1">
        <v>4009898</v>
      </c>
      <c r="B754" s="1" t="s">
        <v>31</v>
      </c>
      <c r="C754" s="1">
        <v>3300</v>
      </c>
      <c r="D754" s="1" t="s">
        <v>30</v>
      </c>
      <c r="E754" s="1">
        <v>301</v>
      </c>
      <c r="F754" s="1">
        <v>0</v>
      </c>
      <c r="G754" s="1">
        <v>200</v>
      </c>
      <c r="H754" s="1" t="s">
        <v>29</v>
      </c>
      <c r="I754" s="1">
        <v>20</v>
      </c>
      <c r="J754" s="1">
        <v>100</v>
      </c>
      <c r="M754" s="1" t="s">
        <v>28</v>
      </c>
      <c r="N754" s="1">
        <v>0</v>
      </c>
      <c r="O754" s="1" t="s">
        <v>277</v>
      </c>
      <c r="P754" s="1">
        <v>44932</v>
      </c>
      <c r="Q754" s="1">
        <v>0.52304398148148001</v>
      </c>
      <c r="R754" s="1" t="s">
        <v>301</v>
      </c>
      <c r="S754" s="1" t="s">
        <v>300</v>
      </c>
      <c r="U754" s="1" t="s">
        <v>24</v>
      </c>
      <c r="V754" s="1">
        <v>1</v>
      </c>
      <c r="W754" s="1" t="s">
        <v>258</v>
      </c>
      <c r="Y754" s="1" t="s">
        <v>32</v>
      </c>
      <c r="Z754" s="1" t="s">
        <v>23</v>
      </c>
    </row>
    <row r="755" spans="1:26" x14ac:dyDescent="0.35">
      <c r="A755" s="1">
        <v>4009899</v>
      </c>
      <c r="B755" s="1" t="s">
        <v>31</v>
      </c>
      <c r="C755" s="1">
        <v>3300</v>
      </c>
      <c r="D755" s="1" t="s">
        <v>30</v>
      </c>
      <c r="E755" s="1">
        <v>301</v>
      </c>
      <c r="F755" s="1">
        <v>0</v>
      </c>
      <c r="G755" s="1">
        <v>200</v>
      </c>
      <c r="H755" s="1" t="s">
        <v>29</v>
      </c>
      <c r="I755" s="1">
        <v>20</v>
      </c>
      <c r="J755" s="1">
        <v>100</v>
      </c>
      <c r="M755" s="1" t="s">
        <v>28</v>
      </c>
      <c r="N755" s="1">
        <v>0</v>
      </c>
      <c r="O755" s="1" t="s">
        <v>277</v>
      </c>
      <c r="P755" s="1">
        <v>44931</v>
      </c>
      <c r="Q755" s="1">
        <v>0.43912037037036999</v>
      </c>
      <c r="R755" s="1" t="s">
        <v>299</v>
      </c>
      <c r="S755" s="1" t="s">
        <v>298</v>
      </c>
      <c r="U755" s="1" t="s">
        <v>24</v>
      </c>
      <c r="V755" s="1">
        <v>1</v>
      </c>
      <c r="W755" s="1" t="s">
        <v>289</v>
      </c>
      <c r="Y755" s="1" t="s">
        <v>32</v>
      </c>
      <c r="Z755" s="1" t="s">
        <v>23</v>
      </c>
    </row>
    <row r="756" spans="1:26" x14ac:dyDescent="0.35">
      <c r="A756" s="1">
        <v>4009908</v>
      </c>
      <c r="B756" s="1" t="s">
        <v>31</v>
      </c>
      <c r="C756" s="1">
        <v>3300</v>
      </c>
      <c r="D756" s="1" t="s">
        <v>41</v>
      </c>
      <c r="E756" s="1">
        <v>301</v>
      </c>
      <c r="F756" s="1">
        <v>0</v>
      </c>
      <c r="G756" s="1">
        <v>0</v>
      </c>
      <c r="J756" s="1">
        <v>0</v>
      </c>
      <c r="M756" s="1" t="s">
        <v>28</v>
      </c>
      <c r="N756" s="1">
        <v>0</v>
      </c>
      <c r="O756" s="1" t="s">
        <v>282</v>
      </c>
      <c r="P756" s="1">
        <v>44950</v>
      </c>
      <c r="Q756" s="1">
        <v>0.44681712962962999</v>
      </c>
      <c r="R756" s="1" t="s">
        <v>297</v>
      </c>
      <c r="S756" s="1" t="s">
        <v>296</v>
      </c>
      <c r="U756" s="1" t="s">
        <v>24</v>
      </c>
      <c r="V756" s="1">
        <v>1</v>
      </c>
      <c r="W756" s="1" t="s">
        <v>258</v>
      </c>
      <c r="Y756" s="1" t="s">
        <v>32</v>
      </c>
      <c r="Z756" s="1" t="s">
        <v>23</v>
      </c>
    </row>
    <row r="757" spans="1:26" x14ac:dyDescent="0.35">
      <c r="A757" s="1">
        <v>4009909</v>
      </c>
      <c r="B757" s="1" t="s">
        <v>31</v>
      </c>
      <c r="C757" s="1">
        <v>3300</v>
      </c>
      <c r="D757" s="1" t="s">
        <v>30</v>
      </c>
      <c r="E757" s="1">
        <v>301</v>
      </c>
      <c r="F757" s="1">
        <v>0</v>
      </c>
      <c r="G757" s="1">
        <v>250</v>
      </c>
      <c r="H757" s="1" t="s">
        <v>29</v>
      </c>
      <c r="I757" s="1">
        <v>20</v>
      </c>
      <c r="J757" s="1">
        <v>96</v>
      </c>
      <c r="M757" s="1" t="s">
        <v>28</v>
      </c>
      <c r="N757" s="1">
        <v>0</v>
      </c>
      <c r="O757" s="1" t="s">
        <v>27</v>
      </c>
      <c r="P757" s="1">
        <v>46049</v>
      </c>
      <c r="Q757" s="1">
        <v>0.44591435185185002</v>
      </c>
      <c r="R757" s="1" t="s">
        <v>295</v>
      </c>
      <c r="S757" s="1" t="s">
        <v>294</v>
      </c>
      <c r="U757" s="1" t="s">
        <v>24</v>
      </c>
      <c r="V757" s="1">
        <v>1</v>
      </c>
      <c r="W757" s="1" t="s">
        <v>289</v>
      </c>
      <c r="X757" s="1" t="s">
        <v>141</v>
      </c>
      <c r="Y757" s="1" t="s">
        <v>32</v>
      </c>
      <c r="Z757" s="1" t="s">
        <v>32</v>
      </c>
    </row>
    <row r="758" spans="1:26" x14ac:dyDescent="0.35">
      <c r="A758" s="1">
        <v>4009910</v>
      </c>
      <c r="B758" s="1" t="s">
        <v>31</v>
      </c>
      <c r="C758" s="1">
        <v>3300</v>
      </c>
      <c r="D758" s="1" t="s">
        <v>30</v>
      </c>
      <c r="E758" s="1">
        <v>301</v>
      </c>
      <c r="F758" s="1">
        <v>0</v>
      </c>
      <c r="G758" s="1">
        <v>300</v>
      </c>
      <c r="H758" s="1" t="s">
        <v>29</v>
      </c>
      <c r="I758" s="1">
        <v>20</v>
      </c>
      <c r="J758" s="1">
        <v>100</v>
      </c>
      <c r="M758" s="1" t="s">
        <v>28</v>
      </c>
      <c r="N758" s="1">
        <v>0</v>
      </c>
      <c r="O758" s="1" t="s">
        <v>277</v>
      </c>
      <c r="P758" s="1">
        <v>44938</v>
      </c>
      <c r="Q758" s="1">
        <v>0.37258101851851999</v>
      </c>
      <c r="R758" s="1" t="s">
        <v>293</v>
      </c>
      <c r="S758" s="1" t="s">
        <v>292</v>
      </c>
      <c r="U758" s="1" t="s">
        <v>24</v>
      </c>
      <c r="V758" s="1">
        <v>1</v>
      </c>
      <c r="W758" s="1" t="s">
        <v>258</v>
      </c>
      <c r="Y758" s="1" t="s">
        <v>32</v>
      </c>
      <c r="Z758" s="1" t="s">
        <v>23</v>
      </c>
    </row>
    <row r="759" spans="1:26" x14ac:dyDescent="0.35">
      <c r="A759" s="1">
        <v>4009911</v>
      </c>
      <c r="B759" s="1" t="s">
        <v>31</v>
      </c>
      <c r="C759" s="1">
        <v>3300</v>
      </c>
      <c r="D759" s="1" t="s">
        <v>30</v>
      </c>
      <c r="E759" s="1">
        <v>301</v>
      </c>
      <c r="F759" s="1">
        <v>0</v>
      </c>
      <c r="G759" s="1">
        <v>50</v>
      </c>
      <c r="H759" s="1" t="s">
        <v>29</v>
      </c>
      <c r="I759" s="1" t="s">
        <v>71</v>
      </c>
      <c r="J759" s="1">
        <v>100</v>
      </c>
      <c r="M759" s="1" t="s">
        <v>28</v>
      </c>
      <c r="N759" s="1">
        <v>0</v>
      </c>
      <c r="O759" s="1" t="s">
        <v>27</v>
      </c>
      <c r="P759" s="1">
        <v>45924</v>
      </c>
      <c r="Q759" s="1">
        <v>0.37634259259259001</v>
      </c>
      <c r="R759" s="1" t="s">
        <v>291</v>
      </c>
      <c r="S759" s="1" t="s">
        <v>290</v>
      </c>
      <c r="U759" s="1" t="s">
        <v>24</v>
      </c>
      <c r="V759" s="1">
        <v>1</v>
      </c>
      <c r="W759" s="1" t="s">
        <v>289</v>
      </c>
      <c r="Y759" s="1" t="s">
        <v>32</v>
      </c>
      <c r="Z759" s="1" t="s">
        <v>23</v>
      </c>
    </row>
    <row r="760" spans="1:26" x14ac:dyDescent="0.35">
      <c r="A760" s="1">
        <v>4009912</v>
      </c>
      <c r="B760" s="1" t="s">
        <v>31</v>
      </c>
      <c r="C760" s="1">
        <v>3300</v>
      </c>
      <c r="D760" s="1" t="s">
        <v>30</v>
      </c>
      <c r="E760" s="1">
        <v>301</v>
      </c>
      <c r="F760" s="1">
        <v>0</v>
      </c>
      <c r="G760" s="1">
        <v>400</v>
      </c>
      <c r="H760" s="1" t="s">
        <v>29</v>
      </c>
      <c r="I760" s="1" t="s">
        <v>71</v>
      </c>
      <c r="J760" s="1">
        <v>100</v>
      </c>
      <c r="M760" s="1" t="s">
        <v>28</v>
      </c>
      <c r="N760" s="1">
        <v>0</v>
      </c>
      <c r="O760" s="1" t="s">
        <v>132</v>
      </c>
      <c r="P760" s="1">
        <v>46036</v>
      </c>
      <c r="Q760" s="1">
        <v>0.42038194444443999</v>
      </c>
      <c r="R760" s="1" t="s">
        <v>288</v>
      </c>
      <c r="S760" s="1" t="s">
        <v>287</v>
      </c>
      <c r="U760" s="1" t="s">
        <v>24</v>
      </c>
      <c r="V760" s="1">
        <v>1</v>
      </c>
      <c r="W760" s="1" t="s">
        <v>258</v>
      </c>
      <c r="Y760" s="1" t="s">
        <v>32</v>
      </c>
      <c r="Z760" s="1" t="s">
        <v>23</v>
      </c>
    </row>
    <row r="761" spans="1:26" x14ac:dyDescent="0.35">
      <c r="A761" s="1">
        <v>4009913</v>
      </c>
      <c r="B761" s="1" t="s">
        <v>31</v>
      </c>
      <c r="C761" s="1">
        <v>3300</v>
      </c>
      <c r="D761" s="1" t="s">
        <v>30</v>
      </c>
      <c r="E761" s="1">
        <v>301</v>
      </c>
      <c r="F761" s="1">
        <v>0</v>
      </c>
      <c r="G761" s="1">
        <v>400</v>
      </c>
      <c r="H761" s="1" t="s">
        <v>29</v>
      </c>
      <c r="I761" s="1" t="s">
        <v>71</v>
      </c>
      <c r="J761" s="1">
        <v>100</v>
      </c>
      <c r="M761" s="1" t="s">
        <v>28</v>
      </c>
      <c r="N761" s="1">
        <v>0</v>
      </c>
      <c r="O761" s="1" t="s">
        <v>132</v>
      </c>
      <c r="P761" s="1">
        <v>46036</v>
      </c>
      <c r="Q761" s="1">
        <v>0.42038194444443999</v>
      </c>
      <c r="R761" s="1" t="s">
        <v>286</v>
      </c>
      <c r="S761" s="1" t="s">
        <v>285</v>
      </c>
      <c r="U761" s="1" t="s">
        <v>24</v>
      </c>
      <c r="V761" s="1">
        <v>1</v>
      </c>
      <c r="W761" s="1" t="s">
        <v>258</v>
      </c>
      <c r="Y761" s="1" t="s">
        <v>32</v>
      </c>
      <c r="Z761" s="1" t="s">
        <v>23</v>
      </c>
    </row>
    <row r="762" spans="1:26" x14ac:dyDescent="0.35">
      <c r="A762" s="1">
        <v>4009914</v>
      </c>
      <c r="B762" s="1" t="s">
        <v>31</v>
      </c>
      <c r="C762" s="1">
        <v>3300</v>
      </c>
      <c r="D762" s="1" t="s">
        <v>41</v>
      </c>
      <c r="G762" s="1">
        <v>0</v>
      </c>
      <c r="J762" s="1">
        <v>0</v>
      </c>
      <c r="K762" s="1" t="s">
        <v>24</v>
      </c>
      <c r="M762" s="1" t="s">
        <v>28</v>
      </c>
      <c r="N762" s="1">
        <v>0</v>
      </c>
      <c r="O762" s="1" t="s">
        <v>27</v>
      </c>
      <c r="P762" s="1">
        <v>45237</v>
      </c>
      <c r="Q762" s="1">
        <v>0.32885416666667</v>
      </c>
      <c r="R762" s="1" t="s">
        <v>284</v>
      </c>
      <c r="S762" s="1" t="s">
        <v>283</v>
      </c>
      <c r="W762" s="1" t="s">
        <v>258</v>
      </c>
      <c r="X762" s="1" t="s">
        <v>24</v>
      </c>
      <c r="Y762" s="1" t="s">
        <v>32</v>
      </c>
      <c r="Z762" s="1" t="s">
        <v>32</v>
      </c>
    </row>
    <row r="763" spans="1:26" x14ac:dyDescent="0.35">
      <c r="A763" s="1">
        <v>4009916</v>
      </c>
      <c r="B763" s="1" t="s">
        <v>31</v>
      </c>
      <c r="C763" s="1">
        <v>3300</v>
      </c>
      <c r="D763" s="1" t="s">
        <v>41</v>
      </c>
      <c r="E763" s="1">
        <v>301</v>
      </c>
      <c r="F763" s="1">
        <v>0</v>
      </c>
      <c r="G763" s="1">
        <v>12</v>
      </c>
      <c r="H763" s="1" t="s">
        <v>29</v>
      </c>
      <c r="I763" s="1">
        <v>20</v>
      </c>
      <c r="J763" s="1">
        <v>6</v>
      </c>
      <c r="K763" s="1" t="s">
        <v>24</v>
      </c>
      <c r="M763" s="1" t="s">
        <v>28</v>
      </c>
      <c r="N763" s="1">
        <v>0</v>
      </c>
      <c r="O763" s="1" t="s">
        <v>282</v>
      </c>
      <c r="P763" s="1">
        <v>45127</v>
      </c>
      <c r="Q763" s="1">
        <v>0.31380787037037</v>
      </c>
      <c r="R763" s="1" t="s">
        <v>281</v>
      </c>
      <c r="S763" s="1" t="s">
        <v>280</v>
      </c>
      <c r="W763" s="1" t="s">
        <v>258</v>
      </c>
      <c r="Y763" s="1" t="s">
        <v>32</v>
      </c>
      <c r="Z763" s="1" t="s">
        <v>23</v>
      </c>
    </row>
    <row r="764" spans="1:26" x14ac:dyDescent="0.35">
      <c r="A764" s="1">
        <v>4015482</v>
      </c>
      <c r="B764" s="1" t="s">
        <v>31</v>
      </c>
      <c r="C764" s="1">
        <v>3300</v>
      </c>
      <c r="D764" s="1" t="s">
        <v>30</v>
      </c>
      <c r="E764" s="1">
        <v>301</v>
      </c>
      <c r="F764" s="1">
        <v>0</v>
      </c>
      <c r="G764" s="1">
        <v>400</v>
      </c>
      <c r="H764" s="1" t="s">
        <v>29</v>
      </c>
      <c r="I764" s="1">
        <v>20</v>
      </c>
      <c r="J764" s="1">
        <v>200</v>
      </c>
      <c r="M764" s="1" t="s">
        <v>28</v>
      </c>
      <c r="N764" s="1">
        <v>0</v>
      </c>
      <c r="O764" s="1" t="s">
        <v>277</v>
      </c>
      <c r="P764" s="1">
        <v>44932</v>
      </c>
      <c r="Q764" s="1">
        <v>0.40312500000000001</v>
      </c>
      <c r="R764" s="1" t="s">
        <v>279</v>
      </c>
      <c r="S764" s="1" t="s">
        <v>278</v>
      </c>
      <c r="U764" s="1" t="s">
        <v>24</v>
      </c>
      <c r="V764" s="1">
        <v>1</v>
      </c>
      <c r="W764" s="1" t="s">
        <v>258</v>
      </c>
      <c r="Y764" s="1" t="s">
        <v>32</v>
      </c>
      <c r="Z764" s="1" t="s">
        <v>23</v>
      </c>
    </row>
    <row r="765" spans="1:26" x14ac:dyDescent="0.35">
      <c r="A765" s="1">
        <v>4015483</v>
      </c>
      <c r="B765" s="1" t="s">
        <v>31</v>
      </c>
      <c r="C765" s="1">
        <v>3300</v>
      </c>
      <c r="D765" s="1" t="s">
        <v>30</v>
      </c>
      <c r="E765" s="1">
        <v>301</v>
      </c>
      <c r="F765" s="1">
        <v>0</v>
      </c>
      <c r="G765" s="1">
        <v>400</v>
      </c>
      <c r="H765" s="1" t="s">
        <v>29</v>
      </c>
      <c r="I765" s="1">
        <v>20</v>
      </c>
      <c r="J765" s="1">
        <v>200</v>
      </c>
      <c r="M765" s="1" t="s">
        <v>28</v>
      </c>
      <c r="N765" s="1">
        <v>0</v>
      </c>
      <c r="O765" s="1" t="s">
        <v>277</v>
      </c>
      <c r="P765" s="1">
        <v>44932</v>
      </c>
      <c r="Q765" s="1">
        <v>0.40612268518519001</v>
      </c>
      <c r="R765" s="1" t="s">
        <v>276</v>
      </c>
      <c r="S765" s="1" t="s">
        <v>275</v>
      </c>
      <c r="U765" s="1" t="s">
        <v>24</v>
      </c>
      <c r="V765" s="1">
        <v>1</v>
      </c>
      <c r="W765" s="1" t="s">
        <v>258</v>
      </c>
      <c r="Y765" s="1" t="s">
        <v>32</v>
      </c>
      <c r="Z765" s="1" t="s">
        <v>23</v>
      </c>
    </row>
    <row r="766" spans="1:26" x14ac:dyDescent="0.35">
      <c r="A766" s="1">
        <v>4024878</v>
      </c>
      <c r="B766" s="1" t="s">
        <v>31</v>
      </c>
      <c r="C766" s="1">
        <v>3300</v>
      </c>
      <c r="D766" s="1" t="s">
        <v>41</v>
      </c>
      <c r="E766" s="1">
        <v>301</v>
      </c>
      <c r="F766" s="1">
        <v>0</v>
      </c>
      <c r="G766" s="1">
        <v>75</v>
      </c>
      <c r="H766" s="1" t="s">
        <v>29</v>
      </c>
      <c r="I766" s="1" t="s">
        <v>274</v>
      </c>
      <c r="J766" s="1">
        <v>50</v>
      </c>
      <c r="K766" s="1" t="s">
        <v>24</v>
      </c>
      <c r="M766" s="1" t="s">
        <v>28</v>
      </c>
      <c r="N766" s="1">
        <v>0</v>
      </c>
      <c r="O766" s="1" t="s">
        <v>27</v>
      </c>
      <c r="P766" s="1">
        <v>45572</v>
      </c>
      <c r="Q766" s="1">
        <v>0.32694444444443999</v>
      </c>
      <c r="R766" s="1" t="s">
        <v>273</v>
      </c>
      <c r="S766" s="1" t="s">
        <v>272</v>
      </c>
      <c r="W766" s="1" t="s">
        <v>271</v>
      </c>
      <c r="Y766" s="1" t="s">
        <v>32</v>
      </c>
      <c r="Z766" s="1" t="s">
        <v>23</v>
      </c>
    </row>
    <row r="767" spans="1:26" x14ac:dyDescent="0.35">
      <c r="A767" s="1">
        <v>4030760</v>
      </c>
      <c r="B767" s="1" t="s">
        <v>31</v>
      </c>
      <c r="C767" s="1">
        <v>3300</v>
      </c>
      <c r="D767" s="1" t="s">
        <v>30</v>
      </c>
      <c r="E767" s="1">
        <v>301</v>
      </c>
      <c r="F767" s="1">
        <v>0</v>
      </c>
      <c r="G767" s="1">
        <v>90</v>
      </c>
      <c r="H767" s="1" t="s">
        <v>29</v>
      </c>
      <c r="I767" s="1">
        <v>20</v>
      </c>
      <c r="J767" s="1">
        <v>72</v>
      </c>
      <c r="M767" s="1" t="s">
        <v>28</v>
      </c>
      <c r="N767" s="1">
        <v>0</v>
      </c>
      <c r="O767" s="1" t="s">
        <v>27</v>
      </c>
      <c r="P767" s="1">
        <v>45625</v>
      </c>
      <c r="Q767" s="1">
        <v>0.32896990740741</v>
      </c>
      <c r="R767" s="1" t="s">
        <v>270</v>
      </c>
      <c r="S767" s="1" t="s">
        <v>269</v>
      </c>
      <c r="U767" s="1" t="s">
        <v>24</v>
      </c>
      <c r="V767" s="1">
        <v>1</v>
      </c>
      <c r="X767" s="1" t="s">
        <v>24</v>
      </c>
      <c r="Y767" s="1" t="s">
        <v>23</v>
      </c>
      <c r="Z767" s="1" t="s">
        <v>32</v>
      </c>
    </row>
    <row r="768" spans="1:26" x14ac:dyDescent="0.35">
      <c r="A768" s="1">
        <v>4032343</v>
      </c>
      <c r="B768" s="1" t="s">
        <v>31</v>
      </c>
      <c r="C768" s="1">
        <v>3300</v>
      </c>
      <c r="D768" s="1" t="s">
        <v>30</v>
      </c>
      <c r="E768" s="1">
        <v>301</v>
      </c>
      <c r="F768" s="1">
        <v>0</v>
      </c>
      <c r="G768" s="1">
        <v>60</v>
      </c>
      <c r="H768" s="1" t="s">
        <v>29</v>
      </c>
      <c r="I768" s="1">
        <v>20</v>
      </c>
      <c r="J768" s="1">
        <v>60</v>
      </c>
      <c r="M768" s="1" t="s">
        <v>28</v>
      </c>
      <c r="N768" s="1">
        <v>0</v>
      </c>
      <c r="O768" s="1" t="s">
        <v>236</v>
      </c>
      <c r="P768" s="1">
        <v>45622</v>
      </c>
      <c r="Q768" s="1">
        <v>0.52290509259258999</v>
      </c>
      <c r="R768" s="1" t="s">
        <v>268</v>
      </c>
      <c r="S768" s="1" t="s">
        <v>267</v>
      </c>
      <c r="U768" s="1" t="s">
        <v>24</v>
      </c>
      <c r="V768" s="1">
        <v>1</v>
      </c>
      <c r="W768" s="1" t="s">
        <v>258</v>
      </c>
      <c r="Y768" s="1" t="s">
        <v>32</v>
      </c>
      <c r="Z768" s="1" t="s">
        <v>23</v>
      </c>
    </row>
    <row r="769" spans="1:26" x14ac:dyDescent="0.35">
      <c r="A769" s="1">
        <v>4032344</v>
      </c>
      <c r="B769" s="1" t="s">
        <v>31</v>
      </c>
      <c r="C769" s="1">
        <v>3300</v>
      </c>
      <c r="D769" s="1" t="s">
        <v>30</v>
      </c>
      <c r="E769" s="1">
        <v>301</v>
      </c>
      <c r="F769" s="1">
        <v>0</v>
      </c>
      <c r="G769" s="1">
        <v>10</v>
      </c>
      <c r="H769" s="1" t="s">
        <v>29</v>
      </c>
      <c r="I769" s="1">
        <v>20</v>
      </c>
      <c r="J769" s="1">
        <v>16</v>
      </c>
      <c r="M769" s="1" t="s">
        <v>28</v>
      </c>
      <c r="N769" s="1">
        <v>0</v>
      </c>
      <c r="O769" s="1" t="s">
        <v>27</v>
      </c>
      <c r="P769" s="1">
        <v>45117</v>
      </c>
      <c r="Q769" s="1">
        <v>0.53916666666667001</v>
      </c>
      <c r="R769" s="1" t="s">
        <v>266</v>
      </c>
      <c r="S769" s="1" t="s">
        <v>265</v>
      </c>
      <c r="U769" s="1" t="s">
        <v>24</v>
      </c>
      <c r="V769" s="1">
        <v>1</v>
      </c>
      <c r="W769" s="1" t="s">
        <v>258</v>
      </c>
      <c r="Y769" s="1" t="s">
        <v>32</v>
      </c>
      <c r="Z769" s="1" t="s">
        <v>23</v>
      </c>
    </row>
    <row r="770" spans="1:26" x14ac:dyDescent="0.35">
      <c r="A770" s="1">
        <v>4033645</v>
      </c>
      <c r="B770" s="1" t="s">
        <v>31</v>
      </c>
      <c r="C770" s="1">
        <v>3300</v>
      </c>
      <c r="D770" s="1" t="s">
        <v>30</v>
      </c>
      <c r="E770" s="1">
        <v>301</v>
      </c>
      <c r="F770" s="1">
        <v>0</v>
      </c>
      <c r="G770" s="1">
        <v>100</v>
      </c>
      <c r="H770" s="1" t="s">
        <v>29</v>
      </c>
      <c r="I770" s="1">
        <v>20</v>
      </c>
      <c r="J770" s="1">
        <v>60</v>
      </c>
      <c r="M770" s="1" t="s">
        <v>28</v>
      </c>
      <c r="N770" s="1">
        <v>0</v>
      </c>
      <c r="O770" s="1" t="s">
        <v>27</v>
      </c>
      <c r="P770" s="1">
        <v>45455</v>
      </c>
      <c r="Q770" s="1">
        <v>0.48356481481481001</v>
      </c>
      <c r="R770" s="1" t="s">
        <v>264</v>
      </c>
      <c r="S770" s="1" t="s">
        <v>263</v>
      </c>
      <c r="U770" s="1" t="s">
        <v>24</v>
      </c>
      <c r="V770" s="1">
        <v>1</v>
      </c>
      <c r="X770" s="1" t="s">
        <v>24</v>
      </c>
      <c r="Y770" s="1" t="s">
        <v>23</v>
      </c>
      <c r="Z770" s="1" t="s">
        <v>32</v>
      </c>
    </row>
    <row r="771" spans="1:26" x14ac:dyDescent="0.35">
      <c r="A771" s="1">
        <v>4033646</v>
      </c>
      <c r="B771" s="1" t="s">
        <v>31</v>
      </c>
      <c r="C771" s="1">
        <v>3300</v>
      </c>
      <c r="D771" s="1" t="s">
        <v>30</v>
      </c>
      <c r="E771" s="1">
        <v>301</v>
      </c>
      <c r="F771" s="1">
        <v>0</v>
      </c>
      <c r="G771" s="1">
        <v>120</v>
      </c>
      <c r="H771" s="1" t="s">
        <v>29</v>
      </c>
      <c r="I771" s="1">
        <v>20</v>
      </c>
      <c r="J771" s="1">
        <v>60</v>
      </c>
      <c r="M771" s="1" t="s">
        <v>28</v>
      </c>
      <c r="N771" s="1">
        <v>0</v>
      </c>
      <c r="O771" s="1" t="s">
        <v>27</v>
      </c>
      <c r="P771" s="1">
        <v>45518</v>
      </c>
      <c r="Q771" s="1">
        <v>0.44046296296296</v>
      </c>
      <c r="R771" s="1" t="s">
        <v>262</v>
      </c>
      <c r="S771" s="1" t="s">
        <v>261</v>
      </c>
      <c r="U771" s="1" t="s">
        <v>24</v>
      </c>
      <c r="V771" s="1">
        <v>1</v>
      </c>
      <c r="X771" s="1" t="s">
        <v>24</v>
      </c>
      <c r="Y771" s="1" t="s">
        <v>23</v>
      </c>
      <c r="Z771" s="1" t="s">
        <v>32</v>
      </c>
    </row>
    <row r="772" spans="1:26" x14ac:dyDescent="0.35">
      <c r="A772" s="1">
        <v>4033674</v>
      </c>
      <c r="B772" s="1" t="s">
        <v>31</v>
      </c>
      <c r="C772" s="1">
        <v>3300</v>
      </c>
      <c r="D772" s="1" t="s">
        <v>30</v>
      </c>
      <c r="E772" s="1">
        <v>301</v>
      </c>
      <c r="F772" s="1">
        <v>0</v>
      </c>
      <c r="G772" s="1">
        <v>240</v>
      </c>
      <c r="H772" s="1" t="s">
        <v>29</v>
      </c>
      <c r="I772" s="1">
        <v>20</v>
      </c>
      <c r="J772" s="1">
        <v>60</v>
      </c>
      <c r="M772" s="1" t="s">
        <v>28</v>
      </c>
      <c r="N772" s="1">
        <v>0</v>
      </c>
      <c r="O772" s="1" t="s">
        <v>27</v>
      </c>
      <c r="P772" s="1">
        <v>45478</v>
      </c>
      <c r="Q772" s="1">
        <v>0.51322916666666996</v>
      </c>
      <c r="R772" s="1" t="s">
        <v>260</v>
      </c>
      <c r="S772" s="1" t="s">
        <v>259</v>
      </c>
      <c r="U772" s="1" t="s">
        <v>24</v>
      </c>
      <c r="V772" s="1">
        <v>1</v>
      </c>
      <c r="W772" s="1" t="s">
        <v>258</v>
      </c>
      <c r="Y772" s="1" t="s">
        <v>32</v>
      </c>
      <c r="Z772" s="1" t="s">
        <v>23</v>
      </c>
    </row>
    <row r="773" spans="1:26" x14ac:dyDescent="0.35">
      <c r="A773" s="1">
        <v>4033704</v>
      </c>
      <c r="B773" s="1" t="s">
        <v>31</v>
      </c>
      <c r="C773" s="1">
        <v>3300</v>
      </c>
      <c r="D773" s="1" t="s">
        <v>30</v>
      </c>
      <c r="E773" s="1">
        <v>301</v>
      </c>
      <c r="F773" s="1">
        <v>0</v>
      </c>
      <c r="G773" s="1">
        <v>20</v>
      </c>
      <c r="H773" s="1" t="s">
        <v>29</v>
      </c>
      <c r="I773" s="1">
        <v>20</v>
      </c>
      <c r="J773" s="1">
        <v>10</v>
      </c>
      <c r="M773" s="1" t="s">
        <v>28</v>
      </c>
      <c r="N773" s="1">
        <v>0</v>
      </c>
      <c r="O773" s="1" t="s">
        <v>27</v>
      </c>
      <c r="P773" s="1">
        <v>46043</v>
      </c>
      <c r="Q773" s="1">
        <v>0.28081018518519002</v>
      </c>
      <c r="R773" s="1" t="s">
        <v>257</v>
      </c>
      <c r="S773" s="1" t="s">
        <v>256</v>
      </c>
      <c r="U773" s="1" t="s">
        <v>24</v>
      </c>
      <c r="V773" s="1">
        <v>1</v>
      </c>
      <c r="Y773" s="1" t="s">
        <v>23</v>
      </c>
      <c r="Z773" s="1" t="s">
        <v>23</v>
      </c>
    </row>
    <row r="774" spans="1:26" x14ac:dyDescent="0.35">
      <c r="A774" s="1">
        <v>4033706</v>
      </c>
      <c r="B774" s="1" t="s">
        <v>31</v>
      </c>
      <c r="C774" s="1">
        <v>3300</v>
      </c>
      <c r="D774" s="1" t="s">
        <v>30</v>
      </c>
      <c r="E774" s="1">
        <v>301</v>
      </c>
      <c r="F774" s="1">
        <v>0</v>
      </c>
      <c r="G774" s="1">
        <v>40</v>
      </c>
      <c r="H774" s="1" t="s">
        <v>29</v>
      </c>
      <c r="I774" s="1">
        <v>20</v>
      </c>
      <c r="J774" s="1">
        <v>40</v>
      </c>
      <c r="M774" s="1" t="s">
        <v>28</v>
      </c>
      <c r="N774" s="1">
        <v>0</v>
      </c>
      <c r="O774" s="1" t="s">
        <v>166</v>
      </c>
      <c r="P774" s="1">
        <v>45883</v>
      </c>
      <c r="Q774" s="1">
        <v>0.43709490740741003</v>
      </c>
      <c r="R774" s="1" t="s">
        <v>255</v>
      </c>
      <c r="S774" s="1" t="s">
        <v>254</v>
      </c>
      <c r="U774" s="1" t="s">
        <v>24</v>
      </c>
      <c r="V774" s="1">
        <v>1</v>
      </c>
      <c r="Y774" s="1" t="s">
        <v>23</v>
      </c>
      <c r="Z774" s="1" t="s">
        <v>23</v>
      </c>
    </row>
    <row r="775" spans="1:26" x14ac:dyDescent="0.35">
      <c r="A775" s="1">
        <v>4035929</v>
      </c>
      <c r="B775" s="1" t="s">
        <v>31</v>
      </c>
      <c r="C775" s="1">
        <v>3300</v>
      </c>
      <c r="D775" s="1" t="s">
        <v>30</v>
      </c>
      <c r="E775" s="1">
        <v>301</v>
      </c>
      <c r="F775" s="1">
        <v>0</v>
      </c>
      <c r="G775" s="1">
        <v>50</v>
      </c>
      <c r="H775" s="1" t="s">
        <v>29</v>
      </c>
      <c r="I775" s="1">
        <v>20</v>
      </c>
      <c r="J775" s="1">
        <v>35</v>
      </c>
      <c r="M775" s="1" t="s">
        <v>28</v>
      </c>
      <c r="N775" s="1">
        <v>0</v>
      </c>
      <c r="O775" s="1" t="s">
        <v>27</v>
      </c>
      <c r="P775" s="1">
        <v>45468</v>
      </c>
      <c r="Q775" s="1">
        <v>0.57182870370369998</v>
      </c>
      <c r="R775" s="1" t="s">
        <v>253</v>
      </c>
      <c r="S775" s="1" t="s">
        <v>252</v>
      </c>
      <c r="U775" s="1" t="s">
        <v>24</v>
      </c>
      <c r="V775" s="1">
        <v>1</v>
      </c>
      <c r="X775" s="1" t="s">
        <v>24</v>
      </c>
      <c r="Y775" s="1" t="s">
        <v>23</v>
      </c>
      <c r="Z775" s="1" t="s">
        <v>32</v>
      </c>
    </row>
    <row r="776" spans="1:26" x14ac:dyDescent="0.35">
      <c r="A776" s="1">
        <v>4035930</v>
      </c>
      <c r="B776" s="1" t="s">
        <v>31</v>
      </c>
      <c r="C776" s="1">
        <v>3300</v>
      </c>
      <c r="D776" s="1" t="s">
        <v>30</v>
      </c>
      <c r="E776" s="1">
        <v>301</v>
      </c>
      <c r="F776" s="1">
        <v>0</v>
      </c>
      <c r="G776" s="1">
        <v>50</v>
      </c>
      <c r="H776" s="1" t="s">
        <v>29</v>
      </c>
      <c r="I776" s="1">
        <v>20</v>
      </c>
      <c r="J776" s="1">
        <v>30</v>
      </c>
      <c r="M776" s="1" t="s">
        <v>28</v>
      </c>
      <c r="N776" s="1">
        <v>0</v>
      </c>
      <c r="O776" s="1" t="s">
        <v>27</v>
      </c>
      <c r="P776" s="1">
        <v>45287</v>
      </c>
      <c r="Q776" s="1">
        <v>0.55756944444444001</v>
      </c>
      <c r="R776" s="1" t="s">
        <v>251</v>
      </c>
      <c r="S776" s="1" t="s">
        <v>250</v>
      </c>
      <c r="U776" s="1" t="s">
        <v>24</v>
      </c>
      <c r="V776" s="1">
        <v>1</v>
      </c>
      <c r="X776" s="1" t="s">
        <v>24</v>
      </c>
      <c r="Y776" s="1" t="s">
        <v>23</v>
      </c>
      <c r="Z776" s="1" t="s">
        <v>32</v>
      </c>
    </row>
    <row r="777" spans="1:26" x14ac:dyDescent="0.35">
      <c r="A777" s="1">
        <v>4035931</v>
      </c>
      <c r="B777" s="1" t="s">
        <v>31</v>
      </c>
      <c r="C777" s="1">
        <v>3300</v>
      </c>
      <c r="D777" s="1" t="s">
        <v>30</v>
      </c>
      <c r="E777" s="1">
        <v>301</v>
      </c>
      <c r="F777" s="1">
        <v>0</v>
      </c>
      <c r="G777" s="1">
        <v>50</v>
      </c>
      <c r="H777" s="1" t="s">
        <v>29</v>
      </c>
      <c r="I777" s="1" t="s">
        <v>71</v>
      </c>
      <c r="J777" s="1">
        <v>30</v>
      </c>
      <c r="M777" s="1" t="s">
        <v>28</v>
      </c>
      <c r="N777" s="1">
        <v>0</v>
      </c>
      <c r="O777" s="1" t="s">
        <v>132</v>
      </c>
      <c r="P777" s="1">
        <v>46036</v>
      </c>
      <c r="Q777" s="1">
        <v>0.42038194444443999</v>
      </c>
      <c r="R777" s="1" t="s">
        <v>249</v>
      </c>
      <c r="S777" s="1" t="s">
        <v>248</v>
      </c>
      <c r="U777" s="1" t="s">
        <v>24</v>
      </c>
      <c r="V777" s="1">
        <v>1</v>
      </c>
      <c r="X777" s="1" t="s">
        <v>24</v>
      </c>
      <c r="Y777" s="1" t="s">
        <v>23</v>
      </c>
      <c r="Z777" s="1" t="s">
        <v>32</v>
      </c>
    </row>
    <row r="778" spans="1:26" x14ac:dyDescent="0.35">
      <c r="A778" s="1">
        <v>4035935</v>
      </c>
      <c r="B778" s="1" t="s">
        <v>31</v>
      </c>
      <c r="C778" s="1">
        <v>3300</v>
      </c>
      <c r="D778" s="1" t="s">
        <v>30</v>
      </c>
      <c r="E778" s="1">
        <v>301</v>
      </c>
      <c r="F778" s="1">
        <v>0</v>
      </c>
      <c r="G778" s="1">
        <v>300</v>
      </c>
      <c r="H778" s="1" t="s">
        <v>29</v>
      </c>
      <c r="I778" s="1" t="s">
        <v>247</v>
      </c>
      <c r="J778" s="1">
        <v>300</v>
      </c>
      <c r="M778" s="1" t="s">
        <v>28</v>
      </c>
      <c r="N778" s="1">
        <v>0</v>
      </c>
      <c r="O778" s="1" t="s">
        <v>27</v>
      </c>
      <c r="P778" s="1">
        <v>45425</v>
      </c>
      <c r="Q778" s="1">
        <v>0.29645833333332999</v>
      </c>
      <c r="R778" s="1" t="s">
        <v>246</v>
      </c>
      <c r="S778" s="1" t="s">
        <v>245</v>
      </c>
      <c r="U778" s="1" t="s">
        <v>24</v>
      </c>
      <c r="V778" s="1">
        <v>1</v>
      </c>
      <c r="X778" s="1" t="s">
        <v>24</v>
      </c>
      <c r="Y778" s="1" t="s">
        <v>23</v>
      </c>
      <c r="Z778" s="1" t="s">
        <v>32</v>
      </c>
    </row>
    <row r="779" spans="1:26" x14ac:dyDescent="0.35">
      <c r="A779" s="1">
        <v>4035953</v>
      </c>
      <c r="B779" s="1" t="s">
        <v>31</v>
      </c>
      <c r="C779" s="1">
        <v>3300</v>
      </c>
      <c r="D779" s="1" t="s">
        <v>30</v>
      </c>
      <c r="E779" s="1">
        <v>301</v>
      </c>
      <c r="F779" s="1">
        <v>0</v>
      </c>
      <c r="G779" s="1">
        <v>15</v>
      </c>
      <c r="H779" s="1" t="s">
        <v>29</v>
      </c>
      <c r="I779" s="1">
        <v>20</v>
      </c>
      <c r="J779" s="1">
        <v>5</v>
      </c>
      <c r="M779" s="1" t="s">
        <v>28</v>
      </c>
      <c r="N779" s="1">
        <v>0</v>
      </c>
      <c r="O779" s="1" t="s">
        <v>27</v>
      </c>
      <c r="P779" s="1">
        <v>45329</v>
      </c>
      <c r="Q779" s="1">
        <v>0.44760416666667002</v>
      </c>
      <c r="R779" s="1" t="s">
        <v>244</v>
      </c>
      <c r="S779" s="1" t="s">
        <v>243</v>
      </c>
      <c r="U779" s="1" t="s">
        <v>24</v>
      </c>
      <c r="V779" s="1">
        <v>1</v>
      </c>
      <c r="X779" s="1" t="s">
        <v>24</v>
      </c>
      <c r="Y779" s="1" t="s">
        <v>23</v>
      </c>
      <c r="Z779" s="1" t="s">
        <v>32</v>
      </c>
    </row>
    <row r="780" spans="1:26" x14ac:dyDescent="0.35">
      <c r="A780" s="1">
        <v>4035954</v>
      </c>
      <c r="B780" s="1" t="s">
        <v>31</v>
      </c>
      <c r="C780" s="1">
        <v>3300</v>
      </c>
      <c r="D780" s="1" t="s">
        <v>30</v>
      </c>
      <c r="E780" s="1">
        <v>301</v>
      </c>
      <c r="F780" s="1">
        <v>0</v>
      </c>
      <c r="G780" s="1">
        <v>100</v>
      </c>
      <c r="H780" s="1" t="s">
        <v>29</v>
      </c>
      <c r="I780" s="1">
        <v>20</v>
      </c>
      <c r="J780" s="1">
        <v>96</v>
      </c>
      <c r="M780" s="1" t="s">
        <v>28</v>
      </c>
      <c r="N780" s="1">
        <v>0</v>
      </c>
      <c r="O780" s="1" t="s">
        <v>27</v>
      </c>
      <c r="P780" s="1">
        <v>45968</v>
      </c>
      <c r="Q780" s="1">
        <v>0.31747685185184998</v>
      </c>
      <c r="R780" s="1" t="s">
        <v>242</v>
      </c>
      <c r="S780" s="1" t="s">
        <v>241</v>
      </c>
      <c r="U780" s="1" t="s">
        <v>24</v>
      </c>
      <c r="V780" s="1">
        <v>1</v>
      </c>
      <c r="X780" s="1" t="s">
        <v>24</v>
      </c>
      <c r="Y780" s="1" t="s">
        <v>23</v>
      </c>
      <c r="Z780" s="1" t="s">
        <v>32</v>
      </c>
    </row>
    <row r="781" spans="1:26" x14ac:dyDescent="0.35">
      <c r="A781" s="1">
        <v>4035956</v>
      </c>
      <c r="B781" s="1" t="s">
        <v>31</v>
      </c>
      <c r="C781" s="1">
        <v>3300</v>
      </c>
      <c r="D781" s="1" t="s">
        <v>30</v>
      </c>
      <c r="E781" s="1">
        <v>301</v>
      </c>
      <c r="F781" s="1">
        <v>0</v>
      </c>
      <c r="G781" s="1">
        <v>90</v>
      </c>
      <c r="H781" s="1" t="s">
        <v>29</v>
      </c>
      <c r="I781" s="1">
        <v>20</v>
      </c>
      <c r="J781" s="1">
        <v>48</v>
      </c>
      <c r="M781" s="1" t="s">
        <v>28</v>
      </c>
      <c r="N781" s="1">
        <v>0</v>
      </c>
      <c r="O781" s="1" t="s">
        <v>27</v>
      </c>
      <c r="P781" s="1">
        <v>45617</v>
      </c>
      <c r="Q781" s="1">
        <v>0.53516203703704002</v>
      </c>
      <c r="R781" s="1" t="s">
        <v>240</v>
      </c>
      <c r="S781" s="1" t="s">
        <v>239</v>
      </c>
      <c r="U781" s="1" t="s">
        <v>24</v>
      </c>
      <c r="V781" s="1">
        <v>1</v>
      </c>
      <c r="X781" s="1" t="s">
        <v>24</v>
      </c>
      <c r="Y781" s="1" t="s">
        <v>23</v>
      </c>
      <c r="Z781" s="1" t="s">
        <v>32</v>
      </c>
    </row>
    <row r="782" spans="1:26" x14ac:dyDescent="0.35">
      <c r="A782" s="1">
        <v>4035957</v>
      </c>
      <c r="B782" s="1" t="s">
        <v>31</v>
      </c>
      <c r="C782" s="1">
        <v>3300</v>
      </c>
      <c r="D782" s="1" t="s">
        <v>30</v>
      </c>
      <c r="E782" s="1">
        <v>301</v>
      </c>
      <c r="F782" s="1">
        <v>0</v>
      </c>
      <c r="G782" s="1">
        <v>85</v>
      </c>
      <c r="H782" s="1" t="s">
        <v>29</v>
      </c>
      <c r="I782" s="1">
        <v>20</v>
      </c>
      <c r="J782" s="1">
        <v>48</v>
      </c>
      <c r="M782" s="1" t="s">
        <v>28</v>
      </c>
      <c r="N782" s="1">
        <v>0</v>
      </c>
      <c r="O782" s="1" t="s">
        <v>27</v>
      </c>
      <c r="P782" s="1">
        <v>45541</v>
      </c>
      <c r="Q782" s="1">
        <v>0.54667824074074001</v>
      </c>
      <c r="R782" s="1" t="s">
        <v>238</v>
      </c>
      <c r="S782" s="1" t="s">
        <v>237</v>
      </c>
      <c r="U782" s="1" t="s">
        <v>24</v>
      </c>
      <c r="V782" s="1">
        <v>1</v>
      </c>
      <c r="X782" s="1" t="s">
        <v>24</v>
      </c>
      <c r="Y782" s="1" t="s">
        <v>23</v>
      </c>
      <c r="Z782" s="1" t="s">
        <v>32</v>
      </c>
    </row>
    <row r="783" spans="1:26" x14ac:dyDescent="0.35">
      <c r="A783" s="1">
        <v>4035958</v>
      </c>
      <c r="B783" s="1" t="s">
        <v>31</v>
      </c>
      <c r="C783" s="1">
        <v>3300</v>
      </c>
      <c r="D783" s="1" t="s">
        <v>30</v>
      </c>
      <c r="E783" s="1">
        <v>301</v>
      </c>
      <c r="F783" s="1">
        <v>0</v>
      </c>
      <c r="G783" s="1">
        <v>30</v>
      </c>
      <c r="H783" s="1" t="s">
        <v>29</v>
      </c>
      <c r="I783" s="1">
        <v>20</v>
      </c>
      <c r="J783" s="1">
        <v>15</v>
      </c>
      <c r="M783" s="1" t="s">
        <v>28</v>
      </c>
      <c r="N783" s="1">
        <v>0</v>
      </c>
      <c r="O783" s="1" t="s">
        <v>236</v>
      </c>
      <c r="P783" s="1">
        <v>45418</v>
      </c>
      <c r="Q783" s="1">
        <v>0.38759259259258999</v>
      </c>
      <c r="R783" s="1" t="s">
        <v>235</v>
      </c>
      <c r="S783" s="1" t="s">
        <v>234</v>
      </c>
      <c r="U783" s="1" t="s">
        <v>24</v>
      </c>
      <c r="V783" s="1">
        <v>1</v>
      </c>
      <c r="X783" s="1" t="s">
        <v>24</v>
      </c>
      <c r="Y783" s="1" t="s">
        <v>23</v>
      </c>
      <c r="Z783" s="1" t="s">
        <v>32</v>
      </c>
    </row>
    <row r="784" spans="1:26" x14ac:dyDescent="0.35">
      <c r="A784" s="1">
        <v>4035959</v>
      </c>
      <c r="B784" s="1" t="s">
        <v>31</v>
      </c>
      <c r="C784" s="1">
        <v>3300</v>
      </c>
      <c r="D784" s="1" t="s">
        <v>30</v>
      </c>
      <c r="E784" s="1">
        <v>301</v>
      </c>
      <c r="F784" s="1">
        <v>0</v>
      </c>
      <c r="G784" s="1">
        <v>25</v>
      </c>
      <c r="H784" s="1" t="s">
        <v>29</v>
      </c>
      <c r="I784" s="1">
        <v>20</v>
      </c>
      <c r="J784" s="1">
        <v>10</v>
      </c>
      <c r="M784" s="1" t="s">
        <v>28</v>
      </c>
      <c r="N784" s="1">
        <v>0</v>
      </c>
      <c r="O784" s="1" t="s">
        <v>27</v>
      </c>
      <c r="P784" s="1">
        <v>45301</v>
      </c>
      <c r="Q784" s="1">
        <v>0.38719907407407</v>
      </c>
      <c r="R784" s="1" t="s">
        <v>233</v>
      </c>
      <c r="S784" s="1" t="s">
        <v>232</v>
      </c>
      <c r="U784" s="1" t="s">
        <v>24</v>
      </c>
      <c r="V784" s="1">
        <v>1</v>
      </c>
      <c r="X784" s="1" t="s">
        <v>24</v>
      </c>
      <c r="Y784" s="1" t="s">
        <v>23</v>
      </c>
      <c r="Z784" s="1" t="s">
        <v>32</v>
      </c>
    </row>
    <row r="785" spans="1:26" x14ac:dyDescent="0.35">
      <c r="A785" s="1">
        <v>4035960</v>
      </c>
      <c r="B785" s="1" t="s">
        <v>31</v>
      </c>
      <c r="C785" s="1">
        <v>3300</v>
      </c>
      <c r="D785" s="1" t="s">
        <v>30</v>
      </c>
      <c r="E785" s="1">
        <v>301</v>
      </c>
      <c r="F785" s="1">
        <v>0</v>
      </c>
      <c r="G785" s="1">
        <v>20</v>
      </c>
      <c r="H785" s="1" t="s">
        <v>29</v>
      </c>
      <c r="I785" s="1">
        <v>20</v>
      </c>
      <c r="J785" s="1">
        <v>10</v>
      </c>
      <c r="M785" s="1" t="s">
        <v>28</v>
      </c>
      <c r="N785" s="1">
        <v>0</v>
      </c>
      <c r="O785" s="1" t="s">
        <v>27</v>
      </c>
      <c r="P785" s="1">
        <v>45329</v>
      </c>
      <c r="Q785" s="1">
        <v>0.44717592592592997</v>
      </c>
      <c r="R785" s="1" t="s">
        <v>231</v>
      </c>
      <c r="S785" s="1" t="s">
        <v>230</v>
      </c>
      <c r="U785" s="1" t="s">
        <v>24</v>
      </c>
      <c r="V785" s="1">
        <v>1</v>
      </c>
      <c r="X785" s="1" t="s">
        <v>24</v>
      </c>
      <c r="Y785" s="1" t="s">
        <v>23</v>
      </c>
      <c r="Z785" s="1" t="s">
        <v>32</v>
      </c>
    </row>
    <row r="786" spans="1:26" x14ac:dyDescent="0.35">
      <c r="A786" s="1">
        <v>4035963</v>
      </c>
      <c r="B786" s="1" t="s">
        <v>31</v>
      </c>
      <c r="C786" s="1">
        <v>3300</v>
      </c>
      <c r="D786" s="1" t="s">
        <v>30</v>
      </c>
      <c r="E786" s="1">
        <v>301</v>
      </c>
      <c r="F786" s="1">
        <v>0</v>
      </c>
      <c r="G786" s="1">
        <v>300</v>
      </c>
      <c r="H786" s="1" t="s">
        <v>29</v>
      </c>
      <c r="I786" s="1">
        <v>20</v>
      </c>
      <c r="J786" s="1">
        <v>100</v>
      </c>
      <c r="M786" s="1" t="s">
        <v>28</v>
      </c>
      <c r="N786" s="1">
        <v>0</v>
      </c>
      <c r="O786" s="1" t="s">
        <v>27</v>
      </c>
      <c r="P786" s="1">
        <v>45672</v>
      </c>
      <c r="Q786" s="1">
        <v>0.53760416666666999</v>
      </c>
      <c r="R786" s="1" t="s">
        <v>229</v>
      </c>
      <c r="S786" s="1" t="s">
        <v>228</v>
      </c>
      <c r="U786" s="1" t="s">
        <v>24</v>
      </c>
      <c r="V786" s="1">
        <v>1</v>
      </c>
      <c r="X786" s="1" t="s">
        <v>24</v>
      </c>
      <c r="Y786" s="1" t="s">
        <v>23</v>
      </c>
      <c r="Z786" s="1" t="s">
        <v>32</v>
      </c>
    </row>
    <row r="787" spans="1:26" x14ac:dyDescent="0.35">
      <c r="A787" s="1">
        <v>4035971</v>
      </c>
      <c r="B787" s="1" t="s">
        <v>31</v>
      </c>
      <c r="C787" s="1">
        <v>3300</v>
      </c>
      <c r="D787" s="1" t="s">
        <v>30</v>
      </c>
      <c r="E787" s="1">
        <v>301</v>
      </c>
      <c r="F787" s="1">
        <v>0</v>
      </c>
      <c r="G787" s="1">
        <v>400</v>
      </c>
      <c r="H787" s="1" t="s">
        <v>29</v>
      </c>
      <c r="I787" s="1">
        <v>20</v>
      </c>
      <c r="J787" s="1">
        <v>240</v>
      </c>
      <c r="M787" s="1" t="s">
        <v>28</v>
      </c>
      <c r="N787" s="1">
        <v>0</v>
      </c>
      <c r="O787" s="1" t="s">
        <v>27</v>
      </c>
      <c r="P787" s="1">
        <v>45636</v>
      </c>
      <c r="Q787" s="1">
        <v>0.31417824074074002</v>
      </c>
      <c r="R787" s="1" t="s">
        <v>227</v>
      </c>
      <c r="S787" s="1" t="s">
        <v>226</v>
      </c>
      <c r="U787" s="1" t="s">
        <v>24</v>
      </c>
      <c r="V787" s="1">
        <v>1</v>
      </c>
      <c r="X787" s="1" t="s">
        <v>24</v>
      </c>
      <c r="Y787" s="1" t="s">
        <v>23</v>
      </c>
      <c r="Z787" s="1" t="s">
        <v>32</v>
      </c>
    </row>
    <row r="788" spans="1:26" x14ac:dyDescent="0.35">
      <c r="A788" s="1">
        <v>4035972</v>
      </c>
      <c r="B788" s="1" t="s">
        <v>31</v>
      </c>
      <c r="C788" s="1">
        <v>3300</v>
      </c>
      <c r="D788" s="1" t="s">
        <v>30</v>
      </c>
      <c r="E788" s="1">
        <v>301</v>
      </c>
      <c r="F788" s="1">
        <v>0</v>
      </c>
      <c r="G788" s="1">
        <v>240</v>
      </c>
      <c r="H788" s="1" t="s">
        <v>29</v>
      </c>
      <c r="I788" s="1">
        <v>20</v>
      </c>
      <c r="J788" s="1">
        <v>240</v>
      </c>
      <c r="M788" s="1" t="s">
        <v>28</v>
      </c>
      <c r="N788" s="1">
        <v>0</v>
      </c>
      <c r="O788" s="1" t="s">
        <v>27</v>
      </c>
      <c r="P788" s="1">
        <v>45908</v>
      </c>
      <c r="Q788" s="1">
        <v>0.32988425925926002</v>
      </c>
      <c r="R788" s="1" t="s">
        <v>225</v>
      </c>
      <c r="S788" s="1" t="s">
        <v>224</v>
      </c>
      <c r="U788" s="1" t="s">
        <v>24</v>
      </c>
      <c r="V788" s="1">
        <v>1</v>
      </c>
      <c r="X788" s="1" t="s">
        <v>24</v>
      </c>
      <c r="Y788" s="1" t="s">
        <v>23</v>
      </c>
      <c r="Z788" s="1" t="s">
        <v>32</v>
      </c>
    </row>
    <row r="789" spans="1:26" x14ac:dyDescent="0.35">
      <c r="A789" s="1">
        <v>4035973</v>
      </c>
      <c r="B789" s="1" t="s">
        <v>31</v>
      </c>
      <c r="C789" s="1">
        <v>3300</v>
      </c>
      <c r="D789" s="1" t="s">
        <v>30</v>
      </c>
      <c r="E789" s="1">
        <v>301</v>
      </c>
      <c r="F789" s="1">
        <v>0</v>
      </c>
      <c r="G789" s="1">
        <v>300</v>
      </c>
      <c r="H789" s="1" t="s">
        <v>29</v>
      </c>
      <c r="I789" s="1">
        <v>20</v>
      </c>
      <c r="J789" s="1">
        <v>80</v>
      </c>
      <c r="M789" s="1" t="s">
        <v>28</v>
      </c>
      <c r="N789" s="1">
        <v>0</v>
      </c>
      <c r="O789" s="1" t="s">
        <v>199</v>
      </c>
      <c r="P789" s="1">
        <v>46007</v>
      </c>
      <c r="Q789" s="1">
        <v>0.32776620370370002</v>
      </c>
      <c r="R789" s="1" t="s">
        <v>223</v>
      </c>
      <c r="S789" s="1" t="s">
        <v>222</v>
      </c>
      <c r="U789" s="1" t="s">
        <v>24</v>
      </c>
      <c r="V789" s="1">
        <v>1</v>
      </c>
      <c r="X789" s="1" t="s">
        <v>24</v>
      </c>
      <c r="Y789" s="1" t="s">
        <v>23</v>
      </c>
      <c r="Z789" s="1" t="s">
        <v>32</v>
      </c>
    </row>
    <row r="790" spans="1:26" x14ac:dyDescent="0.35">
      <c r="A790" s="1">
        <v>4035974</v>
      </c>
      <c r="B790" s="1" t="s">
        <v>31</v>
      </c>
      <c r="C790" s="1">
        <v>3300</v>
      </c>
      <c r="D790" s="1" t="s">
        <v>30</v>
      </c>
      <c r="E790" s="1">
        <v>301</v>
      </c>
      <c r="F790" s="1">
        <v>0</v>
      </c>
      <c r="G790" s="1">
        <v>9</v>
      </c>
      <c r="H790" s="1" t="s">
        <v>29</v>
      </c>
      <c r="I790" s="1">
        <v>20</v>
      </c>
      <c r="J790" s="1">
        <v>4</v>
      </c>
      <c r="M790" s="1" t="s">
        <v>28</v>
      </c>
      <c r="N790" s="1">
        <v>0</v>
      </c>
      <c r="O790" s="1" t="s">
        <v>27</v>
      </c>
      <c r="P790" s="1">
        <v>45707</v>
      </c>
      <c r="Q790" s="1">
        <v>0.42693287037036998</v>
      </c>
      <c r="R790" s="1" t="s">
        <v>221</v>
      </c>
      <c r="S790" s="1" t="s">
        <v>220</v>
      </c>
      <c r="U790" s="1" t="s">
        <v>24</v>
      </c>
      <c r="V790" s="1">
        <v>1</v>
      </c>
      <c r="X790" s="1" t="s">
        <v>24</v>
      </c>
      <c r="Y790" s="1" t="s">
        <v>23</v>
      </c>
      <c r="Z790" s="1" t="s">
        <v>32</v>
      </c>
    </row>
    <row r="791" spans="1:26" x14ac:dyDescent="0.35">
      <c r="A791" s="1">
        <v>4036481</v>
      </c>
      <c r="B791" s="1" t="s">
        <v>31</v>
      </c>
      <c r="C791" s="1">
        <v>3300</v>
      </c>
      <c r="D791" s="1" t="s">
        <v>30</v>
      </c>
      <c r="E791" s="1">
        <v>301</v>
      </c>
      <c r="F791" s="1">
        <v>0</v>
      </c>
      <c r="G791" s="1">
        <v>300</v>
      </c>
      <c r="H791" s="1" t="s">
        <v>29</v>
      </c>
      <c r="I791" s="1">
        <v>20</v>
      </c>
      <c r="J791" s="1">
        <v>240</v>
      </c>
      <c r="M791" s="1" t="s">
        <v>28</v>
      </c>
      <c r="N791" s="1">
        <v>0</v>
      </c>
      <c r="O791" s="1" t="s">
        <v>27</v>
      </c>
      <c r="P791" s="1">
        <v>45968</v>
      </c>
      <c r="Q791" s="1">
        <v>0.31805555555555998</v>
      </c>
      <c r="R791" s="1" t="s">
        <v>219</v>
      </c>
      <c r="S791" s="1" t="s">
        <v>218</v>
      </c>
      <c r="U791" s="1" t="s">
        <v>24</v>
      </c>
      <c r="V791" s="1">
        <v>1</v>
      </c>
      <c r="X791" s="1" t="s">
        <v>24</v>
      </c>
      <c r="Y791" s="1" t="s">
        <v>23</v>
      </c>
      <c r="Z791" s="1" t="s">
        <v>32</v>
      </c>
    </row>
    <row r="792" spans="1:26" x14ac:dyDescent="0.35">
      <c r="A792" s="1">
        <v>4036668</v>
      </c>
      <c r="B792" s="1" t="s">
        <v>31</v>
      </c>
      <c r="C792" s="1">
        <v>3300</v>
      </c>
      <c r="D792" s="1" t="s">
        <v>30</v>
      </c>
      <c r="E792" s="1">
        <v>301</v>
      </c>
      <c r="F792" s="1">
        <v>0</v>
      </c>
      <c r="G792" s="1">
        <v>180</v>
      </c>
      <c r="H792" s="1" t="s">
        <v>29</v>
      </c>
      <c r="I792" s="1">
        <v>20</v>
      </c>
      <c r="J792" s="1">
        <v>144</v>
      </c>
      <c r="M792" s="1" t="s">
        <v>28</v>
      </c>
      <c r="N792" s="1">
        <v>0</v>
      </c>
      <c r="O792" s="1" t="s">
        <v>27</v>
      </c>
      <c r="P792" s="1">
        <v>45348</v>
      </c>
      <c r="Q792" s="1">
        <v>0.39641203703703998</v>
      </c>
      <c r="R792" s="1" t="s">
        <v>217</v>
      </c>
      <c r="S792" s="1" t="s">
        <v>216</v>
      </c>
      <c r="U792" s="1" t="s">
        <v>24</v>
      </c>
      <c r="V792" s="1">
        <v>1</v>
      </c>
      <c r="Y792" s="1" t="s">
        <v>23</v>
      </c>
      <c r="Z792" s="1" t="s">
        <v>23</v>
      </c>
    </row>
    <row r="793" spans="1:26" x14ac:dyDescent="0.35">
      <c r="A793" s="1">
        <v>4036669</v>
      </c>
      <c r="B793" s="1" t="s">
        <v>31</v>
      </c>
      <c r="C793" s="1">
        <v>3300</v>
      </c>
      <c r="D793" s="1" t="s">
        <v>30</v>
      </c>
      <c r="E793" s="1">
        <v>301</v>
      </c>
      <c r="F793" s="1">
        <v>0</v>
      </c>
      <c r="G793" s="1">
        <v>720</v>
      </c>
      <c r="H793" s="1" t="s">
        <v>29</v>
      </c>
      <c r="I793" s="1">
        <v>20</v>
      </c>
      <c r="J793" s="1">
        <v>180</v>
      </c>
      <c r="M793" s="1" t="s">
        <v>28</v>
      </c>
      <c r="N793" s="1">
        <v>0</v>
      </c>
      <c r="O793" s="1" t="s">
        <v>27</v>
      </c>
      <c r="P793" s="1">
        <v>45446</v>
      </c>
      <c r="Q793" s="1">
        <v>0.49232638888889002</v>
      </c>
      <c r="R793" s="1" t="s">
        <v>215</v>
      </c>
      <c r="S793" s="1" t="s">
        <v>214</v>
      </c>
      <c r="U793" s="1" t="s">
        <v>24</v>
      </c>
      <c r="V793" s="1">
        <v>1</v>
      </c>
      <c r="X793" s="1" t="s">
        <v>24</v>
      </c>
      <c r="Y793" s="1" t="s">
        <v>23</v>
      </c>
      <c r="Z793" s="1" t="s">
        <v>32</v>
      </c>
    </row>
    <row r="794" spans="1:26" x14ac:dyDescent="0.35">
      <c r="A794" s="1">
        <v>4036670</v>
      </c>
      <c r="B794" s="1" t="s">
        <v>31</v>
      </c>
      <c r="C794" s="1">
        <v>3300</v>
      </c>
      <c r="D794" s="1" t="s">
        <v>30</v>
      </c>
      <c r="E794" s="1">
        <v>301</v>
      </c>
      <c r="F794" s="1">
        <v>0</v>
      </c>
      <c r="G794" s="1">
        <v>90</v>
      </c>
      <c r="H794" s="1" t="s">
        <v>29</v>
      </c>
      <c r="I794" s="1">
        <v>20</v>
      </c>
      <c r="J794" s="1">
        <v>72</v>
      </c>
      <c r="M794" s="1" t="s">
        <v>28</v>
      </c>
      <c r="N794" s="1">
        <v>0</v>
      </c>
      <c r="O794" s="1" t="s">
        <v>27</v>
      </c>
      <c r="P794" s="1">
        <v>45625</v>
      </c>
      <c r="Q794" s="1">
        <v>0.33053240740741002</v>
      </c>
      <c r="R794" s="1" t="s">
        <v>213</v>
      </c>
      <c r="S794" s="1" t="s">
        <v>212</v>
      </c>
      <c r="U794" s="1" t="s">
        <v>24</v>
      </c>
      <c r="V794" s="1">
        <v>1</v>
      </c>
      <c r="X794" s="1" t="s">
        <v>24</v>
      </c>
      <c r="Y794" s="1" t="s">
        <v>23</v>
      </c>
      <c r="Z794" s="1" t="s">
        <v>32</v>
      </c>
    </row>
    <row r="795" spans="1:26" x14ac:dyDescent="0.35">
      <c r="A795" s="1">
        <v>4036671</v>
      </c>
      <c r="B795" s="1" t="s">
        <v>31</v>
      </c>
      <c r="C795" s="1">
        <v>3300</v>
      </c>
      <c r="D795" s="1" t="s">
        <v>30</v>
      </c>
      <c r="E795" s="1">
        <v>301</v>
      </c>
      <c r="F795" s="1">
        <v>0</v>
      </c>
      <c r="G795" s="1">
        <v>420</v>
      </c>
      <c r="H795" s="1" t="s">
        <v>29</v>
      </c>
      <c r="I795" s="1">
        <v>20</v>
      </c>
      <c r="J795" s="1">
        <v>144</v>
      </c>
      <c r="M795" s="1" t="s">
        <v>28</v>
      </c>
      <c r="N795" s="1">
        <v>0</v>
      </c>
      <c r="O795" s="1" t="s">
        <v>27</v>
      </c>
      <c r="P795" s="1">
        <v>45903</v>
      </c>
      <c r="Q795" s="1">
        <v>0.47483796296295999</v>
      </c>
      <c r="R795" s="1" t="s">
        <v>211</v>
      </c>
      <c r="S795" s="1" t="s">
        <v>210</v>
      </c>
      <c r="U795" s="1" t="s">
        <v>24</v>
      </c>
      <c r="V795" s="1">
        <v>1</v>
      </c>
      <c r="X795" s="1" t="s">
        <v>24</v>
      </c>
      <c r="Y795" s="1" t="s">
        <v>23</v>
      </c>
      <c r="Z795" s="1" t="s">
        <v>32</v>
      </c>
    </row>
    <row r="796" spans="1:26" x14ac:dyDescent="0.35">
      <c r="A796" s="1">
        <v>4036672</v>
      </c>
      <c r="B796" s="1" t="s">
        <v>31</v>
      </c>
      <c r="C796" s="1">
        <v>3300</v>
      </c>
      <c r="D796" s="1" t="s">
        <v>30</v>
      </c>
      <c r="E796" s="1">
        <v>301</v>
      </c>
      <c r="F796" s="1">
        <v>0</v>
      </c>
      <c r="G796" s="1">
        <v>168</v>
      </c>
      <c r="H796" s="1" t="s">
        <v>29</v>
      </c>
      <c r="I796" s="1">
        <v>20</v>
      </c>
      <c r="J796" s="1">
        <v>84</v>
      </c>
      <c r="M796" s="1" t="s">
        <v>28</v>
      </c>
      <c r="N796" s="1">
        <v>0</v>
      </c>
      <c r="O796" s="1" t="s">
        <v>27</v>
      </c>
      <c r="P796" s="1">
        <v>45455</v>
      </c>
      <c r="Q796" s="1">
        <v>0.47879629629629999</v>
      </c>
      <c r="R796" s="1" t="s">
        <v>209</v>
      </c>
      <c r="S796" s="1" t="s">
        <v>208</v>
      </c>
      <c r="U796" s="1" t="s">
        <v>24</v>
      </c>
      <c r="V796" s="1">
        <v>1</v>
      </c>
      <c r="X796" s="1" t="s">
        <v>24</v>
      </c>
      <c r="Y796" s="1" t="s">
        <v>23</v>
      </c>
      <c r="Z796" s="1" t="s">
        <v>32</v>
      </c>
    </row>
    <row r="797" spans="1:26" x14ac:dyDescent="0.35">
      <c r="A797" s="1">
        <v>4036673</v>
      </c>
      <c r="B797" s="1" t="s">
        <v>31</v>
      </c>
      <c r="C797" s="1">
        <v>3300</v>
      </c>
      <c r="D797" s="1" t="s">
        <v>30</v>
      </c>
      <c r="E797" s="1">
        <v>301</v>
      </c>
      <c r="F797" s="1">
        <v>0</v>
      </c>
      <c r="G797" s="1">
        <v>108</v>
      </c>
      <c r="H797" s="1" t="s">
        <v>29</v>
      </c>
      <c r="I797" s="1">
        <v>20</v>
      </c>
      <c r="J797" s="1">
        <v>108</v>
      </c>
      <c r="M797" s="1" t="s">
        <v>28</v>
      </c>
      <c r="N797" s="1">
        <v>0</v>
      </c>
      <c r="O797" s="1" t="s">
        <v>27</v>
      </c>
      <c r="P797" s="1">
        <v>45526</v>
      </c>
      <c r="Q797" s="1">
        <v>0.40995370370369999</v>
      </c>
      <c r="R797" s="1" t="s">
        <v>207</v>
      </c>
      <c r="S797" s="1" t="s">
        <v>206</v>
      </c>
      <c r="U797" s="1" t="s">
        <v>24</v>
      </c>
      <c r="V797" s="1">
        <v>1</v>
      </c>
      <c r="X797" s="1" t="s">
        <v>24</v>
      </c>
      <c r="Y797" s="1" t="s">
        <v>23</v>
      </c>
      <c r="Z797" s="1" t="s">
        <v>32</v>
      </c>
    </row>
    <row r="798" spans="1:26" x14ac:dyDescent="0.35">
      <c r="A798" s="1">
        <v>4036674</v>
      </c>
      <c r="B798" s="1" t="s">
        <v>31</v>
      </c>
      <c r="C798" s="1">
        <v>3300</v>
      </c>
      <c r="D798" s="1" t="s">
        <v>30</v>
      </c>
      <c r="E798" s="1">
        <v>301</v>
      </c>
      <c r="F798" s="1">
        <v>0</v>
      </c>
      <c r="G798" s="1">
        <v>120</v>
      </c>
      <c r="H798" s="1" t="s">
        <v>29</v>
      </c>
      <c r="I798" s="1">
        <v>20</v>
      </c>
      <c r="J798" s="1">
        <v>60</v>
      </c>
      <c r="M798" s="1" t="s">
        <v>28</v>
      </c>
      <c r="N798" s="1">
        <v>0</v>
      </c>
      <c r="O798" s="1" t="s">
        <v>27</v>
      </c>
      <c r="P798" s="1">
        <v>45455</v>
      </c>
      <c r="Q798" s="1">
        <v>0.48608796296295997</v>
      </c>
      <c r="R798" s="1" t="s">
        <v>205</v>
      </c>
      <c r="S798" s="1" t="s">
        <v>204</v>
      </c>
      <c r="U798" s="1" t="s">
        <v>24</v>
      </c>
      <c r="V798" s="1">
        <v>1</v>
      </c>
      <c r="X798" s="1" t="s">
        <v>24</v>
      </c>
      <c r="Y798" s="1" t="s">
        <v>23</v>
      </c>
      <c r="Z798" s="1" t="s">
        <v>32</v>
      </c>
    </row>
    <row r="799" spans="1:26" x14ac:dyDescent="0.35">
      <c r="A799" s="1">
        <v>4036675</v>
      </c>
      <c r="B799" s="1" t="s">
        <v>31</v>
      </c>
      <c r="C799" s="1">
        <v>3300</v>
      </c>
      <c r="D799" s="1" t="s">
        <v>30</v>
      </c>
      <c r="E799" s="1">
        <v>301</v>
      </c>
      <c r="F799" s="1">
        <v>0</v>
      </c>
      <c r="G799" s="1">
        <v>80</v>
      </c>
      <c r="H799" s="1" t="s">
        <v>29</v>
      </c>
      <c r="I799" s="1">
        <v>20</v>
      </c>
      <c r="J799" s="1">
        <v>36</v>
      </c>
      <c r="M799" s="1" t="s">
        <v>28</v>
      </c>
      <c r="N799" s="1">
        <v>0</v>
      </c>
      <c r="O799" s="1" t="s">
        <v>166</v>
      </c>
      <c r="P799" s="1">
        <v>45630</v>
      </c>
      <c r="Q799" s="1">
        <v>0.38212962962962999</v>
      </c>
      <c r="R799" s="1" t="s">
        <v>203</v>
      </c>
      <c r="S799" s="1" t="s">
        <v>202</v>
      </c>
      <c r="U799" s="1" t="s">
        <v>24</v>
      </c>
      <c r="V799" s="1">
        <v>1</v>
      </c>
      <c r="X799" s="1" t="s">
        <v>24</v>
      </c>
      <c r="Y799" s="1" t="s">
        <v>23</v>
      </c>
      <c r="Z799" s="1" t="s">
        <v>32</v>
      </c>
    </row>
    <row r="800" spans="1:26" x14ac:dyDescent="0.35">
      <c r="A800" s="1">
        <v>4036677</v>
      </c>
      <c r="B800" s="1" t="s">
        <v>31</v>
      </c>
      <c r="C800" s="1">
        <v>3300</v>
      </c>
      <c r="D800" s="1" t="s">
        <v>30</v>
      </c>
      <c r="E800" s="1">
        <v>301</v>
      </c>
      <c r="F800" s="1">
        <v>0</v>
      </c>
      <c r="G800" s="1">
        <v>120</v>
      </c>
      <c r="H800" s="1" t="s">
        <v>29</v>
      </c>
      <c r="I800" s="1">
        <v>20</v>
      </c>
      <c r="J800" s="1">
        <v>36</v>
      </c>
      <c r="M800" s="1" t="s">
        <v>28</v>
      </c>
      <c r="N800" s="1">
        <v>0</v>
      </c>
      <c r="O800" s="1" t="s">
        <v>27</v>
      </c>
      <c r="P800" s="1">
        <v>45625</v>
      </c>
      <c r="Q800" s="1">
        <v>0.33715277777778002</v>
      </c>
      <c r="R800" s="1" t="s">
        <v>201</v>
      </c>
      <c r="S800" s="1" t="s">
        <v>200</v>
      </c>
      <c r="U800" s="1" t="s">
        <v>24</v>
      </c>
      <c r="V800" s="1">
        <v>1</v>
      </c>
      <c r="X800" s="1" t="s">
        <v>24</v>
      </c>
      <c r="Y800" s="1" t="s">
        <v>23</v>
      </c>
      <c r="Z800" s="1" t="s">
        <v>32</v>
      </c>
    </row>
    <row r="801" spans="1:26" x14ac:dyDescent="0.35">
      <c r="A801" s="1">
        <v>4036744</v>
      </c>
      <c r="B801" s="1" t="s">
        <v>31</v>
      </c>
      <c r="C801" s="1">
        <v>3300</v>
      </c>
      <c r="D801" s="1" t="s">
        <v>30</v>
      </c>
      <c r="E801" s="1">
        <v>301</v>
      </c>
      <c r="F801" s="1">
        <v>0</v>
      </c>
      <c r="G801" s="1">
        <v>100</v>
      </c>
      <c r="H801" s="1" t="s">
        <v>29</v>
      </c>
      <c r="I801" s="1" t="s">
        <v>71</v>
      </c>
      <c r="J801" s="1">
        <v>120</v>
      </c>
      <c r="M801" s="1" t="s">
        <v>28</v>
      </c>
      <c r="N801" s="1">
        <v>0</v>
      </c>
      <c r="O801" s="1" t="s">
        <v>199</v>
      </c>
      <c r="P801" s="1">
        <v>46014</v>
      </c>
      <c r="Q801" s="1">
        <v>0.51699074074074003</v>
      </c>
      <c r="R801" s="1" t="s">
        <v>198</v>
      </c>
      <c r="S801" s="1" t="s">
        <v>197</v>
      </c>
      <c r="U801" s="1" t="s">
        <v>24</v>
      </c>
      <c r="V801" s="1">
        <v>1</v>
      </c>
      <c r="X801" s="1" t="s">
        <v>24</v>
      </c>
      <c r="Y801" s="1" t="s">
        <v>23</v>
      </c>
      <c r="Z801" s="1" t="s">
        <v>32</v>
      </c>
    </row>
    <row r="802" spans="1:26" x14ac:dyDescent="0.35">
      <c r="A802" s="1">
        <v>4036755</v>
      </c>
      <c r="B802" s="1" t="s">
        <v>31</v>
      </c>
      <c r="C802" s="1">
        <v>3300</v>
      </c>
      <c r="D802" s="1" t="s">
        <v>30</v>
      </c>
      <c r="E802" s="1">
        <v>301</v>
      </c>
      <c r="F802" s="1">
        <v>0</v>
      </c>
      <c r="G802" s="1">
        <v>390</v>
      </c>
      <c r="H802" s="1" t="s">
        <v>29</v>
      </c>
      <c r="I802" s="1">
        <v>20</v>
      </c>
      <c r="J802" s="1">
        <v>180</v>
      </c>
      <c r="M802" s="1" t="s">
        <v>28</v>
      </c>
      <c r="N802" s="1">
        <v>0</v>
      </c>
      <c r="O802" s="1" t="s">
        <v>27</v>
      </c>
      <c r="P802" s="1">
        <v>45446</v>
      </c>
      <c r="Q802" s="1">
        <v>0.48281249999999998</v>
      </c>
      <c r="R802" s="1" t="s">
        <v>196</v>
      </c>
      <c r="S802" s="1" t="s">
        <v>195</v>
      </c>
      <c r="U802" s="1" t="s">
        <v>24</v>
      </c>
      <c r="V802" s="1">
        <v>1</v>
      </c>
      <c r="X802" s="1" t="s">
        <v>24</v>
      </c>
      <c r="Y802" s="1" t="s">
        <v>23</v>
      </c>
      <c r="Z802" s="1" t="s">
        <v>32</v>
      </c>
    </row>
    <row r="803" spans="1:26" x14ac:dyDescent="0.35">
      <c r="A803" s="1">
        <v>4036757</v>
      </c>
      <c r="B803" s="1" t="s">
        <v>31</v>
      </c>
      <c r="C803" s="1">
        <v>3300</v>
      </c>
      <c r="D803" s="1" t="s">
        <v>30</v>
      </c>
      <c r="E803" s="1">
        <v>301</v>
      </c>
      <c r="F803" s="1">
        <v>0</v>
      </c>
      <c r="G803" s="1">
        <v>360</v>
      </c>
      <c r="H803" s="1" t="s">
        <v>29</v>
      </c>
      <c r="I803" s="1">
        <v>20</v>
      </c>
      <c r="J803" s="1">
        <v>180</v>
      </c>
      <c r="M803" s="1" t="s">
        <v>28</v>
      </c>
      <c r="N803" s="1">
        <v>0</v>
      </c>
      <c r="O803" s="1" t="s">
        <v>27</v>
      </c>
      <c r="P803" s="1">
        <v>45446</v>
      </c>
      <c r="Q803" s="1">
        <v>0.48621527777778001</v>
      </c>
      <c r="R803" s="1" t="s">
        <v>194</v>
      </c>
      <c r="S803" s="1" t="s">
        <v>193</v>
      </c>
      <c r="U803" s="1" t="s">
        <v>24</v>
      </c>
      <c r="V803" s="1">
        <v>1</v>
      </c>
      <c r="X803" s="1" t="s">
        <v>24</v>
      </c>
      <c r="Y803" s="1" t="s">
        <v>23</v>
      </c>
      <c r="Z803" s="1" t="s">
        <v>32</v>
      </c>
    </row>
    <row r="804" spans="1:26" x14ac:dyDescent="0.35">
      <c r="A804" s="1">
        <v>4036758</v>
      </c>
      <c r="B804" s="1" t="s">
        <v>31</v>
      </c>
      <c r="C804" s="1">
        <v>3300</v>
      </c>
      <c r="D804" s="1" t="s">
        <v>30</v>
      </c>
      <c r="E804" s="1">
        <v>301</v>
      </c>
      <c r="F804" s="1">
        <v>0</v>
      </c>
      <c r="G804" s="1">
        <v>216</v>
      </c>
      <c r="H804" s="1" t="s">
        <v>29</v>
      </c>
      <c r="I804" s="1">
        <v>20</v>
      </c>
      <c r="J804" s="1">
        <v>72</v>
      </c>
      <c r="M804" s="1" t="s">
        <v>28</v>
      </c>
      <c r="N804" s="1">
        <v>0</v>
      </c>
      <c r="O804" s="1" t="s">
        <v>27</v>
      </c>
      <c r="P804" s="1">
        <v>45463</v>
      </c>
      <c r="Q804" s="1">
        <v>0.28133101851851999</v>
      </c>
      <c r="R804" s="1" t="s">
        <v>192</v>
      </c>
      <c r="S804" s="1" t="s">
        <v>191</v>
      </c>
      <c r="U804" s="1" t="s">
        <v>24</v>
      </c>
      <c r="V804" s="1">
        <v>1</v>
      </c>
      <c r="X804" s="1" t="s">
        <v>24</v>
      </c>
      <c r="Y804" s="1" t="s">
        <v>23</v>
      </c>
      <c r="Z804" s="1" t="s">
        <v>32</v>
      </c>
    </row>
    <row r="805" spans="1:26" x14ac:dyDescent="0.35">
      <c r="A805" s="1">
        <v>4036771</v>
      </c>
      <c r="B805" s="1" t="s">
        <v>31</v>
      </c>
      <c r="C805" s="1">
        <v>3300</v>
      </c>
      <c r="D805" s="1" t="s">
        <v>30</v>
      </c>
      <c r="E805" s="1">
        <v>301</v>
      </c>
      <c r="F805" s="1">
        <v>0</v>
      </c>
      <c r="G805" s="1">
        <v>72</v>
      </c>
      <c r="H805" s="1" t="s">
        <v>29</v>
      </c>
      <c r="I805" s="1">
        <v>20</v>
      </c>
      <c r="J805" s="1">
        <v>36</v>
      </c>
      <c r="M805" s="1" t="s">
        <v>28</v>
      </c>
      <c r="N805" s="1">
        <v>0</v>
      </c>
      <c r="O805" s="1" t="s">
        <v>27</v>
      </c>
      <c r="P805" s="1">
        <v>45625</v>
      </c>
      <c r="Q805" s="1">
        <v>0.34034722222222002</v>
      </c>
      <c r="R805" s="1" t="s">
        <v>190</v>
      </c>
      <c r="S805" s="1" t="s">
        <v>189</v>
      </c>
      <c r="U805" s="1" t="s">
        <v>24</v>
      </c>
      <c r="V805" s="1">
        <v>1</v>
      </c>
      <c r="X805" s="1" t="s">
        <v>24</v>
      </c>
      <c r="Y805" s="1" t="s">
        <v>23</v>
      </c>
      <c r="Z805" s="1" t="s">
        <v>32</v>
      </c>
    </row>
    <row r="806" spans="1:26" x14ac:dyDescent="0.35">
      <c r="A806" s="1">
        <v>4036772</v>
      </c>
      <c r="B806" s="1" t="s">
        <v>31</v>
      </c>
      <c r="C806" s="1">
        <v>3300</v>
      </c>
      <c r="D806" s="1" t="s">
        <v>30</v>
      </c>
      <c r="E806" s="1">
        <v>301</v>
      </c>
      <c r="F806" s="1">
        <v>0</v>
      </c>
      <c r="G806" s="1">
        <v>312</v>
      </c>
      <c r="H806" s="1" t="s">
        <v>29</v>
      </c>
      <c r="I806" s="1">
        <v>20</v>
      </c>
      <c r="J806" s="1">
        <v>72</v>
      </c>
      <c r="M806" s="1" t="s">
        <v>28</v>
      </c>
      <c r="N806" s="1">
        <v>0</v>
      </c>
      <c r="O806" s="1" t="s">
        <v>27</v>
      </c>
      <c r="P806" s="1">
        <v>45462</v>
      </c>
      <c r="Q806" s="1">
        <v>0.58723379629630001</v>
      </c>
      <c r="R806" s="1" t="s">
        <v>188</v>
      </c>
      <c r="S806" s="1" t="s">
        <v>187</v>
      </c>
      <c r="U806" s="1" t="s">
        <v>24</v>
      </c>
      <c r="V806" s="1">
        <v>1</v>
      </c>
      <c r="X806" s="1" t="s">
        <v>24</v>
      </c>
      <c r="Y806" s="1" t="s">
        <v>23</v>
      </c>
      <c r="Z806" s="1" t="s">
        <v>32</v>
      </c>
    </row>
    <row r="807" spans="1:26" x14ac:dyDescent="0.35">
      <c r="A807" s="1">
        <v>4036777</v>
      </c>
      <c r="B807" s="1" t="s">
        <v>31</v>
      </c>
      <c r="C807" s="1">
        <v>3300</v>
      </c>
      <c r="D807" s="1" t="s">
        <v>30</v>
      </c>
      <c r="E807" s="1">
        <v>301</v>
      </c>
      <c r="F807" s="1">
        <v>0</v>
      </c>
      <c r="G807" s="1">
        <v>540</v>
      </c>
      <c r="H807" s="1" t="s">
        <v>29</v>
      </c>
      <c r="I807" s="1">
        <v>20</v>
      </c>
      <c r="J807" s="1">
        <v>360</v>
      </c>
      <c r="M807" s="1" t="s">
        <v>28</v>
      </c>
      <c r="N807" s="1">
        <v>0</v>
      </c>
      <c r="O807" s="1" t="s">
        <v>27</v>
      </c>
      <c r="P807" s="1">
        <v>45625</v>
      </c>
      <c r="Q807" s="1">
        <v>0.34241898148147998</v>
      </c>
      <c r="R807" s="1" t="s">
        <v>186</v>
      </c>
      <c r="S807" s="1" t="s">
        <v>185</v>
      </c>
      <c r="U807" s="1" t="s">
        <v>24</v>
      </c>
      <c r="V807" s="1">
        <v>1</v>
      </c>
      <c r="X807" s="1" t="s">
        <v>24</v>
      </c>
      <c r="Y807" s="1" t="s">
        <v>23</v>
      </c>
      <c r="Z807" s="1" t="s">
        <v>32</v>
      </c>
    </row>
    <row r="808" spans="1:26" x14ac:dyDescent="0.35">
      <c r="A808" s="1">
        <v>4036778</v>
      </c>
      <c r="B808" s="1" t="s">
        <v>31</v>
      </c>
      <c r="C808" s="1">
        <v>3300</v>
      </c>
      <c r="D808" s="1" t="s">
        <v>30</v>
      </c>
      <c r="E808" s="1">
        <v>301</v>
      </c>
      <c r="F808" s="1">
        <v>0</v>
      </c>
      <c r="G808" s="1">
        <v>594</v>
      </c>
      <c r="H808" s="1" t="s">
        <v>29</v>
      </c>
      <c r="I808" s="1">
        <v>20</v>
      </c>
      <c r="J808" s="1">
        <v>216</v>
      </c>
      <c r="M808" s="1" t="s">
        <v>28</v>
      </c>
      <c r="N808" s="1">
        <v>0</v>
      </c>
      <c r="O808" s="1" t="s">
        <v>27</v>
      </c>
      <c r="P808" s="1">
        <v>45462</v>
      </c>
      <c r="Q808" s="1">
        <v>0.59248842592592998</v>
      </c>
      <c r="R808" s="1" t="s">
        <v>184</v>
      </c>
      <c r="S808" s="1" t="s">
        <v>183</v>
      </c>
      <c r="U808" s="1" t="s">
        <v>24</v>
      </c>
      <c r="V808" s="1">
        <v>1</v>
      </c>
      <c r="X808" s="1" t="s">
        <v>24</v>
      </c>
      <c r="Y808" s="1" t="s">
        <v>23</v>
      </c>
      <c r="Z808" s="1" t="s">
        <v>32</v>
      </c>
    </row>
    <row r="809" spans="1:26" x14ac:dyDescent="0.35">
      <c r="A809" s="1">
        <v>4036779</v>
      </c>
      <c r="B809" s="1" t="s">
        <v>31</v>
      </c>
      <c r="C809" s="1">
        <v>3300</v>
      </c>
      <c r="D809" s="1" t="s">
        <v>30</v>
      </c>
      <c r="E809" s="1">
        <v>301</v>
      </c>
      <c r="F809" s="1">
        <v>0</v>
      </c>
      <c r="G809" s="1">
        <v>198</v>
      </c>
      <c r="H809" s="1" t="s">
        <v>29</v>
      </c>
      <c r="I809" s="1">
        <v>20</v>
      </c>
      <c r="J809" s="1">
        <v>72</v>
      </c>
      <c r="M809" s="1" t="s">
        <v>28</v>
      </c>
      <c r="N809" s="1">
        <v>0</v>
      </c>
      <c r="O809" s="1" t="s">
        <v>27</v>
      </c>
      <c r="P809" s="1">
        <v>45625</v>
      </c>
      <c r="Q809" s="1">
        <v>0.34377314814815002</v>
      </c>
      <c r="R809" s="1" t="s">
        <v>182</v>
      </c>
      <c r="S809" s="1" t="s">
        <v>181</v>
      </c>
      <c r="U809" s="1" t="s">
        <v>24</v>
      </c>
      <c r="V809" s="1">
        <v>1</v>
      </c>
      <c r="X809" s="1" t="s">
        <v>24</v>
      </c>
      <c r="Y809" s="1" t="s">
        <v>23</v>
      </c>
      <c r="Z809" s="1" t="s">
        <v>32</v>
      </c>
    </row>
    <row r="810" spans="1:26" x14ac:dyDescent="0.35">
      <c r="A810" s="1">
        <v>4036780</v>
      </c>
      <c r="B810" s="1" t="s">
        <v>31</v>
      </c>
      <c r="C810" s="1">
        <v>3300</v>
      </c>
      <c r="D810" s="1" t="s">
        <v>30</v>
      </c>
      <c r="E810" s="1">
        <v>301</v>
      </c>
      <c r="F810" s="1">
        <v>0</v>
      </c>
      <c r="G810" s="1">
        <v>1854</v>
      </c>
      <c r="H810" s="1" t="s">
        <v>29</v>
      </c>
      <c r="I810" s="1">
        <v>20</v>
      </c>
      <c r="J810" s="1">
        <v>216</v>
      </c>
      <c r="M810" s="1" t="s">
        <v>28</v>
      </c>
      <c r="N810" s="1">
        <v>0</v>
      </c>
      <c r="O810" s="1" t="s">
        <v>27</v>
      </c>
      <c r="P810" s="1">
        <v>45462</v>
      </c>
      <c r="Q810" s="1">
        <v>0.59453703703703997</v>
      </c>
      <c r="R810" s="1" t="s">
        <v>180</v>
      </c>
      <c r="S810" s="1" t="s">
        <v>179</v>
      </c>
      <c r="U810" s="1" t="s">
        <v>24</v>
      </c>
      <c r="V810" s="1">
        <v>1</v>
      </c>
      <c r="X810" s="1" t="s">
        <v>24</v>
      </c>
      <c r="Y810" s="1" t="s">
        <v>23</v>
      </c>
      <c r="Z810" s="1" t="s">
        <v>32</v>
      </c>
    </row>
    <row r="811" spans="1:26" x14ac:dyDescent="0.35">
      <c r="A811" s="1">
        <v>4038552</v>
      </c>
      <c r="B811" s="1" t="s">
        <v>31</v>
      </c>
      <c r="C811" s="1">
        <v>3300</v>
      </c>
      <c r="D811" s="1" t="s">
        <v>30</v>
      </c>
      <c r="E811" s="1">
        <v>301</v>
      </c>
      <c r="F811" s="1">
        <v>0</v>
      </c>
      <c r="G811" s="1">
        <v>30</v>
      </c>
      <c r="H811" s="1" t="s">
        <v>29</v>
      </c>
      <c r="I811" s="1">
        <v>20</v>
      </c>
      <c r="J811" s="1">
        <v>20</v>
      </c>
      <c r="M811" s="1" t="s">
        <v>28</v>
      </c>
      <c r="N811" s="1">
        <v>0</v>
      </c>
      <c r="O811" s="1" t="s">
        <v>27</v>
      </c>
      <c r="P811" s="1">
        <v>45518</v>
      </c>
      <c r="Q811" s="1">
        <v>0.46973379629630002</v>
      </c>
      <c r="R811" s="1" t="s">
        <v>178</v>
      </c>
      <c r="S811" s="1" t="s">
        <v>177</v>
      </c>
      <c r="U811" s="1" t="s">
        <v>24</v>
      </c>
      <c r="V811" s="1">
        <v>1</v>
      </c>
      <c r="X811" s="1" t="s">
        <v>24</v>
      </c>
      <c r="Y811" s="1" t="s">
        <v>23</v>
      </c>
      <c r="Z811" s="1" t="s">
        <v>32</v>
      </c>
    </row>
    <row r="812" spans="1:26" x14ac:dyDescent="0.35">
      <c r="A812" s="1">
        <v>4038553</v>
      </c>
      <c r="B812" s="1" t="s">
        <v>31</v>
      </c>
      <c r="C812" s="1">
        <v>3300</v>
      </c>
      <c r="D812" s="1" t="s">
        <v>30</v>
      </c>
      <c r="E812" s="1">
        <v>301</v>
      </c>
      <c r="F812" s="1">
        <v>0</v>
      </c>
      <c r="G812" s="1">
        <v>130</v>
      </c>
      <c r="H812" s="1" t="s">
        <v>29</v>
      </c>
      <c r="I812" s="1">
        <v>20</v>
      </c>
      <c r="J812" s="1">
        <v>60</v>
      </c>
      <c r="M812" s="1" t="s">
        <v>28</v>
      </c>
      <c r="N812" s="1">
        <v>0</v>
      </c>
      <c r="O812" s="1" t="s">
        <v>27</v>
      </c>
      <c r="P812" s="1">
        <v>45453</v>
      </c>
      <c r="Q812" s="1">
        <v>0.42311342592592999</v>
      </c>
      <c r="R812" s="1" t="s">
        <v>176</v>
      </c>
      <c r="S812" s="1" t="s">
        <v>175</v>
      </c>
      <c r="U812" s="1" t="s">
        <v>24</v>
      </c>
      <c r="V812" s="1">
        <v>1</v>
      </c>
      <c r="X812" s="1" t="s">
        <v>24</v>
      </c>
      <c r="Y812" s="1" t="s">
        <v>23</v>
      </c>
      <c r="Z812" s="1" t="s">
        <v>32</v>
      </c>
    </row>
    <row r="813" spans="1:26" x14ac:dyDescent="0.35">
      <c r="A813" s="1">
        <v>4038555</v>
      </c>
      <c r="B813" s="1" t="s">
        <v>31</v>
      </c>
      <c r="C813" s="1">
        <v>3300</v>
      </c>
      <c r="D813" s="1" t="s">
        <v>30</v>
      </c>
      <c r="E813" s="1">
        <v>301</v>
      </c>
      <c r="F813" s="1">
        <v>0</v>
      </c>
      <c r="G813" s="1">
        <v>100</v>
      </c>
      <c r="H813" s="1" t="s">
        <v>29</v>
      </c>
      <c r="I813" s="1">
        <v>20</v>
      </c>
      <c r="J813" s="1">
        <v>60</v>
      </c>
      <c r="M813" s="1" t="s">
        <v>28</v>
      </c>
      <c r="N813" s="1">
        <v>0</v>
      </c>
      <c r="O813" s="1" t="s">
        <v>27</v>
      </c>
      <c r="P813" s="1">
        <v>45518</v>
      </c>
      <c r="Q813" s="1">
        <v>0.47224537037037001</v>
      </c>
      <c r="R813" s="1" t="s">
        <v>174</v>
      </c>
      <c r="S813" s="1" t="s">
        <v>173</v>
      </c>
      <c r="U813" s="1" t="s">
        <v>24</v>
      </c>
      <c r="V813" s="1">
        <v>1</v>
      </c>
      <c r="X813" s="1" t="s">
        <v>24</v>
      </c>
      <c r="Y813" s="1" t="s">
        <v>23</v>
      </c>
      <c r="Z813" s="1" t="s">
        <v>32</v>
      </c>
    </row>
    <row r="814" spans="1:26" x14ac:dyDescent="0.35">
      <c r="A814" s="1">
        <v>4038558</v>
      </c>
      <c r="B814" s="1" t="s">
        <v>31</v>
      </c>
      <c r="C814" s="1">
        <v>3300</v>
      </c>
      <c r="D814" s="1" t="s">
        <v>30</v>
      </c>
      <c r="E814" s="1">
        <v>301</v>
      </c>
      <c r="F814" s="1">
        <v>0</v>
      </c>
      <c r="G814" s="1">
        <v>140</v>
      </c>
      <c r="H814" s="1" t="s">
        <v>29</v>
      </c>
      <c r="I814" s="1">
        <v>20</v>
      </c>
      <c r="J814" s="1">
        <v>70</v>
      </c>
      <c r="M814" s="1" t="s">
        <v>28</v>
      </c>
      <c r="N814" s="1">
        <v>0</v>
      </c>
      <c r="O814" s="1" t="s">
        <v>27</v>
      </c>
      <c r="P814" s="1">
        <v>45526</v>
      </c>
      <c r="Q814" s="1">
        <v>0.41324074074074002</v>
      </c>
      <c r="R814" s="1" t="s">
        <v>172</v>
      </c>
      <c r="S814" s="1" t="s">
        <v>171</v>
      </c>
      <c r="U814" s="1" t="s">
        <v>24</v>
      </c>
      <c r="V814" s="1">
        <v>1</v>
      </c>
      <c r="X814" s="1" t="s">
        <v>24</v>
      </c>
      <c r="Y814" s="1" t="s">
        <v>23</v>
      </c>
      <c r="Z814" s="1" t="s">
        <v>32</v>
      </c>
    </row>
    <row r="815" spans="1:26" x14ac:dyDescent="0.35">
      <c r="A815" s="1">
        <v>4038559</v>
      </c>
      <c r="B815" s="1" t="s">
        <v>31</v>
      </c>
      <c r="C815" s="1">
        <v>3300</v>
      </c>
      <c r="D815" s="1" t="s">
        <v>30</v>
      </c>
      <c r="E815" s="1">
        <v>301</v>
      </c>
      <c r="F815" s="1">
        <v>0</v>
      </c>
      <c r="G815" s="1">
        <v>90</v>
      </c>
      <c r="H815" s="1" t="s">
        <v>29</v>
      </c>
      <c r="I815" s="1">
        <v>20</v>
      </c>
      <c r="J815" s="1">
        <v>48</v>
      </c>
      <c r="M815" s="1" t="s">
        <v>28</v>
      </c>
      <c r="N815" s="1">
        <v>0</v>
      </c>
      <c r="O815" s="1" t="s">
        <v>27</v>
      </c>
      <c r="P815" s="1">
        <v>45526</v>
      </c>
      <c r="Q815" s="1">
        <v>0.41599537037036999</v>
      </c>
      <c r="R815" s="1" t="s">
        <v>170</v>
      </c>
      <c r="S815" s="1" t="s">
        <v>169</v>
      </c>
      <c r="U815" s="1" t="s">
        <v>24</v>
      </c>
      <c r="V815" s="1">
        <v>1</v>
      </c>
      <c r="X815" s="1" t="s">
        <v>24</v>
      </c>
      <c r="Y815" s="1" t="s">
        <v>23</v>
      </c>
      <c r="Z815" s="1" t="s">
        <v>32</v>
      </c>
    </row>
    <row r="816" spans="1:26" x14ac:dyDescent="0.35">
      <c r="A816" s="1">
        <v>4038560</v>
      </c>
      <c r="B816" s="1" t="s">
        <v>31</v>
      </c>
      <c r="C816" s="1">
        <v>3300</v>
      </c>
      <c r="D816" s="1" t="s">
        <v>30</v>
      </c>
      <c r="E816" s="1">
        <v>301</v>
      </c>
      <c r="F816" s="1">
        <v>0</v>
      </c>
      <c r="G816" s="1">
        <v>384</v>
      </c>
      <c r="H816" s="1" t="s">
        <v>29</v>
      </c>
      <c r="I816" s="1">
        <v>20</v>
      </c>
      <c r="J816" s="1">
        <v>60</v>
      </c>
      <c r="M816" s="1" t="s">
        <v>28</v>
      </c>
      <c r="N816" s="1">
        <v>0</v>
      </c>
      <c r="O816" s="1" t="s">
        <v>27</v>
      </c>
      <c r="P816" s="1">
        <v>45453</v>
      </c>
      <c r="Q816" s="1">
        <v>0.42534722222221999</v>
      </c>
      <c r="R816" s="1" t="s">
        <v>168</v>
      </c>
      <c r="S816" s="1" t="s">
        <v>167</v>
      </c>
      <c r="U816" s="1" t="s">
        <v>24</v>
      </c>
      <c r="V816" s="1">
        <v>1</v>
      </c>
      <c r="X816" s="1" t="s">
        <v>24</v>
      </c>
      <c r="Y816" s="1" t="s">
        <v>23</v>
      </c>
      <c r="Z816" s="1" t="s">
        <v>32</v>
      </c>
    </row>
    <row r="817" spans="1:26" x14ac:dyDescent="0.35">
      <c r="A817" s="1">
        <v>4038564</v>
      </c>
      <c r="B817" s="1" t="s">
        <v>31</v>
      </c>
      <c r="C817" s="1">
        <v>3300</v>
      </c>
      <c r="D817" s="1" t="s">
        <v>30</v>
      </c>
      <c r="E817" s="1">
        <v>301</v>
      </c>
      <c r="F817" s="1">
        <v>0</v>
      </c>
      <c r="G817" s="1">
        <v>100</v>
      </c>
      <c r="H817" s="1" t="s">
        <v>29</v>
      </c>
      <c r="I817" s="1">
        <v>20</v>
      </c>
      <c r="J817" s="1">
        <v>60</v>
      </c>
      <c r="M817" s="1" t="s">
        <v>28</v>
      </c>
      <c r="N817" s="1">
        <v>0</v>
      </c>
      <c r="O817" s="1" t="s">
        <v>166</v>
      </c>
      <c r="P817" s="1">
        <v>45527</v>
      </c>
      <c r="Q817" s="1">
        <v>0.55561342592592999</v>
      </c>
      <c r="R817" s="1" t="s">
        <v>165</v>
      </c>
      <c r="S817" s="1" t="s">
        <v>164</v>
      </c>
      <c r="U817" s="1" t="s">
        <v>24</v>
      </c>
      <c r="V817" s="1">
        <v>1</v>
      </c>
      <c r="X817" s="1" t="s">
        <v>24</v>
      </c>
      <c r="Y817" s="1" t="s">
        <v>23</v>
      </c>
      <c r="Z817" s="1" t="s">
        <v>32</v>
      </c>
    </row>
    <row r="818" spans="1:26" x14ac:dyDescent="0.35">
      <c r="A818" s="1">
        <v>4038567</v>
      </c>
      <c r="B818" s="1" t="s">
        <v>31</v>
      </c>
      <c r="C818" s="1">
        <v>3300</v>
      </c>
      <c r="D818" s="1" t="s">
        <v>30</v>
      </c>
      <c r="E818" s="1">
        <v>301</v>
      </c>
      <c r="F818" s="1">
        <v>0</v>
      </c>
      <c r="G818" s="1">
        <v>115</v>
      </c>
      <c r="H818" s="1" t="s">
        <v>29</v>
      </c>
      <c r="I818" s="1">
        <v>20</v>
      </c>
      <c r="J818" s="1">
        <v>60</v>
      </c>
      <c r="M818" s="1" t="s">
        <v>28</v>
      </c>
      <c r="N818" s="1">
        <v>0</v>
      </c>
      <c r="O818" s="1" t="s">
        <v>27</v>
      </c>
      <c r="P818" s="1">
        <v>45453</v>
      </c>
      <c r="Q818" s="1">
        <v>0.43981481481481</v>
      </c>
      <c r="R818" s="1" t="s">
        <v>163</v>
      </c>
      <c r="S818" s="1" t="s">
        <v>162</v>
      </c>
      <c r="U818" s="1" t="s">
        <v>24</v>
      </c>
      <c r="V818" s="1">
        <v>1</v>
      </c>
      <c r="X818" s="1" t="s">
        <v>24</v>
      </c>
      <c r="Y818" s="1" t="s">
        <v>23</v>
      </c>
      <c r="Z818" s="1" t="s">
        <v>32</v>
      </c>
    </row>
    <row r="819" spans="1:26" x14ac:dyDescent="0.35">
      <c r="A819" s="1">
        <v>4038571</v>
      </c>
      <c r="B819" s="1" t="s">
        <v>31</v>
      </c>
      <c r="C819" s="1">
        <v>3300</v>
      </c>
      <c r="D819" s="1" t="s">
        <v>30</v>
      </c>
      <c r="E819" s="1">
        <v>301</v>
      </c>
      <c r="F819" s="1">
        <v>0</v>
      </c>
      <c r="G819" s="1">
        <v>90</v>
      </c>
      <c r="H819" s="1" t="s">
        <v>29</v>
      </c>
      <c r="I819" s="1">
        <v>20</v>
      </c>
      <c r="J819" s="1">
        <v>24</v>
      </c>
      <c r="M819" s="1" t="s">
        <v>28</v>
      </c>
      <c r="N819" s="1">
        <v>0</v>
      </c>
      <c r="O819" s="1" t="s">
        <v>27</v>
      </c>
      <c r="P819" s="1">
        <v>45568</v>
      </c>
      <c r="Q819" s="1">
        <v>0.31327546296295999</v>
      </c>
      <c r="R819" s="1" t="s">
        <v>161</v>
      </c>
      <c r="S819" s="1" t="s">
        <v>160</v>
      </c>
      <c r="U819" s="1" t="s">
        <v>24</v>
      </c>
      <c r="V819" s="1">
        <v>1</v>
      </c>
      <c r="X819" s="1" t="s">
        <v>24</v>
      </c>
      <c r="Y819" s="1" t="s">
        <v>23</v>
      </c>
      <c r="Z819" s="1" t="s">
        <v>32</v>
      </c>
    </row>
    <row r="820" spans="1:26" x14ac:dyDescent="0.35">
      <c r="A820" s="1">
        <v>4038574</v>
      </c>
      <c r="B820" s="1" t="s">
        <v>31</v>
      </c>
      <c r="C820" s="1">
        <v>3300</v>
      </c>
      <c r="D820" s="1" t="s">
        <v>30</v>
      </c>
      <c r="E820" s="1">
        <v>301</v>
      </c>
      <c r="F820" s="1">
        <v>0</v>
      </c>
      <c r="G820" s="1">
        <v>125</v>
      </c>
      <c r="H820" s="1" t="s">
        <v>29</v>
      </c>
      <c r="I820" s="1">
        <v>20</v>
      </c>
      <c r="J820" s="1">
        <v>60</v>
      </c>
      <c r="M820" s="1" t="s">
        <v>28</v>
      </c>
      <c r="N820" s="1">
        <v>0</v>
      </c>
      <c r="O820" s="1" t="s">
        <v>27</v>
      </c>
      <c r="P820" s="1">
        <v>45453</v>
      </c>
      <c r="Q820" s="1">
        <v>0.44258101851852</v>
      </c>
      <c r="R820" s="1" t="s">
        <v>159</v>
      </c>
      <c r="S820" s="1" t="s">
        <v>158</v>
      </c>
      <c r="U820" s="1" t="s">
        <v>24</v>
      </c>
      <c r="V820" s="1">
        <v>1</v>
      </c>
      <c r="X820" s="1" t="s">
        <v>24</v>
      </c>
      <c r="Y820" s="1" t="s">
        <v>23</v>
      </c>
      <c r="Z820" s="1" t="s">
        <v>32</v>
      </c>
    </row>
    <row r="821" spans="1:26" x14ac:dyDescent="0.35">
      <c r="A821" s="1">
        <v>4038582</v>
      </c>
      <c r="B821" s="1" t="s">
        <v>31</v>
      </c>
      <c r="C821" s="1">
        <v>3300</v>
      </c>
      <c r="D821" s="1" t="s">
        <v>30</v>
      </c>
      <c r="E821" s="1">
        <v>301</v>
      </c>
      <c r="F821" s="1">
        <v>0</v>
      </c>
      <c r="G821" s="1">
        <v>100</v>
      </c>
      <c r="H821" s="1" t="s">
        <v>29</v>
      </c>
      <c r="I821" s="1">
        <v>20</v>
      </c>
      <c r="J821" s="1">
        <v>40</v>
      </c>
      <c r="M821" s="1" t="s">
        <v>28</v>
      </c>
      <c r="N821" s="1">
        <v>0</v>
      </c>
      <c r="O821" s="1" t="s">
        <v>27</v>
      </c>
      <c r="P821" s="1">
        <v>45568</v>
      </c>
      <c r="Q821" s="1">
        <v>0.31540509259258998</v>
      </c>
      <c r="R821" s="1" t="s">
        <v>157</v>
      </c>
      <c r="S821" s="1" t="s">
        <v>156</v>
      </c>
      <c r="U821" s="1" t="s">
        <v>24</v>
      </c>
      <c r="V821" s="1">
        <v>1</v>
      </c>
      <c r="X821" s="1" t="s">
        <v>24</v>
      </c>
      <c r="Y821" s="1" t="s">
        <v>23</v>
      </c>
      <c r="Z821" s="1" t="s">
        <v>32</v>
      </c>
    </row>
    <row r="822" spans="1:26" x14ac:dyDescent="0.35">
      <c r="A822" s="1">
        <v>4038586</v>
      </c>
      <c r="B822" s="1" t="s">
        <v>31</v>
      </c>
      <c r="C822" s="1">
        <v>3300</v>
      </c>
      <c r="D822" s="1" t="s">
        <v>30</v>
      </c>
      <c r="E822" s="1">
        <v>301</v>
      </c>
      <c r="F822" s="1">
        <v>0</v>
      </c>
      <c r="G822" s="1">
        <v>50</v>
      </c>
      <c r="H822" s="1" t="s">
        <v>29</v>
      </c>
      <c r="I822" s="1">
        <v>20</v>
      </c>
      <c r="J822" s="1">
        <v>50</v>
      </c>
      <c r="M822" s="1" t="s">
        <v>28</v>
      </c>
      <c r="N822" s="1">
        <v>0</v>
      </c>
      <c r="O822" s="1" t="s">
        <v>27</v>
      </c>
      <c r="P822" s="1">
        <v>45453</v>
      </c>
      <c r="Q822" s="1">
        <v>0.44452546296296003</v>
      </c>
      <c r="R822" s="1" t="s">
        <v>155</v>
      </c>
      <c r="S822" s="1" t="s">
        <v>154</v>
      </c>
      <c r="U822" s="1" t="s">
        <v>24</v>
      </c>
      <c r="V822" s="1">
        <v>1</v>
      </c>
      <c r="X822" s="1" t="s">
        <v>24</v>
      </c>
      <c r="Y822" s="1" t="s">
        <v>23</v>
      </c>
      <c r="Z822" s="1" t="s">
        <v>32</v>
      </c>
    </row>
    <row r="823" spans="1:26" x14ac:dyDescent="0.35">
      <c r="A823" s="1">
        <v>4038643</v>
      </c>
      <c r="B823" s="1" t="s">
        <v>31</v>
      </c>
      <c r="C823" s="1">
        <v>3300</v>
      </c>
      <c r="D823" s="1" t="s">
        <v>30</v>
      </c>
      <c r="E823" s="1">
        <v>301</v>
      </c>
      <c r="F823" s="1">
        <v>0</v>
      </c>
      <c r="G823" s="1">
        <v>500</v>
      </c>
      <c r="H823" s="1" t="s">
        <v>29</v>
      </c>
      <c r="I823" s="1">
        <v>20</v>
      </c>
      <c r="J823" s="1">
        <v>500</v>
      </c>
      <c r="M823" s="1" t="s">
        <v>28</v>
      </c>
      <c r="N823" s="1">
        <v>0</v>
      </c>
      <c r="O823" s="1" t="s">
        <v>27</v>
      </c>
      <c r="P823" s="1">
        <v>45572</v>
      </c>
      <c r="Q823" s="1">
        <v>0.32146990740740999</v>
      </c>
      <c r="R823" s="1" t="s">
        <v>153</v>
      </c>
      <c r="S823" s="1" t="s">
        <v>152</v>
      </c>
      <c r="U823" s="1" t="s">
        <v>24</v>
      </c>
      <c r="V823" s="1">
        <v>1</v>
      </c>
      <c r="X823" s="1" t="s">
        <v>24</v>
      </c>
      <c r="Y823" s="1" t="s">
        <v>23</v>
      </c>
      <c r="Z823" s="1" t="s">
        <v>32</v>
      </c>
    </row>
    <row r="824" spans="1:26" x14ac:dyDescent="0.35">
      <c r="A824" s="1">
        <v>4038735</v>
      </c>
      <c r="B824" s="1" t="s">
        <v>31</v>
      </c>
      <c r="C824" s="1">
        <v>3300</v>
      </c>
      <c r="D824" s="1" t="s">
        <v>30</v>
      </c>
      <c r="E824" s="1">
        <v>301</v>
      </c>
      <c r="F824" s="1">
        <v>0</v>
      </c>
      <c r="G824" s="1">
        <v>180</v>
      </c>
      <c r="H824" s="1" t="s">
        <v>29</v>
      </c>
      <c r="I824" s="1">
        <v>20</v>
      </c>
      <c r="J824" s="1">
        <v>72</v>
      </c>
      <c r="M824" s="1" t="s">
        <v>28</v>
      </c>
      <c r="N824" s="1">
        <v>0</v>
      </c>
      <c r="O824" s="1" t="s">
        <v>27</v>
      </c>
      <c r="P824" s="1">
        <v>45476</v>
      </c>
      <c r="Q824" s="1">
        <v>0.34268518518518998</v>
      </c>
      <c r="R824" s="1" t="s">
        <v>151</v>
      </c>
      <c r="S824" s="1" t="s">
        <v>150</v>
      </c>
      <c r="U824" s="1" t="s">
        <v>24</v>
      </c>
      <c r="V824" s="1">
        <v>1</v>
      </c>
      <c r="X824" s="1" t="s">
        <v>141</v>
      </c>
      <c r="Y824" s="1" t="s">
        <v>23</v>
      </c>
      <c r="Z824" s="1" t="s">
        <v>32</v>
      </c>
    </row>
    <row r="825" spans="1:26" x14ac:dyDescent="0.35">
      <c r="A825" s="1">
        <v>4038736</v>
      </c>
      <c r="B825" s="1" t="s">
        <v>31</v>
      </c>
      <c r="C825" s="1">
        <v>3300</v>
      </c>
      <c r="D825" s="1" t="s">
        <v>30</v>
      </c>
      <c r="E825" s="1">
        <v>301</v>
      </c>
      <c r="F825" s="1">
        <v>0</v>
      </c>
      <c r="G825" s="1">
        <v>80</v>
      </c>
      <c r="H825" s="1" t="s">
        <v>29</v>
      </c>
      <c r="I825" s="1">
        <v>20</v>
      </c>
      <c r="J825" s="1">
        <v>40</v>
      </c>
      <c r="M825" s="1" t="s">
        <v>28</v>
      </c>
      <c r="N825" s="1">
        <v>0</v>
      </c>
      <c r="O825" s="1" t="s">
        <v>27</v>
      </c>
      <c r="P825" s="1">
        <v>45476</v>
      </c>
      <c r="Q825" s="1">
        <v>0.3565625</v>
      </c>
      <c r="R825" s="1" t="s">
        <v>149</v>
      </c>
      <c r="S825" s="1" t="s">
        <v>148</v>
      </c>
      <c r="U825" s="1" t="s">
        <v>24</v>
      </c>
      <c r="V825" s="1">
        <v>1</v>
      </c>
      <c r="X825" s="1" t="s">
        <v>141</v>
      </c>
      <c r="Y825" s="1" t="s">
        <v>23</v>
      </c>
      <c r="Z825" s="1" t="s">
        <v>32</v>
      </c>
    </row>
    <row r="826" spans="1:26" x14ac:dyDescent="0.35">
      <c r="A826" s="1">
        <v>4038737</v>
      </c>
      <c r="B826" s="1" t="s">
        <v>31</v>
      </c>
      <c r="C826" s="1">
        <v>3300</v>
      </c>
      <c r="D826" s="1" t="s">
        <v>41</v>
      </c>
      <c r="E826" s="1">
        <v>301</v>
      </c>
      <c r="F826" s="1">
        <v>0</v>
      </c>
      <c r="G826" s="1">
        <v>40</v>
      </c>
      <c r="H826" s="1" t="s">
        <v>29</v>
      </c>
      <c r="I826" s="1">
        <v>20</v>
      </c>
      <c r="J826" s="1">
        <v>20</v>
      </c>
      <c r="M826" s="1" t="s">
        <v>28</v>
      </c>
      <c r="N826" s="1">
        <v>0</v>
      </c>
      <c r="O826" s="1" t="s">
        <v>56</v>
      </c>
      <c r="P826" s="1">
        <v>45880</v>
      </c>
      <c r="Q826" s="1">
        <v>0.52373842592593001</v>
      </c>
      <c r="R826" s="1" t="s">
        <v>147</v>
      </c>
      <c r="S826" s="1" t="s">
        <v>146</v>
      </c>
      <c r="U826" s="1" t="s">
        <v>24</v>
      </c>
      <c r="V826" s="1">
        <v>1</v>
      </c>
      <c r="X826" s="1" t="s">
        <v>24</v>
      </c>
      <c r="Y826" s="1" t="s">
        <v>23</v>
      </c>
      <c r="Z826" s="1" t="s">
        <v>32</v>
      </c>
    </row>
    <row r="827" spans="1:26" x14ac:dyDescent="0.35">
      <c r="A827" s="1">
        <v>4038742</v>
      </c>
      <c r="B827" s="1" t="s">
        <v>31</v>
      </c>
      <c r="C827" s="1">
        <v>3300</v>
      </c>
      <c r="D827" s="1" t="s">
        <v>30</v>
      </c>
      <c r="E827" s="1">
        <v>301</v>
      </c>
      <c r="F827" s="1">
        <v>0</v>
      </c>
      <c r="G827" s="1">
        <v>60</v>
      </c>
      <c r="H827" s="1" t="s">
        <v>29</v>
      </c>
      <c r="I827" s="1">
        <v>20</v>
      </c>
      <c r="J827" s="1">
        <v>60</v>
      </c>
      <c r="M827" s="1" t="s">
        <v>28</v>
      </c>
      <c r="N827" s="1">
        <v>0</v>
      </c>
      <c r="O827" s="1" t="s">
        <v>27</v>
      </c>
      <c r="P827" s="1">
        <v>45476</v>
      </c>
      <c r="Q827" s="1">
        <v>0.49626157407407001</v>
      </c>
      <c r="R827" s="1" t="s">
        <v>145</v>
      </c>
      <c r="S827" s="1" t="s">
        <v>144</v>
      </c>
      <c r="U827" s="1" t="s">
        <v>24</v>
      </c>
      <c r="V827" s="1">
        <v>1</v>
      </c>
      <c r="X827" s="1" t="s">
        <v>141</v>
      </c>
      <c r="Y827" s="1" t="s">
        <v>23</v>
      </c>
      <c r="Z827" s="1" t="s">
        <v>32</v>
      </c>
    </row>
    <row r="828" spans="1:26" x14ac:dyDescent="0.35">
      <c r="A828" s="1">
        <v>4038743</v>
      </c>
      <c r="B828" s="1" t="s">
        <v>31</v>
      </c>
      <c r="C828" s="1">
        <v>3300</v>
      </c>
      <c r="D828" s="1" t="s">
        <v>30</v>
      </c>
      <c r="E828" s="1">
        <v>301</v>
      </c>
      <c r="F828" s="1">
        <v>0</v>
      </c>
      <c r="G828" s="1">
        <v>60</v>
      </c>
      <c r="H828" s="1" t="s">
        <v>29</v>
      </c>
      <c r="I828" s="1">
        <v>20</v>
      </c>
      <c r="J828" s="1">
        <v>60</v>
      </c>
      <c r="M828" s="1" t="s">
        <v>28</v>
      </c>
      <c r="N828" s="1">
        <v>0</v>
      </c>
      <c r="O828" s="1" t="s">
        <v>27</v>
      </c>
      <c r="P828" s="1">
        <v>45476</v>
      </c>
      <c r="Q828" s="1">
        <v>0.49811342592593</v>
      </c>
      <c r="R828" s="1" t="s">
        <v>143</v>
      </c>
      <c r="S828" s="1" t="s">
        <v>142</v>
      </c>
      <c r="U828" s="1" t="s">
        <v>24</v>
      </c>
      <c r="V828" s="1">
        <v>1</v>
      </c>
      <c r="X828" s="1" t="s">
        <v>141</v>
      </c>
      <c r="Y828" s="1" t="s">
        <v>23</v>
      </c>
      <c r="Z828" s="1" t="s">
        <v>32</v>
      </c>
    </row>
    <row r="829" spans="1:26" x14ac:dyDescent="0.35">
      <c r="A829" s="1">
        <v>4043184</v>
      </c>
      <c r="B829" s="1" t="s">
        <v>31</v>
      </c>
      <c r="C829" s="1">
        <v>3300</v>
      </c>
      <c r="D829" s="1" t="s">
        <v>30</v>
      </c>
      <c r="E829" s="1">
        <v>301</v>
      </c>
      <c r="F829" s="1">
        <v>0</v>
      </c>
      <c r="G829" s="1">
        <v>100</v>
      </c>
      <c r="H829" s="1" t="s">
        <v>29</v>
      </c>
      <c r="I829" s="1">
        <v>20</v>
      </c>
      <c r="J829" s="1">
        <v>100</v>
      </c>
      <c r="M829" s="1" t="s">
        <v>28</v>
      </c>
      <c r="N829" s="1">
        <v>0</v>
      </c>
      <c r="O829" s="1" t="s">
        <v>27</v>
      </c>
      <c r="P829" s="1">
        <v>45618</v>
      </c>
      <c r="Q829" s="1">
        <v>0.50677083333332995</v>
      </c>
      <c r="R829" s="1" t="s">
        <v>140</v>
      </c>
      <c r="S829" s="1" t="s">
        <v>139</v>
      </c>
      <c r="U829" s="1" t="s">
        <v>24</v>
      </c>
      <c r="V829" s="1">
        <v>1</v>
      </c>
      <c r="X829" s="1" t="s">
        <v>24</v>
      </c>
      <c r="Y829" s="1" t="s">
        <v>23</v>
      </c>
      <c r="Z829" s="1" t="s">
        <v>32</v>
      </c>
    </row>
    <row r="830" spans="1:26" x14ac:dyDescent="0.35">
      <c r="A830" s="1">
        <v>4044446</v>
      </c>
      <c r="B830" s="1" t="s">
        <v>31</v>
      </c>
      <c r="C830" s="1">
        <v>3300</v>
      </c>
      <c r="D830" s="1" t="s">
        <v>41</v>
      </c>
      <c r="G830" s="1">
        <v>0</v>
      </c>
      <c r="J830" s="1">
        <v>0</v>
      </c>
      <c r="M830" s="1" t="s">
        <v>28</v>
      </c>
      <c r="N830" s="1">
        <v>0</v>
      </c>
      <c r="O830" s="1" t="s">
        <v>27</v>
      </c>
      <c r="P830" s="1">
        <v>45821</v>
      </c>
      <c r="Q830" s="1">
        <v>0.50636574074074003</v>
      </c>
      <c r="R830" s="1" t="s">
        <v>138</v>
      </c>
      <c r="S830" s="1" t="s">
        <v>137</v>
      </c>
      <c r="U830" s="1" t="s">
        <v>24</v>
      </c>
      <c r="V830" s="1">
        <v>1</v>
      </c>
      <c r="Y830" s="1" t="s">
        <v>23</v>
      </c>
      <c r="Z830" s="1" t="s">
        <v>23</v>
      </c>
    </row>
    <row r="831" spans="1:26" x14ac:dyDescent="0.35">
      <c r="A831" s="1">
        <v>4044449</v>
      </c>
      <c r="B831" s="1" t="s">
        <v>31</v>
      </c>
      <c r="C831" s="1">
        <v>3300</v>
      </c>
      <c r="D831" s="1" t="s">
        <v>30</v>
      </c>
      <c r="E831" s="1">
        <v>301</v>
      </c>
      <c r="F831" s="1">
        <v>0</v>
      </c>
      <c r="G831" s="1">
        <v>100</v>
      </c>
      <c r="H831" s="1" t="s">
        <v>29</v>
      </c>
      <c r="I831" s="1">
        <v>20</v>
      </c>
      <c r="J831" s="1">
        <v>50</v>
      </c>
      <c r="M831" s="1" t="s">
        <v>28</v>
      </c>
      <c r="N831" s="1">
        <v>0</v>
      </c>
      <c r="O831" s="1" t="s">
        <v>27</v>
      </c>
      <c r="P831" s="1">
        <v>45821</v>
      </c>
      <c r="Q831" s="1">
        <v>0.47210648148147999</v>
      </c>
      <c r="R831" s="1" t="s">
        <v>136</v>
      </c>
      <c r="S831" s="1" t="s">
        <v>135</v>
      </c>
      <c r="U831" s="1" t="s">
        <v>24</v>
      </c>
      <c r="V831" s="1">
        <v>1</v>
      </c>
      <c r="X831" s="1" t="s">
        <v>24</v>
      </c>
      <c r="Y831" s="1" t="s">
        <v>23</v>
      </c>
      <c r="Z831" s="1" t="s">
        <v>32</v>
      </c>
    </row>
    <row r="832" spans="1:26" x14ac:dyDescent="0.35">
      <c r="A832" s="1">
        <v>4044453</v>
      </c>
      <c r="B832" s="1" t="s">
        <v>31</v>
      </c>
      <c r="C832" s="1">
        <v>3300</v>
      </c>
      <c r="D832" s="1" t="s">
        <v>30</v>
      </c>
      <c r="E832" s="1">
        <v>301</v>
      </c>
      <c r="F832" s="1">
        <v>0</v>
      </c>
      <c r="G832" s="1">
        <v>400</v>
      </c>
      <c r="H832" s="1" t="s">
        <v>29</v>
      </c>
      <c r="I832" s="1" t="s">
        <v>71</v>
      </c>
      <c r="J832" s="1">
        <v>200</v>
      </c>
      <c r="M832" s="1" t="s">
        <v>28</v>
      </c>
      <c r="N832" s="1">
        <v>0</v>
      </c>
      <c r="O832" s="1" t="s">
        <v>27</v>
      </c>
      <c r="P832" s="1">
        <v>45947</v>
      </c>
      <c r="Q832" s="1">
        <v>0.29704861111110997</v>
      </c>
      <c r="R832" s="1" t="s">
        <v>134</v>
      </c>
      <c r="S832" s="1" t="s">
        <v>133</v>
      </c>
      <c r="U832" s="1" t="s">
        <v>24</v>
      </c>
      <c r="V832" s="1">
        <v>1</v>
      </c>
      <c r="Y832" s="1" t="s">
        <v>23</v>
      </c>
      <c r="Z832" s="1" t="s">
        <v>23</v>
      </c>
    </row>
    <row r="833" spans="1:26" x14ac:dyDescent="0.35">
      <c r="A833" s="1">
        <v>4044460</v>
      </c>
      <c r="B833" s="1" t="s">
        <v>31</v>
      </c>
      <c r="C833" s="1">
        <v>3300</v>
      </c>
      <c r="D833" s="1" t="s">
        <v>30</v>
      </c>
      <c r="E833" s="1">
        <v>301</v>
      </c>
      <c r="F833" s="1">
        <v>0</v>
      </c>
      <c r="G833" s="1">
        <v>160</v>
      </c>
      <c r="H833" s="1" t="s">
        <v>29</v>
      </c>
      <c r="I833" s="1" t="s">
        <v>71</v>
      </c>
      <c r="J833" s="1">
        <v>90</v>
      </c>
      <c r="M833" s="1" t="s">
        <v>28</v>
      </c>
      <c r="N833" s="1">
        <v>0</v>
      </c>
      <c r="O833" s="1" t="s">
        <v>132</v>
      </c>
      <c r="P833" s="1">
        <v>46056</v>
      </c>
      <c r="Q833" s="1">
        <v>0.47446759259259003</v>
      </c>
      <c r="R833" s="1" t="s">
        <v>131</v>
      </c>
      <c r="S833" s="1" t="s">
        <v>130</v>
      </c>
      <c r="U833" s="1" t="s">
        <v>24</v>
      </c>
      <c r="V833" s="1">
        <v>1</v>
      </c>
      <c r="X833" s="1" t="s">
        <v>24</v>
      </c>
      <c r="Y833" s="1" t="s">
        <v>23</v>
      </c>
      <c r="Z833" s="1" t="s">
        <v>32</v>
      </c>
    </row>
    <row r="834" spans="1:26" x14ac:dyDescent="0.35">
      <c r="A834" s="1">
        <v>4044461</v>
      </c>
      <c r="B834" s="1" t="s">
        <v>31</v>
      </c>
      <c r="C834" s="1">
        <v>3300</v>
      </c>
      <c r="D834" s="1" t="s">
        <v>30</v>
      </c>
      <c r="E834" s="1">
        <v>301</v>
      </c>
      <c r="F834" s="1">
        <v>0</v>
      </c>
      <c r="G834" s="1">
        <v>400</v>
      </c>
      <c r="H834" s="1" t="s">
        <v>29</v>
      </c>
      <c r="I834" s="1">
        <v>20</v>
      </c>
      <c r="J834" s="1">
        <v>36</v>
      </c>
      <c r="M834" s="1" t="s">
        <v>28</v>
      </c>
      <c r="N834" s="1">
        <v>0</v>
      </c>
      <c r="O834" s="1" t="s">
        <v>27</v>
      </c>
      <c r="P834" s="1">
        <v>45821</v>
      </c>
      <c r="Q834" s="1">
        <v>0.48499999999999999</v>
      </c>
      <c r="R834" s="1" t="s">
        <v>129</v>
      </c>
      <c r="S834" s="1" t="s">
        <v>128</v>
      </c>
      <c r="U834" s="1" t="s">
        <v>24</v>
      </c>
      <c r="V834" s="1">
        <v>1</v>
      </c>
      <c r="X834" s="1" t="s">
        <v>24</v>
      </c>
      <c r="Y834" s="1" t="s">
        <v>23</v>
      </c>
      <c r="Z834" s="1" t="s">
        <v>32</v>
      </c>
    </row>
    <row r="835" spans="1:26" x14ac:dyDescent="0.35">
      <c r="A835" s="1">
        <v>4044462</v>
      </c>
      <c r="B835" s="1" t="s">
        <v>31</v>
      </c>
      <c r="C835" s="1">
        <v>3300</v>
      </c>
      <c r="D835" s="1" t="s">
        <v>30</v>
      </c>
      <c r="E835" s="1">
        <v>301</v>
      </c>
      <c r="F835" s="1">
        <v>0</v>
      </c>
      <c r="G835" s="1">
        <v>50</v>
      </c>
      <c r="H835" s="1" t="s">
        <v>29</v>
      </c>
      <c r="I835" s="1" t="s">
        <v>71</v>
      </c>
      <c r="J835" s="1">
        <v>18</v>
      </c>
      <c r="M835" s="1" t="s">
        <v>28</v>
      </c>
      <c r="N835" s="1">
        <v>0</v>
      </c>
      <c r="O835" s="1" t="s">
        <v>27</v>
      </c>
      <c r="P835" s="1">
        <v>45947</v>
      </c>
      <c r="Q835" s="1">
        <v>0.32734953703704001</v>
      </c>
      <c r="R835" s="1" t="s">
        <v>127</v>
      </c>
      <c r="S835" s="1" t="s">
        <v>126</v>
      </c>
      <c r="U835" s="1" t="s">
        <v>24</v>
      </c>
      <c r="V835" s="1">
        <v>1</v>
      </c>
      <c r="X835" s="1" t="s">
        <v>24</v>
      </c>
      <c r="Y835" s="1" t="s">
        <v>23</v>
      </c>
      <c r="Z835" s="1" t="s">
        <v>32</v>
      </c>
    </row>
    <row r="836" spans="1:26" x14ac:dyDescent="0.35">
      <c r="A836" s="1">
        <v>4044466</v>
      </c>
      <c r="B836" s="1" t="s">
        <v>31</v>
      </c>
      <c r="C836" s="1">
        <v>3300</v>
      </c>
      <c r="D836" s="1" t="s">
        <v>30</v>
      </c>
      <c r="E836" s="1">
        <v>301</v>
      </c>
      <c r="F836" s="1">
        <v>0</v>
      </c>
      <c r="G836" s="1">
        <v>20</v>
      </c>
      <c r="H836" s="1" t="s">
        <v>29</v>
      </c>
      <c r="I836" s="1" t="s">
        <v>71</v>
      </c>
      <c r="J836" s="1">
        <v>20</v>
      </c>
      <c r="M836" s="1" t="s">
        <v>28</v>
      </c>
      <c r="N836" s="1">
        <v>0</v>
      </c>
      <c r="O836" s="1" t="s">
        <v>27</v>
      </c>
      <c r="P836" s="1">
        <v>45947</v>
      </c>
      <c r="Q836" s="1">
        <v>0.29829861111111</v>
      </c>
      <c r="R836" s="1" t="s">
        <v>125</v>
      </c>
      <c r="S836" s="1" t="s">
        <v>124</v>
      </c>
      <c r="U836" s="1" t="s">
        <v>24</v>
      </c>
      <c r="V836" s="1">
        <v>1</v>
      </c>
      <c r="X836" s="1" t="s">
        <v>24</v>
      </c>
      <c r="Y836" s="1" t="s">
        <v>23</v>
      </c>
      <c r="Z836" s="1" t="s">
        <v>32</v>
      </c>
    </row>
    <row r="837" spans="1:26" x14ac:dyDescent="0.35">
      <c r="A837" s="1">
        <v>4044863</v>
      </c>
      <c r="B837" s="1" t="s">
        <v>31</v>
      </c>
      <c r="C837" s="1">
        <v>3300</v>
      </c>
      <c r="D837" s="1" t="s">
        <v>30</v>
      </c>
      <c r="E837" s="1">
        <v>301</v>
      </c>
      <c r="F837" s="1">
        <v>0</v>
      </c>
      <c r="G837" s="1">
        <v>200</v>
      </c>
      <c r="H837" s="1" t="s">
        <v>29</v>
      </c>
      <c r="I837" s="1">
        <v>20</v>
      </c>
      <c r="J837" s="1">
        <v>100</v>
      </c>
      <c r="M837" s="1" t="s">
        <v>28</v>
      </c>
      <c r="N837" s="1">
        <v>0</v>
      </c>
      <c r="O837" s="1" t="s">
        <v>27</v>
      </c>
      <c r="P837" s="1">
        <v>45923</v>
      </c>
      <c r="Q837" s="1">
        <v>0.32100694444444</v>
      </c>
      <c r="R837" s="1" t="s">
        <v>123</v>
      </c>
      <c r="S837" s="1" t="s">
        <v>122</v>
      </c>
      <c r="U837" s="1" t="s">
        <v>24</v>
      </c>
      <c r="V837" s="1">
        <v>1</v>
      </c>
      <c r="X837" s="1" t="s">
        <v>24</v>
      </c>
      <c r="Y837" s="1" t="s">
        <v>23</v>
      </c>
      <c r="Z837" s="1" t="s">
        <v>32</v>
      </c>
    </row>
    <row r="838" spans="1:26" x14ac:dyDescent="0.35">
      <c r="A838" s="1">
        <v>4044864</v>
      </c>
      <c r="B838" s="1" t="s">
        <v>31</v>
      </c>
      <c r="C838" s="1">
        <v>3300</v>
      </c>
      <c r="D838" s="1" t="s">
        <v>30</v>
      </c>
      <c r="E838" s="1">
        <v>301</v>
      </c>
      <c r="F838" s="1">
        <v>0</v>
      </c>
      <c r="G838" s="1">
        <v>200</v>
      </c>
      <c r="H838" s="1" t="s">
        <v>29</v>
      </c>
      <c r="I838" s="1">
        <v>20</v>
      </c>
      <c r="J838" s="1">
        <v>100</v>
      </c>
      <c r="M838" s="1" t="s">
        <v>28</v>
      </c>
      <c r="N838" s="1">
        <v>0</v>
      </c>
      <c r="O838" s="1" t="s">
        <v>27</v>
      </c>
      <c r="P838" s="1">
        <v>45923</v>
      </c>
      <c r="Q838" s="1">
        <v>0.32166666666666999</v>
      </c>
      <c r="R838" s="1" t="s">
        <v>121</v>
      </c>
      <c r="S838" s="1" t="s">
        <v>120</v>
      </c>
      <c r="U838" s="1" t="s">
        <v>24</v>
      </c>
      <c r="V838" s="1">
        <v>1</v>
      </c>
      <c r="X838" s="1" t="s">
        <v>24</v>
      </c>
      <c r="Y838" s="1" t="s">
        <v>23</v>
      </c>
      <c r="Z838" s="1" t="s">
        <v>32</v>
      </c>
    </row>
    <row r="839" spans="1:26" x14ac:dyDescent="0.35">
      <c r="A839" s="1">
        <v>4045014</v>
      </c>
      <c r="B839" s="1" t="s">
        <v>31</v>
      </c>
      <c r="C839" s="1">
        <v>3300</v>
      </c>
      <c r="D839" s="1" t="s">
        <v>30</v>
      </c>
      <c r="E839" s="1">
        <v>301</v>
      </c>
      <c r="F839" s="1">
        <v>0</v>
      </c>
      <c r="G839" s="1">
        <v>120</v>
      </c>
      <c r="H839" s="1" t="s">
        <v>29</v>
      </c>
      <c r="I839" s="1" t="s">
        <v>71</v>
      </c>
      <c r="J839" s="1">
        <v>80</v>
      </c>
      <c r="M839" s="1" t="s">
        <v>28</v>
      </c>
      <c r="N839" s="1">
        <v>0</v>
      </c>
      <c r="O839" s="1" t="s">
        <v>27</v>
      </c>
      <c r="P839" s="1">
        <v>46057</v>
      </c>
      <c r="Q839" s="1">
        <v>0.34178240740741</v>
      </c>
      <c r="R839" s="1" t="s">
        <v>119</v>
      </c>
      <c r="S839" s="1" t="s">
        <v>118</v>
      </c>
      <c r="U839" s="1" t="s">
        <v>24</v>
      </c>
      <c r="V839" s="1">
        <v>1</v>
      </c>
      <c r="X839" s="1" t="s">
        <v>24</v>
      </c>
      <c r="Y839" s="1" t="s">
        <v>23</v>
      </c>
      <c r="Z839" s="1" t="s">
        <v>32</v>
      </c>
    </row>
    <row r="840" spans="1:26" x14ac:dyDescent="0.35">
      <c r="A840" s="1">
        <v>4045015</v>
      </c>
      <c r="B840" s="1" t="s">
        <v>31</v>
      </c>
      <c r="C840" s="1">
        <v>3300</v>
      </c>
      <c r="D840" s="1" t="s">
        <v>30</v>
      </c>
      <c r="E840" s="1">
        <v>301</v>
      </c>
      <c r="F840" s="1">
        <v>0</v>
      </c>
      <c r="G840" s="1">
        <v>2</v>
      </c>
      <c r="H840" s="1" t="s">
        <v>29</v>
      </c>
      <c r="I840" s="1">
        <v>20</v>
      </c>
      <c r="J840" s="1">
        <v>2</v>
      </c>
      <c r="M840" s="1" t="s">
        <v>28</v>
      </c>
      <c r="N840" s="1">
        <v>0</v>
      </c>
      <c r="O840" s="1" t="s">
        <v>27</v>
      </c>
      <c r="P840" s="1">
        <v>45860</v>
      </c>
      <c r="Q840" s="1">
        <v>0.37230324074074</v>
      </c>
      <c r="R840" s="1" t="s">
        <v>117</v>
      </c>
      <c r="S840" s="1" t="s">
        <v>116</v>
      </c>
      <c r="U840" s="1" t="s">
        <v>24</v>
      </c>
      <c r="V840" s="1">
        <v>1</v>
      </c>
      <c r="X840" s="1" t="s">
        <v>24</v>
      </c>
      <c r="Y840" s="1" t="s">
        <v>23</v>
      </c>
      <c r="Z840" s="1" t="s">
        <v>32</v>
      </c>
    </row>
    <row r="841" spans="1:26" x14ac:dyDescent="0.35">
      <c r="A841" s="1">
        <v>4045018</v>
      </c>
      <c r="B841" s="1" t="s">
        <v>31</v>
      </c>
      <c r="C841" s="1">
        <v>3300</v>
      </c>
      <c r="D841" s="1" t="s">
        <v>30</v>
      </c>
      <c r="E841" s="1">
        <v>301</v>
      </c>
      <c r="F841" s="1">
        <v>0</v>
      </c>
      <c r="G841" s="1">
        <v>2</v>
      </c>
      <c r="H841" s="1" t="s">
        <v>29</v>
      </c>
      <c r="I841" s="1">
        <v>20</v>
      </c>
      <c r="J841" s="1">
        <v>2</v>
      </c>
      <c r="M841" s="1" t="s">
        <v>28</v>
      </c>
      <c r="N841" s="1">
        <v>0</v>
      </c>
      <c r="O841" s="1" t="s">
        <v>27</v>
      </c>
      <c r="P841" s="1">
        <v>45860</v>
      </c>
      <c r="Q841" s="1">
        <v>0.30370370370369998</v>
      </c>
      <c r="R841" s="1" t="s">
        <v>115</v>
      </c>
      <c r="S841" s="1" t="s">
        <v>114</v>
      </c>
      <c r="U841" s="1" t="s">
        <v>24</v>
      </c>
      <c r="V841" s="1">
        <v>1</v>
      </c>
      <c r="X841" s="1" t="s">
        <v>24</v>
      </c>
      <c r="Y841" s="1" t="s">
        <v>23</v>
      </c>
      <c r="Z841" s="1" t="s">
        <v>32</v>
      </c>
    </row>
    <row r="842" spans="1:26" x14ac:dyDescent="0.35">
      <c r="A842" s="1">
        <v>4045020</v>
      </c>
      <c r="B842" s="1" t="s">
        <v>31</v>
      </c>
      <c r="C842" s="1">
        <v>3300</v>
      </c>
      <c r="D842" s="1" t="s">
        <v>30</v>
      </c>
      <c r="E842" s="1">
        <v>301</v>
      </c>
      <c r="F842" s="1">
        <v>0</v>
      </c>
      <c r="G842" s="1">
        <v>800</v>
      </c>
      <c r="H842" s="1" t="s">
        <v>29</v>
      </c>
      <c r="I842" s="1">
        <v>20</v>
      </c>
      <c r="J842" s="1">
        <v>400</v>
      </c>
      <c r="M842" s="1" t="s">
        <v>28</v>
      </c>
      <c r="N842" s="1">
        <v>0</v>
      </c>
      <c r="O842" s="1" t="s">
        <v>27</v>
      </c>
      <c r="P842" s="1">
        <v>46070</v>
      </c>
      <c r="Q842" s="1">
        <v>0.27597222222222001</v>
      </c>
      <c r="R842" s="1" t="s">
        <v>113</v>
      </c>
      <c r="S842" s="1" t="s">
        <v>112</v>
      </c>
      <c r="U842" s="1" t="s">
        <v>24</v>
      </c>
      <c r="V842" s="1">
        <v>1</v>
      </c>
      <c r="X842" s="1" t="s">
        <v>24</v>
      </c>
      <c r="Y842" s="1" t="s">
        <v>23</v>
      </c>
      <c r="Z842" s="1" t="s">
        <v>32</v>
      </c>
    </row>
    <row r="843" spans="1:26" x14ac:dyDescent="0.35">
      <c r="A843" s="1">
        <v>4045021</v>
      </c>
      <c r="B843" s="1" t="s">
        <v>31</v>
      </c>
      <c r="C843" s="1">
        <v>3300</v>
      </c>
      <c r="D843" s="1" t="s">
        <v>30</v>
      </c>
      <c r="E843" s="1">
        <v>301</v>
      </c>
      <c r="F843" s="1">
        <v>0</v>
      </c>
      <c r="G843" s="1">
        <v>5</v>
      </c>
      <c r="H843" s="1" t="s">
        <v>29</v>
      </c>
      <c r="I843" s="1">
        <v>20</v>
      </c>
      <c r="J843" s="1">
        <v>5</v>
      </c>
      <c r="M843" s="1" t="s">
        <v>28</v>
      </c>
      <c r="N843" s="1">
        <v>0</v>
      </c>
      <c r="O843" s="1" t="s">
        <v>27</v>
      </c>
      <c r="P843" s="1">
        <v>45860</v>
      </c>
      <c r="Q843" s="1">
        <v>0.29701388888889002</v>
      </c>
      <c r="R843" s="1" t="s">
        <v>111</v>
      </c>
      <c r="S843" s="1" t="s">
        <v>110</v>
      </c>
      <c r="U843" s="1" t="s">
        <v>24</v>
      </c>
      <c r="V843" s="1">
        <v>1</v>
      </c>
      <c r="X843" s="1" t="s">
        <v>24</v>
      </c>
      <c r="Y843" s="1" t="s">
        <v>23</v>
      </c>
      <c r="Z843" s="1" t="s">
        <v>32</v>
      </c>
    </row>
    <row r="844" spans="1:26" x14ac:dyDescent="0.35">
      <c r="A844" s="1">
        <v>4045024</v>
      </c>
      <c r="B844" s="1" t="s">
        <v>31</v>
      </c>
      <c r="C844" s="1">
        <v>3300</v>
      </c>
      <c r="D844" s="1" t="s">
        <v>30</v>
      </c>
      <c r="E844" s="1">
        <v>301</v>
      </c>
      <c r="F844" s="1">
        <v>0</v>
      </c>
      <c r="G844" s="1">
        <v>5</v>
      </c>
      <c r="H844" s="1" t="s">
        <v>29</v>
      </c>
      <c r="I844" s="1">
        <v>20</v>
      </c>
      <c r="J844" s="1">
        <v>5</v>
      </c>
      <c r="M844" s="1" t="s">
        <v>28</v>
      </c>
      <c r="N844" s="1">
        <v>0</v>
      </c>
      <c r="O844" s="1" t="s">
        <v>27</v>
      </c>
      <c r="P844" s="1">
        <v>45860</v>
      </c>
      <c r="Q844" s="1">
        <v>0.29857638888888999</v>
      </c>
      <c r="R844" s="1" t="s">
        <v>109</v>
      </c>
      <c r="S844" s="1" t="s">
        <v>108</v>
      </c>
      <c r="U844" s="1" t="s">
        <v>24</v>
      </c>
      <c r="V844" s="1">
        <v>1</v>
      </c>
      <c r="X844" s="1" t="s">
        <v>24</v>
      </c>
      <c r="Y844" s="1" t="s">
        <v>23</v>
      </c>
      <c r="Z844" s="1" t="s">
        <v>32</v>
      </c>
    </row>
    <row r="845" spans="1:26" x14ac:dyDescent="0.35">
      <c r="A845" s="1">
        <v>4045025</v>
      </c>
      <c r="B845" s="1" t="s">
        <v>31</v>
      </c>
      <c r="C845" s="1">
        <v>3300</v>
      </c>
      <c r="D845" s="1" t="s">
        <v>30</v>
      </c>
      <c r="E845" s="1">
        <v>301</v>
      </c>
      <c r="F845" s="1">
        <v>0</v>
      </c>
      <c r="G845" s="1">
        <v>60</v>
      </c>
      <c r="H845" s="1" t="s">
        <v>29</v>
      </c>
      <c r="I845" s="1">
        <v>20</v>
      </c>
      <c r="J845" s="1">
        <v>30</v>
      </c>
      <c r="M845" s="1" t="s">
        <v>28</v>
      </c>
      <c r="N845" s="1">
        <v>0</v>
      </c>
      <c r="O845" s="1" t="s">
        <v>27</v>
      </c>
      <c r="P845" s="1">
        <v>45967</v>
      </c>
      <c r="Q845" s="1">
        <v>0.27778935185185</v>
      </c>
      <c r="R845" s="1" t="s">
        <v>107</v>
      </c>
      <c r="S845" s="1" t="s">
        <v>106</v>
      </c>
      <c r="U845" s="1" t="s">
        <v>24</v>
      </c>
      <c r="V845" s="1">
        <v>1</v>
      </c>
      <c r="Y845" s="1" t="s">
        <v>23</v>
      </c>
      <c r="Z845" s="1" t="s">
        <v>23</v>
      </c>
    </row>
    <row r="846" spans="1:26" x14ac:dyDescent="0.35">
      <c r="A846" s="1">
        <v>4045026</v>
      </c>
      <c r="B846" s="1" t="s">
        <v>31</v>
      </c>
      <c r="C846" s="1">
        <v>3300</v>
      </c>
      <c r="D846" s="1" t="s">
        <v>30</v>
      </c>
      <c r="E846" s="1">
        <v>301</v>
      </c>
      <c r="F846" s="1">
        <v>0</v>
      </c>
      <c r="G846" s="1">
        <v>40</v>
      </c>
      <c r="H846" s="1" t="s">
        <v>29</v>
      </c>
      <c r="I846" s="1">
        <v>20</v>
      </c>
      <c r="J846" s="1">
        <v>10</v>
      </c>
      <c r="M846" s="1" t="s">
        <v>28</v>
      </c>
      <c r="N846" s="1">
        <v>0</v>
      </c>
      <c r="O846" s="1" t="s">
        <v>27</v>
      </c>
      <c r="P846" s="1">
        <v>45826</v>
      </c>
      <c r="Q846" s="1">
        <v>0.31435185185184999</v>
      </c>
      <c r="R846" s="1" t="s">
        <v>105</v>
      </c>
      <c r="S846" s="1" t="s">
        <v>104</v>
      </c>
      <c r="U846" s="1" t="s">
        <v>24</v>
      </c>
      <c r="V846" s="1">
        <v>1</v>
      </c>
      <c r="Y846" s="1" t="s">
        <v>23</v>
      </c>
      <c r="Z846" s="1" t="s">
        <v>23</v>
      </c>
    </row>
    <row r="847" spans="1:26" x14ac:dyDescent="0.35">
      <c r="A847" s="1">
        <v>4045027</v>
      </c>
      <c r="B847" s="1" t="s">
        <v>31</v>
      </c>
      <c r="C847" s="1">
        <v>3300</v>
      </c>
      <c r="D847" s="1" t="s">
        <v>30</v>
      </c>
      <c r="E847" s="1">
        <v>301</v>
      </c>
      <c r="F847" s="1">
        <v>0</v>
      </c>
      <c r="G847" s="1">
        <v>1000</v>
      </c>
      <c r="H847" s="1" t="s">
        <v>29</v>
      </c>
      <c r="I847" s="1">
        <v>20</v>
      </c>
      <c r="J847" s="1">
        <v>200</v>
      </c>
      <c r="M847" s="1" t="s">
        <v>28</v>
      </c>
      <c r="N847" s="1">
        <v>0</v>
      </c>
      <c r="O847" s="1" t="s">
        <v>27</v>
      </c>
      <c r="P847" s="1">
        <v>45814</v>
      </c>
      <c r="Q847" s="1">
        <v>0.30278935185185002</v>
      </c>
      <c r="R847" s="1" t="s">
        <v>103</v>
      </c>
      <c r="S847" s="1" t="s">
        <v>102</v>
      </c>
      <c r="U847" s="1" t="s">
        <v>24</v>
      </c>
      <c r="V847" s="1">
        <v>1</v>
      </c>
      <c r="X847" s="1" t="s">
        <v>24</v>
      </c>
      <c r="Y847" s="1" t="s">
        <v>23</v>
      </c>
      <c r="Z847" s="1" t="s">
        <v>32</v>
      </c>
    </row>
    <row r="848" spans="1:26" x14ac:dyDescent="0.35">
      <c r="A848" s="1">
        <v>4045028</v>
      </c>
      <c r="B848" s="1" t="s">
        <v>31</v>
      </c>
      <c r="C848" s="1">
        <v>3300</v>
      </c>
      <c r="D848" s="1" t="s">
        <v>30</v>
      </c>
      <c r="E848" s="1">
        <v>301</v>
      </c>
      <c r="F848" s="1">
        <v>0</v>
      </c>
      <c r="G848" s="1">
        <v>2000</v>
      </c>
      <c r="H848" s="1" t="s">
        <v>29</v>
      </c>
      <c r="I848" s="1">
        <v>20</v>
      </c>
      <c r="J848" s="1">
        <v>400</v>
      </c>
      <c r="M848" s="1" t="s">
        <v>28</v>
      </c>
      <c r="N848" s="1">
        <v>0</v>
      </c>
      <c r="O848" s="1" t="s">
        <v>27</v>
      </c>
      <c r="P848" s="1">
        <v>45814</v>
      </c>
      <c r="Q848" s="1">
        <v>0.30460648148148001</v>
      </c>
      <c r="R848" s="1" t="s">
        <v>101</v>
      </c>
      <c r="S848" s="1" t="s">
        <v>100</v>
      </c>
      <c r="U848" s="1" t="s">
        <v>24</v>
      </c>
      <c r="V848" s="1">
        <v>1</v>
      </c>
      <c r="X848" s="1" t="s">
        <v>24</v>
      </c>
      <c r="Y848" s="1" t="s">
        <v>23</v>
      </c>
      <c r="Z848" s="1" t="s">
        <v>32</v>
      </c>
    </row>
    <row r="849" spans="1:26" x14ac:dyDescent="0.35">
      <c r="A849" s="1">
        <v>4045029</v>
      </c>
      <c r="B849" s="1" t="s">
        <v>31</v>
      </c>
      <c r="C849" s="1">
        <v>3300</v>
      </c>
      <c r="D849" s="1" t="s">
        <v>30</v>
      </c>
      <c r="E849" s="1">
        <v>301</v>
      </c>
      <c r="F849" s="1">
        <v>0</v>
      </c>
      <c r="G849" s="1">
        <v>2400</v>
      </c>
      <c r="H849" s="1" t="s">
        <v>29</v>
      </c>
      <c r="I849" s="1">
        <v>20</v>
      </c>
      <c r="J849" s="1">
        <v>600</v>
      </c>
      <c r="M849" s="1" t="s">
        <v>28</v>
      </c>
      <c r="N849" s="1">
        <v>0</v>
      </c>
      <c r="O849" s="1" t="s">
        <v>27</v>
      </c>
      <c r="P849" s="1">
        <v>45923</v>
      </c>
      <c r="Q849" s="1">
        <v>0.41975694444444001</v>
      </c>
      <c r="R849" s="1" t="s">
        <v>99</v>
      </c>
      <c r="S849" s="1" t="s">
        <v>98</v>
      </c>
      <c r="U849" s="1" t="s">
        <v>24</v>
      </c>
      <c r="V849" s="1">
        <v>1</v>
      </c>
      <c r="X849" s="1" t="s">
        <v>24</v>
      </c>
      <c r="Y849" s="1" t="s">
        <v>23</v>
      </c>
      <c r="Z849" s="1" t="s">
        <v>32</v>
      </c>
    </row>
    <row r="850" spans="1:26" x14ac:dyDescent="0.35">
      <c r="A850" s="1">
        <v>4045030</v>
      </c>
      <c r="B850" s="1" t="s">
        <v>31</v>
      </c>
      <c r="C850" s="1">
        <v>3300</v>
      </c>
      <c r="D850" s="1" t="s">
        <v>30</v>
      </c>
      <c r="E850" s="1">
        <v>301</v>
      </c>
      <c r="F850" s="1">
        <v>0</v>
      </c>
      <c r="G850" s="1">
        <v>1200</v>
      </c>
      <c r="H850" s="1" t="s">
        <v>29</v>
      </c>
      <c r="I850" s="1">
        <v>20</v>
      </c>
      <c r="J850" s="1">
        <v>400</v>
      </c>
      <c r="M850" s="1" t="s">
        <v>28</v>
      </c>
      <c r="N850" s="1">
        <v>0</v>
      </c>
      <c r="O850" s="1" t="s">
        <v>27</v>
      </c>
      <c r="P850" s="1">
        <v>45814</v>
      </c>
      <c r="Q850" s="1">
        <v>0.34467592592592999</v>
      </c>
      <c r="R850" s="1" t="s">
        <v>97</v>
      </c>
      <c r="S850" s="1" t="s">
        <v>96</v>
      </c>
      <c r="U850" s="1" t="s">
        <v>24</v>
      </c>
      <c r="V850" s="1">
        <v>1</v>
      </c>
      <c r="X850" s="1" t="s">
        <v>24</v>
      </c>
      <c r="Y850" s="1" t="s">
        <v>23</v>
      </c>
      <c r="Z850" s="1" t="s">
        <v>32</v>
      </c>
    </row>
    <row r="851" spans="1:26" x14ac:dyDescent="0.35">
      <c r="A851" s="1">
        <v>4045031</v>
      </c>
      <c r="B851" s="1" t="s">
        <v>31</v>
      </c>
      <c r="C851" s="1">
        <v>3300</v>
      </c>
      <c r="D851" s="1" t="s">
        <v>41</v>
      </c>
      <c r="E851" s="1">
        <v>301</v>
      </c>
      <c r="F851" s="1">
        <v>0</v>
      </c>
      <c r="G851" s="1">
        <v>3000</v>
      </c>
      <c r="H851" s="1" t="s">
        <v>29</v>
      </c>
      <c r="I851" s="1">
        <v>20</v>
      </c>
      <c r="J851" s="1">
        <v>600</v>
      </c>
      <c r="M851" s="1" t="s">
        <v>28</v>
      </c>
      <c r="N851" s="1">
        <v>0</v>
      </c>
      <c r="O851" s="1" t="s">
        <v>27</v>
      </c>
      <c r="P851" s="1">
        <v>45923</v>
      </c>
      <c r="Q851" s="1">
        <v>0.42062500000000003</v>
      </c>
      <c r="R851" s="1" t="s">
        <v>95</v>
      </c>
      <c r="S851" s="1" t="s">
        <v>94</v>
      </c>
      <c r="U851" s="1" t="s">
        <v>24</v>
      </c>
      <c r="V851" s="1">
        <v>1</v>
      </c>
      <c r="X851" s="1" t="s">
        <v>24</v>
      </c>
      <c r="Y851" s="1" t="s">
        <v>23</v>
      </c>
      <c r="Z851" s="1" t="s">
        <v>32</v>
      </c>
    </row>
    <row r="852" spans="1:26" x14ac:dyDescent="0.35">
      <c r="A852" s="1">
        <v>4045032</v>
      </c>
      <c r="B852" s="1" t="s">
        <v>31</v>
      </c>
      <c r="C852" s="1">
        <v>3300</v>
      </c>
      <c r="D852" s="1" t="s">
        <v>30</v>
      </c>
      <c r="E852" s="1">
        <v>301</v>
      </c>
      <c r="F852" s="1">
        <v>0</v>
      </c>
      <c r="G852" s="1">
        <v>2</v>
      </c>
      <c r="H852" s="1" t="s">
        <v>29</v>
      </c>
      <c r="I852" s="1">
        <v>20</v>
      </c>
      <c r="J852" s="1">
        <v>2</v>
      </c>
      <c r="M852" s="1" t="s">
        <v>28</v>
      </c>
      <c r="N852" s="1">
        <v>0</v>
      </c>
      <c r="O852" s="1" t="s">
        <v>27</v>
      </c>
      <c r="P852" s="1">
        <v>45860</v>
      </c>
      <c r="Q852" s="1">
        <v>0.30798611111111002</v>
      </c>
      <c r="R852" s="1" t="s">
        <v>93</v>
      </c>
      <c r="S852" s="1" t="s">
        <v>92</v>
      </c>
      <c r="U852" s="1" t="s">
        <v>24</v>
      </c>
      <c r="V852" s="1">
        <v>1</v>
      </c>
      <c r="X852" s="1" t="s">
        <v>24</v>
      </c>
      <c r="Y852" s="1" t="s">
        <v>23</v>
      </c>
      <c r="Z852" s="1" t="s">
        <v>32</v>
      </c>
    </row>
    <row r="853" spans="1:26" x14ac:dyDescent="0.35">
      <c r="A853" s="1">
        <v>4045033</v>
      </c>
      <c r="B853" s="1" t="s">
        <v>31</v>
      </c>
      <c r="C853" s="1">
        <v>3300</v>
      </c>
      <c r="D853" s="1" t="s">
        <v>30</v>
      </c>
      <c r="E853" s="1">
        <v>301</v>
      </c>
      <c r="F853" s="1">
        <v>0</v>
      </c>
      <c r="G853" s="1">
        <v>10</v>
      </c>
      <c r="H853" s="1" t="s">
        <v>29</v>
      </c>
      <c r="I853" s="1">
        <v>20</v>
      </c>
      <c r="J853" s="1">
        <v>5</v>
      </c>
      <c r="M853" s="1" t="s">
        <v>28</v>
      </c>
      <c r="N853" s="1">
        <v>0</v>
      </c>
      <c r="O853" s="1" t="s">
        <v>27</v>
      </c>
      <c r="P853" s="1">
        <v>45826</v>
      </c>
      <c r="Q853" s="1">
        <v>0.37395833333333001</v>
      </c>
      <c r="R853" s="1" t="s">
        <v>91</v>
      </c>
      <c r="S853" s="1" t="s">
        <v>90</v>
      </c>
      <c r="U853" s="1" t="s">
        <v>24</v>
      </c>
      <c r="V853" s="1">
        <v>1</v>
      </c>
      <c r="X853" s="1" t="s">
        <v>24</v>
      </c>
      <c r="Y853" s="1" t="s">
        <v>23</v>
      </c>
      <c r="Z853" s="1" t="s">
        <v>32</v>
      </c>
    </row>
    <row r="854" spans="1:26" x14ac:dyDescent="0.35">
      <c r="A854" s="1">
        <v>4045034</v>
      </c>
      <c r="B854" s="1" t="s">
        <v>31</v>
      </c>
      <c r="C854" s="1">
        <v>3300</v>
      </c>
      <c r="D854" s="1" t="s">
        <v>30</v>
      </c>
      <c r="E854" s="1">
        <v>301</v>
      </c>
      <c r="F854" s="1">
        <v>0</v>
      </c>
      <c r="G854" s="1">
        <v>10</v>
      </c>
      <c r="H854" s="1" t="s">
        <v>29</v>
      </c>
      <c r="I854" s="1">
        <v>20</v>
      </c>
      <c r="J854" s="1">
        <v>5</v>
      </c>
      <c r="M854" s="1" t="s">
        <v>28</v>
      </c>
      <c r="N854" s="1">
        <v>0</v>
      </c>
      <c r="O854" s="1" t="s">
        <v>27</v>
      </c>
      <c r="P854" s="1">
        <v>45826</v>
      </c>
      <c r="Q854" s="1">
        <v>0.37501157407406999</v>
      </c>
      <c r="R854" s="1" t="s">
        <v>89</v>
      </c>
      <c r="S854" s="1" t="s">
        <v>88</v>
      </c>
      <c r="U854" s="1" t="s">
        <v>24</v>
      </c>
      <c r="V854" s="1">
        <v>1</v>
      </c>
      <c r="X854" s="1" t="s">
        <v>24</v>
      </c>
      <c r="Y854" s="1" t="s">
        <v>23</v>
      </c>
      <c r="Z854" s="1" t="s">
        <v>32</v>
      </c>
    </row>
    <row r="855" spans="1:26" x14ac:dyDescent="0.35">
      <c r="A855" s="1">
        <v>4045035</v>
      </c>
      <c r="B855" s="1" t="s">
        <v>31</v>
      </c>
      <c r="C855" s="1">
        <v>3300</v>
      </c>
      <c r="D855" s="1" t="s">
        <v>30</v>
      </c>
      <c r="E855" s="1">
        <v>301</v>
      </c>
      <c r="F855" s="1">
        <v>0</v>
      </c>
      <c r="G855" s="1">
        <v>10</v>
      </c>
      <c r="H855" s="1" t="s">
        <v>29</v>
      </c>
      <c r="I855" s="1">
        <v>20</v>
      </c>
      <c r="J855" s="1">
        <v>5</v>
      </c>
      <c r="M855" s="1" t="s">
        <v>28</v>
      </c>
      <c r="N855" s="1">
        <v>0</v>
      </c>
      <c r="O855" s="1" t="s">
        <v>27</v>
      </c>
      <c r="P855" s="1">
        <v>45826</v>
      </c>
      <c r="Q855" s="1">
        <v>0.37597222222221999</v>
      </c>
      <c r="R855" s="1" t="s">
        <v>87</v>
      </c>
      <c r="S855" s="1" t="s">
        <v>86</v>
      </c>
      <c r="U855" s="1" t="s">
        <v>24</v>
      </c>
      <c r="V855" s="1">
        <v>1</v>
      </c>
      <c r="X855" s="1" t="s">
        <v>24</v>
      </c>
      <c r="Y855" s="1" t="s">
        <v>23</v>
      </c>
      <c r="Z855" s="1" t="s">
        <v>32</v>
      </c>
    </row>
    <row r="856" spans="1:26" x14ac:dyDescent="0.35">
      <c r="A856" s="1">
        <v>4045037</v>
      </c>
      <c r="B856" s="1" t="s">
        <v>31</v>
      </c>
      <c r="C856" s="1">
        <v>3300</v>
      </c>
      <c r="D856" s="1" t="s">
        <v>30</v>
      </c>
      <c r="E856" s="1">
        <v>301</v>
      </c>
      <c r="F856" s="1">
        <v>0</v>
      </c>
      <c r="G856" s="1">
        <v>10</v>
      </c>
      <c r="H856" s="1" t="s">
        <v>29</v>
      </c>
      <c r="I856" s="1">
        <v>20</v>
      </c>
      <c r="J856" s="1">
        <v>5</v>
      </c>
      <c r="M856" s="1" t="s">
        <v>28</v>
      </c>
      <c r="N856" s="1">
        <v>0</v>
      </c>
      <c r="O856" s="1" t="s">
        <v>27</v>
      </c>
      <c r="P856" s="1">
        <v>45826</v>
      </c>
      <c r="Q856" s="1">
        <v>0.37107638888889</v>
      </c>
      <c r="R856" s="1" t="s">
        <v>85</v>
      </c>
      <c r="S856" s="1" t="s">
        <v>84</v>
      </c>
      <c r="U856" s="1" t="s">
        <v>24</v>
      </c>
      <c r="V856" s="1">
        <v>1</v>
      </c>
      <c r="X856" s="1" t="s">
        <v>24</v>
      </c>
      <c r="Y856" s="1" t="s">
        <v>23</v>
      </c>
      <c r="Z856" s="1" t="s">
        <v>32</v>
      </c>
    </row>
    <row r="857" spans="1:26" x14ac:dyDescent="0.35">
      <c r="A857" s="1">
        <v>4045038</v>
      </c>
      <c r="B857" s="1" t="s">
        <v>31</v>
      </c>
      <c r="C857" s="1">
        <v>3300</v>
      </c>
      <c r="D857" s="1" t="s">
        <v>30</v>
      </c>
      <c r="E857" s="1">
        <v>301</v>
      </c>
      <c r="F857" s="1">
        <v>0</v>
      </c>
      <c r="G857" s="1">
        <v>10</v>
      </c>
      <c r="H857" s="1" t="s">
        <v>29</v>
      </c>
      <c r="I857" s="1">
        <v>20</v>
      </c>
      <c r="J857" s="1">
        <v>5</v>
      </c>
      <c r="M857" s="1" t="s">
        <v>28</v>
      </c>
      <c r="N857" s="1">
        <v>0</v>
      </c>
      <c r="O857" s="1" t="s">
        <v>27</v>
      </c>
      <c r="P857" s="1">
        <v>45826</v>
      </c>
      <c r="Q857" s="1">
        <v>0.37196759259258999</v>
      </c>
      <c r="R857" s="1" t="s">
        <v>83</v>
      </c>
      <c r="S857" s="1" t="s">
        <v>82</v>
      </c>
      <c r="U857" s="1" t="s">
        <v>24</v>
      </c>
      <c r="V857" s="1">
        <v>1</v>
      </c>
      <c r="X857" s="1" t="s">
        <v>24</v>
      </c>
      <c r="Y857" s="1" t="s">
        <v>23</v>
      </c>
      <c r="Z857" s="1" t="s">
        <v>32</v>
      </c>
    </row>
    <row r="858" spans="1:26" x14ac:dyDescent="0.35">
      <c r="A858" s="1">
        <v>4045039</v>
      </c>
      <c r="B858" s="1" t="s">
        <v>31</v>
      </c>
      <c r="C858" s="1">
        <v>3300</v>
      </c>
      <c r="D858" s="1" t="s">
        <v>30</v>
      </c>
      <c r="E858" s="1">
        <v>301</v>
      </c>
      <c r="F858" s="1">
        <v>0</v>
      </c>
      <c r="G858" s="1">
        <v>10</v>
      </c>
      <c r="H858" s="1" t="s">
        <v>29</v>
      </c>
      <c r="I858" s="1">
        <v>20</v>
      </c>
      <c r="J858" s="1">
        <v>5</v>
      </c>
      <c r="M858" s="1" t="s">
        <v>28</v>
      </c>
      <c r="N858" s="1">
        <v>0</v>
      </c>
      <c r="O858" s="1" t="s">
        <v>27</v>
      </c>
      <c r="P858" s="1">
        <v>45826</v>
      </c>
      <c r="Q858" s="1">
        <v>0.37306712962963001</v>
      </c>
      <c r="R858" s="1" t="s">
        <v>81</v>
      </c>
      <c r="S858" s="1" t="s">
        <v>80</v>
      </c>
      <c r="U858" s="1" t="s">
        <v>24</v>
      </c>
      <c r="V858" s="1">
        <v>1</v>
      </c>
      <c r="X858" s="1" t="s">
        <v>24</v>
      </c>
      <c r="Y858" s="1" t="s">
        <v>23</v>
      </c>
      <c r="Z858" s="1" t="s">
        <v>32</v>
      </c>
    </row>
    <row r="859" spans="1:26" x14ac:dyDescent="0.35">
      <c r="A859" s="1">
        <v>4045042</v>
      </c>
      <c r="B859" s="1" t="s">
        <v>31</v>
      </c>
      <c r="C859" s="1">
        <v>3300</v>
      </c>
      <c r="D859" s="1" t="s">
        <v>30</v>
      </c>
      <c r="E859" s="1">
        <v>301</v>
      </c>
      <c r="F859" s="1">
        <v>0</v>
      </c>
      <c r="G859" s="1">
        <v>2</v>
      </c>
      <c r="H859" s="1" t="s">
        <v>29</v>
      </c>
      <c r="I859" s="1">
        <v>20</v>
      </c>
      <c r="J859" s="1">
        <v>1</v>
      </c>
      <c r="M859" s="1" t="s">
        <v>28</v>
      </c>
      <c r="N859" s="1">
        <v>0</v>
      </c>
      <c r="O859" s="1" t="s">
        <v>27</v>
      </c>
      <c r="P859" s="1">
        <v>45860</v>
      </c>
      <c r="Q859" s="1">
        <v>0.37343749999999998</v>
      </c>
      <c r="R859" s="1" t="s">
        <v>79</v>
      </c>
      <c r="S859" s="1" t="s">
        <v>78</v>
      </c>
      <c r="U859" s="1" t="s">
        <v>24</v>
      </c>
      <c r="V859" s="1">
        <v>1</v>
      </c>
      <c r="X859" s="1" t="s">
        <v>24</v>
      </c>
      <c r="Y859" s="1" t="s">
        <v>23</v>
      </c>
      <c r="Z859" s="1" t="s">
        <v>32</v>
      </c>
    </row>
    <row r="860" spans="1:26" x14ac:dyDescent="0.35">
      <c r="A860" s="1">
        <v>4045055</v>
      </c>
      <c r="B860" s="1" t="s">
        <v>31</v>
      </c>
      <c r="C860" s="1">
        <v>3300</v>
      </c>
      <c r="D860" s="1" t="s">
        <v>30</v>
      </c>
      <c r="E860" s="1">
        <v>301</v>
      </c>
      <c r="F860" s="1">
        <v>0</v>
      </c>
      <c r="G860" s="1">
        <v>2</v>
      </c>
      <c r="H860" s="1" t="s">
        <v>29</v>
      </c>
      <c r="I860" s="1">
        <v>20</v>
      </c>
      <c r="J860" s="1">
        <v>2</v>
      </c>
      <c r="M860" s="1" t="s">
        <v>28</v>
      </c>
      <c r="N860" s="1">
        <v>0</v>
      </c>
      <c r="O860" s="1" t="s">
        <v>27</v>
      </c>
      <c r="P860" s="1">
        <v>45860</v>
      </c>
      <c r="Q860" s="1">
        <v>0.30033564814815</v>
      </c>
      <c r="R860" s="1" t="s">
        <v>77</v>
      </c>
      <c r="S860" s="1" t="s">
        <v>76</v>
      </c>
      <c r="U860" s="1" t="s">
        <v>24</v>
      </c>
      <c r="V860" s="1">
        <v>1</v>
      </c>
      <c r="X860" s="1" t="s">
        <v>24</v>
      </c>
      <c r="Y860" s="1" t="s">
        <v>23</v>
      </c>
      <c r="Z860" s="1" t="s">
        <v>32</v>
      </c>
    </row>
    <row r="861" spans="1:26" x14ac:dyDescent="0.35">
      <c r="A861" s="1">
        <v>4045056</v>
      </c>
      <c r="B861" s="1" t="s">
        <v>31</v>
      </c>
      <c r="C861" s="1">
        <v>3300</v>
      </c>
      <c r="D861" s="1" t="s">
        <v>30</v>
      </c>
      <c r="E861" s="1">
        <v>301</v>
      </c>
      <c r="F861" s="1">
        <v>0</v>
      </c>
      <c r="G861" s="1">
        <v>2</v>
      </c>
      <c r="H861" s="1" t="s">
        <v>29</v>
      </c>
      <c r="I861" s="1">
        <v>20</v>
      </c>
      <c r="J861" s="1">
        <v>2</v>
      </c>
      <c r="M861" s="1" t="s">
        <v>28</v>
      </c>
      <c r="N861" s="1">
        <v>0</v>
      </c>
      <c r="O861" s="1" t="s">
        <v>27</v>
      </c>
      <c r="P861" s="1">
        <v>45860</v>
      </c>
      <c r="Q861" s="1">
        <v>0.30152777777778</v>
      </c>
      <c r="R861" s="1" t="s">
        <v>75</v>
      </c>
      <c r="S861" s="1" t="s">
        <v>74</v>
      </c>
      <c r="U861" s="1" t="s">
        <v>24</v>
      </c>
      <c r="V861" s="1">
        <v>1</v>
      </c>
      <c r="X861" s="1" t="s">
        <v>24</v>
      </c>
      <c r="Y861" s="1" t="s">
        <v>23</v>
      </c>
      <c r="Z861" s="1" t="s">
        <v>32</v>
      </c>
    </row>
    <row r="862" spans="1:26" x14ac:dyDescent="0.35">
      <c r="A862" s="1">
        <v>4045057</v>
      </c>
      <c r="B862" s="1" t="s">
        <v>31</v>
      </c>
      <c r="C862" s="1">
        <v>3300</v>
      </c>
      <c r="D862" s="1" t="s">
        <v>30</v>
      </c>
      <c r="E862" s="1">
        <v>301</v>
      </c>
      <c r="F862" s="1">
        <v>0</v>
      </c>
      <c r="G862" s="1">
        <v>2</v>
      </c>
      <c r="H862" s="1" t="s">
        <v>29</v>
      </c>
      <c r="I862" s="1">
        <v>20</v>
      </c>
      <c r="J862" s="1">
        <v>2</v>
      </c>
      <c r="M862" s="1" t="s">
        <v>28</v>
      </c>
      <c r="N862" s="1">
        <v>0</v>
      </c>
      <c r="O862" s="1" t="s">
        <v>27</v>
      </c>
      <c r="P862" s="1">
        <v>45860</v>
      </c>
      <c r="Q862" s="1">
        <v>0.30253472222222</v>
      </c>
      <c r="R862" s="1" t="s">
        <v>73</v>
      </c>
      <c r="S862" s="1" t="s">
        <v>72</v>
      </c>
      <c r="U862" s="1" t="s">
        <v>24</v>
      </c>
      <c r="V862" s="1">
        <v>1</v>
      </c>
      <c r="X862" s="1" t="s">
        <v>24</v>
      </c>
      <c r="Y862" s="1" t="s">
        <v>23</v>
      </c>
      <c r="Z862" s="1" t="s">
        <v>32</v>
      </c>
    </row>
    <row r="863" spans="1:26" x14ac:dyDescent="0.35">
      <c r="A863" s="1">
        <v>4045068</v>
      </c>
      <c r="B863" s="1" t="s">
        <v>31</v>
      </c>
      <c r="C863" s="1">
        <v>3300</v>
      </c>
      <c r="D863" s="1" t="s">
        <v>30</v>
      </c>
      <c r="E863" s="1">
        <v>301</v>
      </c>
      <c r="F863" s="1">
        <v>0</v>
      </c>
      <c r="G863" s="1">
        <v>150</v>
      </c>
      <c r="H863" s="1" t="s">
        <v>29</v>
      </c>
      <c r="I863" s="1" t="s">
        <v>71</v>
      </c>
      <c r="J863" s="1">
        <v>100</v>
      </c>
      <c r="M863" s="1" t="s">
        <v>28</v>
      </c>
      <c r="N863" s="1">
        <v>0</v>
      </c>
      <c r="O863" s="1" t="s">
        <v>27</v>
      </c>
      <c r="P863" s="1">
        <v>46057</v>
      </c>
      <c r="Q863" s="1">
        <v>0.28363425925926</v>
      </c>
      <c r="R863" s="1" t="s">
        <v>70</v>
      </c>
      <c r="S863" s="1" t="s">
        <v>69</v>
      </c>
      <c r="U863" s="1" t="s">
        <v>24</v>
      </c>
      <c r="V863" s="1">
        <v>1</v>
      </c>
      <c r="X863" s="1" t="s">
        <v>24</v>
      </c>
      <c r="Y863" s="1" t="s">
        <v>23</v>
      </c>
      <c r="Z863" s="1" t="s">
        <v>32</v>
      </c>
    </row>
    <row r="864" spans="1:26" x14ac:dyDescent="0.35">
      <c r="A864" s="1">
        <v>4045081</v>
      </c>
      <c r="B864" s="1" t="s">
        <v>31</v>
      </c>
      <c r="C864" s="1">
        <v>3300</v>
      </c>
      <c r="D864" s="1" t="s">
        <v>30</v>
      </c>
      <c r="E864" s="1">
        <v>301</v>
      </c>
      <c r="F864" s="1">
        <v>0</v>
      </c>
      <c r="G864" s="1">
        <v>500</v>
      </c>
      <c r="H864" s="1" t="s">
        <v>29</v>
      </c>
      <c r="I864" s="1">
        <v>20</v>
      </c>
      <c r="J864" s="1">
        <v>200</v>
      </c>
      <c r="M864" s="1" t="s">
        <v>28</v>
      </c>
      <c r="N864" s="1">
        <v>0</v>
      </c>
      <c r="O864" s="1" t="s">
        <v>27</v>
      </c>
      <c r="P864" s="1">
        <v>45821</v>
      </c>
      <c r="Q864" s="1">
        <v>0.49784722222222</v>
      </c>
      <c r="R864" s="1" t="s">
        <v>68</v>
      </c>
      <c r="S864" s="1" t="s">
        <v>67</v>
      </c>
      <c r="U864" s="1" t="s">
        <v>24</v>
      </c>
      <c r="V864" s="1">
        <v>1</v>
      </c>
      <c r="X864" s="1" t="s">
        <v>24</v>
      </c>
      <c r="Y864" s="1" t="s">
        <v>23</v>
      </c>
      <c r="Z864" s="1" t="s">
        <v>32</v>
      </c>
    </row>
    <row r="865" spans="1:26" x14ac:dyDescent="0.35">
      <c r="A865" s="1">
        <v>4045333</v>
      </c>
      <c r="B865" s="1" t="s">
        <v>31</v>
      </c>
      <c r="C865" s="1">
        <v>3300</v>
      </c>
      <c r="D865" s="1" t="s">
        <v>30</v>
      </c>
      <c r="E865" s="1">
        <v>301</v>
      </c>
      <c r="F865" s="1">
        <v>0</v>
      </c>
      <c r="G865" s="1">
        <v>30</v>
      </c>
      <c r="H865" s="1" t="s">
        <v>29</v>
      </c>
      <c r="I865" s="1">
        <v>20</v>
      </c>
      <c r="J865" s="1">
        <v>10</v>
      </c>
      <c r="M865" s="1" t="s">
        <v>28</v>
      </c>
      <c r="N865" s="1">
        <v>0</v>
      </c>
      <c r="O865" s="1" t="s">
        <v>27</v>
      </c>
      <c r="P865" s="1">
        <v>45957</v>
      </c>
      <c r="Q865" s="1">
        <v>0.35225694444444</v>
      </c>
      <c r="R865" s="1" t="s">
        <v>66</v>
      </c>
      <c r="S865" s="1" t="s">
        <v>65</v>
      </c>
      <c r="U865" s="1" t="s">
        <v>24</v>
      </c>
      <c r="V865" s="1">
        <v>1</v>
      </c>
      <c r="X865" s="1" t="s">
        <v>24</v>
      </c>
      <c r="Y865" s="1" t="s">
        <v>23</v>
      </c>
      <c r="Z865" s="1" t="s">
        <v>32</v>
      </c>
    </row>
    <row r="866" spans="1:26" x14ac:dyDescent="0.35">
      <c r="A866" s="1">
        <v>4045334</v>
      </c>
      <c r="B866" s="1" t="s">
        <v>31</v>
      </c>
      <c r="C866" s="1">
        <v>3300</v>
      </c>
      <c r="D866" s="1" t="s">
        <v>30</v>
      </c>
      <c r="E866" s="1">
        <v>301</v>
      </c>
      <c r="F866" s="1">
        <v>0</v>
      </c>
      <c r="G866" s="1">
        <v>30</v>
      </c>
      <c r="H866" s="1" t="s">
        <v>29</v>
      </c>
      <c r="I866" s="1">
        <v>20</v>
      </c>
      <c r="J866" s="1">
        <v>10</v>
      </c>
      <c r="M866" s="1" t="s">
        <v>28</v>
      </c>
      <c r="N866" s="1">
        <v>0</v>
      </c>
      <c r="O866" s="1" t="s">
        <v>27</v>
      </c>
      <c r="P866" s="1">
        <v>45933</v>
      </c>
      <c r="Q866" s="1">
        <v>0.41994212962963001</v>
      </c>
      <c r="R866" s="1" t="s">
        <v>64</v>
      </c>
      <c r="S866" s="1" t="s">
        <v>63</v>
      </c>
      <c r="U866" s="1" t="s">
        <v>24</v>
      </c>
      <c r="V866" s="1">
        <v>1</v>
      </c>
      <c r="X866" s="1" t="s">
        <v>24</v>
      </c>
      <c r="Y866" s="1" t="s">
        <v>23</v>
      </c>
      <c r="Z866" s="1" t="s">
        <v>32</v>
      </c>
    </row>
    <row r="867" spans="1:26" x14ac:dyDescent="0.35">
      <c r="A867" s="1">
        <v>4045335</v>
      </c>
      <c r="B867" s="1" t="s">
        <v>31</v>
      </c>
      <c r="C867" s="1">
        <v>3300</v>
      </c>
      <c r="D867" s="1" t="s">
        <v>30</v>
      </c>
      <c r="E867" s="1">
        <v>301</v>
      </c>
      <c r="F867" s="1">
        <v>0</v>
      </c>
      <c r="G867" s="1">
        <v>15</v>
      </c>
      <c r="H867" s="1" t="s">
        <v>29</v>
      </c>
      <c r="I867" s="1">
        <v>20</v>
      </c>
      <c r="J867" s="1">
        <v>10</v>
      </c>
      <c r="M867" s="1" t="s">
        <v>28</v>
      </c>
      <c r="N867" s="1">
        <v>0</v>
      </c>
      <c r="O867" s="1" t="s">
        <v>27</v>
      </c>
      <c r="P867" s="1">
        <v>45957</v>
      </c>
      <c r="Q867" s="1">
        <v>0.35189814814815001</v>
      </c>
      <c r="R867" s="1" t="s">
        <v>62</v>
      </c>
      <c r="S867" s="1" t="s">
        <v>61</v>
      </c>
      <c r="U867" s="1" t="s">
        <v>24</v>
      </c>
      <c r="V867" s="1">
        <v>1</v>
      </c>
      <c r="X867" s="1" t="s">
        <v>24</v>
      </c>
      <c r="Y867" s="1" t="s">
        <v>23</v>
      </c>
      <c r="Z867" s="1" t="s">
        <v>32</v>
      </c>
    </row>
    <row r="868" spans="1:26" x14ac:dyDescent="0.35">
      <c r="A868" s="1">
        <v>4045337</v>
      </c>
      <c r="B868" s="1" t="s">
        <v>31</v>
      </c>
      <c r="C868" s="1">
        <v>3300</v>
      </c>
      <c r="D868" s="1" t="s">
        <v>41</v>
      </c>
      <c r="E868" s="1">
        <v>301</v>
      </c>
      <c r="F868" s="1">
        <v>0</v>
      </c>
      <c r="G868" s="1">
        <v>15</v>
      </c>
      <c r="H868" s="1" t="s">
        <v>29</v>
      </c>
      <c r="I868" s="1">
        <v>20</v>
      </c>
      <c r="J868" s="1">
        <v>10</v>
      </c>
      <c r="M868" s="1" t="s">
        <v>28</v>
      </c>
      <c r="N868" s="1">
        <v>0</v>
      </c>
      <c r="O868" s="1" t="s">
        <v>56</v>
      </c>
      <c r="P868" s="1">
        <v>46073</v>
      </c>
      <c r="Q868" s="1">
        <v>0.55377314814815004</v>
      </c>
      <c r="R868" s="1" t="s">
        <v>60</v>
      </c>
      <c r="S868" s="1" t="s">
        <v>59</v>
      </c>
      <c r="U868" s="1" t="s">
        <v>24</v>
      </c>
      <c r="V868" s="1">
        <v>1</v>
      </c>
      <c r="Y868" s="1" t="s">
        <v>23</v>
      </c>
      <c r="Z868" s="1" t="s">
        <v>23</v>
      </c>
    </row>
    <row r="869" spans="1:26" x14ac:dyDescent="0.35">
      <c r="A869" s="1">
        <v>4045338</v>
      </c>
      <c r="B869" s="1" t="s">
        <v>31</v>
      </c>
      <c r="C869" s="1">
        <v>3300</v>
      </c>
      <c r="D869" s="1" t="s">
        <v>41</v>
      </c>
      <c r="E869" s="1">
        <v>301</v>
      </c>
      <c r="F869" s="1">
        <v>0</v>
      </c>
      <c r="G869" s="1">
        <v>15</v>
      </c>
      <c r="H869" s="1" t="s">
        <v>29</v>
      </c>
      <c r="I869" s="1">
        <v>20</v>
      </c>
      <c r="J869" s="1">
        <v>10</v>
      </c>
      <c r="M869" s="1" t="s">
        <v>28</v>
      </c>
      <c r="N869" s="1">
        <v>0</v>
      </c>
      <c r="O869" s="1" t="s">
        <v>56</v>
      </c>
      <c r="P869" s="1">
        <v>46073</v>
      </c>
      <c r="Q869" s="1">
        <v>0.55315972222221998</v>
      </c>
      <c r="R869" s="1" t="s">
        <v>58</v>
      </c>
      <c r="S869" s="1" t="s">
        <v>57</v>
      </c>
      <c r="U869" s="1" t="s">
        <v>24</v>
      </c>
      <c r="V869" s="1">
        <v>1</v>
      </c>
      <c r="X869" s="1" t="s">
        <v>24</v>
      </c>
      <c r="Y869" s="1" t="s">
        <v>23</v>
      </c>
      <c r="Z869" s="1" t="s">
        <v>32</v>
      </c>
    </row>
    <row r="870" spans="1:26" x14ac:dyDescent="0.35">
      <c r="A870" s="1">
        <v>4045339</v>
      </c>
      <c r="B870" s="1" t="s">
        <v>31</v>
      </c>
      <c r="C870" s="1">
        <v>3300</v>
      </c>
      <c r="D870" s="1" t="s">
        <v>41</v>
      </c>
      <c r="E870" s="1">
        <v>301</v>
      </c>
      <c r="F870" s="1">
        <v>0</v>
      </c>
      <c r="G870" s="1">
        <v>15</v>
      </c>
      <c r="H870" s="1" t="s">
        <v>29</v>
      </c>
      <c r="I870" s="1">
        <v>20</v>
      </c>
      <c r="J870" s="1">
        <v>10</v>
      </c>
      <c r="M870" s="1" t="s">
        <v>28</v>
      </c>
      <c r="N870" s="1">
        <v>0</v>
      </c>
      <c r="O870" s="1" t="s">
        <v>56</v>
      </c>
      <c r="P870" s="1">
        <v>46073</v>
      </c>
      <c r="Q870" s="1">
        <v>0.55415509259258999</v>
      </c>
      <c r="R870" s="1" t="s">
        <v>55</v>
      </c>
      <c r="S870" s="1" t="s">
        <v>54</v>
      </c>
      <c r="U870" s="1" t="s">
        <v>24</v>
      </c>
      <c r="V870" s="1">
        <v>1</v>
      </c>
      <c r="Y870" s="1" t="s">
        <v>23</v>
      </c>
      <c r="Z870" s="1" t="s">
        <v>23</v>
      </c>
    </row>
    <row r="871" spans="1:26" x14ac:dyDescent="0.35">
      <c r="A871" s="1">
        <v>4045343</v>
      </c>
      <c r="B871" s="1" t="s">
        <v>31</v>
      </c>
      <c r="C871" s="1">
        <v>3300</v>
      </c>
      <c r="D871" s="1" t="s">
        <v>41</v>
      </c>
      <c r="E871" s="1">
        <v>301</v>
      </c>
      <c r="F871" s="1">
        <v>0</v>
      </c>
      <c r="G871" s="1">
        <v>30</v>
      </c>
      <c r="H871" s="1" t="s">
        <v>29</v>
      </c>
      <c r="I871" s="1">
        <v>20</v>
      </c>
      <c r="J871" s="1">
        <v>10</v>
      </c>
      <c r="M871" s="1" t="s">
        <v>28</v>
      </c>
      <c r="N871" s="1">
        <v>0</v>
      </c>
      <c r="O871" s="1" t="s">
        <v>27</v>
      </c>
      <c r="P871" s="1">
        <v>45937</v>
      </c>
      <c r="Q871" s="1">
        <v>0.40751157407407002</v>
      </c>
      <c r="R871" s="1" t="s">
        <v>53</v>
      </c>
      <c r="S871" s="1" t="s">
        <v>52</v>
      </c>
      <c r="U871" s="1" t="s">
        <v>24</v>
      </c>
      <c r="V871" s="1">
        <v>1</v>
      </c>
      <c r="X871" s="1" t="s">
        <v>24</v>
      </c>
      <c r="Y871" s="1" t="s">
        <v>23</v>
      </c>
      <c r="Z871" s="1" t="s">
        <v>32</v>
      </c>
    </row>
    <row r="872" spans="1:26" x14ac:dyDescent="0.35">
      <c r="A872" s="1">
        <v>4045370</v>
      </c>
      <c r="B872" s="1" t="s">
        <v>31</v>
      </c>
      <c r="C872" s="1">
        <v>3300</v>
      </c>
      <c r="D872" s="1" t="s">
        <v>41</v>
      </c>
      <c r="E872" s="1">
        <v>301</v>
      </c>
      <c r="F872" s="1">
        <v>0</v>
      </c>
      <c r="G872" s="1">
        <v>50</v>
      </c>
      <c r="H872" s="1" t="s">
        <v>29</v>
      </c>
      <c r="I872" s="1">
        <v>20</v>
      </c>
      <c r="J872" s="1">
        <v>8</v>
      </c>
      <c r="M872" s="1" t="s">
        <v>28</v>
      </c>
      <c r="N872" s="1">
        <v>0</v>
      </c>
      <c r="O872" s="1" t="s">
        <v>27</v>
      </c>
      <c r="P872" s="1">
        <v>46036</v>
      </c>
      <c r="Q872" s="1">
        <v>0.60047453703704001</v>
      </c>
      <c r="R872" s="1" t="s">
        <v>51</v>
      </c>
      <c r="S872" s="1" t="s">
        <v>50</v>
      </c>
      <c r="U872" s="1" t="s">
        <v>24</v>
      </c>
      <c r="V872" s="1">
        <v>1</v>
      </c>
      <c r="X872" s="1" t="s">
        <v>24</v>
      </c>
      <c r="Y872" s="1" t="s">
        <v>23</v>
      </c>
      <c r="Z872" s="1" t="s">
        <v>32</v>
      </c>
    </row>
    <row r="873" spans="1:26" x14ac:dyDescent="0.35">
      <c r="A873" s="1">
        <v>4045373</v>
      </c>
      <c r="B873" s="1" t="s">
        <v>31</v>
      </c>
      <c r="C873" s="1">
        <v>3300</v>
      </c>
      <c r="D873" s="1" t="s">
        <v>30</v>
      </c>
      <c r="E873" s="1">
        <v>301</v>
      </c>
      <c r="F873" s="1">
        <v>0</v>
      </c>
      <c r="G873" s="1">
        <v>30</v>
      </c>
      <c r="H873" s="1" t="s">
        <v>29</v>
      </c>
      <c r="I873" s="1">
        <v>20</v>
      </c>
      <c r="J873" s="1">
        <v>10</v>
      </c>
      <c r="M873" s="1" t="s">
        <v>28</v>
      </c>
      <c r="N873" s="1">
        <v>0</v>
      </c>
      <c r="O873" s="1" t="s">
        <v>27</v>
      </c>
      <c r="P873" s="1">
        <v>45937</v>
      </c>
      <c r="Q873" s="1">
        <v>0.40812500000000002</v>
      </c>
      <c r="R873" s="1" t="s">
        <v>49</v>
      </c>
      <c r="S873" s="1" t="s">
        <v>48</v>
      </c>
      <c r="U873" s="1" t="s">
        <v>24</v>
      </c>
      <c r="V873" s="1">
        <v>1</v>
      </c>
      <c r="Y873" s="1" t="s">
        <v>23</v>
      </c>
      <c r="Z873" s="1" t="s">
        <v>23</v>
      </c>
    </row>
    <row r="874" spans="1:26" x14ac:dyDescent="0.35">
      <c r="A874" s="1">
        <v>4046090</v>
      </c>
      <c r="B874" s="1" t="s">
        <v>31</v>
      </c>
      <c r="C874" s="1">
        <v>3300</v>
      </c>
      <c r="D874" s="1" t="s">
        <v>30</v>
      </c>
      <c r="E874" s="1">
        <v>301</v>
      </c>
      <c r="F874" s="1">
        <v>0</v>
      </c>
      <c r="G874" s="1">
        <v>2</v>
      </c>
      <c r="H874" s="1" t="s">
        <v>29</v>
      </c>
      <c r="I874" s="1">
        <v>20</v>
      </c>
      <c r="J874" s="1">
        <v>2</v>
      </c>
      <c r="M874" s="1" t="s">
        <v>28</v>
      </c>
      <c r="N874" s="1">
        <v>0</v>
      </c>
      <c r="O874" s="1" t="s">
        <v>27</v>
      </c>
      <c r="P874" s="1">
        <v>45876</v>
      </c>
      <c r="Q874" s="1">
        <v>0.37565972222221999</v>
      </c>
      <c r="R874" s="1" t="s">
        <v>47</v>
      </c>
      <c r="S874" s="1" t="s">
        <v>46</v>
      </c>
      <c r="U874" s="1" t="s">
        <v>24</v>
      </c>
      <c r="V874" s="1">
        <v>1</v>
      </c>
      <c r="X874" s="1" t="s">
        <v>24</v>
      </c>
      <c r="Y874" s="1" t="s">
        <v>23</v>
      </c>
      <c r="Z874" s="1" t="s">
        <v>32</v>
      </c>
    </row>
    <row r="875" spans="1:26" x14ac:dyDescent="0.35">
      <c r="A875" s="1">
        <v>4046091</v>
      </c>
      <c r="B875" s="1" t="s">
        <v>31</v>
      </c>
      <c r="C875" s="1">
        <v>3300</v>
      </c>
      <c r="D875" s="1" t="s">
        <v>30</v>
      </c>
      <c r="E875" s="1">
        <v>301</v>
      </c>
      <c r="F875" s="1">
        <v>0</v>
      </c>
      <c r="G875" s="1">
        <v>1</v>
      </c>
      <c r="H875" s="1" t="s">
        <v>29</v>
      </c>
      <c r="I875" s="1">
        <v>20</v>
      </c>
      <c r="J875" s="1">
        <v>1</v>
      </c>
      <c r="M875" s="1" t="s">
        <v>28</v>
      </c>
      <c r="N875" s="1">
        <v>0</v>
      </c>
      <c r="O875" s="1" t="s">
        <v>27</v>
      </c>
      <c r="P875" s="1">
        <v>45876</v>
      </c>
      <c r="Q875" s="1">
        <v>0.37726851851852</v>
      </c>
      <c r="R875" s="1" t="s">
        <v>45</v>
      </c>
      <c r="S875" s="1" t="s">
        <v>44</v>
      </c>
      <c r="U875" s="1" t="s">
        <v>24</v>
      </c>
      <c r="V875" s="1">
        <v>1</v>
      </c>
      <c r="X875" s="1" t="s">
        <v>24</v>
      </c>
      <c r="Y875" s="1" t="s">
        <v>23</v>
      </c>
      <c r="Z875" s="1" t="s">
        <v>32</v>
      </c>
    </row>
    <row r="876" spans="1:26" x14ac:dyDescent="0.35">
      <c r="A876" s="1">
        <v>4046092</v>
      </c>
      <c r="B876" s="1" t="s">
        <v>31</v>
      </c>
      <c r="C876" s="1">
        <v>3300</v>
      </c>
      <c r="D876" s="1" t="s">
        <v>30</v>
      </c>
      <c r="E876" s="1">
        <v>301</v>
      </c>
      <c r="F876" s="1">
        <v>0</v>
      </c>
      <c r="G876" s="1">
        <v>1</v>
      </c>
      <c r="H876" s="1" t="s">
        <v>29</v>
      </c>
      <c r="I876" s="1">
        <v>20</v>
      </c>
      <c r="J876" s="1">
        <v>1</v>
      </c>
      <c r="M876" s="1" t="s">
        <v>28</v>
      </c>
      <c r="N876" s="1">
        <v>0</v>
      </c>
      <c r="O876" s="1" t="s">
        <v>27</v>
      </c>
      <c r="P876" s="1">
        <v>45876</v>
      </c>
      <c r="Q876" s="1">
        <v>0.37847222222221999</v>
      </c>
      <c r="R876" s="1" t="s">
        <v>43</v>
      </c>
      <c r="S876" s="1" t="s">
        <v>42</v>
      </c>
      <c r="U876" s="1" t="s">
        <v>24</v>
      </c>
      <c r="V876" s="1">
        <v>1</v>
      </c>
      <c r="X876" s="1" t="s">
        <v>24</v>
      </c>
      <c r="Y876" s="1" t="s">
        <v>23</v>
      </c>
      <c r="Z876" s="1" t="s">
        <v>32</v>
      </c>
    </row>
    <row r="877" spans="1:26" x14ac:dyDescent="0.35">
      <c r="A877" s="1">
        <v>4046094</v>
      </c>
      <c r="B877" s="1" t="s">
        <v>31</v>
      </c>
      <c r="C877" s="1">
        <v>3300</v>
      </c>
      <c r="D877" s="1" t="s">
        <v>41</v>
      </c>
      <c r="E877" s="1">
        <v>301</v>
      </c>
      <c r="F877" s="1">
        <v>0</v>
      </c>
      <c r="G877" s="1">
        <v>20</v>
      </c>
      <c r="H877" s="1" t="s">
        <v>29</v>
      </c>
      <c r="I877" s="1">
        <v>20</v>
      </c>
      <c r="J877" s="1">
        <v>10</v>
      </c>
      <c r="M877" s="1" t="s">
        <v>28</v>
      </c>
      <c r="N877" s="1">
        <v>0</v>
      </c>
      <c r="O877" s="1" t="s">
        <v>27</v>
      </c>
      <c r="P877" s="1">
        <v>45933</v>
      </c>
      <c r="Q877" s="1">
        <v>0.54438657407406998</v>
      </c>
      <c r="R877" s="1" t="s">
        <v>40</v>
      </c>
      <c r="S877" s="1" t="s">
        <v>39</v>
      </c>
      <c r="U877" s="1" t="s">
        <v>24</v>
      </c>
      <c r="V877" s="1">
        <v>1</v>
      </c>
      <c r="X877" s="1" t="s">
        <v>24</v>
      </c>
      <c r="Y877" s="1" t="s">
        <v>23</v>
      </c>
      <c r="Z877" s="1" t="s">
        <v>32</v>
      </c>
    </row>
    <row r="878" spans="1:26" x14ac:dyDescent="0.35">
      <c r="A878" s="1">
        <v>4048468</v>
      </c>
      <c r="B878" s="1" t="s">
        <v>31</v>
      </c>
      <c r="C878" s="1">
        <v>3300</v>
      </c>
      <c r="D878" s="1" t="s">
        <v>30</v>
      </c>
      <c r="E878" s="1">
        <v>301</v>
      </c>
      <c r="F878" s="1">
        <v>0</v>
      </c>
      <c r="G878" s="1">
        <v>156</v>
      </c>
      <c r="H878" s="1" t="s">
        <v>29</v>
      </c>
      <c r="I878" s="1">
        <v>20</v>
      </c>
      <c r="J878" s="1">
        <v>144</v>
      </c>
      <c r="M878" s="1" t="s">
        <v>28</v>
      </c>
      <c r="N878" s="1">
        <v>0</v>
      </c>
      <c r="O878" s="1" t="s">
        <v>27</v>
      </c>
      <c r="P878" s="1">
        <v>45967</v>
      </c>
      <c r="Q878" s="1">
        <v>0.53302083333332995</v>
      </c>
      <c r="R878" s="1" t="s">
        <v>38</v>
      </c>
      <c r="S878" s="1" t="s">
        <v>37</v>
      </c>
      <c r="U878" s="1" t="s">
        <v>24</v>
      </c>
      <c r="V878" s="1">
        <v>1</v>
      </c>
      <c r="X878" s="1" t="s">
        <v>24</v>
      </c>
      <c r="Y878" s="1" t="s">
        <v>23</v>
      </c>
      <c r="Z878" s="1" t="s">
        <v>32</v>
      </c>
    </row>
    <row r="879" spans="1:26" x14ac:dyDescent="0.35">
      <c r="A879" s="1">
        <v>4049107</v>
      </c>
      <c r="B879" s="1" t="s">
        <v>31</v>
      </c>
      <c r="C879" s="1">
        <v>3300</v>
      </c>
      <c r="D879" s="1" t="s">
        <v>30</v>
      </c>
      <c r="E879" s="1">
        <v>301</v>
      </c>
      <c r="F879" s="1">
        <v>0</v>
      </c>
      <c r="G879" s="1">
        <v>72</v>
      </c>
      <c r="H879" s="1" t="s">
        <v>29</v>
      </c>
      <c r="I879" s="1">
        <v>20</v>
      </c>
      <c r="J879" s="1">
        <v>36</v>
      </c>
      <c r="M879" s="1" t="s">
        <v>28</v>
      </c>
      <c r="N879" s="1">
        <v>0</v>
      </c>
      <c r="O879" s="1" t="s">
        <v>27</v>
      </c>
      <c r="P879" s="1">
        <v>46048</v>
      </c>
      <c r="Q879" s="1">
        <v>0.43996527777778</v>
      </c>
      <c r="R879" s="1" t="s">
        <v>36</v>
      </c>
      <c r="S879" s="1" t="s">
        <v>35</v>
      </c>
      <c r="U879" s="1" t="s">
        <v>24</v>
      </c>
      <c r="V879" s="1">
        <v>1</v>
      </c>
      <c r="Y879" s="1" t="s">
        <v>23</v>
      </c>
      <c r="Z879" s="1" t="s">
        <v>23</v>
      </c>
    </row>
    <row r="880" spans="1:26" x14ac:dyDescent="0.35">
      <c r="A880" s="1">
        <v>4049121</v>
      </c>
      <c r="B880" s="1" t="s">
        <v>31</v>
      </c>
      <c r="C880" s="1">
        <v>3300</v>
      </c>
      <c r="D880" s="1" t="s">
        <v>30</v>
      </c>
      <c r="E880" s="1">
        <v>301</v>
      </c>
      <c r="F880" s="1">
        <v>0</v>
      </c>
      <c r="G880" s="1">
        <v>24</v>
      </c>
      <c r="H880" s="1" t="s">
        <v>29</v>
      </c>
      <c r="I880" s="1">
        <v>20</v>
      </c>
      <c r="J880" s="1">
        <v>12</v>
      </c>
      <c r="M880" s="1" t="s">
        <v>28</v>
      </c>
      <c r="N880" s="1">
        <v>0</v>
      </c>
      <c r="O880" s="1" t="s">
        <v>27</v>
      </c>
      <c r="P880" s="1">
        <v>46041</v>
      </c>
      <c r="Q880" s="1">
        <v>0.58076388888888997</v>
      </c>
      <c r="R880" s="1" t="s">
        <v>34</v>
      </c>
      <c r="S880" s="1" t="s">
        <v>33</v>
      </c>
      <c r="U880" s="1" t="s">
        <v>24</v>
      </c>
      <c r="V880" s="1">
        <v>1</v>
      </c>
      <c r="X880" s="1" t="s">
        <v>24</v>
      </c>
      <c r="Y880" s="1" t="s">
        <v>23</v>
      </c>
      <c r="Z880" s="1" t="s">
        <v>32</v>
      </c>
    </row>
    <row r="881" spans="1:26" x14ac:dyDescent="0.35">
      <c r="A881" s="1">
        <v>4049360</v>
      </c>
      <c r="B881" s="1" t="s">
        <v>31</v>
      </c>
      <c r="C881" s="1">
        <v>3300</v>
      </c>
      <c r="D881" s="1" t="s">
        <v>30</v>
      </c>
      <c r="E881" s="1">
        <v>301</v>
      </c>
      <c r="F881" s="1">
        <v>0</v>
      </c>
      <c r="G881" s="1">
        <v>3000</v>
      </c>
      <c r="H881" s="1" t="s">
        <v>29</v>
      </c>
      <c r="I881" s="1">
        <v>20</v>
      </c>
      <c r="J881" s="1">
        <v>1200</v>
      </c>
      <c r="M881" s="1" t="s">
        <v>28</v>
      </c>
      <c r="N881" s="1">
        <v>0</v>
      </c>
      <c r="O881" s="1" t="s">
        <v>27</v>
      </c>
      <c r="P881" s="1">
        <v>46059</v>
      </c>
      <c r="Q881" s="1">
        <v>0.55422453703704</v>
      </c>
      <c r="R881" s="1" t="s">
        <v>26</v>
      </c>
      <c r="S881" s="1" t="s">
        <v>25</v>
      </c>
      <c r="U881" s="1" t="s">
        <v>24</v>
      </c>
      <c r="V881" s="1">
        <v>1</v>
      </c>
      <c r="Y881" s="1" t="s">
        <v>23</v>
      </c>
      <c r="Z881" s="1" t="s">
        <v>23</v>
      </c>
    </row>
  </sheetData>
  <autoFilter ref="A10:Z10" xr:uid="{0AA4F11C-5010-4E41-90A3-4969F9DF6C9A}"/>
  <mergeCells count="1">
    <mergeCell ref="A1:Z1"/>
  </mergeCells>
  <conditionalFormatting sqref="A11:Z881">
    <cfRule type="expression" dxfId="15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50E6-D7F5-4D0B-A8C5-A82645C2E13A}">
  <dimension ref="A1:D1016"/>
  <sheetViews>
    <sheetView showGridLines="0" workbookViewId="0">
      <pane ySplit="10" topLeftCell="A237" activePane="bottomLeft" state="frozen"/>
      <selection pane="bottomLeft" activeCell="B5" sqref="B5"/>
    </sheetView>
  </sheetViews>
  <sheetFormatPr baseColWidth="10" defaultColWidth="11.54296875" defaultRowHeight="14.5" x14ac:dyDescent="0.35"/>
  <cols>
    <col min="1" max="1" width="24.90625" style="1" bestFit="1" customWidth="1"/>
    <col min="2" max="2" width="8.6328125" style="1" bestFit="1" customWidth="1"/>
    <col min="3" max="3" width="9" style="1" bestFit="1" customWidth="1"/>
    <col min="4" max="4" width="8.6328125" style="1" bestFit="1" customWidth="1"/>
    <col min="5" max="16384" width="11.54296875" style="1"/>
  </cols>
  <sheetData>
    <row r="1" spans="1:4" ht="18.5" x14ac:dyDescent="0.45">
      <c r="A1" s="82" t="s">
        <v>3349</v>
      </c>
      <c r="B1" s="83"/>
      <c r="C1" s="83"/>
      <c r="D1" s="83"/>
    </row>
    <row r="3" spans="1:4" x14ac:dyDescent="0.35">
      <c r="A3" s="10" t="s">
        <v>0</v>
      </c>
      <c r="B3" s="16">
        <v>1006</v>
      </c>
    </row>
    <row r="4" spans="1:4" x14ac:dyDescent="0.35">
      <c r="A4" s="11" t="s">
        <v>3344</v>
      </c>
      <c r="B4" s="17">
        <v>1006</v>
      </c>
    </row>
    <row r="5" spans="1:4" x14ac:dyDescent="0.35">
      <c r="A5" s="11" t="s">
        <v>3345</v>
      </c>
      <c r="B5" s="17">
        <v>1</v>
      </c>
    </row>
    <row r="6" spans="1:4" x14ac:dyDescent="0.35">
      <c r="A6" s="11" t="s">
        <v>3346</v>
      </c>
      <c r="B6" s="17" cm="1">
        <f t="array" ref="B6">SUMPRODUCT(1/COUNTIF(C11:C1016,C11:C1016))</f>
        <v>90.000000000000213</v>
      </c>
    </row>
    <row r="7" spans="1:4" x14ac:dyDescent="0.35">
      <c r="A7" s="11" t="s">
        <v>3347</v>
      </c>
      <c r="B7" s="17" t="s">
        <v>1173</v>
      </c>
    </row>
    <row r="8" spans="1:4" x14ac:dyDescent="0.35">
      <c r="A8" s="12" t="s">
        <v>3348</v>
      </c>
      <c r="B8" s="13">
        <f>COUNTIF(D11:D1016,"STK")/COUNTA(D11:D1016)</f>
        <v>0.85387673956262422</v>
      </c>
    </row>
    <row r="10" spans="1:4" x14ac:dyDescent="0.35">
      <c r="A10" s="14" t="s">
        <v>1185</v>
      </c>
      <c r="B10" s="14" t="s">
        <v>1184</v>
      </c>
      <c r="C10" s="14" t="s">
        <v>1183</v>
      </c>
      <c r="D10" s="14" t="s">
        <v>1182</v>
      </c>
    </row>
    <row r="11" spans="1:4" x14ac:dyDescent="0.35">
      <c r="A11" s="1">
        <v>4000005</v>
      </c>
      <c r="B11" s="1" t="s">
        <v>1174</v>
      </c>
      <c r="C11" s="1">
        <v>10080301</v>
      </c>
      <c r="D11" s="1" t="s">
        <v>1173</v>
      </c>
    </row>
    <row r="12" spans="1:4" x14ac:dyDescent="0.35">
      <c r="A12" s="1">
        <v>4000009</v>
      </c>
      <c r="B12" s="1" t="s">
        <v>1174</v>
      </c>
      <c r="C12" s="1">
        <v>10080301</v>
      </c>
      <c r="D12" s="1" t="s">
        <v>1179</v>
      </c>
    </row>
    <row r="13" spans="1:4" x14ac:dyDescent="0.35">
      <c r="A13" s="1">
        <v>4000014</v>
      </c>
      <c r="B13" s="1" t="s">
        <v>1174</v>
      </c>
      <c r="C13" s="1">
        <v>10050505</v>
      </c>
      <c r="D13" s="1" t="s">
        <v>1173</v>
      </c>
    </row>
    <row r="14" spans="1:4" x14ac:dyDescent="0.35">
      <c r="A14" s="1">
        <v>4000023</v>
      </c>
      <c r="B14" s="1" t="s">
        <v>1174</v>
      </c>
      <c r="C14" s="1">
        <v>10080401</v>
      </c>
      <c r="D14" s="1" t="s">
        <v>1173</v>
      </c>
    </row>
    <row r="15" spans="1:4" x14ac:dyDescent="0.35">
      <c r="A15" s="1">
        <v>4000024</v>
      </c>
      <c r="B15" s="1" t="s">
        <v>1174</v>
      </c>
      <c r="C15" s="1">
        <v>10080401</v>
      </c>
      <c r="D15" s="1" t="s">
        <v>1173</v>
      </c>
    </row>
    <row r="16" spans="1:4" x14ac:dyDescent="0.35">
      <c r="A16" s="1">
        <v>4000027</v>
      </c>
      <c r="B16" s="1" t="s">
        <v>1174</v>
      </c>
      <c r="C16" s="1">
        <v>10080401</v>
      </c>
      <c r="D16" s="1" t="s">
        <v>1173</v>
      </c>
    </row>
    <row r="17" spans="1:4" x14ac:dyDescent="0.35">
      <c r="A17" s="1">
        <v>4000032</v>
      </c>
      <c r="B17" s="1" t="s">
        <v>1174</v>
      </c>
      <c r="C17" s="1">
        <v>10020403</v>
      </c>
      <c r="D17" s="1" t="s">
        <v>1179</v>
      </c>
    </row>
    <row r="18" spans="1:4" x14ac:dyDescent="0.35">
      <c r="A18" s="1">
        <v>4000060</v>
      </c>
      <c r="B18" s="1" t="s">
        <v>1174</v>
      </c>
      <c r="C18" s="1">
        <v>10050103</v>
      </c>
      <c r="D18" s="1" t="s">
        <v>1173</v>
      </c>
    </row>
    <row r="19" spans="1:4" x14ac:dyDescent="0.35">
      <c r="A19" s="1">
        <v>4000061</v>
      </c>
      <c r="B19" s="1" t="s">
        <v>1174</v>
      </c>
      <c r="C19" s="1">
        <v>10050103</v>
      </c>
      <c r="D19" s="1" t="s">
        <v>1173</v>
      </c>
    </row>
    <row r="20" spans="1:4" x14ac:dyDescent="0.35">
      <c r="A20" s="1">
        <v>4000062</v>
      </c>
      <c r="B20" s="1" t="s">
        <v>1174</v>
      </c>
      <c r="C20" s="1">
        <v>10050103</v>
      </c>
      <c r="D20" s="1" t="s">
        <v>1173</v>
      </c>
    </row>
    <row r="21" spans="1:4" x14ac:dyDescent="0.35">
      <c r="A21" s="1">
        <v>4000063</v>
      </c>
      <c r="B21" s="1" t="s">
        <v>1174</v>
      </c>
      <c r="C21" s="1">
        <v>10050103</v>
      </c>
      <c r="D21" s="1" t="s">
        <v>1173</v>
      </c>
    </row>
    <row r="22" spans="1:4" x14ac:dyDescent="0.35">
      <c r="A22" s="1">
        <v>4000065</v>
      </c>
      <c r="B22" s="1" t="s">
        <v>1174</v>
      </c>
      <c r="C22" s="1">
        <v>10050103</v>
      </c>
      <c r="D22" s="1" t="s">
        <v>1173</v>
      </c>
    </row>
    <row r="23" spans="1:4" x14ac:dyDescent="0.35">
      <c r="A23" s="1">
        <v>4000066</v>
      </c>
      <c r="B23" s="1" t="s">
        <v>1174</v>
      </c>
      <c r="C23" s="1">
        <v>10050102</v>
      </c>
      <c r="D23" s="1" t="s">
        <v>1173</v>
      </c>
    </row>
    <row r="24" spans="1:4" x14ac:dyDescent="0.35">
      <c r="A24" s="1">
        <v>4000067</v>
      </c>
      <c r="B24" s="1" t="s">
        <v>1174</v>
      </c>
      <c r="C24" s="1">
        <v>10050102</v>
      </c>
      <c r="D24" s="1" t="s">
        <v>1173</v>
      </c>
    </row>
    <row r="25" spans="1:4" x14ac:dyDescent="0.35">
      <c r="A25" s="1">
        <v>4000069</v>
      </c>
      <c r="B25" s="1" t="s">
        <v>1174</v>
      </c>
      <c r="C25" s="1">
        <v>10050109</v>
      </c>
      <c r="D25" s="1" t="s">
        <v>1173</v>
      </c>
    </row>
    <row r="26" spans="1:4" x14ac:dyDescent="0.35">
      <c r="A26" s="1">
        <v>4000072</v>
      </c>
      <c r="B26" s="1" t="s">
        <v>1174</v>
      </c>
      <c r="C26" s="1">
        <v>10050109</v>
      </c>
      <c r="D26" s="1" t="s">
        <v>1173</v>
      </c>
    </row>
    <row r="27" spans="1:4" x14ac:dyDescent="0.35">
      <c r="A27" s="1">
        <v>4000073</v>
      </c>
      <c r="B27" s="1" t="s">
        <v>1174</v>
      </c>
      <c r="C27" s="1">
        <v>10050109</v>
      </c>
      <c r="D27" s="1" t="s">
        <v>1173</v>
      </c>
    </row>
    <row r="28" spans="1:4" x14ac:dyDescent="0.35">
      <c r="A28" s="1">
        <v>4000077</v>
      </c>
      <c r="B28" s="1" t="s">
        <v>1174</v>
      </c>
      <c r="C28" s="1">
        <v>10050606</v>
      </c>
      <c r="D28" s="1" t="s">
        <v>1173</v>
      </c>
    </row>
    <row r="29" spans="1:4" x14ac:dyDescent="0.35">
      <c r="A29" s="1">
        <v>4000078</v>
      </c>
      <c r="B29" s="1" t="s">
        <v>1174</v>
      </c>
      <c r="C29" s="1">
        <v>10050606</v>
      </c>
      <c r="D29" s="1" t="s">
        <v>1173</v>
      </c>
    </row>
    <row r="30" spans="1:4" x14ac:dyDescent="0.35">
      <c r="A30" s="1">
        <v>4000082</v>
      </c>
      <c r="B30" s="1" t="s">
        <v>1174</v>
      </c>
      <c r="C30" s="1">
        <v>10050801</v>
      </c>
      <c r="D30" s="1" t="s">
        <v>1177</v>
      </c>
    </row>
    <row r="31" spans="1:4" x14ac:dyDescent="0.35">
      <c r="A31" s="1">
        <v>4000084</v>
      </c>
      <c r="B31" s="1" t="s">
        <v>1174</v>
      </c>
      <c r="C31" s="1">
        <v>10030805</v>
      </c>
      <c r="D31" s="1" t="s">
        <v>1178</v>
      </c>
    </row>
    <row r="32" spans="1:4" x14ac:dyDescent="0.35">
      <c r="A32" s="1">
        <v>4000090</v>
      </c>
      <c r="B32" s="1" t="s">
        <v>1174</v>
      </c>
      <c r="C32" s="1">
        <v>10050801</v>
      </c>
      <c r="D32" s="1" t="s">
        <v>1173</v>
      </c>
    </row>
    <row r="33" spans="1:4" x14ac:dyDescent="0.35">
      <c r="A33" s="1">
        <v>4000094</v>
      </c>
      <c r="B33" s="1" t="s">
        <v>1174</v>
      </c>
      <c r="C33" s="1">
        <v>10050502</v>
      </c>
      <c r="D33" s="1" t="s">
        <v>1173</v>
      </c>
    </row>
    <row r="34" spans="1:4" x14ac:dyDescent="0.35">
      <c r="A34" s="1">
        <v>4000098</v>
      </c>
      <c r="B34" s="1" t="s">
        <v>1174</v>
      </c>
      <c r="C34" s="1">
        <v>10050607</v>
      </c>
      <c r="D34" s="1" t="s">
        <v>1173</v>
      </c>
    </row>
    <row r="35" spans="1:4" x14ac:dyDescent="0.35">
      <c r="A35" s="1">
        <v>4000099</v>
      </c>
      <c r="B35" s="1" t="s">
        <v>1174</v>
      </c>
      <c r="C35" s="1">
        <v>10050607</v>
      </c>
      <c r="D35" s="1" t="s">
        <v>1173</v>
      </c>
    </row>
    <row r="36" spans="1:4" x14ac:dyDescent="0.35">
      <c r="A36" s="1">
        <v>4000108</v>
      </c>
      <c r="B36" s="1" t="s">
        <v>1174</v>
      </c>
      <c r="C36" s="1">
        <v>10050606</v>
      </c>
      <c r="D36" s="1" t="s">
        <v>1173</v>
      </c>
    </row>
    <row r="37" spans="1:4" x14ac:dyDescent="0.35">
      <c r="A37" s="1">
        <v>4000273</v>
      </c>
      <c r="B37" s="1" t="s">
        <v>1174</v>
      </c>
      <c r="C37" s="1">
        <v>10050109</v>
      </c>
      <c r="D37" s="1" t="s">
        <v>1173</v>
      </c>
    </row>
    <row r="38" spans="1:4" x14ac:dyDescent="0.35">
      <c r="A38" s="1">
        <v>4000274</v>
      </c>
      <c r="B38" s="1" t="s">
        <v>1174</v>
      </c>
      <c r="C38" s="1">
        <v>10050109</v>
      </c>
      <c r="D38" s="1" t="s">
        <v>1173</v>
      </c>
    </row>
    <row r="39" spans="1:4" x14ac:dyDescent="0.35">
      <c r="A39" s="1">
        <v>4000275</v>
      </c>
      <c r="B39" s="1" t="s">
        <v>1174</v>
      </c>
      <c r="C39" s="1">
        <v>10050109</v>
      </c>
      <c r="D39" s="1" t="s">
        <v>1173</v>
      </c>
    </row>
    <row r="40" spans="1:4" x14ac:dyDescent="0.35">
      <c r="A40" s="1">
        <v>4000276</v>
      </c>
      <c r="B40" s="1" t="s">
        <v>1174</v>
      </c>
      <c r="C40" s="1">
        <v>10050109</v>
      </c>
      <c r="D40" s="1" t="s">
        <v>1173</v>
      </c>
    </row>
    <row r="41" spans="1:4" x14ac:dyDescent="0.35">
      <c r="A41" s="1">
        <v>4000279</v>
      </c>
      <c r="B41" s="1" t="s">
        <v>1174</v>
      </c>
      <c r="C41" s="1">
        <v>10040101</v>
      </c>
      <c r="D41" s="1" t="s">
        <v>1173</v>
      </c>
    </row>
    <row r="42" spans="1:4" x14ac:dyDescent="0.35">
      <c r="A42" s="1">
        <v>4000280</v>
      </c>
      <c r="B42" s="1" t="s">
        <v>1174</v>
      </c>
      <c r="C42" s="1">
        <v>10040101</v>
      </c>
      <c r="D42" s="1" t="s">
        <v>1173</v>
      </c>
    </row>
    <row r="43" spans="1:4" x14ac:dyDescent="0.35">
      <c r="A43" s="1">
        <v>4000286</v>
      </c>
      <c r="B43" s="1" t="s">
        <v>1174</v>
      </c>
      <c r="C43" s="1">
        <v>10050108</v>
      </c>
      <c r="D43" s="1" t="s">
        <v>1173</v>
      </c>
    </row>
    <row r="44" spans="1:4" x14ac:dyDescent="0.35">
      <c r="A44" s="1">
        <v>4000287</v>
      </c>
      <c r="B44" s="1" t="s">
        <v>1174</v>
      </c>
      <c r="C44" s="1">
        <v>10050108</v>
      </c>
      <c r="D44" s="1" t="s">
        <v>1173</v>
      </c>
    </row>
    <row r="45" spans="1:4" x14ac:dyDescent="0.35">
      <c r="A45" s="1">
        <v>4000288</v>
      </c>
      <c r="B45" s="1" t="s">
        <v>1174</v>
      </c>
      <c r="C45" s="1">
        <v>10050108</v>
      </c>
      <c r="D45" s="1" t="s">
        <v>1173</v>
      </c>
    </row>
    <row r="46" spans="1:4" x14ac:dyDescent="0.35">
      <c r="A46" s="1">
        <v>4000290</v>
      </c>
      <c r="B46" s="1" t="s">
        <v>1174</v>
      </c>
      <c r="C46" s="1">
        <v>10050108</v>
      </c>
      <c r="D46" s="1" t="s">
        <v>1173</v>
      </c>
    </row>
    <row r="47" spans="1:4" x14ac:dyDescent="0.35">
      <c r="A47" s="1">
        <v>4000291</v>
      </c>
      <c r="B47" s="1" t="s">
        <v>1174</v>
      </c>
      <c r="C47" s="1">
        <v>10050108</v>
      </c>
      <c r="D47" s="1" t="s">
        <v>1173</v>
      </c>
    </row>
    <row r="48" spans="1:4" x14ac:dyDescent="0.35">
      <c r="A48" s="1">
        <v>4000310</v>
      </c>
      <c r="B48" s="1" t="s">
        <v>1174</v>
      </c>
      <c r="C48" s="1">
        <v>10050609</v>
      </c>
      <c r="D48" s="1" t="s">
        <v>1173</v>
      </c>
    </row>
    <row r="49" spans="1:4" x14ac:dyDescent="0.35">
      <c r="A49" s="1">
        <v>4000311</v>
      </c>
      <c r="B49" s="1" t="s">
        <v>1174</v>
      </c>
      <c r="C49" s="1">
        <v>10050609</v>
      </c>
      <c r="D49" s="1" t="s">
        <v>1173</v>
      </c>
    </row>
    <row r="50" spans="1:4" x14ac:dyDescent="0.35">
      <c r="A50" s="1">
        <v>4000312</v>
      </c>
      <c r="B50" s="1" t="s">
        <v>1174</v>
      </c>
      <c r="C50" s="1">
        <v>10050609</v>
      </c>
      <c r="D50" s="1" t="s">
        <v>1173</v>
      </c>
    </row>
    <row r="51" spans="1:4" x14ac:dyDescent="0.35">
      <c r="A51" s="1">
        <v>4000313</v>
      </c>
      <c r="B51" s="1" t="s">
        <v>1174</v>
      </c>
      <c r="C51" s="1">
        <v>10050609</v>
      </c>
      <c r="D51" s="1" t="s">
        <v>1173</v>
      </c>
    </row>
    <row r="52" spans="1:4" x14ac:dyDescent="0.35">
      <c r="A52" s="1">
        <v>4000314</v>
      </c>
      <c r="B52" s="1" t="s">
        <v>1174</v>
      </c>
      <c r="C52" s="1">
        <v>10050610</v>
      </c>
      <c r="D52" s="1" t="s">
        <v>1173</v>
      </c>
    </row>
    <row r="53" spans="1:4" x14ac:dyDescent="0.35">
      <c r="A53" s="1">
        <v>4000315</v>
      </c>
      <c r="B53" s="1" t="s">
        <v>1174</v>
      </c>
      <c r="C53" s="1">
        <v>10050610</v>
      </c>
      <c r="D53" s="1" t="s">
        <v>1173</v>
      </c>
    </row>
    <row r="54" spans="1:4" x14ac:dyDescent="0.35">
      <c r="A54" s="1">
        <v>4000316</v>
      </c>
      <c r="B54" s="1" t="s">
        <v>1174</v>
      </c>
      <c r="C54" s="1">
        <v>10050610</v>
      </c>
      <c r="D54" s="1" t="s">
        <v>1173</v>
      </c>
    </row>
    <row r="55" spans="1:4" x14ac:dyDescent="0.35">
      <c r="A55" s="1">
        <v>4000319</v>
      </c>
      <c r="B55" s="1" t="s">
        <v>1174</v>
      </c>
      <c r="C55" s="1">
        <v>10050610</v>
      </c>
      <c r="D55" s="1" t="s">
        <v>1173</v>
      </c>
    </row>
    <row r="56" spans="1:4" x14ac:dyDescent="0.35">
      <c r="A56" s="1">
        <v>4000323</v>
      </c>
      <c r="B56" s="1" t="s">
        <v>1174</v>
      </c>
      <c r="C56" s="1">
        <v>10050701</v>
      </c>
      <c r="D56" s="1" t="s">
        <v>1173</v>
      </c>
    </row>
    <row r="57" spans="1:4" x14ac:dyDescent="0.35">
      <c r="A57" s="1">
        <v>4000324</v>
      </c>
      <c r="B57" s="1" t="s">
        <v>1174</v>
      </c>
      <c r="C57" s="1">
        <v>10050701</v>
      </c>
      <c r="D57" s="1" t="s">
        <v>1173</v>
      </c>
    </row>
    <row r="58" spans="1:4" x14ac:dyDescent="0.35">
      <c r="A58" s="1">
        <v>4000325</v>
      </c>
      <c r="B58" s="1" t="s">
        <v>1174</v>
      </c>
      <c r="C58" s="1">
        <v>10050404</v>
      </c>
      <c r="D58" s="1" t="s">
        <v>1173</v>
      </c>
    </row>
    <row r="59" spans="1:4" x14ac:dyDescent="0.35">
      <c r="A59" s="1">
        <v>4000328</v>
      </c>
      <c r="B59" s="1" t="s">
        <v>1174</v>
      </c>
      <c r="C59" s="1">
        <v>10050701</v>
      </c>
      <c r="D59" s="1" t="s">
        <v>1173</v>
      </c>
    </row>
    <row r="60" spans="1:4" x14ac:dyDescent="0.35">
      <c r="A60" s="1">
        <v>4000330</v>
      </c>
      <c r="B60" s="1" t="s">
        <v>1174</v>
      </c>
      <c r="C60" s="1">
        <v>10050404</v>
      </c>
      <c r="D60" s="1" t="s">
        <v>1173</v>
      </c>
    </row>
    <row r="61" spans="1:4" x14ac:dyDescent="0.35">
      <c r="A61" s="1">
        <v>4000331</v>
      </c>
      <c r="B61" s="1" t="s">
        <v>1174</v>
      </c>
      <c r="C61" s="1">
        <v>10050404</v>
      </c>
      <c r="D61" s="1" t="s">
        <v>1173</v>
      </c>
    </row>
    <row r="62" spans="1:4" x14ac:dyDescent="0.35">
      <c r="A62" s="1">
        <v>4000332</v>
      </c>
      <c r="B62" s="1" t="s">
        <v>1174</v>
      </c>
      <c r="C62" s="1">
        <v>10050404</v>
      </c>
      <c r="D62" s="1" t="s">
        <v>1173</v>
      </c>
    </row>
    <row r="63" spans="1:4" x14ac:dyDescent="0.35">
      <c r="A63" s="1">
        <v>4000333</v>
      </c>
      <c r="B63" s="1" t="s">
        <v>1174</v>
      </c>
      <c r="C63" s="1">
        <v>10050404</v>
      </c>
      <c r="D63" s="1" t="s">
        <v>1173</v>
      </c>
    </row>
    <row r="64" spans="1:4" x14ac:dyDescent="0.35">
      <c r="A64" s="1">
        <v>4000334</v>
      </c>
      <c r="B64" s="1" t="s">
        <v>1174</v>
      </c>
      <c r="C64" s="1">
        <v>10050404</v>
      </c>
      <c r="D64" s="1" t="s">
        <v>1173</v>
      </c>
    </row>
    <row r="65" spans="1:4" x14ac:dyDescent="0.35">
      <c r="A65" s="1">
        <v>4000340</v>
      </c>
      <c r="B65" s="1" t="s">
        <v>1174</v>
      </c>
      <c r="C65" s="1">
        <v>10050404</v>
      </c>
      <c r="D65" s="1" t="s">
        <v>1173</v>
      </c>
    </row>
    <row r="66" spans="1:4" x14ac:dyDescent="0.35">
      <c r="A66" s="1">
        <v>4000341</v>
      </c>
      <c r="B66" s="1" t="s">
        <v>1174</v>
      </c>
      <c r="C66" s="1">
        <v>10050404</v>
      </c>
      <c r="D66" s="1" t="s">
        <v>1173</v>
      </c>
    </row>
    <row r="67" spans="1:4" x14ac:dyDescent="0.35">
      <c r="A67" s="1">
        <v>4000342</v>
      </c>
      <c r="B67" s="1" t="s">
        <v>1174</v>
      </c>
      <c r="C67" s="1">
        <v>10050404</v>
      </c>
      <c r="D67" s="1" t="s">
        <v>1173</v>
      </c>
    </row>
    <row r="68" spans="1:4" x14ac:dyDescent="0.35">
      <c r="A68" s="1">
        <v>4000343</v>
      </c>
      <c r="B68" s="1" t="s">
        <v>1174</v>
      </c>
      <c r="C68" s="1">
        <v>10050404</v>
      </c>
      <c r="D68" s="1" t="s">
        <v>1180</v>
      </c>
    </row>
    <row r="69" spans="1:4" x14ac:dyDescent="0.35">
      <c r="A69" s="1">
        <v>4000396</v>
      </c>
      <c r="B69" s="1" t="s">
        <v>1174</v>
      </c>
      <c r="C69" s="1">
        <v>10040604</v>
      </c>
      <c r="D69" s="1" t="s">
        <v>1173</v>
      </c>
    </row>
    <row r="70" spans="1:4" x14ac:dyDescent="0.35">
      <c r="A70" s="1">
        <v>4000403</v>
      </c>
      <c r="B70" s="1" t="s">
        <v>1174</v>
      </c>
      <c r="C70" s="1">
        <v>10050606</v>
      </c>
      <c r="D70" s="1" t="s">
        <v>1173</v>
      </c>
    </row>
    <row r="71" spans="1:4" x14ac:dyDescent="0.35">
      <c r="A71" s="1">
        <v>4000406</v>
      </c>
      <c r="B71" s="1" t="s">
        <v>1174</v>
      </c>
      <c r="C71" s="1">
        <v>10050103</v>
      </c>
      <c r="D71" s="1" t="s">
        <v>1173</v>
      </c>
    </row>
    <row r="72" spans="1:4" x14ac:dyDescent="0.35">
      <c r="A72" s="1">
        <v>4000411</v>
      </c>
      <c r="B72" s="1" t="s">
        <v>1174</v>
      </c>
      <c r="C72" s="1">
        <v>10030801</v>
      </c>
      <c r="D72" s="1" t="s">
        <v>1178</v>
      </c>
    </row>
    <row r="73" spans="1:4" x14ac:dyDescent="0.35">
      <c r="A73" s="1">
        <v>4000412</v>
      </c>
      <c r="B73" s="1" t="s">
        <v>1174</v>
      </c>
      <c r="C73" s="1">
        <v>10030801</v>
      </c>
      <c r="D73" s="1" t="s">
        <v>1178</v>
      </c>
    </row>
    <row r="74" spans="1:4" x14ac:dyDescent="0.35">
      <c r="A74" s="1">
        <v>4000413</v>
      </c>
      <c r="B74" s="1" t="s">
        <v>1174</v>
      </c>
      <c r="C74" s="1">
        <v>10030801</v>
      </c>
      <c r="D74" s="1" t="s">
        <v>1178</v>
      </c>
    </row>
    <row r="75" spans="1:4" x14ac:dyDescent="0.35">
      <c r="A75" s="1">
        <v>4000414</v>
      </c>
      <c r="B75" s="1" t="s">
        <v>1174</v>
      </c>
      <c r="C75" s="1">
        <v>10030801</v>
      </c>
      <c r="D75" s="1" t="s">
        <v>1178</v>
      </c>
    </row>
    <row r="76" spans="1:4" x14ac:dyDescent="0.35">
      <c r="A76" s="1">
        <v>4000415</v>
      </c>
      <c r="B76" s="1" t="s">
        <v>1174</v>
      </c>
      <c r="C76" s="1">
        <v>10030801</v>
      </c>
      <c r="D76" s="1" t="s">
        <v>1178</v>
      </c>
    </row>
    <row r="77" spans="1:4" x14ac:dyDescent="0.35">
      <c r="A77" s="1">
        <v>4000416</v>
      </c>
      <c r="B77" s="1" t="s">
        <v>1174</v>
      </c>
      <c r="C77" s="1">
        <v>10030801</v>
      </c>
      <c r="D77" s="1" t="s">
        <v>1173</v>
      </c>
    </row>
    <row r="78" spans="1:4" x14ac:dyDescent="0.35">
      <c r="A78" s="1">
        <v>4000418</v>
      </c>
      <c r="B78" s="1" t="s">
        <v>1174</v>
      </c>
      <c r="C78" s="1">
        <v>10030801</v>
      </c>
      <c r="D78" s="1" t="s">
        <v>1173</v>
      </c>
    </row>
    <row r="79" spans="1:4" x14ac:dyDescent="0.35">
      <c r="A79" s="1">
        <v>4000419</v>
      </c>
      <c r="B79" s="1" t="s">
        <v>1174</v>
      </c>
      <c r="C79" s="1">
        <v>10030801</v>
      </c>
      <c r="D79" s="1" t="s">
        <v>1173</v>
      </c>
    </row>
    <row r="80" spans="1:4" x14ac:dyDescent="0.35">
      <c r="A80" s="1">
        <v>4000420</v>
      </c>
      <c r="B80" s="1" t="s">
        <v>1174</v>
      </c>
      <c r="C80" s="1">
        <v>10030801</v>
      </c>
      <c r="D80" s="1" t="s">
        <v>1173</v>
      </c>
    </row>
    <row r="81" spans="1:4" x14ac:dyDescent="0.35">
      <c r="A81" s="1">
        <v>4000426</v>
      </c>
      <c r="B81" s="1" t="s">
        <v>1174</v>
      </c>
      <c r="C81" s="1">
        <v>10030901</v>
      </c>
      <c r="D81" s="1" t="s">
        <v>1173</v>
      </c>
    </row>
    <row r="82" spans="1:4" x14ac:dyDescent="0.35">
      <c r="A82" s="1">
        <v>4000427</v>
      </c>
      <c r="B82" s="1" t="s">
        <v>1174</v>
      </c>
      <c r="C82" s="1">
        <v>10040101</v>
      </c>
      <c r="D82" s="1" t="s">
        <v>1173</v>
      </c>
    </row>
    <row r="83" spans="1:4" x14ac:dyDescent="0.35">
      <c r="A83" s="1">
        <v>4000428</v>
      </c>
      <c r="B83" s="1" t="s">
        <v>1174</v>
      </c>
      <c r="C83" s="1">
        <v>10040101</v>
      </c>
      <c r="D83" s="1" t="s">
        <v>1173</v>
      </c>
    </row>
    <row r="84" spans="1:4" x14ac:dyDescent="0.35">
      <c r="A84" s="1">
        <v>4000430</v>
      </c>
      <c r="B84" s="1" t="s">
        <v>1174</v>
      </c>
      <c r="C84" s="1">
        <v>10040101</v>
      </c>
      <c r="D84" s="1" t="s">
        <v>1173</v>
      </c>
    </row>
    <row r="85" spans="1:4" x14ac:dyDescent="0.35">
      <c r="A85" s="1">
        <v>4000432</v>
      </c>
      <c r="B85" s="1" t="s">
        <v>1174</v>
      </c>
      <c r="C85" s="1">
        <v>10040101</v>
      </c>
      <c r="D85" s="1" t="s">
        <v>1173</v>
      </c>
    </row>
    <row r="86" spans="1:4" x14ac:dyDescent="0.35">
      <c r="A86" s="1">
        <v>4000434</v>
      </c>
      <c r="B86" s="1" t="s">
        <v>1174</v>
      </c>
      <c r="C86" s="1">
        <v>10040101</v>
      </c>
      <c r="D86" s="1" t="s">
        <v>1173</v>
      </c>
    </row>
    <row r="87" spans="1:4" x14ac:dyDescent="0.35">
      <c r="A87" s="1">
        <v>4000435</v>
      </c>
      <c r="B87" s="1" t="s">
        <v>1174</v>
      </c>
      <c r="C87" s="1">
        <v>10040101</v>
      </c>
      <c r="D87" s="1" t="s">
        <v>1173</v>
      </c>
    </row>
    <row r="88" spans="1:4" x14ac:dyDescent="0.35">
      <c r="A88" s="1">
        <v>4000441</v>
      </c>
      <c r="B88" s="1" t="s">
        <v>1174</v>
      </c>
      <c r="C88" s="1">
        <v>10050603</v>
      </c>
      <c r="D88" s="1" t="s">
        <v>1173</v>
      </c>
    </row>
    <row r="89" spans="1:4" x14ac:dyDescent="0.35">
      <c r="A89" s="1">
        <v>4000442</v>
      </c>
      <c r="B89" s="1" t="s">
        <v>1174</v>
      </c>
      <c r="C89" s="1">
        <v>10050801</v>
      </c>
      <c r="D89" s="1" t="s">
        <v>1173</v>
      </c>
    </row>
    <row r="90" spans="1:4" x14ac:dyDescent="0.35">
      <c r="A90" s="1">
        <v>4000443</v>
      </c>
      <c r="B90" s="1" t="s">
        <v>1174</v>
      </c>
      <c r="C90" s="1">
        <v>10050605</v>
      </c>
      <c r="D90" s="1" t="s">
        <v>1173</v>
      </c>
    </row>
    <row r="91" spans="1:4" x14ac:dyDescent="0.35">
      <c r="A91" s="1">
        <v>4000445</v>
      </c>
      <c r="B91" s="1" t="s">
        <v>1174</v>
      </c>
      <c r="C91" s="1">
        <v>10050109</v>
      </c>
      <c r="D91" s="1" t="s">
        <v>1173</v>
      </c>
    </row>
    <row r="92" spans="1:4" x14ac:dyDescent="0.35">
      <c r="A92" s="1">
        <v>4000447</v>
      </c>
      <c r="B92" s="1" t="s">
        <v>1174</v>
      </c>
      <c r="C92" s="1">
        <v>10050109</v>
      </c>
      <c r="D92" s="1" t="s">
        <v>1173</v>
      </c>
    </row>
    <row r="93" spans="1:4" x14ac:dyDescent="0.35">
      <c r="A93" s="1">
        <v>4000449</v>
      </c>
      <c r="B93" s="1" t="s">
        <v>1174</v>
      </c>
      <c r="C93" s="1">
        <v>10050109</v>
      </c>
      <c r="D93" s="1" t="s">
        <v>1173</v>
      </c>
    </row>
    <row r="94" spans="1:4" x14ac:dyDescent="0.35">
      <c r="A94" s="1">
        <v>4000452</v>
      </c>
      <c r="B94" s="1" t="s">
        <v>1174</v>
      </c>
      <c r="C94" s="1">
        <v>10050605</v>
      </c>
      <c r="D94" s="1" t="s">
        <v>1173</v>
      </c>
    </row>
    <row r="95" spans="1:4" x14ac:dyDescent="0.35">
      <c r="A95" s="1">
        <v>4000455</v>
      </c>
      <c r="B95" s="1" t="s">
        <v>1174</v>
      </c>
      <c r="C95" s="1">
        <v>10050404</v>
      </c>
      <c r="D95" s="1" t="s">
        <v>1173</v>
      </c>
    </row>
    <row r="96" spans="1:4" x14ac:dyDescent="0.35">
      <c r="A96" s="1">
        <v>4000457</v>
      </c>
      <c r="B96" s="1" t="s">
        <v>1174</v>
      </c>
      <c r="C96" s="1">
        <v>10050404</v>
      </c>
      <c r="D96" s="1" t="s">
        <v>1173</v>
      </c>
    </row>
    <row r="97" spans="1:4" x14ac:dyDescent="0.35">
      <c r="A97" s="1">
        <v>4000493</v>
      </c>
      <c r="B97" s="1" t="s">
        <v>1174</v>
      </c>
      <c r="C97" s="1">
        <v>10050701</v>
      </c>
      <c r="D97" s="1" t="s">
        <v>1173</v>
      </c>
    </row>
    <row r="98" spans="1:4" x14ac:dyDescent="0.35">
      <c r="A98" s="1">
        <v>4000740</v>
      </c>
      <c r="B98" s="1" t="s">
        <v>1174</v>
      </c>
      <c r="C98" s="1">
        <v>10050305</v>
      </c>
      <c r="D98" s="1" t="s">
        <v>1179</v>
      </c>
    </row>
    <row r="99" spans="1:4" x14ac:dyDescent="0.35">
      <c r="A99" s="1">
        <v>4000755</v>
      </c>
      <c r="B99" s="1" t="s">
        <v>1174</v>
      </c>
      <c r="C99" s="1">
        <v>10050605</v>
      </c>
      <c r="D99" s="1" t="s">
        <v>1173</v>
      </c>
    </row>
    <row r="100" spans="1:4" x14ac:dyDescent="0.35">
      <c r="A100" s="1">
        <v>4000757</v>
      </c>
      <c r="B100" s="1" t="s">
        <v>1174</v>
      </c>
      <c r="C100" s="1">
        <v>10050801</v>
      </c>
      <c r="D100" s="1" t="s">
        <v>1173</v>
      </c>
    </row>
    <row r="101" spans="1:4" x14ac:dyDescent="0.35">
      <c r="A101" s="1">
        <v>4000758</v>
      </c>
      <c r="B101" s="1" t="s">
        <v>1174</v>
      </c>
      <c r="C101" s="1">
        <v>10050801</v>
      </c>
      <c r="D101" s="1" t="s">
        <v>1173</v>
      </c>
    </row>
    <row r="102" spans="1:4" x14ac:dyDescent="0.35">
      <c r="A102" s="1">
        <v>4000759</v>
      </c>
      <c r="B102" s="1" t="s">
        <v>1174</v>
      </c>
      <c r="C102" s="1">
        <v>10050801</v>
      </c>
      <c r="D102" s="1" t="s">
        <v>1173</v>
      </c>
    </row>
    <row r="103" spans="1:4" x14ac:dyDescent="0.35">
      <c r="A103" s="1">
        <v>4000760</v>
      </c>
      <c r="B103" s="1" t="s">
        <v>1174</v>
      </c>
      <c r="C103" s="1">
        <v>10050801</v>
      </c>
      <c r="D103" s="1" t="s">
        <v>1173</v>
      </c>
    </row>
    <row r="104" spans="1:4" x14ac:dyDescent="0.35">
      <c r="A104" s="1">
        <v>4000761</v>
      </c>
      <c r="B104" s="1" t="s">
        <v>1174</v>
      </c>
      <c r="C104" s="1">
        <v>10050801</v>
      </c>
      <c r="D104" s="1" t="s">
        <v>1173</v>
      </c>
    </row>
    <row r="105" spans="1:4" x14ac:dyDescent="0.35">
      <c r="A105" s="1">
        <v>4000763</v>
      </c>
      <c r="B105" s="1" t="s">
        <v>1174</v>
      </c>
      <c r="C105" s="1">
        <v>10050801</v>
      </c>
      <c r="D105" s="1" t="s">
        <v>1178</v>
      </c>
    </row>
    <row r="106" spans="1:4" x14ac:dyDescent="0.35">
      <c r="A106" s="1">
        <v>4000764</v>
      </c>
      <c r="B106" s="1" t="s">
        <v>1174</v>
      </c>
      <c r="C106" s="1">
        <v>10050801</v>
      </c>
      <c r="D106" s="1" t="s">
        <v>1178</v>
      </c>
    </row>
    <row r="107" spans="1:4" x14ac:dyDescent="0.35">
      <c r="A107" s="1">
        <v>4000765</v>
      </c>
      <c r="B107" s="1" t="s">
        <v>1174</v>
      </c>
      <c r="C107" s="1">
        <v>10050801</v>
      </c>
      <c r="D107" s="1" t="s">
        <v>1178</v>
      </c>
    </row>
    <row r="108" spans="1:4" x14ac:dyDescent="0.35">
      <c r="A108" s="1">
        <v>4000766</v>
      </c>
      <c r="B108" s="1" t="s">
        <v>1174</v>
      </c>
      <c r="C108" s="1">
        <v>10050604</v>
      </c>
      <c r="D108" s="1" t="s">
        <v>1175</v>
      </c>
    </row>
    <row r="109" spans="1:4" x14ac:dyDescent="0.35">
      <c r="A109" s="1">
        <v>4000767</v>
      </c>
      <c r="B109" s="1" t="s">
        <v>1174</v>
      </c>
      <c r="C109" s="1">
        <v>10050604</v>
      </c>
      <c r="D109" s="1" t="s">
        <v>1175</v>
      </c>
    </row>
    <row r="110" spans="1:4" x14ac:dyDescent="0.35">
      <c r="A110" s="1">
        <v>4000768</v>
      </c>
      <c r="B110" s="1" t="s">
        <v>1174</v>
      </c>
      <c r="C110" s="1">
        <v>10050604</v>
      </c>
      <c r="D110" s="1" t="s">
        <v>1175</v>
      </c>
    </row>
    <row r="111" spans="1:4" x14ac:dyDescent="0.35">
      <c r="A111" s="1">
        <v>4000769</v>
      </c>
      <c r="B111" s="1" t="s">
        <v>1174</v>
      </c>
      <c r="C111" s="1">
        <v>10050604</v>
      </c>
      <c r="D111" s="1" t="s">
        <v>1175</v>
      </c>
    </row>
    <row r="112" spans="1:4" x14ac:dyDescent="0.35">
      <c r="A112" s="1">
        <v>4000770</v>
      </c>
      <c r="B112" s="1" t="s">
        <v>1174</v>
      </c>
      <c r="C112" s="1">
        <v>10050604</v>
      </c>
      <c r="D112" s="1" t="s">
        <v>1175</v>
      </c>
    </row>
    <row r="113" spans="1:4" x14ac:dyDescent="0.35">
      <c r="A113" s="1">
        <v>4000771</v>
      </c>
      <c r="B113" s="1" t="s">
        <v>1174</v>
      </c>
      <c r="C113" s="1">
        <v>10050604</v>
      </c>
      <c r="D113" s="1" t="s">
        <v>1175</v>
      </c>
    </row>
    <row r="114" spans="1:4" x14ac:dyDescent="0.35">
      <c r="A114" s="1">
        <v>4000772</v>
      </c>
      <c r="B114" s="1" t="s">
        <v>1174</v>
      </c>
      <c r="C114" s="1">
        <v>10050604</v>
      </c>
      <c r="D114" s="1" t="s">
        <v>1180</v>
      </c>
    </row>
    <row r="115" spans="1:4" x14ac:dyDescent="0.35">
      <c r="A115" s="1">
        <v>4000773</v>
      </c>
      <c r="B115" s="1" t="s">
        <v>1174</v>
      </c>
      <c r="C115" s="1">
        <v>10050604</v>
      </c>
      <c r="D115" s="1" t="s">
        <v>1180</v>
      </c>
    </row>
    <row r="116" spans="1:4" x14ac:dyDescent="0.35">
      <c r="A116" s="1">
        <v>4000775</v>
      </c>
      <c r="B116" s="1" t="s">
        <v>1174</v>
      </c>
      <c r="C116" s="1">
        <v>10050607</v>
      </c>
      <c r="D116" s="1" t="s">
        <v>1173</v>
      </c>
    </row>
    <row r="117" spans="1:4" x14ac:dyDescent="0.35">
      <c r="A117" s="1">
        <v>4000776</v>
      </c>
      <c r="B117" s="1" t="s">
        <v>1174</v>
      </c>
      <c r="C117" s="1">
        <v>10050604</v>
      </c>
      <c r="D117" s="1" t="s">
        <v>1175</v>
      </c>
    </row>
    <row r="118" spans="1:4" x14ac:dyDescent="0.35">
      <c r="A118" s="1">
        <v>4000777</v>
      </c>
      <c r="B118" s="1" t="s">
        <v>1174</v>
      </c>
      <c r="C118" s="1">
        <v>10050604</v>
      </c>
      <c r="D118" s="1" t="s">
        <v>1175</v>
      </c>
    </row>
    <row r="119" spans="1:4" x14ac:dyDescent="0.35">
      <c r="A119" s="1">
        <v>4000778</v>
      </c>
      <c r="B119" s="1" t="s">
        <v>1174</v>
      </c>
      <c r="C119" s="1">
        <v>10050604</v>
      </c>
      <c r="D119" s="1" t="s">
        <v>1175</v>
      </c>
    </row>
    <row r="120" spans="1:4" x14ac:dyDescent="0.35">
      <c r="A120" s="1">
        <v>4000779</v>
      </c>
      <c r="B120" s="1" t="s">
        <v>1174</v>
      </c>
      <c r="C120" s="1">
        <v>10050604</v>
      </c>
      <c r="D120" s="1" t="s">
        <v>1175</v>
      </c>
    </row>
    <row r="121" spans="1:4" x14ac:dyDescent="0.35">
      <c r="A121" s="1">
        <v>4000780</v>
      </c>
      <c r="B121" s="1" t="s">
        <v>1174</v>
      </c>
      <c r="C121" s="1">
        <v>10050604</v>
      </c>
      <c r="D121" s="1" t="s">
        <v>1175</v>
      </c>
    </row>
    <row r="122" spans="1:4" x14ac:dyDescent="0.35">
      <c r="A122" s="1">
        <v>4000781</v>
      </c>
      <c r="B122" s="1" t="s">
        <v>1174</v>
      </c>
      <c r="C122" s="1">
        <v>10050604</v>
      </c>
      <c r="D122" s="1" t="s">
        <v>1175</v>
      </c>
    </row>
    <row r="123" spans="1:4" x14ac:dyDescent="0.35">
      <c r="A123" s="1">
        <v>4000786</v>
      </c>
      <c r="B123" s="1" t="s">
        <v>1174</v>
      </c>
      <c r="C123" s="1">
        <v>10050604</v>
      </c>
      <c r="D123" s="1" t="s">
        <v>1180</v>
      </c>
    </row>
    <row r="124" spans="1:4" x14ac:dyDescent="0.35">
      <c r="A124" s="1">
        <v>4000787</v>
      </c>
      <c r="B124" s="1" t="s">
        <v>1174</v>
      </c>
      <c r="C124" s="1">
        <v>10050604</v>
      </c>
      <c r="D124" s="1" t="s">
        <v>1180</v>
      </c>
    </row>
    <row r="125" spans="1:4" x14ac:dyDescent="0.35">
      <c r="A125" s="1">
        <v>4000788</v>
      </c>
      <c r="B125" s="1" t="s">
        <v>1174</v>
      </c>
      <c r="C125" s="1">
        <v>10050604</v>
      </c>
      <c r="D125" s="1" t="s">
        <v>1180</v>
      </c>
    </row>
    <row r="126" spans="1:4" x14ac:dyDescent="0.35">
      <c r="A126" s="1">
        <v>4000789</v>
      </c>
      <c r="B126" s="1" t="s">
        <v>1174</v>
      </c>
      <c r="C126" s="1">
        <v>10050604</v>
      </c>
      <c r="D126" s="1" t="s">
        <v>1180</v>
      </c>
    </row>
    <row r="127" spans="1:4" x14ac:dyDescent="0.35">
      <c r="A127" s="1">
        <v>4000790</v>
      </c>
      <c r="B127" s="1" t="s">
        <v>1174</v>
      </c>
      <c r="C127" s="1">
        <v>10050604</v>
      </c>
      <c r="D127" s="1" t="s">
        <v>1180</v>
      </c>
    </row>
    <row r="128" spans="1:4" x14ac:dyDescent="0.35">
      <c r="A128" s="1">
        <v>4000791</v>
      </c>
      <c r="B128" s="1" t="s">
        <v>1174</v>
      </c>
      <c r="C128" s="1">
        <v>10050604</v>
      </c>
      <c r="D128" s="1" t="s">
        <v>1180</v>
      </c>
    </row>
    <row r="129" spans="1:4" x14ac:dyDescent="0.35">
      <c r="A129" s="1">
        <v>4000793</v>
      </c>
      <c r="B129" s="1" t="s">
        <v>1174</v>
      </c>
      <c r="C129" s="1">
        <v>10080401</v>
      </c>
      <c r="D129" s="1" t="s">
        <v>1173</v>
      </c>
    </row>
    <row r="130" spans="1:4" x14ac:dyDescent="0.35">
      <c r="A130" s="1">
        <v>4000794</v>
      </c>
      <c r="B130" s="1" t="s">
        <v>1174</v>
      </c>
      <c r="C130" s="1">
        <v>10080401</v>
      </c>
      <c r="D130" s="1" t="s">
        <v>1173</v>
      </c>
    </row>
    <row r="131" spans="1:4" x14ac:dyDescent="0.35">
      <c r="A131" s="1">
        <v>4000795</v>
      </c>
      <c r="B131" s="1" t="s">
        <v>1174</v>
      </c>
      <c r="C131" s="1">
        <v>10080401</v>
      </c>
      <c r="D131" s="1" t="s">
        <v>1173</v>
      </c>
    </row>
    <row r="132" spans="1:4" x14ac:dyDescent="0.35">
      <c r="A132" s="1">
        <v>4000800</v>
      </c>
      <c r="B132" s="1" t="s">
        <v>1174</v>
      </c>
      <c r="C132" s="1">
        <v>10080401</v>
      </c>
      <c r="D132" s="1" t="s">
        <v>1173</v>
      </c>
    </row>
    <row r="133" spans="1:4" x14ac:dyDescent="0.35">
      <c r="A133" s="1">
        <v>4000801</v>
      </c>
      <c r="B133" s="1" t="s">
        <v>1174</v>
      </c>
      <c r="C133" s="1">
        <v>10080401</v>
      </c>
      <c r="D133" s="1" t="s">
        <v>1173</v>
      </c>
    </row>
    <row r="134" spans="1:4" x14ac:dyDescent="0.35">
      <c r="A134" s="1">
        <v>4000802</v>
      </c>
      <c r="B134" s="1" t="s">
        <v>1174</v>
      </c>
      <c r="C134" s="1">
        <v>10080401</v>
      </c>
      <c r="D134" s="1" t="s">
        <v>1173</v>
      </c>
    </row>
    <row r="135" spans="1:4" x14ac:dyDescent="0.35">
      <c r="A135" s="1">
        <v>4000803</v>
      </c>
      <c r="B135" s="1" t="s">
        <v>1174</v>
      </c>
      <c r="C135" s="1">
        <v>10080401</v>
      </c>
      <c r="D135" s="1" t="s">
        <v>1173</v>
      </c>
    </row>
    <row r="136" spans="1:4" x14ac:dyDescent="0.35">
      <c r="A136" s="1">
        <v>4000804</v>
      </c>
      <c r="B136" s="1" t="s">
        <v>1174</v>
      </c>
      <c r="C136" s="1">
        <v>10080401</v>
      </c>
      <c r="D136" s="1" t="s">
        <v>1173</v>
      </c>
    </row>
    <row r="137" spans="1:4" x14ac:dyDescent="0.35">
      <c r="A137" s="1">
        <v>4000805</v>
      </c>
      <c r="B137" s="1" t="s">
        <v>1174</v>
      </c>
      <c r="C137" s="1">
        <v>10080401</v>
      </c>
      <c r="D137" s="1" t="s">
        <v>1173</v>
      </c>
    </row>
    <row r="138" spans="1:4" x14ac:dyDescent="0.35">
      <c r="A138" s="1">
        <v>4000830</v>
      </c>
      <c r="B138" s="1" t="s">
        <v>1174</v>
      </c>
      <c r="C138" s="1">
        <v>10050109</v>
      </c>
      <c r="D138" s="1" t="s">
        <v>1173</v>
      </c>
    </row>
    <row r="139" spans="1:4" x14ac:dyDescent="0.35">
      <c r="A139" s="1">
        <v>4000835</v>
      </c>
      <c r="B139" s="1" t="s">
        <v>1174</v>
      </c>
      <c r="C139" s="1">
        <v>10050404</v>
      </c>
      <c r="D139" s="1" t="s">
        <v>1173</v>
      </c>
    </row>
    <row r="140" spans="1:4" x14ac:dyDescent="0.35">
      <c r="A140" s="1">
        <v>4000893</v>
      </c>
      <c r="B140" s="1" t="s">
        <v>1174</v>
      </c>
      <c r="C140" s="1">
        <v>10050404</v>
      </c>
      <c r="D140" s="1" t="s">
        <v>1173</v>
      </c>
    </row>
    <row r="141" spans="1:4" x14ac:dyDescent="0.35">
      <c r="A141" s="1">
        <v>4000894</v>
      </c>
      <c r="B141" s="1" t="s">
        <v>1174</v>
      </c>
      <c r="C141" s="1">
        <v>10050404</v>
      </c>
      <c r="D141" s="1" t="s">
        <v>1173</v>
      </c>
    </row>
    <row r="142" spans="1:4" x14ac:dyDescent="0.35">
      <c r="A142" s="1">
        <v>4000895</v>
      </c>
      <c r="B142" s="1" t="s">
        <v>1174</v>
      </c>
      <c r="C142" s="1">
        <v>10050404</v>
      </c>
      <c r="D142" s="1" t="s">
        <v>1173</v>
      </c>
    </row>
    <row r="143" spans="1:4" x14ac:dyDescent="0.35">
      <c r="A143" s="1">
        <v>4000896</v>
      </c>
      <c r="B143" s="1" t="s">
        <v>1174</v>
      </c>
      <c r="C143" s="1">
        <v>10050404</v>
      </c>
      <c r="D143" s="1" t="s">
        <v>1173</v>
      </c>
    </row>
    <row r="144" spans="1:4" x14ac:dyDescent="0.35">
      <c r="A144" s="1">
        <v>4000897</v>
      </c>
      <c r="B144" s="1" t="s">
        <v>1174</v>
      </c>
      <c r="C144" s="1">
        <v>10050404</v>
      </c>
      <c r="D144" s="1" t="s">
        <v>1173</v>
      </c>
    </row>
    <row r="145" spans="1:4" x14ac:dyDescent="0.35">
      <c r="A145" s="1">
        <v>4000966</v>
      </c>
      <c r="B145" s="1" t="s">
        <v>1174</v>
      </c>
      <c r="C145" s="1">
        <v>10050103</v>
      </c>
      <c r="D145" s="1" t="s">
        <v>1173</v>
      </c>
    </row>
    <row r="146" spans="1:4" x14ac:dyDescent="0.35">
      <c r="A146" s="1">
        <v>4000969</v>
      </c>
      <c r="B146" s="1" t="s">
        <v>1174</v>
      </c>
      <c r="C146" s="1">
        <v>10050506</v>
      </c>
      <c r="D146" s="1" t="s">
        <v>1173</v>
      </c>
    </row>
    <row r="147" spans="1:4" x14ac:dyDescent="0.35">
      <c r="A147" s="1">
        <v>4000972</v>
      </c>
      <c r="B147" s="1" t="s">
        <v>1174</v>
      </c>
      <c r="C147" s="1">
        <v>10050104</v>
      </c>
      <c r="D147" s="1" t="s">
        <v>1173</v>
      </c>
    </row>
    <row r="148" spans="1:4" x14ac:dyDescent="0.35">
      <c r="A148" s="1">
        <v>4000973</v>
      </c>
      <c r="B148" s="1" t="s">
        <v>1174</v>
      </c>
      <c r="C148" s="1">
        <v>10050104</v>
      </c>
      <c r="D148" s="1" t="s">
        <v>1173</v>
      </c>
    </row>
    <row r="149" spans="1:4" x14ac:dyDescent="0.35">
      <c r="A149" s="1">
        <v>4000974</v>
      </c>
      <c r="B149" s="1" t="s">
        <v>1174</v>
      </c>
      <c r="C149" s="1">
        <v>10050104</v>
      </c>
      <c r="D149" s="1" t="s">
        <v>1173</v>
      </c>
    </row>
    <row r="150" spans="1:4" x14ac:dyDescent="0.35">
      <c r="A150" s="1">
        <v>4000975</v>
      </c>
      <c r="B150" s="1" t="s">
        <v>1174</v>
      </c>
      <c r="C150" s="1">
        <v>10050104</v>
      </c>
      <c r="D150" s="1" t="s">
        <v>1173</v>
      </c>
    </row>
    <row r="151" spans="1:4" x14ac:dyDescent="0.35">
      <c r="A151" s="1">
        <v>4000976</v>
      </c>
      <c r="B151" s="1" t="s">
        <v>1174</v>
      </c>
      <c r="C151" s="1">
        <v>10050104</v>
      </c>
      <c r="D151" s="1" t="s">
        <v>1173</v>
      </c>
    </row>
    <row r="152" spans="1:4" x14ac:dyDescent="0.35">
      <c r="A152" s="1">
        <v>4000977</v>
      </c>
      <c r="B152" s="1" t="s">
        <v>1174</v>
      </c>
      <c r="C152" s="1">
        <v>10050104</v>
      </c>
      <c r="D152" s="1" t="s">
        <v>1173</v>
      </c>
    </row>
    <row r="153" spans="1:4" x14ac:dyDescent="0.35">
      <c r="A153" s="1">
        <v>4000978</v>
      </c>
      <c r="B153" s="1" t="s">
        <v>1174</v>
      </c>
      <c r="C153" s="1">
        <v>10050105</v>
      </c>
      <c r="D153" s="1" t="s">
        <v>1173</v>
      </c>
    </row>
    <row r="154" spans="1:4" x14ac:dyDescent="0.35">
      <c r="A154" s="1">
        <v>4000979</v>
      </c>
      <c r="B154" s="1" t="s">
        <v>1174</v>
      </c>
      <c r="C154" s="1">
        <v>10050105</v>
      </c>
      <c r="D154" s="1" t="s">
        <v>1173</v>
      </c>
    </row>
    <row r="155" spans="1:4" x14ac:dyDescent="0.35">
      <c r="A155" s="1">
        <v>4000981</v>
      </c>
      <c r="B155" s="1" t="s">
        <v>1174</v>
      </c>
      <c r="C155" s="1">
        <v>10050103</v>
      </c>
      <c r="D155" s="1" t="s">
        <v>1173</v>
      </c>
    </row>
    <row r="156" spans="1:4" x14ac:dyDescent="0.35">
      <c r="A156" s="1">
        <v>4000988</v>
      </c>
      <c r="B156" s="1" t="s">
        <v>1174</v>
      </c>
      <c r="C156" s="1">
        <v>10050401</v>
      </c>
      <c r="D156" s="1" t="s">
        <v>1173</v>
      </c>
    </row>
    <row r="157" spans="1:4" x14ac:dyDescent="0.35">
      <c r="A157" s="1">
        <v>4000989</v>
      </c>
      <c r="B157" s="1" t="s">
        <v>1174</v>
      </c>
      <c r="C157" s="1">
        <v>10050401</v>
      </c>
      <c r="D157" s="1" t="s">
        <v>1173</v>
      </c>
    </row>
    <row r="158" spans="1:4" x14ac:dyDescent="0.35">
      <c r="A158" s="1">
        <v>4001115</v>
      </c>
      <c r="B158" s="1" t="s">
        <v>1174</v>
      </c>
      <c r="C158" s="1">
        <v>10040101</v>
      </c>
      <c r="D158" s="1" t="s">
        <v>1173</v>
      </c>
    </row>
    <row r="159" spans="1:4" x14ac:dyDescent="0.35">
      <c r="A159" s="1">
        <v>4001116</v>
      </c>
      <c r="B159" s="1" t="s">
        <v>1174</v>
      </c>
      <c r="C159" s="1">
        <v>10050105</v>
      </c>
      <c r="D159" s="1" t="s">
        <v>1173</v>
      </c>
    </row>
    <row r="160" spans="1:4" x14ac:dyDescent="0.35">
      <c r="A160" s="1">
        <v>4001117</v>
      </c>
      <c r="B160" s="1" t="s">
        <v>1174</v>
      </c>
      <c r="C160" s="1">
        <v>10050105</v>
      </c>
      <c r="D160" s="1" t="s">
        <v>1173</v>
      </c>
    </row>
    <row r="161" spans="1:4" x14ac:dyDescent="0.35">
      <c r="A161" s="1">
        <v>4001118</v>
      </c>
      <c r="B161" s="1" t="s">
        <v>1174</v>
      </c>
      <c r="C161" s="1">
        <v>10050105</v>
      </c>
      <c r="D161" s="1" t="s">
        <v>1173</v>
      </c>
    </row>
    <row r="162" spans="1:4" x14ac:dyDescent="0.35">
      <c r="A162" s="1">
        <v>4001120</v>
      </c>
      <c r="B162" s="1" t="s">
        <v>1174</v>
      </c>
      <c r="C162" s="1">
        <v>10050104</v>
      </c>
      <c r="D162" s="1" t="s">
        <v>1173</v>
      </c>
    </row>
    <row r="163" spans="1:4" x14ac:dyDescent="0.35">
      <c r="A163" s="1">
        <v>4001122</v>
      </c>
      <c r="B163" s="1" t="s">
        <v>1174</v>
      </c>
      <c r="C163" s="1">
        <v>10050604</v>
      </c>
      <c r="D163" s="1" t="s">
        <v>1180</v>
      </c>
    </row>
    <row r="164" spans="1:4" x14ac:dyDescent="0.35">
      <c r="A164" s="1">
        <v>4001123</v>
      </c>
      <c r="B164" s="1" t="s">
        <v>1174</v>
      </c>
      <c r="C164" s="1">
        <v>10050604</v>
      </c>
      <c r="D164" s="1" t="s">
        <v>1180</v>
      </c>
    </row>
    <row r="165" spans="1:4" x14ac:dyDescent="0.35">
      <c r="A165" s="1">
        <v>4001124</v>
      </c>
      <c r="B165" s="1" t="s">
        <v>1174</v>
      </c>
      <c r="C165" s="1">
        <v>10050604</v>
      </c>
      <c r="D165" s="1" t="s">
        <v>1180</v>
      </c>
    </row>
    <row r="166" spans="1:4" x14ac:dyDescent="0.35">
      <c r="A166" s="1">
        <v>4001125</v>
      </c>
      <c r="B166" s="1" t="s">
        <v>1174</v>
      </c>
      <c r="C166" s="1">
        <v>10050109</v>
      </c>
      <c r="D166" s="1" t="s">
        <v>1173</v>
      </c>
    </row>
    <row r="167" spans="1:4" x14ac:dyDescent="0.35">
      <c r="A167" s="1">
        <v>4001127</v>
      </c>
      <c r="B167" s="1" t="s">
        <v>1174</v>
      </c>
      <c r="C167" s="1">
        <v>10050506</v>
      </c>
      <c r="D167" s="1" t="s">
        <v>1173</v>
      </c>
    </row>
    <row r="168" spans="1:4" x14ac:dyDescent="0.35">
      <c r="A168" s="1">
        <v>4001128</v>
      </c>
      <c r="B168" s="1" t="s">
        <v>1174</v>
      </c>
      <c r="C168" s="1">
        <v>10050506</v>
      </c>
      <c r="D168" s="1" t="s">
        <v>1173</v>
      </c>
    </row>
    <row r="169" spans="1:4" x14ac:dyDescent="0.35">
      <c r="A169" s="1">
        <v>4001129</v>
      </c>
      <c r="B169" s="1" t="s">
        <v>1174</v>
      </c>
      <c r="C169" s="1">
        <v>10050506</v>
      </c>
      <c r="D169" s="1" t="s">
        <v>1173</v>
      </c>
    </row>
    <row r="170" spans="1:4" x14ac:dyDescent="0.35">
      <c r="A170" s="1">
        <v>4001130</v>
      </c>
      <c r="B170" s="1" t="s">
        <v>1174</v>
      </c>
      <c r="C170" s="1">
        <v>10050611</v>
      </c>
      <c r="D170" s="1" t="s">
        <v>1173</v>
      </c>
    </row>
    <row r="171" spans="1:4" x14ac:dyDescent="0.35">
      <c r="A171" s="1">
        <v>4001133</v>
      </c>
      <c r="B171" s="1" t="s">
        <v>1174</v>
      </c>
      <c r="C171" s="1">
        <v>10050104</v>
      </c>
      <c r="D171" s="1" t="s">
        <v>1173</v>
      </c>
    </row>
    <row r="172" spans="1:4" x14ac:dyDescent="0.35">
      <c r="A172" s="1">
        <v>4001134</v>
      </c>
      <c r="B172" s="1" t="s">
        <v>1174</v>
      </c>
      <c r="C172" s="1">
        <v>10050104</v>
      </c>
      <c r="D172" s="1" t="s">
        <v>1173</v>
      </c>
    </row>
    <row r="173" spans="1:4" x14ac:dyDescent="0.35">
      <c r="A173" s="1">
        <v>4001135</v>
      </c>
      <c r="B173" s="1" t="s">
        <v>1174</v>
      </c>
      <c r="C173" s="1">
        <v>10050104</v>
      </c>
      <c r="D173" s="1" t="s">
        <v>1173</v>
      </c>
    </row>
    <row r="174" spans="1:4" x14ac:dyDescent="0.35">
      <c r="A174" s="1">
        <v>4001136</v>
      </c>
      <c r="B174" s="1" t="s">
        <v>1174</v>
      </c>
      <c r="C174" s="1">
        <v>10050104</v>
      </c>
      <c r="D174" s="1" t="s">
        <v>1173</v>
      </c>
    </row>
    <row r="175" spans="1:4" x14ac:dyDescent="0.35">
      <c r="A175" s="1">
        <v>4001137</v>
      </c>
      <c r="B175" s="1" t="s">
        <v>1174</v>
      </c>
      <c r="C175" s="1">
        <v>10050104</v>
      </c>
      <c r="D175" s="1" t="s">
        <v>1173</v>
      </c>
    </row>
    <row r="176" spans="1:4" x14ac:dyDescent="0.35">
      <c r="A176" s="1">
        <v>4001138</v>
      </c>
      <c r="B176" s="1" t="s">
        <v>1174</v>
      </c>
      <c r="C176" s="1">
        <v>10050104</v>
      </c>
      <c r="D176" s="1" t="s">
        <v>1173</v>
      </c>
    </row>
    <row r="177" spans="1:4" x14ac:dyDescent="0.35">
      <c r="A177" s="1">
        <v>4001160</v>
      </c>
      <c r="B177" s="1" t="s">
        <v>1174</v>
      </c>
      <c r="C177" s="1">
        <v>10050607</v>
      </c>
      <c r="D177" s="1" t="s">
        <v>1173</v>
      </c>
    </row>
    <row r="178" spans="1:4" x14ac:dyDescent="0.35">
      <c r="A178" s="1">
        <v>4001161</v>
      </c>
      <c r="B178" s="1" t="s">
        <v>1174</v>
      </c>
      <c r="C178" s="1">
        <v>10050404</v>
      </c>
      <c r="D178" s="1" t="s">
        <v>1173</v>
      </c>
    </row>
    <row r="179" spans="1:4" x14ac:dyDescent="0.35">
      <c r="A179" s="1">
        <v>4001170</v>
      </c>
      <c r="B179" s="1" t="s">
        <v>1174</v>
      </c>
      <c r="C179" s="1">
        <v>10050701</v>
      </c>
      <c r="D179" s="1" t="s">
        <v>1173</v>
      </c>
    </row>
    <row r="180" spans="1:4" x14ac:dyDescent="0.35">
      <c r="A180" s="1">
        <v>4001194</v>
      </c>
      <c r="B180" s="1" t="s">
        <v>1174</v>
      </c>
      <c r="C180" s="1">
        <v>10050801</v>
      </c>
      <c r="D180" s="1" t="s">
        <v>1173</v>
      </c>
    </row>
    <row r="181" spans="1:4" x14ac:dyDescent="0.35">
      <c r="A181" s="1">
        <v>4001207</v>
      </c>
      <c r="B181" s="1" t="s">
        <v>1174</v>
      </c>
      <c r="C181" s="1">
        <v>10050801</v>
      </c>
      <c r="D181" s="1" t="s">
        <v>1178</v>
      </c>
    </row>
    <row r="182" spans="1:4" x14ac:dyDescent="0.35">
      <c r="A182" s="1">
        <v>4001208</v>
      </c>
      <c r="B182" s="1" t="s">
        <v>1174</v>
      </c>
      <c r="C182" s="1">
        <v>10050801</v>
      </c>
      <c r="D182" s="1" t="s">
        <v>1178</v>
      </c>
    </row>
    <row r="183" spans="1:4" x14ac:dyDescent="0.35">
      <c r="A183" s="1">
        <v>4001211</v>
      </c>
      <c r="B183" s="1" t="s">
        <v>1174</v>
      </c>
      <c r="C183" s="1">
        <v>10050801</v>
      </c>
      <c r="D183" s="1" t="s">
        <v>1173</v>
      </c>
    </row>
    <row r="184" spans="1:4" x14ac:dyDescent="0.35">
      <c r="A184" s="1">
        <v>4001215</v>
      </c>
      <c r="B184" s="1" t="s">
        <v>1174</v>
      </c>
      <c r="C184" s="1">
        <v>10050701</v>
      </c>
      <c r="D184" s="1" t="s">
        <v>1173</v>
      </c>
    </row>
    <row r="185" spans="1:4" x14ac:dyDescent="0.35">
      <c r="A185" s="1">
        <v>4001216</v>
      </c>
      <c r="B185" s="1" t="s">
        <v>1174</v>
      </c>
      <c r="C185" s="1">
        <v>10050605</v>
      </c>
      <c r="D185" s="1" t="s">
        <v>1173</v>
      </c>
    </row>
    <row r="186" spans="1:4" x14ac:dyDescent="0.35">
      <c r="A186" s="1">
        <v>4001221</v>
      </c>
      <c r="B186" s="1" t="s">
        <v>1174</v>
      </c>
      <c r="C186" s="1">
        <v>10050801</v>
      </c>
      <c r="D186" s="1" t="s">
        <v>1178</v>
      </c>
    </row>
    <row r="187" spans="1:4" x14ac:dyDescent="0.35">
      <c r="A187" s="1">
        <v>4001225</v>
      </c>
      <c r="B187" s="1" t="s">
        <v>1174</v>
      </c>
      <c r="C187" s="1">
        <v>10050506</v>
      </c>
      <c r="D187" s="1" t="s">
        <v>1173</v>
      </c>
    </row>
    <row r="188" spans="1:4" x14ac:dyDescent="0.35">
      <c r="A188" s="1">
        <v>4001233</v>
      </c>
      <c r="B188" s="1" t="s">
        <v>1174</v>
      </c>
      <c r="C188" s="1">
        <v>10050103</v>
      </c>
      <c r="D188" s="1" t="s">
        <v>1173</v>
      </c>
    </row>
    <row r="189" spans="1:4" x14ac:dyDescent="0.35">
      <c r="A189" s="1">
        <v>4001237</v>
      </c>
      <c r="B189" s="1" t="s">
        <v>1174</v>
      </c>
      <c r="C189" s="1">
        <v>10050104</v>
      </c>
      <c r="D189" s="1" t="s">
        <v>1173</v>
      </c>
    </row>
    <row r="190" spans="1:4" x14ac:dyDescent="0.35">
      <c r="A190" s="1">
        <v>4001241</v>
      </c>
      <c r="B190" s="1" t="s">
        <v>1174</v>
      </c>
      <c r="C190" s="1">
        <v>10050308</v>
      </c>
      <c r="D190" s="1" t="s">
        <v>1173</v>
      </c>
    </row>
    <row r="191" spans="1:4" x14ac:dyDescent="0.35">
      <c r="A191" s="1">
        <v>4001257</v>
      </c>
      <c r="B191" s="1" t="s">
        <v>1174</v>
      </c>
      <c r="C191" s="1">
        <v>10050505</v>
      </c>
      <c r="D191" s="1" t="s">
        <v>1173</v>
      </c>
    </row>
    <row r="192" spans="1:4" x14ac:dyDescent="0.35">
      <c r="A192" s="1">
        <v>4001264</v>
      </c>
      <c r="B192" s="1" t="s">
        <v>1174</v>
      </c>
      <c r="C192" s="1">
        <v>10050604</v>
      </c>
      <c r="D192" s="1" t="s">
        <v>1180</v>
      </c>
    </row>
    <row r="193" spans="1:4" x14ac:dyDescent="0.35">
      <c r="A193" s="1">
        <v>4001277</v>
      </c>
      <c r="B193" s="1" t="s">
        <v>1174</v>
      </c>
      <c r="C193" s="1">
        <v>10050801</v>
      </c>
      <c r="D193" s="1" t="s">
        <v>1173</v>
      </c>
    </row>
    <row r="194" spans="1:4" x14ac:dyDescent="0.35">
      <c r="A194" s="1">
        <v>4001278</v>
      </c>
      <c r="B194" s="1" t="s">
        <v>1174</v>
      </c>
      <c r="C194" s="1">
        <v>10050801</v>
      </c>
      <c r="D194" s="1" t="s">
        <v>1173</v>
      </c>
    </row>
    <row r="195" spans="1:4" x14ac:dyDescent="0.35">
      <c r="A195" s="1">
        <v>4001279</v>
      </c>
      <c r="B195" s="1" t="s">
        <v>1174</v>
      </c>
      <c r="C195" s="1">
        <v>10050801</v>
      </c>
      <c r="D195" s="1" t="s">
        <v>1173</v>
      </c>
    </row>
    <row r="196" spans="1:4" x14ac:dyDescent="0.35">
      <c r="A196" s="1">
        <v>4001282</v>
      </c>
      <c r="B196" s="1" t="s">
        <v>1174</v>
      </c>
      <c r="C196" s="1">
        <v>10050109</v>
      </c>
      <c r="D196" s="1" t="s">
        <v>1173</v>
      </c>
    </row>
    <row r="197" spans="1:4" x14ac:dyDescent="0.35">
      <c r="A197" s="1">
        <v>4001283</v>
      </c>
      <c r="B197" s="1" t="s">
        <v>1174</v>
      </c>
      <c r="C197" s="1">
        <v>10050109</v>
      </c>
      <c r="D197" s="1" t="s">
        <v>1173</v>
      </c>
    </row>
    <row r="198" spans="1:4" x14ac:dyDescent="0.35">
      <c r="A198" s="1">
        <v>4001285</v>
      </c>
      <c r="B198" s="1" t="s">
        <v>1174</v>
      </c>
      <c r="C198" s="1">
        <v>10050801</v>
      </c>
      <c r="D198" s="1" t="s">
        <v>1173</v>
      </c>
    </row>
    <row r="199" spans="1:4" x14ac:dyDescent="0.35">
      <c r="A199" s="1">
        <v>4001287</v>
      </c>
      <c r="B199" s="1" t="s">
        <v>1174</v>
      </c>
      <c r="C199" s="1">
        <v>10050801</v>
      </c>
      <c r="D199" s="1" t="s">
        <v>1173</v>
      </c>
    </row>
    <row r="200" spans="1:4" x14ac:dyDescent="0.35">
      <c r="A200" s="1">
        <v>4001288</v>
      </c>
      <c r="B200" s="1" t="s">
        <v>1174</v>
      </c>
      <c r="C200" s="1">
        <v>10050801</v>
      </c>
      <c r="D200" s="1" t="s">
        <v>1173</v>
      </c>
    </row>
    <row r="201" spans="1:4" x14ac:dyDescent="0.35">
      <c r="A201" s="1">
        <v>4001289</v>
      </c>
      <c r="B201" s="1" t="s">
        <v>1174</v>
      </c>
      <c r="C201" s="1">
        <v>10050801</v>
      </c>
      <c r="D201" s="1" t="s">
        <v>1173</v>
      </c>
    </row>
    <row r="202" spans="1:4" x14ac:dyDescent="0.35">
      <c r="A202" s="1">
        <v>4001290</v>
      </c>
      <c r="B202" s="1" t="s">
        <v>1174</v>
      </c>
      <c r="C202" s="1">
        <v>10050801</v>
      </c>
      <c r="D202" s="1" t="s">
        <v>1173</v>
      </c>
    </row>
    <row r="203" spans="1:4" x14ac:dyDescent="0.35">
      <c r="A203" s="1">
        <v>4001291</v>
      </c>
      <c r="B203" s="1" t="s">
        <v>1174</v>
      </c>
      <c r="C203" s="1">
        <v>10050801</v>
      </c>
      <c r="D203" s="1" t="s">
        <v>1173</v>
      </c>
    </row>
    <row r="204" spans="1:4" x14ac:dyDescent="0.35">
      <c r="A204" s="1">
        <v>4001293</v>
      </c>
      <c r="B204" s="1" t="s">
        <v>1174</v>
      </c>
      <c r="C204" s="1">
        <v>10050801</v>
      </c>
      <c r="D204" s="1" t="s">
        <v>1178</v>
      </c>
    </row>
    <row r="205" spans="1:4" x14ac:dyDescent="0.35">
      <c r="A205" s="1">
        <v>4001295</v>
      </c>
      <c r="B205" s="1" t="s">
        <v>1174</v>
      </c>
      <c r="C205" s="1">
        <v>10050602</v>
      </c>
      <c r="D205" s="1" t="s">
        <v>1173</v>
      </c>
    </row>
    <row r="206" spans="1:4" x14ac:dyDescent="0.35">
      <c r="A206" s="1">
        <v>4001298</v>
      </c>
      <c r="B206" s="1" t="s">
        <v>1174</v>
      </c>
      <c r="C206" s="1">
        <v>10040105</v>
      </c>
      <c r="D206" s="1" t="s">
        <v>1173</v>
      </c>
    </row>
    <row r="207" spans="1:4" x14ac:dyDescent="0.35">
      <c r="A207" s="1">
        <v>4001307</v>
      </c>
      <c r="B207" s="1" t="s">
        <v>1174</v>
      </c>
      <c r="C207" s="1">
        <v>10050605</v>
      </c>
      <c r="D207" s="1" t="s">
        <v>1173</v>
      </c>
    </row>
    <row r="208" spans="1:4" x14ac:dyDescent="0.35">
      <c r="A208" s="1">
        <v>4001310</v>
      </c>
      <c r="B208" s="1" t="s">
        <v>1174</v>
      </c>
      <c r="C208" s="1">
        <v>10050607</v>
      </c>
      <c r="D208" s="1" t="s">
        <v>1175</v>
      </c>
    </row>
    <row r="209" spans="1:4" x14ac:dyDescent="0.35">
      <c r="A209" s="1">
        <v>4001311</v>
      </c>
      <c r="B209" s="1" t="s">
        <v>1174</v>
      </c>
      <c r="C209" s="1">
        <v>10050507</v>
      </c>
      <c r="D209" s="1" t="s">
        <v>1173</v>
      </c>
    </row>
    <row r="210" spans="1:4" x14ac:dyDescent="0.35">
      <c r="A210" s="1">
        <v>4001312</v>
      </c>
      <c r="B210" s="1" t="s">
        <v>1174</v>
      </c>
      <c r="C210" s="1">
        <v>10050506</v>
      </c>
      <c r="D210" s="1" t="s">
        <v>1173</v>
      </c>
    </row>
    <row r="211" spans="1:4" x14ac:dyDescent="0.35">
      <c r="A211" s="1">
        <v>4001314</v>
      </c>
      <c r="B211" s="1" t="s">
        <v>1174</v>
      </c>
      <c r="C211" s="1">
        <v>10040101</v>
      </c>
      <c r="D211" s="1" t="s">
        <v>1173</v>
      </c>
    </row>
    <row r="212" spans="1:4" x14ac:dyDescent="0.35">
      <c r="A212" s="1">
        <v>4001315</v>
      </c>
      <c r="B212" s="1" t="s">
        <v>1174</v>
      </c>
      <c r="C212" s="1">
        <v>10050505</v>
      </c>
      <c r="D212" s="1" t="s">
        <v>1173</v>
      </c>
    </row>
    <row r="213" spans="1:4" x14ac:dyDescent="0.35">
      <c r="A213" s="1">
        <v>4001316</v>
      </c>
      <c r="B213" s="1" t="s">
        <v>1174</v>
      </c>
      <c r="C213" s="1">
        <v>10050801</v>
      </c>
      <c r="D213" s="1" t="s">
        <v>1178</v>
      </c>
    </row>
    <row r="214" spans="1:4" x14ac:dyDescent="0.35">
      <c r="A214" s="1">
        <v>4001318</v>
      </c>
      <c r="B214" s="1" t="s">
        <v>1174</v>
      </c>
      <c r="C214" s="1">
        <v>10050609</v>
      </c>
      <c r="D214" s="1" t="s">
        <v>1173</v>
      </c>
    </row>
    <row r="215" spans="1:4" x14ac:dyDescent="0.35">
      <c r="A215" s="1">
        <v>4001320</v>
      </c>
      <c r="B215" s="1" t="s">
        <v>1174</v>
      </c>
      <c r="C215" s="1">
        <v>10050801</v>
      </c>
      <c r="D215" s="1" t="s">
        <v>1173</v>
      </c>
    </row>
    <row r="216" spans="1:4" x14ac:dyDescent="0.35">
      <c r="A216" s="1">
        <v>4001323</v>
      </c>
      <c r="B216" s="1" t="s">
        <v>1174</v>
      </c>
      <c r="C216" s="1">
        <v>10030101</v>
      </c>
      <c r="D216" s="1" t="s">
        <v>1173</v>
      </c>
    </row>
    <row r="217" spans="1:4" x14ac:dyDescent="0.35">
      <c r="A217" s="1">
        <v>4001324</v>
      </c>
      <c r="B217" s="1" t="s">
        <v>1174</v>
      </c>
      <c r="C217" s="1">
        <v>10050507</v>
      </c>
      <c r="D217" s="1" t="s">
        <v>1173</v>
      </c>
    </row>
    <row r="218" spans="1:4" x14ac:dyDescent="0.35">
      <c r="A218" s="1">
        <v>4001327</v>
      </c>
      <c r="B218" s="1" t="s">
        <v>1174</v>
      </c>
      <c r="C218" s="1">
        <v>10050609</v>
      </c>
      <c r="D218" s="1" t="s">
        <v>1173</v>
      </c>
    </row>
    <row r="219" spans="1:4" x14ac:dyDescent="0.35">
      <c r="A219" s="1">
        <v>4001328</v>
      </c>
      <c r="B219" s="1" t="s">
        <v>1174</v>
      </c>
      <c r="C219" s="1">
        <v>10050607</v>
      </c>
      <c r="D219" s="1" t="s">
        <v>1173</v>
      </c>
    </row>
    <row r="220" spans="1:4" x14ac:dyDescent="0.35">
      <c r="A220" s="1">
        <v>4001331</v>
      </c>
      <c r="B220" s="1" t="s">
        <v>1174</v>
      </c>
      <c r="C220" s="1">
        <v>10030904</v>
      </c>
      <c r="D220" s="1" t="s">
        <v>1173</v>
      </c>
    </row>
    <row r="221" spans="1:4" x14ac:dyDescent="0.35">
      <c r="A221" s="1">
        <v>4001333</v>
      </c>
      <c r="B221" s="1" t="s">
        <v>1174</v>
      </c>
      <c r="C221" s="1">
        <v>10050603</v>
      </c>
      <c r="D221" s="1" t="s">
        <v>1173</v>
      </c>
    </row>
    <row r="222" spans="1:4" x14ac:dyDescent="0.35">
      <c r="A222" s="1">
        <v>4001334</v>
      </c>
      <c r="B222" s="1" t="s">
        <v>1174</v>
      </c>
      <c r="C222" s="1">
        <v>10050607</v>
      </c>
      <c r="D222" s="1" t="s">
        <v>1173</v>
      </c>
    </row>
    <row r="223" spans="1:4" x14ac:dyDescent="0.35">
      <c r="A223" s="1">
        <v>4001335</v>
      </c>
      <c r="B223" s="1" t="s">
        <v>1174</v>
      </c>
      <c r="C223" s="1">
        <v>10050607</v>
      </c>
      <c r="D223" s="1" t="s">
        <v>1173</v>
      </c>
    </row>
    <row r="224" spans="1:4" x14ac:dyDescent="0.35">
      <c r="A224" s="1">
        <v>4001336</v>
      </c>
      <c r="B224" s="1" t="s">
        <v>1174</v>
      </c>
      <c r="C224" s="1">
        <v>10050607</v>
      </c>
      <c r="D224" s="1" t="s">
        <v>1173</v>
      </c>
    </row>
    <row r="225" spans="1:4" x14ac:dyDescent="0.35">
      <c r="A225" s="1">
        <v>4001337</v>
      </c>
      <c r="B225" s="1" t="s">
        <v>1174</v>
      </c>
      <c r="C225" s="1">
        <v>10050607</v>
      </c>
      <c r="D225" s="1" t="s">
        <v>1173</v>
      </c>
    </row>
    <row r="226" spans="1:4" x14ac:dyDescent="0.35">
      <c r="A226" s="1">
        <v>4001338</v>
      </c>
      <c r="B226" s="1" t="s">
        <v>1174</v>
      </c>
      <c r="C226" s="1">
        <v>10050607</v>
      </c>
      <c r="D226" s="1" t="s">
        <v>1173</v>
      </c>
    </row>
    <row r="227" spans="1:4" x14ac:dyDescent="0.35">
      <c r="A227" s="1">
        <v>4001339</v>
      </c>
      <c r="B227" s="1" t="s">
        <v>1174</v>
      </c>
      <c r="C227" s="1">
        <v>10050607</v>
      </c>
      <c r="D227" s="1" t="s">
        <v>1175</v>
      </c>
    </row>
    <row r="228" spans="1:4" x14ac:dyDescent="0.35">
      <c r="A228" s="1">
        <v>4001340</v>
      </c>
      <c r="B228" s="1" t="s">
        <v>1174</v>
      </c>
      <c r="C228" s="1">
        <v>10050607</v>
      </c>
      <c r="D228" s="1" t="s">
        <v>1175</v>
      </c>
    </row>
    <row r="229" spans="1:4" x14ac:dyDescent="0.35">
      <c r="A229" s="1">
        <v>4001341</v>
      </c>
      <c r="B229" s="1" t="s">
        <v>1174</v>
      </c>
      <c r="C229" s="1">
        <v>10030906</v>
      </c>
      <c r="D229" s="1" t="s">
        <v>1179</v>
      </c>
    </row>
    <row r="230" spans="1:4" x14ac:dyDescent="0.35">
      <c r="A230" s="1">
        <v>4001343</v>
      </c>
      <c r="B230" s="1" t="s">
        <v>1174</v>
      </c>
      <c r="C230" s="1">
        <v>10050801</v>
      </c>
      <c r="D230" s="1" t="s">
        <v>1178</v>
      </c>
    </row>
    <row r="231" spans="1:4" x14ac:dyDescent="0.35">
      <c r="A231" s="1">
        <v>4001344</v>
      </c>
      <c r="B231" s="1" t="s">
        <v>1174</v>
      </c>
      <c r="C231" s="1">
        <v>10050801</v>
      </c>
      <c r="D231" s="1" t="s">
        <v>1178</v>
      </c>
    </row>
    <row r="232" spans="1:4" x14ac:dyDescent="0.35">
      <c r="A232" s="1">
        <v>4001345</v>
      </c>
      <c r="B232" s="1" t="s">
        <v>1174</v>
      </c>
      <c r="C232" s="1">
        <v>10050801</v>
      </c>
      <c r="D232" s="1" t="s">
        <v>1178</v>
      </c>
    </row>
    <row r="233" spans="1:4" x14ac:dyDescent="0.35">
      <c r="A233" s="1">
        <v>4001347</v>
      </c>
      <c r="B233" s="1" t="s">
        <v>1174</v>
      </c>
      <c r="C233" s="1">
        <v>10050801</v>
      </c>
      <c r="D233" s="1" t="s">
        <v>1178</v>
      </c>
    </row>
    <row r="234" spans="1:4" x14ac:dyDescent="0.35">
      <c r="A234" s="1">
        <v>4001348</v>
      </c>
      <c r="B234" s="1" t="s">
        <v>1174</v>
      </c>
      <c r="C234" s="1">
        <v>10050104</v>
      </c>
      <c r="D234" s="1" t="s">
        <v>1173</v>
      </c>
    </row>
    <row r="235" spans="1:4" x14ac:dyDescent="0.35">
      <c r="A235" s="1">
        <v>4001349</v>
      </c>
      <c r="B235" s="1" t="s">
        <v>1174</v>
      </c>
      <c r="C235" s="1">
        <v>10050104</v>
      </c>
      <c r="D235" s="1" t="s">
        <v>1173</v>
      </c>
    </row>
    <row r="236" spans="1:4" x14ac:dyDescent="0.35">
      <c r="A236" s="1">
        <v>4001350</v>
      </c>
      <c r="B236" s="1" t="s">
        <v>1174</v>
      </c>
      <c r="C236" s="1">
        <v>10050605</v>
      </c>
      <c r="D236" s="1" t="s">
        <v>1173</v>
      </c>
    </row>
    <row r="237" spans="1:4" x14ac:dyDescent="0.35">
      <c r="A237" s="1">
        <v>4001351</v>
      </c>
      <c r="B237" s="1" t="s">
        <v>1174</v>
      </c>
      <c r="C237" s="1">
        <v>10050607</v>
      </c>
      <c r="D237" s="1" t="s">
        <v>1173</v>
      </c>
    </row>
    <row r="238" spans="1:4" x14ac:dyDescent="0.35">
      <c r="A238" s="1">
        <v>4001354</v>
      </c>
      <c r="B238" s="1" t="s">
        <v>1174</v>
      </c>
      <c r="C238" s="1">
        <v>10050604</v>
      </c>
      <c r="D238" s="1" t="s">
        <v>1180</v>
      </c>
    </row>
    <row r="239" spans="1:4" x14ac:dyDescent="0.35">
      <c r="A239" s="1">
        <v>4001357</v>
      </c>
      <c r="B239" s="1" t="s">
        <v>1174</v>
      </c>
      <c r="C239" s="1">
        <v>10050404</v>
      </c>
      <c r="D239" s="1" t="s">
        <v>1173</v>
      </c>
    </row>
    <row r="240" spans="1:4" x14ac:dyDescent="0.35">
      <c r="A240" s="1">
        <v>4001359</v>
      </c>
      <c r="B240" s="1" t="s">
        <v>1174</v>
      </c>
      <c r="C240" s="1">
        <v>10050604</v>
      </c>
      <c r="D240" s="1" t="s">
        <v>1180</v>
      </c>
    </row>
    <row r="241" spans="1:4" x14ac:dyDescent="0.35">
      <c r="A241" s="1">
        <v>4001363</v>
      </c>
      <c r="B241" s="1" t="s">
        <v>1174</v>
      </c>
      <c r="C241" s="1">
        <v>10050604</v>
      </c>
      <c r="D241" s="1" t="s">
        <v>1180</v>
      </c>
    </row>
    <row r="242" spans="1:4" x14ac:dyDescent="0.35">
      <c r="A242" s="1">
        <v>4001364</v>
      </c>
      <c r="B242" s="1" t="s">
        <v>1174</v>
      </c>
      <c r="C242" s="1">
        <v>10050604</v>
      </c>
      <c r="D242" s="1" t="s">
        <v>1180</v>
      </c>
    </row>
    <row r="243" spans="1:4" x14ac:dyDescent="0.35">
      <c r="A243" s="1">
        <v>4001365</v>
      </c>
      <c r="B243" s="1" t="s">
        <v>1174</v>
      </c>
      <c r="C243" s="1">
        <v>10050801</v>
      </c>
      <c r="D243" s="1" t="s">
        <v>1178</v>
      </c>
    </row>
    <row r="244" spans="1:4" x14ac:dyDescent="0.35">
      <c r="A244" s="1">
        <v>4001366</v>
      </c>
      <c r="B244" s="1" t="s">
        <v>1174</v>
      </c>
      <c r="C244" s="1">
        <v>10050404</v>
      </c>
      <c r="D244" s="1" t="s">
        <v>1173</v>
      </c>
    </row>
    <row r="245" spans="1:4" x14ac:dyDescent="0.35">
      <c r="A245" s="1">
        <v>4001367</v>
      </c>
      <c r="B245" s="1" t="s">
        <v>1174</v>
      </c>
      <c r="C245" s="1">
        <v>10050506</v>
      </c>
      <c r="D245" s="1" t="s">
        <v>1173</v>
      </c>
    </row>
    <row r="246" spans="1:4" x14ac:dyDescent="0.35">
      <c r="A246" s="1">
        <v>4001368</v>
      </c>
      <c r="B246" s="1" t="s">
        <v>1174</v>
      </c>
      <c r="C246" s="1">
        <v>10050506</v>
      </c>
      <c r="D246" s="1" t="s">
        <v>1173</v>
      </c>
    </row>
    <row r="247" spans="1:4" x14ac:dyDescent="0.35">
      <c r="A247" s="1">
        <v>4001369</v>
      </c>
      <c r="B247" s="1" t="s">
        <v>1174</v>
      </c>
      <c r="C247" s="1">
        <v>10050506</v>
      </c>
      <c r="D247" s="1" t="s">
        <v>1173</v>
      </c>
    </row>
    <row r="248" spans="1:4" x14ac:dyDescent="0.35">
      <c r="A248" s="1">
        <v>4001371</v>
      </c>
      <c r="B248" s="1" t="s">
        <v>1174</v>
      </c>
      <c r="C248" s="1">
        <v>10050505</v>
      </c>
      <c r="D248" s="1" t="s">
        <v>1178</v>
      </c>
    </row>
    <row r="249" spans="1:4" x14ac:dyDescent="0.35">
      <c r="A249" s="1">
        <v>4001373</v>
      </c>
      <c r="B249" s="1" t="s">
        <v>1174</v>
      </c>
      <c r="C249" s="1">
        <v>10050603</v>
      </c>
      <c r="D249" s="1" t="s">
        <v>1173</v>
      </c>
    </row>
    <row r="250" spans="1:4" x14ac:dyDescent="0.35">
      <c r="A250" s="1">
        <v>4001374</v>
      </c>
      <c r="B250" s="1" t="s">
        <v>1174</v>
      </c>
      <c r="C250" s="1">
        <v>10050603</v>
      </c>
      <c r="D250" s="1" t="s">
        <v>1173</v>
      </c>
    </row>
    <row r="251" spans="1:4" x14ac:dyDescent="0.35">
      <c r="A251" s="1">
        <v>4001376</v>
      </c>
      <c r="B251" s="1" t="s">
        <v>1174</v>
      </c>
      <c r="C251" s="1">
        <v>10040101</v>
      </c>
      <c r="D251" s="1" t="s">
        <v>1173</v>
      </c>
    </row>
    <row r="252" spans="1:4" x14ac:dyDescent="0.35">
      <c r="A252" s="1">
        <v>4001379</v>
      </c>
      <c r="B252" s="1" t="s">
        <v>1174</v>
      </c>
      <c r="C252" s="1">
        <v>10050606</v>
      </c>
      <c r="D252" s="1" t="s">
        <v>1173</v>
      </c>
    </row>
    <row r="253" spans="1:4" x14ac:dyDescent="0.35">
      <c r="A253" s="1">
        <v>4001380</v>
      </c>
      <c r="B253" s="1" t="s">
        <v>1174</v>
      </c>
      <c r="C253" s="1">
        <v>10050801</v>
      </c>
      <c r="D253" s="1" t="s">
        <v>1178</v>
      </c>
    </row>
    <row r="254" spans="1:4" x14ac:dyDescent="0.35">
      <c r="A254" s="1">
        <v>4001383</v>
      </c>
      <c r="B254" s="1" t="s">
        <v>1174</v>
      </c>
      <c r="C254" s="1">
        <v>10050104</v>
      </c>
      <c r="D254" s="1" t="s">
        <v>1173</v>
      </c>
    </row>
    <row r="255" spans="1:4" x14ac:dyDescent="0.35">
      <c r="A255" s="1">
        <v>4001384</v>
      </c>
      <c r="B255" s="1" t="s">
        <v>1174</v>
      </c>
      <c r="C255" s="1">
        <v>10050104</v>
      </c>
      <c r="D255" s="1" t="s">
        <v>1173</v>
      </c>
    </row>
    <row r="256" spans="1:4" x14ac:dyDescent="0.35">
      <c r="A256" s="1">
        <v>4001385</v>
      </c>
      <c r="B256" s="1" t="s">
        <v>1174</v>
      </c>
      <c r="C256" s="1">
        <v>10050104</v>
      </c>
      <c r="D256" s="1" t="s">
        <v>1173</v>
      </c>
    </row>
    <row r="257" spans="1:4" x14ac:dyDescent="0.35">
      <c r="A257" s="1">
        <v>4001387</v>
      </c>
      <c r="B257" s="1" t="s">
        <v>1174</v>
      </c>
      <c r="C257" s="1">
        <v>10050801</v>
      </c>
      <c r="D257" s="1" t="s">
        <v>1178</v>
      </c>
    </row>
    <row r="258" spans="1:4" x14ac:dyDescent="0.35">
      <c r="A258" s="1">
        <v>4001388</v>
      </c>
      <c r="B258" s="1" t="s">
        <v>1174</v>
      </c>
      <c r="C258" s="1">
        <v>10050801</v>
      </c>
      <c r="D258" s="1" t="s">
        <v>1178</v>
      </c>
    </row>
    <row r="259" spans="1:4" x14ac:dyDescent="0.35">
      <c r="A259" s="1">
        <v>4001390</v>
      </c>
      <c r="B259" s="1" t="s">
        <v>1174</v>
      </c>
      <c r="C259" s="1">
        <v>10050801</v>
      </c>
      <c r="D259" s="1" t="s">
        <v>1173</v>
      </c>
    </row>
    <row r="260" spans="1:4" x14ac:dyDescent="0.35">
      <c r="A260" s="1">
        <v>4001396</v>
      </c>
      <c r="B260" s="1" t="s">
        <v>1174</v>
      </c>
      <c r="C260" s="1">
        <v>10050507</v>
      </c>
      <c r="D260" s="1" t="s">
        <v>1173</v>
      </c>
    </row>
    <row r="261" spans="1:4" x14ac:dyDescent="0.35">
      <c r="A261" s="1">
        <v>4001401</v>
      </c>
      <c r="B261" s="1" t="s">
        <v>1174</v>
      </c>
      <c r="C261" s="1">
        <v>10050108</v>
      </c>
      <c r="D261" s="1" t="s">
        <v>1173</v>
      </c>
    </row>
    <row r="262" spans="1:4" x14ac:dyDescent="0.35">
      <c r="A262" s="1">
        <v>4001403</v>
      </c>
      <c r="B262" s="1" t="s">
        <v>1174</v>
      </c>
      <c r="C262" s="1">
        <v>10050103</v>
      </c>
      <c r="D262" s="1" t="s">
        <v>1173</v>
      </c>
    </row>
    <row r="263" spans="1:4" x14ac:dyDescent="0.35">
      <c r="A263" s="1">
        <v>4001449</v>
      </c>
      <c r="B263" s="1" t="s">
        <v>1174</v>
      </c>
      <c r="C263" s="1">
        <v>10050104</v>
      </c>
      <c r="D263" s="1" t="s">
        <v>1173</v>
      </c>
    </row>
    <row r="264" spans="1:4" x14ac:dyDescent="0.35">
      <c r="A264" s="1">
        <v>4001451</v>
      </c>
      <c r="B264" s="1" t="s">
        <v>1174</v>
      </c>
      <c r="C264" s="1">
        <v>10050505</v>
      </c>
      <c r="D264" s="1" t="s">
        <v>1173</v>
      </c>
    </row>
    <row r="265" spans="1:4" x14ac:dyDescent="0.35">
      <c r="A265" s="1">
        <v>4001458</v>
      </c>
      <c r="B265" s="1" t="s">
        <v>1174</v>
      </c>
      <c r="C265" s="1">
        <v>10050505</v>
      </c>
      <c r="D265" s="1" t="s">
        <v>1173</v>
      </c>
    </row>
    <row r="266" spans="1:4" x14ac:dyDescent="0.35">
      <c r="A266" s="1">
        <v>4001459</v>
      </c>
      <c r="B266" s="1" t="s">
        <v>1174</v>
      </c>
      <c r="C266" s="1">
        <v>10050505</v>
      </c>
      <c r="D266" s="1" t="s">
        <v>1173</v>
      </c>
    </row>
    <row r="267" spans="1:4" x14ac:dyDescent="0.35">
      <c r="A267" s="1">
        <v>4001461</v>
      </c>
      <c r="B267" s="1" t="s">
        <v>1174</v>
      </c>
      <c r="C267" s="1">
        <v>10050505</v>
      </c>
      <c r="D267" s="1" t="s">
        <v>1173</v>
      </c>
    </row>
    <row r="268" spans="1:4" x14ac:dyDescent="0.35">
      <c r="A268" s="1">
        <v>4001523</v>
      </c>
      <c r="B268" s="1" t="s">
        <v>1174</v>
      </c>
      <c r="C268" s="1">
        <v>10060514</v>
      </c>
      <c r="D268" s="1" t="s">
        <v>1173</v>
      </c>
    </row>
    <row r="269" spans="1:4" x14ac:dyDescent="0.35">
      <c r="A269" s="1">
        <v>4001524</v>
      </c>
      <c r="B269" s="1" t="s">
        <v>1174</v>
      </c>
      <c r="C269" s="1">
        <v>10060514</v>
      </c>
      <c r="D269" s="1" t="s">
        <v>1173</v>
      </c>
    </row>
    <row r="270" spans="1:4" x14ac:dyDescent="0.35">
      <c r="A270" s="1">
        <v>4001551</v>
      </c>
      <c r="B270" s="1" t="s">
        <v>1174</v>
      </c>
      <c r="C270" s="1">
        <v>10050103</v>
      </c>
      <c r="D270" s="1" t="s">
        <v>1173</v>
      </c>
    </row>
    <row r="271" spans="1:4" x14ac:dyDescent="0.35">
      <c r="A271" s="1">
        <v>4001562</v>
      </c>
      <c r="B271" s="1" t="s">
        <v>1174</v>
      </c>
      <c r="C271" s="1">
        <v>10050507</v>
      </c>
      <c r="D271" s="1" t="s">
        <v>1173</v>
      </c>
    </row>
    <row r="272" spans="1:4" x14ac:dyDescent="0.35">
      <c r="A272" s="1">
        <v>4001572</v>
      </c>
      <c r="B272" s="1" t="s">
        <v>1174</v>
      </c>
      <c r="C272" s="1">
        <v>10050801</v>
      </c>
      <c r="D272" s="1" t="s">
        <v>1173</v>
      </c>
    </row>
    <row r="273" spans="1:4" x14ac:dyDescent="0.35">
      <c r="A273" s="1">
        <v>4001573</v>
      </c>
      <c r="B273" s="1" t="s">
        <v>1174</v>
      </c>
      <c r="C273" s="1">
        <v>10050801</v>
      </c>
      <c r="D273" s="1" t="s">
        <v>1173</v>
      </c>
    </row>
    <row r="274" spans="1:4" x14ac:dyDescent="0.35">
      <c r="A274" s="1">
        <v>4001574</v>
      </c>
      <c r="B274" s="1" t="s">
        <v>1174</v>
      </c>
      <c r="C274" s="1">
        <v>10050801</v>
      </c>
      <c r="D274" s="1" t="s">
        <v>1178</v>
      </c>
    </row>
    <row r="275" spans="1:4" x14ac:dyDescent="0.35">
      <c r="A275" s="1">
        <v>4001576</v>
      </c>
      <c r="B275" s="1" t="s">
        <v>1174</v>
      </c>
      <c r="C275" s="1">
        <v>10050801</v>
      </c>
      <c r="D275" s="1" t="s">
        <v>1173</v>
      </c>
    </row>
    <row r="276" spans="1:4" x14ac:dyDescent="0.35">
      <c r="A276" s="1">
        <v>4001609</v>
      </c>
      <c r="B276" s="1" t="s">
        <v>1174</v>
      </c>
      <c r="C276" s="1">
        <v>10080601</v>
      </c>
      <c r="D276" s="1" t="s">
        <v>1175</v>
      </c>
    </row>
    <row r="277" spans="1:4" x14ac:dyDescent="0.35">
      <c r="A277" s="1">
        <v>4001630</v>
      </c>
      <c r="B277" s="1" t="s">
        <v>1174</v>
      </c>
      <c r="C277" s="1">
        <v>10050103</v>
      </c>
      <c r="D277" s="1" t="s">
        <v>1173</v>
      </c>
    </row>
    <row r="278" spans="1:4" x14ac:dyDescent="0.35">
      <c r="A278" s="1">
        <v>4001691</v>
      </c>
      <c r="B278" s="1" t="s">
        <v>1174</v>
      </c>
      <c r="C278" s="1">
        <v>10050701</v>
      </c>
      <c r="D278" s="1" t="s">
        <v>1173</v>
      </c>
    </row>
    <row r="279" spans="1:4" x14ac:dyDescent="0.35">
      <c r="A279" s="1">
        <v>4001701</v>
      </c>
      <c r="B279" s="1" t="s">
        <v>1174</v>
      </c>
      <c r="C279" s="1">
        <v>10050801</v>
      </c>
      <c r="D279" s="1" t="s">
        <v>1177</v>
      </c>
    </row>
    <row r="280" spans="1:4" x14ac:dyDescent="0.35">
      <c r="A280" s="1">
        <v>4001754</v>
      </c>
      <c r="B280" s="1" t="s">
        <v>1174</v>
      </c>
      <c r="C280" s="1">
        <v>10050801</v>
      </c>
      <c r="D280" s="1" t="s">
        <v>1178</v>
      </c>
    </row>
    <row r="281" spans="1:4" x14ac:dyDescent="0.35">
      <c r="A281" s="1">
        <v>4001762</v>
      </c>
      <c r="B281" s="1" t="s">
        <v>1174</v>
      </c>
      <c r="C281" s="1">
        <v>10050606</v>
      </c>
      <c r="D281" s="1" t="s">
        <v>1173</v>
      </c>
    </row>
    <row r="282" spans="1:4" x14ac:dyDescent="0.35">
      <c r="A282" s="1">
        <v>4001763</v>
      </c>
      <c r="B282" s="1" t="s">
        <v>1174</v>
      </c>
      <c r="C282" s="1">
        <v>10050606</v>
      </c>
      <c r="D282" s="1" t="s">
        <v>1173</v>
      </c>
    </row>
    <row r="283" spans="1:4" x14ac:dyDescent="0.35">
      <c r="A283" s="1">
        <v>4001764</v>
      </c>
      <c r="B283" s="1" t="s">
        <v>1174</v>
      </c>
      <c r="C283" s="1">
        <v>10050606</v>
      </c>
      <c r="D283" s="1" t="s">
        <v>1173</v>
      </c>
    </row>
    <row r="284" spans="1:4" x14ac:dyDescent="0.35">
      <c r="A284" s="1">
        <v>4001809</v>
      </c>
      <c r="B284" s="1" t="s">
        <v>1174</v>
      </c>
      <c r="C284" s="1">
        <v>10050103</v>
      </c>
      <c r="D284" s="1" t="s">
        <v>1173</v>
      </c>
    </row>
    <row r="285" spans="1:4" x14ac:dyDescent="0.35">
      <c r="A285" s="1">
        <v>4001853</v>
      </c>
      <c r="B285" s="1" t="s">
        <v>1174</v>
      </c>
      <c r="C285" s="1">
        <v>10050801</v>
      </c>
      <c r="D285" s="1" t="s">
        <v>1178</v>
      </c>
    </row>
    <row r="286" spans="1:4" x14ac:dyDescent="0.35">
      <c r="A286" s="1">
        <v>4001951</v>
      </c>
      <c r="B286" s="1" t="s">
        <v>1174</v>
      </c>
      <c r="C286" s="1">
        <v>10080601</v>
      </c>
      <c r="D286" s="1" t="s">
        <v>1173</v>
      </c>
    </row>
    <row r="287" spans="1:4" x14ac:dyDescent="0.35">
      <c r="A287" s="1">
        <v>4001953</v>
      </c>
      <c r="B287" s="1" t="s">
        <v>1174</v>
      </c>
      <c r="C287" s="1">
        <v>10080601</v>
      </c>
      <c r="D287" s="1" t="s">
        <v>1173</v>
      </c>
    </row>
    <row r="288" spans="1:4" x14ac:dyDescent="0.35">
      <c r="A288" s="1">
        <v>4001969</v>
      </c>
      <c r="B288" s="1" t="s">
        <v>1174</v>
      </c>
      <c r="C288" s="1">
        <v>10050505</v>
      </c>
      <c r="D288" s="1" t="s">
        <v>1178</v>
      </c>
    </row>
    <row r="289" spans="1:4" x14ac:dyDescent="0.35">
      <c r="A289" s="1">
        <v>4002229</v>
      </c>
      <c r="B289" s="1" t="s">
        <v>1174</v>
      </c>
      <c r="C289" s="1">
        <v>10050507</v>
      </c>
      <c r="D289" s="1" t="s">
        <v>1173</v>
      </c>
    </row>
    <row r="290" spans="1:4" x14ac:dyDescent="0.35">
      <c r="A290" s="1">
        <v>4002233</v>
      </c>
      <c r="B290" s="1" t="s">
        <v>1174</v>
      </c>
      <c r="C290" s="1">
        <v>10050504</v>
      </c>
      <c r="D290" s="1" t="s">
        <v>1173</v>
      </c>
    </row>
    <row r="291" spans="1:4" x14ac:dyDescent="0.35">
      <c r="A291" s="1">
        <v>4002277</v>
      </c>
      <c r="B291" s="1" t="s">
        <v>1174</v>
      </c>
      <c r="C291" s="1">
        <v>10050801</v>
      </c>
      <c r="D291" s="1" t="s">
        <v>1173</v>
      </c>
    </row>
    <row r="292" spans="1:4" x14ac:dyDescent="0.35">
      <c r="A292" s="1">
        <v>4002292</v>
      </c>
      <c r="B292" s="1" t="s">
        <v>1174</v>
      </c>
      <c r="C292" s="1">
        <v>10050103</v>
      </c>
      <c r="D292" s="1" t="s">
        <v>1173</v>
      </c>
    </row>
    <row r="293" spans="1:4" x14ac:dyDescent="0.35">
      <c r="A293" s="1">
        <v>4002298</v>
      </c>
      <c r="B293" s="1" t="s">
        <v>1174</v>
      </c>
      <c r="C293" s="1">
        <v>10080401</v>
      </c>
      <c r="D293" s="1" t="s">
        <v>1173</v>
      </c>
    </row>
    <row r="294" spans="1:4" x14ac:dyDescent="0.35">
      <c r="A294" s="1">
        <v>4002302</v>
      </c>
      <c r="B294" s="1" t="s">
        <v>1174</v>
      </c>
      <c r="C294" s="1">
        <v>10080401</v>
      </c>
      <c r="D294" s="1" t="s">
        <v>1173</v>
      </c>
    </row>
    <row r="295" spans="1:4" x14ac:dyDescent="0.35">
      <c r="A295" s="1">
        <v>4002332</v>
      </c>
      <c r="B295" s="1" t="s">
        <v>1174</v>
      </c>
      <c r="C295" s="1">
        <v>10050109</v>
      </c>
      <c r="D295" s="1" t="s">
        <v>1173</v>
      </c>
    </row>
    <row r="296" spans="1:4" x14ac:dyDescent="0.35">
      <c r="A296" s="1">
        <v>4002333</v>
      </c>
      <c r="B296" s="1" t="s">
        <v>1174</v>
      </c>
      <c r="C296" s="1">
        <v>10050109</v>
      </c>
      <c r="D296" s="1" t="s">
        <v>1173</v>
      </c>
    </row>
    <row r="297" spans="1:4" x14ac:dyDescent="0.35">
      <c r="A297" s="1">
        <v>4002335</v>
      </c>
      <c r="B297" s="1" t="s">
        <v>1174</v>
      </c>
      <c r="C297" s="1">
        <v>10050611</v>
      </c>
      <c r="D297" s="1" t="s">
        <v>1173</v>
      </c>
    </row>
    <row r="298" spans="1:4" x14ac:dyDescent="0.35">
      <c r="A298" s="1">
        <v>4002344</v>
      </c>
      <c r="B298" s="1" t="s">
        <v>1174</v>
      </c>
      <c r="C298" s="1">
        <v>10050801</v>
      </c>
      <c r="D298" s="1" t="s">
        <v>1178</v>
      </c>
    </row>
    <row r="299" spans="1:4" x14ac:dyDescent="0.35">
      <c r="A299" s="1">
        <v>4002345</v>
      </c>
      <c r="B299" s="1" t="s">
        <v>1174</v>
      </c>
      <c r="C299" s="1">
        <v>10050303</v>
      </c>
      <c r="D299" s="1" t="s">
        <v>1177</v>
      </c>
    </row>
    <row r="300" spans="1:4" x14ac:dyDescent="0.35">
      <c r="A300" s="1">
        <v>4002349</v>
      </c>
      <c r="B300" s="1" t="s">
        <v>1174</v>
      </c>
      <c r="C300" s="1">
        <v>10050701</v>
      </c>
      <c r="D300" s="1" t="s">
        <v>1173</v>
      </c>
    </row>
    <row r="301" spans="1:4" x14ac:dyDescent="0.35">
      <c r="A301" s="1">
        <v>4002416</v>
      </c>
      <c r="B301" s="1" t="s">
        <v>1174</v>
      </c>
      <c r="C301" s="1">
        <v>10050504</v>
      </c>
      <c r="D301" s="1" t="s">
        <v>1173</v>
      </c>
    </row>
    <row r="302" spans="1:4" x14ac:dyDescent="0.35">
      <c r="A302" s="1">
        <v>4002446</v>
      </c>
      <c r="B302" s="1" t="s">
        <v>1174</v>
      </c>
      <c r="C302" s="1">
        <v>10040101</v>
      </c>
      <c r="D302" s="1" t="s">
        <v>1173</v>
      </c>
    </row>
    <row r="303" spans="1:4" x14ac:dyDescent="0.35">
      <c r="A303" s="1">
        <v>4002462</v>
      </c>
      <c r="B303" s="1" t="s">
        <v>1174</v>
      </c>
      <c r="C303" s="1">
        <v>10050103</v>
      </c>
      <c r="D303" s="1" t="s">
        <v>1173</v>
      </c>
    </row>
    <row r="304" spans="1:4" x14ac:dyDescent="0.35">
      <c r="A304" s="1">
        <v>4002465</v>
      </c>
      <c r="B304" s="1" t="s">
        <v>1174</v>
      </c>
      <c r="C304" s="1">
        <v>10050604</v>
      </c>
      <c r="D304" s="1" t="s">
        <v>1180</v>
      </c>
    </row>
    <row r="305" spans="1:4" x14ac:dyDescent="0.35">
      <c r="A305" s="1">
        <v>4002466</v>
      </c>
      <c r="B305" s="1" t="s">
        <v>1174</v>
      </c>
      <c r="C305" s="1">
        <v>10050604</v>
      </c>
      <c r="D305" s="1" t="s">
        <v>1180</v>
      </c>
    </row>
    <row r="306" spans="1:4" x14ac:dyDescent="0.35">
      <c r="A306" s="1">
        <v>4002467</v>
      </c>
      <c r="B306" s="1" t="s">
        <v>1174</v>
      </c>
      <c r="C306" s="1">
        <v>10050604</v>
      </c>
      <c r="D306" s="1" t="s">
        <v>1180</v>
      </c>
    </row>
    <row r="307" spans="1:4" x14ac:dyDescent="0.35">
      <c r="A307" s="1">
        <v>4002468</v>
      </c>
      <c r="B307" s="1" t="s">
        <v>1174</v>
      </c>
      <c r="C307" s="1">
        <v>10050604</v>
      </c>
      <c r="D307" s="1" t="s">
        <v>1180</v>
      </c>
    </row>
    <row r="308" spans="1:4" x14ac:dyDescent="0.35">
      <c r="A308" s="1">
        <v>4002472</v>
      </c>
      <c r="B308" s="1" t="s">
        <v>1174</v>
      </c>
      <c r="C308" s="1">
        <v>10050611</v>
      </c>
      <c r="D308" s="1" t="s">
        <v>1173</v>
      </c>
    </row>
    <row r="309" spans="1:4" x14ac:dyDescent="0.35">
      <c r="A309" s="1">
        <v>4002475</v>
      </c>
      <c r="B309" s="1" t="s">
        <v>1174</v>
      </c>
      <c r="C309" s="1">
        <v>10050801</v>
      </c>
      <c r="D309" s="1" t="s">
        <v>1178</v>
      </c>
    </row>
    <row r="310" spans="1:4" x14ac:dyDescent="0.35">
      <c r="A310" s="1">
        <v>4002477</v>
      </c>
      <c r="B310" s="1" t="s">
        <v>1174</v>
      </c>
      <c r="C310" s="1">
        <v>10030906</v>
      </c>
      <c r="D310" s="1" t="s">
        <v>1179</v>
      </c>
    </row>
    <row r="311" spans="1:4" x14ac:dyDescent="0.35">
      <c r="A311" s="1">
        <v>4002481</v>
      </c>
      <c r="B311" s="1" t="s">
        <v>1174</v>
      </c>
      <c r="C311" s="1">
        <v>10050503</v>
      </c>
      <c r="D311" s="1" t="s">
        <v>1173</v>
      </c>
    </row>
    <row r="312" spans="1:4" x14ac:dyDescent="0.35">
      <c r="A312" s="1">
        <v>4002482</v>
      </c>
      <c r="B312" s="1" t="s">
        <v>1174</v>
      </c>
      <c r="C312" s="1">
        <v>10050109</v>
      </c>
      <c r="D312" s="1" t="s">
        <v>1173</v>
      </c>
    </row>
    <row r="313" spans="1:4" x14ac:dyDescent="0.35">
      <c r="A313" s="1">
        <v>4002490</v>
      </c>
      <c r="B313" s="1" t="s">
        <v>1174</v>
      </c>
      <c r="C313" s="1">
        <v>10050609</v>
      </c>
      <c r="D313" s="1" t="s">
        <v>1173</v>
      </c>
    </row>
    <row r="314" spans="1:4" x14ac:dyDescent="0.35">
      <c r="A314" s="1">
        <v>4002491</v>
      </c>
      <c r="B314" s="1" t="s">
        <v>1174</v>
      </c>
      <c r="C314" s="1">
        <v>10050505</v>
      </c>
      <c r="D314" s="1" t="s">
        <v>1173</v>
      </c>
    </row>
    <row r="315" spans="1:4" x14ac:dyDescent="0.35">
      <c r="A315" s="1">
        <v>4002495</v>
      </c>
      <c r="B315" s="1" t="s">
        <v>1174</v>
      </c>
      <c r="C315" s="1">
        <v>10059999</v>
      </c>
      <c r="D315" s="1" t="s">
        <v>1173</v>
      </c>
    </row>
    <row r="316" spans="1:4" x14ac:dyDescent="0.35">
      <c r="A316" s="1">
        <v>4002545</v>
      </c>
      <c r="B316" s="1" t="s">
        <v>1174</v>
      </c>
      <c r="C316" s="1">
        <v>10050801</v>
      </c>
      <c r="D316" s="1" t="s">
        <v>1173</v>
      </c>
    </row>
    <row r="317" spans="1:4" x14ac:dyDescent="0.35">
      <c r="A317" s="1">
        <v>4002546</v>
      </c>
      <c r="B317" s="1" t="s">
        <v>1174</v>
      </c>
      <c r="C317" s="1">
        <v>10050801</v>
      </c>
      <c r="D317" s="1" t="s">
        <v>1173</v>
      </c>
    </row>
    <row r="318" spans="1:4" x14ac:dyDescent="0.35">
      <c r="A318" s="1">
        <v>4002621</v>
      </c>
      <c r="B318" s="1" t="s">
        <v>1174</v>
      </c>
      <c r="C318" s="1">
        <v>10050801</v>
      </c>
      <c r="D318" s="1" t="s">
        <v>1173</v>
      </c>
    </row>
    <row r="319" spans="1:4" x14ac:dyDescent="0.35">
      <c r="A319" s="1">
        <v>4002637</v>
      </c>
      <c r="B319" s="1" t="s">
        <v>1174</v>
      </c>
      <c r="C319" s="1">
        <v>10060107</v>
      </c>
      <c r="D319" s="1" t="s">
        <v>1173</v>
      </c>
    </row>
    <row r="320" spans="1:4" x14ac:dyDescent="0.35">
      <c r="A320" s="1">
        <v>4002667</v>
      </c>
      <c r="B320" s="1" t="s">
        <v>1174</v>
      </c>
      <c r="C320" s="1">
        <v>10050505</v>
      </c>
      <c r="D320" s="1" t="s">
        <v>1173</v>
      </c>
    </row>
    <row r="321" spans="1:4" x14ac:dyDescent="0.35">
      <c r="A321" s="1">
        <v>4002675</v>
      </c>
      <c r="B321" s="1" t="s">
        <v>1174</v>
      </c>
      <c r="C321" s="1">
        <v>10050306</v>
      </c>
      <c r="D321" s="1" t="s">
        <v>1177</v>
      </c>
    </row>
    <row r="322" spans="1:4" x14ac:dyDescent="0.35">
      <c r="A322" s="1">
        <v>4002677</v>
      </c>
      <c r="B322" s="1" t="s">
        <v>1174</v>
      </c>
      <c r="C322" s="1">
        <v>10050801</v>
      </c>
      <c r="D322" s="1" t="s">
        <v>1173</v>
      </c>
    </row>
    <row r="323" spans="1:4" x14ac:dyDescent="0.35">
      <c r="A323" s="1">
        <v>4002679</v>
      </c>
      <c r="B323" s="1" t="s">
        <v>1174</v>
      </c>
      <c r="C323" s="1">
        <v>10050504</v>
      </c>
      <c r="D323" s="1" t="s">
        <v>1173</v>
      </c>
    </row>
    <row r="324" spans="1:4" x14ac:dyDescent="0.35">
      <c r="A324" s="1">
        <v>4002682</v>
      </c>
      <c r="B324" s="1" t="s">
        <v>1174</v>
      </c>
      <c r="C324" s="1">
        <v>10050502</v>
      </c>
      <c r="D324" s="1" t="s">
        <v>1173</v>
      </c>
    </row>
    <row r="325" spans="1:4" x14ac:dyDescent="0.35">
      <c r="A325" s="1">
        <v>4002684</v>
      </c>
      <c r="B325" s="1" t="s">
        <v>1174</v>
      </c>
      <c r="C325" s="1">
        <v>10050801</v>
      </c>
      <c r="D325" s="1" t="s">
        <v>1173</v>
      </c>
    </row>
    <row r="326" spans="1:4" x14ac:dyDescent="0.35">
      <c r="A326" s="1">
        <v>4002685</v>
      </c>
      <c r="B326" s="1" t="s">
        <v>1174</v>
      </c>
      <c r="C326" s="1">
        <v>10050603</v>
      </c>
      <c r="D326" s="1" t="s">
        <v>1173</v>
      </c>
    </row>
    <row r="327" spans="1:4" x14ac:dyDescent="0.35">
      <c r="A327" s="1">
        <v>4002686</v>
      </c>
      <c r="B327" s="1" t="s">
        <v>1174</v>
      </c>
      <c r="C327" s="1">
        <v>10050103</v>
      </c>
      <c r="D327" s="1" t="s">
        <v>1173</v>
      </c>
    </row>
    <row r="328" spans="1:4" x14ac:dyDescent="0.35">
      <c r="A328" s="1">
        <v>4002688</v>
      </c>
      <c r="B328" s="1" t="s">
        <v>1174</v>
      </c>
      <c r="C328" s="1">
        <v>10050801</v>
      </c>
      <c r="D328" s="1" t="s">
        <v>1173</v>
      </c>
    </row>
    <row r="329" spans="1:4" x14ac:dyDescent="0.35">
      <c r="A329" s="1">
        <v>4002709</v>
      </c>
      <c r="B329" s="1" t="s">
        <v>1174</v>
      </c>
      <c r="C329" s="1">
        <v>10050108</v>
      </c>
      <c r="D329" s="1" t="s">
        <v>1173</v>
      </c>
    </row>
    <row r="330" spans="1:4" x14ac:dyDescent="0.35">
      <c r="A330" s="1">
        <v>4002737</v>
      </c>
      <c r="B330" s="1" t="s">
        <v>1174</v>
      </c>
      <c r="C330" s="1">
        <v>10030703</v>
      </c>
      <c r="D330" s="1" t="s">
        <v>1173</v>
      </c>
    </row>
    <row r="331" spans="1:4" x14ac:dyDescent="0.35">
      <c r="A331" s="1">
        <v>4002738</v>
      </c>
      <c r="B331" s="1" t="s">
        <v>1174</v>
      </c>
      <c r="C331" s="1">
        <v>10030703</v>
      </c>
      <c r="D331" s="1" t="s">
        <v>1173</v>
      </c>
    </row>
    <row r="332" spans="1:4" x14ac:dyDescent="0.35">
      <c r="A332" s="1">
        <v>4002739</v>
      </c>
      <c r="B332" s="1" t="s">
        <v>1174</v>
      </c>
      <c r="C332" s="1">
        <v>10030703</v>
      </c>
      <c r="D332" s="1" t="s">
        <v>1173</v>
      </c>
    </row>
    <row r="333" spans="1:4" x14ac:dyDescent="0.35">
      <c r="A333" s="1">
        <v>4002740</v>
      </c>
      <c r="B333" s="1" t="s">
        <v>1174</v>
      </c>
      <c r="C333" s="1">
        <v>10030703</v>
      </c>
      <c r="D333" s="1" t="s">
        <v>1173</v>
      </c>
    </row>
    <row r="334" spans="1:4" x14ac:dyDescent="0.35">
      <c r="A334" s="1">
        <v>4002741</v>
      </c>
      <c r="B334" s="1" t="s">
        <v>1174</v>
      </c>
      <c r="C334" s="1">
        <v>10030703</v>
      </c>
      <c r="D334" s="1" t="s">
        <v>1173</v>
      </c>
    </row>
    <row r="335" spans="1:4" x14ac:dyDescent="0.35">
      <c r="A335" s="1">
        <v>4002742</v>
      </c>
      <c r="B335" s="1" t="s">
        <v>1174</v>
      </c>
      <c r="C335" s="1">
        <v>10030703</v>
      </c>
      <c r="D335" s="1" t="s">
        <v>1173</v>
      </c>
    </row>
    <row r="336" spans="1:4" x14ac:dyDescent="0.35">
      <c r="A336" s="1">
        <v>4002743</v>
      </c>
      <c r="B336" s="1" t="s">
        <v>1174</v>
      </c>
      <c r="C336" s="1">
        <v>10030703</v>
      </c>
      <c r="D336" s="1" t="s">
        <v>1173</v>
      </c>
    </row>
    <row r="337" spans="1:4" x14ac:dyDescent="0.35">
      <c r="A337" s="1">
        <v>4002745</v>
      </c>
      <c r="B337" s="1" t="s">
        <v>1174</v>
      </c>
      <c r="C337" s="1">
        <v>10030703</v>
      </c>
      <c r="D337" s="1" t="s">
        <v>1173</v>
      </c>
    </row>
    <row r="338" spans="1:4" x14ac:dyDescent="0.35">
      <c r="A338" s="1">
        <v>4002809</v>
      </c>
      <c r="B338" s="1" t="s">
        <v>1174</v>
      </c>
      <c r="C338" s="1">
        <v>10050605</v>
      </c>
      <c r="D338" s="1" t="s">
        <v>1173</v>
      </c>
    </row>
    <row r="339" spans="1:4" x14ac:dyDescent="0.35">
      <c r="A339" s="1">
        <v>4002843</v>
      </c>
      <c r="B339" s="1" t="s">
        <v>1174</v>
      </c>
      <c r="C339" s="1">
        <v>10050504</v>
      </c>
      <c r="D339" s="1" t="s">
        <v>1173</v>
      </c>
    </row>
    <row r="340" spans="1:4" x14ac:dyDescent="0.35">
      <c r="A340" s="1">
        <v>4002847</v>
      </c>
      <c r="B340" s="1" t="s">
        <v>1174</v>
      </c>
      <c r="C340" s="1">
        <v>10030805</v>
      </c>
      <c r="D340" s="1" t="s">
        <v>1173</v>
      </c>
    </row>
    <row r="341" spans="1:4" x14ac:dyDescent="0.35">
      <c r="A341" s="1">
        <v>4002874</v>
      </c>
      <c r="B341" s="1" t="s">
        <v>1174</v>
      </c>
      <c r="C341" s="1">
        <v>10050505</v>
      </c>
      <c r="D341" s="1" t="s">
        <v>1173</v>
      </c>
    </row>
    <row r="342" spans="1:4" x14ac:dyDescent="0.35">
      <c r="A342" s="1">
        <v>4002898</v>
      </c>
      <c r="B342" s="1" t="s">
        <v>1174</v>
      </c>
      <c r="C342" s="1">
        <v>10030902</v>
      </c>
      <c r="D342" s="1" t="s">
        <v>1173</v>
      </c>
    </row>
    <row r="343" spans="1:4" x14ac:dyDescent="0.35">
      <c r="A343" s="1">
        <v>4002899</v>
      </c>
      <c r="B343" s="1" t="s">
        <v>1174</v>
      </c>
      <c r="C343" s="1">
        <v>10030902</v>
      </c>
      <c r="D343" s="1" t="s">
        <v>1173</v>
      </c>
    </row>
    <row r="344" spans="1:4" x14ac:dyDescent="0.35">
      <c r="A344" s="1">
        <v>4002985</v>
      </c>
      <c r="B344" s="1" t="s">
        <v>1174</v>
      </c>
      <c r="C344" s="1">
        <v>10050505</v>
      </c>
      <c r="D344" s="1" t="s">
        <v>1173</v>
      </c>
    </row>
    <row r="345" spans="1:4" x14ac:dyDescent="0.35">
      <c r="A345" s="1">
        <v>4003002</v>
      </c>
      <c r="B345" s="1" t="s">
        <v>1174</v>
      </c>
      <c r="C345" s="1">
        <v>10050801</v>
      </c>
      <c r="D345" s="1" t="s">
        <v>1173</v>
      </c>
    </row>
    <row r="346" spans="1:4" x14ac:dyDescent="0.35">
      <c r="A346" s="1">
        <v>4003004</v>
      </c>
      <c r="B346" s="1" t="s">
        <v>1174</v>
      </c>
      <c r="C346" s="1">
        <v>10050801</v>
      </c>
      <c r="D346" s="1" t="s">
        <v>1173</v>
      </c>
    </row>
    <row r="347" spans="1:4" x14ac:dyDescent="0.35">
      <c r="A347" s="1">
        <v>4003005</v>
      </c>
      <c r="B347" s="1" t="s">
        <v>1174</v>
      </c>
      <c r="C347" s="1">
        <v>10050801</v>
      </c>
      <c r="D347" s="1" t="s">
        <v>1173</v>
      </c>
    </row>
    <row r="348" spans="1:4" x14ac:dyDescent="0.35">
      <c r="A348" s="1">
        <v>4003006</v>
      </c>
      <c r="B348" s="1" t="s">
        <v>1174</v>
      </c>
      <c r="C348" s="1">
        <v>10050801</v>
      </c>
      <c r="D348" s="1" t="s">
        <v>1173</v>
      </c>
    </row>
    <row r="349" spans="1:4" x14ac:dyDescent="0.35">
      <c r="A349" s="1">
        <v>4003008</v>
      </c>
      <c r="B349" s="1" t="s">
        <v>1174</v>
      </c>
      <c r="C349" s="1">
        <v>10050801</v>
      </c>
      <c r="D349" s="1" t="s">
        <v>1173</v>
      </c>
    </row>
    <row r="350" spans="1:4" x14ac:dyDescent="0.35">
      <c r="A350" s="1">
        <v>4003208</v>
      </c>
      <c r="B350" s="1" t="s">
        <v>1174</v>
      </c>
      <c r="C350" s="1">
        <v>10050801</v>
      </c>
      <c r="D350" s="1" t="s">
        <v>1173</v>
      </c>
    </row>
    <row r="351" spans="1:4" x14ac:dyDescent="0.35">
      <c r="A351" s="1">
        <v>4003238</v>
      </c>
      <c r="B351" s="1" t="s">
        <v>1174</v>
      </c>
      <c r="C351" s="1">
        <v>10050404</v>
      </c>
      <c r="D351" s="1" t="s">
        <v>1173</v>
      </c>
    </row>
    <row r="352" spans="1:4" x14ac:dyDescent="0.35">
      <c r="A352" s="1">
        <v>4003241</v>
      </c>
      <c r="B352" s="1" t="s">
        <v>1174</v>
      </c>
      <c r="C352" s="1">
        <v>10050404</v>
      </c>
      <c r="D352" s="1" t="s">
        <v>1173</v>
      </c>
    </row>
    <row r="353" spans="1:4" x14ac:dyDescent="0.35">
      <c r="A353" s="1">
        <v>4003273</v>
      </c>
      <c r="B353" s="1" t="s">
        <v>1174</v>
      </c>
      <c r="C353" s="1">
        <v>10050801</v>
      </c>
      <c r="D353" s="1" t="s">
        <v>1173</v>
      </c>
    </row>
    <row r="354" spans="1:4" x14ac:dyDescent="0.35">
      <c r="A354" s="1">
        <v>4003308</v>
      </c>
      <c r="B354" s="1" t="s">
        <v>1174</v>
      </c>
      <c r="C354" s="1">
        <v>10040106</v>
      </c>
      <c r="D354" s="1" t="s">
        <v>1173</v>
      </c>
    </row>
    <row r="355" spans="1:4" x14ac:dyDescent="0.35">
      <c r="A355" s="1">
        <v>4003346</v>
      </c>
      <c r="B355" s="1" t="s">
        <v>1174</v>
      </c>
      <c r="C355" s="1">
        <v>10030907</v>
      </c>
      <c r="D355" s="1" t="s">
        <v>1173</v>
      </c>
    </row>
    <row r="356" spans="1:4" x14ac:dyDescent="0.35">
      <c r="A356" s="1">
        <v>4003357</v>
      </c>
      <c r="B356" s="1" t="s">
        <v>1174</v>
      </c>
      <c r="C356" s="1">
        <v>10050505</v>
      </c>
      <c r="D356" s="1" t="s">
        <v>1173</v>
      </c>
    </row>
    <row r="357" spans="1:4" x14ac:dyDescent="0.35">
      <c r="A357" s="1">
        <v>4003416</v>
      </c>
      <c r="B357" s="1" t="s">
        <v>1174</v>
      </c>
      <c r="C357" s="1">
        <v>10050103</v>
      </c>
      <c r="D357" s="1" t="s">
        <v>1173</v>
      </c>
    </row>
    <row r="358" spans="1:4" x14ac:dyDescent="0.35">
      <c r="A358" s="1">
        <v>4003529</v>
      </c>
      <c r="B358" s="1" t="s">
        <v>1174</v>
      </c>
      <c r="C358" s="1">
        <v>10030801</v>
      </c>
      <c r="D358" s="1" t="s">
        <v>1173</v>
      </c>
    </row>
    <row r="359" spans="1:4" x14ac:dyDescent="0.35">
      <c r="A359" s="1">
        <v>4003611</v>
      </c>
      <c r="B359" s="1" t="s">
        <v>1174</v>
      </c>
      <c r="C359" s="1">
        <v>10050308</v>
      </c>
      <c r="D359" s="1" t="s">
        <v>1173</v>
      </c>
    </row>
    <row r="360" spans="1:4" x14ac:dyDescent="0.35">
      <c r="A360" s="1">
        <v>4003836</v>
      </c>
      <c r="B360" s="1" t="s">
        <v>1174</v>
      </c>
      <c r="C360" s="1">
        <v>10030503</v>
      </c>
      <c r="D360" s="1" t="s">
        <v>1178</v>
      </c>
    </row>
    <row r="361" spans="1:4" x14ac:dyDescent="0.35">
      <c r="A361" s="1">
        <v>4003844</v>
      </c>
      <c r="B361" s="1" t="s">
        <v>1174</v>
      </c>
      <c r="C361" s="1">
        <v>10050801</v>
      </c>
      <c r="D361" s="1" t="s">
        <v>1177</v>
      </c>
    </row>
    <row r="362" spans="1:4" x14ac:dyDescent="0.35">
      <c r="A362" s="1">
        <v>4003854</v>
      </c>
      <c r="B362" s="1" t="s">
        <v>1174</v>
      </c>
      <c r="C362" s="1">
        <v>10030907</v>
      </c>
      <c r="D362" s="1" t="s">
        <v>1173</v>
      </c>
    </row>
    <row r="363" spans="1:4" x14ac:dyDescent="0.35">
      <c r="A363" s="1">
        <v>4003855</v>
      </c>
      <c r="B363" s="1" t="s">
        <v>1174</v>
      </c>
      <c r="C363" s="1">
        <v>10050607</v>
      </c>
      <c r="D363" s="1" t="s">
        <v>1173</v>
      </c>
    </row>
    <row r="364" spans="1:4" x14ac:dyDescent="0.35">
      <c r="A364" s="1">
        <v>4003857</v>
      </c>
      <c r="B364" s="1" t="s">
        <v>1174</v>
      </c>
      <c r="C364" s="1">
        <v>10040101</v>
      </c>
      <c r="D364" s="1" t="s">
        <v>1173</v>
      </c>
    </row>
    <row r="365" spans="1:4" x14ac:dyDescent="0.35">
      <c r="A365" s="1">
        <v>4003858</v>
      </c>
      <c r="B365" s="1" t="s">
        <v>1174</v>
      </c>
      <c r="C365" s="1">
        <v>10040101</v>
      </c>
      <c r="D365" s="1" t="s">
        <v>1173</v>
      </c>
    </row>
    <row r="366" spans="1:4" x14ac:dyDescent="0.35">
      <c r="A366" s="1">
        <v>4003859</v>
      </c>
      <c r="B366" s="1" t="s">
        <v>1174</v>
      </c>
      <c r="C366" s="1">
        <v>10050610</v>
      </c>
      <c r="D366" s="1" t="s">
        <v>1173</v>
      </c>
    </row>
    <row r="367" spans="1:4" x14ac:dyDescent="0.35">
      <c r="A367" s="1">
        <v>4003860</v>
      </c>
      <c r="B367" s="1" t="s">
        <v>1174</v>
      </c>
      <c r="C367" s="1">
        <v>10050610</v>
      </c>
      <c r="D367" s="1" t="s">
        <v>1173</v>
      </c>
    </row>
    <row r="368" spans="1:4" x14ac:dyDescent="0.35">
      <c r="A368" s="1">
        <v>4003862</v>
      </c>
      <c r="B368" s="1" t="s">
        <v>1174</v>
      </c>
      <c r="C368" s="1">
        <v>10030901</v>
      </c>
      <c r="D368" s="1" t="s">
        <v>1173</v>
      </c>
    </row>
    <row r="369" spans="1:4" x14ac:dyDescent="0.35">
      <c r="A369" s="1">
        <v>4003864</v>
      </c>
      <c r="B369" s="1" t="s">
        <v>1174</v>
      </c>
      <c r="C369" s="1">
        <v>10050503</v>
      </c>
      <c r="D369" s="1" t="s">
        <v>1173</v>
      </c>
    </row>
    <row r="370" spans="1:4" x14ac:dyDescent="0.35">
      <c r="A370" s="1">
        <v>4003887</v>
      </c>
      <c r="B370" s="1" t="s">
        <v>1174</v>
      </c>
      <c r="C370" s="1">
        <v>10040105</v>
      </c>
      <c r="D370" s="1" t="s">
        <v>1173</v>
      </c>
    </row>
    <row r="371" spans="1:4" x14ac:dyDescent="0.35">
      <c r="A371" s="1">
        <v>4003889</v>
      </c>
      <c r="B371" s="1" t="s">
        <v>1174</v>
      </c>
      <c r="C371" s="1">
        <v>10050108</v>
      </c>
      <c r="D371" s="1" t="s">
        <v>1173</v>
      </c>
    </row>
    <row r="372" spans="1:4" x14ac:dyDescent="0.35">
      <c r="A372" s="1">
        <v>4003897</v>
      </c>
      <c r="B372" s="1" t="s">
        <v>1174</v>
      </c>
      <c r="C372" s="1">
        <v>10020403</v>
      </c>
      <c r="D372" s="1" t="s">
        <v>1179</v>
      </c>
    </row>
    <row r="373" spans="1:4" x14ac:dyDescent="0.35">
      <c r="A373" s="1">
        <v>4003906</v>
      </c>
      <c r="B373" s="1" t="s">
        <v>1174</v>
      </c>
      <c r="C373" s="1">
        <v>10050199</v>
      </c>
      <c r="D373" s="1" t="s">
        <v>1173</v>
      </c>
    </row>
    <row r="374" spans="1:4" x14ac:dyDescent="0.35">
      <c r="A374" s="1">
        <v>4003911</v>
      </c>
      <c r="B374" s="1" t="s">
        <v>1174</v>
      </c>
      <c r="C374" s="1">
        <v>10050102</v>
      </c>
      <c r="D374" s="1" t="s">
        <v>1173</v>
      </c>
    </row>
    <row r="375" spans="1:4" x14ac:dyDescent="0.35">
      <c r="A375" s="1">
        <v>4003915</v>
      </c>
      <c r="B375" s="1" t="s">
        <v>1174</v>
      </c>
      <c r="C375" s="1">
        <v>10050606</v>
      </c>
      <c r="D375" s="1" t="s">
        <v>1173</v>
      </c>
    </row>
    <row r="376" spans="1:4" x14ac:dyDescent="0.35">
      <c r="A376" s="1">
        <v>4003916</v>
      </c>
      <c r="B376" s="1" t="s">
        <v>1174</v>
      </c>
      <c r="C376" s="1">
        <v>10050607</v>
      </c>
      <c r="D376" s="1" t="s">
        <v>1173</v>
      </c>
    </row>
    <row r="377" spans="1:4" x14ac:dyDescent="0.35">
      <c r="A377" s="1">
        <v>4003922</v>
      </c>
      <c r="B377" s="1" t="s">
        <v>1174</v>
      </c>
      <c r="C377" s="1">
        <v>10040103</v>
      </c>
      <c r="D377" s="1" t="s">
        <v>1173</v>
      </c>
    </row>
    <row r="378" spans="1:4" x14ac:dyDescent="0.35">
      <c r="A378" s="1">
        <v>4004010</v>
      </c>
      <c r="B378" s="1" t="s">
        <v>1174</v>
      </c>
      <c r="C378" s="1">
        <v>10050109</v>
      </c>
      <c r="D378" s="1" t="s">
        <v>1173</v>
      </c>
    </row>
    <row r="379" spans="1:4" x14ac:dyDescent="0.35">
      <c r="A379" s="1">
        <v>4004015</v>
      </c>
      <c r="B379" s="1" t="s">
        <v>1174</v>
      </c>
      <c r="C379" s="1">
        <v>10050109</v>
      </c>
      <c r="D379" s="1" t="s">
        <v>1173</v>
      </c>
    </row>
    <row r="380" spans="1:4" x14ac:dyDescent="0.35">
      <c r="A380" s="1">
        <v>4004018</v>
      </c>
      <c r="B380" s="1" t="s">
        <v>1174</v>
      </c>
      <c r="C380" s="1">
        <v>10050609</v>
      </c>
      <c r="D380" s="1" t="s">
        <v>1173</v>
      </c>
    </row>
    <row r="381" spans="1:4" x14ac:dyDescent="0.35">
      <c r="A381" s="1">
        <v>4004037</v>
      </c>
      <c r="B381" s="1" t="s">
        <v>1174</v>
      </c>
      <c r="C381" s="1">
        <v>10050103</v>
      </c>
      <c r="D381" s="1" t="s">
        <v>1173</v>
      </c>
    </row>
    <row r="382" spans="1:4" x14ac:dyDescent="0.35">
      <c r="A382" s="1">
        <v>4004039</v>
      </c>
      <c r="B382" s="1" t="s">
        <v>1174</v>
      </c>
      <c r="C382" s="1">
        <v>10030801</v>
      </c>
      <c r="D382" s="1" t="s">
        <v>1173</v>
      </c>
    </row>
    <row r="383" spans="1:4" x14ac:dyDescent="0.35">
      <c r="A383" s="1">
        <v>4004041</v>
      </c>
      <c r="B383" s="1" t="s">
        <v>1174</v>
      </c>
      <c r="C383" s="1">
        <v>20010401</v>
      </c>
      <c r="D383" s="1" t="s">
        <v>1173</v>
      </c>
    </row>
    <row r="384" spans="1:4" x14ac:dyDescent="0.35">
      <c r="A384" s="1">
        <v>4004049</v>
      </c>
      <c r="B384" s="1" t="s">
        <v>1174</v>
      </c>
      <c r="C384" s="1">
        <v>10040101</v>
      </c>
      <c r="D384" s="1" t="s">
        <v>1173</v>
      </c>
    </row>
    <row r="385" spans="1:4" x14ac:dyDescent="0.35">
      <c r="A385" s="1">
        <v>4004054</v>
      </c>
      <c r="B385" s="1" t="s">
        <v>1174</v>
      </c>
      <c r="C385" s="1">
        <v>10050607</v>
      </c>
      <c r="D385" s="1" t="s">
        <v>1173</v>
      </c>
    </row>
    <row r="386" spans="1:4" x14ac:dyDescent="0.35">
      <c r="A386" s="1">
        <v>4004060</v>
      </c>
      <c r="B386" s="1" t="s">
        <v>1174</v>
      </c>
      <c r="C386" s="1">
        <v>10030907</v>
      </c>
      <c r="D386" s="1" t="s">
        <v>1173</v>
      </c>
    </row>
    <row r="387" spans="1:4" x14ac:dyDescent="0.35">
      <c r="A387" s="1">
        <v>4004061</v>
      </c>
      <c r="B387" s="1" t="s">
        <v>1174</v>
      </c>
      <c r="C387" s="1">
        <v>10030907</v>
      </c>
      <c r="D387" s="1" t="s">
        <v>1173</v>
      </c>
    </row>
    <row r="388" spans="1:4" x14ac:dyDescent="0.35">
      <c r="A388" s="1">
        <v>4004067</v>
      </c>
      <c r="B388" s="1" t="s">
        <v>1174</v>
      </c>
      <c r="C388" s="1">
        <v>10030506</v>
      </c>
      <c r="D388" s="1" t="s">
        <v>1173</v>
      </c>
    </row>
    <row r="389" spans="1:4" x14ac:dyDescent="0.35">
      <c r="A389" s="1">
        <v>4004068</v>
      </c>
      <c r="B389" s="1" t="s">
        <v>1174</v>
      </c>
      <c r="C389" s="1">
        <v>10030907</v>
      </c>
      <c r="D389" s="1" t="s">
        <v>1173</v>
      </c>
    </row>
    <row r="390" spans="1:4" x14ac:dyDescent="0.35">
      <c r="A390" s="1">
        <v>4004070</v>
      </c>
      <c r="B390" s="1" t="s">
        <v>1174</v>
      </c>
      <c r="C390" s="1">
        <v>10050305</v>
      </c>
      <c r="D390" s="1" t="s">
        <v>1178</v>
      </c>
    </row>
    <row r="391" spans="1:4" x14ac:dyDescent="0.35">
      <c r="A391" s="1">
        <v>4004071</v>
      </c>
      <c r="B391" s="1" t="s">
        <v>1174</v>
      </c>
      <c r="C391" s="1">
        <v>10050305</v>
      </c>
      <c r="D391" s="1" t="s">
        <v>1179</v>
      </c>
    </row>
    <row r="392" spans="1:4" x14ac:dyDescent="0.35">
      <c r="A392" s="1">
        <v>4004074</v>
      </c>
      <c r="B392" s="1" t="s">
        <v>1174</v>
      </c>
      <c r="C392" s="1">
        <v>10050801</v>
      </c>
      <c r="D392" s="1" t="s">
        <v>1173</v>
      </c>
    </row>
    <row r="393" spans="1:4" x14ac:dyDescent="0.35">
      <c r="A393" s="1">
        <v>4004098</v>
      </c>
      <c r="B393" s="1" t="s">
        <v>1174</v>
      </c>
      <c r="C393" s="1">
        <v>10050404</v>
      </c>
      <c r="D393" s="1" t="s">
        <v>1173</v>
      </c>
    </row>
    <row r="394" spans="1:4" x14ac:dyDescent="0.35">
      <c r="A394" s="1">
        <v>4004107</v>
      </c>
      <c r="B394" s="1" t="s">
        <v>1174</v>
      </c>
      <c r="C394" s="1">
        <v>10050103</v>
      </c>
      <c r="D394" s="1" t="s">
        <v>1173</v>
      </c>
    </row>
    <row r="395" spans="1:4" x14ac:dyDescent="0.35">
      <c r="A395" s="1">
        <v>4004110</v>
      </c>
      <c r="B395" s="1" t="s">
        <v>1174</v>
      </c>
      <c r="C395" s="1">
        <v>10050103</v>
      </c>
      <c r="D395" s="1" t="s">
        <v>1173</v>
      </c>
    </row>
    <row r="396" spans="1:4" x14ac:dyDescent="0.35">
      <c r="A396" s="1">
        <v>4004111</v>
      </c>
      <c r="B396" s="1" t="s">
        <v>1174</v>
      </c>
      <c r="C396" s="1">
        <v>10050103</v>
      </c>
      <c r="D396" s="1" t="s">
        <v>1173</v>
      </c>
    </row>
    <row r="397" spans="1:4" x14ac:dyDescent="0.35">
      <c r="A397" s="1">
        <v>4004114</v>
      </c>
      <c r="B397" s="1" t="s">
        <v>1174</v>
      </c>
      <c r="C397" s="1">
        <v>10050504</v>
      </c>
      <c r="D397" s="1" t="s">
        <v>1173</v>
      </c>
    </row>
    <row r="398" spans="1:4" x14ac:dyDescent="0.35">
      <c r="A398" s="1">
        <v>4004121</v>
      </c>
      <c r="B398" s="1" t="s">
        <v>1174</v>
      </c>
      <c r="C398" s="1">
        <v>10050801</v>
      </c>
      <c r="D398" s="1" t="s">
        <v>1173</v>
      </c>
    </row>
    <row r="399" spans="1:4" x14ac:dyDescent="0.35">
      <c r="A399" s="1">
        <v>4004123</v>
      </c>
      <c r="B399" s="1" t="s">
        <v>1174</v>
      </c>
      <c r="C399" s="1">
        <v>10050104</v>
      </c>
      <c r="D399" s="1" t="s">
        <v>1173</v>
      </c>
    </row>
    <row r="400" spans="1:4" x14ac:dyDescent="0.35">
      <c r="A400" s="1">
        <v>4004124</v>
      </c>
      <c r="B400" s="1" t="s">
        <v>1174</v>
      </c>
      <c r="C400" s="1">
        <v>10050105</v>
      </c>
      <c r="D400" s="1" t="s">
        <v>1173</v>
      </c>
    </row>
    <row r="401" spans="1:4" x14ac:dyDescent="0.35">
      <c r="A401" s="1">
        <v>4004137</v>
      </c>
      <c r="B401" s="1" t="s">
        <v>1174</v>
      </c>
      <c r="C401" s="1">
        <v>10050607</v>
      </c>
      <c r="D401" s="1" t="s">
        <v>1173</v>
      </c>
    </row>
    <row r="402" spans="1:4" x14ac:dyDescent="0.35">
      <c r="A402" s="1">
        <v>4004147</v>
      </c>
      <c r="B402" s="1" t="s">
        <v>1174</v>
      </c>
      <c r="C402" s="1">
        <v>10030906</v>
      </c>
      <c r="D402" s="1" t="s">
        <v>1179</v>
      </c>
    </row>
    <row r="403" spans="1:4" x14ac:dyDescent="0.35">
      <c r="A403" s="1">
        <v>4004149</v>
      </c>
      <c r="B403" s="1" t="s">
        <v>1174</v>
      </c>
      <c r="C403" s="1">
        <v>10050801</v>
      </c>
      <c r="D403" s="1" t="s">
        <v>1175</v>
      </c>
    </row>
    <row r="404" spans="1:4" x14ac:dyDescent="0.35">
      <c r="A404" s="1">
        <v>4004150</v>
      </c>
      <c r="B404" s="1" t="s">
        <v>1174</v>
      </c>
      <c r="C404" s="1">
        <v>10040101</v>
      </c>
      <c r="D404" s="1" t="s">
        <v>1173</v>
      </c>
    </row>
    <row r="405" spans="1:4" x14ac:dyDescent="0.35">
      <c r="A405" s="1">
        <v>4004152</v>
      </c>
      <c r="B405" s="1" t="s">
        <v>1174</v>
      </c>
      <c r="C405" s="1">
        <v>10050801</v>
      </c>
      <c r="D405" s="1" t="s">
        <v>1173</v>
      </c>
    </row>
    <row r="406" spans="1:4" x14ac:dyDescent="0.35">
      <c r="A406" s="1">
        <v>4004157</v>
      </c>
      <c r="B406" s="1" t="s">
        <v>1174</v>
      </c>
      <c r="C406" s="1">
        <v>10050108</v>
      </c>
      <c r="D406" s="1" t="s">
        <v>1173</v>
      </c>
    </row>
    <row r="407" spans="1:4" x14ac:dyDescent="0.35">
      <c r="A407" s="1">
        <v>4004166</v>
      </c>
      <c r="B407" s="1" t="s">
        <v>1174</v>
      </c>
      <c r="C407" s="1">
        <v>10050801</v>
      </c>
      <c r="D407" s="1" t="s">
        <v>1178</v>
      </c>
    </row>
    <row r="408" spans="1:4" x14ac:dyDescent="0.35">
      <c r="A408" s="1">
        <v>4004168</v>
      </c>
      <c r="B408" s="1" t="s">
        <v>1174</v>
      </c>
      <c r="C408" s="1">
        <v>10050108</v>
      </c>
      <c r="D408" s="1" t="s">
        <v>1173</v>
      </c>
    </row>
    <row r="409" spans="1:4" x14ac:dyDescent="0.35">
      <c r="A409" s="1">
        <v>4004171</v>
      </c>
      <c r="B409" s="1" t="s">
        <v>1174</v>
      </c>
      <c r="C409" s="1">
        <v>10050109</v>
      </c>
      <c r="D409" s="1" t="s">
        <v>1173</v>
      </c>
    </row>
    <row r="410" spans="1:4" x14ac:dyDescent="0.35">
      <c r="A410" s="1">
        <v>4004200</v>
      </c>
      <c r="B410" s="1" t="s">
        <v>1174</v>
      </c>
      <c r="C410" s="1">
        <v>10050404</v>
      </c>
      <c r="D410" s="1" t="s">
        <v>1173</v>
      </c>
    </row>
    <row r="411" spans="1:4" x14ac:dyDescent="0.35">
      <c r="A411" s="1">
        <v>4004201</v>
      </c>
      <c r="B411" s="1" t="s">
        <v>1174</v>
      </c>
      <c r="C411" s="1">
        <v>10050404</v>
      </c>
      <c r="D411" s="1" t="s">
        <v>1173</v>
      </c>
    </row>
    <row r="412" spans="1:4" x14ac:dyDescent="0.35">
      <c r="A412" s="1">
        <v>4004203</v>
      </c>
      <c r="B412" s="1" t="s">
        <v>1174</v>
      </c>
      <c r="C412" s="1">
        <v>10030801</v>
      </c>
      <c r="D412" s="1" t="s">
        <v>1173</v>
      </c>
    </row>
    <row r="413" spans="1:4" x14ac:dyDescent="0.35">
      <c r="A413" s="1">
        <v>4004205</v>
      </c>
      <c r="B413" s="1" t="s">
        <v>1174</v>
      </c>
      <c r="C413" s="1">
        <v>10050109</v>
      </c>
      <c r="D413" s="1" t="s">
        <v>1173</v>
      </c>
    </row>
    <row r="414" spans="1:4" x14ac:dyDescent="0.35">
      <c r="A414" s="1">
        <v>4004236</v>
      </c>
      <c r="B414" s="1" t="s">
        <v>1174</v>
      </c>
      <c r="C414" s="1">
        <v>10050801</v>
      </c>
      <c r="D414" s="1" t="s">
        <v>1173</v>
      </c>
    </row>
    <row r="415" spans="1:4" x14ac:dyDescent="0.35">
      <c r="A415" s="1">
        <v>4004237</v>
      </c>
      <c r="B415" s="1" t="s">
        <v>1174</v>
      </c>
      <c r="C415" s="1">
        <v>10050308</v>
      </c>
      <c r="D415" s="1" t="s">
        <v>1173</v>
      </c>
    </row>
    <row r="416" spans="1:4" x14ac:dyDescent="0.35">
      <c r="A416" s="1">
        <v>4004238</v>
      </c>
      <c r="B416" s="1" t="s">
        <v>1174</v>
      </c>
      <c r="C416" s="1">
        <v>10050104</v>
      </c>
      <c r="D416" s="1" t="s">
        <v>1173</v>
      </c>
    </row>
    <row r="417" spans="1:4" x14ac:dyDescent="0.35">
      <c r="A417" s="1">
        <v>4004240</v>
      </c>
      <c r="B417" s="1" t="s">
        <v>1174</v>
      </c>
      <c r="C417" s="1">
        <v>10050801</v>
      </c>
      <c r="D417" s="1" t="s">
        <v>1173</v>
      </c>
    </row>
    <row r="418" spans="1:4" x14ac:dyDescent="0.35">
      <c r="A418" s="1">
        <v>4004241</v>
      </c>
      <c r="B418" s="1" t="s">
        <v>1174</v>
      </c>
      <c r="C418" s="1">
        <v>10050801</v>
      </c>
      <c r="D418" s="1" t="s">
        <v>1173</v>
      </c>
    </row>
    <row r="419" spans="1:4" x14ac:dyDescent="0.35">
      <c r="A419" s="1">
        <v>4004246</v>
      </c>
      <c r="B419" s="1" t="s">
        <v>1174</v>
      </c>
      <c r="C419" s="1">
        <v>10050504</v>
      </c>
      <c r="D419" s="1" t="s">
        <v>1173</v>
      </c>
    </row>
    <row r="420" spans="1:4" x14ac:dyDescent="0.35">
      <c r="A420" s="1">
        <v>4004247</v>
      </c>
      <c r="B420" s="1" t="s">
        <v>1174</v>
      </c>
      <c r="C420" s="1">
        <v>10050504</v>
      </c>
      <c r="D420" s="1" t="s">
        <v>1173</v>
      </c>
    </row>
    <row r="421" spans="1:4" x14ac:dyDescent="0.35">
      <c r="A421" s="1">
        <v>4004248</v>
      </c>
      <c r="B421" s="1" t="s">
        <v>1174</v>
      </c>
      <c r="C421" s="1">
        <v>10060107</v>
      </c>
      <c r="D421" s="1" t="s">
        <v>1173</v>
      </c>
    </row>
    <row r="422" spans="1:4" x14ac:dyDescent="0.35">
      <c r="A422" s="1">
        <v>4004250</v>
      </c>
      <c r="B422" s="1" t="s">
        <v>1174</v>
      </c>
      <c r="C422" s="1">
        <v>10050504</v>
      </c>
      <c r="D422" s="1" t="s">
        <v>1173</v>
      </c>
    </row>
    <row r="423" spans="1:4" x14ac:dyDescent="0.35">
      <c r="A423" s="1">
        <v>4004259</v>
      </c>
      <c r="B423" s="1" t="s">
        <v>1174</v>
      </c>
      <c r="C423" s="1">
        <v>10050505</v>
      </c>
      <c r="D423" s="1" t="s">
        <v>1173</v>
      </c>
    </row>
    <row r="424" spans="1:4" x14ac:dyDescent="0.35">
      <c r="A424" s="1">
        <v>4004262</v>
      </c>
      <c r="B424" s="1" t="s">
        <v>1174</v>
      </c>
      <c r="C424" s="1">
        <v>10039999</v>
      </c>
      <c r="D424" s="1" t="s">
        <v>1178</v>
      </c>
    </row>
    <row r="425" spans="1:4" x14ac:dyDescent="0.35">
      <c r="A425" s="1">
        <v>4004269</v>
      </c>
      <c r="B425" s="1" t="s">
        <v>1174</v>
      </c>
      <c r="C425" s="1">
        <v>10050606</v>
      </c>
      <c r="D425" s="1" t="s">
        <v>1173</v>
      </c>
    </row>
    <row r="426" spans="1:4" x14ac:dyDescent="0.35">
      <c r="A426" s="1">
        <v>4004272</v>
      </c>
      <c r="B426" s="1" t="s">
        <v>1174</v>
      </c>
      <c r="C426" s="1">
        <v>10050801</v>
      </c>
      <c r="D426" s="1" t="s">
        <v>1173</v>
      </c>
    </row>
    <row r="427" spans="1:4" x14ac:dyDescent="0.35">
      <c r="A427" s="1">
        <v>4004276</v>
      </c>
      <c r="B427" s="1" t="s">
        <v>1174</v>
      </c>
      <c r="C427" s="1">
        <v>10050109</v>
      </c>
      <c r="D427" s="1" t="s">
        <v>1173</v>
      </c>
    </row>
    <row r="428" spans="1:4" x14ac:dyDescent="0.35">
      <c r="A428" s="1">
        <v>4004280</v>
      </c>
      <c r="B428" s="1" t="s">
        <v>1174</v>
      </c>
      <c r="C428" s="1">
        <v>10050801</v>
      </c>
      <c r="D428" s="1" t="s">
        <v>1173</v>
      </c>
    </row>
    <row r="429" spans="1:4" x14ac:dyDescent="0.35">
      <c r="A429" s="1">
        <v>4004281</v>
      </c>
      <c r="B429" s="1" t="s">
        <v>1174</v>
      </c>
      <c r="C429" s="1">
        <v>10050801</v>
      </c>
      <c r="D429" s="1" t="s">
        <v>1173</v>
      </c>
    </row>
    <row r="430" spans="1:4" x14ac:dyDescent="0.35">
      <c r="A430" s="1">
        <v>4004319</v>
      </c>
      <c r="B430" s="1" t="s">
        <v>1174</v>
      </c>
      <c r="C430" s="1">
        <v>10050103</v>
      </c>
      <c r="D430" s="1" t="s">
        <v>1173</v>
      </c>
    </row>
    <row r="431" spans="1:4" x14ac:dyDescent="0.35">
      <c r="A431" s="1">
        <v>4004351</v>
      </c>
      <c r="B431" s="1" t="s">
        <v>1174</v>
      </c>
      <c r="C431" s="1">
        <v>10050102</v>
      </c>
      <c r="D431" s="1" t="s">
        <v>1173</v>
      </c>
    </row>
    <row r="432" spans="1:4" x14ac:dyDescent="0.35">
      <c r="A432" s="1">
        <v>4004352</v>
      </c>
      <c r="B432" s="1" t="s">
        <v>1174</v>
      </c>
      <c r="C432" s="1">
        <v>10050109</v>
      </c>
      <c r="D432" s="1" t="s">
        <v>1173</v>
      </c>
    </row>
    <row r="433" spans="1:4" x14ac:dyDescent="0.35">
      <c r="A433" s="1">
        <v>4004353</v>
      </c>
      <c r="B433" s="1" t="s">
        <v>1174</v>
      </c>
      <c r="C433" s="1">
        <v>10030904</v>
      </c>
      <c r="D433" s="1" t="s">
        <v>1173</v>
      </c>
    </row>
    <row r="434" spans="1:4" x14ac:dyDescent="0.35">
      <c r="A434" s="1">
        <v>4004354</v>
      </c>
      <c r="B434" s="1" t="s">
        <v>1174</v>
      </c>
      <c r="C434" s="1">
        <v>10030904</v>
      </c>
      <c r="D434" s="1" t="s">
        <v>1173</v>
      </c>
    </row>
    <row r="435" spans="1:4" x14ac:dyDescent="0.35">
      <c r="A435" s="1">
        <v>4004355</v>
      </c>
      <c r="B435" s="1" t="s">
        <v>1174</v>
      </c>
      <c r="C435" s="1">
        <v>10030904</v>
      </c>
      <c r="D435" s="1" t="s">
        <v>1173</v>
      </c>
    </row>
    <row r="436" spans="1:4" x14ac:dyDescent="0.35">
      <c r="A436" s="1">
        <v>4004359</v>
      </c>
      <c r="B436" s="1" t="s">
        <v>1174</v>
      </c>
      <c r="C436" s="1">
        <v>10050801</v>
      </c>
      <c r="D436" s="1" t="s">
        <v>1181</v>
      </c>
    </row>
    <row r="437" spans="1:4" x14ac:dyDescent="0.35">
      <c r="A437" s="1">
        <v>4004360</v>
      </c>
      <c r="B437" s="1" t="s">
        <v>1174</v>
      </c>
      <c r="C437" s="1">
        <v>10050607</v>
      </c>
      <c r="D437" s="1" t="s">
        <v>1173</v>
      </c>
    </row>
    <row r="438" spans="1:4" x14ac:dyDescent="0.35">
      <c r="A438" s="1">
        <v>4004377</v>
      </c>
      <c r="B438" s="1" t="s">
        <v>1174</v>
      </c>
      <c r="C438" s="1">
        <v>10050609</v>
      </c>
      <c r="D438" s="1" t="s">
        <v>1173</v>
      </c>
    </row>
    <row r="439" spans="1:4" x14ac:dyDescent="0.35">
      <c r="A439" s="1">
        <v>4004385</v>
      </c>
      <c r="B439" s="1" t="s">
        <v>1174</v>
      </c>
      <c r="C439" s="1">
        <v>10050109</v>
      </c>
      <c r="D439" s="1" t="s">
        <v>1173</v>
      </c>
    </row>
    <row r="440" spans="1:4" x14ac:dyDescent="0.35">
      <c r="A440" s="1">
        <v>4004390</v>
      </c>
      <c r="B440" s="1" t="s">
        <v>1174</v>
      </c>
      <c r="C440" s="1">
        <v>10030902</v>
      </c>
      <c r="D440" s="1" t="s">
        <v>1173</v>
      </c>
    </row>
    <row r="441" spans="1:4" x14ac:dyDescent="0.35">
      <c r="A441" s="1">
        <v>4004397</v>
      </c>
      <c r="B441" s="1" t="s">
        <v>1174</v>
      </c>
      <c r="C441" s="1">
        <v>10050607</v>
      </c>
      <c r="D441" s="1" t="s">
        <v>1173</v>
      </c>
    </row>
    <row r="442" spans="1:4" x14ac:dyDescent="0.35">
      <c r="A442" s="1">
        <v>4004401</v>
      </c>
      <c r="B442" s="1" t="s">
        <v>1174</v>
      </c>
      <c r="C442" s="1">
        <v>10030906</v>
      </c>
      <c r="D442" s="1" t="s">
        <v>1177</v>
      </c>
    </row>
    <row r="443" spans="1:4" x14ac:dyDescent="0.35">
      <c r="A443" s="1">
        <v>4004408</v>
      </c>
      <c r="B443" s="1" t="s">
        <v>1174</v>
      </c>
      <c r="C443" s="1">
        <v>10050607</v>
      </c>
      <c r="D443" s="1" t="s">
        <v>1173</v>
      </c>
    </row>
    <row r="444" spans="1:4" x14ac:dyDescent="0.35">
      <c r="A444" s="1">
        <v>4004410</v>
      </c>
      <c r="B444" s="1" t="s">
        <v>1174</v>
      </c>
      <c r="C444" s="1">
        <v>10060510</v>
      </c>
      <c r="D444" s="1" t="s">
        <v>1173</v>
      </c>
    </row>
    <row r="445" spans="1:4" x14ac:dyDescent="0.35">
      <c r="A445" s="1">
        <v>4004428</v>
      </c>
      <c r="B445" s="1" t="s">
        <v>1174</v>
      </c>
      <c r="C445" s="1">
        <v>10050801</v>
      </c>
      <c r="D445" s="1" t="s">
        <v>1175</v>
      </c>
    </row>
    <row r="446" spans="1:4" x14ac:dyDescent="0.35">
      <c r="A446" s="1">
        <v>4004437</v>
      </c>
      <c r="B446" s="1" t="s">
        <v>1174</v>
      </c>
      <c r="C446" s="1">
        <v>10050404</v>
      </c>
      <c r="D446" s="1" t="s">
        <v>1173</v>
      </c>
    </row>
    <row r="447" spans="1:4" x14ac:dyDescent="0.35">
      <c r="A447" s="1">
        <v>4004438</v>
      </c>
      <c r="B447" s="1" t="s">
        <v>1174</v>
      </c>
      <c r="C447" s="1">
        <v>10050404</v>
      </c>
      <c r="D447" s="1" t="s">
        <v>1173</v>
      </c>
    </row>
    <row r="448" spans="1:4" x14ac:dyDescent="0.35">
      <c r="A448" s="1">
        <v>4004439</v>
      </c>
      <c r="B448" s="1" t="s">
        <v>1174</v>
      </c>
      <c r="C448" s="1">
        <v>10050404</v>
      </c>
      <c r="D448" s="1" t="s">
        <v>1173</v>
      </c>
    </row>
    <row r="449" spans="1:4" x14ac:dyDescent="0.35">
      <c r="A449" s="1">
        <v>4004440</v>
      </c>
      <c r="B449" s="1" t="s">
        <v>1174</v>
      </c>
      <c r="C449" s="1">
        <v>10050404</v>
      </c>
      <c r="D449" s="1" t="s">
        <v>1173</v>
      </c>
    </row>
    <row r="450" spans="1:4" x14ac:dyDescent="0.35">
      <c r="A450" s="1">
        <v>4004441</v>
      </c>
      <c r="B450" s="1" t="s">
        <v>1174</v>
      </c>
      <c r="C450" s="1">
        <v>10050404</v>
      </c>
      <c r="D450" s="1" t="s">
        <v>1173</v>
      </c>
    </row>
    <row r="451" spans="1:4" x14ac:dyDescent="0.35">
      <c r="A451" s="1">
        <v>4004447</v>
      </c>
      <c r="B451" s="1" t="s">
        <v>1174</v>
      </c>
      <c r="C451" s="1">
        <v>10050801</v>
      </c>
      <c r="D451" s="1" t="s">
        <v>1179</v>
      </c>
    </row>
    <row r="452" spans="1:4" x14ac:dyDescent="0.35">
      <c r="A452" s="1">
        <v>4004450</v>
      </c>
      <c r="B452" s="1" t="s">
        <v>1174</v>
      </c>
      <c r="C452" s="1">
        <v>10050801</v>
      </c>
      <c r="D452" s="1" t="s">
        <v>1173</v>
      </c>
    </row>
    <row r="453" spans="1:4" x14ac:dyDescent="0.35">
      <c r="A453" s="1">
        <v>4004451</v>
      </c>
      <c r="B453" s="1" t="s">
        <v>1174</v>
      </c>
      <c r="C453" s="1">
        <v>10050801</v>
      </c>
      <c r="D453" s="1" t="s">
        <v>1173</v>
      </c>
    </row>
    <row r="454" spans="1:4" x14ac:dyDescent="0.35">
      <c r="A454" s="1">
        <v>4004453</v>
      </c>
      <c r="B454" s="1" t="s">
        <v>1174</v>
      </c>
      <c r="C454" s="1">
        <v>10050801</v>
      </c>
      <c r="D454" s="1" t="s">
        <v>1173</v>
      </c>
    </row>
    <row r="455" spans="1:4" x14ac:dyDescent="0.35">
      <c r="A455" s="1">
        <v>4004670</v>
      </c>
      <c r="B455" s="1" t="s">
        <v>1174</v>
      </c>
      <c r="C455" s="1">
        <v>10030703</v>
      </c>
      <c r="D455" s="1" t="s">
        <v>1175</v>
      </c>
    </row>
    <row r="456" spans="1:4" x14ac:dyDescent="0.35">
      <c r="A456" s="1">
        <v>4004674</v>
      </c>
      <c r="B456" s="1" t="s">
        <v>1174</v>
      </c>
      <c r="C456" s="1">
        <v>10050801</v>
      </c>
      <c r="D456" s="1" t="s">
        <v>1178</v>
      </c>
    </row>
    <row r="457" spans="1:4" x14ac:dyDescent="0.35">
      <c r="A457" s="1">
        <v>4004679</v>
      </c>
      <c r="B457" s="1" t="s">
        <v>1174</v>
      </c>
      <c r="C457" s="1">
        <v>10050104</v>
      </c>
      <c r="D457" s="1" t="s">
        <v>1173</v>
      </c>
    </row>
    <row r="458" spans="1:4" x14ac:dyDescent="0.35">
      <c r="A458" s="1">
        <v>4004696</v>
      </c>
      <c r="B458" s="1" t="s">
        <v>1174</v>
      </c>
      <c r="C458" s="1">
        <v>10060502</v>
      </c>
      <c r="D458" s="1" t="s">
        <v>1173</v>
      </c>
    </row>
    <row r="459" spans="1:4" x14ac:dyDescent="0.35">
      <c r="A459" s="1">
        <v>4004700</v>
      </c>
      <c r="B459" s="1" t="s">
        <v>1174</v>
      </c>
      <c r="C459" s="1">
        <v>10050606</v>
      </c>
      <c r="D459" s="1" t="s">
        <v>1173</v>
      </c>
    </row>
    <row r="460" spans="1:4" x14ac:dyDescent="0.35">
      <c r="A460" s="1">
        <v>4004809</v>
      </c>
      <c r="B460" s="1" t="s">
        <v>1174</v>
      </c>
      <c r="C460" s="1">
        <v>10059999</v>
      </c>
      <c r="D460" s="1" t="s">
        <v>1173</v>
      </c>
    </row>
    <row r="461" spans="1:4" x14ac:dyDescent="0.35">
      <c r="A461" s="1">
        <v>4004810</v>
      </c>
      <c r="B461" s="1" t="s">
        <v>1174</v>
      </c>
      <c r="C461" s="1">
        <v>10059999</v>
      </c>
      <c r="D461" s="1" t="s">
        <v>1173</v>
      </c>
    </row>
    <row r="462" spans="1:4" x14ac:dyDescent="0.35">
      <c r="A462" s="1">
        <v>4004825</v>
      </c>
      <c r="B462" s="1" t="s">
        <v>1174</v>
      </c>
      <c r="C462" s="1">
        <v>10050701</v>
      </c>
      <c r="D462" s="1" t="s">
        <v>1173</v>
      </c>
    </row>
    <row r="463" spans="1:4" x14ac:dyDescent="0.35">
      <c r="A463" s="1">
        <v>4004843</v>
      </c>
      <c r="B463" s="1" t="s">
        <v>1174</v>
      </c>
      <c r="C463" s="1">
        <v>10059999</v>
      </c>
      <c r="D463" s="1" t="s">
        <v>1173</v>
      </c>
    </row>
    <row r="464" spans="1:4" x14ac:dyDescent="0.35">
      <c r="A464" s="1">
        <v>4004889</v>
      </c>
      <c r="B464" s="1" t="s">
        <v>1174</v>
      </c>
      <c r="C464" s="1">
        <v>10050801</v>
      </c>
      <c r="D464" s="1" t="s">
        <v>1173</v>
      </c>
    </row>
    <row r="465" spans="1:4" x14ac:dyDescent="0.35">
      <c r="A465" s="1">
        <v>4004891</v>
      </c>
      <c r="B465" s="1" t="s">
        <v>1174</v>
      </c>
      <c r="C465" s="1">
        <v>10050801</v>
      </c>
      <c r="D465" s="1" t="s">
        <v>1173</v>
      </c>
    </row>
    <row r="466" spans="1:4" x14ac:dyDescent="0.35">
      <c r="A466" s="1">
        <v>4004920</v>
      </c>
      <c r="B466" s="1" t="s">
        <v>1174</v>
      </c>
      <c r="C466" s="1">
        <v>10050801</v>
      </c>
      <c r="D466" s="1" t="s">
        <v>1173</v>
      </c>
    </row>
    <row r="467" spans="1:4" x14ac:dyDescent="0.35">
      <c r="A467" s="1">
        <v>4004963</v>
      </c>
      <c r="B467" s="1" t="s">
        <v>1174</v>
      </c>
      <c r="C467" s="1">
        <v>10050305</v>
      </c>
      <c r="D467" s="1" t="s">
        <v>1173</v>
      </c>
    </row>
    <row r="468" spans="1:4" x14ac:dyDescent="0.35">
      <c r="A468" s="1">
        <v>4004967</v>
      </c>
      <c r="B468" s="1" t="s">
        <v>1174</v>
      </c>
      <c r="C468" s="1">
        <v>10050602</v>
      </c>
      <c r="D468" s="1" t="s">
        <v>1173</v>
      </c>
    </row>
    <row r="469" spans="1:4" x14ac:dyDescent="0.35">
      <c r="A469" s="1">
        <v>4004969</v>
      </c>
      <c r="B469" s="1" t="s">
        <v>1174</v>
      </c>
      <c r="C469" s="1">
        <v>10050701</v>
      </c>
      <c r="D469" s="1" t="s">
        <v>1173</v>
      </c>
    </row>
    <row r="470" spans="1:4" x14ac:dyDescent="0.35">
      <c r="A470" s="1">
        <v>4004972</v>
      </c>
      <c r="B470" s="1" t="s">
        <v>1174</v>
      </c>
      <c r="C470" s="1">
        <v>10050104</v>
      </c>
      <c r="D470" s="1" t="s">
        <v>1173</v>
      </c>
    </row>
    <row r="471" spans="1:4" x14ac:dyDescent="0.35">
      <c r="A471" s="1">
        <v>4004973</v>
      </c>
      <c r="B471" s="1" t="s">
        <v>1174</v>
      </c>
      <c r="C471" s="1">
        <v>10050104</v>
      </c>
      <c r="D471" s="1" t="s">
        <v>1173</v>
      </c>
    </row>
    <row r="472" spans="1:4" x14ac:dyDescent="0.35">
      <c r="A472" s="1">
        <v>4005020</v>
      </c>
      <c r="B472" s="1" t="s">
        <v>1174</v>
      </c>
      <c r="C472" s="1">
        <v>10050104</v>
      </c>
      <c r="D472" s="1" t="s">
        <v>1173</v>
      </c>
    </row>
    <row r="473" spans="1:4" x14ac:dyDescent="0.35">
      <c r="A473" s="1">
        <v>4005032</v>
      </c>
      <c r="B473" s="1" t="s">
        <v>1174</v>
      </c>
      <c r="C473" s="1">
        <v>10050505</v>
      </c>
      <c r="D473" s="1" t="s">
        <v>1173</v>
      </c>
    </row>
    <row r="474" spans="1:4" x14ac:dyDescent="0.35">
      <c r="A474" s="1">
        <v>4005052</v>
      </c>
      <c r="B474" s="1" t="s">
        <v>1174</v>
      </c>
      <c r="C474" s="1">
        <v>10050101</v>
      </c>
      <c r="D474" s="1" t="s">
        <v>1173</v>
      </c>
    </row>
    <row r="475" spans="1:4" x14ac:dyDescent="0.35">
      <c r="A475" s="1">
        <v>4005446</v>
      </c>
      <c r="B475" s="1" t="s">
        <v>1174</v>
      </c>
      <c r="C475" s="1">
        <v>10050505</v>
      </c>
      <c r="D475" s="1" t="s">
        <v>1173</v>
      </c>
    </row>
    <row r="476" spans="1:4" x14ac:dyDescent="0.35">
      <c r="A476" s="1">
        <v>4005449</v>
      </c>
      <c r="B476" s="1" t="s">
        <v>1174</v>
      </c>
      <c r="C476" s="1">
        <v>10050109</v>
      </c>
      <c r="D476" s="1" t="s">
        <v>1173</v>
      </c>
    </row>
    <row r="477" spans="1:4" x14ac:dyDescent="0.35">
      <c r="A477" s="1">
        <v>4005454</v>
      </c>
      <c r="B477" s="1" t="s">
        <v>1174</v>
      </c>
      <c r="C477" s="1">
        <v>10050109</v>
      </c>
      <c r="D477" s="1" t="s">
        <v>1173</v>
      </c>
    </row>
    <row r="478" spans="1:4" x14ac:dyDescent="0.35">
      <c r="A478" s="1">
        <v>4005458</v>
      </c>
      <c r="B478" s="1" t="s">
        <v>1174</v>
      </c>
      <c r="C478" s="1">
        <v>10050801</v>
      </c>
      <c r="D478" s="1" t="s">
        <v>1179</v>
      </c>
    </row>
    <row r="479" spans="1:4" x14ac:dyDescent="0.35">
      <c r="A479" s="1">
        <v>4005459</v>
      </c>
      <c r="B479" s="1" t="s">
        <v>1174</v>
      </c>
      <c r="C479" s="1">
        <v>10050801</v>
      </c>
      <c r="D479" s="1" t="s">
        <v>1179</v>
      </c>
    </row>
    <row r="480" spans="1:4" x14ac:dyDescent="0.35">
      <c r="A480" s="1">
        <v>4005503</v>
      </c>
      <c r="B480" s="1" t="s">
        <v>1174</v>
      </c>
      <c r="C480" s="1">
        <v>10050109</v>
      </c>
      <c r="D480" s="1" t="s">
        <v>1173</v>
      </c>
    </row>
    <row r="481" spans="1:4" x14ac:dyDescent="0.35">
      <c r="A481" s="1">
        <v>4005583</v>
      </c>
      <c r="B481" s="1" t="s">
        <v>1174</v>
      </c>
      <c r="C481" s="1">
        <v>10040101</v>
      </c>
      <c r="D481" s="1" t="s">
        <v>1173</v>
      </c>
    </row>
    <row r="482" spans="1:4" x14ac:dyDescent="0.35">
      <c r="A482" s="1">
        <v>4005584</v>
      </c>
      <c r="B482" s="1" t="s">
        <v>1174</v>
      </c>
      <c r="C482" s="1">
        <v>10040101</v>
      </c>
      <c r="D482" s="1" t="s">
        <v>1173</v>
      </c>
    </row>
    <row r="483" spans="1:4" x14ac:dyDescent="0.35">
      <c r="A483" s="1">
        <v>4005783</v>
      </c>
      <c r="B483" s="1" t="s">
        <v>1174</v>
      </c>
      <c r="C483" s="1">
        <v>10050505</v>
      </c>
      <c r="D483" s="1" t="s">
        <v>1173</v>
      </c>
    </row>
    <row r="484" spans="1:4" x14ac:dyDescent="0.35">
      <c r="A484" s="1">
        <v>4005791</v>
      </c>
      <c r="B484" s="1" t="s">
        <v>1174</v>
      </c>
      <c r="C484" s="1">
        <v>10040101</v>
      </c>
      <c r="D484" s="1" t="s">
        <v>1173</v>
      </c>
    </row>
    <row r="485" spans="1:4" x14ac:dyDescent="0.35">
      <c r="A485" s="1">
        <v>4005792</v>
      </c>
      <c r="B485" s="1" t="s">
        <v>1174</v>
      </c>
      <c r="C485" s="1">
        <v>10050701</v>
      </c>
      <c r="D485" s="1" t="s">
        <v>1173</v>
      </c>
    </row>
    <row r="486" spans="1:4" x14ac:dyDescent="0.35">
      <c r="A486" s="1">
        <v>4005868</v>
      </c>
      <c r="B486" s="1" t="s">
        <v>1174</v>
      </c>
      <c r="C486" s="1">
        <v>10030908</v>
      </c>
      <c r="D486" s="1" t="s">
        <v>1173</v>
      </c>
    </row>
    <row r="487" spans="1:4" x14ac:dyDescent="0.35">
      <c r="A487" s="1">
        <v>4005876</v>
      </c>
      <c r="B487" s="1" t="s">
        <v>1174</v>
      </c>
      <c r="C487" s="1">
        <v>10030908</v>
      </c>
      <c r="D487" s="1" t="s">
        <v>1173</v>
      </c>
    </row>
    <row r="488" spans="1:4" x14ac:dyDescent="0.35">
      <c r="A488" s="1">
        <v>4005880</v>
      </c>
      <c r="B488" s="1" t="s">
        <v>1174</v>
      </c>
      <c r="C488" s="1">
        <v>10030908</v>
      </c>
      <c r="D488" s="1" t="s">
        <v>1173</v>
      </c>
    </row>
    <row r="489" spans="1:4" x14ac:dyDescent="0.35">
      <c r="A489" s="1">
        <v>4005881</v>
      </c>
      <c r="B489" s="1" t="s">
        <v>1174</v>
      </c>
      <c r="C489" s="1">
        <v>10030908</v>
      </c>
      <c r="D489" s="1" t="s">
        <v>1173</v>
      </c>
    </row>
    <row r="490" spans="1:4" x14ac:dyDescent="0.35">
      <c r="A490" s="1">
        <v>4005883</v>
      </c>
      <c r="B490" s="1" t="s">
        <v>1174</v>
      </c>
      <c r="C490" s="1">
        <v>10030908</v>
      </c>
      <c r="D490" s="1" t="s">
        <v>1173</v>
      </c>
    </row>
    <row r="491" spans="1:4" x14ac:dyDescent="0.35">
      <c r="A491" s="1">
        <v>4005885</v>
      </c>
      <c r="B491" s="1" t="s">
        <v>1174</v>
      </c>
      <c r="C491" s="1">
        <v>10030908</v>
      </c>
      <c r="D491" s="1" t="s">
        <v>1173</v>
      </c>
    </row>
    <row r="492" spans="1:4" x14ac:dyDescent="0.35">
      <c r="A492" s="1">
        <v>4005925</v>
      </c>
      <c r="B492" s="1" t="s">
        <v>1174</v>
      </c>
      <c r="C492" s="1">
        <v>10030905</v>
      </c>
      <c r="D492" s="1" t="s">
        <v>1173</v>
      </c>
    </row>
    <row r="493" spans="1:4" x14ac:dyDescent="0.35">
      <c r="A493" s="1">
        <v>4005949</v>
      </c>
      <c r="B493" s="1" t="s">
        <v>1174</v>
      </c>
      <c r="C493" s="1">
        <v>10050102</v>
      </c>
      <c r="D493" s="1" t="s">
        <v>1173</v>
      </c>
    </row>
    <row r="494" spans="1:4" x14ac:dyDescent="0.35">
      <c r="A494" s="1">
        <v>4005955</v>
      </c>
      <c r="B494" s="1" t="s">
        <v>1174</v>
      </c>
      <c r="C494" s="1">
        <v>10050606</v>
      </c>
      <c r="D494" s="1" t="s">
        <v>1173</v>
      </c>
    </row>
    <row r="495" spans="1:4" x14ac:dyDescent="0.35">
      <c r="A495" s="1">
        <v>4005962</v>
      </c>
      <c r="B495" s="1" t="s">
        <v>1174</v>
      </c>
      <c r="C495" s="1">
        <v>10050801</v>
      </c>
      <c r="D495" s="1" t="s">
        <v>1173</v>
      </c>
    </row>
    <row r="496" spans="1:4" x14ac:dyDescent="0.35">
      <c r="A496" s="1">
        <v>4005997</v>
      </c>
      <c r="B496" s="1" t="s">
        <v>1174</v>
      </c>
      <c r="C496" s="1">
        <v>10030908</v>
      </c>
      <c r="D496" s="1" t="s">
        <v>1173</v>
      </c>
    </row>
    <row r="497" spans="1:4" x14ac:dyDescent="0.35">
      <c r="A497" s="1">
        <v>4006009</v>
      </c>
      <c r="B497" s="1" t="s">
        <v>1174</v>
      </c>
      <c r="C497" s="1">
        <v>10030908</v>
      </c>
      <c r="D497" s="1" t="s">
        <v>1173</v>
      </c>
    </row>
    <row r="498" spans="1:4" x14ac:dyDescent="0.35">
      <c r="A498" s="1">
        <v>4006012</v>
      </c>
      <c r="B498" s="1" t="s">
        <v>1174</v>
      </c>
      <c r="C498" s="1">
        <v>10050404</v>
      </c>
      <c r="D498" s="1" t="s">
        <v>1173</v>
      </c>
    </row>
    <row r="499" spans="1:4" x14ac:dyDescent="0.35">
      <c r="A499" s="1">
        <v>4006014</v>
      </c>
      <c r="B499" s="1" t="s">
        <v>1174</v>
      </c>
      <c r="C499" s="1">
        <v>10030908</v>
      </c>
      <c r="D499" s="1" t="s">
        <v>1173</v>
      </c>
    </row>
    <row r="500" spans="1:4" x14ac:dyDescent="0.35">
      <c r="A500" s="1">
        <v>4006023</v>
      </c>
      <c r="B500" s="1" t="s">
        <v>1174</v>
      </c>
      <c r="C500" s="1">
        <v>10030908</v>
      </c>
      <c r="D500" s="1" t="s">
        <v>1173</v>
      </c>
    </row>
    <row r="501" spans="1:4" x14ac:dyDescent="0.35">
      <c r="A501" s="1">
        <v>4006025</v>
      </c>
      <c r="B501" s="1" t="s">
        <v>1174</v>
      </c>
      <c r="C501" s="1">
        <v>10030908</v>
      </c>
      <c r="D501" s="1" t="s">
        <v>1173</v>
      </c>
    </row>
    <row r="502" spans="1:4" x14ac:dyDescent="0.35">
      <c r="A502" s="1">
        <v>4006027</v>
      </c>
      <c r="B502" s="1" t="s">
        <v>1174</v>
      </c>
      <c r="C502" s="1">
        <v>10030908</v>
      </c>
      <c r="D502" s="1" t="s">
        <v>1173</v>
      </c>
    </row>
    <row r="503" spans="1:4" x14ac:dyDescent="0.35">
      <c r="A503" s="1">
        <v>4006037</v>
      </c>
      <c r="B503" s="1" t="s">
        <v>1174</v>
      </c>
      <c r="C503" s="1">
        <v>10030908</v>
      </c>
      <c r="D503" s="1" t="s">
        <v>1173</v>
      </c>
    </row>
    <row r="504" spans="1:4" x14ac:dyDescent="0.35">
      <c r="A504" s="1">
        <v>4006043</v>
      </c>
      <c r="B504" s="1" t="s">
        <v>1174</v>
      </c>
      <c r="C504" s="1">
        <v>10050109</v>
      </c>
      <c r="D504" s="1" t="s">
        <v>1173</v>
      </c>
    </row>
    <row r="505" spans="1:4" x14ac:dyDescent="0.35">
      <c r="A505" s="1">
        <v>4006059</v>
      </c>
      <c r="B505" s="1" t="s">
        <v>1174</v>
      </c>
      <c r="C505" s="1">
        <v>10030906</v>
      </c>
      <c r="D505" s="1" t="s">
        <v>1173</v>
      </c>
    </row>
    <row r="506" spans="1:4" x14ac:dyDescent="0.35">
      <c r="A506" s="1">
        <v>4006062</v>
      </c>
      <c r="B506" s="1" t="s">
        <v>1174</v>
      </c>
      <c r="C506" s="1">
        <v>10030908</v>
      </c>
      <c r="D506" s="1" t="s">
        <v>1173</v>
      </c>
    </row>
    <row r="507" spans="1:4" x14ac:dyDescent="0.35">
      <c r="A507" s="1">
        <v>4006066</v>
      </c>
      <c r="B507" s="1" t="s">
        <v>1174</v>
      </c>
      <c r="C507" s="1">
        <v>10030908</v>
      </c>
      <c r="D507" s="1" t="s">
        <v>1173</v>
      </c>
    </row>
    <row r="508" spans="1:4" x14ac:dyDescent="0.35">
      <c r="A508" s="1">
        <v>4006072</v>
      </c>
      <c r="B508" s="1" t="s">
        <v>1174</v>
      </c>
      <c r="C508" s="1">
        <v>10030908</v>
      </c>
      <c r="D508" s="1" t="s">
        <v>1173</v>
      </c>
    </row>
    <row r="509" spans="1:4" x14ac:dyDescent="0.35">
      <c r="A509" s="1">
        <v>4006088</v>
      </c>
      <c r="B509" s="1" t="s">
        <v>1174</v>
      </c>
      <c r="C509" s="1">
        <v>10030908</v>
      </c>
      <c r="D509" s="1" t="s">
        <v>1173</v>
      </c>
    </row>
    <row r="510" spans="1:4" x14ac:dyDescent="0.35">
      <c r="A510" s="1">
        <v>4006094</v>
      </c>
      <c r="B510" s="1" t="s">
        <v>1174</v>
      </c>
      <c r="C510" s="1">
        <v>10030908</v>
      </c>
      <c r="D510" s="1" t="s">
        <v>1173</v>
      </c>
    </row>
    <row r="511" spans="1:4" x14ac:dyDescent="0.35">
      <c r="A511" s="1">
        <v>4006098</v>
      </c>
      <c r="B511" s="1" t="s">
        <v>1174</v>
      </c>
      <c r="C511" s="1">
        <v>10030908</v>
      </c>
      <c r="D511" s="1" t="s">
        <v>1173</v>
      </c>
    </row>
    <row r="512" spans="1:4" x14ac:dyDescent="0.35">
      <c r="A512" s="1">
        <v>4006104</v>
      </c>
      <c r="B512" s="1" t="s">
        <v>1174</v>
      </c>
      <c r="C512" s="1">
        <v>10030908</v>
      </c>
      <c r="D512" s="1" t="s">
        <v>1173</v>
      </c>
    </row>
    <row r="513" spans="1:4" x14ac:dyDescent="0.35">
      <c r="A513" s="1">
        <v>4006114</v>
      </c>
      <c r="B513" s="1" t="s">
        <v>1174</v>
      </c>
      <c r="C513" s="1">
        <v>10060502</v>
      </c>
      <c r="D513" s="1" t="s">
        <v>1173</v>
      </c>
    </row>
    <row r="514" spans="1:4" x14ac:dyDescent="0.35">
      <c r="A514" s="1">
        <v>4006157</v>
      </c>
      <c r="B514" s="1" t="s">
        <v>1174</v>
      </c>
      <c r="C514" s="1">
        <v>10050104</v>
      </c>
      <c r="D514" s="1" t="s">
        <v>1173</v>
      </c>
    </row>
    <row r="515" spans="1:4" x14ac:dyDescent="0.35">
      <c r="A515" s="1">
        <v>4006159</v>
      </c>
      <c r="B515" s="1" t="s">
        <v>1174</v>
      </c>
      <c r="C515" s="1">
        <v>10030805</v>
      </c>
      <c r="D515" s="1" t="s">
        <v>1173</v>
      </c>
    </row>
    <row r="516" spans="1:4" x14ac:dyDescent="0.35">
      <c r="A516" s="1">
        <v>4006161</v>
      </c>
      <c r="B516" s="1" t="s">
        <v>1174</v>
      </c>
      <c r="C516" s="1">
        <v>10050801</v>
      </c>
      <c r="D516" s="1" t="s">
        <v>1173</v>
      </c>
    </row>
    <row r="517" spans="1:4" x14ac:dyDescent="0.35">
      <c r="A517" s="1">
        <v>4006163</v>
      </c>
      <c r="B517" s="1" t="s">
        <v>1174</v>
      </c>
      <c r="C517" s="1">
        <v>10030903</v>
      </c>
      <c r="D517" s="1" t="s">
        <v>1173</v>
      </c>
    </row>
    <row r="518" spans="1:4" x14ac:dyDescent="0.35">
      <c r="A518" s="1">
        <v>4006164</v>
      </c>
      <c r="B518" s="1" t="s">
        <v>1174</v>
      </c>
      <c r="C518" s="1">
        <v>10030903</v>
      </c>
      <c r="D518" s="1" t="s">
        <v>1173</v>
      </c>
    </row>
    <row r="519" spans="1:4" x14ac:dyDescent="0.35">
      <c r="A519" s="1">
        <v>4006167</v>
      </c>
      <c r="B519" s="1" t="s">
        <v>1174</v>
      </c>
      <c r="C519" s="1">
        <v>10040610</v>
      </c>
      <c r="D519" s="1" t="s">
        <v>1173</v>
      </c>
    </row>
    <row r="520" spans="1:4" x14ac:dyDescent="0.35">
      <c r="A520" s="1">
        <v>4006168</v>
      </c>
      <c r="B520" s="1" t="s">
        <v>1174</v>
      </c>
      <c r="C520" s="1">
        <v>10050701</v>
      </c>
      <c r="D520" s="1" t="s">
        <v>1173</v>
      </c>
    </row>
    <row r="521" spans="1:4" x14ac:dyDescent="0.35">
      <c r="A521" s="1">
        <v>4006169</v>
      </c>
      <c r="B521" s="1" t="s">
        <v>1174</v>
      </c>
      <c r="C521" s="1">
        <v>10050701</v>
      </c>
      <c r="D521" s="1" t="s">
        <v>1173</v>
      </c>
    </row>
    <row r="522" spans="1:4" x14ac:dyDescent="0.35">
      <c r="A522" s="1">
        <v>4006170</v>
      </c>
      <c r="B522" s="1" t="s">
        <v>1174</v>
      </c>
      <c r="C522" s="1">
        <v>10050504</v>
      </c>
      <c r="D522" s="1" t="s">
        <v>1173</v>
      </c>
    </row>
    <row r="523" spans="1:4" x14ac:dyDescent="0.35">
      <c r="A523" s="1">
        <v>4006171</v>
      </c>
      <c r="B523" s="1" t="s">
        <v>1174</v>
      </c>
      <c r="C523" s="1">
        <v>10050504</v>
      </c>
      <c r="D523" s="1" t="s">
        <v>1173</v>
      </c>
    </row>
    <row r="524" spans="1:4" x14ac:dyDescent="0.35">
      <c r="A524" s="1">
        <v>4006172</v>
      </c>
      <c r="B524" s="1" t="s">
        <v>1174</v>
      </c>
      <c r="C524" s="1">
        <v>10030904</v>
      </c>
      <c r="D524" s="1" t="s">
        <v>1173</v>
      </c>
    </row>
    <row r="525" spans="1:4" x14ac:dyDescent="0.35">
      <c r="A525" s="1">
        <v>4006174</v>
      </c>
      <c r="B525" s="1" t="s">
        <v>1174</v>
      </c>
      <c r="C525" s="1">
        <v>10050109</v>
      </c>
      <c r="D525" s="1" t="s">
        <v>1173</v>
      </c>
    </row>
    <row r="526" spans="1:4" x14ac:dyDescent="0.35">
      <c r="A526" s="1">
        <v>4006175</v>
      </c>
      <c r="B526" s="1" t="s">
        <v>1174</v>
      </c>
      <c r="C526" s="1">
        <v>10060499</v>
      </c>
      <c r="D526" s="1" t="s">
        <v>1173</v>
      </c>
    </row>
    <row r="527" spans="1:4" x14ac:dyDescent="0.35">
      <c r="A527" s="1">
        <v>4006176</v>
      </c>
      <c r="B527" s="1" t="s">
        <v>1174</v>
      </c>
      <c r="C527" s="1">
        <v>10030904</v>
      </c>
      <c r="D527" s="1" t="s">
        <v>1173</v>
      </c>
    </row>
    <row r="528" spans="1:4" x14ac:dyDescent="0.35">
      <c r="A528" s="1">
        <v>4006177</v>
      </c>
      <c r="B528" s="1" t="s">
        <v>1174</v>
      </c>
      <c r="C528" s="1">
        <v>10050801</v>
      </c>
      <c r="D528" s="1" t="s">
        <v>1173</v>
      </c>
    </row>
    <row r="529" spans="1:4" x14ac:dyDescent="0.35">
      <c r="A529" s="1">
        <v>4006181</v>
      </c>
      <c r="B529" s="1" t="s">
        <v>1174</v>
      </c>
      <c r="C529" s="1">
        <v>10050801</v>
      </c>
      <c r="D529" s="1" t="s">
        <v>1178</v>
      </c>
    </row>
    <row r="530" spans="1:4" x14ac:dyDescent="0.35">
      <c r="A530" s="1">
        <v>4006185</v>
      </c>
      <c r="B530" s="1" t="s">
        <v>1174</v>
      </c>
      <c r="C530" s="1">
        <v>10060499</v>
      </c>
      <c r="D530" s="1" t="s">
        <v>1173</v>
      </c>
    </row>
    <row r="531" spans="1:4" x14ac:dyDescent="0.35">
      <c r="A531" s="1">
        <v>4006187</v>
      </c>
      <c r="B531" s="1" t="s">
        <v>1174</v>
      </c>
      <c r="C531" s="1">
        <v>10050603</v>
      </c>
      <c r="D531" s="1" t="s">
        <v>1173</v>
      </c>
    </row>
    <row r="532" spans="1:4" x14ac:dyDescent="0.35">
      <c r="A532" s="1">
        <v>4006188</v>
      </c>
      <c r="B532" s="1" t="s">
        <v>1174</v>
      </c>
      <c r="C532" s="1">
        <v>10050603</v>
      </c>
      <c r="D532" s="1" t="s">
        <v>1173</v>
      </c>
    </row>
    <row r="533" spans="1:4" x14ac:dyDescent="0.35">
      <c r="A533" s="1">
        <v>4006193</v>
      </c>
      <c r="B533" s="1" t="s">
        <v>1174</v>
      </c>
      <c r="C533" s="1">
        <v>10050104</v>
      </c>
      <c r="D533" s="1" t="s">
        <v>1173</v>
      </c>
    </row>
    <row r="534" spans="1:4" x14ac:dyDescent="0.35">
      <c r="A534" s="1">
        <v>4006210</v>
      </c>
      <c r="B534" s="1" t="s">
        <v>1174</v>
      </c>
      <c r="C534" s="1">
        <v>10030102</v>
      </c>
      <c r="D534" s="1" t="s">
        <v>1173</v>
      </c>
    </row>
    <row r="535" spans="1:4" x14ac:dyDescent="0.35">
      <c r="A535" s="1">
        <v>4006235</v>
      </c>
      <c r="B535" s="1" t="s">
        <v>1174</v>
      </c>
      <c r="C535" s="1">
        <v>10030906</v>
      </c>
      <c r="D535" s="1" t="s">
        <v>1173</v>
      </c>
    </row>
    <row r="536" spans="1:4" x14ac:dyDescent="0.35">
      <c r="A536" s="1">
        <v>4006236</v>
      </c>
      <c r="B536" s="1" t="s">
        <v>1174</v>
      </c>
      <c r="C536" s="1">
        <v>10030906</v>
      </c>
      <c r="D536" s="1" t="s">
        <v>1173</v>
      </c>
    </row>
    <row r="537" spans="1:4" x14ac:dyDescent="0.35">
      <c r="A537" s="1">
        <v>4006332</v>
      </c>
      <c r="B537" s="1" t="s">
        <v>1174</v>
      </c>
      <c r="C537" s="1">
        <v>10060499</v>
      </c>
      <c r="D537" s="1" t="s">
        <v>1173</v>
      </c>
    </row>
    <row r="538" spans="1:4" x14ac:dyDescent="0.35">
      <c r="A538" s="1">
        <v>4006333</v>
      </c>
      <c r="B538" s="1" t="s">
        <v>1174</v>
      </c>
      <c r="C538" s="1">
        <v>10060499</v>
      </c>
      <c r="D538" s="1" t="s">
        <v>1173</v>
      </c>
    </row>
    <row r="539" spans="1:4" x14ac:dyDescent="0.35">
      <c r="A539" s="1">
        <v>4006334</v>
      </c>
      <c r="B539" s="1" t="s">
        <v>1174</v>
      </c>
      <c r="C539" s="1">
        <v>10060499</v>
      </c>
      <c r="D539" s="1" t="s">
        <v>1173</v>
      </c>
    </row>
    <row r="540" spans="1:4" x14ac:dyDescent="0.35">
      <c r="A540" s="1">
        <v>4006340</v>
      </c>
      <c r="B540" s="1" t="s">
        <v>1174</v>
      </c>
      <c r="C540" s="1">
        <v>10060502</v>
      </c>
      <c r="D540" s="1" t="s">
        <v>1173</v>
      </c>
    </row>
    <row r="541" spans="1:4" x14ac:dyDescent="0.35">
      <c r="A541" s="1">
        <v>4006341</v>
      </c>
      <c r="B541" s="1" t="s">
        <v>1174</v>
      </c>
      <c r="C541" s="1">
        <v>10060502</v>
      </c>
      <c r="D541" s="1" t="s">
        <v>1173</v>
      </c>
    </row>
    <row r="542" spans="1:4" x14ac:dyDescent="0.35">
      <c r="A542" s="1">
        <v>4006367</v>
      </c>
      <c r="B542" s="1" t="s">
        <v>1174</v>
      </c>
      <c r="C542" s="1">
        <v>10030899</v>
      </c>
      <c r="D542" s="1" t="s">
        <v>1173</v>
      </c>
    </row>
    <row r="543" spans="1:4" x14ac:dyDescent="0.35">
      <c r="A543" s="1">
        <v>4006368</v>
      </c>
      <c r="B543" s="1" t="s">
        <v>1174</v>
      </c>
      <c r="C543" s="1">
        <v>10030899</v>
      </c>
      <c r="D543" s="1" t="s">
        <v>1173</v>
      </c>
    </row>
    <row r="544" spans="1:4" x14ac:dyDescent="0.35">
      <c r="A544" s="1">
        <v>4006370</v>
      </c>
      <c r="B544" s="1" t="s">
        <v>1174</v>
      </c>
      <c r="C544" s="1">
        <v>10030899</v>
      </c>
      <c r="D544" s="1" t="s">
        <v>1173</v>
      </c>
    </row>
    <row r="545" spans="1:4" x14ac:dyDescent="0.35">
      <c r="A545" s="1">
        <v>4006372</v>
      </c>
      <c r="B545" s="1" t="s">
        <v>1174</v>
      </c>
      <c r="C545" s="1">
        <v>10030899</v>
      </c>
      <c r="D545" s="1" t="s">
        <v>1173</v>
      </c>
    </row>
    <row r="546" spans="1:4" x14ac:dyDescent="0.35">
      <c r="A546" s="1">
        <v>4006375</v>
      </c>
      <c r="B546" s="1" t="s">
        <v>1174</v>
      </c>
      <c r="C546" s="1">
        <v>10030899</v>
      </c>
      <c r="D546" s="1" t="s">
        <v>1173</v>
      </c>
    </row>
    <row r="547" spans="1:4" x14ac:dyDescent="0.35">
      <c r="A547" s="1">
        <v>4006377</v>
      </c>
      <c r="B547" s="1" t="s">
        <v>1174</v>
      </c>
      <c r="C547" s="1">
        <v>10030899</v>
      </c>
      <c r="D547" s="1" t="s">
        <v>1173</v>
      </c>
    </row>
    <row r="548" spans="1:4" x14ac:dyDescent="0.35">
      <c r="A548" s="1">
        <v>4006378</v>
      </c>
      <c r="B548" s="1" t="s">
        <v>1174</v>
      </c>
      <c r="C548" s="1">
        <v>10030899</v>
      </c>
      <c r="D548" s="1" t="s">
        <v>1173</v>
      </c>
    </row>
    <row r="549" spans="1:4" x14ac:dyDescent="0.35">
      <c r="A549" s="1">
        <v>4006380</v>
      </c>
      <c r="B549" s="1" t="s">
        <v>1174</v>
      </c>
      <c r="C549" s="1">
        <v>10030899</v>
      </c>
      <c r="D549" s="1" t="s">
        <v>1173</v>
      </c>
    </row>
    <row r="550" spans="1:4" x14ac:dyDescent="0.35">
      <c r="A550" s="1">
        <v>4006381</v>
      </c>
      <c r="B550" s="1" t="s">
        <v>1174</v>
      </c>
      <c r="C550" s="1">
        <v>10030899</v>
      </c>
      <c r="D550" s="1" t="s">
        <v>1173</v>
      </c>
    </row>
    <row r="551" spans="1:4" x14ac:dyDescent="0.35">
      <c r="A551" s="1">
        <v>4006387</v>
      </c>
      <c r="B551" s="1" t="s">
        <v>1174</v>
      </c>
      <c r="C551" s="1">
        <v>10050801</v>
      </c>
      <c r="D551" s="1" t="s">
        <v>1173</v>
      </c>
    </row>
    <row r="552" spans="1:4" x14ac:dyDescent="0.35">
      <c r="A552" s="1">
        <v>4006406</v>
      </c>
      <c r="B552" s="1" t="s">
        <v>1174</v>
      </c>
      <c r="C552" s="1">
        <v>10060502</v>
      </c>
      <c r="D552" s="1" t="s">
        <v>1173</v>
      </c>
    </row>
    <row r="553" spans="1:4" x14ac:dyDescent="0.35">
      <c r="A553" s="1">
        <v>4006407</v>
      </c>
      <c r="B553" s="1" t="s">
        <v>1174</v>
      </c>
      <c r="C553" s="1">
        <v>10050701</v>
      </c>
      <c r="D553" s="1" t="s">
        <v>1173</v>
      </c>
    </row>
    <row r="554" spans="1:4" x14ac:dyDescent="0.35">
      <c r="A554" s="1">
        <v>4006417</v>
      </c>
      <c r="B554" s="1" t="s">
        <v>1174</v>
      </c>
      <c r="C554" s="1">
        <v>10060502</v>
      </c>
      <c r="D554" s="1" t="s">
        <v>1173</v>
      </c>
    </row>
    <row r="555" spans="1:4" x14ac:dyDescent="0.35">
      <c r="A555" s="1">
        <v>4006431</v>
      </c>
      <c r="B555" s="1" t="s">
        <v>1174</v>
      </c>
      <c r="C555" s="1">
        <v>10050604</v>
      </c>
      <c r="D555" s="1" t="s">
        <v>1180</v>
      </c>
    </row>
    <row r="556" spans="1:4" x14ac:dyDescent="0.35">
      <c r="A556" s="1">
        <v>4006432</v>
      </c>
      <c r="B556" s="1" t="s">
        <v>1174</v>
      </c>
      <c r="C556" s="1">
        <v>10050604</v>
      </c>
      <c r="D556" s="1" t="s">
        <v>1180</v>
      </c>
    </row>
    <row r="557" spans="1:4" x14ac:dyDescent="0.35">
      <c r="A557" s="1">
        <v>4006450</v>
      </c>
      <c r="B557" s="1" t="s">
        <v>1174</v>
      </c>
      <c r="C557" s="1">
        <v>10070398</v>
      </c>
      <c r="D557" s="1" t="s">
        <v>1173</v>
      </c>
    </row>
    <row r="558" spans="1:4" x14ac:dyDescent="0.35">
      <c r="A558" s="1">
        <v>4006451</v>
      </c>
      <c r="B558" s="1" t="s">
        <v>1174</v>
      </c>
      <c r="C558" s="1">
        <v>10070398</v>
      </c>
      <c r="D558" s="1" t="s">
        <v>1173</v>
      </c>
    </row>
    <row r="559" spans="1:4" x14ac:dyDescent="0.35">
      <c r="A559" s="1">
        <v>4006464</v>
      </c>
      <c r="B559" s="1" t="s">
        <v>1174</v>
      </c>
      <c r="C559" s="1">
        <v>10050401</v>
      </c>
      <c r="D559" s="1" t="s">
        <v>1173</v>
      </c>
    </row>
    <row r="560" spans="1:4" x14ac:dyDescent="0.35">
      <c r="A560" s="1">
        <v>4006497</v>
      </c>
      <c r="B560" s="1" t="s">
        <v>1174</v>
      </c>
      <c r="C560" s="1">
        <v>10050603</v>
      </c>
      <c r="D560" s="1" t="s">
        <v>1175</v>
      </c>
    </row>
    <row r="561" spans="1:4" x14ac:dyDescent="0.35">
      <c r="A561" s="1">
        <v>4006498</v>
      </c>
      <c r="B561" s="1" t="s">
        <v>1174</v>
      </c>
      <c r="C561" s="1">
        <v>10060107</v>
      </c>
      <c r="D561" s="1" t="s">
        <v>1175</v>
      </c>
    </row>
    <row r="562" spans="1:4" x14ac:dyDescent="0.35">
      <c r="A562" s="1">
        <v>4006499</v>
      </c>
      <c r="B562" s="1" t="s">
        <v>1174</v>
      </c>
      <c r="C562" s="1">
        <v>10050801</v>
      </c>
      <c r="D562" s="1" t="s">
        <v>1178</v>
      </c>
    </row>
    <row r="563" spans="1:4" x14ac:dyDescent="0.35">
      <c r="A563" s="1">
        <v>4006501</v>
      </c>
      <c r="B563" s="1" t="s">
        <v>1174</v>
      </c>
      <c r="C563" s="1">
        <v>10050801</v>
      </c>
      <c r="D563" s="1" t="s">
        <v>1173</v>
      </c>
    </row>
    <row r="564" spans="1:4" x14ac:dyDescent="0.35">
      <c r="A564" s="1">
        <v>4006502</v>
      </c>
      <c r="B564" s="1" t="s">
        <v>1174</v>
      </c>
      <c r="C564" s="1">
        <v>10050609</v>
      </c>
      <c r="D564" s="1" t="s">
        <v>1173</v>
      </c>
    </row>
    <row r="565" spans="1:4" x14ac:dyDescent="0.35">
      <c r="A565" s="1">
        <v>4006504</v>
      </c>
      <c r="B565" s="1" t="s">
        <v>1174</v>
      </c>
      <c r="C565" s="1">
        <v>10050108</v>
      </c>
      <c r="D565" s="1" t="s">
        <v>1173</v>
      </c>
    </row>
    <row r="566" spans="1:4" x14ac:dyDescent="0.35">
      <c r="A566" s="1">
        <v>4006529</v>
      </c>
      <c r="B566" s="1" t="s">
        <v>1174</v>
      </c>
      <c r="C566" s="1">
        <v>10050504</v>
      </c>
      <c r="D566" s="1" t="s">
        <v>1173</v>
      </c>
    </row>
    <row r="567" spans="1:4" x14ac:dyDescent="0.35">
      <c r="A567" s="1">
        <v>4006543</v>
      </c>
      <c r="B567" s="1" t="s">
        <v>1174</v>
      </c>
      <c r="C567" s="1">
        <v>10050801</v>
      </c>
      <c r="D567" s="1" t="s">
        <v>1173</v>
      </c>
    </row>
    <row r="568" spans="1:4" x14ac:dyDescent="0.35">
      <c r="A568" s="1">
        <v>4006545</v>
      </c>
      <c r="B568" s="1" t="s">
        <v>1174</v>
      </c>
      <c r="C568" s="1">
        <v>10050801</v>
      </c>
      <c r="D568" s="1" t="s">
        <v>1173</v>
      </c>
    </row>
    <row r="569" spans="1:4" x14ac:dyDescent="0.35">
      <c r="A569" s="1">
        <v>4006546</v>
      </c>
      <c r="B569" s="1" t="s">
        <v>1174</v>
      </c>
      <c r="C569" s="1">
        <v>10060206</v>
      </c>
      <c r="D569" s="1" t="s">
        <v>1173</v>
      </c>
    </row>
    <row r="570" spans="1:4" x14ac:dyDescent="0.35">
      <c r="A570" s="1">
        <v>4006560</v>
      </c>
      <c r="B570" s="1" t="s">
        <v>1174</v>
      </c>
      <c r="C570" s="1">
        <v>10060510</v>
      </c>
      <c r="D570" s="1" t="s">
        <v>1173</v>
      </c>
    </row>
    <row r="571" spans="1:4" x14ac:dyDescent="0.35">
      <c r="A571" s="1">
        <v>4006561</v>
      </c>
      <c r="B571" s="1" t="s">
        <v>1174</v>
      </c>
      <c r="C571" s="1">
        <v>10060502</v>
      </c>
      <c r="D571" s="1" t="s">
        <v>1173</v>
      </c>
    </row>
    <row r="572" spans="1:4" x14ac:dyDescent="0.35">
      <c r="A572" s="1">
        <v>4006565</v>
      </c>
      <c r="B572" s="1" t="s">
        <v>1174</v>
      </c>
      <c r="C572" s="1">
        <v>10030908</v>
      </c>
      <c r="D572" s="1" t="s">
        <v>1173</v>
      </c>
    </row>
    <row r="573" spans="1:4" x14ac:dyDescent="0.35">
      <c r="A573" s="1">
        <v>4006590</v>
      </c>
      <c r="B573" s="1" t="s">
        <v>1174</v>
      </c>
      <c r="C573" s="1">
        <v>10050505</v>
      </c>
      <c r="D573" s="1" t="s">
        <v>1173</v>
      </c>
    </row>
    <row r="574" spans="1:4" x14ac:dyDescent="0.35">
      <c r="A574" s="1">
        <v>4006599</v>
      </c>
      <c r="B574" s="1" t="s">
        <v>1174</v>
      </c>
      <c r="C574" s="1">
        <v>20040903</v>
      </c>
      <c r="D574" s="1" t="s">
        <v>1173</v>
      </c>
    </row>
    <row r="575" spans="1:4" x14ac:dyDescent="0.35">
      <c r="A575" s="1">
        <v>4006600</v>
      </c>
      <c r="B575" s="1" t="s">
        <v>1174</v>
      </c>
      <c r="C575" s="1">
        <v>10050504</v>
      </c>
      <c r="D575" s="1" t="s">
        <v>1173</v>
      </c>
    </row>
    <row r="576" spans="1:4" x14ac:dyDescent="0.35">
      <c r="A576" s="1">
        <v>4006665</v>
      </c>
      <c r="B576" s="1" t="s">
        <v>1174</v>
      </c>
      <c r="C576" s="1">
        <v>10050801</v>
      </c>
      <c r="D576" s="1" t="s">
        <v>1173</v>
      </c>
    </row>
    <row r="577" spans="1:4" x14ac:dyDescent="0.35">
      <c r="A577" s="1">
        <v>4006678</v>
      </c>
      <c r="B577" s="1" t="s">
        <v>1174</v>
      </c>
      <c r="C577" s="1">
        <v>10050801</v>
      </c>
      <c r="D577" s="1" t="s">
        <v>1178</v>
      </c>
    </row>
    <row r="578" spans="1:4" x14ac:dyDescent="0.35">
      <c r="A578" s="1">
        <v>4006755</v>
      </c>
      <c r="B578" s="1" t="s">
        <v>1174</v>
      </c>
      <c r="C578" s="1">
        <v>10050109</v>
      </c>
      <c r="D578" s="1" t="s">
        <v>1173</v>
      </c>
    </row>
    <row r="579" spans="1:4" x14ac:dyDescent="0.35">
      <c r="A579" s="1">
        <v>4006758</v>
      </c>
      <c r="B579" s="1" t="s">
        <v>1174</v>
      </c>
      <c r="C579" s="1">
        <v>10060502</v>
      </c>
      <c r="D579" s="1" t="s">
        <v>1173</v>
      </c>
    </row>
    <row r="580" spans="1:4" x14ac:dyDescent="0.35">
      <c r="A580" s="1">
        <v>4006770</v>
      </c>
      <c r="B580" s="1" t="s">
        <v>1174</v>
      </c>
      <c r="C580" s="1">
        <v>10030908</v>
      </c>
      <c r="D580" s="1" t="s">
        <v>1173</v>
      </c>
    </row>
    <row r="581" spans="1:4" x14ac:dyDescent="0.35">
      <c r="A581" s="1">
        <v>4006771</v>
      </c>
      <c r="B581" s="1" t="s">
        <v>1174</v>
      </c>
      <c r="C581" s="1">
        <v>10030908</v>
      </c>
      <c r="D581" s="1" t="s">
        <v>1173</v>
      </c>
    </row>
    <row r="582" spans="1:4" x14ac:dyDescent="0.35">
      <c r="A582" s="1">
        <v>4006775</v>
      </c>
      <c r="B582" s="1" t="s">
        <v>1174</v>
      </c>
      <c r="C582" s="1">
        <v>10030908</v>
      </c>
      <c r="D582" s="1" t="s">
        <v>1173</v>
      </c>
    </row>
    <row r="583" spans="1:4" x14ac:dyDescent="0.35">
      <c r="A583" s="1">
        <v>4006778</v>
      </c>
      <c r="B583" s="1" t="s">
        <v>1174</v>
      </c>
      <c r="C583" s="1">
        <v>10030908</v>
      </c>
      <c r="D583" s="1" t="s">
        <v>1173</v>
      </c>
    </row>
    <row r="584" spans="1:4" x14ac:dyDescent="0.35">
      <c r="A584" s="1">
        <v>4006780</v>
      </c>
      <c r="B584" s="1" t="s">
        <v>1174</v>
      </c>
      <c r="C584" s="1">
        <v>10030908</v>
      </c>
      <c r="D584" s="1" t="s">
        <v>1173</v>
      </c>
    </row>
    <row r="585" spans="1:4" x14ac:dyDescent="0.35">
      <c r="A585" s="1">
        <v>4006795</v>
      </c>
      <c r="B585" s="1" t="s">
        <v>1174</v>
      </c>
      <c r="C585" s="1">
        <v>10050801</v>
      </c>
      <c r="D585" s="1" t="s">
        <v>1178</v>
      </c>
    </row>
    <row r="586" spans="1:4" x14ac:dyDescent="0.35">
      <c r="A586" s="1">
        <v>4007769</v>
      </c>
      <c r="B586" s="1" t="s">
        <v>1174</v>
      </c>
      <c r="C586" s="1">
        <v>10030908</v>
      </c>
      <c r="D586" s="1" t="s">
        <v>1173</v>
      </c>
    </row>
    <row r="587" spans="1:4" x14ac:dyDescent="0.35">
      <c r="A587" s="1">
        <v>4007774</v>
      </c>
      <c r="B587" s="1" t="s">
        <v>1174</v>
      </c>
      <c r="C587" s="1">
        <v>10030908</v>
      </c>
      <c r="D587" s="1" t="s">
        <v>1173</v>
      </c>
    </row>
    <row r="588" spans="1:4" x14ac:dyDescent="0.35">
      <c r="A588" s="1">
        <v>4007802</v>
      </c>
      <c r="B588" s="1" t="s">
        <v>1174</v>
      </c>
      <c r="C588" s="1">
        <v>10050801</v>
      </c>
      <c r="D588" s="1" t="s">
        <v>1179</v>
      </c>
    </row>
    <row r="589" spans="1:4" x14ac:dyDescent="0.35">
      <c r="A589" s="1">
        <v>4007817</v>
      </c>
      <c r="B589" s="1" t="s">
        <v>1174</v>
      </c>
      <c r="C589" s="1">
        <v>10050701</v>
      </c>
      <c r="D589" s="1" t="s">
        <v>1173</v>
      </c>
    </row>
    <row r="590" spans="1:4" x14ac:dyDescent="0.35">
      <c r="A590" s="1">
        <v>4007818</v>
      </c>
      <c r="B590" s="1" t="s">
        <v>1174</v>
      </c>
      <c r="C590" s="1">
        <v>10050701</v>
      </c>
      <c r="D590" s="1" t="s">
        <v>1173</v>
      </c>
    </row>
    <row r="591" spans="1:4" x14ac:dyDescent="0.35">
      <c r="A591" s="1">
        <v>4007825</v>
      </c>
      <c r="B591" s="1" t="s">
        <v>1174</v>
      </c>
      <c r="C591" s="1">
        <v>10050306</v>
      </c>
      <c r="D591" s="1" t="s">
        <v>1173</v>
      </c>
    </row>
    <row r="592" spans="1:4" x14ac:dyDescent="0.35">
      <c r="A592" s="1">
        <v>4007843</v>
      </c>
      <c r="B592" s="1" t="s">
        <v>1174</v>
      </c>
      <c r="C592" s="1">
        <v>10050109</v>
      </c>
      <c r="D592" s="1" t="s">
        <v>1173</v>
      </c>
    </row>
    <row r="593" spans="1:4" x14ac:dyDescent="0.35">
      <c r="A593" s="1">
        <v>4007851</v>
      </c>
      <c r="B593" s="1" t="s">
        <v>1174</v>
      </c>
      <c r="C593" s="1">
        <v>10060502</v>
      </c>
      <c r="D593" s="1" t="s">
        <v>1173</v>
      </c>
    </row>
    <row r="594" spans="1:4" x14ac:dyDescent="0.35">
      <c r="A594" s="1">
        <v>4007872</v>
      </c>
      <c r="B594" s="1" t="s">
        <v>1174</v>
      </c>
      <c r="C594" s="1">
        <v>10030904</v>
      </c>
      <c r="D594" s="1" t="s">
        <v>1175</v>
      </c>
    </row>
    <row r="595" spans="1:4" x14ac:dyDescent="0.35">
      <c r="A595" s="1">
        <v>4008002</v>
      </c>
      <c r="B595" s="1" t="s">
        <v>1174</v>
      </c>
      <c r="C595" s="1">
        <v>10050108</v>
      </c>
      <c r="D595" s="1" t="s">
        <v>1173</v>
      </c>
    </row>
    <row r="596" spans="1:4" x14ac:dyDescent="0.35">
      <c r="A596" s="1">
        <v>4008010</v>
      </c>
      <c r="B596" s="1" t="s">
        <v>1174</v>
      </c>
      <c r="C596" s="1">
        <v>10050501</v>
      </c>
      <c r="D596" s="1" t="s">
        <v>1173</v>
      </c>
    </row>
    <row r="597" spans="1:4" x14ac:dyDescent="0.35">
      <c r="A597" s="1">
        <v>4008022</v>
      </c>
      <c r="B597" s="1" t="s">
        <v>1174</v>
      </c>
      <c r="C597" s="1">
        <v>10050102</v>
      </c>
      <c r="D597" s="1" t="s">
        <v>1175</v>
      </c>
    </row>
    <row r="598" spans="1:4" x14ac:dyDescent="0.35">
      <c r="A598" s="1">
        <v>4008023</v>
      </c>
      <c r="B598" s="1" t="s">
        <v>1174</v>
      </c>
      <c r="C598" s="1">
        <v>10050102</v>
      </c>
      <c r="D598" s="1" t="s">
        <v>1173</v>
      </c>
    </row>
    <row r="599" spans="1:4" x14ac:dyDescent="0.35">
      <c r="A599" s="1">
        <v>4008024</v>
      </c>
      <c r="B599" s="1" t="s">
        <v>1174</v>
      </c>
      <c r="C599" s="1">
        <v>10050102</v>
      </c>
      <c r="D599" s="1" t="s">
        <v>1173</v>
      </c>
    </row>
    <row r="600" spans="1:4" x14ac:dyDescent="0.35">
      <c r="A600" s="1">
        <v>4008026</v>
      </c>
      <c r="B600" s="1" t="s">
        <v>1174</v>
      </c>
      <c r="C600" s="1">
        <v>10050109</v>
      </c>
      <c r="D600" s="1" t="s">
        <v>1173</v>
      </c>
    </row>
    <row r="601" spans="1:4" x14ac:dyDescent="0.35">
      <c r="A601" s="1">
        <v>4008027</v>
      </c>
      <c r="B601" s="1" t="s">
        <v>1174</v>
      </c>
      <c r="C601" s="1">
        <v>10050603</v>
      </c>
      <c r="D601" s="1" t="s">
        <v>1173</v>
      </c>
    </row>
    <row r="602" spans="1:4" x14ac:dyDescent="0.35">
      <c r="A602" s="1">
        <v>4008033</v>
      </c>
      <c r="B602" s="1" t="s">
        <v>1174</v>
      </c>
      <c r="C602" s="1">
        <v>10050606</v>
      </c>
      <c r="D602" s="1" t="s">
        <v>1173</v>
      </c>
    </row>
    <row r="603" spans="1:4" x14ac:dyDescent="0.35">
      <c r="A603" s="1">
        <v>4008034</v>
      </c>
      <c r="B603" s="1" t="s">
        <v>1174</v>
      </c>
      <c r="C603" s="1">
        <v>10050606</v>
      </c>
      <c r="D603" s="1" t="s">
        <v>1173</v>
      </c>
    </row>
    <row r="604" spans="1:4" x14ac:dyDescent="0.35">
      <c r="A604" s="1">
        <v>4008035</v>
      </c>
      <c r="B604" s="1" t="s">
        <v>1174</v>
      </c>
      <c r="C604" s="1">
        <v>10030501</v>
      </c>
      <c r="D604" s="1" t="s">
        <v>1173</v>
      </c>
    </row>
    <row r="605" spans="1:4" x14ac:dyDescent="0.35">
      <c r="A605" s="1">
        <v>4008075</v>
      </c>
      <c r="B605" s="1" t="s">
        <v>1174</v>
      </c>
      <c r="C605" s="1">
        <v>10050701</v>
      </c>
      <c r="D605" s="1" t="s">
        <v>1173</v>
      </c>
    </row>
    <row r="606" spans="1:4" x14ac:dyDescent="0.35">
      <c r="A606" s="1">
        <v>4008076</v>
      </c>
      <c r="B606" s="1" t="s">
        <v>1174</v>
      </c>
      <c r="C606" s="1">
        <v>10050404</v>
      </c>
      <c r="D606" s="1" t="s">
        <v>1173</v>
      </c>
    </row>
    <row r="607" spans="1:4" x14ac:dyDescent="0.35">
      <c r="A607" s="1">
        <v>4008077</v>
      </c>
      <c r="B607" s="1" t="s">
        <v>1174</v>
      </c>
      <c r="C607" s="1">
        <v>10050404</v>
      </c>
      <c r="D607" s="1" t="s">
        <v>1173</v>
      </c>
    </row>
    <row r="608" spans="1:4" x14ac:dyDescent="0.35">
      <c r="A608" s="1">
        <v>4008079</v>
      </c>
      <c r="B608" s="1" t="s">
        <v>1174</v>
      </c>
      <c r="C608" s="1">
        <v>10060502</v>
      </c>
      <c r="D608" s="1" t="s">
        <v>1173</v>
      </c>
    </row>
    <row r="609" spans="1:4" x14ac:dyDescent="0.35">
      <c r="A609" s="1">
        <v>4008095</v>
      </c>
      <c r="B609" s="1" t="s">
        <v>1174</v>
      </c>
      <c r="C609" s="1">
        <v>10030899</v>
      </c>
      <c r="D609" s="1" t="s">
        <v>1173</v>
      </c>
    </row>
    <row r="610" spans="1:4" x14ac:dyDescent="0.35">
      <c r="A610" s="1">
        <v>4008096</v>
      </c>
      <c r="B610" s="1" t="s">
        <v>1174</v>
      </c>
      <c r="C610" s="1">
        <v>10030899</v>
      </c>
      <c r="D610" s="1" t="s">
        <v>1173</v>
      </c>
    </row>
    <row r="611" spans="1:4" x14ac:dyDescent="0.35">
      <c r="A611" s="1">
        <v>4008099</v>
      </c>
      <c r="B611" s="1" t="s">
        <v>1174</v>
      </c>
      <c r="C611" s="1">
        <v>10030899</v>
      </c>
      <c r="D611" s="1" t="s">
        <v>1173</v>
      </c>
    </row>
    <row r="612" spans="1:4" x14ac:dyDescent="0.35">
      <c r="A612" s="1">
        <v>4008100</v>
      </c>
      <c r="B612" s="1" t="s">
        <v>1174</v>
      </c>
      <c r="C612" s="1">
        <v>10030899</v>
      </c>
      <c r="D612" s="1" t="s">
        <v>1178</v>
      </c>
    </row>
    <row r="613" spans="1:4" x14ac:dyDescent="0.35">
      <c r="A613" s="1">
        <v>4008106</v>
      </c>
      <c r="B613" s="1" t="s">
        <v>1174</v>
      </c>
      <c r="C613" s="1">
        <v>10040101</v>
      </c>
      <c r="D613" s="1" t="s">
        <v>1173</v>
      </c>
    </row>
    <row r="614" spans="1:4" x14ac:dyDescent="0.35">
      <c r="A614" s="1">
        <v>4008108</v>
      </c>
      <c r="B614" s="1" t="s">
        <v>1174</v>
      </c>
      <c r="C614" s="1">
        <v>10030903</v>
      </c>
      <c r="D614" s="1" t="s">
        <v>1173</v>
      </c>
    </row>
    <row r="615" spans="1:4" x14ac:dyDescent="0.35">
      <c r="A615" s="1">
        <v>4008109</v>
      </c>
      <c r="B615" s="1" t="s">
        <v>1174</v>
      </c>
      <c r="C615" s="1">
        <v>10050801</v>
      </c>
      <c r="D615" s="1" t="s">
        <v>1173</v>
      </c>
    </row>
    <row r="616" spans="1:4" x14ac:dyDescent="0.35">
      <c r="A616" s="1">
        <v>4008110</v>
      </c>
      <c r="B616" s="1" t="s">
        <v>1174</v>
      </c>
      <c r="C616" s="1">
        <v>10050102</v>
      </c>
      <c r="D616" s="1" t="s">
        <v>1173</v>
      </c>
    </row>
    <row r="617" spans="1:4" x14ac:dyDescent="0.35">
      <c r="A617" s="1">
        <v>4008121</v>
      </c>
      <c r="B617" s="1" t="s">
        <v>1174</v>
      </c>
      <c r="C617" s="1">
        <v>10040901</v>
      </c>
      <c r="D617" s="1" t="s">
        <v>1173</v>
      </c>
    </row>
    <row r="618" spans="1:4" x14ac:dyDescent="0.35">
      <c r="A618" s="1">
        <v>4008122</v>
      </c>
      <c r="B618" s="1" t="s">
        <v>1174</v>
      </c>
      <c r="C618" s="1">
        <v>10050701</v>
      </c>
      <c r="D618" s="1" t="s">
        <v>1173</v>
      </c>
    </row>
    <row r="619" spans="1:4" x14ac:dyDescent="0.35">
      <c r="A619" s="1">
        <v>4008123</v>
      </c>
      <c r="B619" s="1" t="s">
        <v>1174</v>
      </c>
      <c r="C619" s="1">
        <v>10050701</v>
      </c>
      <c r="D619" s="1" t="s">
        <v>1173</v>
      </c>
    </row>
    <row r="620" spans="1:4" x14ac:dyDescent="0.35">
      <c r="A620" s="1">
        <v>4008124</v>
      </c>
      <c r="B620" s="1" t="s">
        <v>1174</v>
      </c>
      <c r="C620" s="1">
        <v>10030908</v>
      </c>
      <c r="D620" s="1" t="s">
        <v>1177</v>
      </c>
    </row>
    <row r="621" spans="1:4" x14ac:dyDescent="0.35">
      <c r="A621" s="1">
        <v>4008133</v>
      </c>
      <c r="B621" s="1" t="s">
        <v>1174</v>
      </c>
      <c r="C621" s="1">
        <v>10030903</v>
      </c>
      <c r="D621" s="1" t="s">
        <v>1173</v>
      </c>
    </row>
    <row r="622" spans="1:4" x14ac:dyDescent="0.35">
      <c r="A622" s="1">
        <v>4008142</v>
      </c>
      <c r="B622" s="1" t="s">
        <v>1174</v>
      </c>
      <c r="C622" s="1">
        <v>10050801</v>
      </c>
      <c r="D622" s="1" t="s">
        <v>1173</v>
      </c>
    </row>
    <row r="623" spans="1:4" x14ac:dyDescent="0.35">
      <c r="A623" s="1">
        <v>4008143</v>
      </c>
      <c r="B623" s="1" t="s">
        <v>1174</v>
      </c>
      <c r="C623" s="1">
        <v>10050801</v>
      </c>
      <c r="D623" s="1" t="s">
        <v>1173</v>
      </c>
    </row>
    <row r="624" spans="1:4" x14ac:dyDescent="0.35">
      <c r="A624" s="1">
        <v>4008145</v>
      </c>
      <c r="B624" s="1" t="s">
        <v>1174</v>
      </c>
      <c r="C624" s="1">
        <v>20040901</v>
      </c>
      <c r="D624" s="1" t="s">
        <v>1173</v>
      </c>
    </row>
    <row r="625" spans="1:4" x14ac:dyDescent="0.35">
      <c r="A625" s="1">
        <v>4008148</v>
      </c>
      <c r="B625" s="1" t="s">
        <v>1174</v>
      </c>
      <c r="C625" s="1">
        <v>20040901</v>
      </c>
      <c r="D625" s="1" t="s">
        <v>1173</v>
      </c>
    </row>
    <row r="626" spans="1:4" x14ac:dyDescent="0.35">
      <c r="A626" s="1">
        <v>4008152</v>
      </c>
      <c r="B626" s="1" t="s">
        <v>1174</v>
      </c>
      <c r="C626" s="1">
        <v>10050404</v>
      </c>
      <c r="D626" s="1" t="s">
        <v>1173</v>
      </c>
    </row>
    <row r="627" spans="1:4" x14ac:dyDescent="0.35">
      <c r="A627" s="1">
        <v>4008157</v>
      </c>
      <c r="B627" s="1" t="s">
        <v>1174</v>
      </c>
      <c r="C627" s="1">
        <v>10030903</v>
      </c>
      <c r="D627" s="1" t="s">
        <v>1173</v>
      </c>
    </row>
    <row r="628" spans="1:4" x14ac:dyDescent="0.35">
      <c r="A628" s="1">
        <v>4008159</v>
      </c>
      <c r="B628" s="1" t="s">
        <v>1174</v>
      </c>
      <c r="C628" s="1">
        <v>10060502</v>
      </c>
      <c r="D628" s="1" t="s">
        <v>1173</v>
      </c>
    </row>
    <row r="629" spans="1:4" x14ac:dyDescent="0.35">
      <c r="A629" s="1">
        <v>4008161</v>
      </c>
      <c r="B629" s="1" t="s">
        <v>1174</v>
      </c>
      <c r="C629" s="1">
        <v>10050505</v>
      </c>
      <c r="D629" s="1" t="s">
        <v>1173</v>
      </c>
    </row>
    <row r="630" spans="1:4" x14ac:dyDescent="0.35">
      <c r="A630" s="1">
        <v>4008184</v>
      </c>
      <c r="B630" s="1" t="s">
        <v>1174</v>
      </c>
      <c r="C630" s="1">
        <v>10050801</v>
      </c>
      <c r="D630" s="1" t="s">
        <v>1178</v>
      </c>
    </row>
    <row r="631" spans="1:4" x14ac:dyDescent="0.35">
      <c r="A631" s="1">
        <v>4008194</v>
      </c>
      <c r="B631" s="1" t="s">
        <v>1174</v>
      </c>
      <c r="C631" s="1">
        <v>10050801</v>
      </c>
      <c r="D631" s="1" t="s">
        <v>1178</v>
      </c>
    </row>
    <row r="632" spans="1:4" x14ac:dyDescent="0.35">
      <c r="A632" s="1">
        <v>4008197</v>
      </c>
      <c r="B632" s="1" t="s">
        <v>1174</v>
      </c>
      <c r="C632" s="1">
        <v>10050801</v>
      </c>
      <c r="D632" s="1" t="s">
        <v>1178</v>
      </c>
    </row>
    <row r="633" spans="1:4" x14ac:dyDescent="0.35">
      <c r="A633" s="1">
        <v>4008198</v>
      </c>
      <c r="B633" s="1" t="s">
        <v>1174</v>
      </c>
      <c r="C633" s="1">
        <v>10050801</v>
      </c>
      <c r="D633" s="1" t="s">
        <v>1178</v>
      </c>
    </row>
    <row r="634" spans="1:4" x14ac:dyDescent="0.35">
      <c r="A634" s="1">
        <v>4008201</v>
      </c>
      <c r="B634" s="1" t="s">
        <v>1174</v>
      </c>
      <c r="C634" s="1">
        <v>10050404</v>
      </c>
      <c r="D634" s="1" t="s">
        <v>1173</v>
      </c>
    </row>
    <row r="635" spans="1:4" x14ac:dyDescent="0.35">
      <c r="A635" s="1">
        <v>4008203</v>
      </c>
      <c r="B635" s="1" t="s">
        <v>1174</v>
      </c>
      <c r="C635" s="1">
        <v>10050801</v>
      </c>
      <c r="D635" s="1" t="s">
        <v>1178</v>
      </c>
    </row>
    <row r="636" spans="1:4" x14ac:dyDescent="0.35">
      <c r="A636" s="1">
        <v>4008204</v>
      </c>
      <c r="B636" s="1" t="s">
        <v>1174</v>
      </c>
      <c r="C636" s="1">
        <v>10050701</v>
      </c>
      <c r="D636" s="1" t="s">
        <v>1173</v>
      </c>
    </row>
    <row r="637" spans="1:4" x14ac:dyDescent="0.35">
      <c r="A637" s="1">
        <v>4008206</v>
      </c>
      <c r="B637" s="1" t="s">
        <v>1174</v>
      </c>
      <c r="C637" s="1">
        <v>10050404</v>
      </c>
      <c r="D637" s="1" t="s">
        <v>1173</v>
      </c>
    </row>
    <row r="638" spans="1:4" x14ac:dyDescent="0.35">
      <c r="A638" s="1">
        <v>4008209</v>
      </c>
      <c r="B638" s="1" t="s">
        <v>1174</v>
      </c>
      <c r="C638" s="1">
        <v>10050701</v>
      </c>
      <c r="D638" s="1" t="s">
        <v>1173</v>
      </c>
    </row>
    <row r="639" spans="1:4" x14ac:dyDescent="0.35">
      <c r="A639" s="1">
        <v>4008211</v>
      </c>
      <c r="B639" s="1" t="s">
        <v>1174</v>
      </c>
      <c r="C639" s="1">
        <v>10050404</v>
      </c>
      <c r="D639" s="1" t="s">
        <v>1173</v>
      </c>
    </row>
    <row r="640" spans="1:4" x14ac:dyDescent="0.35">
      <c r="A640" s="1">
        <v>4008212</v>
      </c>
      <c r="B640" s="1" t="s">
        <v>1174</v>
      </c>
      <c r="C640" s="1">
        <v>10050404</v>
      </c>
      <c r="D640" s="1" t="s">
        <v>1173</v>
      </c>
    </row>
    <row r="641" spans="1:4" x14ac:dyDescent="0.35">
      <c r="A641" s="1">
        <v>4008213</v>
      </c>
      <c r="B641" s="1" t="s">
        <v>1174</v>
      </c>
      <c r="C641" s="1">
        <v>10050404</v>
      </c>
      <c r="D641" s="1" t="s">
        <v>1173</v>
      </c>
    </row>
    <row r="642" spans="1:4" x14ac:dyDescent="0.35">
      <c r="A642" s="1">
        <v>4008214</v>
      </c>
      <c r="B642" s="1" t="s">
        <v>1174</v>
      </c>
      <c r="C642" s="1">
        <v>10050404</v>
      </c>
      <c r="D642" s="1" t="s">
        <v>1173</v>
      </c>
    </row>
    <row r="643" spans="1:4" x14ac:dyDescent="0.35">
      <c r="A643" s="1">
        <v>4008217</v>
      </c>
      <c r="B643" s="1" t="s">
        <v>1174</v>
      </c>
      <c r="C643" s="1">
        <v>10030703</v>
      </c>
      <c r="D643" s="1" t="s">
        <v>1173</v>
      </c>
    </row>
    <row r="644" spans="1:4" x14ac:dyDescent="0.35">
      <c r="A644" s="1">
        <v>4008222</v>
      </c>
      <c r="B644" s="1" t="s">
        <v>1174</v>
      </c>
      <c r="C644" s="1">
        <v>10050801</v>
      </c>
      <c r="D644" s="1" t="s">
        <v>1173</v>
      </c>
    </row>
    <row r="645" spans="1:4" x14ac:dyDescent="0.35">
      <c r="A645" s="1">
        <v>4008223</v>
      </c>
      <c r="B645" s="1" t="s">
        <v>1174</v>
      </c>
      <c r="C645" s="1">
        <v>10050801</v>
      </c>
      <c r="D645" s="1" t="s">
        <v>1173</v>
      </c>
    </row>
    <row r="646" spans="1:4" x14ac:dyDescent="0.35">
      <c r="A646" s="1">
        <v>4008239</v>
      </c>
      <c r="B646" s="1" t="s">
        <v>1174</v>
      </c>
      <c r="C646" s="1">
        <v>10050801</v>
      </c>
      <c r="D646" s="1" t="s">
        <v>1178</v>
      </c>
    </row>
    <row r="647" spans="1:4" x14ac:dyDescent="0.35">
      <c r="A647" s="1">
        <v>4008245</v>
      </c>
      <c r="B647" s="1" t="s">
        <v>1174</v>
      </c>
      <c r="C647" s="1">
        <v>10050609</v>
      </c>
      <c r="D647" s="1" t="s">
        <v>1173</v>
      </c>
    </row>
    <row r="648" spans="1:4" x14ac:dyDescent="0.35">
      <c r="A648" s="1">
        <v>4008247</v>
      </c>
      <c r="B648" s="1" t="s">
        <v>1174</v>
      </c>
      <c r="C648" s="1">
        <v>10050108</v>
      </c>
      <c r="D648" s="1" t="s">
        <v>1173</v>
      </c>
    </row>
    <row r="649" spans="1:4" x14ac:dyDescent="0.35">
      <c r="A649" s="1">
        <v>4008248</v>
      </c>
      <c r="B649" s="1" t="s">
        <v>1174</v>
      </c>
      <c r="C649" s="1">
        <v>10030703</v>
      </c>
      <c r="D649" s="1" t="s">
        <v>1173</v>
      </c>
    </row>
    <row r="650" spans="1:4" x14ac:dyDescent="0.35">
      <c r="A650" s="1">
        <v>4008253</v>
      </c>
      <c r="B650" s="1" t="s">
        <v>1174</v>
      </c>
      <c r="C650" s="1">
        <v>10050103</v>
      </c>
      <c r="D650" s="1" t="s">
        <v>1173</v>
      </c>
    </row>
    <row r="651" spans="1:4" x14ac:dyDescent="0.35">
      <c r="A651" s="1">
        <v>4008254</v>
      </c>
      <c r="B651" s="1" t="s">
        <v>1174</v>
      </c>
      <c r="C651" s="1">
        <v>10050108</v>
      </c>
      <c r="D651" s="1" t="s">
        <v>1173</v>
      </c>
    </row>
    <row r="652" spans="1:4" x14ac:dyDescent="0.35">
      <c r="A652" s="1">
        <v>4008258</v>
      </c>
      <c r="B652" s="1" t="s">
        <v>1174</v>
      </c>
      <c r="C652" s="1">
        <v>10030904</v>
      </c>
      <c r="D652" s="1" t="s">
        <v>1173</v>
      </c>
    </row>
    <row r="653" spans="1:4" x14ac:dyDescent="0.35">
      <c r="A653" s="1">
        <v>4008259</v>
      </c>
      <c r="B653" s="1" t="s">
        <v>1174</v>
      </c>
      <c r="C653" s="1">
        <v>10050108</v>
      </c>
      <c r="D653" s="1" t="s">
        <v>1173</v>
      </c>
    </row>
    <row r="654" spans="1:4" x14ac:dyDescent="0.35">
      <c r="A654" s="1">
        <v>4008263</v>
      </c>
      <c r="B654" s="1" t="s">
        <v>1174</v>
      </c>
      <c r="C654" s="1">
        <v>10060499</v>
      </c>
      <c r="D654" s="1" t="s">
        <v>1173</v>
      </c>
    </row>
    <row r="655" spans="1:4" x14ac:dyDescent="0.35">
      <c r="A655" s="1">
        <v>4008265</v>
      </c>
      <c r="B655" s="1" t="s">
        <v>1174</v>
      </c>
      <c r="C655" s="1">
        <v>10050609</v>
      </c>
      <c r="D655" s="1" t="s">
        <v>1173</v>
      </c>
    </row>
    <row r="656" spans="1:4" x14ac:dyDescent="0.35">
      <c r="A656" s="1">
        <v>4008266</v>
      </c>
      <c r="B656" s="1" t="s">
        <v>1174</v>
      </c>
      <c r="C656" s="1">
        <v>10050609</v>
      </c>
      <c r="D656" s="1" t="s">
        <v>1173</v>
      </c>
    </row>
    <row r="657" spans="1:4" x14ac:dyDescent="0.35">
      <c r="A657" s="1">
        <v>4008267</v>
      </c>
      <c r="B657" s="1" t="s">
        <v>1174</v>
      </c>
      <c r="C657" s="1">
        <v>10050506</v>
      </c>
      <c r="D657" s="1" t="s">
        <v>1173</v>
      </c>
    </row>
    <row r="658" spans="1:4" x14ac:dyDescent="0.35">
      <c r="A658" s="1">
        <v>4008272</v>
      </c>
      <c r="B658" s="1" t="s">
        <v>1174</v>
      </c>
      <c r="C658" s="1">
        <v>10030903</v>
      </c>
      <c r="D658" s="1" t="s">
        <v>1173</v>
      </c>
    </row>
    <row r="659" spans="1:4" x14ac:dyDescent="0.35">
      <c r="A659" s="1">
        <v>4008274</v>
      </c>
      <c r="B659" s="1" t="s">
        <v>1174</v>
      </c>
      <c r="C659" s="1">
        <v>10050108</v>
      </c>
      <c r="D659" s="1" t="s">
        <v>1173</v>
      </c>
    </row>
    <row r="660" spans="1:4" x14ac:dyDescent="0.35">
      <c r="A660" s="1">
        <v>4008276</v>
      </c>
      <c r="B660" s="1" t="s">
        <v>1174</v>
      </c>
      <c r="C660" s="1">
        <v>10050103</v>
      </c>
      <c r="D660" s="1" t="s">
        <v>1173</v>
      </c>
    </row>
    <row r="661" spans="1:4" x14ac:dyDescent="0.35">
      <c r="A661" s="1">
        <v>4008277</v>
      </c>
      <c r="B661" s="1" t="s">
        <v>1174</v>
      </c>
      <c r="C661" s="1">
        <v>10060511</v>
      </c>
      <c r="D661" s="1" t="s">
        <v>1173</v>
      </c>
    </row>
    <row r="662" spans="1:4" x14ac:dyDescent="0.35">
      <c r="A662" s="1">
        <v>4008278</v>
      </c>
      <c r="B662" s="1" t="s">
        <v>1174</v>
      </c>
      <c r="C662" s="1">
        <v>10060511</v>
      </c>
      <c r="D662" s="1" t="s">
        <v>1173</v>
      </c>
    </row>
    <row r="663" spans="1:4" x14ac:dyDescent="0.35">
      <c r="A663" s="1">
        <v>4008279</v>
      </c>
      <c r="B663" s="1" t="s">
        <v>1174</v>
      </c>
      <c r="C663" s="1">
        <v>10060511</v>
      </c>
      <c r="D663" s="1" t="s">
        <v>1173</v>
      </c>
    </row>
    <row r="664" spans="1:4" x14ac:dyDescent="0.35">
      <c r="A664" s="1">
        <v>4008280</v>
      </c>
      <c r="B664" s="1" t="s">
        <v>1174</v>
      </c>
      <c r="C664" s="1">
        <v>10050103</v>
      </c>
      <c r="D664" s="1" t="s">
        <v>1173</v>
      </c>
    </row>
    <row r="665" spans="1:4" x14ac:dyDescent="0.35">
      <c r="A665" s="1">
        <v>4008289</v>
      </c>
      <c r="B665" s="1" t="s">
        <v>1174</v>
      </c>
      <c r="C665" s="1">
        <v>10030908</v>
      </c>
      <c r="D665" s="1" t="s">
        <v>1173</v>
      </c>
    </row>
    <row r="666" spans="1:4" x14ac:dyDescent="0.35">
      <c r="A666" s="1">
        <v>4008290</v>
      </c>
      <c r="B666" s="1" t="s">
        <v>1174</v>
      </c>
      <c r="C666" s="1">
        <v>10030908</v>
      </c>
      <c r="D666" s="1" t="s">
        <v>1173</v>
      </c>
    </row>
    <row r="667" spans="1:4" x14ac:dyDescent="0.35">
      <c r="A667" s="1">
        <v>4008291</v>
      </c>
      <c r="B667" s="1" t="s">
        <v>1174</v>
      </c>
      <c r="C667" s="1">
        <v>10030908</v>
      </c>
      <c r="D667" s="1" t="s">
        <v>1173</v>
      </c>
    </row>
    <row r="668" spans="1:4" x14ac:dyDescent="0.35">
      <c r="A668" s="1">
        <v>4008292</v>
      </c>
      <c r="B668" s="1" t="s">
        <v>1174</v>
      </c>
      <c r="C668" s="1">
        <v>10030908</v>
      </c>
      <c r="D668" s="1" t="s">
        <v>1173</v>
      </c>
    </row>
    <row r="669" spans="1:4" x14ac:dyDescent="0.35">
      <c r="A669" s="1">
        <v>4008295</v>
      </c>
      <c r="B669" s="1" t="s">
        <v>1174</v>
      </c>
      <c r="C669" s="1">
        <v>10050801</v>
      </c>
      <c r="D669" s="1" t="s">
        <v>1173</v>
      </c>
    </row>
    <row r="670" spans="1:4" x14ac:dyDescent="0.35">
      <c r="A670" s="1">
        <v>4008296</v>
      </c>
      <c r="B670" s="1" t="s">
        <v>1174</v>
      </c>
      <c r="C670" s="1">
        <v>10050801</v>
      </c>
      <c r="D670" s="1" t="s">
        <v>1179</v>
      </c>
    </row>
    <row r="671" spans="1:4" x14ac:dyDescent="0.35">
      <c r="A671" s="1">
        <v>4008297</v>
      </c>
      <c r="B671" s="1" t="s">
        <v>1174</v>
      </c>
      <c r="C671" s="1">
        <v>10050801</v>
      </c>
      <c r="D671" s="1" t="s">
        <v>1178</v>
      </c>
    </row>
    <row r="672" spans="1:4" x14ac:dyDescent="0.35">
      <c r="A672" s="1">
        <v>4008299</v>
      </c>
      <c r="B672" s="1" t="s">
        <v>1174</v>
      </c>
      <c r="C672" s="1">
        <v>10050801</v>
      </c>
      <c r="D672" s="1" t="s">
        <v>1175</v>
      </c>
    </row>
    <row r="673" spans="1:4" x14ac:dyDescent="0.35">
      <c r="A673" s="1">
        <v>4008307</v>
      </c>
      <c r="B673" s="1" t="s">
        <v>1174</v>
      </c>
      <c r="C673" s="1">
        <v>10060499</v>
      </c>
      <c r="D673" s="1" t="s">
        <v>1175</v>
      </c>
    </row>
    <row r="674" spans="1:4" x14ac:dyDescent="0.35">
      <c r="A674" s="1">
        <v>4008308</v>
      </c>
      <c r="B674" s="1" t="s">
        <v>1174</v>
      </c>
      <c r="C674" s="1">
        <v>10050601</v>
      </c>
      <c r="D674" s="1" t="s">
        <v>1173</v>
      </c>
    </row>
    <row r="675" spans="1:4" x14ac:dyDescent="0.35">
      <c r="A675" s="1">
        <v>4008314</v>
      </c>
      <c r="B675" s="1" t="s">
        <v>1174</v>
      </c>
      <c r="C675" s="1">
        <v>10050603</v>
      </c>
      <c r="D675" s="1" t="s">
        <v>1173</v>
      </c>
    </row>
    <row r="676" spans="1:4" x14ac:dyDescent="0.35">
      <c r="A676" s="1">
        <v>4008327</v>
      </c>
      <c r="B676" s="1" t="s">
        <v>1174</v>
      </c>
      <c r="C676" s="1">
        <v>10050603</v>
      </c>
      <c r="D676" s="1" t="s">
        <v>1173</v>
      </c>
    </row>
    <row r="677" spans="1:4" x14ac:dyDescent="0.35">
      <c r="A677" s="1">
        <v>4008328</v>
      </c>
      <c r="B677" s="1" t="s">
        <v>1174</v>
      </c>
      <c r="C677" s="1">
        <v>10030904</v>
      </c>
      <c r="D677" s="1" t="s">
        <v>1173</v>
      </c>
    </row>
    <row r="678" spans="1:4" x14ac:dyDescent="0.35">
      <c r="A678" s="1">
        <v>4008329</v>
      </c>
      <c r="B678" s="1" t="s">
        <v>1174</v>
      </c>
      <c r="C678" s="1">
        <v>10080301</v>
      </c>
      <c r="D678" s="1" t="s">
        <v>1173</v>
      </c>
    </row>
    <row r="679" spans="1:4" x14ac:dyDescent="0.35">
      <c r="A679" s="1">
        <v>4008330</v>
      </c>
      <c r="B679" s="1" t="s">
        <v>1174</v>
      </c>
      <c r="C679" s="1">
        <v>10080301</v>
      </c>
      <c r="D679" s="1" t="s">
        <v>1173</v>
      </c>
    </row>
    <row r="680" spans="1:4" x14ac:dyDescent="0.35">
      <c r="A680" s="1">
        <v>4008333</v>
      </c>
      <c r="B680" s="1" t="s">
        <v>1174</v>
      </c>
      <c r="C680" s="1">
        <v>10050603</v>
      </c>
      <c r="D680" s="1" t="s">
        <v>1175</v>
      </c>
    </row>
    <row r="681" spans="1:4" x14ac:dyDescent="0.35">
      <c r="A681" s="1">
        <v>4008334</v>
      </c>
      <c r="B681" s="1" t="s">
        <v>1174</v>
      </c>
      <c r="C681" s="1">
        <v>10050801</v>
      </c>
      <c r="D681" s="1" t="s">
        <v>1178</v>
      </c>
    </row>
    <row r="682" spans="1:4" x14ac:dyDescent="0.35">
      <c r="A682" s="1">
        <v>4008335</v>
      </c>
      <c r="B682" s="1" t="s">
        <v>1174</v>
      </c>
      <c r="C682" s="1">
        <v>10030904</v>
      </c>
      <c r="D682" s="1" t="s">
        <v>1173</v>
      </c>
    </row>
    <row r="683" spans="1:4" x14ac:dyDescent="0.35">
      <c r="A683" s="1">
        <v>4008336</v>
      </c>
      <c r="B683" s="1" t="s">
        <v>1174</v>
      </c>
      <c r="C683" s="1">
        <v>10030904</v>
      </c>
      <c r="D683" s="1" t="s">
        <v>1173</v>
      </c>
    </row>
    <row r="684" spans="1:4" x14ac:dyDescent="0.35">
      <c r="A684" s="1">
        <v>4008337</v>
      </c>
      <c r="B684" s="1" t="s">
        <v>1174</v>
      </c>
      <c r="C684" s="1">
        <v>10030904</v>
      </c>
      <c r="D684" s="1" t="s">
        <v>1173</v>
      </c>
    </row>
    <row r="685" spans="1:4" x14ac:dyDescent="0.35">
      <c r="A685" s="1">
        <v>4008338</v>
      </c>
      <c r="B685" s="1" t="s">
        <v>1174</v>
      </c>
      <c r="C685" s="1">
        <v>10050506</v>
      </c>
      <c r="D685" s="1" t="s">
        <v>1173</v>
      </c>
    </row>
    <row r="686" spans="1:4" x14ac:dyDescent="0.35">
      <c r="A686" s="1">
        <v>4008339</v>
      </c>
      <c r="B686" s="1" t="s">
        <v>1174</v>
      </c>
      <c r="C686" s="1">
        <v>10050801</v>
      </c>
      <c r="D686" s="1" t="s">
        <v>1173</v>
      </c>
    </row>
    <row r="687" spans="1:4" x14ac:dyDescent="0.35">
      <c r="A687" s="1">
        <v>4008340</v>
      </c>
      <c r="B687" s="1" t="s">
        <v>1174</v>
      </c>
      <c r="C687" s="1">
        <v>10030904</v>
      </c>
      <c r="D687" s="1" t="s">
        <v>1173</v>
      </c>
    </row>
    <row r="688" spans="1:4" x14ac:dyDescent="0.35">
      <c r="A688" s="1">
        <v>4008342</v>
      </c>
      <c r="B688" s="1" t="s">
        <v>1174</v>
      </c>
      <c r="C688" s="1">
        <v>10050603</v>
      </c>
      <c r="D688" s="1" t="s">
        <v>1173</v>
      </c>
    </row>
    <row r="689" spans="1:4" x14ac:dyDescent="0.35">
      <c r="A689" s="1">
        <v>4008343</v>
      </c>
      <c r="B689" s="1" t="s">
        <v>1174</v>
      </c>
      <c r="C689" s="1">
        <v>10050801</v>
      </c>
      <c r="D689" s="1" t="s">
        <v>1173</v>
      </c>
    </row>
    <row r="690" spans="1:4" x14ac:dyDescent="0.35">
      <c r="A690" s="1">
        <v>4008345</v>
      </c>
      <c r="B690" s="1" t="s">
        <v>1174</v>
      </c>
      <c r="C690" s="1">
        <v>10060510</v>
      </c>
      <c r="D690" s="1" t="s">
        <v>1178</v>
      </c>
    </row>
    <row r="691" spans="1:4" x14ac:dyDescent="0.35">
      <c r="A691" s="1">
        <v>4008346</v>
      </c>
      <c r="B691" s="1" t="s">
        <v>1174</v>
      </c>
      <c r="C691" s="1">
        <v>10050801</v>
      </c>
      <c r="D691" s="1" t="s">
        <v>1173</v>
      </c>
    </row>
    <row r="692" spans="1:4" x14ac:dyDescent="0.35">
      <c r="A692" s="1">
        <v>4008347</v>
      </c>
      <c r="B692" s="1" t="s">
        <v>1174</v>
      </c>
      <c r="C692" s="1">
        <v>10050801</v>
      </c>
      <c r="D692" s="1" t="s">
        <v>1173</v>
      </c>
    </row>
    <row r="693" spans="1:4" x14ac:dyDescent="0.35">
      <c r="A693" s="1">
        <v>4008354</v>
      </c>
      <c r="B693" s="1" t="s">
        <v>1174</v>
      </c>
      <c r="C693" s="1">
        <v>10050108</v>
      </c>
      <c r="D693" s="1" t="s">
        <v>1173</v>
      </c>
    </row>
    <row r="694" spans="1:4" x14ac:dyDescent="0.35">
      <c r="A694" s="1">
        <v>4008377</v>
      </c>
      <c r="B694" s="1" t="s">
        <v>1174</v>
      </c>
      <c r="C694" s="1">
        <v>10050108</v>
      </c>
      <c r="D694" s="1" t="s">
        <v>1173</v>
      </c>
    </row>
    <row r="695" spans="1:4" x14ac:dyDescent="0.35">
      <c r="A695" s="1">
        <v>4008378</v>
      </c>
      <c r="B695" s="1" t="s">
        <v>1174</v>
      </c>
      <c r="C695" s="1">
        <v>10050108</v>
      </c>
      <c r="D695" s="1" t="s">
        <v>1173</v>
      </c>
    </row>
    <row r="696" spans="1:4" x14ac:dyDescent="0.35">
      <c r="A696" s="1">
        <v>4008379</v>
      </c>
      <c r="B696" s="1" t="s">
        <v>1174</v>
      </c>
      <c r="C696" s="1">
        <v>10050108</v>
      </c>
      <c r="D696" s="1" t="s">
        <v>1173</v>
      </c>
    </row>
    <row r="697" spans="1:4" x14ac:dyDescent="0.35">
      <c r="A697" s="1">
        <v>4008380</v>
      </c>
      <c r="B697" s="1" t="s">
        <v>1174</v>
      </c>
      <c r="C697" s="1">
        <v>10050108</v>
      </c>
      <c r="D697" s="1" t="s">
        <v>1173</v>
      </c>
    </row>
    <row r="698" spans="1:4" x14ac:dyDescent="0.35">
      <c r="A698" s="1">
        <v>4008387</v>
      </c>
      <c r="B698" s="1" t="s">
        <v>1174</v>
      </c>
      <c r="C698" s="1">
        <v>10050104</v>
      </c>
      <c r="D698" s="1" t="s">
        <v>1173</v>
      </c>
    </row>
    <row r="699" spans="1:4" x14ac:dyDescent="0.35">
      <c r="A699" s="1">
        <v>4008388</v>
      </c>
      <c r="B699" s="1" t="s">
        <v>1174</v>
      </c>
      <c r="C699" s="1">
        <v>10050108</v>
      </c>
      <c r="D699" s="1" t="s">
        <v>1173</v>
      </c>
    </row>
    <row r="700" spans="1:4" x14ac:dyDescent="0.35">
      <c r="A700" s="1">
        <v>4008411</v>
      </c>
      <c r="B700" s="1" t="s">
        <v>1174</v>
      </c>
      <c r="C700" s="1">
        <v>10050103</v>
      </c>
      <c r="D700" s="1" t="s">
        <v>1173</v>
      </c>
    </row>
    <row r="701" spans="1:4" x14ac:dyDescent="0.35">
      <c r="A701" s="1">
        <v>4008412</v>
      </c>
      <c r="B701" s="1" t="s">
        <v>1174</v>
      </c>
      <c r="C701" s="1">
        <v>10040101</v>
      </c>
      <c r="D701" s="1" t="s">
        <v>1173</v>
      </c>
    </row>
    <row r="702" spans="1:4" x14ac:dyDescent="0.35">
      <c r="A702" s="1">
        <v>4008413</v>
      </c>
      <c r="B702" s="1" t="s">
        <v>1174</v>
      </c>
      <c r="C702" s="1">
        <v>10050404</v>
      </c>
      <c r="D702" s="1" t="s">
        <v>1173</v>
      </c>
    </row>
    <row r="703" spans="1:4" x14ac:dyDescent="0.35">
      <c r="A703" s="1">
        <v>4008414</v>
      </c>
      <c r="B703" s="1" t="s">
        <v>1174</v>
      </c>
      <c r="C703" s="1">
        <v>10060107</v>
      </c>
      <c r="D703" s="1" t="s">
        <v>1173</v>
      </c>
    </row>
    <row r="704" spans="1:4" x14ac:dyDescent="0.35">
      <c r="A704" s="1">
        <v>4008419</v>
      </c>
      <c r="B704" s="1" t="s">
        <v>1174</v>
      </c>
      <c r="C704" s="1">
        <v>10060502</v>
      </c>
      <c r="D704" s="1" t="s">
        <v>1173</v>
      </c>
    </row>
    <row r="705" spans="1:4" x14ac:dyDescent="0.35">
      <c r="A705" s="1">
        <v>4008431</v>
      </c>
      <c r="B705" s="1" t="s">
        <v>1174</v>
      </c>
      <c r="C705" s="1">
        <v>10050801</v>
      </c>
      <c r="D705" s="1" t="s">
        <v>1178</v>
      </c>
    </row>
    <row r="706" spans="1:4" x14ac:dyDescent="0.35">
      <c r="A706" s="1">
        <v>4008432</v>
      </c>
      <c r="B706" s="1" t="s">
        <v>1174</v>
      </c>
      <c r="C706" s="1">
        <v>10060502</v>
      </c>
      <c r="D706" s="1" t="s">
        <v>1173</v>
      </c>
    </row>
    <row r="707" spans="1:4" x14ac:dyDescent="0.35">
      <c r="A707" s="1">
        <v>4008436</v>
      </c>
      <c r="B707" s="1" t="s">
        <v>1174</v>
      </c>
      <c r="C707" s="1">
        <v>10080401</v>
      </c>
      <c r="D707" s="1" t="s">
        <v>1173</v>
      </c>
    </row>
    <row r="708" spans="1:4" x14ac:dyDescent="0.35">
      <c r="A708" s="1">
        <v>4008438</v>
      </c>
      <c r="B708" s="1" t="s">
        <v>1174</v>
      </c>
      <c r="C708" s="1">
        <v>10030899</v>
      </c>
      <c r="D708" s="1" t="s">
        <v>1173</v>
      </c>
    </row>
    <row r="709" spans="1:4" x14ac:dyDescent="0.35">
      <c r="A709" s="1">
        <v>4008439</v>
      </c>
      <c r="B709" s="1" t="s">
        <v>1174</v>
      </c>
      <c r="C709" s="1">
        <v>10030899</v>
      </c>
      <c r="D709" s="1" t="s">
        <v>1173</v>
      </c>
    </row>
    <row r="710" spans="1:4" x14ac:dyDescent="0.35">
      <c r="A710" s="1">
        <v>4008440</v>
      </c>
      <c r="B710" s="1" t="s">
        <v>1174</v>
      </c>
      <c r="C710" s="1">
        <v>10060502</v>
      </c>
      <c r="D710" s="1" t="s">
        <v>1173</v>
      </c>
    </row>
    <row r="711" spans="1:4" x14ac:dyDescent="0.35">
      <c r="A711" s="1">
        <v>4008441</v>
      </c>
      <c r="B711" s="1" t="s">
        <v>1174</v>
      </c>
      <c r="C711" s="1">
        <v>10060502</v>
      </c>
      <c r="D711" s="1" t="s">
        <v>1173</v>
      </c>
    </row>
    <row r="712" spans="1:4" x14ac:dyDescent="0.35">
      <c r="A712" s="1">
        <v>4008446</v>
      </c>
      <c r="B712" s="1" t="s">
        <v>1174</v>
      </c>
      <c r="C712" s="1">
        <v>10030903</v>
      </c>
      <c r="D712" s="1" t="s">
        <v>1173</v>
      </c>
    </row>
    <row r="713" spans="1:4" x14ac:dyDescent="0.35">
      <c r="A713" s="1">
        <v>4008447</v>
      </c>
      <c r="B713" s="1" t="s">
        <v>1174</v>
      </c>
      <c r="C713" s="1">
        <v>10030908</v>
      </c>
      <c r="D713" s="1" t="s">
        <v>1173</v>
      </c>
    </row>
    <row r="714" spans="1:4" x14ac:dyDescent="0.35">
      <c r="A714" s="1">
        <v>4008448</v>
      </c>
      <c r="B714" s="1" t="s">
        <v>1174</v>
      </c>
      <c r="C714" s="1">
        <v>10030908</v>
      </c>
      <c r="D714" s="1" t="s">
        <v>1173</v>
      </c>
    </row>
    <row r="715" spans="1:4" x14ac:dyDescent="0.35">
      <c r="A715" s="1">
        <v>4008449</v>
      </c>
      <c r="B715" s="1" t="s">
        <v>1174</v>
      </c>
      <c r="C715" s="1">
        <v>10030908</v>
      </c>
      <c r="D715" s="1" t="s">
        <v>1173</v>
      </c>
    </row>
    <row r="716" spans="1:4" x14ac:dyDescent="0.35">
      <c r="A716" s="1">
        <v>4008450</v>
      </c>
      <c r="B716" s="1" t="s">
        <v>1174</v>
      </c>
      <c r="C716" s="1">
        <v>10030908</v>
      </c>
      <c r="D716" s="1" t="s">
        <v>1173</v>
      </c>
    </row>
    <row r="717" spans="1:4" x14ac:dyDescent="0.35">
      <c r="A717" s="1">
        <v>4008451</v>
      </c>
      <c r="B717" s="1" t="s">
        <v>1174</v>
      </c>
      <c r="C717" s="1">
        <v>10030908</v>
      </c>
      <c r="D717" s="1" t="s">
        <v>1173</v>
      </c>
    </row>
    <row r="718" spans="1:4" x14ac:dyDescent="0.35">
      <c r="A718" s="1">
        <v>4008452</v>
      </c>
      <c r="B718" s="1" t="s">
        <v>1174</v>
      </c>
      <c r="C718" s="1">
        <v>10030908</v>
      </c>
      <c r="D718" s="1" t="s">
        <v>1173</v>
      </c>
    </row>
    <row r="719" spans="1:4" x14ac:dyDescent="0.35">
      <c r="A719" s="1">
        <v>4008453</v>
      </c>
      <c r="B719" s="1" t="s">
        <v>1174</v>
      </c>
      <c r="C719" s="1">
        <v>10030908</v>
      </c>
      <c r="D719" s="1" t="s">
        <v>1173</v>
      </c>
    </row>
    <row r="720" spans="1:4" x14ac:dyDescent="0.35">
      <c r="A720" s="1">
        <v>4008454</v>
      </c>
      <c r="B720" s="1" t="s">
        <v>1174</v>
      </c>
      <c r="C720" s="1">
        <v>10030908</v>
      </c>
      <c r="D720" s="1" t="s">
        <v>1173</v>
      </c>
    </row>
    <row r="721" spans="1:4" x14ac:dyDescent="0.35">
      <c r="A721" s="1">
        <v>4008455</v>
      </c>
      <c r="B721" s="1" t="s">
        <v>1174</v>
      </c>
      <c r="C721" s="1">
        <v>10030908</v>
      </c>
      <c r="D721" s="1" t="s">
        <v>1173</v>
      </c>
    </row>
    <row r="722" spans="1:4" x14ac:dyDescent="0.35">
      <c r="A722" s="1">
        <v>4008456</v>
      </c>
      <c r="B722" s="1" t="s">
        <v>1174</v>
      </c>
      <c r="C722" s="1">
        <v>10030908</v>
      </c>
      <c r="D722" s="1" t="s">
        <v>1173</v>
      </c>
    </row>
    <row r="723" spans="1:4" x14ac:dyDescent="0.35">
      <c r="A723" s="1">
        <v>4008457</v>
      </c>
      <c r="B723" s="1" t="s">
        <v>1174</v>
      </c>
      <c r="C723" s="1">
        <v>10030908</v>
      </c>
      <c r="D723" s="1" t="s">
        <v>1173</v>
      </c>
    </row>
    <row r="724" spans="1:4" x14ac:dyDescent="0.35">
      <c r="A724" s="1">
        <v>4008458</v>
      </c>
      <c r="B724" s="1" t="s">
        <v>1174</v>
      </c>
      <c r="C724" s="1">
        <v>10030908</v>
      </c>
      <c r="D724" s="1" t="s">
        <v>1173</v>
      </c>
    </row>
    <row r="725" spans="1:4" x14ac:dyDescent="0.35">
      <c r="A725" s="1">
        <v>4008459</v>
      </c>
      <c r="B725" s="1" t="s">
        <v>1174</v>
      </c>
      <c r="C725" s="1">
        <v>10030908</v>
      </c>
      <c r="D725" s="1" t="s">
        <v>1173</v>
      </c>
    </row>
    <row r="726" spans="1:4" x14ac:dyDescent="0.35">
      <c r="A726" s="1">
        <v>4008460</v>
      </c>
      <c r="B726" s="1" t="s">
        <v>1174</v>
      </c>
      <c r="C726" s="1">
        <v>10030908</v>
      </c>
      <c r="D726" s="1" t="s">
        <v>1173</v>
      </c>
    </row>
    <row r="727" spans="1:4" x14ac:dyDescent="0.35">
      <c r="A727" s="1">
        <v>4008461</v>
      </c>
      <c r="B727" s="1" t="s">
        <v>1174</v>
      </c>
      <c r="C727" s="1">
        <v>10030908</v>
      </c>
      <c r="D727" s="1" t="s">
        <v>1173</v>
      </c>
    </row>
    <row r="728" spans="1:4" x14ac:dyDescent="0.35">
      <c r="A728" s="1">
        <v>4008462</v>
      </c>
      <c r="B728" s="1" t="s">
        <v>1174</v>
      </c>
      <c r="C728" s="1">
        <v>10030908</v>
      </c>
      <c r="D728" s="1" t="s">
        <v>1173</v>
      </c>
    </row>
    <row r="729" spans="1:4" x14ac:dyDescent="0.35">
      <c r="A729" s="1">
        <v>4008463</v>
      </c>
      <c r="B729" s="1" t="s">
        <v>1174</v>
      </c>
      <c r="C729" s="1">
        <v>10030908</v>
      </c>
      <c r="D729" s="1" t="s">
        <v>1173</v>
      </c>
    </row>
    <row r="730" spans="1:4" x14ac:dyDescent="0.35">
      <c r="A730" s="1">
        <v>4008464</v>
      </c>
      <c r="B730" s="1" t="s">
        <v>1174</v>
      </c>
      <c r="C730" s="1">
        <v>10030908</v>
      </c>
      <c r="D730" s="1" t="s">
        <v>1173</v>
      </c>
    </row>
    <row r="731" spans="1:4" x14ac:dyDescent="0.35">
      <c r="A731" s="1">
        <v>4008465</v>
      </c>
      <c r="B731" s="1" t="s">
        <v>1174</v>
      </c>
      <c r="C731" s="1">
        <v>10040106</v>
      </c>
      <c r="D731" s="1" t="s">
        <v>1173</v>
      </c>
    </row>
    <row r="732" spans="1:4" x14ac:dyDescent="0.35">
      <c r="A732" s="1">
        <v>4008466</v>
      </c>
      <c r="B732" s="1" t="s">
        <v>1174</v>
      </c>
      <c r="C732" s="1">
        <v>10040106</v>
      </c>
      <c r="D732" s="1" t="s">
        <v>1173</v>
      </c>
    </row>
    <row r="733" spans="1:4" x14ac:dyDescent="0.35">
      <c r="A733" s="1">
        <v>4008467</v>
      </c>
      <c r="B733" s="1" t="s">
        <v>1174</v>
      </c>
      <c r="C733" s="1">
        <v>10050608</v>
      </c>
      <c r="D733" s="1" t="s">
        <v>1175</v>
      </c>
    </row>
    <row r="734" spans="1:4" x14ac:dyDescent="0.35">
      <c r="A734" s="1">
        <v>4008468</v>
      </c>
      <c r="B734" s="1" t="s">
        <v>1174</v>
      </c>
      <c r="C734" s="1">
        <v>10050608</v>
      </c>
      <c r="D734" s="1" t="s">
        <v>1175</v>
      </c>
    </row>
    <row r="735" spans="1:4" x14ac:dyDescent="0.35">
      <c r="A735" s="1">
        <v>4008469</v>
      </c>
      <c r="B735" s="1" t="s">
        <v>1174</v>
      </c>
      <c r="C735" s="1">
        <v>10050608</v>
      </c>
      <c r="D735" s="1" t="s">
        <v>1175</v>
      </c>
    </row>
    <row r="736" spans="1:4" x14ac:dyDescent="0.35">
      <c r="A736" s="1">
        <v>4008470</v>
      </c>
      <c r="B736" s="1" t="s">
        <v>1174</v>
      </c>
      <c r="C736" s="1">
        <v>10050801</v>
      </c>
      <c r="D736" s="1" t="s">
        <v>1179</v>
      </c>
    </row>
    <row r="737" spans="1:4" x14ac:dyDescent="0.35">
      <c r="A737" s="1">
        <v>4008471</v>
      </c>
      <c r="B737" s="1" t="s">
        <v>1174</v>
      </c>
      <c r="C737" s="1">
        <v>10050801</v>
      </c>
      <c r="D737" s="1" t="s">
        <v>1173</v>
      </c>
    </row>
    <row r="738" spans="1:4" x14ac:dyDescent="0.35">
      <c r="A738" s="1">
        <v>4008472</v>
      </c>
      <c r="B738" s="1" t="s">
        <v>1174</v>
      </c>
      <c r="C738" s="1">
        <v>10050608</v>
      </c>
      <c r="D738" s="1" t="s">
        <v>1175</v>
      </c>
    </row>
    <row r="739" spans="1:4" x14ac:dyDescent="0.35">
      <c r="A739" s="1">
        <v>4008473</v>
      </c>
      <c r="B739" s="1" t="s">
        <v>1174</v>
      </c>
      <c r="C739" s="1">
        <v>10060499</v>
      </c>
      <c r="D739" s="1" t="s">
        <v>1173</v>
      </c>
    </row>
    <row r="740" spans="1:4" x14ac:dyDescent="0.35">
      <c r="A740" s="1">
        <v>4008474</v>
      </c>
      <c r="B740" s="1" t="s">
        <v>1174</v>
      </c>
      <c r="C740" s="1">
        <v>10060499</v>
      </c>
      <c r="D740" s="1" t="s">
        <v>1173</v>
      </c>
    </row>
    <row r="741" spans="1:4" x14ac:dyDescent="0.35">
      <c r="A741" s="1">
        <v>4008475</v>
      </c>
      <c r="B741" s="1" t="s">
        <v>1174</v>
      </c>
      <c r="C741" s="1">
        <v>10050701</v>
      </c>
      <c r="D741" s="1" t="s">
        <v>1173</v>
      </c>
    </row>
    <row r="742" spans="1:4" x14ac:dyDescent="0.35">
      <c r="A742" s="1">
        <v>4008476</v>
      </c>
      <c r="B742" s="1" t="s">
        <v>1174</v>
      </c>
      <c r="C742" s="1">
        <v>10060499</v>
      </c>
      <c r="D742" s="1" t="s">
        <v>1173</v>
      </c>
    </row>
    <row r="743" spans="1:4" x14ac:dyDescent="0.35">
      <c r="A743" s="1">
        <v>4008477</v>
      </c>
      <c r="B743" s="1" t="s">
        <v>1174</v>
      </c>
      <c r="C743" s="1">
        <v>10050108</v>
      </c>
      <c r="D743" s="1" t="s">
        <v>1173</v>
      </c>
    </row>
    <row r="744" spans="1:4" x14ac:dyDescent="0.35">
      <c r="A744" s="1">
        <v>4008481</v>
      </c>
      <c r="B744" s="1" t="s">
        <v>1174</v>
      </c>
      <c r="C744" s="1">
        <v>10050801</v>
      </c>
      <c r="D744" s="1" t="s">
        <v>1178</v>
      </c>
    </row>
    <row r="745" spans="1:4" x14ac:dyDescent="0.35">
      <c r="A745" s="1">
        <v>4008483</v>
      </c>
      <c r="B745" s="1" t="s">
        <v>1174</v>
      </c>
      <c r="C745" s="1">
        <v>10030908</v>
      </c>
      <c r="D745" s="1" t="s">
        <v>1177</v>
      </c>
    </row>
    <row r="746" spans="1:4" x14ac:dyDescent="0.35">
      <c r="A746" s="1">
        <v>4008484</v>
      </c>
      <c r="B746" s="1" t="s">
        <v>1174</v>
      </c>
      <c r="C746" s="1">
        <v>10030908</v>
      </c>
      <c r="D746" s="1" t="s">
        <v>1177</v>
      </c>
    </row>
    <row r="747" spans="1:4" x14ac:dyDescent="0.35">
      <c r="A747" s="1">
        <v>4008490</v>
      </c>
      <c r="B747" s="1" t="s">
        <v>1174</v>
      </c>
      <c r="C747" s="1">
        <v>10050104</v>
      </c>
      <c r="D747" s="1" t="s">
        <v>1175</v>
      </c>
    </row>
    <row r="748" spans="1:4" x14ac:dyDescent="0.35">
      <c r="A748" s="1">
        <v>4008494</v>
      </c>
      <c r="B748" s="1" t="s">
        <v>1174</v>
      </c>
      <c r="C748" s="1">
        <v>10050404</v>
      </c>
      <c r="D748" s="1" t="s">
        <v>1173</v>
      </c>
    </row>
    <row r="749" spans="1:4" x14ac:dyDescent="0.35">
      <c r="A749" s="1">
        <v>4008506</v>
      </c>
      <c r="B749" s="1" t="s">
        <v>1174</v>
      </c>
      <c r="C749" s="1">
        <v>10050604</v>
      </c>
      <c r="D749" s="1" t="s">
        <v>1180</v>
      </c>
    </row>
    <row r="750" spans="1:4" x14ac:dyDescent="0.35">
      <c r="A750" s="1">
        <v>4008507</v>
      </c>
      <c r="B750" s="1" t="s">
        <v>1174</v>
      </c>
      <c r="C750" s="1">
        <v>10050604</v>
      </c>
      <c r="D750" s="1" t="s">
        <v>1180</v>
      </c>
    </row>
    <row r="751" spans="1:4" x14ac:dyDescent="0.35">
      <c r="A751" s="1">
        <v>4008508</v>
      </c>
      <c r="B751" s="1" t="s">
        <v>1174</v>
      </c>
      <c r="C751" s="1">
        <v>10050604</v>
      </c>
      <c r="D751" s="1" t="s">
        <v>1180</v>
      </c>
    </row>
    <row r="752" spans="1:4" x14ac:dyDescent="0.35">
      <c r="A752" s="1">
        <v>4008509</v>
      </c>
      <c r="B752" s="1" t="s">
        <v>1174</v>
      </c>
      <c r="C752" s="1">
        <v>10050604</v>
      </c>
      <c r="D752" s="1" t="s">
        <v>1180</v>
      </c>
    </row>
    <row r="753" spans="1:4" x14ac:dyDescent="0.35">
      <c r="A753" s="1">
        <v>4008511</v>
      </c>
      <c r="B753" s="1" t="s">
        <v>1174</v>
      </c>
      <c r="C753" s="1">
        <v>10060103</v>
      </c>
      <c r="D753" s="1" t="s">
        <v>1173</v>
      </c>
    </row>
    <row r="754" spans="1:4" x14ac:dyDescent="0.35">
      <c r="A754" s="1">
        <v>4008530</v>
      </c>
      <c r="B754" s="1" t="s">
        <v>1174</v>
      </c>
      <c r="C754" s="1">
        <v>10060102</v>
      </c>
      <c r="D754" s="1" t="s">
        <v>1173</v>
      </c>
    </row>
    <row r="755" spans="1:4" x14ac:dyDescent="0.35">
      <c r="A755" s="1">
        <v>4008555</v>
      </c>
      <c r="B755" s="1" t="s">
        <v>1174</v>
      </c>
      <c r="C755" s="1">
        <v>10050506</v>
      </c>
      <c r="D755" s="1" t="s">
        <v>1173</v>
      </c>
    </row>
    <row r="756" spans="1:4" x14ac:dyDescent="0.35">
      <c r="A756" s="1">
        <v>4008556</v>
      </c>
      <c r="B756" s="1" t="s">
        <v>1174</v>
      </c>
      <c r="C756" s="1">
        <v>10050701</v>
      </c>
      <c r="D756" s="1" t="s">
        <v>1173</v>
      </c>
    </row>
    <row r="757" spans="1:4" x14ac:dyDescent="0.35">
      <c r="A757" s="1">
        <v>4008559</v>
      </c>
      <c r="B757" s="1" t="s">
        <v>1174</v>
      </c>
      <c r="C757" s="1">
        <v>10030903</v>
      </c>
      <c r="D757" s="1" t="s">
        <v>1173</v>
      </c>
    </row>
    <row r="758" spans="1:4" x14ac:dyDescent="0.35">
      <c r="A758" s="1">
        <v>4008583</v>
      </c>
      <c r="B758" s="1" t="s">
        <v>1174</v>
      </c>
      <c r="C758" s="1">
        <v>10050801</v>
      </c>
      <c r="D758" s="1" t="s">
        <v>1173</v>
      </c>
    </row>
    <row r="759" spans="1:4" x14ac:dyDescent="0.35">
      <c r="A759" s="1">
        <v>4008589</v>
      </c>
      <c r="B759" s="1" t="s">
        <v>1174</v>
      </c>
      <c r="C759" s="1">
        <v>10050504</v>
      </c>
      <c r="D759" s="1" t="s">
        <v>1173</v>
      </c>
    </row>
    <row r="760" spans="1:4" x14ac:dyDescent="0.35">
      <c r="A760" s="1">
        <v>4008609</v>
      </c>
      <c r="B760" s="1" t="s">
        <v>1174</v>
      </c>
      <c r="C760" s="1">
        <v>10030908</v>
      </c>
      <c r="D760" s="1" t="s">
        <v>1173</v>
      </c>
    </row>
    <row r="761" spans="1:4" x14ac:dyDescent="0.35">
      <c r="A761" s="1">
        <v>4008615</v>
      </c>
      <c r="B761" s="1" t="s">
        <v>1174</v>
      </c>
      <c r="C761" s="1">
        <v>10060102</v>
      </c>
      <c r="D761" s="1" t="s">
        <v>1173</v>
      </c>
    </row>
    <row r="762" spans="1:4" x14ac:dyDescent="0.35">
      <c r="A762" s="1">
        <v>4009078</v>
      </c>
      <c r="B762" s="1" t="s">
        <v>1174</v>
      </c>
      <c r="C762" s="1">
        <v>10050505</v>
      </c>
      <c r="D762" s="1" t="s">
        <v>1173</v>
      </c>
    </row>
    <row r="763" spans="1:4" x14ac:dyDescent="0.35">
      <c r="A763" s="1">
        <v>4009081</v>
      </c>
      <c r="B763" s="1" t="s">
        <v>1174</v>
      </c>
      <c r="C763" s="1">
        <v>10030703</v>
      </c>
      <c r="D763" s="1" t="s">
        <v>1175</v>
      </c>
    </row>
    <row r="764" spans="1:4" x14ac:dyDescent="0.35">
      <c r="A764" s="1">
        <v>4009082</v>
      </c>
      <c r="B764" s="1" t="s">
        <v>1174</v>
      </c>
      <c r="C764" s="1">
        <v>10030101</v>
      </c>
      <c r="D764" s="1" t="s">
        <v>1173</v>
      </c>
    </row>
    <row r="765" spans="1:4" x14ac:dyDescent="0.35">
      <c r="A765" s="1">
        <v>4009084</v>
      </c>
      <c r="B765" s="1" t="s">
        <v>1174</v>
      </c>
      <c r="C765" s="1">
        <v>10050103</v>
      </c>
      <c r="D765" s="1" t="s">
        <v>1173</v>
      </c>
    </row>
    <row r="766" spans="1:4" x14ac:dyDescent="0.35">
      <c r="A766" s="1">
        <v>4009085</v>
      </c>
      <c r="B766" s="1" t="s">
        <v>1174</v>
      </c>
      <c r="C766" s="1">
        <v>10050609</v>
      </c>
      <c r="D766" s="1" t="s">
        <v>1173</v>
      </c>
    </row>
    <row r="767" spans="1:4" x14ac:dyDescent="0.35">
      <c r="A767" s="1">
        <v>4009086</v>
      </c>
      <c r="B767" s="1" t="s">
        <v>1174</v>
      </c>
      <c r="C767" s="1">
        <v>10030906</v>
      </c>
      <c r="D767" s="1" t="s">
        <v>1179</v>
      </c>
    </row>
    <row r="768" spans="1:4" x14ac:dyDescent="0.35">
      <c r="A768" s="1">
        <v>4009089</v>
      </c>
      <c r="B768" s="1" t="s">
        <v>1174</v>
      </c>
      <c r="C768" s="1">
        <v>10050404</v>
      </c>
      <c r="D768" s="1" t="s">
        <v>1173</v>
      </c>
    </row>
    <row r="769" spans="1:4" x14ac:dyDescent="0.35">
      <c r="A769" s="1">
        <v>4009091</v>
      </c>
      <c r="B769" s="1" t="s">
        <v>1174</v>
      </c>
      <c r="C769" s="1">
        <v>10050108</v>
      </c>
      <c r="D769" s="1" t="s">
        <v>1173</v>
      </c>
    </row>
    <row r="770" spans="1:4" x14ac:dyDescent="0.35">
      <c r="A770" s="1">
        <v>4009092</v>
      </c>
      <c r="B770" s="1" t="s">
        <v>1174</v>
      </c>
      <c r="C770" s="1">
        <v>10050602</v>
      </c>
      <c r="D770" s="1" t="s">
        <v>1173</v>
      </c>
    </row>
    <row r="771" spans="1:4" x14ac:dyDescent="0.35">
      <c r="A771" s="1">
        <v>4009221</v>
      </c>
      <c r="B771" s="1" t="s">
        <v>1174</v>
      </c>
      <c r="C771" s="1">
        <v>10050108</v>
      </c>
      <c r="D771" s="1" t="s">
        <v>1173</v>
      </c>
    </row>
    <row r="772" spans="1:4" x14ac:dyDescent="0.35">
      <c r="A772" s="1">
        <v>4009223</v>
      </c>
      <c r="B772" s="1" t="s">
        <v>1174</v>
      </c>
      <c r="C772" s="1">
        <v>10050108</v>
      </c>
      <c r="D772" s="1" t="s">
        <v>1173</v>
      </c>
    </row>
    <row r="773" spans="1:4" x14ac:dyDescent="0.35">
      <c r="A773" s="1">
        <v>4009225</v>
      </c>
      <c r="B773" s="1" t="s">
        <v>1174</v>
      </c>
      <c r="C773" s="1">
        <v>10050108</v>
      </c>
      <c r="D773" s="1" t="s">
        <v>1173</v>
      </c>
    </row>
    <row r="774" spans="1:4" x14ac:dyDescent="0.35">
      <c r="A774" s="1">
        <v>4009232</v>
      </c>
      <c r="B774" s="1" t="s">
        <v>1174</v>
      </c>
      <c r="C774" s="1">
        <v>10060107</v>
      </c>
      <c r="D774" s="1" t="s">
        <v>1175</v>
      </c>
    </row>
    <row r="775" spans="1:4" x14ac:dyDescent="0.35">
      <c r="A775" s="1">
        <v>4009249</v>
      </c>
      <c r="B775" s="1" t="s">
        <v>1174</v>
      </c>
      <c r="C775" s="1">
        <v>10050104</v>
      </c>
      <c r="D775" s="1" t="s">
        <v>1175</v>
      </c>
    </row>
    <row r="776" spans="1:4" x14ac:dyDescent="0.35">
      <c r="A776" s="1">
        <v>4009250</v>
      </c>
      <c r="B776" s="1" t="s">
        <v>1174</v>
      </c>
      <c r="C776" s="1">
        <v>10030903</v>
      </c>
      <c r="D776" s="1" t="s">
        <v>1173</v>
      </c>
    </row>
    <row r="777" spans="1:4" x14ac:dyDescent="0.35">
      <c r="A777" s="1">
        <v>4009251</v>
      </c>
      <c r="B777" s="1" t="s">
        <v>1174</v>
      </c>
      <c r="C777" s="1">
        <v>10050505</v>
      </c>
      <c r="D777" s="1" t="s">
        <v>1173</v>
      </c>
    </row>
    <row r="778" spans="1:4" x14ac:dyDescent="0.35">
      <c r="A778" s="1">
        <v>4009254</v>
      </c>
      <c r="B778" s="1" t="s">
        <v>1174</v>
      </c>
      <c r="C778" s="1">
        <v>10050609</v>
      </c>
      <c r="D778" s="1" t="s">
        <v>1173</v>
      </c>
    </row>
    <row r="779" spans="1:4" x14ac:dyDescent="0.35">
      <c r="A779" s="1">
        <v>4009255</v>
      </c>
      <c r="B779" s="1" t="s">
        <v>1174</v>
      </c>
      <c r="C779" s="1">
        <v>10060102</v>
      </c>
      <c r="D779" s="1" t="s">
        <v>1173</v>
      </c>
    </row>
    <row r="780" spans="1:4" x14ac:dyDescent="0.35">
      <c r="A780" s="1">
        <v>4009256</v>
      </c>
      <c r="B780" s="1" t="s">
        <v>1174</v>
      </c>
      <c r="C780" s="1">
        <v>10030506</v>
      </c>
      <c r="D780" s="1" t="s">
        <v>1173</v>
      </c>
    </row>
    <row r="781" spans="1:4" x14ac:dyDescent="0.35">
      <c r="A781" s="1">
        <v>4009257</v>
      </c>
      <c r="B781" s="1" t="s">
        <v>1174</v>
      </c>
      <c r="C781" s="1">
        <v>10030903</v>
      </c>
      <c r="D781" s="1" t="s">
        <v>1173</v>
      </c>
    </row>
    <row r="782" spans="1:4" x14ac:dyDescent="0.35">
      <c r="A782" s="1">
        <v>4009261</v>
      </c>
      <c r="B782" s="1" t="s">
        <v>1174</v>
      </c>
      <c r="C782" s="1">
        <v>10030907</v>
      </c>
      <c r="D782" s="1" t="s">
        <v>1173</v>
      </c>
    </row>
    <row r="783" spans="1:4" x14ac:dyDescent="0.35">
      <c r="A783" s="1">
        <v>4009476</v>
      </c>
      <c r="B783" s="1" t="s">
        <v>1174</v>
      </c>
      <c r="C783" s="1">
        <v>10050609</v>
      </c>
      <c r="D783" s="1" t="s">
        <v>1173</v>
      </c>
    </row>
    <row r="784" spans="1:4" x14ac:dyDescent="0.35">
      <c r="A784" s="1">
        <v>4009658</v>
      </c>
      <c r="B784" s="1" t="s">
        <v>1174</v>
      </c>
      <c r="C784" s="1">
        <v>10030905</v>
      </c>
      <c r="D784" s="1" t="s">
        <v>1173</v>
      </c>
    </row>
    <row r="785" spans="1:4" x14ac:dyDescent="0.35">
      <c r="A785" s="1">
        <v>4009675</v>
      </c>
      <c r="B785" s="1" t="s">
        <v>1174</v>
      </c>
      <c r="C785" s="1">
        <v>10030906</v>
      </c>
      <c r="D785" s="1" t="s">
        <v>1173</v>
      </c>
    </row>
    <row r="786" spans="1:4" x14ac:dyDescent="0.35">
      <c r="A786" s="1">
        <v>4009677</v>
      </c>
      <c r="B786" s="1" t="s">
        <v>1174</v>
      </c>
      <c r="C786" s="1">
        <v>10030906</v>
      </c>
      <c r="D786" s="1" t="s">
        <v>1173</v>
      </c>
    </row>
    <row r="787" spans="1:4" x14ac:dyDescent="0.35">
      <c r="A787" s="1">
        <v>4009686</v>
      </c>
      <c r="B787" s="1" t="s">
        <v>1174</v>
      </c>
      <c r="C787" s="1">
        <v>10050102</v>
      </c>
      <c r="D787" s="1" t="s">
        <v>1175</v>
      </c>
    </row>
    <row r="788" spans="1:4" x14ac:dyDescent="0.35">
      <c r="A788" s="1">
        <v>4009745</v>
      </c>
      <c r="B788" s="1" t="s">
        <v>1174</v>
      </c>
      <c r="C788" s="1">
        <v>10050108</v>
      </c>
      <c r="D788" s="1" t="s">
        <v>1173</v>
      </c>
    </row>
    <row r="789" spans="1:4" x14ac:dyDescent="0.35">
      <c r="A789" s="1">
        <v>4009890</v>
      </c>
      <c r="B789" s="1" t="s">
        <v>1174</v>
      </c>
      <c r="C789" s="1">
        <v>10030201</v>
      </c>
      <c r="D789" s="1" t="s">
        <v>1173</v>
      </c>
    </row>
    <row r="790" spans="1:4" x14ac:dyDescent="0.35">
      <c r="A790" s="1">
        <v>4009893</v>
      </c>
      <c r="B790" s="1" t="s">
        <v>1174</v>
      </c>
      <c r="C790" s="1">
        <v>10040609</v>
      </c>
      <c r="D790" s="1" t="s">
        <v>1177</v>
      </c>
    </row>
    <row r="791" spans="1:4" x14ac:dyDescent="0.35">
      <c r="A791" s="1">
        <v>4009895</v>
      </c>
      <c r="B791" s="1" t="s">
        <v>1174</v>
      </c>
      <c r="C791" s="1">
        <v>10060103</v>
      </c>
      <c r="D791" s="1" t="s">
        <v>1173</v>
      </c>
    </row>
    <row r="792" spans="1:4" x14ac:dyDescent="0.35">
      <c r="A792" s="1">
        <v>4009896</v>
      </c>
      <c r="B792" s="1" t="s">
        <v>1174</v>
      </c>
      <c r="C792" s="1">
        <v>10050609</v>
      </c>
      <c r="D792" s="1" t="s">
        <v>1173</v>
      </c>
    </row>
    <row r="793" spans="1:4" x14ac:dyDescent="0.35">
      <c r="A793" s="1">
        <v>4009897</v>
      </c>
      <c r="B793" s="1" t="s">
        <v>1174</v>
      </c>
      <c r="C793" s="1">
        <v>10050609</v>
      </c>
      <c r="D793" s="1" t="s">
        <v>1173</v>
      </c>
    </row>
    <row r="794" spans="1:4" x14ac:dyDescent="0.35">
      <c r="A794" s="1">
        <v>4009898</v>
      </c>
      <c r="B794" s="1" t="s">
        <v>1174</v>
      </c>
      <c r="C794" s="1">
        <v>10050609</v>
      </c>
      <c r="D794" s="1" t="s">
        <v>1173</v>
      </c>
    </row>
    <row r="795" spans="1:4" x14ac:dyDescent="0.35">
      <c r="A795" s="1">
        <v>4009899</v>
      </c>
      <c r="B795" s="1" t="s">
        <v>1174</v>
      </c>
      <c r="C795" s="1">
        <v>10050609</v>
      </c>
      <c r="D795" s="1" t="s">
        <v>1173</v>
      </c>
    </row>
    <row r="796" spans="1:4" x14ac:dyDescent="0.35">
      <c r="A796" s="1">
        <v>4009901</v>
      </c>
      <c r="B796" s="1" t="s">
        <v>1174</v>
      </c>
      <c r="C796" s="1">
        <v>10030201</v>
      </c>
      <c r="D796" s="1" t="s">
        <v>1173</v>
      </c>
    </row>
    <row r="797" spans="1:4" x14ac:dyDescent="0.35">
      <c r="A797" s="1">
        <v>4009902</v>
      </c>
      <c r="B797" s="1" t="s">
        <v>1174</v>
      </c>
      <c r="C797" s="1">
        <v>10030201</v>
      </c>
      <c r="D797" s="1" t="s">
        <v>1173</v>
      </c>
    </row>
    <row r="798" spans="1:4" x14ac:dyDescent="0.35">
      <c r="A798" s="1">
        <v>4009903</v>
      </c>
      <c r="B798" s="1" t="s">
        <v>1174</v>
      </c>
      <c r="C798" s="1">
        <v>10030201</v>
      </c>
      <c r="D798" s="1" t="s">
        <v>1173</v>
      </c>
    </row>
    <row r="799" spans="1:4" x14ac:dyDescent="0.35">
      <c r="A799" s="1">
        <v>4009908</v>
      </c>
      <c r="B799" s="1" t="s">
        <v>1174</v>
      </c>
      <c r="C799" s="1">
        <v>10050506</v>
      </c>
      <c r="D799" s="1" t="s">
        <v>1173</v>
      </c>
    </row>
    <row r="800" spans="1:4" x14ac:dyDescent="0.35">
      <c r="A800" s="1">
        <v>4009909</v>
      </c>
      <c r="B800" s="1" t="s">
        <v>1174</v>
      </c>
      <c r="C800" s="1">
        <v>10060206</v>
      </c>
      <c r="D800" s="1" t="s">
        <v>1173</v>
      </c>
    </row>
    <row r="801" spans="1:4" x14ac:dyDescent="0.35">
      <c r="A801" s="1">
        <v>4009910</v>
      </c>
      <c r="B801" s="1" t="s">
        <v>1174</v>
      </c>
      <c r="C801" s="1">
        <v>10050108</v>
      </c>
      <c r="D801" s="1" t="s">
        <v>1173</v>
      </c>
    </row>
    <row r="802" spans="1:4" x14ac:dyDescent="0.35">
      <c r="A802" s="1">
        <v>4009911</v>
      </c>
      <c r="B802" s="1" t="s">
        <v>1174</v>
      </c>
      <c r="C802" s="1">
        <v>10050108</v>
      </c>
      <c r="D802" s="1" t="s">
        <v>1173</v>
      </c>
    </row>
    <row r="803" spans="1:4" x14ac:dyDescent="0.35">
      <c r="A803" s="1">
        <v>4009912</v>
      </c>
      <c r="B803" s="1" t="s">
        <v>1174</v>
      </c>
      <c r="C803" s="1">
        <v>10050108</v>
      </c>
      <c r="D803" s="1" t="s">
        <v>1173</v>
      </c>
    </row>
    <row r="804" spans="1:4" x14ac:dyDescent="0.35">
      <c r="A804" s="1">
        <v>4009913</v>
      </c>
      <c r="B804" s="1" t="s">
        <v>1174</v>
      </c>
      <c r="C804" s="1">
        <v>10050108</v>
      </c>
      <c r="D804" s="1" t="s">
        <v>1173</v>
      </c>
    </row>
    <row r="805" spans="1:4" x14ac:dyDescent="0.35">
      <c r="A805" s="1">
        <v>4009914</v>
      </c>
      <c r="B805" s="1" t="s">
        <v>1174</v>
      </c>
      <c r="C805" s="1">
        <v>20010401</v>
      </c>
      <c r="D805" s="1" t="s">
        <v>1173</v>
      </c>
    </row>
    <row r="806" spans="1:4" x14ac:dyDescent="0.35">
      <c r="A806" s="1">
        <v>4009916</v>
      </c>
      <c r="B806" s="1" t="s">
        <v>1174</v>
      </c>
      <c r="C806" s="1">
        <v>20010401</v>
      </c>
      <c r="D806" s="1" t="s">
        <v>1173</v>
      </c>
    </row>
    <row r="807" spans="1:4" x14ac:dyDescent="0.35">
      <c r="A807" s="1">
        <v>4015482</v>
      </c>
      <c r="B807" s="1" t="s">
        <v>1174</v>
      </c>
      <c r="C807" s="1">
        <v>10050801</v>
      </c>
      <c r="D807" s="1" t="s">
        <v>1178</v>
      </c>
    </row>
    <row r="808" spans="1:4" x14ac:dyDescent="0.35">
      <c r="A808" s="1">
        <v>4015483</v>
      </c>
      <c r="B808" s="1" t="s">
        <v>1174</v>
      </c>
      <c r="C808" s="1">
        <v>10050801</v>
      </c>
      <c r="D808" s="1" t="s">
        <v>1178</v>
      </c>
    </row>
    <row r="809" spans="1:4" x14ac:dyDescent="0.35">
      <c r="A809" s="1">
        <v>4024865</v>
      </c>
      <c r="B809" s="1" t="s">
        <v>1174</v>
      </c>
      <c r="C809" s="1">
        <v>10050701</v>
      </c>
      <c r="D809" s="1" t="s">
        <v>1173</v>
      </c>
    </row>
    <row r="810" spans="1:4" x14ac:dyDescent="0.35">
      <c r="A810" s="1">
        <v>4024878</v>
      </c>
      <c r="B810" s="1" t="s">
        <v>1174</v>
      </c>
      <c r="C810" s="1">
        <v>10050103</v>
      </c>
      <c r="D810" s="1" t="s">
        <v>1173</v>
      </c>
    </row>
    <row r="811" spans="1:4" x14ac:dyDescent="0.35">
      <c r="A811" s="1">
        <v>4030741</v>
      </c>
      <c r="B811" s="1" t="s">
        <v>1174</v>
      </c>
      <c r="C811" s="1">
        <v>10050701</v>
      </c>
      <c r="D811" s="1" t="s">
        <v>1173</v>
      </c>
    </row>
    <row r="812" spans="1:4" x14ac:dyDescent="0.35">
      <c r="A812" s="1">
        <v>4030746</v>
      </c>
      <c r="B812" s="1" t="s">
        <v>1174</v>
      </c>
      <c r="C812" s="1">
        <v>10050701</v>
      </c>
      <c r="D812" s="1" t="s">
        <v>1173</v>
      </c>
    </row>
    <row r="813" spans="1:4" x14ac:dyDescent="0.35">
      <c r="A813" s="1">
        <v>4030760</v>
      </c>
      <c r="B813" s="1" t="s">
        <v>1174</v>
      </c>
      <c r="C813" s="1">
        <v>10030908</v>
      </c>
      <c r="D813" s="1" t="s">
        <v>1173</v>
      </c>
    </row>
    <row r="814" spans="1:4" x14ac:dyDescent="0.35">
      <c r="A814" s="1">
        <v>4032343</v>
      </c>
      <c r="B814" s="1" t="s">
        <v>1174</v>
      </c>
      <c r="C814" s="1">
        <v>10060510</v>
      </c>
      <c r="D814" s="1" t="s">
        <v>1173</v>
      </c>
    </row>
    <row r="815" spans="1:4" x14ac:dyDescent="0.35">
      <c r="A815" s="1">
        <v>4032344</v>
      </c>
      <c r="B815" s="1" t="s">
        <v>1174</v>
      </c>
      <c r="C815" s="1">
        <v>10060510</v>
      </c>
      <c r="D815" s="1" t="s">
        <v>1173</v>
      </c>
    </row>
    <row r="816" spans="1:4" x14ac:dyDescent="0.35">
      <c r="A816" s="1">
        <v>4032345</v>
      </c>
      <c r="B816" s="1" t="s">
        <v>1174</v>
      </c>
      <c r="C816" s="1">
        <v>10060510</v>
      </c>
      <c r="D816" s="1" t="s">
        <v>1173</v>
      </c>
    </row>
    <row r="817" spans="1:4" x14ac:dyDescent="0.35">
      <c r="A817" s="1">
        <v>4032346</v>
      </c>
      <c r="B817" s="1" t="s">
        <v>1174</v>
      </c>
      <c r="C817" s="1">
        <v>10060510</v>
      </c>
      <c r="D817" s="1" t="s">
        <v>1173</v>
      </c>
    </row>
    <row r="818" spans="1:4" x14ac:dyDescent="0.35">
      <c r="A818" s="1">
        <v>4032347</v>
      </c>
      <c r="B818" s="1" t="s">
        <v>1174</v>
      </c>
      <c r="C818" s="1">
        <v>10060502</v>
      </c>
      <c r="D818" s="1" t="s">
        <v>1173</v>
      </c>
    </row>
    <row r="819" spans="1:4" x14ac:dyDescent="0.35">
      <c r="A819" s="1">
        <v>4032348</v>
      </c>
      <c r="B819" s="1" t="s">
        <v>1174</v>
      </c>
      <c r="C819" s="1">
        <v>10060107</v>
      </c>
      <c r="D819" s="1" t="s">
        <v>1173</v>
      </c>
    </row>
    <row r="820" spans="1:4" x14ac:dyDescent="0.35">
      <c r="A820" s="1">
        <v>4032349</v>
      </c>
      <c r="B820" s="1" t="s">
        <v>1174</v>
      </c>
      <c r="C820" s="1">
        <v>10060107</v>
      </c>
      <c r="D820" s="1" t="s">
        <v>1173</v>
      </c>
    </row>
    <row r="821" spans="1:4" x14ac:dyDescent="0.35">
      <c r="A821" s="1">
        <v>4033645</v>
      </c>
      <c r="B821" s="1" t="s">
        <v>1174</v>
      </c>
      <c r="C821" s="1">
        <v>10030906</v>
      </c>
      <c r="D821" s="1" t="s">
        <v>1173</v>
      </c>
    </row>
    <row r="822" spans="1:4" x14ac:dyDescent="0.35">
      <c r="A822" s="1">
        <v>4033646</v>
      </c>
      <c r="B822" s="1" t="s">
        <v>1174</v>
      </c>
      <c r="C822" s="1">
        <v>10030906</v>
      </c>
      <c r="D822" s="1" t="s">
        <v>1173</v>
      </c>
    </row>
    <row r="823" spans="1:4" x14ac:dyDescent="0.35">
      <c r="A823" s="1">
        <v>4033654</v>
      </c>
      <c r="B823" s="1" t="s">
        <v>1174</v>
      </c>
      <c r="C823" s="1">
        <v>10030907</v>
      </c>
      <c r="D823" s="1" t="s">
        <v>1173</v>
      </c>
    </row>
    <row r="824" spans="1:4" x14ac:dyDescent="0.35">
      <c r="A824" s="1">
        <v>4033674</v>
      </c>
      <c r="B824" s="1" t="s">
        <v>1174</v>
      </c>
      <c r="C824" s="1">
        <v>10050801</v>
      </c>
      <c r="D824" s="1" t="s">
        <v>1173</v>
      </c>
    </row>
    <row r="825" spans="1:4" x14ac:dyDescent="0.35">
      <c r="A825" s="1">
        <v>4033704</v>
      </c>
      <c r="B825" s="1" t="s">
        <v>1174</v>
      </c>
      <c r="C825" s="1">
        <v>10050108</v>
      </c>
      <c r="D825" s="1" t="s">
        <v>1177</v>
      </c>
    </row>
    <row r="826" spans="1:4" x14ac:dyDescent="0.35">
      <c r="A826" s="1">
        <v>4033705</v>
      </c>
      <c r="B826" s="1" t="s">
        <v>1174</v>
      </c>
      <c r="C826" s="1">
        <v>10050108</v>
      </c>
      <c r="D826" s="1" t="s">
        <v>1177</v>
      </c>
    </row>
    <row r="827" spans="1:4" x14ac:dyDescent="0.35">
      <c r="A827" s="1">
        <v>4033706</v>
      </c>
      <c r="B827" s="1" t="s">
        <v>1174</v>
      </c>
      <c r="C827" s="1">
        <v>10050108</v>
      </c>
      <c r="D827" s="1" t="s">
        <v>1177</v>
      </c>
    </row>
    <row r="828" spans="1:4" x14ac:dyDescent="0.35">
      <c r="A828" s="1">
        <v>4035929</v>
      </c>
      <c r="B828" s="1" t="s">
        <v>1174</v>
      </c>
      <c r="C828" s="1">
        <v>10080601</v>
      </c>
      <c r="D828" s="1" t="s">
        <v>1173</v>
      </c>
    </row>
    <row r="829" spans="1:4" x14ac:dyDescent="0.35">
      <c r="A829" s="1">
        <v>4035930</v>
      </c>
      <c r="B829" s="1" t="s">
        <v>1174</v>
      </c>
      <c r="C829" s="1">
        <v>10080601</v>
      </c>
      <c r="D829" s="1" t="s">
        <v>1173</v>
      </c>
    </row>
    <row r="830" spans="1:4" x14ac:dyDescent="0.35">
      <c r="A830" s="1">
        <v>4035931</v>
      </c>
      <c r="B830" s="1" t="s">
        <v>1174</v>
      </c>
      <c r="C830" s="1">
        <v>10080601</v>
      </c>
      <c r="D830" s="1" t="s">
        <v>1173</v>
      </c>
    </row>
    <row r="831" spans="1:4" x14ac:dyDescent="0.35">
      <c r="A831" s="1">
        <v>4035932</v>
      </c>
      <c r="B831" s="1" t="s">
        <v>1174</v>
      </c>
      <c r="C831" s="1">
        <v>10080601</v>
      </c>
      <c r="D831" s="1" t="s">
        <v>1173</v>
      </c>
    </row>
    <row r="832" spans="1:4" x14ac:dyDescent="0.35">
      <c r="A832" s="1">
        <v>4035935</v>
      </c>
      <c r="B832" s="1" t="s">
        <v>1174</v>
      </c>
      <c r="C832" s="1">
        <v>10080601</v>
      </c>
      <c r="D832" s="1" t="s">
        <v>1173</v>
      </c>
    </row>
    <row r="833" spans="1:4" x14ac:dyDescent="0.35">
      <c r="A833" s="1">
        <v>4035940</v>
      </c>
      <c r="B833" s="1" t="s">
        <v>1174</v>
      </c>
      <c r="C833" s="1">
        <v>10060511</v>
      </c>
      <c r="D833" s="1" t="s">
        <v>1173</v>
      </c>
    </row>
    <row r="834" spans="1:4" x14ac:dyDescent="0.35">
      <c r="A834" s="1">
        <v>4035951</v>
      </c>
      <c r="B834" s="1" t="s">
        <v>1174</v>
      </c>
      <c r="C834" s="1">
        <v>10060511</v>
      </c>
      <c r="D834" s="1" t="s">
        <v>1173</v>
      </c>
    </row>
    <row r="835" spans="1:4" x14ac:dyDescent="0.35">
      <c r="A835" s="1">
        <v>4035953</v>
      </c>
      <c r="B835" s="1" t="s">
        <v>1174</v>
      </c>
      <c r="C835" s="1">
        <v>10030703</v>
      </c>
      <c r="D835" s="1" t="s">
        <v>1173</v>
      </c>
    </row>
    <row r="836" spans="1:4" x14ac:dyDescent="0.35">
      <c r="A836" s="1">
        <v>4035954</v>
      </c>
      <c r="B836" s="1" t="s">
        <v>1174</v>
      </c>
      <c r="C836" s="1">
        <v>10030703</v>
      </c>
      <c r="D836" s="1" t="s">
        <v>1173</v>
      </c>
    </row>
    <row r="837" spans="1:4" x14ac:dyDescent="0.35">
      <c r="A837" s="1">
        <v>4035956</v>
      </c>
      <c r="B837" s="1" t="s">
        <v>1174</v>
      </c>
      <c r="C837" s="1">
        <v>10030703</v>
      </c>
      <c r="D837" s="1" t="s">
        <v>1173</v>
      </c>
    </row>
    <row r="838" spans="1:4" x14ac:dyDescent="0.35">
      <c r="A838" s="1">
        <v>4035957</v>
      </c>
      <c r="B838" s="1" t="s">
        <v>1174</v>
      </c>
      <c r="C838" s="1">
        <v>10030703</v>
      </c>
      <c r="D838" s="1" t="s">
        <v>1173</v>
      </c>
    </row>
    <row r="839" spans="1:4" x14ac:dyDescent="0.35">
      <c r="A839" s="1">
        <v>4035958</v>
      </c>
      <c r="B839" s="1" t="s">
        <v>1174</v>
      </c>
      <c r="C839" s="1">
        <v>10030703</v>
      </c>
      <c r="D839" s="1" t="s">
        <v>1173</v>
      </c>
    </row>
    <row r="840" spans="1:4" x14ac:dyDescent="0.35">
      <c r="A840" s="1">
        <v>4035959</v>
      </c>
      <c r="B840" s="1" t="s">
        <v>1174</v>
      </c>
      <c r="C840" s="1">
        <v>10030703</v>
      </c>
      <c r="D840" s="1" t="s">
        <v>1173</v>
      </c>
    </row>
    <row r="841" spans="1:4" x14ac:dyDescent="0.35">
      <c r="A841" s="1">
        <v>4035960</v>
      </c>
      <c r="B841" s="1" t="s">
        <v>1174</v>
      </c>
      <c r="C841" s="1">
        <v>10030703</v>
      </c>
      <c r="D841" s="1" t="s">
        <v>1173</v>
      </c>
    </row>
    <row r="842" spans="1:4" x14ac:dyDescent="0.35">
      <c r="A842" s="1">
        <v>4035961</v>
      </c>
      <c r="B842" s="1" t="s">
        <v>1174</v>
      </c>
      <c r="C842" s="1">
        <v>10049999</v>
      </c>
      <c r="D842" s="1" t="s">
        <v>1173</v>
      </c>
    </row>
    <row r="843" spans="1:4" x14ac:dyDescent="0.35">
      <c r="A843" s="1">
        <v>4035963</v>
      </c>
      <c r="B843" s="1" t="s">
        <v>1174</v>
      </c>
      <c r="C843" s="1">
        <v>10060102</v>
      </c>
      <c r="D843" s="1" t="s">
        <v>1173</v>
      </c>
    </row>
    <row r="844" spans="1:4" x14ac:dyDescent="0.35">
      <c r="A844" s="1">
        <v>4035971</v>
      </c>
      <c r="B844" s="1" t="s">
        <v>1174</v>
      </c>
      <c r="C844" s="1">
        <v>10030703</v>
      </c>
      <c r="D844" s="1" t="s">
        <v>1173</v>
      </c>
    </row>
    <row r="845" spans="1:4" x14ac:dyDescent="0.35">
      <c r="A845" s="1">
        <v>4035972</v>
      </c>
      <c r="B845" s="1" t="s">
        <v>1174</v>
      </c>
      <c r="C845" s="1">
        <v>10030703</v>
      </c>
      <c r="D845" s="1" t="s">
        <v>1173</v>
      </c>
    </row>
    <row r="846" spans="1:4" x14ac:dyDescent="0.35">
      <c r="A846" s="1">
        <v>4035973</v>
      </c>
      <c r="B846" s="1" t="s">
        <v>1174</v>
      </c>
      <c r="C846" s="1">
        <v>10030703</v>
      </c>
      <c r="D846" s="1" t="s">
        <v>1173</v>
      </c>
    </row>
    <row r="847" spans="1:4" x14ac:dyDescent="0.35">
      <c r="A847" s="1">
        <v>4035974</v>
      </c>
      <c r="B847" s="1" t="s">
        <v>1174</v>
      </c>
      <c r="C847" s="1">
        <v>10030703</v>
      </c>
      <c r="D847" s="1" t="s">
        <v>1176</v>
      </c>
    </row>
    <row r="848" spans="1:4" x14ac:dyDescent="0.35">
      <c r="A848" s="1">
        <v>4036481</v>
      </c>
      <c r="B848" s="1" t="s">
        <v>1174</v>
      </c>
      <c r="C848" s="1">
        <v>10030703</v>
      </c>
      <c r="D848" s="1" t="s">
        <v>1173</v>
      </c>
    </row>
    <row r="849" spans="1:4" x14ac:dyDescent="0.35">
      <c r="A849" s="1">
        <v>4036668</v>
      </c>
      <c r="B849" s="1" t="s">
        <v>1174</v>
      </c>
      <c r="C849" s="1">
        <v>10030908</v>
      </c>
      <c r="D849" s="1" t="s">
        <v>1173</v>
      </c>
    </row>
    <row r="850" spans="1:4" x14ac:dyDescent="0.35">
      <c r="A850" s="1">
        <v>4036669</v>
      </c>
      <c r="B850" s="1" t="s">
        <v>1174</v>
      </c>
      <c r="C850" s="1">
        <v>10030908</v>
      </c>
      <c r="D850" s="1" t="s">
        <v>1173</v>
      </c>
    </row>
    <row r="851" spans="1:4" x14ac:dyDescent="0.35">
      <c r="A851" s="1">
        <v>4036670</v>
      </c>
      <c r="B851" s="1" t="s">
        <v>1174</v>
      </c>
      <c r="C851" s="1">
        <v>10030908</v>
      </c>
      <c r="D851" s="1" t="s">
        <v>1173</v>
      </c>
    </row>
    <row r="852" spans="1:4" x14ac:dyDescent="0.35">
      <c r="A852" s="1">
        <v>4036671</v>
      </c>
      <c r="B852" s="1" t="s">
        <v>1174</v>
      </c>
      <c r="C852" s="1">
        <v>10030908</v>
      </c>
      <c r="D852" s="1" t="s">
        <v>1173</v>
      </c>
    </row>
    <row r="853" spans="1:4" x14ac:dyDescent="0.35">
      <c r="A853" s="1">
        <v>4036672</v>
      </c>
      <c r="B853" s="1" t="s">
        <v>1174</v>
      </c>
      <c r="C853" s="1">
        <v>10030908</v>
      </c>
      <c r="D853" s="1" t="s">
        <v>1173</v>
      </c>
    </row>
    <row r="854" spans="1:4" x14ac:dyDescent="0.35">
      <c r="A854" s="1">
        <v>4036673</v>
      </c>
      <c r="B854" s="1" t="s">
        <v>1174</v>
      </c>
      <c r="C854" s="1">
        <v>10030908</v>
      </c>
      <c r="D854" s="1" t="s">
        <v>1173</v>
      </c>
    </row>
    <row r="855" spans="1:4" x14ac:dyDescent="0.35">
      <c r="A855" s="1">
        <v>4036674</v>
      </c>
      <c r="B855" s="1" t="s">
        <v>1174</v>
      </c>
      <c r="C855" s="1">
        <v>10030906</v>
      </c>
      <c r="D855" s="1" t="s">
        <v>1173</v>
      </c>
    </row>
    <row r="856" spans="1:4" x14ac:dyDescent="0.35">
      <c r="A856" s="1">
        <v>4036675</v>
      </c>
      <c r="B856" s="1" t="s">
        <v>1174</v>
      </c>
      <c r="C856" s="1">
        <v>10030906</v>
      </c>
      <c r="D856" s="1" t="s">
        <v>1173</v>
      </c>
    </row>
    <row r="857" spans="1:4" x14ac:dyDescent="0.35">
      <c r="A857" s="1">
        <v>4036677</v>
      </c>
      <c r="B857" s="1" t="s">
        <v>1174</v>
      </c>
      <c r="C857" s="1">
        <v>10030906</v>
      </c>
      <c r="D857" s="1" t="s">
        <v>1173</v>
      </c>
    </row>
    <row r="858" spans="1:4" x14ac:dyDescent="0.35">
      <c r="A858" s="1">
        <v>4036678</v>
      </c>
      <c r="B858" s="1" t="s">
        <v>1174</v>
      </c>
      <c r="C858" s="1">
        <v>10030906</v>
      </c>
      <c r="D858" s="1" t="s">
        <v>1173</v>
      </c>
    </row>
    <row r="859" spans="1:4" x14ac:dyDescent="0.35">
      <c r="A859" s="1">
        <v>4036688</v>
      </c>
      <c r="B859" s="1" t="s">
        <v>1174</v>
      </c>
      <c r="C859" s="1">
        <v>10050603</v>
      </c>
      <c r="D859" s="1" t="s">
        <v>1173</v>
      </c>
    </row>
    <row r="860" spans="1:4" x14ac:dyDescent="0.35">
      <c r="A860" s="1">
        <v>4036709</v>
      </c>
      <c r="B860" s="1" t="s">
        <v>1174</v>
      </c>
      <c r="C860" s="1">
        <v>10030906</v>
      </c>
      <c r="D860" s="1" t="s">
        <v>1173</v>
      </c>
    </row>
    <row r="861" spans="1:4" x14ac:dyDescent="0.35">
      <c r="A861" s="1">
        <v>4036710</v>
      </c>
      <c r="B861" s="1" t="s">
        <v>1174</v>
      </c>
      <c r="C861" s="1">
        <v>10030906</v>
      </c>
      <c r="D861" s="1" t="s">
        <v>1173</v>
      </c>
    </row>
    <row r="862" spans="1:4" x14ac:dyDescent="0.35">
      <c r="A862" s="1">
        <v>4036711</v>
      </c>
      <c r="B862" s="1" t="s">
        <v>1174</v>
      </c>
      <c r="C862" s="1">
        <v>10030906</v>
      </c>
      <c r="D862" s="1" t="s">
        <v>1173</v>
      </c>
    </row>
    <row r="863" spans="1:4" x14ac:dyDescent="0.35">
      <c r="A863" s="1">
        <v>4036744</v>
      </c>
      <c r="B863" s="1" t="s">
        <v>1174</v>
      </c>
      <c r="C863" s="1">
        <v>10050103</v>
      </c>
      <c r="D863" s="1" t="s">
        <v>1173</v>
      </c>
    </row>
    <row r="864" spans="1:4" x14ac:dyDescent="0.35">
      <c r="A864" s="1">
        <v>4036755</v>
      </c>
      <c r="B864" s="1" t="s">
        <v>1174</v>
      </c>
      <c r="C864" s="1">
        <v>10030908</v>
      </c>
      <c r="D864" s="1" t="s">
        <v>1173</v>
      </c>
    </row>
    <row r="865" spans="1:4" x14ac:dyDescent="0.35">
      <c r="A865" s="1">
        <v>4036756</v>
      </c>
      <c r="B865" s="1" t="s">
        <v>1174</v>
      </c>
      <c r="C865" s="1">
        <v>10030908</v>
      </c>
      <c r="D865" s="1" t="s">
        <v>1173</v>
      </c>
    </row>
    <row r="866" spans="1:4" x14ac:dyDescent="0.35">
      <c r="A866" s="1">
        <v>4036757</v>
      </c>
      <c r="B866" s="1" t="s">
        <v>1174</v>
      </c>
      <c r="C866" s="1">
        <v>10030908</v>
      </c>
      <c r="D866" s="1" t="s">
        <v>1173</v>
      </c>
    </row>
    <row r="867" spans="1:4" x14ac:dyDescent="0.35">
      <c r="A867" s="1">
        <v>4036758</v>
      </c>
      <c r="B867" s="1" t="s">
        <v>1174</v>
      </c>
      <c r="C867" s="1">
        <v>10030908</v>
      </c>
      <c r="D867" s="1" t="s">
        <v>1173</v>
      </c>
    </row>
    <row r="868" spans="1:4" x14ac:dyDescent="0.35">
      <c r="A868" s="1">
        <v>4036771</v>
      </c>
      <c r="B868" s="1" t="s">
        <v>1174</v>
      </c>
      <c r="C868" s="1">
        <v>10030908</v>
      </c>
      <c r="D868" s="1" t="s">
        <v>1173</v>
      </c>
    </row>
    <row r="869" spans="1:4" x14ac:dyDescent="0.35">
      <c r="A869" s="1">
        <v>4036772</v>
      </c>
      <c r="B869" s="1" t="s">
        <v>1174</v>
      </c>
      <c r="C869" s="1">
        <v>10030908</v>
      </c>
      <c r="D869" s="1" t="s">
        <v>1173</v>
      </c>
    </row>
    <row r="870" spans="1:4" x14ac:dyDescent="0.35">
      <c r="A870" s="1">
        <v>4036775</v>
      </c>
      <c r="B870" s="1" t="s">
        <v>1174</v>
      </c>
      <c r="C870" s="1">
        <v>10030908</v>
      </c>
      <c r="D870" s="1" t="s">
        <v>1173</v>
      </c>
    </row>
    <row r="871" spans="1:4" x14ac:dyDescent="0.35">
      <c r="A871" s="1">
        <v>4036776</v>
      </c>
      <c r="B871" s="1" t="s">
        <v>1174</v>
      </c>
      <c r="C871" s="1">
        <v>10030908</v>
      </c>
      <c r="D871" s="1" t="s">
        <v>1173</v>
      </c>
    </row>
    <row r="872" spans="1:4" x14ac:dyDescent="0.35">
      <c r="A872" s="1">
        <v>4036777</v>
      </c>
      <c r="B872" s="1" t="s">
        <v>1174</v>
      </c>
      <c r="C872" s="1">
        <v>10030908</v>
      </c>
      <c r="D872" s="1" t="s">
        <v>1173</v>
      </c>
    </row>
    <row r="873" spans="1:4" x14ac:dyDescent="0.35">
      <c r="A873" s="1">
        <v>4036778</v>
      </c>
      <c r="B873" s="1" t="s">
        <v>1174</v>
      </c>
      <c r="C873" s="1">
        <v>10030908</v>
      </c>
      <c r="D873" s="1" t="s">
        <v>1173</v>
      </c>
    </row>
    <row r="874" spans="1:4" x14ac:dyDescent="0.35">
      <c r="A874" s="1">
        <v>4036779</v>
      </c>
      <c r="B874" s="1" t="s">
        <v>1174</v>
      </c>
      <c r="C874" s="1">
        <v>10030908</v>
      </c>
      <c r="D874" s="1" t="s">
        <v>1173</v>
      </c>
    </row>
    <row r="875" spans="1:4" x14ac:dyDescent="0.35">
      <c r="A875" s="1">
        <v>4036780</v>
      </c>
      <c r="B875" s="1" t="s">
        <v>1174</v>
      </c>
      <c r="C875" s="1">
        <v>10030908</v>
      </c>
      <c r="D875" s="1" t="s">
        <v>1173</v>
      </c>
    </row>
    <row r="876" spans="1:4" x14ac:dyDescent="0.35">
      <c r="A876" s="1">
        <v>4036781</v>
      </c>
      <c r="B876" s="1" t="s">
        <v>1174</v>
      </c>
      <c r="C876" s="1">
        <v>10030908</v>
      </c>
      <c r="D876" s="1" t="s">
        <v>1173</v>
      </c>
    </row>
    <row r="877" spans="1:4" x14ac:dyDescent="0.35">
      <c r="A877" s="1">
        <v>4036782</v>
      </c>
      <c r="B877" s="1" t="s">
        <v>1174</v>
      </c>
      <c r="C877" s="1">
        <v>10030908</v>
      </c>
      <c r="D877" s="1" t="s">
        <v>1173</v>
      </c>
    </row>
    <row r="878" spans="1:4" x14ac:dyDescent="0.35">
      <c r="A878" s="1">
        <v>4036783</v>
      </c>
      <c r="B878" s="1" t="s">
        <v>1174</v>
      </c>
      <c r="C878" s="1">
        <v>10030908</v>
      </c>
      <c r="D878" s="1" t="s">
        <v>1173</v>
      </c>
    </row>
    <row r="879" spans="1:4" x14ac:dyDescent="0.35">
      <c r="A879" s="1">
        <v>4038549</v>
      </c>
      <c r="B879" s="1" t="s">
        <v>1174</v>
      </c>
      <c r="C879" s="1">
        <v>10030398</v>
      </c>
      <c r="D879" s="1" t="s">
        <v>1173</v>
      </c>
    </row>
    <row r="880" spans="1:4" x14ac:dyDescent="0.35">
      <c r="A880" s="1">
        <v>4038550</v>
      </c>
      <c r="B880" s="1" t="s">
        <v>1174</v>
      </c>
      <c r="C880" s="1">
        <v>10030398</v>
      </c>
      <c r="D880" s="1" t="s">
        <v>1173</v>
      </c>
    </row>
    <row r="881" spans="1:4" x14ac:dyDescent="0.35">
      <c r="A881" s="1">
        <v>4038551</v>
      </c>
      <c r="B881" s="1" t="s">
        <v>1174</v>
      </c>
      <c r="C881" s="1">
        <v>10050801</v>
      </c>
      <c r="D881" s="1" t="s">
        <v>1173</v>
      </c>
    </row>
    <row r="882" spans="1:4" x14ac:dyDescent="0.35">
      <c r="A882" s="1">
        <v>4038552</v>
      </c>
      <c r="B882" s="1" t="s">
        <v>1174</v>
      </c>
      <c r="C882" s="1">
        <v>10050108</v>
      </c>
      <c r="D882" s="1" t="s">
        <v>1173</v>
      </c>
    </row>
    <row r="883" spans="1:4" x14ac:dyDescent="0.35">
      <c r="A883" s="1">
        <v>4038553</v>
      </c>
      <c r="B883" s="1" t="s">
        <v>1174</v>
      </c>
      <c r="C883" s="1">
        <v>10030398</v>
      </c>
      <c r="D883" s="1" t="s">
        <v>1173</v>
      </c>
    </row>
    <row r="884" spans="1:4" x14ac:dyDescent="0.35">
      <c r="A884" s="1">
        <v>4038554</v>
      </c>
      <c r="B884" s="1" t="s">
        <v>1174</v>
      </c>
      <c r="C884" s="1">
        <v>10030398</v>
      </c>
      <c r="D884" s="1" t="s">
        <v>1173</v>
      </c>
    </row>
    <row r="885" spans="1:4" x14ac:dyDescent="0.35">
      <c r="A885" s="1">
        <v>4038555</v>
      </c>
      <c r="B885" s="1" t="s">
        <v>1174</v>
      </c>
      <c r="C885" s="1">
        <v>10030398</v>
      </c>
      <c r="D885" s="1" t="s">
        <v>1173</v>
      </c>
    </row>
    <row r="886" spans="1:4" x14ac:dyDescent="0.35">
      <c r="A886" s="1">
        <v>4038556</v>
      </c>
      <c r="B886" s="1" t="s">
        <v>1174</v>
      </c>
      <c r="C886" s="1">
        <v>10030908</v>
      </c>
      <c r="D886" s="1" t="s">
        <v>1173</v>
      </c>
    </row>
    <row r="887" spans="1:4" x14ac:dyDescent="0.35">
      <c r="A887" s="1">
        <v>4038557</v>
      </c>
      <c r="B887" s="1" t="s">
        <v>1174</v>
      </c>
      <c r="C887" s="1">
        <v>10030908</v>
      </c>
      <c r="D887" s="1" t="s">
        <v>1173</v>
      </c>
    </row>
    <row r="888" spans="1:4" x14ac:dyDescent="0.35">
      <c r="A888" s="1">
        <v>4038558</v>
      </c>
      <c r="B888" s="1" t="s">
        <v>1174</v>
      </c>
      <c r="C888" s="1">
        <v>10030904</v>
      </c>
      <c r="D888" s="1" t="s">
        <v>1173</v>
      </c>
    </row>
    <row r="889" spans="1:4" x14ac:dyDescent="0.35">
      <c r="A889" s="1">
        <v>4038559</v>
      </c>
      <c r="B889" s="1" t="s">
        <v>1174</v>
      </c>
      <c r="C889" s="1">
        <v>10030398</v>
      </c>
      <c r="D889" s="1" t="s">
        <v>1173</v>
      </c>
    </row>
    <row r="890" spans="1:4" x14ac:dyDescent="0.35">
      <c r="A890" s="1">
        <v>4038560</v>
      </c>
      <c r="B890" s="1" t="s">
        <v>1174</v>
      </c>
      <c r="C890" s="1">
        <v>10030398</v>
      </c>
      <c r="D890" s="1" t="s">
        <v>1173</v>
      </c>
    </row>
    <row r="891" spans="1:4" x14ac:dyDescent="0.35">
      <c r="A891" s="1">
        <v>4038561</v>
      </c>
      <c r="B891" s="1" t="s">
        <v>1174</v>
      </c>
      <c r="C891" s="1">
        <v>10050603</v>
      </c>
      <c r="D891" s="1" t="s">
        <v>1173</v>
      </c>
    </row>
    <row r="892" spans="1:4" x14ac:dyDescent="0.35">
      <c r="A892" s="1">
        <v>4038562</v>
      </c>
      <c r="B892" s="1" t="s">
        <v>1174</v>
      </c>
      <c r="C892" s="1">
        <v>10050603</v>
      </c>
      <c r="D892" s="1" t="s">
        <v>1173</v>
      </c>
    </row>
    <row r="893" spans="1:4" x14ac:dyDescent="0.35">
      <c r="A893" s="1">
        <v>4038563</v>
      </c>
      <c r="B893" s="1" t="s">
        <v>1174</v>
      </c>
      <c r="C893" s="1">
        <v>10050603</v>
      </c>
      <c r="D893" s="1" t="s">
        <v>1173</v>
      </c>
    </row>
    <row r="894" spans="1:4" x14ac:dyDescent="0.35">
      <c r="A894" s="1">
        <v>4038564</v>
      </c>
      <c r="B894" s="1" t="s">
        <v>1174</v>
      </c>
      <c r="C894" s="1">
        <v>10030398</v>
      </c>
      <c r="D894" s="1" t="s">
        <v>1173</v>
      </c>
    </row>
    <row r="895" spans="1:4" x14ac:dyDescent="0.35">
      <c r="A895" s="1">
        <v>4038565</v>
      </c>
      <c r="B895" s="1" t="s">
        <v>1174</v>
      </c>
      <c r="C895" s="1">
        <v>10030398</v>
      </c>
      <c r="D895" s="1" t="s">
        <v>1173</v>
      </c>
    </row>
    <row r="896" spans="1:4" x14ac:dyDescent="0.35">
      <c r="A896" s="1">
        <v>4038566</v>
      </c>
      <c r="B896" s="1" t="s">
        <v>1174</v>
      </c>
      <c r="C896" s="1">
        <v>10030398</v>
      </c>
      <c r="D896" s="1" t="s">
        <v>1173</v>
      </c>
    </row>
    <row r="897" spans="1:4" x14ac:dyDescent="0.35">
      <c r="A897" s="1">
        <v>4038567</v>
      </c>
      <c r="B897" s="1" t="s">
        <v>1174</v>
      </c>
      <c r="C897" s="1">
        <v>10030398</v>
      </c>
      <c r="D897" s="1" t="s">
        <v>1173</v>
      </c>
    </row>
    <row r="898" spans="1:4" x14ac:dyDescent="0.35">
      <c r="A898" s="1">
        <v>4038568</v>
      </c>
      <c r="B898" s="1" t="s">
        <v>1174</v>
      </c>
      <c r="C898" s="1">
        <v>10030398</v>
      </c>
      <c r="D898" s="1" t="s">
        <v>1173</v>
      </c>
    </row>
    <row r="899" spans="1:4" x14ac:dyDescent="0.35">
      <c r="A899" s="1">
        <v>4038569</v>
      </c>
      <c r="B899" s="1" t="s">
        <v>1174</v>
      </c>
      <c r="C899" s="1">
        <v>10030398</v>
      </c>
      <c r="D899" s="1" t="s">
        <v>1173</v>
      </c>
    </row>
    <row r="900" spans="1:4" x14ac:dyDescent="0.35">
      <c r="A900" s="1">
        <v>4038570</v>
      </c>
      <c r="B900" s="1" t="s">
        <v>1174</v>
      </c>
      <c r="C900" s="1">
        <v>10050108</v>
      </c>
      <c r="D900" s="1" t="s">
        <v>1173</v>
      </c>
    </row>
    <row r="901" spans="1:4" x14ac:dyDescent="0.35">
      <c r="A901" s="1">
        <v>4038571</v>
      </c>
      <c r="B901" s="1" t="s">
        <v>1174</v>
      </c>
      <c r="C901" s="1">
        <v>20040598</v>
      </c>
      <c r="D901" s="1" t="s">
        <v>1173</v>
      </c>
    </row>
    <row r="902" spans="1:4" x14ac:dyDescent="0.35">
      <c r="A902" s="1">
        <v>4038572</v>
      </c>
      <c r="B902" s="1" t="s">
        <v>1174</v>
      </c>
      <c r="C902" s="1">
        <v>10030904</v>
      </c>
      <c r="D902" s="1" t="s">
        <v>1173</v>
      </c>
    </row>
    <row r="903" spans="1:4" x14ac:dyDescent="0.35">
      <c r="A903" s="1">
        <v>4038573</v>
      </c>
      <c r="B903" s="1" t="s">
        <v>1174</v>
      </c>
      <c r="C903" s="1">
        <v>10050108</v>
      </c>
      <c r="D903" s="1" t="s">
        <v>1173</v>
      </c>
    </row>
    <row r="904" spans="1:4" x14ac:dyDescent="0.35">
      <c r="A904" s="1">
        <v>4038574</v>
      </c>
      <c r="B904" s="1" t="s">
        <v>1174</v>
      </c>
      <c r="C904" s="1">
        <v>10050108</v>
      </c>
      <c r="D904" s="1" t="s">
        <v>1173</v>
      </c>
    </row>
    <row r="905" spans="1:4" x14ac:dyDescent="0.35">
      <c r="A905" s="1">
        <v>4038575</v>
      </c>
      <c r="B905" s="1" t="s">
        <v>1174</v>
      </c>
      <c r="C905" s="1">
        <v>10030903</v>
      </c>
      <c r="D905" s="1" t="s">
        <v>1173</v>
      </c>
    </row>
    <row r="906" spans="1:4" x14ac:dyDescent="0.35">
      <c r="A906" s="1">
        <v>4038576</v>
      </c>
      <c r="B906" s="1" t="s">
        <v>1174</v>
      </c>
      <c r="C906" s="1">
        <v>10030903</v>
      </c>
      <c r="D906" s="1" t="s">
        <v>1173</v>
      </c>
    </row>
    <row r="907" spans="1:4" x14ac:dyDescent="0.35">
      <c r="A907" s="1">
        <v>4038577</v>
      </c>
      <c r="B907" s="1" t="s">
        <v>1174</v>
      </c>
      <c r="C907" s="1">
        <v>10030201</v>
      </c>
      <c r="D907" s="1" t="s">
        <v>1173</v>
      </c>
    </row>
    <row r="908" spans="1:4" x14ac:dyDescent="0.35">
      <c r="A908" s="1">
        <v>4038578</v>
      </c>
      <c r="B908" s="1" t="s">
        <v>1174</v>
      </c>
      <c r="C908" s="1">
        <v>10039999</v>
      </c>
      <c r="D908" s="1" t="s">
        <v>1173</v>
      </c>
    </row>
    <row r="909" spans="1:4" x14ac:dyDescent="0.35">
      <c r="A909" s="1">
        <v>4038579</v>
      </c>
      <c r="B909" s="1" t="s">
        <v>1174</v>
      </c>
      <c r="C909" s="1">
        <v>10030903</v>
      </c>
      <c r="D909" s="1" t="s">
        <v>1173</v>
      </c>
    </row>
    <row r="910" spans="1:4" x14ac:dyDescent="0.35">
      <c r="A910" s="1">
        <v>4038580</v>
      </c>
      <c r="B910" s="1" t="s">
        <v>1174</v>
      </c>
      <c r="C910" s="1">
        <v>10030904</v>
      </c>
      <c r="D910" s="1" t="s">
        <v>1173</v>
      </c>
    </row>
    <row r="911" spans="1:4" x14ac:dyDescent="0.35">
      <c r="A911" s="1">
        <v>4038581</v>
      </c>
      <c r="B911" s="1" t="s">
        <v>1174</v>
      </c>
      <c r="C911" s="1">
        <v>10030904</v>
      </c>
      <c r="D911" s="1" t="s">
        <v>1173</v>
      </c>
    </row>
    <row r="912" spans="1:4" x14ac:dyDescent="0.35">
      <c r="A912" s="1">
        <v>4038582</v>
      </c>
      <c r="B912" s="1" t="s">
        <v>1174</v>
      </c>
      <c r="C912" s="1">
        <v>10030904</v>
      </c>
      <c r="D912" s="1" t="s">
        <v>1173</v>
      </c>
    </row>
    <row r="913" spans="1:4" x14ac:dyDescent="0.35">
      <c r="A913" s="1">
        <v>4038583</v>
      </c>
      <c r="B913" s="1" t="s">
        <v>1174</v>
      </c>
      <c r="C913" s="1">
        <v>10030201</v>
      </c>
      <c r="D913" s="1" t="s">
        <v>1173</v>
      </c>
    </row>
    <row r="914" spans="1:4" x14ac:dyDescent="0.35">
      <c r="A914" s="1">
        <v>4038584</v>
      </c>
      <c r="B914" s="1" t="s">
        <v>1174</v>
      </c>
      <c r="C914" s="1">
        <v>10030201</v>
      </c>
      <c r="D914" s="1" t="s">
        <v>1173</v>
      </c>
    </row>
    <row r="915" spans="1:4" x14ac:dyDescent="0.35">
      <c r="A915" s="1">
        <v>4038585</v>
      </c>
      <c r="B915" s="1" t="s">
        <v>1174</v>
      </c>
      <c r="C915" s="1">
        <v>10030201</v>
      </c>
      <c r="D915" s="1" t="s">
        <v>1173</v>
      </c>
    </row>
    <row r="916" spans="1:4" x14ac:dyDescent="0.35">
      <c r="A916" s="1">
        <v>4038586</v>
      </c>
      <c r="B916" s="1" t="s">
        <v>1174</v>
      </c>
      <c r="C916" s="1">
        <v>10050108</v>
      </c>
      <c r="D916" s="1" t="s">
        <v>1173</v>
      </c>
    </row>
    <row r="917" spans="1:4" x14ac:dyDescent="0.35">
      <c r="A917" s="1">
        <v>4038643</v>
      </c>
      <c r="B917" s="1" t="s">
        <v>1174</v>
      </c>
      <c r="C917" s="1">
        <v>10050606</v>
      </c>
      <c r="D917" s="1" t="s">
        <v>1173</v>
      </c>
    </row>
    <row r="918" spans="1:4" x14ac:dyDescent="0.35">
      <c r="A918" s="1">
        <v>4038644</v>
      </c>
      <c r="B918" s="1" t="s">
        <v>1174</v>
      </c>
      <c r="C918" s="1">
        <v>10050606</v>
      </c>
      <c r="D918" s="1" t="s">
        <v>1173</v>
      </c>
    </row>
    <row r="919" spans="1:4" x14ac:dyDescent="0.35">
      <c r="A919" s="1">
        <v>4038645</v>
      </c>
      <c r="B919" s="1" t="s">
        <v>1174</v>
      </c>
      <c r="C919" s="1">
        <v>10050606</v>
      </c>
      <c r="D919" s="1" t="s">
        <v>1173</v>
      </c>
    </row>
    <row r="920" spans="1:4" x14ac:dyDescent="0.35">
      <c r="A920" s="1">
        <v>4038646</v>
      </c>
      <c r="B920" s="1" t="s">
        <v>1174</v>
      </c>
      <c r="C920" s="1">
        <v>10050606</v>
      </c>
      <c r="D920" s="1" t="s">
        <v>1173</v>
      </c>
    </row>
    <row r="921" spans="1:4" x14ac:dyDescent="0.35">
      <c r="A921" s="1">
        <v>4038647</v>
      </c>
      <c r="B921" s="1" t="s">
        <v>1174</v>
      </c>
      <c r="C921" s="1">
        <v>10050606</v>
      </c>
      <c r="D921" s="1" t="s">
        <v>1173</v>
      </c>
    </row>
    <row r="922" spans="1:4" x14ac:dyDescent="0.35">
      <c r="A922" s="1">
        <v>4038648</v>
      </c>
      <c r="B922" s="1" t="s">
        <v>1174</v>
      </c>
      <c r="C922" s="1">
        <v>10050606</v>
      </c>
      <c r="D922" s="1" t="s">
        <v>1173</v>
      </c>
    </row>
    <row r="923" spans="1:4" x14ac:dyDescent="0.35">
      <c r="A923" s="1">
        <v>4038649</v>
      </c>
      <c r="B923" s="1" t="s">
        <v>1174</v>
      </c>
      <c r="C923" s="1">
        <v>10080301</v>
      </c>
      <c r="D923" s="1" t="s">
        <v>1173</v>
      </c>
    </row>
    <row r="924" spans="1:4" x14ac:dyDescent="0.35">
      <c r="A924" s="1">
        <v>4038650</v>
      </c>
      <c r="B924" s="1" t="s">
        <v>1174</v>
      </c>
      <c r="C924" s="1">
        <v>10060502</v>
      </c>
      <c r="D924" s="1" t="s">
        <v>1173</v>
      </c>
    </row>
    <row r="925" spans="1:4" x14ac:dyDescent="0.35">
      <c r="A925" s="1">
        <v>4038735</v>
      </c>
      <c r="B925" s="1" t="s">
        <v>1174</v>
      </c>
      <c r="C925" s="1">
        <v>10050701</v>
      </c>
      <c r="D925" s="1" t="s">
        <v>1173</v>
      </c>
    </row>
    <row r="926" spans="1:4" x14ac:dyDescent="0.35">
      <c r="A926" s="1">
        <v>4038736</v>
      </c>
      <c r="B926" s="1" t="s">
        <v>1174</v>
      </c>
      <c r="C926" s="1">
        <v>10050701</v>
      </c>
      <c r="D926" s="1" t="s">
        <v>1173</v>
      </c>
    </row>
    <row r="927" spans="1:4" x14ac:dyDescent="0.35">
      <c r="A927" s="1">
        <v>4038737</v>
      </c>
      <c r="B927" s="1" t="s">
        <v>1174</v>
      </c>
      <c r="C927" s="1">
        <v>10050701</v>
      </c>
      <c r="D927" s="1" t="s">
        <v>1173</v>
      </c>
    </row>
    <row r="928" spans="1:4" x14ac:dyDescent="0.35">
      <c r="A928" s="1">
        <v>4038742</v>
      </c>
      <c r="B928" s="1" t="s">
        <v>1174</v>
      </c>
      <c r="C928" s="1">
        <v>10050701</v>
      </c>
      <c r="D928" s="1" t="s">
        <v>1173</v>
      </c>
    </row>
    <row r="929" spans="1:4" x14ac:dyDescent="0.35">
      <c r="A929" s="1">
        <v>4038743</v>
      </c>
      <c r="B929" s="1" t="s">
        <v>1174</v>
      </c>
      <c r="C929" s="1">
        <v>10050701</v>
      </c>
      <c r="D929" s="1" t="s">
        <v>1173</v>
      </c>
    </row>
    <row r="930" spans="1:4" x14ac:dyDescent="0.35">
      <c r="A930" s="1">
        <v>4039173</v>
      </c>
      <c r="B930" s="1" t="s">
        <v>1174</v>
      </c>
      <c r="C930" s="1">
        <v>10080301</v>
      </c>
      <c r="D930" s="1" t="s">
        <v>1173</v>
      </c>
    </row>
    <row r="931" spans="1:4" x14ac:dyDescent="0.35">
      <c r="A931" s="1">
        <v>4039174</v>
      </c>
      <c r="B931" s="1" t="s">
        <v>1174</v>
      </c>
      <c r="C931" s="1">
        <v>10080301</v>
      </c>
      <c r="D931" s="1" t="s">
        <v>1173</v>
      </c>
    </row>
    <row r="932" spans="1:4" x14ac:dyDescent="0.35">
      <c r="A932" s="1">
        <v>4039175</v>
      </c>
      <c r="B932" s="1" t="s">
        <v>1174</v>
      </c>
      <c r="C932" s="1">
        <v>10080301</v>
      </c>
      <c r="D932" s="1" t="s">
        <v>1173</v>
      </c>
    </row>
    <row r="933" spans="1:4" x14ac:dyDescent="0.35">
      <c r="A933" s="1">
        <v>4039176</v>
      </c>
      <c r="B933" s="1" t="s">
        <v>1174</v>
      </c>
      <c r="C933" s="1">
        <v>10080301</v>
      </c>
      <c r="D933" s="1" t="s">
        <v>1173</v>
      </c>
    </row>
    <row r="934" spans="1:4" x14ac:dyDescent="0.35">
      <c r="A934" s="1">
        <v>4039177</v>
      </c>
      <c r="B934" s="1" t="s">
        <v>1174</v>
      </c>
      <c r="C934" s="1">
        <v>10080301</v>
      </c>
      <c r="D934" s="1" t="s">
        <v>1173</v>
      </c>
    </row>
    <row r="935" spans="1:4" x14ac:dyDescent="0.35">
      <c r="A935" s="1">
        <v>4039951</v>
      </c>
      <c r="B935" s="1" t="s">
        <v>1174</v>
      </c>
      <c r="C935" s="1">
        <v>10060502</v>
      </c>
      <c r="D935" s="1" t="s">
        <v>1173</v>
      </c>
    </row>
    <row r="936" spans="1:4" x14ac:dyDescent="0.35">
      <c r="A936" s="1">
        <v>4039952</v>
      </c>
      <c r="B936" s="1" t="s">
        <v>1174</v>
      </c>
      <c r="C936" s="1">
        <v>10080301</v>
      </c>
      <c r="D936" s="1" t="s">
        <v>1173</v>
      </c>
    </row>
    <row r="937" spans="1:4" x14ac:dyDescent="0.35">
      <c r="A937" s="1">
        <v>4039953</v>
      </c>
      <c r="B937" s="1" t="s">
        <v>1174</v>
      </c>
      <c r="C937" s="1">
        <v>10060502</v>
      </c>
      <c r="D937" s="1" t="s">
        <v>1173</v>
      </c>
    </row>
    <row r="938" spans="1:4" x14ac:dyDescent="0.35">
      <c r="A938" s="1">
        <v>4039954</v>
      </c>
      <c r="B938" s="1" t="s">
        <v>1174</v>
      </c>
      <c r="C938" s="1">
        <v>10050303</v>
      </c>
      <c r="D938" s="1" t="s">
        <v>1173</v>
      </c>
    </row>
    <row r="939" spans="1:4" x14ac:dyDescent="0.35">
      <c r="A939" s="1">
        <v>4039955</v>
      </c>
      <c r="B939" s="1" t="s">
        <v>1174</v>
      </c>
      <c r="C939" s="1">
        <v>10060502</v>
      </c>
      <c r="D939" s="1" t="s">
        <v>1173</v>
      </c>
    </row>
    <row r="940" spans="1:4" x14ac:dyDescent="0.35">
      <c r="A940" s="1">
        <v>4039956</v>
      </c>
      <c r="B940" s="1" t="s">
        <v>1174</v>
      </c>
      <c r="C940" s="1">
        <v>10050103</v>
      </c>
      <c r="D940" s="1" t="s">
        <v>1173</v>
      </c>
    </row>
    <row r="941" spans="1:4" x14ac:dyDescent="0.35">
      <c r="A941" s="1">
        <v>4043184</v>
      </c>
      <c r="B941" s="1" t="s">
        <v>1174</v>
      </c>
      <c r="C941" s="1">
        <v>10050404</v>
      </c>
      <c r="D941" s="1" t="s">
        <v>1173</v>
      </c>
    </row>
    <row r="942" spans="1:4" x14ac:dyDescent="0.35">
      <c r="A942" s="1">
        <v>4044449</v>
      </c>
      <c r="B942" s="1" t="s">
        <v>1174</v>
      </c>
      <c r="C942" s="1">
        <v>10050606</v>
      </c>
      <c r="D942" s="1" t="s">
        <v>1173</v>
      </c>
    </row>
    <row r="943" spans="1:4" x14ac:dyDescent="0.35">
      <c r="A943" s="1">
        <v>4044451</v>
      </c>
      <c r="B943" s="1" t="s">
        <v>1174</v>
      </c>
      <c r="C943" s="1">
        <v>10030303</v>
      </c>
      <c r="D943" s="1" t="s">
        <v>1173</v>
      </c>
    </row>
    <row r="944" spans="1:4" x14ac:dyDescent="0.35">
      <c r="A944" s="1">
        <v>4044453</v>
      </c>
      <c r="B944" s="1" t="s">
        <v>1174</v>
      </c>
      <c r="C944" s="1">
        <v>10030906</v>
      </c>
      <c r="D944" s="1" t="s">
        <v>1173</v>
      </c>
    </row>
    <row r="945" spans="1:4" x14ac:dyDescent="0.35">
      <c r="A945" s="1">
        <v>4044460</v>
      </c>
      <c r="B945" s="1" t="s">
        <v>1174</v>
      </c>
      <c r="C945" s="1">
        <v>10060202</v>
      </c>
      <c r="D945" s="1" t="s">
        <v>1173</v>
      </c>
    </row>
    <row r="946" spans="1:4" x14ac:dyDescent="0.35">
      <c r="A946" s="1">
        <v>4044461</v>
      </c>
      <c r="B946" s="1" t="s">
        <v>1174</v>
      </c>
      <c r="C946" s="1">
        <v>10030904</v>
      </c>
      <c r="D946" s="1" t="s">
        <v>1173</v>
      </c>
    </row>
    <row r="947" spans="1:4" x14ac:dyDescent="0.35">
      <c r="A947" s="1">
        <v>4044462</v>
      </c>
      <c r="B947" s="1" t="s">
        <v>1174</v>
      </c>
      <c r="C947" s="1">
        <v>10030904</v>
      </c>
      <c r="D947" s="1" t="s">
        <v>1173</v>
      </c>
    </row>
    <row r="948" spans="1:4" x14ac:dyDescent="0.35">
      <c r="A948" s="1">
        <v>4044466</v>
      </c>
      <c r="B948" s="1" t="s">
        <v>1174</v>
      </c>
      <c r="C948" s="1">
        <v>10030905</v>
      </c>
      <c r="D948" s="1" t="s">
        <v>1173</v>
      </c>
    </row>
    <row r="949" spans="1:4" x14ac:dyDescent="0.35">
      <c r="A949" s="1">
        <v>4044863</v>
      </c>
      <c r="B949" s="1" t="s">
        <v>1174</v>
      </c>
      <c r="C949" s="1">
        <v>10070398</v>
      </c>
      <c r="D949" s="1" t="s">
        <v>1173</v>
      </c>
    </row>
    <row r="950" spans="1:4" x14ac:dyDescent="0.35">
      <c r="A950" s="1">
        <v>4044864</v>
      </c>
      <c r="B950" s="1" t="s">
        <v>1174</v>
      </c>
      <c r="C950" s="1">
        <v>10070398</v>
      </c>
      <c r="D950" s="1" t="s">
        <v>1173</v>
      </c>
    </row>
    <row r="951" spans="1:4" x14ac:dyDescent="0.35">
      <c r="A951" s="1">
        <v>4045013</v>
      </c>
      <c r="B951" s="1" t="s">
        <v>1174</v>
      </c>
      <c r="C951" s="1">
        <v>10050603</v>
      </c>
      <c r="D951" s="1" t="s">
        <v>1173</v>
      </c>
    </row>
    <row r="952" spans="1:4" x14ac:dyDescent="0.35">
      <c r="A952" s="1">
        <v>4045014</v>
      </c>
      <c r="B952" s="1" t="s">
        <v>1174</v>
      </c>
      <c r="C952" s="1">
        <v>10050603</v>
      </c>
      <c r="D952" s="1" t="s">
        <v>1173</v>
      </c>
    </row>
    <row r="953" spans="1:4" x14ac:dyDescent="0.35">
      <c r="A953" s="1">
        <v>4045015</v>
      </c>
      <c r="B953" s="1" t="s">
        <v>1174</v>
      </c>
      <c r="C953" s="1">
        <v>10060399</v>
      </c>
      <c r="D953" s="1" t="s">
        <v>1173</v>
      </c>
    </row>
    <row r="954" spans="1:4" x14ac:dyDescent="0.35">
      <c r="A954" s="1">
        <v>4045017</v>
      </c>
      <c r="B954" s="1" t="s">
        <v>1174</v>
      </c>
      <c r="C954" s="1">
        <v>10030403</v>
      </c>
      <c r="D954" s="1" t="s">
        <v>1173</v>
      </c>
    </row>
    <row r="955" spans="1:4" x14ac:dyDescent="0.35">
      <c r="A955" s="1">
        <v>4045018</v>
      </c>
      <c r="B955" s="1" t="s">
        <v>1174</v>
      </c>
      <c r="C955" s="1">
        <v>10030403</v>
      </c>
      <c r="D955" s="1" t="s">
        <v>1173</v>
      </c>
    </row>
    <row r="956" spans="1:4" x14ac:dyDescent="0.35">
      <c r="A956" s="1">
        <v>4045019</v>
      </c>
      <c r="B956" s="1" t="s">
        <v>1174</v>
      </c>
      <c r="C956" s="1">
        <v>10039999</v>
      </c>
      <c r="D956" s="1" t="s">
        <v>1173</v>
      </c>
    </row>
    <row r="957" spans="1:4" x14ac:dyDescent="0.35">
      <c r="A957" s="1">
        <v>4045020</v>
      </c>
      <c r="B957" s="1" t="s">
        <v>1174</v>
      </c>
      <c r="C957" s="1">
        <v>10050109</v>
      </c>
      <c r="D957" s="1" t="s">
        <v>1173</v>
      </c>
    </row>
    <row r="958" spans="1:4" x14ac:dyDescent="0.35">
      <c r="A958" s="1">
        <v>4045021</v>
      </c>
      <c r="B958" s="1" t="s">
        <v>1174</v>
      </c>
      <c r="C958" s="1">
        <v>10030904</v>
      </c>
      <c r="D958" s="1" t="s">
        <v>1173</v>
      </c>
    </row>
    <row r="959" spans="1:4" x14ac:dyDescent="0.35">
      <c r="A959" s="1">
        <v>4045024</v>
      </c>
      <c r="B959" s="1" t="s">
        <v>1174</v>
      </c>
      <c r="C959" s="1">
        <v>10030904</v>
      </c>
      <c r="D959" s="1" t="s">
        <v>1173</v>
      </c>
    </row>
    <row r="960" spans="1:4" x14ac:dyDescent="0.35">
      <c r="A960" s="1">
        <v>4045025</v>
      </c>
      <c r="B960" s="1" t="s">
        <v>1174</v>
      </c>
      <c r="C960" s="1">
        <v>10050305</v>
      </c>
      <c r="D960" s="1" t="s">
        <v>1173</v>
      </c>
    </row>
    <row r="961" spans="1:4" x14ac:dyDescent="0.35">
      <c r="A961" s="1">
        <v>4045026</v>
      </c>
      <c r="B961" s="1" t="s">
        <v>1174</v>
      </c>
      <c r="C961" s="1">
        <v>10050305</v>
      </c>
      <c r="D961" s="1" t="s">
        <v>1173</v>
      </c>
    </row>
    <row r="962" spans="1:4" x14ac:dyDescent="0.35">
      <c r="A962" s="1">
        <v>4045027</v>
      </c>
      <c r="B962" s="1" t="s">
        <v>1174</v>
      </c>
      <c r="C962" s="1">
        <v>10050801</v>
      </c>
      <c r="D962" s="1" t="s">
        <v>1173</v>
      </c>
    </row>
    <row r="963" spans="1:4" x14ac:dyDescent="0.35">
      <c r="A963" s="1">
        <v>4045028</v>
      </c>
      <c r="B963" s="1" t="s">
        <v>1174</v>
      </c>
      <c r="C963" s="1">
        <v>10050801</v>
      </c>
      <c r="D963" s="1" t="s">
        <v>1173</v>
      </c>
    </row>
    <row r="964" spans="1:4" x14ac:dyDescent="0.35">
      <c r="A964" s="1">
        <v>4045029</v>
      </c>
      <c r="B964" s="1" t="s">
        <v>1174</v>
      </c>
      <c r="C964" s="1">
        <v>10050801</v>
      </c>
      <c r="D964" s="1" t="s">
        <v>1173</v>
      </c>
    </row>
    <row r="965" spans="1:4" x14ac:dyDescent="0.35">
      <c r="A965" s="1">
        <v>4045030</v>
      </c>
      <c r="B965" s="1" t="s">
        <v>1174</v>
      </c>
      <c r="C965" s="1">
        <v>10050801</v>
      </c>
      <c r="D965" s="1" t="s">
        <v>1173</v>
      </c>
    </row>
    <row r="966" spans="1:4" x14ac:dyDescent="0.35">
      <c r="A966" s="1">
        <v>4045031</v>
      </c>
      <c r="B966" s="1" t="s">
        <v>1174</v>
      </c>
      <c r="C966" s="1">
        <v>10050801</v>
      </c>
      <c r="D966" s="1" t="s">
        <v>1173</v>
      </c>
    </row>
    <row r="967" spans="1:4" x14ac:dyDescent="0.35">
      <c r="A967" s="1">
        <v>4045032</v>
      </c>
      <c r="B967" s="1" t="s">
        <v>1174</v>
      </c>
      <c r="C967" s="1">
        <v>10060399</v>
      </c>
      <c r="D967" s="1" t="s">
        <v>1173</v>
      </c>
    </row>
    <row r="968" spans="1:4" x14ac:dyDescent="0.35">
      <c r="A968" s="1">
        <v>4045033</v>
      </c>
      <c r="B968" s="1" t="s">
        <v>1174</v>
      </c>
      <c r="C968" s="1">
        <v>10030508</v>
      </c>
      <c r="D968" s="1" t="s">
        <v>1173</v>
      </c>
    </row>
    <row r="969" spans="1:4" x14ac:dyDescent="0.35">
      <c r="A969" s="1">
        <v>4045034</v>
      </c>
      <c r="B969" s="1" t="s">
        <v>1174</v>
      </c>
      <c r="C969" s="1">
        <v>10030508</v>
      </c>
      <c r="D969" s="1" t="s">
        <v>1173</v>
      </c>
    </row>
    <row r="970" spans="1:4" x14ac:dyDescent="0.35">
      <c r="A970" s="1">
        <v>4045035</v>
      </c>
      <c r="B970" s="1" t="s">
        <v>1174</v>
      </c>
      <c r="C970" s="1">
        <v>10030508</v>
      </c>
      <c r="D970" s="1" t="s">
        <v>1173</v>
      </c>
    </row>
    <row r="971" spans="1:4" x14ac:dyDescent="0.35">
      <c r="A971" s="1">
        <v>4045037</v>
      </c>
      <c r="B971" s="1" t="s">
        <v>1174</v>
      </c>
      <c r="C971" s="1">
        <v>10030508</v>
      </c>
      <c r="D971" s="1" t="s">
        <v>1173</v>
      </c>
    </row>
    <row r="972" spans="1:4" x14ac:dyDescent="0.35">
      <c r="A972" s="1">
        <v>4045038</v>
      </c>
      <c r="B972" s="1" t="s">
        <v>1174</v>
      </c>
      <c r="C972" s="1">
        <v>10030508</v>
      </c>
      <c r="D972" s="1" t="s">
        <v>1173</v>
      </c>
    </row>
    <row r="973" spans="1:4" x14ac:dyDescent="0.35">
      <c r="A973" s="1">
        <v>4045039</v>
      </c>
      <c r="B973" s="1" t="s">
        <v>1174</v>
      </c>
      <c r="C973" s="1">
        <v>10030508</v>
      </c>
      <c r="D973" s="1" t="s">
        <v>1173</v>
      </c>
    </row>
    <row r="974" spans="1:4" x14ac:dyDescent="0.35">
      <c r="A974" s="1">
        <v>4045042</v>
      </c>
      <c r="B974" s="1" t="s">
        <v>1174</v>
      </c>
      <c r="C974" s="1">
        <v>10050102</v>
      </c>
      <c r="D974" s="1" t="s">
        <v>1173</v>
      </c>
    </row>
    <row r="975" spans="1:4" x14ac:dyDescent="0.35">
      <c r="A975" s="1">
        <v>4045055</v>
      </c>
      <c r="B975" s="1" t="s">
        <v>1174</v>
      </c>
      <c r="C975" s="1">
        <v>10030904</v>
      </c>
      <c r="D975" s="1" t="s">
        <v>1173</v>
      </c>
    </row>
    <row r="976" spans="1:4" x14ac:dyDescent="0.35">
      <c r="A976" s="1">
        <v>4045056</v>
      </c>
      <c r="B976" s="1" t="s">
        <v>1174</v>
      </c>
      <c r="C976" s="1">
        <v>10030904</v>
      </c>
      <c r="D976" s="1" t="s">
        <v>1173</v>
      </c>
    </row>
    <row r="977" spans="1:4" x14ac:dyDescent="0.35">
      <c r="A977" s="1">
        <v>4045057</v>
      </c>
      <c r="B977" s="1" t="s">
        <v>1174</v>
      </c>
      <c r="C977" s="1">
        <v>10030904</v>
      </c>
      <c r="D977" s="1" t="s">
        <v>1173</v>
      </c>
    </row>
    <row r="978" spans="1:4" x14ac:dyDescent="0.35">
      <c r="A978" s="1">
        <v>4045060</v>
      </c>
      <c r="B978" s="1" t="s">
        <v>1174</v>
      </c>
      <c r="C978" s="1">
        <v>10039999</v>
      </c>
      <c r="D978" s="1" t="s">
        <v>1173</v>
      </c>
    </row>
    <row r="979" spans="1:4" x14ac:dyDescent="0.35">
      <c r="A979" s="1">
        <v>4045068</v>
      </c>
      <c r="B979" s="1" t="s">
        <v>1174</v>
      </c>
      <c r="C979" s="1">
        <v>10030905</v>
      </c>
      <c r="D979" s="1" t="s">
        <v>1173</v>
      </c>
    </row>
    <row r="980" spans="1:4" x14ac:dyDescent="0.35">
      <c r="A980" s="1">
        <v>4045081</v>
      </c>
      <c r="B980" s="1" t="s">
        <v>1174</v>
      </c>
      <c r="C980" s="1">
        <v>10030905</v>
      </c>
      <c r="D980" s="1" t="s">
        <v>1173</v>
      </c>
    </row>
    <row r="981" spans="1:4" x14ac:dyDescent="0.35">
      <c r="A981" s="1">
        <v>4045333</v>
      </c>
      <c r="B981" s="1" t="s">
        <v>1174</v>
      </c>
      <c r="C981" s="1">
        <v>10030303</v>
      </c>
      <c r="D981" s="1" t="s">
        <v>1173</v>
      </c>
    </row>
    <row r="982" spans="1:4" x14ac:dyDescent="0.35">
      <c r="A982" s="1">
        <v>4045334</v>
      </c>
      <c r="B982" s="1" t="s">
        <v>1174</v>
      </c>
      <c r="C982" s="1">
        <v>10030303</v>
      </c>
      <c r="D982" s="1" t="s">
        <v>1173</v>
      </c>
    </row>
    <row r="983" spans="1:4" x14ac:dyDescent="0.35">
      <c r="A983" s="1">
        <v>4045335</v>
      </c>
      <c r="B983" s="1" t="s">
        <v>1174</v>
      </c>
      <c r="C983" s="1">
        <v>10030303</v>
      </c>
      <c r="D983" s="1" t="s">
        <v>1173</v>
      </c>
    </row>
    <row r="984" spans="1:4" x14ac:dyDescent="0.35">
      <c r="A984" s="1">
        <v>4045337</v>
      </c>
      <c r="B984" s="1" t="s">
        <v>1174</v>
      </c>
      <c r="C984" s="1">
        <v>10039999</v>
      </c>
      <c r="D984" s="1" t="s">
        <v>1173</v>
      </c>
    </row>
    <row r="985" spans="1:4" x14ac:dyDescent="0.35">
      <c r="A985" s="1">
        <v>4045338</v>
      </c>
      <c r="B985" s="1" t="s">
        <v>1174</v>
      </c>
      <c r="C985" s="1">
        <v>10039999</v>
      </c>
      <c r="D985" s="1" t="s">
        <v>1173</v>
      </c>
    </row>
    <row r="986" spans="1:4" x14ac:dyDescent="0.35">
      <c r="A986" s="1">
        <v>4045339</v>
      </c>
      <c r="B986" s="1" t="s">
        <v>1174</v>
      </c>
      <c r="C986" s="1">
        <v>10039999</v>
      </c>
      <c r="D986" s="1" t="s">
        <v>1173</v>
      </c>
    </row>
    <row r="987" spans="1:4" x14ac:dyDescent="0.35">
      <c r="A987" s="1">
        <v>4045370</v>
      </c>
      <c r="B987" s="1" t="s">
        <v>1174</v>
      </c>
      <c r="C987" s="1">
        <v>10030904</v>
      </c>
      <c r="D987" s="1" t="s">
        <v>1173</v>
      </c>
    </row>
    <row r="988" spans="1:4" x14ac:dyDescent="0.35">
      <c r="A988" s="1">
        <v>4045373</v>
      </c>
      <c r="B988" s="1" t="s">
        <v>1174</v>
      </c>
      <c r="C988" s="1">
        <v>10030303</v>
      </c>
      <c r="D988" s="1" t="s">
        <v>1173</v>
      </c>
    </row>
    <row r="989" spans="1:4" x14ac:dyDescent="0.35">
      <c r="A989" s="1">
        <v>4045608</v>
      </c>
      <c r="B989" s="1" t="s">
        <v>1174</v>
      </c>
      <c r="C989" s="1">
        <v>10030404</v>
      </c>
      <c r="D989" s="1" t="s">
        <v>1173</v>
      </c>
    </row>
    <row r="990" spans="1:4" x14ac:dyDescent="0.35">
      <c r="A990" s="1">
        <v>4046090</v>
      </c>
      <c r="B990" s="1" t="s">
        <v>1174</v>
      </c>
      <c r="C990" s="1">
        <v>10060399</v>
      </c>
      <c r="D990" s="1" t="s">
        <v>1173</v>
      </c>
    </row>
    <row r="991" spans="1:4" x14ac:dyDescent="0.35">
      <c r="A991" s="1">
        <v>4046091</v>
      </c>
      <c r="B991" s="1" t="s">
        <v>1174</v>
      </c>
      <c r="C991" s="1">
        <v>10060399</v>
      </c>
      <c r="D991" s="1" t="s">
        <v>1175</v>
      </c>
    </row>
    <row r="992" spans="1:4" x14ac:dyDescent="0.35">
      <c r="A992" s="1">
        <v>4046092</v>
      </c>
      <c r="B992" s="1" t="s">
        <v>1174</v>
      </c>
      <c r="C992" s="1">
        <v>10060399</v>
      </c>
      <c r="D992" s="1" t="s">
        <v>1175</v>
      </c>
    </row>
    <row r="993" spans="1:4" x14ac:dyDescent="0.35">
      <c r="A993" s="1">
        <v>4046093</v>
      </c>
      <c r="B993" s="1" t="s">
        <v>1174</v>
      </c>
      <c r="C993" s="1">
        <v>10030405</v>
      </c>
      <c r="D993" s="1" t="s">
        <v>1173</v>
      </c>
    </row>
    <row r="994" spans="1:4" x14ac:dyDescent="0.35">
      <c r="A994" s="1">
        <v>4046094</v>
      </c>
      <c r="B994" s="1" t="s">
        <v>1174</v>
      </c>
      <c r="C994" s="1">
        <v>10030403</v>
      </c>
      <c r="D994" s="1" t="s">
        <v>1175</v>
      </c>
    </row>
    <row r="995" spans="1:4" x14ac:dyDescent="0.35">
      <c r="A995" s="1">
        <v>4046095</v>
      </c>
      <c r="B995" s="1" t="s">
        <v>1174</v>
      </c>
      <c r="C995" s="1">
        <v>10060499</v>
      </c>
      <c r="D995" s="1" t="s">
        <v>1173</v>
      </c>
    </row>
    <row r="996" spans="1:4" x14ac:dyDescent="0.35">
      <c r="A996" s="1">
        <v>4046096</v>
      </c>
      <c r="B996" s="1" t="s">
        <v>1174</v>
      </c>
      <c r="C996" s="1">
        <v>10060499</v>
      </c>
      <c r="D996" s="1" t="s">
        <v>1173</v>
      </c>
    </row>
    <row r="997" spans="1:4" x14ac:dyDescent="0.35">
      <c r="A997" s="1">
        <v>4046097</v>
      </c>
      <c r="B997" s="1" t="s">
        <v>1174</v>
      </c>
      <c r="C997" s="1">
        <v>10050606</v>
      </c>
      <c r="D997" s="1" t="s">
        <v>1173</v>
      </c>
    </row>
    <row r="998" spans="1:4" x14ac:dyDescent="0.35">
      <c r="A998" s="1">
        <v>4046098</v>
      </c>
      <c r="B998" s="1" t="s">
        <v>1174</v>
      </c>
      <c r="C998" s="1">
        <v>10060514</v>
      </c>
      <c r="D998" s="1" t="s">
        <v>1173</v>
      </c>
    </row>
    <row r="999" spans="1:4" x14ac:dyDescent="0.35">
      <c r="A999" s="1">
        <v>4046099</v>
      </c>
      <c r="B999" s="1" t="s">
        <v>1174</v>
      </c>
      <c r="C999" s="1">
        <v>10060514</v>
      </c>
      <c r="D999" s="1" t="s">
        <v>1173</v>
      </c>
    </row>
    <row r="1000" spans="1:4" x14ac:dyDescent="0.35">
      <c r="A1000" s="1">
        <v>4046100</v>
      </c>
      <c r="B1000" s="1" t="s">
        <v>1174</v>
      </c>
      <c r="C1000" s="1">
        <v>10050606</v>
      </c>
      <c r="D1000" s="1" t="s">
        <v>1173</v>
      </c>
    </row>
    <row r="1001" spans="1:4" x14ac:dyDescent="0.35">
      <c r="A1001" s="1">
        <v>4046101</v>
      </c>
      <c r="B1001" s="1" t="s">
        <v>1174</v>
      </c>
      <c r="C1001" s="1">
        <v>10050606</v>
      </c>
      <c r="D1001" s="1" t="s">
        <v>1173</v>
      </c>
    </row>
    <row r="1002" spans="1:4" x14ac:dyDescent="0.35">
      <c r="A1002" s="1">
        <v>4046102</v>
      </c>
      <c r="B1002" s="1" t="s">
        <v>1174</v>
      </c>
      <c r="C1002" s="1">
        <v>10050606</v>
      </c>
      <c r="D1002" s="1" t="s">
        <v>1173</v>
      </c>
    </row>
    <row r="1003" spans="1:4" x14ac:dyDescent="0.35">
      <c r="A1003" s="1">
        <v>4046103</v>
      </c>
      <c r="B1003" s="1" t="s">
        <v>1174</v>
      </c>
      <c r="C1003" s="1">
        <v>10050606</v>
      </c>
      <c r="D1003" s="1" t="s">
        <v>1173</v>
      </c>
    </row>
    <row r="1004" spans="1:4" x14ac:dyDescent="0.35">
      <c r="A1004" s="1">
        <v>4046119</v>
      </c>
      <c r="B1004" s="1" t="s">
        <v>1174</v>
      </c>
      <c r="C1004" s="1">
        <v>10030403</v>
      </c>
      <c r="D1004" s="1" t="s">
        <v>1173</v>
      </c>
    </row>
    <row r="1005" spans="1:4" x14ac:dyDescent="0.35">
      <c r="A1005" s="1">
        <v>4046120</v>
      </c>
      <c r="B1005" s="1" t="s">
        <v>1174</v>
      </c>
      <c r="C1005" s="1">
        <v>10030403</v>
      </c>
      <c r="D1005" s="1" t="s">
        <v>1173</v>
      </c>
    </row>
    <row r="1006" spans="1:4" x14ac:dyDescent="0.35">
      <c r="A1006" s="1">
        <v>4046121</v>
      </c>
      <c r="B1006" s="1" t="s">
        <v>1174</v>
      </c>
      <c r="C1006" s="1">
        <v>10030403</v>
      </c>
      <c r="D1006" s="1" t="s">
        <v>1173</v>
      </c>
    </row>
    <row r="1007" spans="1:4" x14ac:dyDescent="0.35">
      <c r="A1007" s="1">
        <v>4046122</v>
      </c>
      <c r="B1007" s="1" t="s">
        <v>1174</v>
      </c>
      <c r="C1007" s="1">
        <v>10030903</v>
      </c>
      <c r="D1007" s="1" t="s">
        <v>1173</v>
      </c>
    </row>
    <row r="1008" spans="1:4" x14ac:dyDescent="0.35">
      <c r="A1008" s="1">
        <v>4046123</v>
      </c>
      <c r="B1008" s="1" t="s">
        <v>1174</v>
      </c>
      <c r="C1008" s="1">
        <v>10030403</v>
      </c>
      <c r="D1008" s="1" t="s">
        <v>1173</v>
      </c>
    </row>
    <row r="1009" spans="1:4" x14ac:dyDescent="0.35">
      <c r="A1009" s="1">
        <v>4046124</v>
      </c>
      <c r="B1009" s="1" t="s">
        <v>1174</v>
      </c>
      <c r="C1009" s="1">
        <v>10030403</v>
      </c>
      <c r="D1009" s="1" t="s">
        <v>1173</v>
      </c>
    </row>
    <row r="1010" spans="1:4" x14ac:dyDescent="0.35">
      <c r="A1010" s="1">
        <v>4046125</v>
      </c>
      <c r="B1010" s="1" t="s">
        <v>1174</v>
      </c>
      <c r="C1010" s="1">
        <v>10030403</v>
      </c>
      <c r="D1010" s="1" t="s">
        <v>1173</v>
      </c>
    </row>
    <row r="1011" spans="1:4" x14ac:dyDescent="0.35">
      <c r="A1011" s="1">
        <v>4046126</v>
      </c>
      <c r="B1011" s="1" t="s">
        <v>1174</v>
      </c>
      <c r="C1011" s="1">
        <v>10030403</v>
      </c>
      <c r="D1011" s="1" t="s">
        <v>1173</v>
      </c>
    </row>
    <row r="1012" spans="1:4" x14ac:dyDescent="0.35">
      <c r="A1012" s="1">
        <v>4048468</v>
      </c>
      <c r="B1012" s="1" t="s">
        <v>1174</v>
      </c>
      <c r="C1012" s="1">
        <v>10030908</v>
      </c>
      <c r="D1012" s="1" t="s">
        <v>1173</v>
      </c>
    </row>
    <row r="1013" spans="1:4" x14ac:dyDescent="0.35">
      <c r="A1013" s="1">
        <v>4049107</v>
      </c>
      <c r="B1013" s="1" t="s">
        <v>1174</v>
      </c>
      <c r="C1013" s="1">
        <v>10031197</v>
      </c>
      <c r="D1013" s="1" t="s">
        <v>1173</v>
      </c>
    </row>
    <row r="1014" spans="1:4" x14ac:dyDescent="0.35">
      <c r="A1014" s="1">
        <v>4049121</v>
      </c>
      <c r="B1014" s="1" t="s">
        <v>1174</v>
      </c>
      <c r="C1014" s="1">
        <v>10030904</v>
      </c>
      <c r="D1014" s="1" t="s">
        <v>1173</v>
      </c>
    </row>
    <row r="1015" spans="1:4" x14ac:dyDescent="0.35">
      <c r="A1015" s="1">
        <v>4049360</v>
      </c>
      <c r="B1015" s="1" t="s">
        <v>1174</v>
      </c>
      <c r="C1015" s="1">
        <v>10040101</v>
      </c>
      <c r="D1015" s="1" t="s">
        <v>1173</v>
      </c>
    </row>
    <row r="1016" spans="1:4" x14ac:dyDescent="0.35">
      <c r="A1016" s="1">
        <v>4049385</v>
      </c>
      <c r="B1016" s="1" t="s">
        <v>1174</v>
      </c>
      <c r="C1016" s="1">
        <v>10050103</v>
      </c>
      <c r="D1016" s="1" t="s">
        <v>1173</v>
      </c>
    </row>
  </sheetData>
  <autoFilter ref="A10:D10" xr:uid="{30A650E6-D7F5-4D0B-A8C5-A82645C2E13A}"/>
  <mergeCells count="1">
    <mergeCell ref="A1:D1"/>
  </mergeCells>
  <conditionalFormatting sqref="A11:D1016">
    <cfRule type="expression" dxfId="14" priority="1">
      <formula>MOD(ROW(),2)=1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9A32-2B28-4321-90CD-5BEDD23C2BC5}">
  <dimension ref="A1:B1016"/>
  <sheetViews>
    <sheetView showGridLines="0" workbookViewId="0">
      <pane ySplit="10" topLeftCell="A11" activePane="bottomLeft" state="frozen"/>
      <selection pane="bottomLeft" activeCell="B3" sqref="B3"/>
    </sheetView>
  </sheetViews>
  <sheetFormatPr baseColWidth="10" defaultColWidth="8.90625" defaultRowHeight="14.5" x14ac:dyDescent="0.35"/>
  <cols>
    <col min="1" max="1" width="31" style="1" bestFit="1" customWidth="1"/>
    <col min="2" max="2" width="38" style="1" bestFit="1" customWidth="1"/>
    <col min="3" max="16384" width="8.90625" style="1"/>
  </cols>
  <sheetData>
    <row r="1" spans="1:2" ht="18.5" x14ac:dyDescent="0.45">
      <c r="A1" s="82" t="s">
        <v>3350</v>
      </c>
      <c r="B1" s="83"/>
    </row>
    <row r="3" spans="1:2" x14ac:dyDescent="0.35">
      <c r="A3" s="10" t="s">
        <v>0</v>
      </c>
      <c r="B3" s="16">
        <f>COUNTA(A11:A1016)</f>
        <v>1006</v>
      </c>
    </row>
    <row r="4" spans="1:2" x14ac:dyDescent="0.35">
      <c r="A4" s="11" t="s">
        <v>3351</v>
      </c>
      <c r="B4" s="17">
        <f>COUNTA(A11:A1016)</f>
        <v>1006</v>
      </c>
    </row>
    <row r="5" spans="1:2" x14ac:dyDescent="0.35">
      <c r="A5" s="11" t="s">
        <v>3352</v>
      </c>
      <c r="B5" s="18" cm="1">
        <f t="array" ref="B5">AVERAGE(LEN(B11:B1016))</f>
        <v>32.207753479125252</v>
      </c>
    </row>
    <row r="6" spans="1:2" x14ac:dyDescent="0.35">
      <c r="A6" s="11" t="s">
        <v>3353</v>
      </c>
      <c r="B6" s="17">
        <f>COUNTBLANK(B11:B1016)</f>
        <v>0</v>
      </c>
    </row>
    <row r="7" spans="1:2" x14ac:dyDescent="0.35">
      <c r="A7" s="11" t="s">
        <v>3354</v>
      </c>
      <c r="B7" s="17" cm="1">
        <f t="array" ref="B7">MAX(LEN(B11:B1016))</f>
        <v>40</v>
      </c>
    </row>
    <row r="8" spans="1:2" x14ac:dyDescent="0.35">
      <c r="A8" s="12" t="s">
        <v>3355</v>
      </c>
      <c r="B8" s="19" cm="1">
        <f t="array" ref="B8">MIN(LEN(B11:B1016))</f>
        <v>12</v>
      </c>
    </row>
    <row r="10" spans="1:2" x14ac:dyDescent="0.35">
      <c r="A10" s="14" t="s">
        <v>5</v>
      </c>
      <c r="B10" s="14" t="s">
        <v>1186</v>
      </c>
    </row>
    <row r="11" spans="1:2" x14ac:dyDescent="0.35">
      <c r="A11" s="2" t="s">
        <v>1187</v>
      </c>
      <c r="B11" s="2" t="s">
        <v>1188</v>
      </c>
    </row>
    <row r="12" spans="1:2" x14ac:dyDescent="0.35">
      <c r="A12" s="2" t="s">
        <v>1189</v>
      </c>
      <c r="B12" s="2" t="s">
        <v>1190</v>
      </c>
    </row>
    <row r="13" spans="1:2" x14ac:dyDescent="0.35">
      <c r="A13" s="2" t="s">
        <v>1191</v>
      </c>
      <c r="B13" s="2" t="s">
        <v>1192</v>
      </c>
    </row>
    <row r="14" spans="1:2" x14ac:dyDescent="0.35">
      <c r="A14" s="2" t="s">
        <v>1193</v>
      </c>
      <c r="B14" s="2" t="s">
        <v>1194</v>
      </c>
    </row>
    <row r="15" spans="1:2" x14ac:dyDescent="0.35">
      <c r="A15" s="2" t="s">
        <v>1195</v>
      </c>
      <c r="B15" s="2" t="s">
        <v>1196</v>
      </c>
    </row>
    <row r="16" spans="1:2" x14ac:dyDescent="0.35">
      <c r="A16" s="2" t="s">
        <v>1197</v>
      </c>
      <c r="B16" s="2" t="s">
        <v>1198</v>
      </c>
    </row>
    <row r="17" spans="1:2" x14ac:dyDescent="0.35">
      <c r="A17" s="2" t="s">
        <v>1199</v>
      </c>
      <c r="B17" s="2" t="s">
        <v>1200</v>
      </c>
    </row>
    <row r="18" spans="1:2" x14ac:dyDescent="0.35">
      <c r="A18" s="2" t="s">
        <v>1201</v>
      </c>
      <c r="B18" s="2" t="s">
        <v>1202</v>
      </c>
    </row>
    <row r="19" spans="1:2" x14ac:dyDescent="0.35">
      <c r="A19" s="2" t="s">
        <v>1203</v>
      </c>
      <c r="B19" s="2" t="s">
        <v>1204</v>
      </c>
    </row>
    <row r="20" spans="1:2" x14ac:dyDescent="0.35">
      <c r="A20" s="2" t="s">
        <v>1205</v>
      </c>
      <c r="B20" s="2" t="s">
        <v>1206</v>
      </c>
    </row>
    <row r="21" spans="1:2" x14ac:dyDescent="0.35">
      <c r="A21" s="2" t="s">
        <v>1207</v>
      </c>
      <c r="B21" s="2" t="s">
        <v>1208</v>
      </c>
    </row>
    <row r="22" spans="1:2" x14ac:dyDescent="0.35">
      <c r="A22" s="2" t="s">
        <v>1209</v>
      </c>
      <c r="B22" s="2" t="s">
        <v>1210</v>
      </c>
    </row>
    <row r="23" spans="1:2" x14ac:dyDescent="0.35">
      <c r="A23" s="2" t="s">
        <v>1211</v>
      </c>
      <c r="B23" s="2" t="s">
        <v>1212</v>
      </c>
    </row>
    <row r="24" spans="1:2" x14ac:dyDescent="0.35">
      <c r="A24" s="2" t="s">
        <v>1213</v>
      </c>
      <c r="B24" s="2" t="s">
        <v>1214</v>
      </c>
    </row>
    <row r="25" spans="1:2" x14ac:dyDescent="0.35">
      <c r="A25" s="2" t="s">
        <v>1215</v>
      </c>
      <c r="B25" s="2" t="s">
        <v>1216</v>
      </c>
    </row>
    <row r="26" spans="1:2" x14ac:dyDescent="0.35">
      <c r="A26" s="2" t="s">
        <v>1217</v>
      </c>
      <c r="B26" s="2" t="s">
        <v>1218</v>
      </c>
    </row>
    <row r="27" spans="1:2" x14ac:dyDescent="0.35">
      <c r="A27" s="2" t="s">
        <v>1219</v>
      </c>
      <c r="B27" s="2" t="s">
        <v>1220</v>
      </c>
    </row>
    <row r="28" spans="1:2" x14ac:dyDescent="0.35">
      <c r="A28" s="2" t="s">
        <v>1221</v>
      </c>
      <c r="B28" s="2" t="s">
        <v>1222</v>
      </c>
    </row>
    <row r="29" spans="1:2" x14ac:dyDescent="0.35">
      <c r="A29" s="2" t="s">
        <v>1223</v>
      </c>
      <c r="B29" s="2" t="s">
        <v>1224</v>
      </c>
    </row>
    <row r="30" spans="1:2" x14ac:dyDescent="0.35">
      <c r="A30" s="2" t="s">
        <v>1225</v>
      </c>
      <c r="B30" s="2" t="s">
        <v>1226</v>
      </c>
    </row>
    <row r="31" spans="1:2" x14ac:dyDescent="0.35">
      <c r="A31" s="2" t="s">
        <v>1227</v>
      </c>
      <c r="B31" s="2" t="s">
        <v>1228</v>
      </c>
    </row>
    <row r="32" spans="1:2" x14ac:dyDescent="0.35">
      <c r="A32" s="2" t="s">
        <v>1229</v>
      </c>
      <c r="B32" s="2" t="s">
        <v>1230</v>
      </c>
    </row>
    <row r="33" spans="1:2" x14ac:dyDescent="0.35">
      <c r="A33" s="2" t="s">
        <v>1231</v>
      </c>
      <c r="B33" s="2" t="s">
        <v>1232</v>
      </c>
    </row>
    <row r="34" spans="1:2" x14ac:dyDescent="0.35">
      <c r="A34" s="2" t="s">
        <v>1233</v>
      </c>
      <c r="B34" s="2" t="s">
        <v>1234</v>
      </c>
    </row>
    <row r="35" spans="1:2" x14ac:dyDescent="0.35">
      <c r="A35" s="2" t="s">
        <v>1235</v>
      </c>
      <c r="B35" s="2" t="s">
        <v>1236</v>
      </c>
    </row>
    <row r="36" spans="1:2" x14ac:dyDescent="0.35">
      <c r="A36" s="2" t="s">
        <v>1237</v>
      </c>
      <c r="B36" s="2" t="s">
        <v>1238</v>
      </c>
    </row>
    <row r="37" spans="1:2" x14ac:dyDescent="0.35">
      <c r="A37" s="2" t="s">
        <v>1239</v>
      </c>
      <c r="B37" s="2" t="s">
        <v>1240</v>
      </c>
    </row>
    <row r="38" spans="1:2" x14ac:dyDescent="0.35">
      <c r="A38" s="2" t="s">
        <v>1241</v>
      </c>
      <c r="B38" s="2" t="s">
        <v>1242</v>
      </c>
    </row>
    <row r="39" spans="1:2" x14ac:dyDescent="0.35">
      <c r="A39" s="2" t="s">
        <v>1243</v>
      </c>
      <c r="B39" s="2" t="s">
        <v>1244</v>
      </c>
    </row>
    <row r="40" spans="1:2" x14ac:dyDescent="0.35">
      <c r="A40" s="2" t="s">
        <v>1245</v>
      </c>
      <c r="B40" s="2" t="s">
        <v>1246</v>
      </c>
    </row>
    <row r="41" spans="1:2" x14ac:dyDescent="0.35">
      <c r="A41" s="2" t="s">
        <v>1247</v>
      </c>
      <c r="B41" s="2" t="s">
        <v>1248</v>
      </c>
    </row>
    <row r="42" spans="1:2" x14ac:dyDescent="0.35">
      <c r="A42" s="2" t="s">
        <v>1249</v>
      </c>
      <c r="B42" s="2" t="s">
        <v>1250</v>
      </c>
    </row>
    <row r="43" spans="1:2" x14ac:dyDescent="0.35">
      <c r="A43" s="2" t="s">
        <v>1251</v>
      </c>
      <c r="B43" s="2" t="s">
        <v>1252</v>
      </c>
    </row>
    <row r="44" spans="1:2" x14ac:dyDescent="0.35">
      <c r="A44" s="2" t="s">
        <v>1253</v>
      </c>
      <c r="B44" s="2" t="s">
        <v>1254</v>
      </c>
    </row>
    <row r="45" spans="1:2" x14ac:dyDescent="0.35">
      <c r="A45" s="2" t="s">
        <v>1255</v>
      </c>
      <c r="B45" s="2" t="s">
        <v>1256</v>
      </c>
    </row>
    <row r="46" spans="1:2" x14ac:dyDescent="0.35">
      <c r="A46" s="2" t="s">
        <v>1257</v>
      </c>
      <c r="B46" s="2" t="s">
        <v>1258</v>
      </c>
    </row>
    <row r="47" spans="1:2" x14ac:dyDescent="0.35">
      <c r="A47" s="2" t="s">
        <v>1259</v>
      </c>
      <c r="B47" s="2" t="s">
        <v>1260</v>
      </c>
    </row>
    <row r="48" spans="1:2" x14ac:dyDescent="0.35">
      <c r="A48" s="2" t="s">
        <v>1261</v>
      </c>
      <c r="B48" s="2" t="s">
        <v>1262</v>
      </c>
    </row>
    <row r="49" spans="1:2" x14ac:dyDescent="0.35">
      <c r="A49" s="2" t="s">
        <v>1263</v>
      </c>
      <c r="B49" s="2" t="s">
        <v>1264</v>
      </c>
    </row>
    <row r="50" spans="1:2" x14ac:dyDescent="0.35">
      <c r="A50" s="2" t="s">
        <v>1265</v>
      </c>
      <c r="B50" s="2" t="s">
        <v>1266</v>
      </c>
    </row>
    <row r="51" spans="1:2" x14ac:dyDescent="0.35">
      <c r="A51" s="2" t="s">
        <v>1267</v>
      </c>
      <c r="B51" s="2" t="s">
        <v>1268</v>
      </c>
    </row>
    <row r="52" spans="1:2" x14ac:dyDescent="0.35">
      <c r="A52" s="2" t="s">
        <v>1269</v>
      </c>
      <c r="B52" s="2" t="s">
        <v>1270</v>
      </c>
    </row>
    <row r="53" spans="1:2" x14ac:dyDescent="0.35">
      <c r="A53" s="2" t="s">
        <v>1271</v>
      </c>
      <c r="B53" s="2" t="s">
        <v>1272</v>
      </c>
    </row>
    <row r="54" spans="1:2" x14ac:dyDescent="0.35">
      <c r="A54" s="2" t="s">
        <v>1273</v>
      </c>
      <c r="B54" s="2" t="s">
        <v>1274</v>
      </c>
    </row>
    <row r="55" spans="1:2" x14ac:dyDescent="0.35">
      <c r="A55" s="2" t="s">
        <v>1275</v>
      </c>
      <c r="B55" s="2" t="s">
        <v>1276</v>
      </c>
    </row>
    <row r="56" spans="1:2" x14ac:dyDescent="0.35">
      <c r="A56" s="2" t="s">
        <v>1277</v>
      </c>
      <c r="B56" s="2" t="s">
        <v>1278</v>
      </c>
    </row>
    <row r="57" spans="1:2" x14ac:dyDescent="0.35">
      <c r="A57" s="2" t="s">
        <v>1279</v>
      </c>
      <c r="B57" s="2" t="s">
        <v>1280</v>
      </c>
    </row>
    <row r="58" spans="1:2" x14ac:dyDescent="0.35">
      <c r="A58" s="2" t="s">
        <v>1281</v>
      </c>
      <c r="B58" s="2" t="s">
        <v>1282</v>
      </c>
    </row>
    <row r="59" spans="1:2" x14ac:dyDescent="0.35">
      <c r="A59" s="2" t="s">
        <v>1283</v>
      </c>
      <c r="B59" s="2" t="s">
        <v>1284</v>
      </c>
    </row>
    <row r="60" spans="1:2" x14ac:dyDescent="0.35">
      <c r="A60" s="2" t="s">
        <v>1285</v>
      </c>
      <c r="B60" s="2" t="s">
        <v>1286</v>
      </c>
    </row>
    <row r="61" spans="1:2" x14ac:dyDescent="0.35">
      <c r="A61" s="2" t="s">
        <v>1287</v>
      </c>
      <c r="B61" s="2" t="s">
        <v>1288</v>
      </c>
    </row>
    <row r="62" spans="1:2" x14ac:dyDescent="0.35">
      <c r="A62" s="2" t="s">
        <v>1289</v>
      </c>
      <c r="B62" s="2" t="s">
        <v>1290</v>
      </c>
    </row>
    <row r="63" spans="1:2" x14ac:dyDescent="0.35">
      <c r="A63" s="2" t="s">
        <v>1291</v>
      </c>
      <c r="B63" s="2" t="s">
        <v>1292</v>
      </c>
    </row>
    <row r="64" spans="1:2" x14ac:dyDescent="0.35">
      <c r="A64" s="2" t="s">
        <v>1293</v>
      </c>
      <c r="B64" s="2" t="s">
        <v>1294</v>
      </c>
    </row>
    <row r="65" spans="1:2" x14ac:dyDescent="0.35">
      <c r="A65" s="2" t="s">
        <v>1295</v>
      </c>
      <c r="B65" s="2" t="s">
        <v>1296</v>
      </c>
    </row>
    <row r="66" spans="1:2" x14ac:dyDescent="0.35">
      <c r="A66" s="2" t="s">
        <v>1297</v>
      </c>
      <c r="B66" s="2" t="s">
        <v>1298</v>
      </c>
    </row>
    <row r="67" spans="1:2" x14ac:dyDescent="0.35">
      <c r="A67" s="2" t="s">
        <v>1299</v>
      </c>
      <c r="B67" s="2" t="s">
        <v>1300</v>
      </c>
    </row>
    <row r="68" spans="1:2" x14ac:dyDescent="0.35">
      <c r="A68" s="2" t="s">
        <v>1301</v>
      </c>
      <c r="B68" s="2" t="s">
        <v>1302</v>
      </c>
    </row>
    <row r="69" spans="1:2" x14ac:dyDescent="0.35">
      <c r="A69" s="2" t="s">
        <v>1303</v>
      </c>
      <c r="B69" s="2" t="s">
        <v>1304</v>
      </c>
    </row>
    <row r="70" spans="1:2" x14ac:dyDescent="0.35">
      <c r="A70" s="2" t="s">
        <v>1305</v>
      </c>
      <c r="B70" s="2" t="s">
        <v>1306</v>
      </c>
    </row>
    <row r="71" spans="1:2" x14ac:dyDescent="0.35">
      <c r="A71" s="2" t="s">
        <v>1307</v>
      </c>
      <c r="B71" s="2" t="s">
        <v>1308</v>
      </c>
    </row>
    <row r="72" spans="1:2" x14ac:dyDescent="0.35">
      <c r="A72" s="2" t="s">
        <v>1309</v>
      </c>
      <c r="B72" s="2" t="s">
        <v>1310</v>
      </c>
    </row>
    <row r="73" spans="1:2" x14ac:dyDescent="0.35">
      <c r="A73" s="2" t="s">
        <v>1311</v>
      </c>
      <c r="B73" s="2" t="s">
        <v>1312</v>
      </c>
    </row>
    <row r="74" spans="1:2" x14ac:dyDescent="0.35">
      <c r="A74" s="2" t="s">
        <v>1313</v>
      </c>
      <c r="B74" s="2" t="s">
        <v>1314</v>
      </c>
    </row>
    <row r="75" spans="1:2" x14ac:dyDescent="0.35">
      <c r="A75" s="2" t="s">
        <v>1315</v>
      </c>
      <c r="B75" s="2" t="s">
        <v>1316</v>
      </c>
    </row>
    <row r="76" spans="1:2" x14ac:dyDescent="0.35">
      <c r="A76" s="2" t="s">
        <v>1317</v>
      </c>
      <c r="B76" s="2" t="s">
        <v>1318</v>
      </c>
    </row>
    <row r="77" spans="1:2" x14ac:dyDescent="0.35">
      <c r="A77" s="2" t="s">
        <v>1319</v>
      </c>
      <c r="B77" s="2" t="s">
        <v>1320</v>
      </c>
    </row>
    <row r="78" spans="1:2" x14ac:dyDescent="0.35">
      <c r="A78" s="2" t="s">
        <v>1321</v>
      </c>
      <c r="B78" s="2" t="s">
        <v>1322</v>
      </c>
    </row>
    <row r="79" spans="1:2" x14ac:dyDescent="0.35">
      <c r="A79" s="2" t="s">
        <v>1323</v>
      </c>
      <c r="B79" s="2" t="s">
        <v>1324</v>
      </c>
    </row>
    <row r="80" spans="1:2" x14ac:dyDescent="0.35">
      <c r="A80" s="2" t="s">
        <v>1325</v>
      </c>
      <c r="B80" s="2" t="s">
        <v>1326</v>
      </c>
    </row>
    <row r="81" spans="1:2" x14ac:dyDescent="0.35">
      <c r="A81" s="2" t="s">
        <v>1327</v>
      </c>
      <c r="B81" s="2" t="s">
        <v>1328</v>
      </c>
    </row>
    <row r="82" spans="1:2" x14ac:dyDescent="0.35">
      <c r="A82" s="2" t="s">
        <v>1329</v>
      </c>
      <c r="B82" s="2" t="s">
        <v>1330</v>
      </c>
    </row>
    <row r="83" spans="1:2" x14ac:dyDescent="0.35">
      <c r="A83" s="2" t="s">
        <v>1331</v>
      </c>
      <c r="B83" s="2" t="s">
        <v>1332</v>
      </c>
    </row>
    <row r="84" spans="1:2" x14ac:dyDescent="0.35">
      <c r="A84" s="2" t="s">
        <v>1333</v>
      </c>
      <c r="B84" s="2" t="s">
        <v>1334</v>
      </c>
    </row>
    <row r="85" spans="1:2" x14ac:dyDescent="0.35">
      <c r="A85" s="2" t="s">
        <v>1335</v>
      </c>
      <c r="B85" s="2" t="s">
        <v>1336</v>
      </c>
    </row>
    <row r="86" spans="1:2" x14ac:dyDescent="0.35">
      <c r="A86" s="2" t="s">
        <v>1337</v>
      </c>
      <c r="B86" s="2" t="s">
        <v>1338</v>
      </c>
    </row>
    <row r="87" spans="1:2" x14ac:dyDescent="0.35">
      <c r="A87" s="2" t="s">
        <v>1339</v>
      </c>
      <c r="B87" s="2" t="s">
        <v>1340</v>
      </c>
    </row>
    <row r="88" spans="1:2" x14ac:dyDescent="0.35">
      <c r="A88" s="2" t="s">
        <v>1341</v>
      </c>
      <c r="B88" s="2" t="s">
        <v>1342</v>
      </c>
    </row>
    <row r="89" spans="1:2" x14ac:dyDescent="0.35">
      <c r="A89" s="2" t="s">
        <v>1343</v>
      </c>
      <c r="B89" s="2" t="s">
        <v>1344</v>
      </c>
    </row>
    <row r="90" spans="1:2" x14ac:dyDescent="0.35">
      <c r="A90" s="2" t="s">
        <v>1345</v>
      </c>
      <c r="B90" s="2" t="s">
        <v>1346</v>
      </c>
    </row>
    <row r="91" spans="1:2" x14ac:dyDescent="0.35">
      <c r="A91" s="2" t="s">
        <v>1347</v>
      </c>
      <c r="B91" s="2" t="s">
        <v>1348</v>
      </c>
    </row>
    <row r="92" spans="1:2" x14ac:dyDescent="0.35">
      <c r="A92" s="2" t="s">
        <v>1349</v>
      </c>
      <c r="B92" s="2" t="s">
        <v>1350</v>
      </c>
    </row>
    <row r="93" spans="1:2" x14ac:dyDescent="0.35">
      <c r="A93" s="2" t="s">
        <v>1351</v>
      </c>
      <c r="B93" s="2" t="s">
        <v>1352</v>
      </c>
    </row>
    <row r="94" spans="1:2" x14ac:dyDescent="0.35">
      <c r="A94" s="2" t="s">
        <v>1353</v>
      </c>
      <c r="B94" s="2" t="s">
        <v>1354</v>
      </c>
    </row>
    <row r="95" spans="1:2" x14ac:dyDescent="0.35">
      <c r="A95" s="2" t="s">
        <v>1355</v>
      </c>
      <c r="B95" s="2" t="s">
        <v>1356</v>
      </c>
    </row>
    <row r="96" spans="1:2" x14ac:dyDescent="0.35">
      <c r="A96" s="2" t="s">
        <v>1357</v>
      </c>
      <c r="B96" s="2" t="s">
        <v>1358</v>
      </c>
    </row>
    <row r="97" spans="1:2" x14ac:dyDescent="0.35">
      <c r="A97" s="2" t="s">
        <v>1359</v>
      </c>
      <c r="B97" s="2" t="s">
        <v>1360</v>
      </c>
    </row>
    <row r="98" spans="1:2" x14ac:dyDescent="0.35">
      <c r="A98" s="2" t="s">
        <v>1361</v>
      </c>
      <c r="B98" s="2" t="s">
        <v>1362</v>
      </c>
    </row>
    <row r="99" spans="1:2" x14ac:dyDescent="0.35">
      <c r="A99" s="2" t="s">
        <v>1363</v>
      </c>
      <c r="B99" s="2" t="s">
        <v>1364</v>
      </c>
    </row>
    <row r="100" spans="1:2" x14ac:dyDescent="0.35">
      <c r="A100" s="2" t="s">
        <v>1365</v>
      </c>
      <c r="B100" s="2" t="s">
        <v>1366</v>
      </c>
    </row>
    <row r="101" spans="1:2" x14ac:dyDescent="0.35">
      <c r="A101" s="2" t="s">
        <v>1367</v>
      </c>
      <c r="B101" s="2" t="s">
        <v>1368</v>
      </c>
    </row>
    <row r="102" spans="1:2" x14ac:dyDescent="0.35">
      <c r="A102" s="2" t="s">
        <v>1369</v>
      </c>
      <c r="B102" s="2" t="s">
        <v>1370</v>
      </c>
    </row>
    <row r="103" spans="1:2" x14ac:dyDescent="0.35">
      <c r="A103" s="2" t="s">
        <v>1371</v>
      </c>
      <c r="B103" s="2" t="s">
        <v>1372</v>
      </c>
    </row>
    <row r="104" spans="1:2" x14ac:dyDescent="0.35">
      <c r="A104" s="2" t="s">
        <v>1373</v>
      </c>
      <c r="B104" s="2" t="s">
        <v>1374</v>
      </c>
    </row>
    <row r="105" spans="1:2" x14ac:dyDescent="0.35">
      <c r="A105" s="2" t="s">
        <v>1375</v>
      </c>
      <c r="B105" s="2" t="s">
        <v>1376</v>
      </c>
    </row>
    <row r="106" spans="1:2" x14ac:dyDescent="0.35">
      <c r="A106" s="2" t="s">
        <v>1377</v>
      </c>
      <c r="B106" s="2" t="s">
        <v>1378</v>
      </c>
    </row>
    <row r="107" spans="1:2" x14ac:dyDescent="0.35">
      <c r="A107" s="2" t="s">
        <v>1379</v>
      </c>
      <c r="B107" s="2" t="s">
        <v>1380</v>
      </c>
    </row>
    <row r="108" spans="1:2" x14ac:dyDescent="0.35">
      <c r="A108" s="2" t="s">
        <v>1381</v>
      </c>
      <c r="B108" s="2" t="s">
        <v>1382</v>
      </c>
    </row>
    <row r="109" spans="1:2" x14ac:dyDescent="0.35">
      <c r="A109" s="2" t="s">
        <v>1383</v>
      </c>
      <c r="B109" s="2" t="s">
        <v>1384</v>
      </c>
    </row>
    <row r="110" spans="1:2" x14ac:dyDescent="0.35">
      <c r="A110" s="2" t="s">
        <v>1385</v>
      </c>
      <c r="B110" s="2" t="s">
        <v>1386</v>
      </c>
    </row>
    <row r="111" spans="1:2" x14ac:dyDescent="0.35">
      <c r="A111" s="2" t="s">
        <v>1387</v>
      </c>
      <c r="B111" s="2" t="s">
        <v>1388</v>
      </c>
    </row>
    <row r="112" spans="1:2" x14ac:dyDescent="0.35">
      <c r="A112" s="2" t="s">
        <v>1389</v>
      </c>
      <c r="B112" s="2" t="s">
        <v>1390</v>
      </c>
    </row>
    <row r="113" spans="1:2" x14ac:dyDescent="0.35">
      <c r="A113" s="2" t="s">
        <v>1391</v>
      </c>
      <c r="B113" s="2" t="s">
        <v>1392</v>
      </c>
    </row>
    <row r="114" spans="1:2" x14ac:dyDescent="0.35">
      <c r="A114" s="2" t="s">
        <v>1393</v>
      </c>
      <c r="B114" s="2" t="s">
        <v>1394</v>
      </c>
    </row>
    <row r="115" spans="1:2" x14ac:dyDescent="0.35">
      <c r="A115" s="2" t="s">
        <v>1395</v>
      </c>
      <c r="B115" s="2" t="s">
        <v>1396</v>
      </c>
    </row>
    <row r="116" spans="1:2" x14ac:dyDescent="0.35">
      <c r="A116" s="2" t="s">
        <v>1397</v>
      </c>
      <c r="B116" s="2" t="s">
        <v>1398</v>
      </c>
    </row>
    <row r="117" spans="1:2" x14ac:dyDescent="0.35">
      <c r="A117" s="2" t="s">
        <v>1399</v>
      </c>
      <c r="B117" s="2" t="s">
        <v>1400</v>
      </c>
    </row>
    <row r="118" spans="1:2" x14ac:dyDescent="0.35">
      <c r="A118" s="2" t="s">
        <v>1401</v>
      </c>
      <c r="B118" s="2" t="s">
        <v>1402</v>
      </c>
    </row>
    <row r="119" spans="1:2" x14ac:dyDescent="0.35">
      <c r="A119" s="2" t="s">
        <v>1403</v>
      </c>
      <c r="B119" s="2" t="s">
        <v>1404</v>
      </c>
    </row>
    <row r="120" spans="1:2" x14ac:dyDescent="0.35">
      <c r="A120" s="2" t="s">
        <v>1405</v>
      </c>
      <c r="B120" s="2" t="s">
        <v>1406</v>
      </c>
    </row>
    <row r="121" spans="1:2" x14ac:dyDescent="0.35">
      <c r="A121" s="2" t="s">
        <v>1407</v>
      </c>
      <c r="B121" s="2" t="s">
        <v>1408</v>
      </c>
    </row>
    <row r="122" spans="1:2" x14ac:dyDescent="0.35">
      <c r="A122" s="2" t="s">
        <v>1409</v>
      </c>
      <c r="B122" s="2" t="s">
        <v>1410</v>
      </c>
    </row>
    <row r="123" spans="1:2" x14ac:dyDescent="0.35">
      <c r="A123" s="2" t="s">
        <v>1411</v>
      </c>
      <c r="B123" s="2" t="s">
        <v>1412</v>
      </c>
    </row>
    <row r="124" spans="1:2" x14ac:dyDescent="0.35">
      <c r="A124" s="2" t="s">
        <v>1413</v>
      </c>
      <c r="B124" s="2" t="s">
        <v>1414</v>
      </c>
    </row>
    <row r="125" spans="1:2" x14ac:dyDescent="0.35">
      <c r="A125" s="2" t="s">
        <v>1415</v>
      </c>
      <c r="B125" s="2" t="s">
        <v>1416</v>
      </c>
    </row>
    <row r="126" spans="1:2" x14ac:dyDescent="0.35">
      <c r="A126" s="2" t="s">
        <v>1417</v>
      </c>
      <c r="B126" s="2" t="s">
        <v>1418</v>
      </c>
    </row>
    <row r="127" spans="1:2" x14ac:dyDescent="0.35">
      <c r="A127" s="2" t="s">
        <v>1419</v>
      </c>
      <c r="B127" s="2" t="s">
        <v>1420</v>
      </c>
    </row>
    <row r="128" spans="1:2" x14ac:dyDescent="0.35">
      <c r="A128" s="2" t="s">
        <v>1421</v>
      </c>
      <c r="B128" s="2" t="s">
        <v>1422</v>
      </c>
    </row>
    <row r="129" spans="1:2" x14ac:dyDescent="0.35">
      <c r="A129" s="2" t="s">
        <v>1423</v>
      </c>
      <c r="B129" s="2" t="s">
        <v>1424</v>
      </c>
    </row>
    <row r="130" spans="1:2" x14ac:dyDescent="0.35">
      <c r="A130" s="2" t="s">
        <v>1425</v>
      </c>
      <c r="B130" s="2" t="s">
        <v>1426</v>
      </c>
    </row>
    <row r="131" spans="1:2" x14ac:dyDescent="0.35">
      <c r="A131" s="2" t="s">
        <v>1427</v>
      </c>
      <c r="B131" s="2" t="s">
        <v>1428</v>
      </c>
    </row>
    <row r="132" spans="1:2" x14ac:dyDescent="0.35">
      <c r="A132" s="2" t="s">
        <v>1429</v>
      </c>
      <c r="B132" s="2" t="s">
        <v>1430</v>
      </c>
    </row>
    <row r="133" spans="1:2" x14ac:dyDescent="0.35">
      <c r="A133" s="2" t="s">
        <v>1431</v>
      </c>
      <c r="B133" s="2" t="s">
        <v>1432</v>
      </c>
    </row>
    <row r="134" spans="1:2" x14ac:dyDescent="0.35">
      <c r="A134" s="2" t="s">
        <v>1433</v>
      </c>
      <c r="B134" s="2" t="s">
        <v>1434</v>
      </c>
    </row>
    <row r="135" spans="1:2" x14ac:dyDescent="0.35">
      <c r="A135" s="2" t="s">
        <v>1435</v>
      </c>
      <c r="B135" s="2" t="s">
        <v>1436</v>
      </c>
    </row>
    <row r="136" spans="1:2" x14ac:dyDescent="0.35">
      <c r="A136" s="2" t="s">
        <v>1437</v>
      </c>
      <c r="B136" s="2" t="s">
        <v>1438</v>
      </c>
    </row>
    <row r="137" spans="1:2" x14ac:dyDescent="0.35">
      <c r="A137" s="2" t="s">
        <v>1439</v>
      </c>
      <c r="B137" s="2" t="s">
        <v>1440</v>
      </c>
    </row>
    <row r="138" spans="1:2" x14ac:dyDescent="0.35">
      <c r="A138" s="2" t="s">
        <v>1441</v>
      </c>
      <c r="B138" s="2" t="s">
        <v>1442</v>
      </c>
    </row>
    <row r="139" spans="1:2" x14ac:dyDescent="0.35">
      <c r="A139" s="2" t="s">
        <v>1443</v>
      </c>
      <c r="B139" s="2" t="s">
        <v>1444</v>
      </c>
    </row>
    <row r="140" spans="1:2" x14ac:dyDescent="0.35">
      <c r="A140" s="2" t="s">
        <v>1445</v>
      </c>
      <c r="B140" s="2" t="s">
        <v>1446</v>
      </c>
    </row>
    <row r="141" spans="1:2" x14ac:dyDescent="0.35">
      <c r="A141" s="2" t="s">
        <v>1447</v>
      </c>
      <c r="B141" s="2" t="s">
        <v>1448</v>
      </c>
    </row>
    <row r="142" spans="1:2" x14ac:dyDescent="0.35">
      <c r="A142" s="2" t="s">
        <v>1449</v>
      </c>
      <c r="B142" s="2" t="s">
        <v>1450</v>
      </c>
    </row>
    <row r="143" spans="1:2" x14ac:dyDescent="0.35">
      <c r="A143" s="2" t="s">
        <v>1451</v>
      </c>
      <c r="B143" s="2" t="s">
        <v>1452</v>
      </c>
    </row>
    <row r="144" spans="1:2" x14ac:dyDescent="0.35">
      <c r="A144" s="2" t="s">
        <v>1453</v>
      </c>
      <c r="B144" s="2" t="s">
        <v>1454</v>
      </c>
    </row>
    <row r="145" spans="1:2" x14ac:dyDescent="0.35">
      <c r="A145" s="2" t="s">
        <v>1455</v>
      </c>
      <c r="B145" s="2" t="s">
        <v>1456</v>
      </c>
    </row>
    <row r="146" spans="1:2" x14ac:dyDescent="0.35">
      <c r="A146" s="2" t="s">
        <v>1457</v>
      </c>
      <c r="B146" s="2" t="s">
        <v>1458</v>
      </c>
    </row>
    <row r="147" spans="1:2" x14ac:dyDescent="0.35">
      <c r="A147" s="2" t="s">
        <v>1459</v>
      </c>
      <c r="B147" s="2" t="s">
        <v>1460</v>
      </c>
    </row>
    <row r="148" spans="1:2" x14ac:dyDescent="0.35">
      <c r="A148" s="2" t="s">
        <v>1461</v>
      </c>
      <c r="B148" s="2" t="s">
        <v>1462</v>
      </c>
    </row>
    <row r="149" spans="1:2" x14ac:dyDescent="0.35">
      <c r="A149" s="2" t="s">
        <v>1463</v>
      </c>
      <c r="B149" s="2" t="s">
        <v>1464</v>
      </c>
    </row>
    <row r="150" spans="1:2" x14ac:dyDescent="0.35">
      <c r="A150" s="2" t="s">
        <v>1465</v>
      </c>
      <c r="B150" s="2" t="s">
        <v>1466</v>
      </c>
    </row>
    <row r="151" spans="1:2" x14ac:dyDescent="0.35">
      <c r="A151" s="2" t="s">
        <v>1467</v>
      </c>
      <c r="B151" s="2" t="s">
        <v>1468</v>
      </c>
    </row>
    <row r="152" spans="1:2" x14ac:dyDescent="0.35">
      <c r="A152" s="2" t="s">
        <v>1469</v>
      </c>
      <c r="B152" s="2" t="s">
        <v>1470</v>
      </c>
    </row>
    <row r="153" spans="1:2" x14ac:dyDescent="0.35">
      <c r="A153" s="2" t="s">
        <v>1471</v>
      </c>
      <c r="B153" s="2" t="s">
        <v>1472</v>
      </c>
    </row>
    <row r="154" spans="1:2" x14ac:dyDescent="0.35">
      <c r="A154" s="2" t="s">
        <v>1473</v>
      </c>
      <c r="B154" s="2" t="s">
        <v>1474</v>
      </c>
    </row>
    <row r="155" spans="1:2" x14ac:dyDescent="0.35">
      <c r="A155" s="2" t="s">
        <v>1475</v>
      </c>
      <c r="B155" s="2" t="s">
        <v>1476</v>
      </c>
    </row>
    <row r="156" spans="1:2" x14ac:dyDescent="0.35">
      <c r="A156" s="2" t="s">
        <v>1477</v>
      </c>
      <c r="B156" s="2" t="s">
        <v>1478</v>
      </c>
    </row>
    <row r="157" spans="1:2" x14ac:dyDescent="0.35">
      <c r="A157" s="2" t="s">
        <v>1479</v>
      </c>
      <c r="B157" s="2" t="s">
        <v>1480</v>
      </c>
    </row>
    <row r="158" spans="1:2" x14ac:dyDescent="0.35">
      <c r="A158" s="2" t="s">
        <v>1481</v>
      </c>
      <c r="B158" s="2" t="s">
        <v>1482</v>
      </c>
    </row>
    <row r="159" spans="1:2" x14ac:dyDescent="0.35">
      <c r="A159" s="2" t="s">
        <v>1483</v>
      </c>
      <c r="B159" s="2" t="s">
        <v>1484</v>
      </c>
    </row>
    <row r="160" spans="1:2" x14ac:dyDescent="0.35">
      <c r="A160" s="2" t="s">
        <v>1485</v>
      </c>
      <c r="B160" s="2" t="s">
        <v>1486</v>
      </c>
    </row>
    <row r="161" spans="1:2" x14ac:dyDescent="0.35">
      <c r="A161" s="2" t="s">
        <v>1487</v>
      </c>
      <c r="B161" s="2" t="s">
        <v>1488</v>
      </c>
    </row>
    <row r="162" spans="1:2" x14ac:dyDescent="0.35">
      <c r="A162" s="2" t="s">
        <v>1489</v>
      </c>
      <c r="B162" s="2" t="s">
        <v>1490</v>
      </c>
    </row>
    <row r="163" spans="1:2" x14ac:dyDescent="0.35">
      <c r="A163" s="2" t="s">
        <v>1491</v>
      </c>
      <c r="B163" s="2" t="s">
        <v>1492</v>
      </c>
    </row>
    <row r="164" spans="1:2" x14ac:dyDescent="0.35">
      <c r="A164" s="2" t="s">
        <v>1493</v>
      </c>
      <c r="B164" s="2" t="s">
        <v>1494</v>
      </c>
    </row>
    <row r="165" spans="1:2" x14ac:dyDescent="0.35">
      <c r="A165" s="2" t="s">
        <v>1495</v>
      </c>
      <c r="B165" s="2" t="s">
        <v>1496</v>
      </c>
    </row>
    <row r="166" spans="1:2" x14ac:dyDescent="0.35">
      <c r="A166" s="2" t="s">
        <v>1497</v>
      </c>
      <c r="B166" s="2" t="s">
        <v>1498</v>
      </c>
    </row>
    <row r="167" spans="1:2" x14ac:dyDescent="0.35">
      <c r="A167" s="2" t="s">
        <v>1499</v>
      </c>
      <c r="B167" s="2" t="s">
        <v>1500</v>
      </c>
    </row>
    <row r="168" spans="1:2" x14ac:dyDescent="0.35">
      <c r="A168" s="2" t="s">
        <v>1501</v>
      </c>
      <c r="B168" s="2" t="s">
        <v>1502</v>
      </c>
    </row>
    <row r="169" spans="1:2" x14ac:dyDescent="0.35">
      <c r="A169" s="2" t="s">
        <v>1503</v>
      </c>
      <c r="B169" s="2" t="s">
        <v>1504</v>
      </c>
    </row>
    <row r="170" spans="1:2" x14ac:dyDescent="0.35">
      <c r="A170" s="2" t="s">
        <v>1505</v>
      </c>
      <c r="B170" s="2" t="s">
        <v>1506</v>
      </c>
    </row>
    <row r="171" spans="1:2" x14ac:dyDescent="0.35">
      <c r="A171" s="2" t="s">
        <v>1507</v>
      </c>
      <c r="B171" s="2" t="s">
        <v>1508</v>
      </c>
    </row>
    <row r="172" spans="1:2" x14ac:dyDescent="0.35">
      <c r="A172" s="2" t="s">
        <v>1509</v>
      </c>
      <c r="B172" s="2" t="s">
        <v>1510</v>
      </c>
    </row>
    <row r="173" spans="1:2" x14ac:dyDescent="0.35">
      <c r="A173" s="2" t="s">
        <v>1511</v>
      </c>
      <c r="B173" s="2" t="s">
        <v>1512</v>
      </c>
    </row>
    <row r="174" spans="1:2" x14ac:dyDescent="0.35">
      <c r="A174" s="2" t="s">
        <v>1513</v>
      </c>
      <c r="B174" s="2" t="s">
        <v>1514</v>
      </c>
    </row>
    <row r="175" spans="1:2" x14ac:dyDescent="0.35">
      <c r="A175" s="2" t="s">
        <v>1515</v>
      </c>
      <c r="B175" s="2" t="s">
        <v>1516</v>
      </c>
    </row>
    <row r="176" spans="1:2" x14ac:dyDescent="0.35">
      <c r="A176" s="2" t="s">
        <v>1517</v>
      </c>
      <c r="B176" s="2" t="s">
        <v>1518</v>
      </c>
    </row>
    <row r="177" spans="1:2" x14ac:dyDescent="0.35">
      <c r="A177" s="2" t="s">
        <v>1519</v>
      </c>
      <c r="B177" s="2" t="s">
        <v>1520</v>
      </c>
    </row>
    <row r="178" spans="1:2" x14ac:dyDescent="0.35">
      <c r="A178" s="2" t="s">
        <v>1521</v>
      </c>
      <c r="B178" s="2" t="s">
        <v>1522</v>
      </c>
    </row>
    <row r="179" spans="1:2" x14ac:dyDescent="0.35">
      <c r="A179" s="2" t="s">
        <v>1523</v>
      </c>
      <c r="B179" s="2" t="s">
        <v>1524</v>
      </c>
    </row>
    <row r="180" spans="1:2" x14ac:dyDescent="0.35">
      <c r="A180" s="2" t="s">
        <v>1525</v>
      </c>
      <c r="B180" s="2" t="s">
        <v>1526</v>
      </c>
    </row>
    <row r="181" spans="1:2" x14ac:dyDescent="0.35">
      <c r="A181" s="2" t="s">
        <v>1527</v>
      </c>
      <c r="B181" s="2" t="s">
        <v>1528</v>
      </c>
    </row>
    <row r="182" spans="1:2" x14ac:dyDescent="0.35">
      <c r="A182" s="2" t="s">
        <v>1529</v>
      </c>
      <c r="B182" s="2" t="s">
        <v>1530</v>
      </c>
    </row>
    <row r="183" spans="1:2" x14ac:dyDescent="0.35">
      <c r="A183" s="2" t="s">
        <v>1531</v>
      </c>
      <c r="B183" s="2" t="s">
        <v>1532</v>
      </c>
    </row>
    <row r="184" spans="1:2" x14ac:dyDescent="0.35">
      <c r="A184" s="2" t="s">
        <v>1533</v>
      </c>
      <c r="B184" s="2" t="s">
        <v>1534</v>
      </c>
    </row>
    <row r="185" spans="1:2" x14ac:dyDescent="0.35">
      <c r="A185" s="2" t="s">
        <v>1535</v>
      </c>
      <c r="B185" s="2" t="s">
        <v>1536</v>
      </c>
    </row>
    <row r="186" spans="1:2" x14ac:dyDescent="0.35">
      <c r="A186" s="2" t="s">
        <v>1537</v>
      </c>
      <c r="B186" s="2" t="s">
        <v>1538</v>
      </c>
    </row>
    <row r="187" spans="1:2" x14ac:dyDescent="0.35">
      <c r="A187" s="2" t="s">
        <v>1539</v>
      </c>
      <c r="B187" s="2" t="s">
        <v>1540</v>
      </c>
    </row>
    <row r="188" spans="1:2" x14ac:dyDescent="0.35">
      <c r="A188" s="2" t="s">
        <v>1541</v>
      </c>
      <c r="B188" s="2" t="s">
        <v>1542</v>
      </c>
    </row>
    <row r="189" spans="1:2" x14ac:dyDescent="0.35">
      <c r="A189" s="2" t="s">
        <v>1543</v>
      </c>
      <c r="B189" s="2" t="s">
        <v>1544</v>
      </c>
    </row>
    <row r="190" spans="1:2" x14ac:dyDescent="0.35">
      <c r="A190" s="2" t="s">
        <v>1545</v>
      </c>
      <c r="B190" s="2" t="s">
        <v>1546</v>
      </c>
    </row>
    <row r="191" spans="1:2" x14ac:dyDescent="0.35">
      <c r="A191" s="2" t="s">
        <v>1547</v>
      </c>
      <c r="B191" s="2" t="s">
        <v>1548</v>
      </c>
    </row>
    <row r="192" spans="1:2" x14ac:dyDescent="0.35">
      <c r="A192" s="2" t="s">
        <v>1549</v>
      </c>
      <c r="B192" s="2" t="s">
        <v>1550</v>
      </c>
    </row>
    <row r="193" spans="1:2" x14ac:dyDescent="0.35">
      <c r="A193" s="2" t="s">
        <v>1551</v>
      </c>
      <c r="B193" s="2" t="s">
        <v>1552</v>
      </c>
    </row>
    <row r="194" spans="1:2" x14ac:dyDescent="0.35">
      <c r="A194" s="2" t="s">
        <v>1553</v>
      </c>
      <c r="B194" s="2" t="s">
        <v>1554</v>
      </c>
    </row>
    <row r="195" spans="1:2" x14ac:dyDescent="0.35">
      <c r="A195" s="2" t="s">
        <v>1555</v>
      </c>
      <c r="B195" s="2" t="s">
        <v>1556</v>
      </c>
    </row>
    <row r="196" spans="1:2" x14ac:dyDescent="0.35">
      <c r="A196" s="2" t="s">
        <v>1557</v>
      </c>
      <c r="B196" s="2" t="s">
        <v>1558</v>
      </c>
    </row>
    <row r="197" spans="1:2" x14ac:dyDescent="0.35">
      <c r="A197" s="2" t="s">
        <v>1559</v>
      </c>
      <c r="B197" s="2" t="s">
        <v>1560</v>
      </c>
    </row>
    <row r="198" spans="1:2" x14ac:dyDescent="0.35">
      <c r="A198" s="2" t="s">
        <v>1561</v>
      </c>
      <c r="B198" s="2" t="s">
        <v>1562</v>
      </c>
    </row>
    <row r="199" spans="1:2" x14ac:dyDescent="0.35">
      <c r="A199" s="2" t="s">
        <v>1563</v>
      </c>
      <c r="B199" s="2" t="s">
        <v>1564</v>
      </c>
    </row>
    <row r="200" spans="1:2" x14ac:dyDescent="0.35">
      <c r="A200" s="2" t="s">
        <v>1565</v>
      </c>
      <c r="B200" s="2" t="s">
        <v>1566</v>
      </c>
    </row>
    <row r="201" spans="1:2" x14ac:dyDescent="0.35">
      <c r="A201" s="2" t="s">
        <v>1567</v>
      </c>
      <c r="B201" s="2" t="s">
        <v>1568</v>
      </c>
    </row>
    <row r="202" spans="1:2" x14ac:dyDescent="0.35">
      <c r="A202" s="2" t="s">
        <v>1569</v>
      </c>
      <c r="B202" s="2" t="s">
        <v>1570</v>
      </c>
    </row>
    <row r="203" spans="1:2" x14ac:dyDescent="0.35">
      <c r="A203" s="2" t="s">
        <v>1571</v>
      </c>
      <c r="B203" s="2" t="s">
        <v>1572</v>
      </c>
    </row>
    <row r="204" spans="1:2" x14ac:dyDescent="0.35">
      <c r="A204" s="2" t="s">
        <v>1573</v>
      </c>
      <c r="B204" s="2" t="s">
        <v>1574</v>
      </c>
    </row>
    <row r="205" spans="1:2" x14ac:dyDescent="0.35">
      <c r="A205" s="2" t="s">
        <v>1575</v>
      </c>
      <c r="B205" s="2" t="s">
        <v>1576</v>
      </c>
    </row>
    <row r="206" spans="1:2" x14ac:dyDescent="0.35">
      <c r="A206" s="2" t="s">
        <v>1577</v>
      </c>
      <c r="B206" s="2" t="s">
        <v>1578</v>
      </c>
    </row>
    <row r="207" spans="1:2" x14ac:dyDescent="0.35">
      <c r="A207" s="2" t="s">
        <v>1579</v>
      </c>
      <c r="B207" s="2" t="s">
        <v>1580</v>
      </c>
    </row>
    <row r="208" spans="1:2" x14ac:dyDescent="0.35">
      <c r="A208" s="2" t="s">
        <v>1581</v>
      </c>
      <c r="B208" s="2" t="s">
        <v>1582</v>
      </c>
    </row>
    <row r="209" spans="1:2" x14ac:dyDescent="0.35">
      <c r="A209" s="2" t="s">
        <v>1583</v>
      </c>
      <c r="B209" s="2" t="s">
        <v>1584</v>
      </c>
    </row>
    <row r="210" spans="1:2" x14ac:dyDescent="0.35">
      <c r="A210" s="2" t="s">
        <v>1585</v>
      </c>
      <c r="B210" s="2" t="s">
        <v>1586</v>
      </c>
    </row>
    <row r="211" spans="1:2" x14ac:dyDescent="0.35">
      <c r="A211" s="2" t="s">
        <v>1587</v>
      </c>
      <c r="B211" s="2" t="s">
        <v>1588</v>
      </c>
    </row>
    <row r="212" spans="1:2" x14ac:dyDescent="0.35">
      <c r="A212" s="2" t="s">
        <v>1589</v>
      </c>
      <c r="B212" s="2" t="s">
        <v>1590</v>
      </c>
    </row>
    <row r="213" spans="1:2" x14ac:dyDescent="0.35">
      <c r="A213" s="2" t="s">
        <v>1591</v>
      </c>
      <c r="B213" s="2" t="s">
        <v>1592</v>
      </c>
    </row>
    <row r="214" spans="1:2" x14ac:dyDescent="0.35">
      <c r="A214" s="2" t="s">
        <v>1593</v>
      </c>
      <c r="B214" s="2" t="s">
        <v>1594</v>
      </c>
    </row>
    <row r="215" spans="1:2" x14ac:dyDescent="0.35">
      <c r="A215" s="2" t="s">
        <v>1595</v>
      </c>
      <c r="B215" s="2" t="s">
        <v>1596</v>
      </c>
    </row>
    <row r="216" spans="1:2" x14ac:dyDescent="0.35">
      <c r="A216" s="2" t="s">
        <v>1597</v>
      </c>
      <c r="B216" s="2" t="s">
        <v>1598</v>
      </c>
    </row>
    <row r="217" spans="1:2" x14ac:dyDescent="0.35">
      <c r="A217" s="2" t="s">
        <v>1599</v>
      </c>
      <c r="B217" s="2" t="s">
        <v>1600</v>
      </c>
    </row>
    <row r="218" spans="1:2" x14ac:dyDescent="0.35">
      <c r="A218" s="2" t="s">
        <v>1601</v>
      </c>
      <c r="B218" s="2" t="s">
        <v>1602</v>
      </c>
    </row>
    <row r="219" spans="1:2" x14ac:dyDescent="0.35">
      <c r="A219" s="2" t="s">
        <v>1603</v>
      </c>
      <c r="B219" s="2" t="s">
        <v>1604</v>
      </c>
    </row>
    <row r="220" spans="1:2" x14ac:dyDescent="0.35">
      <c r="A220" s="2" t="s">
        <v>1605</v>
      </c>
      <c r="B220" s="2" t="s">
        <v>1606</v>
      </c>
    </row>
    <row r="221" spans="1:2" x14ac:dyDescent="0.35">
      <c r="A221" s="2" t="s">
        <v>1607</v>
      </c>
      <c r="B221" s="2" t="s">
        <v>1608</v>
      </c>
    </row>
    <row r="222" spans="1:2" x14ac:dyDescent="0.35">
      <c r="A222" s="2" t="s">
        <v>1609</v>
      </c>
      <c r="B222" s="2" t="s">
        <v>1610</v>
      </c>
    </row>
    <row r="223" spans="1:2" x14ac:dyDescent="0.35">
      <c r="A223" s="2" t="s">
        <v>1611</v>
      </c>
      <c r="B223" s="2" t="s">
        <v>1612</v>
      </c>
    </row>
    <row r="224" spans="1:2" x14ac:dyDescent="0.35">
      <c r="A224" s="2" t="s">
        <v>1613</v>
      </c>
      <c r="B224" s="2" t="s">
        <v>1614</v>
      </c>
    </row>
    <row r="225" spans="1:2" x14ac:dyDescent="0.35">
      <c r="A225" s="2" t="s">
        <v>1615</v>
      </c>
      <c r="B225" s="2" t="s">
        <v>1616</v>
      </c>
    </row>
    <row r="226" spans="1:2" x14ac:dyDescent="0.35">
      <c r="A226" s="2" t="s">
        <v>1617</v>
      </c>
      <c r="B226" s="2" t="s">
        <v>1618</v>
      </c>
    </row>
    <row r="227" spans="1:2" x14ac:dyDescent="0.35">
      <c r="A227" s="2" t="s">
        <v>1619</v>
      </c>
      <c r="B227" s="2" t="s">
        <v>1620</v>
      </c>
    </row>
    <row r="228" spans="1:2" x14ac:dyDescent="0.35">
      <c r="A228" s="2" t="s">
        <v>1621</v>
      </c>
      <c r="B228" s="2" t="s">
        <v>1622</v>
      </c>
    </row>
    <row r="229" spans="1:2" x14ac:dyDescent="0.35">
      <c r="A229" s="2" t="s">
        <v>1623</v>
      </c>
      <c r="B229" s="2" t="s">
        <v>1624</v>
      </c>
    </row>
    <row r="230" spans="1:2" x14ac:dyDescent="0.35">
      <c r="A230" s="2" t="s">
        <v>1625</v>
      </c>
      <c r="B230" s="2" t="s">
        <v>1626</v>
      </c>
    </row>
    <row r="231" spans="1:2" x14ac:dyDescent="0.35">
      <c r="A231" s="2" t="s">
        <v>1627</v>
      </c>
      <c r="B231" s="2" t="s">
        <v>1628</v>
      </c>
    </row>
    <row r="232" spans="1:2" x14ac:dyDescent="0.35">
      <c r="A232" s="2" t="s">
        <v>1629</v>
      </c>
      <c r="B232" s="2" t="s">
        <v>1630</v>
      </c>
    </row>
    <row r="233" spans="1:2" x14ac:dyDescent="0.35">
      <c r="A233" s="2" t="s">
        <v>1631</v>
      </c>
      <c r="B233" s="2" t="s">
        <v>1632</v>
      </c>
    </row>
    <row r="234" spans="1:2" x14ac:dyDescent="0.35">
      <c r="A234" s="2" t="s">
        <v>1633</v>
      </c>
      <c r="B234" s="2" t="s">
        <v>1634</v>
      </c>
    </row>
    <row r="235" spans="1:2" x14ac:dyDescent="0.35">
      <c r="A235" s="2" t="s">
        <v>1635</v>
      </c>
      <c r="B235" s="2" t="s">
        <v>1636</v>
      </c>
    </row>
    <row r="236" spans="1:2" x14ac:dyDescent="0.35">
      <c r="A236" s="2" t="s">
        <v>1637</v>
      </c>
      <c r="B236" s="2" t="s">
        <v>1638</v>
      </c>
    </row>
    <row r="237" spans="1:2" x14ac:dyDescent="0.35">
      <c r="A237" s="2" t="s">
        <v>1639</v>
      </c>
      <c r="B237" s="2" t="s">
        <v>1640</v>
      </c>
    </row>
    <row r="238" spans="1:2" x14ac:dyDescent="0.35">
      <c r="A238" s="2" t="s">
        <v>1641</v>
      </c>
      <c r="B238" s="2" t="s">
        <v>1642</v>
      </c>
    </row>
    <row r="239" spans="1:2" x14ac:dyDescent="0.35">
      <c r="A239" s="2" t="s">
        <v>1643</v>
      </c>
      <c r="B239" s="2" t="s">
        <v>1644</v>
      </c>
    </row>
    <row r="240" spans="1:2" x14ac:dyDescent="0.35">
      <c r="A240" s="2" t="s">
        <v>1645</v>
      </c>
      <c r="B240" s="2" t="s">
        <v>1646</v>
      </c>
    </row>
    <row r="241" spans="1:2" x14ac:dyDescent="0.35">
      <c r="A241" s="2" t="s">
        <v>1647</v>
      </c>
      <c r="B241" s="2" t="s">
        <v>1648</v>
      </c>
    </row>
    <row r="242" spans="1:2" x14ac:dyDescent="0.35">
      <c r="A242" s="2" t="s">
        <v>1649</v>
      </c>
      <c r="B242" s="2" t="s">
        <v>1650</v>
      </c>
    </row>
    <row r="243" spans="1:2" x14ac:dyDescent="0.35">
      <c r="A243" s="2" t="s">
        <v>1651</v>
      </c>
      <c r="B243" s="2" t="s">
        <v>1652</v>
      </c>
    </row>
    <row r="244" spans="1:2" x14ac:dyDescent="0.35">
      <c r="A244" s="2" t="s">
        <v>1653</v>
      </c>
      <c r="B244" s="2" t="s">
        <v>1654</v>
      </c>
    </row>
    <row r="245" spans="1:2" x14ac:dyDescent="0.35">
      <c r="A245" s="2" t="s">
        <v>1655</v>
      </c>
      <c r="B245" s="2" t="s">
        <v>1656</v>
      </c>
    </row>
    <row r="246" spans="1:2" x14ac:dyDescent="0.35">
      <c r="A246" s="2" t="s">
        <v>1657</v>
      </c>
      <c r="B246" s="2" t="s">
        <v>1658</v>
      </c>
    </row>
    <row r="247" spans="1:2" x14ac:dyDescent="0.35">
      <c r="A247" s="2" t="s">
        <v>1659</v>
      </c>
      <c r="B247" s="2" t="s">
        <v>1660</v>
      </c>
    </row>
    <row r="248" spans="1:2" x14ac:dyDescent="0.35">
      <c r="A248" s="2" t="s">
        <v>1661</v>
      </c>
      <c r="B248" s="2" t="s">
        <v>1662</v>
      </c>
    </row>
    <row r="249" spans="1:2" x14ac:dyDescent="0.35">
      <c r="A249" s="2" t="s">
        <v>1663</v>
      </c>
      <c r="B249" s="2" t="s">
        <v>1664</v>
      </c>
    </row>
    <row r="250" spans="1:2" x14ac:dyDescent="0.35">
      <c r="A250" s="2" t="s">
        <v>1665</v>
      </c>
      <c r="B250" s="2" t="s">
        <v>1666</v>
      </c>
    </row>
    <row r="251" spans="1:2" x14ac:dyDescent="0.35">
      <c r="A251" s="2" t="s">
        <v>1667</v>
      </c>
      <c r="B251" s="2" t="s">
        <v>1668</v>
      </c>
    </row>
    <row r="252" spans="1:2" x14ac:dyDescent="0.35">
      <c r="A252" s="2" t="s">
        <v>1669</v>
      </c>
      <c r="B252" s="2" t="s">
        <v>1670</v>
      </c>
    </row>
    <row r="253" spans="1:2" x14ac:dyDescent="0.35">
      <c r="A253" s="2" t="s">
        <v>1671</v>
      </c>
      <c r="B253" s="2" t="s">
        <v>1672</v>
      </c>
    </row>
    <row r="254" spans="1:2" x14ac:dyDescent="0.35">
      <c r="A254" s="2" t="s">
        <v>1673</v>
      </c>
      <c r="B254" s="2" t="s">
        <v>1674</v>
      </c>
    </row>
    <row r="255" spans="1:2" x14ac:dyDescent="0.35">
      <c r="A255" s="2" t="s">
        <v>1675</v>
      </c>
      <c r="B255" s="2" t="s">
        <v>1676</v>
      </c>
    </row>
    <row r="256" spans="1:2" x14ac:dyDescent="0.35">
      <c r="A256" s="2" t="s">
        <v>1677</v>
      </c>
      <c r="B256" s="2" t="s">
        <v>1678</v>
      </c>
    </row>
    <row r="257" spans="1:2" x14ac:dyDescent="0.35">
      <c r="A257" s="2" t="s">
        <v>1679</v>
      </c>
      <c r="B257" s="2" t="s">
        <v>1680</v>
      </c>
    </row>
    <row r="258" spans="1:2" x14ac:dyDescent="0.35">
      <c r="A258" s="2" t="s">
        <v>1681</v>
      </c>
      <c r="B258" s="2" t="s">
        <v>1682</v>
      </c>
    </row>
    <row r="259" spans="1:2" x14ac:dyDescent="0.35">
      <c r="A259" s="2" t="s">
        <v>1683</v>
      </c>
      <c r="B259" s="2" t="s">
        <v>1684</v>
      </c>
    </row>
    <row r="260" spans="1:2" x14ac:dyDescent="0.35">
      <c r="A260" s="2" t="s">
        <v>1685</v>
      </c>
      <c r="B260" s="2" t="s">
        <v>1686</v>
      </c>
    </row>
    <row r="261" spans="1:2" x14ac:dyDescent="0.35">
      <c r="A261" s="2" t="s">
        <v>1687</v>
      </c>
      <c r="B261" s="2" t="s">
        <v>1688</v>
      </c>
    </row>
    <row r="262" spans="1:2" x14ac:dyDescent="0.35">
      <c r="A262" s="2" t="s">
        <v>1689</v>
      </c>
      <c r="B262" s="2" t="s">
        <v>1690</v>
      </c>
    </row>
    <row r="263" spans="1:2" x14ac:dyDescent="0.35">
      <c r="A263" s="2" t="s">
        <v>1691</v>
      </c>
      <c r="B263" s="2" t="s">
        <v>1692</v>
      </c>
    </row>
    <row r="264" spans="1:2" x14ac:dyDescent="0.35">
      <c r="A264" s="2" t="s">
        <v>1693</v>
      </c>
      <c r="B264" s="2" t="s">
        <v>1694</v>
      </c>
    </row>
    <row r="265" spans="1:2" x14ac:dyDescent="0.35">
      <c r="A265" s="2" t="s">
        <v>1695</v>
      </c>
      <c r="B265" s="2" t="s">
        <v>1696</v>
      </c>
    </row>
    <row r="266" spans="1:2" x14ac:dyDescent="0.35">
      <c r="A266" s="2" t="s">
        <v>1697</v>
      </c>
      <c r="B266" s="2" t="s">
        <v>1698</v>
      </c>
    </row>
    <row r="267" spans="1:2" x14ac:dyDescent="0.35">
      <c r="A267" s="2" t="s">
        <v>1699</v>
      </c>
      <c r="B267" s="2" t="s">
        <v>1700</v>
      </c>
    </row>
    <row r="268" spans="1:2" x14ac:dyDescent="0.35">
      <c r="A268" s="2" t="s">
        <v>1701</v>
      </c>
      <c r="B268" s="2" t="s">
        <v>1702</v>
      </c>
    </row>
    <row r="269" spans="1:2" x14ac:dyDescent="0.35">
      <c r="A269" s="2" t="s">
        <v>1703</v>
      </c>
      <c r="B269" s="2" t="s">
        <v>1704</v>
      </c>
    </row>
    <row r="270" spans="1:2" x14ac:dyDescent="0.35">
      <c r="A270" s="2" t="s">
        <v>1705</v>
      </c>
      <c r="B270" s="2" t="s">
        <v>1706</v>
      </c>
    </row>
    <row r="271" spans="1:2" x14ac:dyDescent="0.35">
      <c r="A271" s="2" t="s">
        <v>1707</v>
      </c>
      <c r="B271" s="2" t="s">
        <v>1708</v>
      </c>
    </row>
    <row r="272" spans="1:2" x14ac:dyDescent="0.35">
      <c r="A272" s="2" t="s">
        <v>1709</v>
      </c>
      <c r="B272" s="2" t="s">
        <v>1710</v>
      </c>
    </row>
    <row r="273" spans="1:2" x14ac:dyDescent="0.35">
      <c r="A273" s="2" t="s">
        <v>1711</v>
      </c>
      <c r="B273" s="2" t="s">
        <v>1712</v>
      </c>
    </row>
    <row r="274" spans="1:2" x14ac:dyDescent="0.35">
      <c r="A274" s="2" t="s">
        <v>1713</v>
      </c>
      <c r="B274" s="2" t="s">
        <v>1714</v>
      </c>
    </row>
    <row r="275" spans="1:2" x14ac:dyDescent="0.35">
      <c r="A275" s="2" t="s">
        <v>1715</v>
      </c>
      <c r="B275" s="2" t="s">
        <v>1716</v>
      </c>
    </row>
    <row r="276" spans="1:2" x14ac:dyDescent="0.35">
      <c r="A276" s="2" t="s">
        <v>1717</v>
      </c>
      <c r="B276" s="2" t="s">
        <v>1718</v>
      </c>
    </row>
    <row r="277" spans="1:2" x14ac:dyDescent="0.35">
      <c r="A277" s="2" t="s">
        <v>1719</v>
      </c>
      <c r="B277" s="2" t="s">
        <v>1720</v>
      </c>
    </row>
    <row r="278" spans="1:2" x14ac:dyDescent="0.35">
      <c r="A278" s="2" t="s">
        <v>1721</v>
      </c>
      <c r="B278" s="2" t="s">
        <v>1722</v>
      </c>
    </row>
    <row r="279" spans="1:2" x14ac:dyDescent="0.35">
      <c r="A279" s="2" t="s">
        <v>1723</v>
      </c>
      <c r="B279" s="2" t="s">
        <v>1724</v>
      </c>
    </row>
    <row r="280" spans="1:2" x14ac:dyDescent="0.35">
      <c r="A280" s="2" t="s">
        <v>1725</v>
      </c>
      <c r="B280" s="2" t="s">
        <v>1726</v>
      </c>
    </row>
    <row r="281" spans="1:2" x14ac:dyDescent="0.35">
      <c r="A281" s="2" t="s">
        <v>1727</v>
      </c>
      <c r="B281" s="2" t="s">
        <v>1728</v>
      </c>
    </row>
    <row r="282" spans="1:2" x14ac:dyDescent="0.35">
      <c r="A282" s="2" t="s">
        <v>1729</v>
      </c>
      <c r="B282" s="2" t="s">
        <v>1730</v>
      </c>
    </row>
    <row r="283" spans="1:2" x14ac:dyDescent="0.35">
      <c r="A283" s="2" t="s">
        <v>1731</v>
      </c>
      <c r="B283" s="2" t="s">
        <v>1732</v>
      </c>
    </row>
    <row r="284" spans="1:2" x14ac:dyDescent="0.35">
      <c r="A284" s="2" t="s">
        <v>1733</v>
      </c>
      <c r="B284" s="2" t="s">
        <v>1734</v>
      </c>
    </row>
    <row r="285" spans="1:2" x14ac:dyDescent="0.35">
      <c r="A285" s="2" t="s">
        <v>1735</v>
      </c>
      <c r="B285" s="2" t="s">
        <v>1736</v>
      </c>
    </row>
    <row r="286" spans="1:2" x14ac:dyDescent="0.35">
      <c r="A286" s="2" t="s">
        <v>1737</v>
      </c>
      <c r="B286" s="2" t="s">
        <v>1738</v>
      </c>
    </row>
    <row r="287" spans="1:2" x14ac:dyDescent="0.35">
      <c r="A287" s="2" t="s">
        <v>1739</v>
      </c>
      <c r="B287" s="2" t="s">
        <v>1740</v>
      </c>
    </row>
    <row r="288" spans="1:2" x14ac:dyDescent="0.35">
      <c r="A288" s="2" t="s">
        <v>1741</v>
      </c>
      <c r="B288" s="2" t="s">
        <v>1742</v>
      </c>
    </row>
    <row r="289" spans="1:2" x14ac:dyDescent="0.35">
      <c r="A289" s="2" t="s">
        <v>1743</v>
      </c>
      <c r="B289" s="2" t="s">
        <v>1744</v>
      </c>
    </row>
    <row r="290" spans="1:2" x14ac:dyDescent="0.35">
      <c r="A290" s="2" t="s">
        <v>1745</v>
      </c>
      <c r="B290" s="2" t="s">
        <v>1746</v>
      </c>
    </row>
    <row r="291" spans="1:2" x14ac:dyDescent="0.35">
      <c r="A291" s="2" t="s">
        <v>1747</v>
      </c>
      <c r="B291" s="2" t="s">
        <v>1748</v>
      </c>
    </row>
    <row r="292" spans="1:2" x14ac:dyDescent="0.35">
      <c r="A292" s="2" t="s">
        <v>1749</v>
      </c>
      <c r="B292" s="2" t="s">
        <v>1750</v>
      </c>
    </row>
    <row r="293" spans="1:2" x14ac:dyDescent="0.35">
      <c r="A293" s="2" t="s">
        <v>1751</v>
      </c>
      <c r="B293" s="2" t="s">
        <v>1752</v>
      </c>
    </row>
    <row r="294" spans="1:2" x14ac:dyDescent="0.35">
      <c r="A294" s="2" t="s">
        <v>1753</v>
      </c>
      <c r="B294" s="2" t="s">
        <v>1754</v>
      </c>
    </row>
    <row r="295" spans="1:2" x14ac:dyDescent="0.35">
      <c r="A295" s="2" t="s">
        <v>1755</v>
      </c>
      <c r="B295" s="2" t="s">
        <v>1756</v>
      </c>
    </row>
    <row r="296" spans="1:2" x14ac:dyDescent="0.35">
      <c r="A296" s="2" t="s">
        <v>1757</v>
      </c>
      <c r="B296" s="2" t="s">
        <v>1758</v>
      </c>
    </row>
    <row r="297" spans="1:2" x14ac:dyDescent="0.35">
      <c r="A297" s="2" t="s">
        <v>1759</v>
      </c>
      <c r="B297" s="2" t="s">
        <v>1760</v>
      </c>
    </row>
    <row r="298" spans="1:2" x14ac:dyDescent="0.35">
      <c r="A298" s="2" t="s">
        <v>1761</v>
      </c>
      <c r="B298" s="2" t="s">
        <v>1762</v>
      </c>
    </row>
    <row r="299" spans="1:2" x14ac:dyDescent="0.35">
      <c r="A299" s="2" t="s">
        <v>1763</v>
      </c>
      <c r="B299" s="2" t="s">
        <v>1764</v>
      </c>
    </row>
    <row r="300" spans="1:2" x14ac:dyDescent="0.35">
      <c r="A300" s="2" t="s">
        <v>1765</v>
      </c>
      <c r="B300" s="2" t="s">
        <v>1766</v>
      </c>
    </row>
    <row r="301" spans="1:2" x14ac:dyDescent="0.35">
      <c r="A301" s="2" t="s">
        <v>1767</v>
      </c>
      <c r="B301" s="2" t="s">
        <v>1768</v>
      </c>
    </row>
    <row r="302" spans="1:2" x14ac:dyDescent="0.35">
      <c r="A302" s="2" t="s">
        <v>1769</v>
      </c>
      <c r="B302" s="2" t="s">
        <v>1770</v>
      </c>
    </row>
    <row r="303" spans="1:2" x14ac:dyDescent="0.35">
      <c r="A303" s="2" t="s">
        <v>1771</v>
      </c>
      <c r="B303" s="2" t="s">
        <v>1772</v>
      </c>
    </row>
    <row r="304" spans="1:2" x14ac:dyDescent="0.35">
      <c r="A304" s="2" t="s">
        <v>1773</v>
      </c>
      <c r="B304" s="2" t="s">
        <v>1774</v>
      </c>
    </row>
    <row r="305" spans="1:2" x14ac:dyDescent="0.35">
      <c r="A305" s="2" t="s">
        <v>1775</v>
      </c>
      <c r="B305" s="2" t="s">
        <v>1776</v>
      </c>
    </row>
    <row r="306" spans="1:2" x14ac:dyDescent="0.35">
      <c r="A306" s="2" t="s">
        <v>1777</v>
      </c>
      <c r="B306" s="2" t="s">
        <v>1778</v>
      </c>
    </row>
    <row r="307" spans="1:2" x14ac:dyDescent="0.35">
      <c r="A307" s="2" t="s">
        <v>1779</v>
      </c>
      <c r="B307" s="2" t="s">
        <v>1780</v>
      </c>
    </row>
    <row r="308" spans="1:2" x14ac:dyDescent="0.35">
      <c r="A308" s="2" t="s">
        <v>1781</v>
      </c>
      <c r="B308" s="2" t="s">
        <v>1782</v>
      </c>
    </row>
    <row r="309" spans="1:2" x14ac:dyDescent="0.35">
      <c r="A309" s="2" t="s">
        <v>1783</v>
      </c>
      <c r="B309" s="2" t="s">
        <v>1784</v>
      </c>
    </row>
    <row r="310" spans="1:2" x14ac:dyDescent="0.35">
      <c r="A310" s="2" t="s">
        <v>1785</v>
      </c>
      <c r="B310" s="2" t="s">
        <v>1786</v>
      </c>
    </row>
    <row r="311" spans="1:2" x14ac:dyDescent="0.35">
      <c r="A311" s="2" t="s">
        <v>1787</v>
      </c>
      <c r="B311" s="2" t="s">
        <v>1788</v>
      </c>
    </row>
    <row r="312" spans="1:2" x14ac:dyDescent="0.35">
      <c r="A312" s="2" t="s">
        <v>1789</v>
      </c>
      <c r="B312" s="2" t="s">
        <v>1790</v>
      </c>
    </row>
    <row r="313" spans="1:2" x14ac:dyDescent="0.35">
      <c r="A313" s="2" t="s">
        <v>1791</v>
      </c>
      <c r="B313" s="2" t="s">
        <v>1792</v>
      </c>
    </row>
    <row r="314" spans="1:2" x14ac:dyDescent="0.35">
      <c r="A314" s="2" t="s">
        <v>1793</v>
      </c>
      <c r="B314" s="2" t="s">
        <v>1794</v>
      </c>
    </row>
    <row r="315" spans="1:2" x14ac:dyDescent="0.35">
      <c r="A315" s="2" t="s">
        <v>1795</v>
      </c>
      <c r="B315" s="2" t="s">
        <v>1796</v>
      </c>
    </row>
    <row r="316" spans="1:2" x14ac:dyDescent="0.35">
      <c r="A316" s="2" t="s">
        <v>1797</v>
      </c>
      <c r="B316" s="2" t="s">
        <v>1716</v>
      </c>
    </row>
    <row r="317" spans="1:2" x14ac:dyDescent="0.35">
      <c r="A317" s="2" t="s">
        <v>1798</v>
      </c>
      <c r="B317" s="2" t="s">
        <v>1799</v>
      </c>
    </row>
    <row r="318" spans="1:2" x14ac:dyDescent="0.35">
      <c r="A318" s="2" t="s">
        <v>1800</v>
      </c>
      <c r="B318" s="2" t="s">
        <v>1801</v>
      </c>
    </row>
    <row r="319" spans="1:2" x14ac:dyDescent="0.35">
      <c r="A319" s="2" t="s">
        <v>1802</v>
      </c>
      <c r="B319" s="2" t="s">
        <v>1803</v>
      </c>
    </row>
    <row r="320" spans="1:2" x14ac:dyDescent="0.35">
      <c r="A320" s="2" t="s">
        <v>1804</v>
      </c>
      <c r="B320" s="2" t="s">
        <v>1805</v>
      </c>
    </row>
    <row r="321" spans="1:2" x14ac:dyDescent="0.35">
      <c r="A321" s="2" t="s">
        <v>1806</v>
      </c>
      <c r="B321" s="2" t="s">
        <v>1807</v>
      </c>
    </row>
    <row r="322" spans="1:2" x14ac:dyDescent="0.35">
      <c r="A322" s="2" t="s">
        <v>1808</v>
      </c>
      <c r="B322" s="2" t="s">
        <v>1809</v>
      </c>
    </row>
    <row r="323" spans="1:2" x14ac:dyDescent="0.35">
      <c r="A323" s="2" t="s">
        <v>1810</v>
      </c>
      <c r="B323" s="2" t="s">
        <v>1811</v>
      </c>
    </row>
    <row r="324" spans="1:2" x14ac:dyDescent="0.35">
      <c r="A324" s="2" t="s">
        <v>1812</v>
      </c>
      <c r="B324" s="2" t="s">
        <v>1813</v>
      </c>
    </row>
    <row r="325" spans="1:2" x14ac:dyDescent="0.35">
      <c r="A325" s="2" t="s">
        <v>1814</v>
      </c>
      <c r="B325" s="2" t="s">
        <v>1815</v>
      </c>
    </row>
    <row r="326" spans="1:2" x14ac:dyDescent="0.35">
      <c r="A326" s="2" t="s">
        <v>1816</v>
      </c>
      <c r="B326" s="2" t="s">
        <v>1817</v>
      </c>
    </row>
    <row r="327" spans="1:2" x14ac:dyDescent="0.35">
      <c r="A327" s="2" t="s">
        <v>1818</v>
      </c>
      <c r="B327" s="2" t="s">
        <v>1819</v>
      </c>
    </row>
    <row r="328" spans="1:2" x14ac:dyDescent="0.35">
      <c r="A328" s="2" t="s">
        <v>1820</v>
      </c>
      <c r="B328" s="2" t="s">
        <v>1821</v>
      </c>
    </row>
    <row r="329" spans="1:2" x14ac:dyDescent="0.35">
      <c r="A329" s="2" t="s">
        <v>1822</v>
      </c>
      <c r="B329" s="2" t="s">
        <v>1823</v>
      </c>
    </row>
    <row r="330" spans="1:2" x14ac:dyDescent="0.35">
      <c r="A330" s="2" t="s">
        <v>1824</v>
      </c>
      <c r="B330" s="2" t="s">
        <v>1825</v>
      </c>
    </row>
    <row r="331" spans="1:2" x14ac:dyDescent="0.35">
      <c r="A331" s="2" t="s">
        <v>1826</v>
      </c>
      <c r="B331" s="2" t="s">
        <v>1827</v>
      </c>
    </row>
    <row r="332" spans="1:2" x14ac:dyDescent="0.35">
      <c r="A332" s="2" t="s">
        <v>1828</v>
      </c>
      <c r="B332" s="2" t="s">
        <v>1829</v>
      </c>
    </row>
    <row r="333" spans="1:2" x14ac:dyDescent="0.35">
      <c r="A333" s="2" t="s">
        <v>1830</v>
      </c>
      <c r="B333" s="2" t="s">
        <v>1831</v>
      </c>
    </row>
    <row r="334" spans="1:2" x14ac:dyDescent="0.35">
      <c r="A334" s="2" t="s">
        <v>1832</v>
      </c>
      <c r="B334" s="2" t="s">
        <v>1833</v>
      </c>
    </row>
    <row r="335" spans="1:2" x14ac:dyDescent="0.35">
      <c r="A335" s="2" t="s">
        <v>1834</v>
      </c>
      <c r="B335" s="2" t="s">
        <v>1835</v>
      </c>
    </row>
    <row r="336" spans="1:2" x14ac:dyDescent="0.35">
      <c r="A336" s="2" t="s">
        <v>1836</v>
      </c>
      <c r="B336" s="2" t="s">
        <v>1837</v>
      </c>
    </row>
    <row r="337" spans="1:2" x14ac:dyDescent="0.35">
      <c r="A337" s="2" t="s">
        <v>1838</v>
      </c>
      <c r="B337" s="2" t="s">
        <v>1839</v>
      </c>
    </row>
    <row r="338" spans="1:2" x14ac:dyDescent="0.35">
      <c r="A338" s="2" t="s">
        <v>1840</v>
      </c>
      <c r="B338" s="2" t="s">
        <v>1841</v>
      </c>
    </row>
    <row r="339" spans="1:2" x14ac:dyDescent="0.35">
      <c r="A339" s="2" t="s">
        <v>1842</v>
      </c>
      <c r="B339" s="2" t="s">
        <v>1843</v>
      </c>
    </row>
    <row r="340" spans="1:2" x14ac:dyDescent="0.35">
      <c r="A340" s="2" t="s">
        <v>1844</v>
      </c>
      <c r="B340" s="2" t="s">
        <v>1845</v>
      </c>
    </row>
    <row r="341" spans="1:2" x14ac:dyDescent="0.35">
      <c r="A341" s="2" t="s">
        <v>1846</v>
      </c>
      <c r="B341" s="2" t="s">
        <v>1847</v>
      </c>
    </row>
    <row r="342" spans="1:2" x14ac:dyDescent="0.35">
      <c r="A342" s="2" t="s">
        <v>1848</v>
      </c>
      <c r="B342" s="2" t="s">
        <v>1849</v>
      </c>
    </row>
    <row r="343" spans="1:2" x14ac:dyDescent="0.35">
      <c r="A343" s="2" t="s">
        <v>1850</v>
      </c>
      <c r="B343" s="2" t="s">
        <v>1851</v>
      </c>
    </row>
    <row r="344" spans="1:2" x14ac:dyDescent="0.35">
      <c r="A344" s="2" t="s">
        <v>1852</v>
      </c>
      <c r="B344" s="2" t="s">
        <v>1853</v>
      </c>
    </row>
    <row r="345" spans="1:2" x14ac:dyDescent="0.35">
      <c r="A345" s="2" t="s">
        <v>1854</v>
      </c>
      <c r="B345" s="2" t="s">
        <v>1855</v>
      </c>
    </row>
    <row r="346" spans="1:2" x14ac:dyDescent="0.35">
      <c r="A346" s="2" t="s">
        <v>1856</v>
      </c>
      <c r="B346" s="2" t="s">
        <v>1857</v>
      </c>
    </row>
    <row r="347" spans="1:2" x14ac:dyDescent="0.35">
      <c r="A347" s="2" t="s">
        <v>1858</v>
      </c>
      <c r="B347" s="2" t="s">
        <v>1859</v>
      </c>
    </row>
    <row r="348" spans="1:2" x14ac:dyDescent="0.35">
      <c r="A348" s="2" t="s">
        <v>1860</v>
      </c>
      <c r="B348" s="2" t="s">
        <v>1861</v>
      </c>
    </row>
    <row r="349" spans="1:2" x14ac:dyDescent="0.35">
      <c r="A349" s="2" t="s">
        <v>1862</v>
      </c>
      <c r="B349" s="2" t="s">
        <v>1863</v>
      </c>
    </row>
    <row r="350" spans="1:2" x14ac:dyDescent="0.35">
      <c r="A350" s="2" t="s">
        <v>1864</v>
      </c>
      <c r="B350" s="2" t="s">
        <v>1865</v>
      </c>
    </row>
    <row r="351" spans="1:2" x14ac:dyDescent="0.35">
      <c r="A351" s="2" t="s">
        <v>1866</v>
      </c>
      <c r="B351" s="2" t="s">
        <v>1867</v>
      </c>
    </row>
    <row r="352" spans="1:2" x14ac:dyDescent="0.35">
      <c r="A352" s="2" t="s">
        <v>1868</v>
      </c>
      <c r="B352" s="2" t="s">
        <v>1869</v>
      </c>
    </row>
    <row r="353" spans="1:2" x14ac:dyDescent="0.35">
      <c r="A353" s="2" t="s">
        <v>1870</v>
      </c>
      <c r="B353" s="2" t="s">
        <v>1871</v>
      </c>
    </row>
    <row r="354" spans="1:2" x14ac:dyDescent="0.35">
      <c r="A354" s="2" t="s">
        <v>1872</v>
      </c>
      <c r="B354" s="2" t="s">
        <v>1873</v>
      </c>
    </row>
    <row r="355" spans="1:2" x14ac:dyDescent="0.35">
      <c r="A355" s="2" t="s">
        <v>1874</v>
      </c>
      <c r="B355" s="2" t="s">
        <v>1875</v>
      </c>
    </row>
    <row r="356" spans="1:2" x14ac:dyDescent="0.35">
      <c r="A356" s="2" t="s">
        <v>1876</v>
      </c>
      <c r="B356" s="2" t="s">
        <v>1877</v>
      </c>
    </row>
    <row r="357" spans="1:2" x14ac:dyDescent="0.35">
      <c r="A357" s="2" t="s">
        <v>1878</v>
      </c>
      <c r="B357" s="2" t="s">
        <v>1879</v>
      </c>
    </row>
    <row r="358" spans="1:2" x14ac:dyDescent="0.35">
      <c r="A358" s="2" t="s">
        <v>1880</v>
      </c>
      <c r="B358" s="2" t="s">
        <v>1881</v>
      </c>
    </row>
    <row r="359" spans="1:2" x14ac:dyDescent="0.35">
      <c r="A359" s="2" t="s">
        <v>1882</v>
      </c>
      <c r="B359" s="2" t="s">
        <v>1883</v>
      </c>
    </row>
    <row r="360" spans="1:2" x14ac:dyDescent="0.35">
      <c r="A360" s="2" t="s">
        <v>1884</v>
      </c>
      <c r="B360" s="2" t="s">
        <v>1885</v>
      </c>
    </row>
    <row r="361" spans="1:2" x14ac:dyDescent="0.35">
      <c r="A361" s="2" t="s">
        <v>1886</v>
      </c>
      <c r="B361" s="2" t="s">
        <v>1887</v>
      </c>
    </row>
    <row r="362" spans="1:2" x14ac:dyDescent="0.35">
      <c r="A362" s="2" t="s">
        <v>1888</v>
      </c>
      <c r="B362" s="2" t="s">
        <v>1889</v>
      </c>
    </row>
    <row r="363" spans="1:2" x14ac:dyDescent="0.35">
      <c r="A363" s="2" t="s">
        <v>1890</v>
      </c>
      <c r="B363" s="2" t="s">
        <v>1891</v>
      </c>
    </row>
    <row r="364" spans="1:2" x14ac:dyDescent="0.35">
      <c r="A364" s="2" t="s">
        <v>1892</v>
      </c>
      <c r="B364" s="2" t="s">
        <v>1893</v>
      </c>
    </row>
    <row r="365" spans="1:2" x14ac:dyDescent="0.35">
      <c r="A365" s="2" t="s">
        <v>1894</v>
      </c>
      <c r="B365" s="2" t="s">
        <v>1895</v>
      </c>
    </row>
    <row r="366" spans="1:2" x14ac:dyDescent="0.35">
      <c r="A366" s="2" t="s">
        <v>1896</v>
      </c>
      <c r="B366" s="2" t="s">
        <v>1897</v>
      </c>
    </row>
    <row r="367" spans="1:2" x14ac:dyDescent="0.35">
      <c r="A367" s="2" t="s">
        <v>1898</v>
      </c>
      <c r="B367" s="2" t="s">
        <v>1899</v>
      </c>
    </row>
    <row r="368" spans="1:2" x14ac:dyDescent="0.35">
      <c r="A368" s="2" t="s">
        <v>1900</v>
      </c>
      <c r="B368" s="2" t="s">
        <v>1901</v>
      </c>
    </row>
    <row r="369" spans="1:2" x14ac:dyDescent="0.35">
      <c r="A369" s="2" t="s">
        <v>1902</v>
      </c>
      <c r="B369" s="2" t="s">
        <v>1903</v>
      </c>
    </row>
    <row r="370" spans="1:2" x14ac:dyDescent="0.35">
      <c r="A370" s="2" t="s">
        <v>1904</v>
      </c>
      <c r="B370" s="2" t="s">
        <v>1905</v>
      </c>
    </row>
    <row r="371" spans="1:2" x14ac:dyDescent="0.35">
      <c r="A371" s="2" t="s">
        <v>1906</v>
      </c>
      <c r="B371" s="2" t="s">
        <v>1907</v>
      </c>
    </row>
    <row r="372" spans="1:2" x14ac:dyDescent="0.35">
      <c r="A372" s="2" t="s">
        <v>1908</v>
      </c>
      <c r="B372" s="2" t="s">
        <v>1909</v>
      </c>
    </row>
    <row r="373" spans="1:2" x14ac:dyDescent="0.35">
      <c r="A373" s="2" t="s">
        <v>1910</v>
      </c>
      <c r="B373" s="2" t="s">
        <v>1911</v>
      </c>
    </row>
    <row r="374" spans="1:2" x14ac:dyDescent="0.35">
      <c r="A374" s="2" t="s">
        <v>1912</v>
      </c>
      <c r="B374" s="2" t="s">
        <v>1913</v>
      </c>
    </row>
    <row r="375" spans="1:2" x14ac:dyDescent="0.35">
      <c r="A375" s="2" t="s">
        <v>1914</v>
      </c>
      <c r="B375" s="2" t="s">
        <v>1915</v>
      </c>
    </row>
    <row r="376" spans="1:2" x14ac:dyDescent="0.35">
      <c r="A376" s="2" t="s">
        <v>1916</v>
      </c>
      <c r="B376" s="2" t="s">
        <v>1917</v>
      </c>
    </row>
    <row r="377" spans="1:2" x14ac:dyDescent="0.35">
      <c r="A377" s="2" t="s">
        <v>1918</v>
      </c>
      <c r="B377" s="2" t="s">
        <v>1919</v>
      </c>
    </row>
    <row r="378" spans="1:2" x14ac:dyDescent="0.35">
      <c r="A378" s="2" t="s">
        <v>1920</v>
      </c>
      <c r="B378" s="2" t="s">
        <v>1921</v>
      </c>
    </row>
    <row r="379" spans="1:2" x14ac:dyDescent="0.35">
      <c r="A379" s="2" t="s">
        <v>1922</v>
      </c>
      <c r="B379" s="2" t="s">
        <v>1923</v>
      </c>
    </row>
    <row r="380" spans="1:2" x14ac:dyDescent="0.35">
      <c r="A380" s="2" t="s">
        <v>1924</v>
      </c>
      <c r="B380" s="2" t="s">
        <v>1925</v>
      </c>
    </row>
    <row r="381" spans="1:2" x14ac:dyDescent="0.35">
      <c r="A381" s="2" t="s">
        <v>1926</v>
      </c>
      <c r="B381" s="2" t="s">
        <v>1927</v>
      </c>
    </row>
    <row r="382" spans="1:2" x14ac:dyDescent="0.35">
      <c r="A382" s="2" t="s">
        <v>1928</v>
      </c>
      <c r="B382" s="2" t="s">
        <v>1929</v>
      </c>
    </row>
    <row r="383" spans="1:2" x14ac:dyDescent="0.35">
      <c r="A383" s="2" t="s">
        <v>1930</v>
      </c>
      <c r="B383" s="2" t="s">
        <v>1931</v>
      </c>
    </row>
    <row r="384" spans="1:2" x14ac:dyDescent="0.35">
      <c r="A384" s="2" t="s">
        <v>1932</v>
      </c>
      <c r="B384" s="2" t="s">
        <v>1933</v>
      </c>
    </row>
    <row r="385" spans="1:2" x14ac:dyDescent="0.35">
      <c r="A385" s="2" t="s">
        <v>1934</v>
      </c>
      <c r="B385" s="2" t="s">
        <v>1935</v>
      </c>
    </row>
    <row r="386" spans="1:2" x14ac:dyDescent="0.35">
      <c r="A386" s="2" t="s">
        <v>1936</v>
      </c>
      <c r="B386" s="2" t="s">
        <v>1937</v>
      </c>
    </row>
    <row r="387" spans="1:2" x14ac:dyDescent="0.35">
      <c r="A387" s="2" t="s">
        <v>1938</v>
      </c>
      <c r="B387" s="2" t="s">
        <v>1939</v>
      </c>
    </row>
    <row r="388" spans="1:2" x14ac:dyDescent="0.35">
      <c r="A388" s="2" t="s">
        <v>1940</v>
      </c>
      <c r="B388" s="2" t="s">
        <v>1941</v>
      </c>
    </row>
    <row r="389" spans="1:2" x14ac:dyDescent="0.35">
      <c r="A389" s="2" t="s">
        <v>1942</v>
      </c>
      <c r="B389" s="2" t="s">
        <v>1943</v>
      </c>
    </row>
    <row r="390" spans="1:2" x14ac:dyDescent="0.35">
      <c r="A390" s="2" t="s">
        <v>1944</v>
      </c>
      <c r="B390" s="2" t="s">
        <v>1945</v>
      </c>
    </row>
    <row r="391" spans="1:2" x14ac:dyDescent="0.35">
      <c r="A391" s="2" t="s">
        <v>1946</v>
      </c>
      <c r="B391" s="2" t="s">
        <v>1947</v>
      </c>
    </row>
    <row r="392" spans="1:2" x14ac:dyDescent="0.35">
      <c r="A392" s="2" t="s">
        <v>1948</v>
      </c>
      <c r="B392" s="2" t="s">
        <v>1949</v>
      </c>
    </row>
    <row r="393" spans="1:2" x14ac:dyDescent="0.35">
      <c r="A393" s="2" t="s">
        <v>1950</v>
      </c>
      <c r="B393" s="2" t="s">
        <v>1951</v>
      </c>
    </row>
    <row r="394" spans="1:2" x14ac:dyDescent="0.35">
      <c r="A394" s="2" t="s">
        <v>1952</v>
      </c>
      <c r="B394" s="2" t="s">
        <v>1953</v>
      </c>
    </row>
    <row r="395" spans="1:2" x14ac:dyDescent="0.35">
      <c r="A395" s="2" t="s">
        <v>1954</v>
      </c>
      <c r="B395" s="2" t="s">
        <v>1955</v>
      </c>
    </row>
    <row r="396" spans="1:2" x14ac:dyDescent="0.35">
      <c r="A396" s="2" t="s">
        <v>1956</v>
      </c>
      <c r="B396" s="2" t="s">
        <v>1957</v>
      </c>
    </row>
    <row r="397" spans="1:2" x14ac:dyDescent="0.35">
      <c r="A397" s="2" t="s">
        <v>1958</v>
      </c>
      <c r="B397" s="2" t="s">
        <v>1959</v>
      </c>
    </row>
    <row r="398" spans="1:2" x14ac:dyDescent="0.35">
      <c r="A398" s="2" t="s">
        <v>1960</v>
      </c>
      <c r="B398" s="2" t="s">
        <v>1961</v>
      </c>
    </row>
    <row r="399" spans="1:2" x14ac:dyDescent="0.35">
      <c r="A399" s="2" t="s">
        <v>1962</v>
      </c>
      <c r="B399" s="2" t="s">
        <v>1963</v>
      </c>
    </row>
    <row r="400" spans="1:2" x14ac:dyDescent="0.35">
      <c r="A400" s="2" t="s">
        <v>1964</v>
      </c>
      <c r="B400" s="2" t="s">
        <v>1965</v>
      </c>
    </row>
    <row r="401" spans="1:2" x14ac:dyDescent="0.35">
      <c r="A401" s="2" t="s">
        <v>1966</v>
      </c>
      <c r="B401" s="2" t="s">
        <v>1967</v>
      </c>
    </row>
    <row r="402" spans="1:2" x14ac:dyDescent="0.35">
      <c r="A402" s="2" t="s">
        <v>1968</v>
      </c>
      <c r="B402" s="2" t="s">
        <v>1969</v>
      </c>
    </row>
    <row r="403" spans="1:2" x14ac:dyDescent="0.35">
      <c r="A403" s="2" t="s">
        <v>1970</v>
      </c>
      <c r="B403" s="2" t="s">
        <v>1971</v>
      </c>
    </row>
    <row r="404" spans="1:2" x14ac:dyDescent="0.35">
      <c r="A404" s="2" t="s">
        <v>1972</v>
      </c>
      <c r="B404" s="2" t="s">
        <v>1973</v>
      </c>
    </row>
    <row r="405" spans="1:2" x14ac:dyDescent="0.35">
      <c r="A405" s="2" t="s">
        <v>1974</v>
      </c>
      <c r="B405" s="2" t="s">
        <v>1975</v>
      </c>
    </row>
    <row r="406" spans="1:2" x14ac:dyDescent="0.35">
      <c r="A406" s="2" t="s">
        <v>1976</v>
      </c>
      <c r="B406" s="2" t="s">
        <v>1977</v>
      </c>
    </row>
    <row r="407" spans="1:2" x14ac:dyDescent="0.35">
      <c r="A407" s="2" t="s">
        <v>1978</v>
      </c>
      <c r="B407" s="2" t="s">
        <v>1979</v>
      </c>
    </row>
    <row r="408" spans="1:2" x14ac:dyDescent="0.35">
      <c r="A408" s="2" t="s">
        <v>1980</v>
      </c>
      <c r="B408" s="2" t="s">
        <v>1981</v>
      </c>
    </row>
    <row r="409" spans="1:2" x14ac:dyDescent="0.35">
      <c r="A409" s="2" t="s">
        <v>1982</v>
      </c>
      <c r="B409" s="2" t="s">
        <v>1983</v>
      </c>
    </row>
    <row r="410" spans="1:2" x14ac:dyDescent="0.35">
      <c r="A410" s="2" t="s">
        <v>1984</v>
      </c>
      <c r="B410" s="2" t="s">
        <v>1985</v>
      </c>
    </row>
    <row r="411" spans="1:2" x14ac:dyDescent="0.35">
      <c r="A411" s="2" t="s">
        <v>1986</v>
      </c>
      <c r="B411" s="2" t="s">
        <v>1987</v>
      </c>
    </row>
    <row r="412" spans="1:2" x14ac:dyDescent="0.35">
      <c r="A412" s="2" t="s">
        <v>1988</v>
      </c>
      <c r="B412" s="2" t="s">
        <v>1989</v>
      </c>
    </row>
    <row r="413" spans="1:2" x14ac:dyDescent="0.35">
      <c r="A413" s="2" t="s">
        <v>1990</v>
      </c>
      <c r="B413" s="2" t="s">
        <v>1991</v>
      </c>
    </row>
    <row r="414" spans="1:2" x14ac:dyDescent="0.35">
      <c r="A414" s="2" t="s">
        <v>1992</v>
      </c>
      <c r="B414" s="2" t="s">
        <v>1993</v>
      </c>
    </row>
    <row r="415" spans="1:2" x14ac:dyDescent="0.35">
      <c r="A415" s="2" t="s">
        <v>1994</v>
      </c>
      <c r="B415" s="2" t="s">
        <v>1995</v>
      </c>
    </row>
    <row r="416" spans="1:2" x14ac:dyDescent="0.35">
      <c r="A416" s="2" t="s">
        <v>1996</v>
      </c>
      <c r="B416" s="2" t="s">
        <v>1997</v>
      </c>
    </row>
    <row r="417" spans="1:2" x14ac:dyDescent="0.35">
      <c r="A417" s="2" t="s">
        <v>1998</v>
      </c>
      <c r="B417" s="2" t="s">
        <v>1999</v>
      </c>
    </row>
    <row r="418" spans="1:2" x14ac:dyDescent="0.35">
      <c r="A418" s="2" t="s">
        <v>2000</v>
      </c>
      <c r="B418" s="2" t="s">
        <v>2001</v>
      </c>
    </row>
    <row r="419" spans="1:2" x14ac:dyDescent="0.35">
      <c r="A419" s="2" t="s">
        <v>2002</v>
      </c>
      <c r="B419" s="2" t="s">
        <v>2003</v>
      </c>
    </row>
    <row r="420" spans="1:2" x14ac:dyDescent="0.35">
      <c r="A420" s="2" t="s">
        <v>2004</v>
      </c>
      <c r="B420" s="2" t="s">
        <v>2005</v>
      </c>
    </row>
    <row r="421" spans="1:2" x14ac:dyDescent="0.35">
      <c r="A421" s="2" t="s">
        <v>2006</v>
      </c>
      <c r="B421" s="2" t="s">
        <v>2007</v>
      </c>
    </row>
    <row r="422" spans="1:2" x14ac:dyDescent="0.35">
      <c r="A422" s="2" t="s">
        <v>2008</v>
      </c>
      <c r="B422" s="2" t="s">
        <v>2009</v>
      </c>
    </row>
    <row r="423" spans="1:2" x14ac:dyDescent="0.35">
      <c r="A423" s="2" t="s">
        <v>2010</v>
      </c>
      <c r="B423" s="2" t="s">
        <v>2011</v>
      </c>
    </row>
    <row r="424" spans="1:2" x14ac:dyDescent="0.35">
      <c r="A424" s="2" t="s">
        <v>2012</v>
      </c>
      <c r="B424" s="2" t="s">
        <v>2013</v>
      </c>
    </row>
    <row r="425" spans="1:2" x14ac:dyDescent="0.35">
      <c r="A425" s="2" t="s">
        <v>2014</v>
      </c>
      <c r="B425" s="2" t="s">
        <v>2015</v>
      </c>
    </row>
    <row r="426" spans="1:2" x14ac:dyDescent="0.35">
      <c r="A426" s="2" t="s">
        <v>2016</v>
      </c>
      <c r="B426" s="2" t="s">
        <v>2017</v>
      </c>
    </row>
    <row r="427" spans="1:2" x14ac:dyDescent="0.35">
      <c r="A427" s="2" t="s">
        <v>2018</v>
      </c>
      <c r="B427" s="2" t="s">
        <v>2019</v>
      </c>
    </row>
    <row r="428" spans="1:2" x14ac:dyDescent="0.35">
      <c r="A428" s="2" t="s">
        <v>2020</v>
      </c>
      <c r="B428" s="2" t="s">
        <v>2021</v>
      </c>
    </row>
    <row r="429" spans="1:2" x14ac:dyDescent="0.35">
      <c r="A429" s="2" t="s">
        <v>2022</v>
      </c>
      <c r="B429" s="2" t="s">
        <v>2023</v>
      </c>
    </row>
    <row r="430" spans="1:2" x14ac:dyDescent="0.35">
      <c r="A430" s="2" t="s">
        <v>2024</v>
      </c>
      <c r="B430" s="2" t="s">
        <v>2025</v>
      </c>
    </row>
    <row r="431" spans="1:2" x14ac:dyDescent="0.35">
      <c r="A431" s="2" t="s">
        <v>2026</v>
      </c>
      <c r="B431" s="2" t="s">
        <v>2027</v>
      </c>
    </row>
    <row r="432" spans="1:2" x14ac:dyDescent="0.35">
      <c r="A432" s="2" t="s">
        <v>2028</v>
      </c>
      <c r="B432" s="2" t="s">
        <v>2029</v>
      </c>
    </row>
    <row r="433" spans="1:2" x14ac:dyDescent="0.35">
      <c r="A433" s="2" t="s">
        <v>2030</v>
      </c>
      <c r="B433" s="2" t="s">
        <v>2031</v>
      </c>
    </row>
    <row r="434" spans="1:2" x14ac:dyDescent="0.35">
      <c r="A434" s="2" t="s">
        <v>2032</v>
      </c>
      <c r="B434" s="2" t="s">
        <v>2033</v>
      </c>
    </row>
    <row r="435" spans="1:2" x14ac:dyDescent="0.35">
      <c r="A435" s="2" t="s">
        <v>2034</v>
      </c>
      <c r="B435" s="2" t="s">
        <v>2035</v>
      </c>
    </row>
    <row r="436" spans="1:2" x14ac:dyDescent="0.35">
      <c r="A436" s="2" t="s">
        <v>2036</v>
      </c>
      <c r="B436" s="2" t="s">
        <v>2037</v>
      </c>
    </row>
    <row r="437" spans="1:2" x14ac:dyDescent="0.35">
      <c r="A437" s="2" t="s">
        <v>2038</v>
      </c>
      <c r="B437" s="2" t="s">
        <v>2039</v>
      </c>
    </row>
    <row r="438" spans="1:2" x14ac:dyDescent="0.35">
      <c r="A438" s="2" t="s">
        <v>2040</v>
      </c>
      <c r="B438" s="2" t="s">
        <v>2041</v>
      </c>
    </row>
    <row r="439" spans="1:2" x14ac:dyDescent="0.35">
      <c r="A439" s="2" t="s">
        <v>2042</v>
      </c>
      <c r="B439" s="2" t="s">
        <v>2043</v>
      </c>
    </row>
    <row r="440" spans="1:2" x14ac:dyDescent="0.35">
      <c r="A440" s="2" t="s">
        <v>2044</v>
      </c>
      <c r="B440" s="2" t="s">
        <v>2045</v>
      </c>
    </row>
    <row r="441" spans="1:2" x14ac:dyDescent="0.35">
      <c r="A441" s="2" t="s">
        <v>2046</v>
      </c>
      <c r="B441" s="2" t="s">
        <v>2047</v>
      </c>
    </row>
    <row r="442" spans="1:2" x14ac:dyDescent="0.35">
      <c r="A442" s="2" t="s">
        <v>2048</v>
      </c>
      <c r="B442" s="2" t="s">
        <v>2049</v>
      </c>
    </row>
    <row r="443" spans="1:2" x14ac:dyDescent="0.35">
      <c r="A443" s="2" t="s">
        <v>2050</v>
      </c>
      <c r="B443" s="2" t="s">
        <v>2051</v>
      </c>
    </row>
    <row r="444" spans="1:2" x14ac:dyDescent="0.35">
      <c r="A444" s="2" t="s">
        <v>2052</v>
      </c>
      <c r="B444" s="2" t="s">
        <v>2053</v>
      </c>
    </row>
    <row r="445" spans="1:2" x14ac:dyDescent="0.35">
      <c r="A445" s="2" t="s">
        <v>2054</v>
      </c>
      <c r="B445" s="2" t="s">
        <v>2055</v>
      </c>
    </row>
    <row r="446" spans="1:2" x14ac:dyDescent="0.35">
      <c r="A446" s="2" t="s">
        <v>2056</v>
      </c>
      <c r="B446" s="2" t="s">
        <v>2057</v>
      </c>
    </row>
    <row r="447" spans="1:2" x14ac:dyDescent="0.35">
      <c r="A447" s="2" t="s">
        <v>2058</v>
      </c>
      <c r="B447" s="2" t="s">
        <v>2059</v>
      </c>
    </row>
    <row r="448" spans="1:2" x14ac:dyDescent="0.35">
      <c r="A448" s="2" t="s">
        <v>2060</v>
      </c>
      <c r="B448" s="2" t="s">
        <v>2061</v>
      </c>
    </row>
    <row r="449" spans="1:2" x14ac:dyDescent="0.35">
      <c r="A449" s="2" t="s">
        <v>2062</v>
      </c>
      <c r="B449" s="2" t="s">
        <v>2063</v>
      </c>
    </row>
    <row r="450" spans="1:2" x14ac:dyDescent="0.35">
      <c r="A450" s="2" t="s">
        <v>2064</v>
      </c>
      <c r="B450" s="2" t="s">
        <v>2065</v>
      </c>
    </row>
    <row r="451" spans="1:2" x14ac:dyDescent="0.35">
      <c r="A451" s="2" t="s">
        <v>2066</v>
      </c>
      <c r="B451" s="2" t="s">
        <v>2067</v>
      </c>
    </row>
    <row r="452" spans="1:2" x14ac:dyDescent="0.35">
      <c r="A452" s="2" t="s">
        <v>2068</v>
      </c>
      <c r="B452" s="2" t="s">
        <v>2069</v>
      </c>
    </row>
    <row r="453" spans="1:2" x14ac:dyDescent="0.35">
      <c r="A453" s="2" t="s">
        <v>2070</v>
      </c>
      <c r="B453" s="2" t="s">
        <v>2071</v>
      </c>
    </row>
    <row r="454" spans="1:2" x14ac:dyDescent="0.35">
      <c r="A454" s="2" t="s">
        <v>2072</v>
      </c>
      <c r="B454" s="2" t="s">
        <v>2073</v>
      </c>
    </row>
    <row r="455" spans="1:2" x14ac:dyDescent="0.35">
      <c r="A455" s="2" t="s">
        <v>2074</v>
      </c>
      <c r="B455" s="2" t="s">
        <v>2075</v>
      </c>
    </row>
    <row r="456" spans="1:2" x14ac:dyDescent="0.35">
      <c r="A456" s="2" t="s">
        <v>2076</v>
      </c>
      <c r="B456" s="2" t="s">
        <v>2077</v>
      </c>
    </row>
    <row r="457" spans="1:2" x14ac:dyDescent="0.35">
      <c r="A457" s="2" t="s">
        <v>2078</v>
      </c>
      <c r="B457" s="2" t="s">
        <v>2079</v>
      </c>
    </row>
    <row r="458" spans="1:2" x14ac:dyDescent="0.35">
      <c r="A458" s="2" t="s">
        <v>2080</v>
      </c>
      <c r="B458" s="2" t="s">
        <v>2081</v>
      </c>
    </row>
    <row r="459" spans="1:2" x14ac:dyDescent="0.35">
      <c r="A459" s="2" t="s">
        <v>2082</v>
      </c>
      <c r="B459" s="2" t="s">
        <v>2083</v>
      </c>
    </row>
    <row r="460" spans="1:2" x14ac:dyDescent="0.35">
      <c r="A460" s="2" t="s">
        <v>2084</v>
      </c>
      <c r="B460" s="2" t="s">
        <v>2085</v>
      </c>
    </row>
    <row r="461" spans="1:2" x14ac:dyDescent="0.35">
      <c r="A461" s="2" t="s">
        <v>2086</v>
      </c>
      <c r="B461" s="2" t="s">
        <v>2087</v>
      </c>
    </row>
    <row r="462" spans="1:2" x14ac:dyDescent="0.35">
      <c r="A462" s="2" t="s">
        <v>2088</v>
      </c>
      <c r="B462" s="2" t="s">
        <v>2089</v>
      </c>
    </row>
    <row r="463" spans="1:2" x14ac:dyDescent="0.35">
      <c r="A463" s="2" t="s">
        <v>2090</v>
      </c>
      <c r="B463" s="2" t="s">
        <v>2091</v>
      </c>
    </row>
    <row r="464" spans="1:2" x14ac:dyDescent="0.35">
      <c r="A464" s="2" t="s">
        <v>2092</v>
      </c>
      <c r="B464" s="2" t="s">
        <v>2093</v>
      </c>
    </row>
    <row r="465" spans="1:2" x14ac:dyDescent="0.35">
      <c r="A465" s="2" t="s">
        <v>2094</v>
      </c>
      <c r="B465" s="2" t="s">
        <v>2095</v>
      </c>
    </row>
    <row r="466" spans="1:2" x14ac:dyDescent="0.35">
      <c r="A466" s="2" t="s">
        <v>2096</v>
      </c>
      <c r="B466" s="2" t="s">
        <v>2097</v>
      </c>
    </row>
    <row r="467" spans="1:2" x14ac:dyDescent="0.35">
      <c r="A467" s="2" t="s">
        <v>2098</v>
      </c>
      <c r="B467" s="2" t="s">
        <v>2099</v>
      </c>
    </row>
    <row r="468" spans="1:2" x14ac:dyDescent="0.35">
      <c r="A468" s="2" t="s">
        <v>2100</v>
      </c>
      <c r="B468" s="2" t="s">
        <v>2101</v>
      </c>
    </row>
    <row r="469" spans="1:2" x14ac:dyDescent="0.35">
      <c r="A469" s="2" t="s">
        <v>2102</v>
      </c>
      <c r="B469" s="2" t="s">
        <v>2103</v>
      </c>
    </row>
    <row r="470" spans="1:2" x14ac:dyDescent="0.35">
      <c r="A470" s="2" t="s">
        <v>2104</v>
      </c>
      <c r="B470" s="2" t="s">
        <v>2105</v>
      </c>
    </row>
    <row r="471" spans="1:2" x14ac:dyDescent="0.35">
      <c r="A471" s="2" t="s">
        <v>2106</v>
      </c>
      <c r="B471" s="2" t="s">
        <v>2107</v>
      </c>
    </row>
    <row r="472" spans="1:2" x14ac:dyDescent="0.35">
      <c r="A472" s="2" t="s">
        <v>2108</v>
      </c>
      <c r="B472" s="2" t="s">
        <v>2109</v>
      </c>
    </row>
    <row r="473" spans="1:2" x14ac:dyDescent="0.35">
      <c r="A473" s="2" t="s">
        <v>2110</v>
      </c>
      <c r="B473" s="2" t="s">
        <v>2111</v>
      </c>
    </row>
    <row r="474" spans="1:2" x14ac:dyDescent="0.35">
      <c r="A474" s="2" t="s">
        <v>2112</v>
      </c>
      <c r="B474" s="2" t="s">
        <v>2113</v>
      </c>
    </row>
    <row r="475" spans="1:2" x14ac:dyDescent="0.35">
      <c r="A475" s="2" t="s">
        <v>2114</v>
      </c>
      <c r="B475" s="2" t="s">
        <v>2115</v>
      </c>
    </row>
    <row r="476" spans="1:2" x14ac:dyDescent="0.35">
      <c r="A476" s="2" t="s">
        <v>2116</v>
      </c>
      <c r="B476" s="2" t="s">
        <v>2117</v>
      </c>
    </row>
    <row r="477" spans="1:2" x14ac:dyDescent="0.35">
      <c r="A477" s="2" t="s">
        <v>2118</v>
      </c>
      <c r="B477" s="2" t="s">
        <v>2119</v>
      </c>
    </row>
    <row r="478" spans="1:2" x14ac:dyDescent="0.35">
      <c r="A478" s="2" t="s">
        <v>2120</v>
      </c>
      <c r="B478" s="2" t="s">
        <v>2121</v>
      </c>
    </row>
    <row r="479" spans="1:2" x14ac:dyDescent="0.35">
      <c r="A479" s="2" t="s">
        <v>2122</v>
      </c>
      <c r="B479" s="2" t="s">
        <v>2123</v>
      </c>
    </row>
    <row r="480" spans="1:2" x14ac:dyDescent="0.35">
      <c r="A480" s="2" t="s">
        <v>2124</v>
      </c>
      <c r="B480" s="2" t="s">
        <v>2125</v>
      </c>
    </row>
    <row r="481" spans="1:2" x14ac:dyDescent="0.35">
      <c r="A481" s="2" t="s">
        <v>2126</v>
      </c>
      <c r="B481" s="2" t="s">
        <v>2127</v>
      </c>
    </row>
    <row r="482" spans="1:2" x14ac:dyDescent="0.35">
      <c r="A482" s="2" t="s">
        <v>2128</v>
      </c>
      <c r="B482" s="2" t="s">
        <v>2129</v>
      </c>
    </row>
    <row r="483" spans="1:2" x14ac:dyDescent="0.35">
      <c r="A483" s="2" t="s">
        <v>2130</v>
      </c>
      <c r="B483" s="2" t="s">
        <v>2131</v>
      </c>
    </row>
    <row r="484" spans="1:2" x14ac:dyDescent="0.35">
      <c r="A484" s="2" t="s">
        <v>2132</v>
      </c>
      <c r="B484" s="2" t="s">
        <v>2133</v>
      </c>
    </row>
    <row r="485" spans="1:2" x14ac:dyDescent="0.35">
      <c r="A485" s="2" t="s">
        <v>2134</v>
      </c>
      <c r="B485" s="2" t="s">
        <v>2135</v>
      </c>
    </row>
    <row r="486" spans="1:2" x14ac:dyDescent="0.35">
      <c r="A486" s="2" t="s">
        <v>2136</v>
      </c>
      <c r="B486" s="2" t="s">
        <v>2137</v>
      </c>
    </row>
    <row r="487" spans="1:2" x14ac:dyDescent="0.35">
      <c r="A487" s="2" t="s">
        <v>2138</v>
      </c>
      <c r="B487" s="2" t="s">
        <v>2139</v>
      </c>
    </row>
    <row r="488" spans="1:2" x14ac:dyDescent="0.35">
      <c r="A488" s="2" t="s">
        <v>2140</v>
      </c>
      <c r="B488" s="2" t="s">
        <v>2141</v>
      </c>
    </row>
    <row r="489" spans="1:2" x14ac:dyDescent="0.35">
      <c r="A489" s="2" t="s">
        <v>2142</v>
      </c>
      <c r="B489" s="2" t="s">
        <v>2143</v>
      </c>
    </row>
    <row r="490" spans="1:2" x14ac:dyDescent="0.35">
      <c r="A490" s="2" t="s">
        <v>2144</v>
      </c>
      <c r="B490" s="2" t="s">
        <v>2145</v>
      </c>
    </row>
    <row r="491" spans="1:2" x14ac:dyDescent="0.35">
      <c r="A491" s="2" t="s">
        <v>2146</v>
      </c>
      <c r="B491" s="2" t="s">
        <v>2147</v>
      </c>
    </row>
    <row r="492" spans="1:2" x14ac:dyDescent="0.35">
      <c r="A492" s="2" t="s">
        <v>2148</v>
      </c>
      <c r="B492" s="2" t="s">
        <v>2149</v>
      </c>
    </row>
    <row r="493" spans="1:2" x14ac:dyDescent="0.35">
      <c r="A493" s="2" t="s">
        <v>2150</v>
      </c>
      <c r="B493" s="2" t="s">
        <v>2151</v>
      </c>
    </row>
    <row r="494" spans="1:2" x14ac:dyDescent="0.35">
      <c r="A494" s="2" t="s">
        <v>2152</v>
      </c>
      <c r="B494" s="2" t="s">
        <v>2153</v>
      </c>
    </row>
    <row r="495" spans="1:2" x14ac:dyDescent="0.35">
      <c r="A495" s="2" t="s">
        <v>2154</v>
      </c>
      <c r="B495" s="2" t="s">
        <v>2155</v>
      </c>
    </row>
    <row r="496" spans="1:2" x14ac:dyDescent="0.35">
      <c r="A496" s="2" t="s">
        <v>2156</v>
      </c>
      <c r="B496" s="2" t="s">
        <v>2157</v>
      </c>
    </row>
    <row r="497" spans="1:2" x14ac:dyDescent="0.35">
      <c r="A497" s="2" t="s">
        <v>2158</v>
      </c>
      <c r="B497" s="2" t="s">
        <v>2159</v>
      </c>
    </row>
    <row r="498" spans="1:2" x14ac:dyDescent="0.35">
      <c r="A498" s="2" t="s">
        <v>2160</v>
      </c>
      <c r="B498" s="2" t="s">
        <v>2161</v>
      </c>
    </row>
    <row r="499" spans="1:2" x14ac:dyDescent="0.35">
      <c r="A499" s="2" t="s">
        <v>2162</v>
      </c>
      <c r="B499" s="2" t="s">
        <v>2163</v>
      </c>
    </row>
    <row r="500" spans="1:2" x14ac:dyDescent="0.35">
      <c r="A500" s="2" t="s">
        <v>2164</v>
      </c>
      <c r="B500" s="2" t="s">
        <v>2165</v>
      </c>
    </row>
    <row r="501" spans="1:2" x14ac:dyDescent="0.35">
      <c r="A501" s="2" t="s">
        <v>2166</v>
      </c>
      <c r="B501" s="2" t="s">
        <v>2167</v>
      </c>
    </row>
    <row r="502" spans="1:2" x14ac:dyDescent="0.35">
      <c r="A502" s="2" t="s">
        <v>2168</v>
      </c>
      <c r="B502" s="2" t="s">
        <v>2169</v>
      </c>
    </row>
    <row r="503" spans="1:2" x14ac:dyDescent="0.35">
      <c r="A503" s="2" t="s">
        <v>2170</v>
      </c>
      <c r="B503" s="2" t="s">
        <v>2171</v>
      </c>
    </row>
    <row r="504" spans="1:2" x14ac:dyDescent="0.35">
      <c r="A504" s="2" t="s">
        <v>2172</v>
      </c>
      <c r="B504" s="2" t="s">
        <v>2173</v>
      </c>
    </row>
    <row r="505" spans="1:2" x14ac:dyDescent="0.35">
      <c r="A505" s="2" t="s">
        <v>2174</v>
      </c>
      <c r="B505" s="2" t="s">
        <v>2175</v>
      </c>
    </row>
    <row r="506" spans="1:2" x14ac:dyDescent="0.35">
      <c r="A506" s="2" t="s">
        <v>2176</v>
      </c>
      <c r="B506" s="2" t="s">
        <v>2177</v>
      </c>
    </row>
    <row r="507" spans="1:2" x14ac:dyDescent="0.35">
      <c r="A507" s="2" t="s">
        <v>2178</v>
      </c>
      <c r="B507" s="2" t="s">
        <v>2179</v>
      </c>
    </row>
    <row r="508" spans="1:2" x14ac:dyDescent="0.35">
      <c r="A508" s="2" t="s">
        <v>2180</v>
      </c>
      <c r="B508" s="2" t="s">
        <v>2181</v>
      </c>
    </row>
    <row r="509" spans="1:2" x14ac:dyDescent="0.35">
      <c r="A509" s="2" t="s">
        <v>2182</v>
      </c>
      <c r="B509" s="2" t="s">
        <v>2183</v>
      </c>
    </row>
    <row r="510" spans="1:2" x14ac:dyDescent="0.35">
      <c r="A510" s="2" t="s">
        <v>2184</v>
      </c>
      <c r="B510" s="2" t="s">
        <v>2185</v>
      </c>
    </row>
    <row r="511" spans="1:2" x14ac:dyDescent="0.35">
      <c r="A511" s="2" t="s">
        <v>2186</v>
      </c>
      <c r="B511" s="2" t="s">
        <v>2187</v>
      </c>
    </row>
    <row r="512" spans="1:2" x14ac:dyDescent="0.35">
      <c r="A512" s="2" t="s">
        <v>2188</v>
      </c>
      <c r="B512" s="2" t="s">
        <v>2189</v>
      </c>
    </row>
    <row r="513" spans="1:2" x14ac:dyDescent="0.35">
      <c r="A513" s="2" t="s">
        <v>2190</v>
      </c>
      <c r="B513" s="2" t="s">
        <v>2191</v>
      </c>
    </row>
    <row r="514" spans="1:2" x14ac:dyDescent="0.35">
      <c r="A514" s="2" t="s">
        <v>2192</v>
      </c>
      <c r="B514" s="2" t="s">
        <v>2193</v>
      </c>
    </row>
    <row r="515" spans="1:2" x14ac:dyDescent="0.35">
      <c r="A515" s="2" t="s">
        <v>2194</v>
      </c>
      <c r="B515" s="2" t="s">
        <v>2195</v>
      </c>
    </row>
    <row r="516" spans="1:2" x14ac:dyDescent="0.35">
      <c r="A516" s="2" t="s">
        <v>2196</v>
      </c>
      <c r="B516" s="2" t="s">
        <v>2197</v>
      </c>
    </row>
    <row r="517" spans="1:2" x14ac:dyDescent="0.35">
      <c r="A517" s="2" t="s">
        <v>2198</v>
      </c>
      <c r="B517" s="2" t="s">
        <v>2199</v>
      </c>
    </row>
    <row r="518" spans="1:2" x14ac:dyDescent="0.35">
      <c r="A518" s="2" t="s">
        <v>2200</v>
      </c>
      <c r="B518" s="2" t="s">
        <v>2201</v>
      </c>
    </row>
    <row r="519" spans="1:2" x14ac:dyDescent="0.35">
      <c r="A519" s="2" t="s">
        <v>2202</v>
      </c>
      <c r="B519" s="2" t="s">
        <v>2203</v>
      </c>
    </row>
    <row r="520" spans="1:2" x14ac:dyDescent="0.35">
      <c r="A520" s="2" t="s">
        <v>2204</v>
      </c>
      <c r="B520" s="2" t="s">
        <v>2205</v>
      </c>
    </row>
    <row r="521" spans="1:2" x14ac:dyDescent="0.35">
      <c r="A521" s="2" t="s">
        <v>2206</v>
      </c>
      <c r="B521" s="2" t="s">
        <v>2207</v>
      </c>
    </row>
    <row r="522" spans="1:2" x14ac:dyDescent="0.35">
      <c r="A522" s="2" t="s">
        <v>2208</v>
      </c>
      <c r="B522" s="2" t="s">
        <v>2209</v>
      </c>
    </row>
    <row r="523" spans="1:2" x14ac:dyDescent="0.35">
      <c r="A523" s="2" t="s">
        <v>2210</v>
      </c>
      <c r="B523" s="2" t="s">
        <v>2211</v>
      </c>
    </row>
    <row r="524" spans="1:2" x14ac:dyDescent="0.35">
      <c r="A524" s="2" t="s">
        <v>2212</v>
      </c>
      <c r="B524" s="2" t="s">
        <v>2213</v>
      </c>
    </row>
    <row r="525" spans="1:2" x14ac:dyDescent="0.35">
      <c r="A525" s="2" t="s">
        <v>2214</v>
      </c>
      <c r="B525" s="2" t="s">
        <v>2215</v>
      </c>
    </row>
    <row r="526" spans="1:2" x14ac:dyDescent="0.35">
      <c r="A526" s="2" t="s">
        <v>2216</v>
      </c>
      <c r="B526" s="2" t="s">
        <v>2217</v>
      </c>
    </row>
    <row r="527" spans="1:2" x14ac:dyDescent="0.35">
      <c r="A527" s="2" t="s">
        <v>2218</v>
      </c>
      <c r="B527" s="2" t="s">
        <v>2219</v>
      </c>
    </row>
    <row r="528" spans="1:2" x14ac:dyDescent="0.35">
      <c r="A528" s="2" t="s">
        <v>2220</v>
      </c>
      <c r="B528" s="2" t="s">
        <v>2221</v>
      </c>
    </row>
    <row r="529" spans="1:2" x14ac:dyDescent="0.35">
      <c r="A529" s="2" t="s">
        <v>2222</v>
      </c>
      <c r="B529" s="2" t="s">
        <v>2223</v>
      </c>
    </row>
    <row r="530" spans="1:2" x14ac:dyDescent="0.35">
      <c r="A530" s="2" t="s">
        <v>2224</v>
      </c>
      <c r="B530" s="2" t="s">
        <v>2225</v>
      </c>
    </row>
    <row r="531" spans="1:2" x14ac:dyDescent="0.35">
      <c r="A531" s="2" t="s">
        <v>2226</v>
      </c>
      <c r="B531" s="2" t="s">
        <v>2227</v>
      </c>
    </row>
    <row r="532" spans="1:2" x14ac:dyDescent="0.35">
      <c r="A532" s="2" t="s">
        <v>2228</v>
      </c>
      <c r="B532" s="2" t="s">
        <v>2229</v>
      </c>
    </row>
    <row r="533" spans="1:2" x14ac:dyDescent="0.35">
      <c r="A533" s="2" t="s">
        <v>2230</v>
      </c>
      <c r="B533" s="2" t="s">
        <v>2231</v>
      </c>
    </row>
    <row r="534" spans="1:2" x14ac:dyDescent="0.35">
      <c r="A534" s="2" t="s">
        <v>2232</v>
      </c>
      <c r="B534" s="2" t="s">
        <v>2233</v>
      </c>
    </row>
    <row r="535" spans="1:2" x14ac:dyDescent="0.35">
      <c r="A535" s="2" t="s">
        <v>2234</v>
      </c>
      <c r="B535" s="2" t="s">
        <v>2235</v>
      </c>
    </row>
    <row r="536" spans="1:2" x14ac:dyDescent="0.35">
      <c r="A536" s="2" t="s">
        <v>2236</v>
      </c>
      <c r="B536" s="2" t="s">
        <v>2237</v>
      </c>
    </row>
    <row r="537" spans="1:2" x14ac:dyDescent="0.35">
      <c r="A537" s="2" t="s">
        <v>2238</v>
      </c>
      <c r="B537" s="2" t="s">
        <v>2239</v>
      </c>
    </row>
    <row r="538" spans="1:2" x14ac:dyDescent="0.35">
      <c r="A538" s="2" t="s">
        <v>2240</v>
      </c>
      <c r="B538" s="2" t="s">
        <v>2241</v>
      </c>
    </row>
    <row r="539" spans="1:2" x14ac:dyDescent="0.35">
      <c r="A539" s="2" t="s">
        <v>2242</v>
      </c>
      <c r="B539" s="2" t="s">
        <v>2243</v>
      </c>
    </row>
    <row r="540" spans="1:2" x14ac:dyDescent="0.35">
      <c r="A540" s="2" t="s">
        <v>2244</v>
      </c>
      <c r="B540" s="2" t="s">
        <v>2245</v>
      </c>
    </row>
    <row r="541" spans="1:2" x14ac:dyDescent="0.35">
      <c r="A541" s="2" t="s">
        <v>2246</v>
      </c>
      <c r="B541" s="2" t="s">
        <v>2247</v>
      </c>
    </row>
    <row r="542" spans="1:2" x14ac:dyDescent="0.35">
      <c r="A542" s="2" t="s">
        <v>2248</v>
      </c>
      <c r="B542" s="2" t="s">
        <v>2249</v>
      </c>
    </row>
    <row r="543" spans="1:2" x14ac:dyDescent="0.35">
      <c r="A543" s="2" t="s">
        <v>2250</v>
      </c>
      <c r="B543" s="2" t="s">
        <v>2251</v>
      </c>
    </row>
    <row r="544" spans="1:2" x14ac:dyDescent="0.35">
      <c r="A544" s="2" t="s">
        <v>2252</v>
      </c>
      <c r="B544" s="2" t="s">
        <v>2253</v>
      </c>
    </row>
    <row r="545" spans="1:2" x14ac:dyDescent="0.35">
      <c r="A545" s="2" t="s">
        <v>2254</v>
      </c>
      <c r="B545" s="2" t="s">
        <v>2255</v>
      </c>
    </row>
    <row r="546" spans="1:2" x14ac:dyDescent="0.35">
      <c r="A546" s="2" t="s">
        <v>2256</v>
      </c>
      <c r="B546" s="2" t="s">
        <v>2257</v>
      </c>
    </row>
    <row r="547" spans="1:2" x14ac:dyDescent="0.35">
      <c r="A547" s="2" t="s">
        <v>2258</v>
      </c>
      <c r="B547" s="2" t="s">
        <v>2259</v>
      </c>
    </row>
    <row r="548" spans="1:2" x14ac:dyDescent="0.35">
      <c r="A548" s="2" t="s">
        <v>2260</v>
      </c>
      <c r="B548" s="2" t="s">
        <v>2261</v>
      </c>
    </row>
    <row r="549" spans="1:2" x14ac:dyDescent="0.35">
      <c r="A549" s="2" t="s">
        <v>2262</v>
      </c>
      <c r="B549" s="2" t="s">
        <v>2263</v>
      </c>
    </row>
    <row r="550" spans="1:2" x14ac:dyDescent="0.35">
      <c r="A550" s="2" t="s">
        <v>2264</v>
      </c>
      <c r="B550" s="2" t="s">
        <v>2265</v>
      </c>
    </row>
    <row r="551" spans="1:2" x14ac:dyDescent="0.35">
      <c r="A551" s="2" t="s">
        <v>2266</v>
      </c>
      <c r="B551" s="2" t="s">
        <v>2267</v>
      </c>
    </row>
    <row r="552" spans="1:2" x14ac:dyDescent="0.35">
      <c r="A552" s="2" t="s">
        <v>2268</v>
      </c>
      <c r="B552" s="2" t="s">
        <v>2269</v>
      </c>
    </row>
    <row r="553" spans="1:2" x14ac:dyDescent="0.35">
      <c r="A553" s="2" t="s">
        <v>2270</v>
      </c>
      <c r="B553" s="2" t="s">
        <v>2271</v>
      </c>
    </row>
    <row r="554" spans="1:2" x14ac:dyDescent="0.35">
      <c r="A554" s="2" t="s">
        <v>2272</v>
      </c>
      <c r="B554" s="2" t="s">
        <v>2273</v>
      </c>
    </row>
    <row r="555" spans="1:2" x14ac:dyDescent="0.35">
      <c r="A555" s="2" t="s">
        <v>2274</v>
      </c>
      <c r="B555" s="2" t="s">
        <v>2275</v>
      </c>
    </row>
    <row r="556" spans="1:2" x14ac:dyDescent="0.35">
      <c r="A556" s="2" t="s">
        <v>2276</v>
      </c>
      <c r="B556" s="2" t="s">
        <v>2277</v>
      </c>
    </row>
    <row r="557" spans="1:2" x14ac:dyDescent="0.35">
      <c r="A557" s="2" t="s">
        <v>2278</v>
      </c>
      <c r="B557" s="2" t="s">
        <v>2279</v>
      </c>
    </row>
    <row r="558" spans="1:2" x14ac:dyDescent="0.35">
      <c r="A558" s="2" t="s">
        <v>2280</v>
      </c>
      <c r="B558" s="2" t="s">
        <v>2281</v>
      </c>
    </row>
    <row r="559" spans="1:2" x14ac:dyDescent="0.35">
      <c r="A559" s="2" t="s">
        <v>2282</v>
      </c>
      <c r="B559" s="2" t="s">
        <v>2283</v>
      </c>
    </row>
    <row r="560" spans="1:2" x14ac:dyDescent="0.35">
      <c r="A560" s="2" t="s">
        <v>2284</v>
      </c>
      <c r="B560" s="2" t="s">
        <v>2285</v>
      </c>
    </row>
    <row r="561" spans="1:2" x14ac:dyDescent="0.35">
      <c r="A561" s="2" t="s">
        <v>2286</v>
      </c>
      <c r="B561" s="2" t="s">
        <v>2287</v>
      </c>
    </row>
    <row r="562" spans="1:2" x14ac:dyDescent="0.35">
      <c r="A562" s="2" t="s">
        <v>2288</v>
      </c>
      <c r="B562" s="2" t="s">
        <v>2289</v>
      </c>
    </row>
    <row r="563" spans="1:2" x14ac:dyDescent="0.35">
      <c r="A563" s="2" t="s">
        <v>2290</v>
      </c>
      <c r="B563" s="2" t="s">
        <v>2291</v>
      </c>
    </row>
    <row r="564" spans="1:2" x14ac:dyDescent="0.35">
      <c r="A564" s="2" t="s">
        <v>2292</v>
      </c>
      <c r="B564" s="2" t="s">
        <v>2293</v>
      </c>
    </row>
    <row r="565" spans="1:2" x14ac:dyDescent="0.35">
      <c r="A565" s="2" t="s">
        <v>2294</v>
      </c>
      <c r="B565" s="2" t="s">
        <v>2295</v>
      </c>
    </row>
    <row r="566" spans="1:2" x14ac:dyDescent="0.35">
      <c r="A566" s="2" t="s">
        <v>2296</v>
      </c>
      <c r="B566" s="2" t="s">
        <v>2297</v>
      </c>
    </row>
    <row r="567" spans="1:2" x14ac:dyDescent="0.35">
      <c r="A567" s="2" t="s">
        <v>2298</v>
      </c>
      <c r="B567" s="2" t="s">
        <v>2299</v>
      </c>
    </row>
    <row r="568" spans="1:2" x14ac:dyDescent="0.35">
      <c r="A568" s="2" t="s">
        <v>2300</v>
      </c>
      <c r="B568" s="2" t="s">
        <v>2301</v>
      </c>
    </row>
    <row r="569" spans="1:2" x14ac:dyDescent="0.35">
      <c r="A569" s="2" t="s">
        <v>2302</v>
      </c>
      <c r="B569" s="2" t="s">
        <v>2303</v>
      </c>
    </row>
    <row r="570" spans="1:2" x14ac:dyDescent="0.35">
      <c r="A570" s="2" t="s">
        <v>2304</v>
      </c>
      <c r="B570" s="2" t="s">
        <v>2305</v>
      </c>
    </row>
    <row r="571" spans="1:2" x14ac:dyDescent="0.35">
      <c r="A571" s="2" t="s">
        <v>2306</v>
      </c>
      <c r="B571" s="2" t="s">
        <v>2307</v>
      </c>
    </row>
    <row r="572" spans="1:2" x14ac:dyDescent="0.35">
      <c r="A572" s="2" t="s">
        <v>2308</v>
      </c>
      <c r="B572" s="2" t="s">
        <v>2309</v>
      </c>
    </row>
    <row r="573" spans="1:2" x14ac:dyDescent="0.35">
      <c r="A573" s="2" t="s">
        <v>2310</v>
      </c>
      <c r="B573" s="2" t="s">
        <v>2311</v>
      </c>
    </row>
    <row r="574" spans="1:2" x14ac:dyDescent="0.35">
      <c r="A574" s="2" t="s">
        <v>2312</v>
      </c>
      <c r="B574" s="2" t="s">
        <v>2313</v>
      </c>
    </row>
    <row r="575" spans="1:2" x14ac:dyDescent="0.35">
      <c r="A575" s="2" t="s">
        <v>2314</v>
      </c>
      <c r="B575" s="2" t="s">
        <v>2315</v>
      </c>
    </row>
    <row r="576" spans="1:2" x14ac:dyDescent="0.35">
      <c r="A576" s="2" t="s">
        <v>2316</v>
      </c>
      <c r="B576" s="2" t="s">
        <v>2317</v>
      </c>
    </row>
    <row r="577" spans="1:2" x14ac:dyDescent="0.35">
      <c r="A577" s="2" t="s">
        <v>2318</v>
      </c>
      <c r="B577" s="2" t="s">
        <v>2319</v>
      </c>
    </row>
    <row r="578" spans="1:2" x14ac:dyDescent="0.35">
      <c r="A578" s="2" t="s">
        <v>2320</v>
      </c>
      <c r="B578" s="2" t="s">
        <v>2321</v>
      </c>
    </row>
    <row r="579" spans="1:2" x14ac:dyDescent="0.35">
      <c r="A579" s="2" t="s">
        <v>2322</v>
      </c>
      <c r="B579" s="2" t="s">
        <v>2323</v>
      </c>
    </row>
    <row r="580" spans="1:2" x14ac:dyDescent="0.35">
      <c r="A580" s="2" t="s">
        <v>2324</v>
      </c>
      <c r="B580" s="2" t="s">
        <v>2325</v>
      </c>
    </row>
    <row r="581" spans="1:2" x14ac:dyDescent="0.35">
      <c r="A581" s="2" t="s">
        <v>2326</v>
      </c>
      <c r="B581" s="2" t="s">
        <v>2327</v>
      </c>
    </row>
    <row r="582" spans="1:2" x14ac:dyDescent="0.35">
      <c r="A582" s="2" t="s">
        <v>2328</v>
      </c>
      <c r="B582" s="2" t="s">
        <v>2329</v>
      </c>
    </row>
    <row r="583" spans="1:2" x14ac:dyDescent="0.35">
      <c r="A583" s="2" t="s">
        <v>2330</v>
      </c>
      <c r="B583" s="2" t="s">
        <v>2331</v>
      </c>
    </row>
    <row r="584" spans="1:2" x14ac:dyDescent="0.35">
      <c r="A584" s="2" t="s">
        <v>2332</v>
      </c>
      <c r="B584" s="2" t="s">
        <v>2333</v>
      </c>
    </row>
    <row r="585" spans="1:2" x14ac:dyDescent="0.35">
      <c r="A585" s="2" t="s">
        <v>2334</v>
      </c>
      <c r="B585" s="2" t="s">
        <v>2335</v>
      </c>
    </row>
    <row r="586" spans="1:2" x14ac:dyDescent="0.35">
      <c r="A586" s="2" t="s">
        <v>2336</v>
      </c>
      <c r="B586" s="2" t="s">
        <v>2337</v>
      </c>
    </row>
    <row r="587" spans="1:2" x14ac:dyDescent="0.35">
      <c r="A587" s="2" t="s">
        <v>2338</v>
      </c>
      <c r="B587" s="2" t="s">
        <v>2339</v>
      </c>
    </row>
    <row r="588" spans="1:2" x14ac:dyDescent="0.35">
      <c r="A588" s="2" t="s">
        <v>2340</v>
      </c>
      <c r="B588" s="2" t="s">
        <v>2341</v>
      </c>
    </row>
    <row r="589" spans="1:2" x14ac:dyDescent="0.35">
      <c r="A589" s="2" t="s">
        <v>2342</v>
      </c>
      <c r="B589" s="2" t="s">
        <v>2343</v>
      </c>
    </row>
    <row r="590" spans="1:2" x14ac:dyDescent="0.35">
      <c r="A590" s="2" t="s">
        <v>2344</v>
      </c>
      <c r="B590" s="2" t="s">
        <v>2345</v>
      </c>
    </row>
    <row r="591" spans="1:2" x14ac:dyDescent="0.35">
      <c r="A591" s="2" t="s">
        <v>2346</v>
      </c>
      <c r="B591" s="2" t="s">
        <v>2347</v>
      </c>
    </row>
    <row r="592" spans="1:2" x14ac:dyDescent="0.35">
      <c r="A592" s="2" t="s">
        <v>2348</v>
      </c>
      <c r="B592" s="2" t="s">
        <v>2349</v>
      </c>
    </row>
    <row r="593" spans="1:2" x14ac:dyDescent="0.35">
      <c r="A593" s="2" t="s">
        <v>2350</v>
      </c>
      <c r="B593" s="2" t="s">
        <v>2351</v>
      </c>
    </row>
    <row r="594" spans="1:2" x14ac:dyDescent="0.35">
      <c r="A594" s="2" t="s">
        <v>2352</v>
      </c>
      <c r="B594" s="2" t="s">
        <v>2353</v>
      </c>
    </row>
    <row r="595" spans="1:2" x14ac:dyDescent="0.35">
      <c r="A595" s="2" t="s">
        <v>2354</v>
      </c>
      <c r="B595" s="2" t="s">
        <v>2355</v>
      </c>
    </row>
    <row r="596" spans="1:2" x14ac:dyDescent="0.35">
      <c r="A596" s="2" t="s">
        <v>2356</v>
      </c>
      <c r="B596" s="2" t="s">
        <v>2357</v>
      </c>
    </row>
    <row r="597" spans="1:2" x14ac:dyDescent="0.35">
      <c r="A597" s="2" t="s">
        <v>2358</v>
      </c>
      <c r="B597" s="2" t="s">
        <v>2359</v>
      </c>
    </row>
    <row r="598" spans="1:2" x14ac:dyDescent="0.35">
      <c r="A598" s="2" t="s">
        <v>2360</v>
      </c>
      <c r="B598" s="2" t="s">
        <v>2361</v>
      </c>
    </row>
    <row r="599" spans="1:2" x14ac:dyDescent="0.35">
      <c r="A599" s="2" t="s">
        <v>2362</v>
      </c>
      <c r="B599" s="2" t="s">
        <v>2363</v>
      </c>
    </row>
    <row r="600" spans="1:2" x14ac:dyDescent="0.35">
      <c r="A600" s="2" t="s">
        <v>2364</v>
      </c>
      <c r="B600" s="2" t="s">
        <v>2365</v>
      </c>
    </row>
    <row r="601" spans="1:2" x14ac:dyDescent="0.35">
      <c r="A601" s="2" t="s">
        <v>2366</v>
      </c>
      <c r="B601" s="2" t="s">
        <v>2367</v>
      </c>
    </row>
    <row r="602" spans="1:2" x14ac:dyDescent="0.35">
      <c r="A602" s="2" t="s">
        <v>2368</v>
      </c>
      <c r="B602" s="2" t="s">
        <v>2369</v>
      </c>
    </row>
    <row r="603" spans="1:2" x14ac:dyDescent="0.35">
      <c r="A603" s="2" t="s">
        <v>2370</v>
      </c>
      <c r="B603" s="2" t="s">
        <v>2371</v>
      </c>
    </row>
    <row r="604" spans="1:2" x14ac:dyDescent="0.35">
      <c r="A604" s="2" t="s">
        <v>2372</v>
      </c>
      <c r="B604" s="2" t="s">
        <v>2373</v>
      </c>
    </row>
    <row r="605" spans="1:2" x14ac:dyDescent="0.35">
      <c r="A605" s="2" t="s">
        <v>2374</v>
      </c>
      <c r="B605" s="2" t="s">
        <v>2375</v>
      </c>
    </row>
    <row r="606" spans="1:2" x14ac:dyDescent="0.35">
      <c r="A606" s="2" t="s">
        <v>2376</v>
      </c>
      <c r="B606" s="2" t="s">
        <v>2377</v>
      </c>
    </row>
    <row r="607" spans="1:2" x14ac:dyDescent="0.35">
      <c r="A607" s="2" t="s">
        <v>2378</v>
      </c>
      <c r="B607" s="2" t="s">
        <v>2379</v>
      </c>
    </row>
    <row r="608" spans="1:2" x14ac:dyDescent="0.35">
      <c r="A608" s="2" t="s">
        <v>2380</v>
      </c>
      <c r="B608" s="2" t="s">
        <v>2381</v>
      </c>
    </row>
    <row r="609" spans="1:2" x14ac:dyDescent="0.35">
      <c r="A609" s="2" t="s">
        <v>2382</v>
      </c>
      <c r="B609" s="2" t="s">
        <v>2383</v>
      </c>
    </row>
    <row r="610" spans="1:2" x14ac:dyDescent="0.35">
      <c r="A610" s="2" t="s">
        <v>2384</v>
      </c>
      <c r="B610" s="2" t="s">
        <v>2385</v>
      </c>
    </row>
    <row r="611" spans="1:2" x14ac:dyDescent="0.35">
      <c r="A611" s="2" t="s">
        <v>2386</v>
      </c>
      <c r="B611" s="2" t="s">
        <v>2387</v>
      </c>
    </row>
    <row r="612" spans="1:2" x14ac:dyDescent="0.35">
      <c r="A612" s="2" t="s">
        <v>2388</v>
      </c>
      <c r="B612" s="2" t="s">
        <v>2389</v>
      </c>
    </row>
    <row r="613" spans="1:2" x14ac:dyDescent="0.35">
      <c r="A613" s="2" t="s">
        <v>2390</v>
      </c>
      <c r="B613" s="2" t="s">
        <v>2391</v>
      </c>
    </row>
    <row r="614" spans="1:2" x14ac:dyDescent="0.35">
      <c r="A614" s="2" t="s">
        <v>2392</v>
      </c>
      <c r="B614" s="2" t="s">
        <v>2393</v>
      </c>
    </row>
    <row r="615" spans="1:2" x14ac:dyDescent="0.35">
      <c r="A615" s="2" t="s">
        <v>2394</v>
      </c>
      <c r="B615" s="2" t="s">
        <v>2395</v>
      </c>
    </row>
    <row r="616" spans="1:2" x14ac:dyDescent="0.35">
      <c r="A616" s="2" t="s">
        <v>2396</v>
      </c>
      <c r="B616" s="2" t="s">
        <v>2397</v>
      </c>
    </row>
    <row r="617" spans="1:2" x14ac:dyDescent="0.35">
      <c r="A617" s="2" t="s">
        <v>2398</v>
      </c>
      <c r="B617" s="2" t="s">
        <v>2399</v>
      </c>
    </row>
    <row r="618" spans="1:2" x14ac:dyDescent="0.35">
      <c r="A618" s="2" t="s">
        <v>2400</v>
      </c>
      <c r="B618" s="2" t="s">
        <v>2401</v>
      </c>
    </row>
    <row r="619" spans="1:2" x14ac:dyDescent="0.35">
      <c r="A619" s="2" t="s">
        <v>2402</v>
      </c>
      <c r="B619" s="2" t="s">
        <v>2403</v>
      </c>
    </row>
    <row r="620" spans="1:2" x14ac:dyDescent="0.35">
      <c r="A620" s="2" t="s">
        <v>2404</v>
      </c>
      <c r="B620" s="2" t="s">
        <v>2405</v>
      </c>
    </row>
    <row r="621" spans="1:2" x14ac:dyDescent="0.35">
      <c r="A621" s="2" t="s">
        <v>2406</v>
      </c>
      <c r="B621" s="2" t="s">
        <v>2407</v>
      </c>
    </row>
    <row r="622" spans="1:2" x14ac:dyDescent="0.35">
      <c r="A622" s="2" t="s">
        <v>2408</v>
      </c>
      <c r="B622" s="2" t="s">
        <v>2409</v>
      </c>
    </row>
    <row r="623" spans="1:2" x14ac:dyDescent="0.35">
      <c r="A623" s="2" t="s">
        <v>2410</v>
      </c>
      <c r="B623" s="2" t="s">
        <v>2411</v>
      </c>
    </row>
    <row r="624" spans="1:2" x14ac:dyDescent="0.35">
      <c r="A624" s="2" t="s">
        <v>2412</v>
      </c>
      <c r="B624" s="2" t="s">
        <v>2413</v>
      </c>
    </row>
    <row r="625" spans="1:2" x14ac:dyDescent="0.35">
      <c r="A625" s="2" t="s">
        <v>2414</v>
      </c>
      <c r="B625" s="2" t="s">
        <v>2415</v>
      </c>
    </row>
    <row r="626" spans="1:2" x14ac:dyDescent="0.35">
      <c r="A626" s="2" t="s">
        <v>2416</v>
      </c>
      <c r="B626" s="2" t="s">
        <v>2417</v>
      </c>
    </row>
    <row r="627" spans="1:2" x14ac:dyDescent="0.35">
      <c r="A627" s="2" t="s">
        <v>2418</v>
      </c>
      <c r="B627" s="2" t="s">
        <v>2419</v>
      </c>
    </row>
    <row r="628" spans="1:2" x14ac:dyDescent="0.35">
      <c r="A628" s="2" t="s">
        <v>2420</v>
      </c>
      <c r="B628" s="2" t="s">
        <v>2421</v>
      </c>
    </row>
    <row r="629" spans="1:2" x14ac:dyDescent="0.35">
      <c r="A629" s="2" t="s">
        <v>2422</v>
      </c>
      <c r="B629" s="2" t="s">
        <v>2423</v>
      </c>
    </row>
    <row r="630" spans="1:2" x14ac:dyDescent="0.35">
      <c r="A630" s="2" t="s">
        <v>2424</v>
      </c>
      <c r="B630" s="2" t="s">
        <v>2425</v>
      </c>
    </row>
    <row r="631" spans="1:2" x14ac:dyDescent="0.35">
      <c r="A631" s="2" t="s">
        <v>2426</v>
      </c>
      <c r="B631" s="2" t="s">
        <v>2427</v>
      </c>
    </row>
    <row r="632" spans="1:2" x14ac:dyDescent="0.35">
      <c r="A632" s="2" t="s">
        <v>2428</v>
      </c>
      <c r="B632" s="2" t="s">
        <v>2429</v>
      </c>
    </row>
    <row r="633" spans="1:2" x14ac:dyDescent="0.35">
      <c r="A633" s="2" t="s">
        <v>2430</v>
      </c>
      <c r="B633" s="2" t="s">
        <v>2431</v>
      </c>
    </row>
    <row r="634" spans="1:2" x14ac:dyDescent="0.35">
      <c r="A634" s="2" t="s">
        <v>2432</v>
      </c>
      <c r="B634" s="2" t="s">
        <v>2433</v>
      </c>
    </row>
    <row r="635" spans="1:2" x14ac:dyDescent="0.35">
      <c r="A635" s="2" t="s">
        <v>2434</v>
      </c>
      <c r="B635" s="2" t="s">
        <v>2435</v>
      </c>
    </row>
    <row r="636" spans="1:2" x14ac:dyDescent="0.35">
      <c r="A636" s="2" t="s">
        <v>2436</v>
      </c>
      <c r="B636" s="2" t="s">
        <v>2437</v>
      </c>
    </row>
    <row r="637" spans="1:2" x14ac:dyDescent="0.35">
      <c r="A637" s="2" t="s">
        <v>2438</v>
      </c>
      <c r="B637" s="2" t="s">
        <v>2439</v>
      </c>
    </row>
    <row r="638" spans="1:2" x14ac:dyDescent="0.35">
      <c r="A638" s="2" t="s">
        <v>2440</v>
      </c>
      <c r="B638" s="2" t="s">
        <v>2441</v>
      </c>
    </row>
    <row r="639" spans="1:2" x14ac:dyDescent="0.35">
      <c r="A639" s="2" t="s">
        <v>2442</v>
      </c>
      <c r="B639" s="2" t="s">
        <v>2443</v>
      </c>
    </row>
    <row r="640" spans="1:2" x14ac:dyDescent="0.35">
      <c r="A640" s="2" t="s">
        <v>2444</v>
      </c>
      <c r="B640" s="2" t="s">
        <v>2445</v>
      </c>
    </row>
    <row r="641" spans="1:2" x14ac:dyDescent="0.35">
      <c r="A641" s="2" t="s">
        <v>2446</v>
      </c>
      <c r="B641" s="2" t="s">
        <v>2447</v>
      </c>
    </row>
    <row r="642" spans="1:2" x14ac:dyDescent="0.35">
      <c r="A642" s="2" t="s">
        <v>2448</v>
      </c>
      <c r="B642" s="2" t="s">
        <v>2449</v>
      </c>
    </row>
    <row r="643" spans="1:2" x14ac:dyDescent="0.35">
      <c r="A643" s="2" t="s">
        <v>2450</v>
      </c>
      <c r="B643" s="2" t="s">
        <v>2451</v>
      </c>
    </row>
    <row r="644" spans="1:2" x14ac:dyDescent="0.35">
      <c r="A644" s="2" t="s">
        <v>2452</v>
      </c>
      <c r="B644" s="2" t="s">
        <v>2453</v>
      </c>
    </row>
    <row r="645" spans="1:2" x14ac:dyDescent="0.35">
      <c r="A645" s="2" t="s">
        <v>2454</v>
      </c>
      <c r="B645" s="2" t="s">
        <v>2455</v>
      </c>
    </row>
    <row r="646" spans="1:2" x14ac:dyDescent="0.35">
      <c r="A646" s="2" t="s">
        <v>2456</v>
      </c>
      <c r="B646" s="2" t="s">
        <v>2457</v>
      </c>
    </row>
    <row r="647" spans="1:2" x14ac:dyDescent="0.35">
      <c r="A647" s="2" t="s">
        <v>2458</v>
      </c>
      <c r="B647" s="2" t="s">
        <v>2459</v>
      </c>
    </row>
    <row r="648" spans="1:2" x14ac:dyDescent="0.35">
      <c r="A648" s="2" t="s">
        <v>2460</v>
      </c>
      <c r="B648" s="2" t="s">
        <v>2461</v>
      </c>
    </row>
    <row r="649" spans="1:2" x14ac:dyDescent="0.35">
      <c r="A649" s="2" t="s">
        <v>2462</v>
      </c>
      <c r="B649" s="2" t="s">
        <v>2463</v>
      </c>
    </row>
    <row r="650" spans="1:2" x14ac:dyDescent="0.35">
      <c r="A650" s="2" t="s">
        <v>2464</v>
      </c>
      <c r="B650" s="2" t="s">
        <v>2465</v>
      </c>
    </row>
    <row r="651" spans="1:2" x14ac:dyDescent="0.35">
      <c r="A651" s="2" t="s">
        <v>2466</v>
      </c>
      <c r="B651" s="2" t="s">
        <v>2467</v>
      </c>
    </row>
    <row r="652" spans="1:2" x14ac:dyDescent="0.35">
      <c r="A652" s="2" t="s">
        <v>2468</v>
      </c>
      <c r="B652" s="2" t="s">
        <v>2469</v>
      </c>
    </row>
    <row r="653" spans="1:2" x14ac:dyDescent="0.35">
      <c r="A653" s="2" t="s">
        <v>2470</v>
      </c>
      <c r="B653" s="2" t="s">
        <v>2471</v>
      </c>
    </row>
    <row r="654" spans="1:2" x14ac:dyDescent="0.35">
      <c r="A654" s="2" t="s">
        <v>2472</v>
      </c>
      <c r="B654" s="2" t="s">
        <v>2473</v>
      </c>
    </row>
    <row r="655" spans="1:2" x14ac:dyDescent="0.35">
      <c r="A655" s="2" t="s">
        <v>2474</v>
      </c>
      <c r="B655" s="2" t="s">
        <v>2475</v>
      </c>
    </row>
    <row r="656" spans="1:2" x14ac:dyDescent="0.35">
      <c r="A656" s="2" t="s">
        <v>2476</v>
      </c>
      <c r="B656" s="2" t="s">
        <v>2477</v>
      </c>
    </row>
    <row r="657" spans="1:2" x14ac:dyDescent="0.35">
      <c r="A657" s="2" t="s">
        <v>2478</v>
      </c>
      <c r="B657" s="2" t="s">
        <v>2479</v>
      </c>
    </row>
    <row r="658" spans="1:2" x14ac:dyDescent="0.35">
      <c r="A658" s="2" t="s">
        <v>2480</v>
      </c>
      <c r="B658" s="2" t="s">
        <v>2481</v>
      </c>
    </row>
    <row r="659" spans="1:2" x14ac:dyDescent="0.35">
      <c r="A659" s="2" t="s">
        <v>2482</v>
      </c>
      <c r="B659" s="2" t="s">
        <v>2483</v>
      </c>
    </row>
    <row r="660" spans="1:2" x14ac:dyDescent="0.35">
      <c r="A660" s="2" t="s">
        <v>2484</v>
      </c>
      <c r="B660" s="2" t="s">
        <v>2485</v>
      </c>
    </row>
    <row r="661" spans="1:2" x14ac:dyDescent="0.35">
      <c r="A661" s="2" t="s">
        <v>2486</v>
      </c>
      <c r="B661" s="2" t="s">
        <v>2487</v>
      </c>
    </row>
    <row r="662" spans="1:2" x14ac:dyDescent="0.35">
      <c r="A662" s="2" t="s">
        <v>2488</v>
      </c>
      <c r="B662" s="2" t="s">
        <v>2489</v>
      </c>
    </row>
    <row r="663" spans="1:2" x14ac:dyDescent="0.35">
      <c r="A663" s="2" t="s">
        <v>2490</v>
      </c>
      <c r="B663" s="2" t="s">
        <v>2491</v>
      </c>
    </row>
    <row r="664" spans="1:2" x14ac:dyDescent="0.35">
      <c r="A664" s="2" t="s">
        <v>2492</v>
      </c>
      <c r="B664" s="2" t="s">
        <v>2493</v>
      </c>
    </row>
    <row r="665" spans="1:2" x14ac:dyDescent="0.35">
      <c r="A665" s="2" t="s">
        <v>2494</v>
      </c>
      <c r="B665" s="2" t="s">
        <v>2495</v>
      </c>
    </row>
    <row r="666" spans="1:2" x14ac:dyDescent="0.35">
      <c r="A666" s="2" t="s">
        <v>2496</v>
      </c>
      <c r="B666" s="2" t="s">
        <v>2497</v>
      </c>
    </row>
    <row r="667" spans="1:2" x14ac:dyDescent="0.35">
      <c r="A667" s="2" t="s">
        <v>2498</v>
      </c>
      <c r="B667" s="2" t="s">
        <v>2499</v>
      </c>
    </row>
    <row r="668" spans="1:2" x14ac:dyDescent="0.35">
      <c r="A668" s="2" t="s">
        <v>2500</v>
      </c>
      <c r="B668" s="2" t="s">
        <v>2501</v>
      </c>
    </row>
    <row r="669" spans="1:2" x14ac:dyDescent="0.35">
      <c r="A669" s="2" t="s">
        <v>2502</v>
      </c>
      <c r="B669" s="2" t="s">
        <v>2503</v>
      </c>
    </row>
    <row r="670" spans="1:2" x14ac:dyDescent="0.35">
      <c r="A670" s="2" t="s">
        <v>2504</v>
      </c>
      <c r="B670" s="2" t="s">
        <v>2505</v>
      </c>
    </row>
    <row r="671" spans="1:2" x14ac:dyDescent="0.35">
      <c r="A671" s="2" t="s">
        <v>2506</v>
      </c>
      <c r="B671" s="2" t="s">
        <v>2507</v>
      </c>
    </row>
    <row r="672" spans="1:2" x14ac:dyDescent="0.35">
      <c r="A672" s="2" t="s">
        <v>2508</v>
      </c>
      <c r="B672" s="2" t="s">
        <v>2509</v>
      </c>
    </row>
    <row r="673" spans="1:2" x14ac:dyDescent="0.35">
      <c r="A673" s="2" t="s">
        <v>2510</v>
      </c>
      <c r="B673" s="2" t="s">
        <v>2511</v>
      </c>
    </row>
    <row r="674" spans="1:2" x14ac:dyDescent="0.35">
      <c r="A674" s="2" t="s">
        <v>2512</v>
      </c>
      <c r="B674" s="2" t="s">
        <v>2513</v>
      </c>
    </row>
    <row r="675" spans="1:2" x14ac:dyDescent="0.35">
      <c r="A675" s="2" t="s">
        <v>2514</v>
      </c>
      <c r="B675" s="2" t="s">
        <v>2515</v>
      </c>
    </row>
    <row r="676" spans="1:2" x14ac:dyDescent="0.35">
      <c r="A676" s="2" t="s">
        <v>2516</v>
      </c>
      <c r="B676" s="2" t="s">
        <v>2517</v>
      </c>
    </row>
    <row r="677" spans="1:2" x14ac:dyDescent="0.35">
      <c r="A677" s="2" t="s">
        <v>2518</v>
      </c>
      <c r="B677" s="2" t="s">
        <v>2519</v>
      </c>
    </row>
    <row r="678" spans="1:2" x14ac:dyDescent="0.35">
      <c r="A678" s="2" t="s">
        <v>2520</v>
      </c>
      <c r="B678" s="2" t="s">
        <v>2521</v>
      </c>
    </row>
    <row r="679" spans="1:2" x14ac:dyDescent="0.35">
      <c r="A679" s="2" t="s">
        <v>2522</v>
      </c>
      <c r="B679" s="2" t="s">
        <v>2523</v>
      </c>
    </row>
    <row r="680" spans="1:2" x14ac:dyDescent="0.35">
      <c r="A680" s="2" t="s">
        <v>2524</v>
      </c>
      <c r="B680" s="2" t="s">
        <v>2525</v>
      </c>
    </row>
    <row r="681" spans="1:2" x14ac:dyDescent="0.35">
      <c r="A681" s="2" t="s">
        <v>2526</v>
      </c>
      <c r="B681" s="2" t="s">
        <v>2527</v>
      </c>
    </row>
    <row r="682" spans="1:2" x14ac:dyDescent="0.35">
      <c r="A682" s="2" t="s">
        <v>2528</v>
      </c>
      <c r="B682" s="2" t="s">
        <v>2529</v>
      </c>
    </row>
    <row r="683" spans="1:2" x14ac:dyDescent="0.35">
      <c r="A683" s="2" t="s">
        <v>2530</v>
      </c>
      <c r="B683" s="2" t="s">
        <v>2531</v>
      </c>
    </row>
    <row r="684" spans="1:2" x14ac:dyDescent="0.35">
      <c r="A684" s="2" t="s">
        <v>2532</v>
      </c>
      <c r="B684" s="2" t="s">
        <v>2533</v>
      </c>
    </row>
    <row r="685" spans="1:2" x14ac:dyDescent="0.35">
      <c r="A685" s="2" t="s">
        <v>2534</v>
      </c>
      <c r="B685" s="2" t="s">
        <v>2535</v>
      </c>
    </row>
    <row r="686" spans="1:2" x14ac:dyDescent="0.35">
      <c r="A686" s="2" t="s">
        <v>2536</v>
      </c>
      <c r="B686" s="2" t="s">
        <v>2537</v>
      </c>
    </row>
    <row r="687" spans="1:2" x14ac:dyDescent="0.35">
      <c r="A687" s="2" t="s">
        <v>2538</v>
      </c>
      <c r="B687" s="2" t="s">
        <v>2539</v>
      </c>
    </row>
    <row r="688" spans="1:2" x14ac:dyDescent="0.35">
      <c r="A688" s="2" t="s">
        <v>2540</v>
      </c>
      <c r="B688" s="2" t="s">
        <v>2541</v>
      </c>
    </row>
    <row r="689" spans="1:2" x14ac:dyDescent="0.35">
      <c r="A689" s="2" t="s">
        <v>2542</v>
      </c>
      <c r="B689" s="2" t="s">
        <v>2543</v>
      </c>
    </row>
    <row r="690" spans="1:2" x14ac:dyDescent="0.35">
      <c r="A690" s="2" t="s">
        <v>2544</v>
      </c>
      <c r="B690" s="2" t="s">
        <v>2545</v>
      </c>
    </row>
    <row r="691" spans="1:2" x14ac:dyDescent="0.35">
      <c r="A691" s="2" t="s">
        <v>2546</v>
      </c>
      <c r="B691" s="2" t="s">
        <v>2547</v>
      </c>
    </row>
    <row r="692" spans="1:2" x14ac:dyDescent="0.35">
      <c r="A692" s="2" t="s">
        <v>2548</v>
      </c>
      <c r="B692" s="2" t="s">
        <v>2549</v>
      </c>
    </row>
    <row r="693" spans="1:2" x14ac:dyDescent="0.35">
      <c r="A693" s="2" t="s">
        <v>2550</v>
      </c>
      <c r="B693" s="2" t="s">
        <v>2551</v>
      </c>
    </row>
    <row r="694" spans="1:2" x14ac:dyDescent="0.35">
      <c r="A694" s="2" t="s">
        <v>2552</v>
      </c>
      <c r="B694" s="2" t="s">
        <v>2553</v>
      </c>
    </row>
    <row r="695" spans="1:2" x14ac:dyDescent="0.35">
      <c r="A695" s="2" t="s">
        <v>2554</v>
      </c>
      <c r="B695" s="2" t="s">
        <v>2555</v>
      </c>
    </row>
    <row r="696" spans="1:2" x14ac:dyDescent="0.35">
      <c r="A696" s="2" t="s">
        <v>2556</v>
      </c>
      <c r="B696" s="2" t="s">
        <v>2557</v>
      </c>
    </row>
    <row r="697" spans="1:2" x14ac:dyDescent="0.35">
      <c r="A697" s="2" t="s">
        <v>2558</v>
      </c>
      <c r="B697" s="2" t="s">
        <v>2559</v>
      </c>
    </row>
    <row r="698" spans="1:2" x14ac:dyDescent="0.35">
      <c r="A698" s="2" t="s">
        <v>2560</v>
      </c>
      <c r="B698" s="2" t="s">
        <v>2561</v>
      </c>
    </row>
    <row r="699" spans="1:2" x14ac:dyDescent="0.35">
      <c r="A699" s="2" t="s">
        <v>2562</v>
      </c>
      <c r="B699" s="2" t="s">
        <v>2563</v>
      </c>
    </row>
    <row r="700" spans="1:2" x14ac:dyDescent="0.35">
      <c r="A700" s="2" t="s">
        <v>2564</v>
      </c>
      <c r="B700" s="2" t="s">
        <v>2565</v>
      </c>
    </row>
    <row r="701" spans="1:2" x14ac:dyDescent="0.35">
      <c r="A701" s="2" t="s">
        <v>2566</v>
      </c>
      <c r="B701" s="2" t="s">
        <v>2567</v>
      </c>
    </row>
    <row r="702" spans="1:2" x14ac:dyDescent="0.35">
      <c r="A702" s="2" t="s">
        <v>2568</v>
      </c>
      <c r="B702" s="2" t="s">
        <v>2569</v>
      </c>
    </row>
    <row r="703" spans="1:2" x14ac:dyDescent="0.35">
      <c r="A703" s="2" t="s">
        <v>2570</v>
      </c>
      <c r="B703" s="2" t="s">
        <v>2571</v>
      </c>
    </row>
    <row r="704" spans="1:2" x14ac:dyDescent="0.35">
      <c r="A704" s="2" t="s">
        <v>2572</v>
      </c>
      <c r="B704" s="2" t="s">
        <v>2573</v>
      </c>
    </row>
    <row r="705" spans="1:2" x14ac:dyDescent="0.35">
      <c r="A705" s="2" t="s">
        <v>2574</v>
      </c>
      <c r="B705" s="2" t="s">
        <v>2575</v>
      </c>
    </row>
    <row r="706" spans="1:2" x14ac:dyDescent="0.35">
      <c r="A706" s="2" t="s">
        <v>2576</v>
      </c>
      <c r="B706" s="2" t="s">
        <v>2577</v>
      </c>
    </row>
    <row r="707" spans="1:2" x14ac:dyDescent="0.35">
      <c r="A707" s="2" t="s">
        <v>2578</v>
      </c>
      <c r="B707" s="2" t="s">
        <v>2579</v>
      </c>
    </row>
    <row r="708" spans="1:2" x14ac:dyDescent="0.35">
      <c r="A708" s="2" t="s">
        <v>2580</v>
      </c>
      <c r="B708" s="2" t="s">
        <v>2581</v>
      </c>
    </row>
    <row r="709" spans="1:2" x14ac:dyDescent="0.35">
      <c r="A709" s="2" t="s">
        <v>2582</v>
      </c>
      <c r="B709" s="2" t="s">
        <v>2583</v>
      </c>
    </row>
    <row r="710" spans="1:2" x14ac:dyDescent="0.35">
      <c r="A710" s="2" t="s">
        <v>2584</v>
      </c>
      <c r="B710" s="2" t="s">
        <v>2585</v>
      </c>
    </row>
    <row r="711" spans="1:2" x14ac:dyDescent="0.35">
      <c r="A711" s="2" t="s">
        <v>2586</v>
      </c>
      <c r="B711" s="2" t="s">
        <v>2587</v>
      </c>
    </row>
    <row r="712" spans="1:2" x14ac:dyDescent="0.35">
      <c r="A712" s="2" t="s">
        <v>2588</v>
      </c>
      <c r="B712" s="2" t="s">
        <v>2589</v>
      </c>
    </row>
    <row r="713" spans="1:2" x14ac:dyDescent="0.35">
      <c r="A713" s="2" t="s">
        <v>2590</v>
      </c>
      <c r="B713" s="2" t="s">
        <v>2591</v>
      </c>
    </row>
    <row r="714" spans="1:2" x14ac:dyDescent="0.35">
      <c r="A714" s="2" t="s">
        <v>2592</v>
      </c>
      <c r="B714" s="2" t="s">
        <v>2593</v>
      </c>
    </row>
    <row r="715" spans="1:2" x14ac:dyDescent="0.35">
      <c r="A715" s="2" t="s">
        <v>2594</v>
      </c>
      <c r="B715" s="2" t="s">
        <v>2595</v>
      </c>
    </row>
    <row r="716" spans="1:2" x14ac:dyDescent="0.35">
      <c r="A716" s="2" t="s">
        <v>2596</v>
      </c>
      <c r="B716" s="2" t="s">
        <v>2597</v>
      </c>
    </row>
    <row r="717" spans="1:2" x14ac:dyDescent="0.35">
      <c r="A717" s="2" t="s">
        <v>2598</v>
      </c>
      <c r="B717" s="2" t="s">
        <v>2599</v>
      </c>
    </row>
    <row r="718" spans="1:2" x14ac:dyDescent="0.35">
      <c r="A718" s="2" t="s">
        <v>2600</v>
      </c>
      <c r="B718" s="2" t="s">
        <v>2601</v>
      </c>
    </row>
    <row r="719" spans="1:2" x14ac:dyDescent="0.35">
      <c r="A719" s="2" t="s">
        <v>2602</v>
      </c>
      <c r="B719" s="2" t="s">
        <v>2603</v>
      </c>
    </row>
    <row r="720" spans="1:2" x14ac:dyDescent="0.35">
      <c r="A720" s="2" t="s">
        <v>2604</v>
      </c>
      <c r="B720" s="2" t="s">
        <v>2605</v>
      </c>
    </row>
    <row r="721" spans="1:2" x14ac:dyDescent="0.35">
      <c r="A721" s="2" t="s">
        <v>2606</v>
      </c>
      <c r="B721" s="2" t="s">
        <v>2607</v>
      </c>
    </row>
    <row r="722" spans="1:2" x14ac:dyDescent="0.35">
      <c r="A722" s="2" t="s">
        <v>2608</v>
      </c>
      <c r="B722" s="2" t="s">
        <v>2609</v>
      </c>
    </row>
    <row r="723" spans="1:2" x14ac:dyDescent="0.35">
      <c r="A723" s="2" t="s">
        <v>2610</v>
      </c>
      <c r="B723" s="2" t="s">
        <v>2611</v>
      </c>
    </row>
    <row r="724" spans="1:2" x14ac:dyDescent="0.35">
      <c r="A724" s="2" t="s">
        <v>2612</v>
      </c>
      <c r="B724" s="2" t="s">
        <v>2613</v>
      </c>
    </row>
    <row r="725" spans="1:2" x14ac:dyDescent="0.35">
      <c r="A725" s="2" t="s">
        <v>2614</v>
      </c>
      <c r="B725" s="2" t="s">
        <v>2615</v>
      </c>
    </row>
    <row r="726" spans="1:2" x14ac:dyDescent="0.35">
      <c r="A726" s="2" t="s">
        <v>2616</v>
      </c>
      <c r="B726" s="2" t="s">
        <v>2617</v>
      </c>
    </row>
    <row r="727" spans="1:2" x14ac:dyDescent="0.35">
      <c r="A727" s="2" t="s">
        <v>2618</v>
      </c>
      <c r="B727" s="2" t="s">
        <v>2619</v>
      </c>
    </row>
    <row r="728" spans="1:2" x14ac:dyDescent="0.35">
      <c r="A728" s="2" t="s">
        <v>2620</v>
      </c>
      <c r="B728" s="2" t="s">
        <v>2621</v>
      </c>
    </row>
    <row r="729" spans="1:2" x14ac:dyDescent="0.35">
      <c r="A729" s="2" t="s">
        <v>2622</v>
      </c>
      <c r="B729" s="2" t="s">
        <v>2623</v>
      </c>
    </row>
    <row r="730" spans="1:2" x14ac:dyDescent="0.35">
      <c r="A730" s="2" t="s">
        <v>2624</v>
      </c>
      <c r="B730" s="2" t="s">
        <v>2625</v>
      </c>
    </row>
    <row r="731" spans="1:2" x14ac:dyDescent="0.35">
      <c r="A731" s="2" t="s">
        <v>2626</v>
      </c>
      <c r="B731" s="2" t="s">
        <v>2627</v>
      </c>
    </row>
    <row r="732" spans="1:2" x14ac:dyDescent="0.35">
      <c r="A732" s="2" t="s">
        <v>2628</v>
      </c>
      <c r="B732" s="2" t="s">
        <v>2629</v>
      </c>
    </row>
    <row r="733" spans="1:2" x14ac:dyDescent="0.35">
      <c r="A733" s="2" t="s">
        <v>2630</v>
      </c>
      <c r="B733" s="2" t="s">
        <v>2631</v>
      </c>
    </row>
    <row r="734" spans="1:2" x14ac:dyDescent="0.35">
      <c r="A734" s="2" t="s">
        <v>2632</v>
      </c>
      <c r="B734" s="2" t="s">
        <v>2633</v>
      </c>
    </row>
    <row r="735" spans="1:2" x14ac:dyDescent="0.35">
      <c r="A735" s="2" t="s">
        <v>2634</v>
      </c>
      <c r="B735" s="2" t="s">
        <v>2635</v>
      </c>
    </row>
    <row r="736" spans="1:2" x14ac:dyDescent="0.35">
      <c r="A736" s="2" t="s">
        <v>2636</v>
      </c>
      <c r="B736" s="2" t="s">
        <v>2637</v>
      </c>
    </row>
    <row r="737" spans="1:2" x14ac:dyDescent="0.35">
      <c r="A737" s="2" t="s">
        <v>2638</v>
      </c>
      <c r="B737" s="2" t="s">
        <v>2639</v>
      </c>
    </row>
    <row r="738" spans="1:2" x14ac:dyDescent="0.35">
      <c r="A738" s="2" t="s">
        <v>2640</v>
      </c>
      <c r="B738" s="2" t="s">
        <v>2641</v>
      </c>
    </row>
    <row r="739" spans="1:2" x14ac:dyDescent="0.35">
      <c r="A739" s="2" t="s">
        <v>2642</v>
      </c>
      <c r="B739" s="2" t="s">
        <v>2643</v>
      </c>
    </row>
    <row r="740" spans="1:2" x14ac:dyDescent="0.35">
      <c r="A740" s="2" t="s">
        <v>2644</v>
      </c>
      <c r="B740" s="2" t="s">
        <v>2645</v>
      </c>
    </row>
    <row r="741" spans="1:2" x14ac:dyDescent="0.35">
      <c r="A741" s="2" t="s">
        <v>2646</v>
      </c>
      <c r="B741" s="2" t="s">
        <v>2647</v>
      </c>
    </row>
    <row r="742" spans="1:2" x14ac:dyDescent="0.35">
      <c r="A742" s="2" t="s">
        <v>2648</v>
      </c>
      <c r="B742" s="2" t="s">
        <v>2649</v>
      </c>
    </row>
    <row r="743" spans="1:2" x14ac:dyDescent="0.35">
      <c r="A743" s="2" t="s">
        <v>2650</v>
      </c>
      <c r="B743" s="2" t="s">
        <v>2651</v>
      </c>
    </row>
    <row r="744" spans="1:2" x14ac:dyDescent="0.35">
      <c r="A744" s="2" t="s">
        <v>2652</v>
      </c>
      <c r="B744" s="2" t="s">
        <v>2653</v>
      </c>
    </row>
    <row r="745" spans="1:2" x14ac:dyDescent="0.35">
      <c r="A745" s="2" t="s">
        <v>2654</v>
      </c>
      <c r="B745" s="2" t="s">
        <v>2655</v>
      </c>
    </row>
    <row r="746" spans="1:2" x14ac:dyDescent="0.35">
      <c r="A746" s="2" t="s">
        <v>2656</v>
      </c>
      <c r="B746" s="2" t="s">
        <v>2657</v>
      </c>
    </row>
    <row r="747" spans="1:2" x14ac:dyDescent="0.35">
      <c r="A747" s="2" t="s">
        <v>2658</v>
      </c>
      <c r="B747" s="2" t="s">
        <v>2659</v>
      </c>
    </row>
    <row r="748" spans="1:2" x14ac:dyDescent="0.35">
      <c r="A748" s="2" t="s">
        <v>2660</v>
      </c>
      <c r="B748" s="2" t="s">
        <v>2661</v>
      </c>
    </row>
    <row r="749" spans="1:2" x14ac:dyDescent="0.35">
      <c r="A749" s="2" t="s">
        <v>2662</v>
      </c>
      <c r="B749" s="2" t="s">
        <v>2663</v>
      </c>
    </row>
    <row r="750" spans="1:2" x14ac:dyDescent="0.35">
      <c r="A750" s="2" t="s">
        <v>2664</v>
      </c>
      <c r="B750" s="2" t="s">
        <v>2665</v>
      </c>
    </row>
    <row r="751" spans="1:2" x14ac:dyDescent="0.35">
      <c r="A751" s="2" t="s">
        <v>2666</v>
      </c>
      <c r="B751" s="2" t="s">
        <v>2667</v>
      </c>
    </row>
    <row r="752" spans="1:2" x14ac:dyDescent="0.35">
      <c r="A752" s="2" t="s">
        <v>2668</v>
      </c>
      <c r="B752" s="2" t="s">
        <v>2669</v>
      </c>
    </row>
    <row r="753" spans="1:2" x14ac:dyDescent="0.35">
      <c r="A753" s="2" t="s">
        <v>2670</v>
      </c>
      <c r="B753" s="2" t="s">
        <v>2671</v>
      </c>
    </row>
    <row r="754" spans="1:2" x14ac:dyDescent="0.35">
      <c r="A754" s="2" t="s">
        <v>2672</v>
      </c>
      <c r="B754" s="2" t="s">
        <v>2673</v>
      </c>
    </row>
    <row r="755" spans="1:2" x14ac:dyDescent="0.35">
      <c r="A755" s="2" t="s">
        <v>2674</v>
      </c>
      <c r="B755" s="2" t="s">
        <v>2675</v>
      </c>
    </row>
    <row r="756" spans="1:2" x14ac:dyDescent="0.35">
      <c r="A756" s="2" t="s">
        <v>2676</v>
      </c>
      <c r="B756" s="2" t="s">
        <v>2677</v>
      </c>
    </row>
    <row r="757" spans="1:2" x14ac:dyDescent="0.35">
      <c r="A757" s="2" t="s">
        <v>2678</v>
      </c>
      <c r="B757" s="2" t="s">
        <v>2679</v>
      </c>
    </row>
    <row r="758" spans="1:2" x14ac:dyDescent="0.35">
      <c r="A758" s="2" t="s">
        <v>2680</v>
      </c>
      <c r="B758" s="2" t="s">
        <v>2681</v>
      </c>
    </row>
    <row r="759" spans="1:2" x14ac:dyDescent="0.35">
      <c r="A759" s="2" t="s">
        <v>2682</v>
      </c>
      <c r="B759" s="2" t="s">
        <v>2683</v>
      </c>
    </row>
    <row r="760" spans="1:2" x14ac:dyDescent="0.35">
      <c r="A760" s="2" t="s">
        <v>2684</v>
      </c>
      <c r="B760" s="2" t="s">
        <v>2685</v>
      </c>
    </row>
    <row r="761" spans="1:2" x14ac:dyDescent="0.35">
      <c r="A761" s="2" t="s">
        <v>2686</v>
      </c>
      <c r="B761" s="2" t="s">
        <v>2687</v>
      </c>
    </row>
    <row r="762" spans="1:2" x14ac:dyDescent="0.35">
      <c r="A762" s="2" t="s">
        <v>2688</v>
      </c>
      <c r="B762" s="2" t="s">
        <v>2689</v>
      </c>
    </row>
    <row r="763" spans="1:2" x14ac:dyDescent="0.35">
      <c r="A763" s="2" t="s">
        <v>2690</v>
      </c>
      <c r="B763" s="2" t="s">
        <v>2691</v>
      </c>
    </row>
    <row r="764" spans="1:2" x14ac:dyDescent="0.35">
      <c r="A764" s="2" t="s">
        <v>2692</v>
      </c>
      <c r="B764" s="2" t="s">
        <v>2693</v>
      </c>
    </row>
    <row r="765" spans="1:2" x14ac:dyDescent="0.35">
      <c r="A765" s="2" t="s">
        <v>2694</v>
      </c>
      <c r="B765" s="2" t="s">
        <v>2695</v>
      </c>
    </row>
    <row r="766" spans="1:2" x14ac:dyDescent="0.35">
      <c r="A766" s="2" t="s">
        <v>2696</v>
      </c>
      <c r="B766" s="2" t="s">
        <v>2697</v>
      </c>
    </row>
    <row r="767" spans="1:2" x14ac:dyDescent="0.35">
      <c r="A767" s="2" t="s">
        <v>2698</v>
      </c>
      <c r="B767" s="2" t="s">
        <v>2699</v>
      </c>
    </row>
    <row r="768" spans="1:2" x14ac:dyDescent="0.35">
      <c r="A768" s="2" t="s">
        <v>2700</v>
      </c>
      <c r="B768" s="2" t="s">
        <v>2701</v>
      </c>
    </row>
    <row r="769" spans="1:2" x14ac:dyDescent="0.35">
      <c r="A769" s="2" t="s">
        <v>2702</v>
      </c>
      <c r="B769" s="2" t="s">
        <v>2703</v>
      </c>
    </row>
    <row r="770" spans="1:2" x14ac:dyDescent="0.35">
      <c r="A770" s="2" t="s">
        <v>2704</v>
      </c>
      <c r="B770" s="2" t="s">
        <v>2705</v>
      </c>
    </row>
    <row r="771" spans="1:2" x14ac:dyDescent="0.35">
      <c r="A771" s="2" t="s">
        <v>2706</v>
      </c>
      <c r="B771" s="2" t="s">
        <v>2707</v>
      </c>
    </row>
    <row r="772" spans="1:2" x14ac:dyDescent="0.35">
      <c r="A772" s="2" t="s">
        <v>2708</v>
      </c>
      <c r="B772" s="2" t="s">
        <v>2709</v>
      </c>
    </row>
    <row r="773" spans="1:2" x14ac:dyDescent="0.35">
      <c r="A773" s="2" t="s">
        <v>2710</v>
      </c>
      <c r="B773" s="2" t="s">
        <v>2711</v>
      </c>
    </row>
    <row r="774" spans="1:2" x14ac:dyDescent="0.35">
      <c r="A774" s="2" t="s">
        <v>2712</v>
      </c>
      <c r="B774" s="2" t="s">
        <v>2713</v>
      </c>
    </row>
    <row r="775" spans="1:2" x14ac:dyDescent="0.35">
      <c r="A775" s="2" t="s">
        <v>2714</v>
      </c>
      <c r="B775" s="2" t="s">
        <v>2715</v>
      </c>
    </row>
    <row r="776" spans="1:2" x14ac:dyDescent="0.35">
      <c r="A776" s="2" t="s">
        <v>2716</v>
      </c>
      <c r="B776" s="2" t="s">
        <v>2717</v>
      </c>
    </row>
    <row r="777" spans="1:2" x14ac:dyDescent="0.35">
      <c r="A777" s="2" t="s">
        <v>2718</v>
      </c>
      <c r="B777" s="2" t="s">
        <v>2719</v>
      </c>
    </row>
    <row r="778" spans="1:2" x14ac:dyDescent="0.35">
      <c r="A778" s="2" t="s">
        <v>2720</v>
      </c>
      <c r="B778" s="2" t="s">
        <v>2721</v>
      </c>
    </row>
    <row r="779" spans="1:2" x14ac:dyDescent="0.35">
      <c r="A779" s="2" t="s">
        <v>2722</v>
      </c>
      <c r="B779" s="2" t="s">
        <v>2723</v>
      </c>
    </row>
    <row r="780" spans="1:2" x14ac:dyDescent="0.35">
      <c r="A780" s="2" t="s">
        <v>2724</v>
      </c>
      <c r="B780" s="2" t="s">
        <v>2725</v>
      </c>
    </row>
    <row r="781" spans="1:2" x14ac:dyDescent="0.35">
      <c r="A781" s="2" t="s">
        <v>2726</v>
      </c>
      <c r="B781" s="2" t="s">
        <v>2727</v>
      </c>
    </row>
    <row r="782" spans="1:2" x14ac:dyDescent="0.35">
      <c r="A782" s="2" t="s">
        <v>2728</v>
      </c>
      <c r="B782" s="2" t="s">
        <v>2729</v>
      </c>
    </row>
    <row r="783" spans="1:2" x14ac:dyDescent="0.35">
      <c r="A783" s="2" t="s">
        <v>2730</v>
      </c>
      <c r="B783" s="2" t="s">
        <v>2731</v>
      </c>
    </row>
    <row r="784" spans="1:2" x14ac:dyDescent="0.35">
      <c r="A784" s="2" t="s">
        <v>2732</v>
      </c>
      <c r="B784" s="2" t="s">
        <v>2733</v>
      </c>
    </row>
    <row r="785" spans="1:2" x14ac:dyDescent="0.35">
      <c r="A785" s="2" t="s">
        <v>2734</v>
      </c>
      <c r="B785" s="2" t="s">
        <v>2735</v>
      </c>
    </row>
    <row r="786" spans="1:2" x14ac:dyDescent="0.35">
      <c r="A786" s="2" t="s">
        <v>2736</v>
      </c>
      <c r="B786" s="2" t="s">
        <v>2737</v>
      </c>
    </row>
    <row r="787" spans="1:2" x14ac:dyDescent="0.35">
      <c r="A787" s="2" t="s">
        <v>2738</v>
      </c>
      <c r="B787" s="2" t="s">
        <v>2739</v>
      </c>
    </row>
    <row r="788" spans="1:2" x14ac:dyDescent="0.35">
      <c r="A788" s="2" t="s">
        <v>2740</v>
      </c>
      <c r="B788" s="2" t="s">
        <v>2741</v>
      </c>
    </row>
    <row r="789" spans="1:2" x14ac:dyDescent="0.35">
      <c r="A789" s="2" t="s">
        <v>2742</v>
      </c>
      <c r="B789" s="2" t="s">
        <v>2743</v>
      </c>
    </row>
    <row r="790" spans="1:2" x14ac:dyDescent="0.35">
      <c r="A790" s="2" t="s">
        <v>2744</v>
      </c>
      <c r="B790" s="2" t="s">
        <v>2745</v>
      </c>
    </row>
    <row r="791" spans="1:2" x14ac:dyDescent="0.35">
      <c r="A791" s="2" t="s">
        <v>2746</v>
      </c>
      <c r="B791" s="2" t="s">
        <v>2747</v>
      </c>
    </row>
    <row r="792" spans="1:2" x14ac:dyDescent="0.35">
      <c r="A792" s="2" t="s">
        <v>2748</v>
      </c>
      <c r="B792" s="2" t="s">
        <v>2749</v>
      </c>
    </row>
    <row r="793" spans="1:2" x14ac:dyDescent="0.35">
      <c r="A793" s="2" t="s">
        <v>2750</v>
      </c>
      <c r="B793" s="2" t="s">
        <v>2751</v>
      </c>
    </row>
    <row r="794" spans="1:2" x14ac:dyDescent="0.35">
      <c r="A794" s="2" t="s">
        <v>2752</v>
      </c>
      <c r="B794" s="2" t="s">
        <v>2753</v>
      </c>
    </row>
    <row r="795" spans="1:2" x14ac:dyDescent="0.35">
      <c r="A795" s="2" t="s">
        <v>2754</v>
      </c>
      <c r="B795" s="2" t="s">
        <v>2755</v>
      </c>
    </row>
    <row r="796" spans="1:2" x14ac:dyDescent="0.35">
      <c r="A796" s="2" t="s">
        <v>2756</v>
      </c>
      <c r="B796" s="2" t="s">
        <v>2757</v>
      </c>
    </row>
    <row r="797" spans="1:2" x14ac:dyDescent="0.35">
      <c r="A797" s="2" t="s">
        <v>2758</v>
      </c>
      <c r="B797" s="2" t="s">
        <v>2759</v>
      </c>
    </row>
    <row r="798" spans="1:2" x14ac:dyDescent="0.35">
      <c r="A798" s="2" t="s">
        <v>2760</v>
      </c>
      <c r="B798" s="2" t="s">
        <v>2761</v>
      </c>
    </row>
    <row r="799" spans="1:2" x14ac:dyDescent="0.35">
      <c r="A799" s="2" t="s">
        <v>2762</v>
      </c>
      <c r="B799" s="2" t="s">
        <v>2763</v>
      </c>
    </row>
    <row r="800" spans="1:2" x14ac:dyDescent="0.35">
      <c r="A800" s="2" t="s">
        <v>2764</v>
      </c>
      <c r="B800" s="2" t="s">
        <v>2765</v>
      </c>
    </row>
    <row r="801" spans="1:2" x14ac:dyDescent="0.35">
      <c r="A801" s="2" t="s">
        <v>2766</v>
      </c>
      <c r="B801" s="2" t="s">
        <v>2767</v>
      </c>
    </row>
    <row r="802" spans="1:2" x14ac:dyDescent="0.35">
      <c r="A802" s="2" t="s">
        <v>2768</v>
      </c>
      <c r="B802" s="2" t="s">
        <v>2769</v>
      </c>
    </row>
    <row r="803" spans="1:2" x14ac:dyDescent="0.35">
      <c r="A803" s="2" t="s">
        <v>2770</v>
      </c>
      <c r="B803" s="2" t="s">
        <v>2771</v>
      </c>
    </row>
    <row r="804" spans="1:2" x14ac:dyDescent="0.35">
      <c r="A804" s="2" t="s">
        <v>2772</v>
      </c>
      <c r="B804" s="2" t="s">
        <v>2773</v>
      </c>
    </row>
    <row r="805" spans="1:2" x14ac:dyDescent="0.35">
      <c r="A805" s="2" t="s">
        <v>2774</v>
      </c>
      <c r="B805" s="2" t="s">
        <v>2775</v>
      </c>
    </row>
    <row r="806" spans="1:2" x14ac:dyDescent="0.35">
      <c r="A806" s="2" t="s">
        <v>2776</v>
      </c>
      <c r="B806" s="2" t="s">
        <v>2777</v>
      </c>
    </row>
    <row r="807" spans="1:2" x14ac:dyDescent="0.35">
      <c r="A807" s="2" t="s">
        <v>2778</v>
      </c>
      <c r="B807" s="2" t="s">
        <v>2779</v>
      </c>
    </row>
    <row r="808" spans="1:2" x14ac:dyDescent="0.35">
      <c r="A808" s="2" t="s">
        <v>2780</v>
      </c>
      <c r="B808" s="2" t="s">
        <v>2781</v>
      </c>
    </row>
    <row r="809" spans="1:2" x14ac:dyDescent="0.35">
      <c r="A809" s="2" t="s">
        <v>2782</v>
      </c>
      <c r="B809" s="2" t="s">
        <v>2783</v>
      </c>
    </row>
    <row r="810" spans="1:2" x14ac:dyDescent="0.35">
      <c r="A810" s="2" t="s">
        <v>2784</v>
      </c>
      <c r="B810" s="2" t="s">
        <v>2785</v>
      </c>
    </row>
    <row r="811" spans="1:2" x14ac:dyDescent="0.35">
      <c r="A811" s="2" t="s">
        <v>2786</v>
      </c>
      <c r="B811" s="2" t="s">
        <v>2787</v>
      </c>
    </row>
    <row r="812" spans="1:2" x14ac:dyDescent="0.35">
      <c r="A812" s="2" t="s">
        <v>2788</v>
      </c>
      <c r="B812" s="2" t="s">
        <v>2789</v>
      </c>
    </row>
    <row r="813" spans="1:2" x14ac:dyDescent="0.35">
      <c r="A813" s="2" t="s">
        <v>2790</v>
      </c>
      <c r="B813" s="2" t="s">
        <v>2791</v>
      </c>
    </row>
    <row r="814" spans="1:2" x14ac:dyDescent="0.35">
      <c r="A814" s="2" t="s">
        <v>2792</v>
      </c>
      <c r="B814" s="2" t="s">
        <v>2793</v>
      </c>
    </row>
    <row r="815" spans="1:2" x14ac:dyDescent="0.35">
      <c r="A815" s="2" t="s">
        <v>2794</v>
      </c>
      <c r="B815" s="2" t="s">
        <v>2795</v>
      </c>
    </row>
    <row r="816" spans="1:2" x14ac:dyDescent="0.35">
      <c r="A816" s="2" t="s">
        <v>2796</v>
      </c>
      <c r="B816" s="2" t="s">
        <v>2797</v>
      </c>
    </row>
    <row r="817" spans="1:2" x14ac:dyDescent="0.35">
      <c r="A817" s="2" t="s">
        <v>2798</v>
      </c>
      <c r="B817" s="2" t="s">
        <v>2799</v>
      </c>
    </row>
    <row r="818" spans="1:2" x14ac:dyDescent="0.35">
      <c r="A818" s="2" t="s">
        <v>2800</v>
      </c>
      <c r="B818" s="2" t="s">
        <v>2801</v>
      </c>
    </row>
    <row r="819" spans="1:2" x14ac:dyDescent="0.35">
      <c r="A819" s="2" t="s">
        <v>2802</v>
      </c>
      <c r="B819" s="2" t="s">
        <v>2803</v>
      </c>
    </row>
    <row r="820" spans="1:2" x14ac:dyDescent="0.35">
      <c r="A820" s="2" t="s">
        <v>2804</v>
      </c>
      <c r="B820" s="2" t="s">
        <v>2805</v>
      </c>
    </row>
    <row r="821" spans="1:2" x14ac:dyDescent="0.35">
      <c r="A821" s="2" t="s">
        <v>2806</v>
      </c>
      <c r="B821" s="2" t="s">
        <v>2807</v>
      </c>
    </row>
    <row r="822" spans="1:2" x14ac:dyDescent="0.35">
      <c r="A822" s="2" t="s">
        <v>2808</v>
      </c>
      <c r="B822" s="2" t="s">
        <v>2809</v>
      </c>
    </row>
    <row r="823" spans="1:2" x14ac:dyDescent="0.35">
      <c r="A823" s="2" t="s">
        <v>2810</v>
      </c>
      <c r="B823" s="2" t="s">
        <v>2811</v>
      </c>
    </row>
    <row r="824" spans="1:2" x14ac:dyDescent="0.35">
      <c r="A824" s="2" t="s">
        <v>2812</v>
      </c>
      <c r="B824" s="2" t="s">
        <v>2813</v>
      </c>
    </row>
    <row r="825" spans="1:2" x14ac:dyDescent="0.35">
      <c r="A825" s="2" t="s">
        <v>2814</v>
      </c>
      <c r="B825" s="2" t="s">
        <v>2815</v>
      </c>
    </row>
    <row r="826" spans="1:2" x14ac:dyDescent="0.35">
      <c r="A826" s="2" t="s">
        <v>2816</v>
      </c>
      <c r="B826" s="2" t="s">
        <v>2817</v>
      </c>
    </row>
    <row r="827" spans="1:2" x14ac:dyDescent="0.35">
      <c r="A827" s="2" t="s">
        <v>2818</v>
      </c>
      <c r="B827" s="2" t="s">
        <v>2819</v>
      </c>
    </row>
    <row r="828" spans="1:2" x14ac:dyDescent="0.35">
      <c r="A828" s="2" t="s">
        <v>2820</v>
      </c>
      <c r="B828" s="2" t="s">
        <v>2821</v>
      </c>
    </row>
    <row r="829" spans="1:2" x14ac:dyDescent="0.35">
      <c r="A829" s="2" t="s">
        <v>2822</v>
      </c>
      <c r="B829" s="2" t="s">
        <v>2823</v>
      </c>
    </row>
    <row r="830" spans="1:2" x14ac:dyDescent="0.35">
      <c r="A830" s="2" t="s">
        <v>2824</v>
      </c>
      <c r="B830" s="2" t="s">
        <v>2825</v>
      </c>
    </row>
    <row r="831" spans="1:2" x14ac:dyDescent="0.35">
      <c r="A831" s="2" t="s">
        <v>2826</v>
      </c>
      <c r="B831" s="2" t="s">
        <v>2827</v>
      </c>
    </row>
    <row r="832" spans="1:2" x14ac:dyDescent="0.35">
      <c r="A832" s="2" t="s">
        <v>2828</v>
      </c>
      <c r="B832" s="2" t="s">
        <v>2829</v>
      </c>
    </row>
    <row r="833" spans="1:2" x14ac:dyDescent="0.35">
      <c r="A833" s="2" t="s">
        <v>2830</v>
      </c>
      <c r="B833" s="2" t="s">
        <v>2493</v>
      </c>
    </row>
    <row r="834" spans="1:2" x14ac:dyDescent="0.35">
      <c r="A834" s="2" t="s">
        <v>2831</v>
      </c>
      <c r="B834" s="2" t="s">
        <v>2832</v>
      </c>
    </row>
    <row r="835" spans="1:2" x14ac:dyDescent="0.35">
      <c r="A835" s="2" t="s">
        <v>2833</v>
      </c>
      <c r="B835" s="2" t="s">
        <v>2834</v>
      </c>
    </row>
    <row r="836" spans="1:2" x14ac:dyDescent="0.35">
      <c r="A836" s="2" t="s">
        <v>2835</v>
      </c>
      <c r="B836" s="2" t="s">
        <v>2836</v>
      </c>
    </row>
    <row r="837" spans="1:2" x14ac:dyDescent="0.35">
      <c r="A837" s="2" t="s">
        <v>2837</v>
      </c>
      <c r="B837" s="2" t="s">
        <v>2838</v>
      </c>
    </row>
    <row r="838" spans="1:2" x14ac:dyDescent="0.35">
      <c r="A838" s="2" t="s">
        <v>2839</v>
      </c>
      <c r="B838" s="2" t="s">
        <v>2840</v>
      </c>
    </row>
    <row r="839" spans="1:2" x14ac:dyDescent="0.35">
      <c r="A839" s="2" t="s">
        <v>2841</v>
      </c>
      <c r="B839" s="2" t="s">
        <v>2842</v>
      </c>
    </row>
    <row r="840" spans="1:2" x14ac:dyDescent="0.35">
      <c r="A840" s="2" t="s">
        <v>2843</v>
      </c>
      <c r="B840" s="2" t="s">
        <v>2844</v>
      </c>
    </row>
    <row r="841" spans="1:2" x14ac:dyDescent="0.35">
      <c r="A841" s="2" t="s">
        <v>2845</v>
      </c>
      <c r="B841" s="2" t="s">
        <v>2846</v>
      </c>
    </row>
    <row r="842" spans="1:2" x14ac:dyDescent="0.35">
      <c r="A842" s="2" t="s">
        <v>2847</v>
      </c>
      <c r="B842" s="2" t="s">
        <v>2848</v>
      </c>
    </row>
    <row r="843" spans="1:2" x14ac:dyDescent="0.35">
      <c r="A843" s="2" t="s">
        <v>2849</v>
      </c>
      <c r="B843" s="2" t="s">
        <v>2687</v>
      </c>
    </row>
    <row r="844" spans="1:2" x14ac:dyDescent="0.35">
      <c r="A844" s="2" t="s">
        <v>2850</v>
      </c>
      <c r="B844" s="2" t="s">
        <v>2851</v>
      </c>
    </row>
    <row r="845" spans="1:2" x14ac:dyDescent="0.35">
      <c r="A845" s="2" t="s">
        <v>2852</v>
      </c>
      <c r="B845" s="2" t="s">
        <v>2853</v>
      </c>
    </row>
    <row r="846" spans="1:2" x14ac:dyDescent="0.35">
      <c r="A846" s="2" t="s">
        <v>2854</v>
      </c>
      <c r="B846" s="2" t="s">
        <v>2855</v>
      </c>
    </row>
    <row r="847" spans="1:2" x14ac:dyDescent="0.35">
      <c r="A847" s="2" t="s">
        <v>2856</v>
      </c>
      <c r="B847" s="2" t="s">
        <v>2857</v>
      </c>
    </row>
    <row r="848" spans="1:2" x14ac:dyDescent="0.35">
      <c r="A848" s="2" t="s">
        <v>2858</v>
      </c>
      <c r="B848" s="2" t="s">
        <v>2859</v>
      </c>
    </row>
    <row r="849" spans="1:2" x14ac:dyDescent="0.35">
      <c r="A849" s="2" t="s">
        <v>2860</v>
      </c>
      <c r="B849" s="2" t="s">
        <v>2861</v>
      </c>
    </row>
    <row r="850" spans="1:2" x14ac:dyDescent="0.35">
      <c r="A850" s="2" t="s">
        <v>2862</v>
      </c>
      <c r="B850" s="2" t="s">
        <v>2863</v>
      </c>
    </row>
    <row r="851" spans="1:2" x14ac:dyDescent="0.35">
      <c r="A851" s="2" t="s">
        <v>2864</v>
      </c>
      <c r="B851" s="2" t="s">
        <v>2865</v>
      </c>
    </row>
    <row r="852" spans="1:2" x14ac:dyDescent="0.35">
      <c r="A852" s="2" t="s">
        <v>2866</v>
      </c>
      <c r="B852" s="2" t="s">
        <v>2867</v>
      </c>
    </row>
    <row r="853" spans="1:2" x14ac:dyDescent="0.35">
      <c r="A853" s="2" t="s">
        <v>2868</v>
      </c>
      <c r="B853" s="2" t="s">
        <v>2869</v>
      </c>
    </row>
    <row r="854" spans="1:2" x14ac:dyDescent="0.35">
      <c r="A854" s="2" t="s">
        <v>2870</v>
      </c>
      <c r="B854" s="2" t="s">
        <v>2871</v>
      </c>
    </row>
    <row r="855" spans="1:2" x14ac:dyDescent="0.35">
      <c r="A855" s="2" t="s">
        <v>2872</v>
      </c>
      <c r="B855" s="2" t="s">
        <v>2873</v>
      </c>
    </row>
    <row r="856" spans="1:2" x14ac:dyDescent="0.35">
      <c r="A856" s="2" t="s">
        <v>2874</v>
      </c>
      <c r="B856" s="2" t="s">
        <v>2875</v>
      </c>
    </row>
    <row r="857" spans="1:2" x14ac:dyDescent="0.35">
      <c r="A857" s="2" t="s">
        <v>2876</v>
      </c>
      <c r="B857" s="2" t="s">
        <v>2877</v>
      </c>
    </row>
    <row r="858" spans="1:2" x14ac:dyDescent="0.35">
      <c r="A858" s="2" t="s">
        <v>2878</v>
      </c>
      <c r="B858" s="2" t="s">
        <v>2879</v>
      </c>
    </row>
    <row r="859" spans="1:2" x14ac:dyDescent="0.35">
      <c r="A859" s="2" t="s">
        <v>2880</v>
      </c>
      <c r="B859" s="2" t="s">
        <v>2881</v>
      </c>
    </row>
    <row r="860" spans="1:2" x14ac:dyDescent="0.35">
      <c r="A860" s="2" t="s">
        <v>2882</v>
      </c>
      <c r="B860" s="2" t="s">
        <v>2883</v>
      </c>
    </row>
    <row r="861" spans="1:2" x14ac:dyDescent="0.35">
      <c r="A861" s="2" t="s">
        <v>2884</v>
      </c>
      <c r="B861" s="2" t="s">
        <v>2885</v>
      </c>
    </row>
    <row r="862" spans="1:2" x14ac:dyDescent="0.35">
      <c r="A862" s="2" t="s">
        <v>2886</v>
      </c>
      <c r="B862" s="2" t="s">
        <v>2887</v>
      </c>
    </row>
    <row r="863" spans="1:2" x14ac:dyDescent="0.35">
      <c r="A863" s="2" t="s">
        <v>2888</v>
      </c>
      <c r="B863" s="2" t="s">
        <v>2889</v>
      </c>
    </row>
    <row r="864" spans="1:2" x14ac:dyDescent="0.35">
      <c r="A864" s="2" t="s">
        <v>2890</v>
      </c>
      <c r="B864" s="2" t="s">
        <v>2891</v>
      </c>
    </row>
    <row r="865" spans="1:2" x14ac:dyDescent="0.35">
      <c r="A865" s="2" t="s">
        <v>2892</v>
      </c>
      <c r="B865" s="2" t="s">
        <v>2893</v>
      </c>
    </row>
    <row r="866" spans="1:2" x14ac:dyDescent="0.35">
      <c r="A866" s="2" t="s">
        <v>2894</v>
      </c>
      <c r="B866" s="2" t="s">
        <v>2895</v>
      </c>
    </row>
    <row r="867" spans="1:2" x14ac:dyDescent="0.35">
      <c r="A867" s="2" t="s">
        <v>2896</v>
      </c>
      <c r="B867" s="2" t="s">
        <v>2897</v>
      </c>
    </row>
    <row r="868" spans="1:2" x14ac:dyDescent="0.35">
      <c r="A868" s="2" t="s">
        <v>2898</v>
      </c>
      <c r="B868" s="2" t="s">
        <v>2899</v>
      </c>
    </row>
    <row r="869" spans="1:2" x14ac:dyDescent="0.35">
      <c r="A869" s="2" t="s">
        <v>2900</v>
      </c>
      <c r="B869" s="2" t="s">
        <v>2901</v>
      </c>
    </row>
    <row r="870" spans="1:2" x14ac:dyDescent="0.35">
      <c r="A870" s="2" t="s">
        <v>2902</v>
      </c>
      <c r="B870" s="2" t="s">
        <v>2903</v>
      </c>
    </row>
    <row r="871" spans="1:2" x14ac:dyDescent="0.35">
      <c r="A871" s="2" t="s">
        <v>2904</v>
      </c>
      <c r="B871" s="2" t="s">
        <v>2905</v>
      </c>
    </row>
    <row r="872" spans="1:2" x14ac:dyDescent="0.35">
      <c r="A872" s="2" t="s">
        <v>2906</v>
      </c>
      <c r="B872" s="2" t="s">
        <v>2907</v>
      </c>
    </row>
    <row r="873" spans="1:2" x14ac:dyDescent="0.35">
      <c r="A873" s="2" t="s">
        <v>2908</v>
      </c>
      <c r="B873" s="2" t="s">
        <v>2909</v>
      </c>
    </row>
    <row r="874" spans="1:2" x14ac:dyDescent="0.35">
      <c r="A874" s="2" t="s">
        <v>2910</v>
      </c>
      <c r="B874" s="2" t="s">
        <v>2911</v>
      </c>
    </row>
    <row r="875" spans="1:2" x14ac:dyDescent="0.35">
      <c r="A875" s="2" t="s">
        <v>2912</v>
      </c>
      <c r="B875" s="2" t="s">
        <v>2913</v>
      </c>
    </row>
    <row r="876" spans="1:2" x14ac:dyDescent="0.35">
      <c r="A876" s="2" t="s">
        <v>2914</v>
      </c>
      <c r="B876" s="2" t="s">
        <v>2915</v>
      </c>
    </row>
    <row r="877" spans="1:2" x14ac:dyDescent="0.35">
      <c r="A877" s="2" t="s">
        <v>2916</v>
      </c>
      <c r="B877" s="2" t="s">
        <v>2917</v>
      </c>
    </row>
    <row r="878" spans="1:2" x14ac:dyDescent="0.35">
      <c r="A878" s="2" t="s">
        <v>2918</v>
      </c>
      <c r="B878" s="2" t="s">
        <v>2919</v>
      </c>
    </row>
    <row r="879" spans="1:2" x14ac:dyDescent="0.35">
      <c r="A879" s="2" t="s">
        <v>2920</v>
      </c>
      <c r="B879" s="2" t="s">
        <v>2921</v>
      </c>
    </row>
    <row r="880" spans="1:2" x14ac:dyDescent="0.35">
      <c r="A880" s="2" t="s">
        <v>2922</v>
      </c>
      <c r="B880" s="2" t="s">
        <v>2923</v>
      </c>
    </row>
    <row r="881" spans="1:2" x14ac:dyDescent="0.35">
      <c r="A881" s="2" t="s">
        <v>2924</v>
      </c>
      <c r="B881" s="2" t="s">
        <v>2925</v>
      </c>
    </row>
    <row r="882" spans="1:2" x14ac:dyDescent="0.35">
      <c r="A882" s="2" t="s">
        <v>2926</v>
      </c>
      <c r="B882" s="2" t="s">
        <v>2927</v>
      </c>
    </row>
    <row r="883" spans="1:2" x14ac:dyDescent="0.35">
      <c r="A883" s="2" t="s">
        <v>2928</v>
      </c>
      <c r="B883" s="2" t="s">
        <v>2929</v>
      </c>
    </row>
    <row r="884" spans="1:2" x14ac:dyDescent="0.35">
      <c r="A884" s="2" t="s">
        <v>2930</v>
      </c>
      <c r="B884" s="2" t="s">
        <v>2931</v>
      </c>
    </row>
    <row r="885" spans="1:2" x14ac:dyDescent="0.35">
      <c r="A885" s="2" t="s">
        <v>2932</v>
      </c>
      <c r="B885" s="2" t="s">
        <v>2933</v>
      </c>
    </row>
    <row r="886" spans="1:2" x14ac:dyDescent="0.35">
      <c r="A886" s="2" t="s">
        <v>2934</v>
      </c>
      <c r="B886" s="2" t="s">
        <v>2935</v>
      </c>
    </row>
    <row r="887" spans="1:2" x14ac:dyDescent="0.35">
      <c r="A887" s="2" t="s">
        <v>2936</v>
      </c>
      <c r="B887" s="2" t="s">
        <v>2937</v>
      </c>
    </row>
    <row r="888" spans="1:2" x14ac:dyDescent="0.35">
      <c r="A888" s="2" t="s">
        <v>2938</v>
      </c>
      <c r="B888" s="2" t="s">
        <v>2939</v>
      </c>
    </row>
    <row r="889" spans="1:2" x14ac:dyDescent="0.35">
      <c r="A889" s="2" t="s">
        <v>2940</v>
      </c>
      <c r="B889" s="2" t="s">
        <v>2941</v>
      </c>
    </row>
    <row r="890" spans="1:2" x14ac:dyDescent="0.35">
      <c r="A890" s="2" t="s">
        <v>2942</v>
      </c>
      <c r="B890" s="2" t="s">
        <v>2943</v>
      </c>
    </row>
    <row r="891" spans="1:2" x14ac:dyDescent="0.35">
      <c r="A891" s="2" t="s">
        <v>2944</v>
      </c>
      <c r="B891" s="2" t="s">
        <v>2945</v>
      </c>
    </row>
    <row r="892" spans="1:2" x14ac:dyDescent="0.35">
      <c r="A892" s="2" t="s">
        <v>2946</v>
      </c>
      <c r="B892" s="2" t="s">
        <v>2947</v>
      </c>
    </row>
    <row r="893" spans="1:2" x14ac:dyDescent="0.35">
      <c r="A893" s="2" t="s">
        <v>2948</v>
      </c>
      <c r="B893" s="2" t="s">
        <v>2949</v>
      </c>
    </row>
    <row r="894" spans="1:2" x14ac:dyDescent="0.35">
      <c r="A894" s="2" t="s">
        <v>2950</v>
      </c>
      <c r="B894" s="2" t="s">
        <v>2951</v>
      </c>
    </row>
    <row r="895" spans="1:2" x14ac:dyDescent="0.35">
      <c r="A895" s="2" t="s">
        <v>2952</v>
      </c>
      <c r="B895" s="2" t="s">
        <v>2953</v>
      </c>
    </row>
    <row r="896" spans="1:2" x14ac:dyDescent="0.35">
      <c r="A896" s="2" t="s">
        <v>2954</v>
      </c>
      <c r="B896" s="2" t="s">
        <v>2955</v>
      </c>
    </row>
    <row r="897" spans="1:2" x14ac:dyDescent="0.35">
      <c r="A897" s="2" t="s">
        <v>2956</v>
      </c>
      <c r="B897" s="2" t="s">
        <v>2957</v>
      </c>
    </row>
    <row r="898" spans="1:2" x14ac:dyDescent="0.35">
      <c r="A898" s="2" t="s">
        <v>2958</v>
      </c>
      <c r="B898" s="2" t="s">
        <v>2959</v>
      </c>
    </row>
    <row r="899" spans="1:2" x14ac:dyDescent="0.35">
      <c r="A899" s="2" t="s">
        <v>2960</v>
      </c>
      <c r="B899" s="2" t="s">
        <v>2961</v>
      </c>
    </row>
    <row r="900" spans="1:2" x14ac:dyDescent="0.35">
      <c r="A900" s="2" t="s">
        <v>2962</v>
      </c>
      <c r="B900" s="2" t="s">
        <v>2963</v>
      </c>
    </row>
    <row r="901" spans="1:2" x14ac:dyDescent="0.35">
      <c r="A901" s="2" t="s">
        <v>2964</v>
      </c>
      <c r="B901" s="2" t="s">
        <v>2965</v>
      </c>
    </row>
    <row r="902" spans="1:2" x14ac:dyDescent="0.35">
      <c r="A902" s="2" t="s">
        <v>2966</v>
      </c>
      <c r="B902" s="2" t="s">
        <v>2967</v>
      </c>
    </row>
    <row r="903" spans="1:2" x14ac:dyDescent="0.35">
      <c r="A903" s="2" t="s">
        <v>2968</v>
      </c>
      <c r="B903" s="2" t="s">
        <v>2969</v>
      </c>
    </row>
    <row r="904" spans="1:2" x14ac:dyDescent="0.35">
      <c r="A904" s="2" t="s">
        <v>2970</v>
      </c>
      <c r="B904" s="2" t="s">
        <v>2971</v>
      </c>
    </row>
    <row r="905" spans="1:2" x14ac:dyDescent="0.35">
      <c r="A905" s="2" t="s">
        <v>2972</v>
      </c>
      <c r="B905" s="2" t="s">
        <v>2973</v>
      </c>
    </row>
    <row r="906" spans="1:2" x14ac:dyDescent="0.35">
      <c r="A906" s="2" t="s">
        <v>2974</v>
      </c>
      <c r="B906" s="2" t="s">
        <v>2975</v>
      </c>
    </row>
    <row r="907" spans="1:2" x14ac:dyDescent="0.35">
      <c r="A907" s="2" t="s">
        <v>2976</v>
      </c>
      <c r="B907" s="2" t="s">
        <v>2977</v>
      </c>
    </row>
    <row r="908" spans="1:2" x14ac:dyDescent="0.35">
      <c r="A908" s="2" t="s">
        <v>2978</v>
      </c>
      <c r="B908" s="2" t="s">
        <v>2979</v>
      </c>
    </row>
    <row r="909" spans="1:2" x14ac:dyDescent="0.35">
      <c r="A909" s="2" t="s">
        <v>2980</v>
      </c>
      <c r="B909" s="2" t="s">
        <v>2981</v>
      </c>
    </row>
    <row r="910" spans="1:2" x14ac:dyDescent="0.35">
      <c r="A910" s="2" t="s">
        <v>2982</v>
      </c>
      <c r="B910" s="2" t="s">
        <v>2983</v>
      </c>
    </row>
    <row r="911" spans="1:2" x14ac:dyDescent="0.35">
      <c r="A911" s="2" t="s">
        <v>2984</v>
      </c>
      <c r="B911" s="2" t="s">
        <v>2985</v>
      </c>
    </row>
    <row r="912" spans="1:2" x14ac:dyDescent="0.35">
      <c r="A912" s="2" t="s">
        <v>2986</v>
      </c>
      <c r="B912" s="2" t="s">
        <v>2987</v>
      </c>
    </row>
    <row r="913" spans="1:2" x14ac:dyDescent="0.35">
      <c r="A913" s="2" t="s">
        <v>2988</v>
      </c>
      <c r="B913" s="2" t="s">
        <v>2989</v>
      </c>
    </row>
    <row r="914" spans="1:2" x14ac:dyDescent="0.35">
      <c r="A914" s="2" t="s">
        <v>2990</v>
      </c>
      <c r="B914" s="2" t="s">
        <v>2991</v>
      </c>
    </row>
    <row r="915" spans="1:2" x14ac:dyDescent="0.35">
      <c r="A915" s="2" t="s">
        <v>2992</v>
      </c>
      <c r="B915" s="2" t="s">
        <v>2993</v>
      </c>
    </row>
    <row r="916" spans="1:2" x14ac:dyDescent="0.35">
      <c r="A916" s="2" t="s">
        <v>2994</v>
      </c>
      <c r="B916" s="2" t="s">
        <v>2995</v>
      </c>
    </row>
    <row r="917" spans="1:2" x14ac:dyDescent="0.35">
      <c r="A917" s="2" t="s">
        <v>2996</v>
      </c>
      <c r="B917" s="2" t="s">
        <v>2997</v>
      </c>
    </row>
    <row r="918" spans="1:2" x14ac:dyDescent="0.35">
      <c r="A918" s="2" t="s">
        <v>2998</v>
      </c>
      <c r="B918" s="2" t="s">
        <v>2999</v>
      </c>
    </row>
    <row r="919" spans="1:2" x14ac:dyDescent="0.35">
      <c r="A919" s="2" t="s">
        <v>3000</v>
      </c>
      <c r="B919" s="2" t="s">
        <v>3001</v>
      </c>
    </row>
    <row r="920" spans="1:2" x14ac:dyDescent="0.35">
      <c r="A920" s="2" t="s">
        <v>3002</v>
      </c>
      <c r="B920" s="2" t="s">
        <v>3003</v>
      </c>
    </row>
    <row r="921" spans="1:2" x14ac:dyDescent="0.35">
      <c r="A921" s="2" t="s">
        <v>3004</v>
      </c>
      <c r="B921" s="2" t="s">
        <v>3005</v>
      </c>
    </row>
    <row r="922" spans="1:2" x14ac:dyDescent="0.35">
      <c r="A922" s="2" t="s">
        <v>3006</v>
      </c>
      <c r="B922" s="2" t="s">
        <v>3007</v>
      </c>
    </row>
    <row r="923" spans="1:2" x14ac:dyDescent="0.35">
      <c r="A923" s="2" t="s">
        <v>3008</v>
      </c>
      <c r="B923" s="2" t="s">
        <v>3009</v>
      </c>
    </row>
    <row r="924" spans="1:2" x14ac:dyDescent="0.35">
      <c r="A924" s="2" t="s">
        <v>3010</v>
      </c>
      <c r="B924" s="2" t="s">
        <v>3011</v>
      </c>
    </row>
    <row r="925" spans="1:2" x14ac:dyDescent="0.35">
      <c r="A925" s="2" t="s">
        <v>3012</v>
      </c>
      <c r="B925" s="2" t="s">
        <v>3013</v>
      </c>
    </row>
    <row r="926" spans="1:2" x14ac:dyDescent="0.35">
      <c r="A926" s="2" t="s">
        <v>3014</v>
      </c>
      <c r="B926" s="2" t="s">
        <v>3015</v>
      </c>
    </row>
    <row r="927" spans="1:2" x14ac:dyDescent="0.35">
      <c r="A927" s="2" t="s">
        <v>3016</v>
      </c>
      <c r="B927" s="2" t="s">
        <v>3017</v>
      </c>
    </row>
    <row r="928" spans="1:2" x14ac:dyDescent="0.35">
      <c r="A928" s="2" t="s">
        <v>3018</v>
      </c>
      <c r="B928" s="2" t="s">
        <v>3019</v>
      </c>
    </row>
    <row r="929" spans="1:2" x14ac:dyDescent="0.35">
      <c r="A929" s="2" t="s">
        <v>3020</v>
      </c>
      <c r="B929" s="2" t="s">
        <v>3021</v>
      </c>
    </row>
    <row r="930" spans="1:2" x14ac:dyDescent="0.35">
      <c r="A930" s="2" t="s">
        <v>3022</v>
      </c>
      <c r="B930" s="2" t="s">
        <v>3023</v>
      </c>
    </row>
    <row r="931" spans="1:2" x14ac:dyDescent="0.35">
      <c r="A931" s="2" t="s">
        <v>3024</v>
      </c>
      <c r="B931" s="2" t="s">
        <v>3025</v>
      </c>
    </row>
    <row r="932" spans="1:2" x14ac:dyDescent="0.35">
      <c r="A932" s="2" t="s">
        <v>3026</v>
      </c>
      <c r="B932" s="2" t="s">
        <v>3027</v>
      </c>
    </row>
    <row r="933" spans="1:2" x14ac:dyDescent="0.35">
      <c r="A933" s="2" t="s">
        <v>3028</v>
      </c>
      <c r="B933" s="2" t="s">
        <v>3029</v>
      </c>
    </row>
    <row r="934" spans="1:2" x14ac:dyDescent="0.35">
      <c r="A934" s="2" t="s">
        <v>3030</v>
      </c>
      <c r="B934" s="2" t="s">
        <v>3031</v>
      </c>
    </row>
    <row r="935" spans="1:2" x14ac:dyDescent="0.35">
      <c r="A935" s="2" t="s">
        <v>3032</v>
      </c>
      <c r="B935" s="2" t="s">
        <v>3033</v>
      </c>
    </row>
    <row r="936" spans="1:2" x14ac:dyDescent="0.35">
      <c r="A936" s="2" t="s">
        <v>3034</v>
      </c>
      <c r="B936" s="2" t="s">
        <v>3035</v>
      </c>
    </row>
    <row r="937" spans="1:2" x14ac:dyDescent="0.35">
      <c r="A937" s="2" t="s">
        <v>3036</v>
      </c>
      <c r="B937" s="2" t="s">
        <v>3037</v>
      </c>
    </row>
    <row r="938" spans="1:2" x14ac:dyDescent="0.35">
      <c r="A938" s="2" t="s">
        <v>3038</v>
      </c>
      <c r="B938" s="2" t="s">
        <v>3039</v>
      </c>
    </row>
    <row r="939" spans="1:2" x14ac:dyDescent="0.35">
      <c r="A939" s="2" t="s">
        <v>3040</v>
      </c>
      <c r="B939" s="2" t="s">
        <v>3041</v>
      </c>
    </row>
    <row r="940" spans="1:2" x14ac:dyDescent="0.35">
      <c r="A940" s="2" t="s">
        <v>3042</v>
      </c>
      <c r="B940" s="2" t="s">
        <v>3043</v>
      </c>
    </row>
    <row r="941" spans="1:2" x14ac:dyDescent="0.35">
      <c r="A941" s="2" t="s">
        <v>3044</v>
      </c>
      <c r="B941" s="2" t="s">
        <v>3045</v>
      </c>
    </row>
    <row r="942" spans="1:2" x14ac:dyDescent="0.35">
      <c r="A942" s="2" t="s">
        <v>3046</v>
      </c>
      <c r="B942" s="2" t="s">
        <v>3047</v>
      </c>
    </row>
    <row r="943" spans="1:2" x14ac:dyDescent="0.35">
      <c r="A943" s="2" t="s">
        <v>3048</v>
      </c>
      <c r="B943" s="2" t="s">
        <v>3049</v>
      </c>
    </row>
    <row r="944" spans="1:2" x14ac:dyDescent="0.35">
      <c r="A944" s="2" t="s">
        <v>3050</v>
      </c>
      <c r="B944" s="2" t="s">
        <v>3051</v>
      </c>
    </row>
    <row r="945" spans="1:2" x14ac:dyDescent="0.35">
      <c r="A945" s="2" t="s">
        <v>3052</v>
      </c>
      <c r="B945" s="2" t="s">
        <v>3053</v>
      </c>
    </row>
    <row r="946" spans="1:2" x14ac:dyDescent="0.35">
      <c r="A946" s="2" t="s">
        <v>3054</v>
      </c>
      <c r="B946" s="2" t="s">
        <v>3055</v>
      </c>
    </row>
    <row r="947" spans="1:2" x14ac:dyDescent="0.35">
      <c r="A947" s="2" t="s">
        <v>3056</v>
      </c>
      <c r="B947" s="2" t="s">
        <v>3057</v>
      </c>
    </row>
    <row r="948" spans="1:2" x14ac:dyDescent="0.35">
      <c r="A948" s="2" t="s">
        <v>3058</v>
      </c>
      <c r="B948" s="2" t="s">
        <v>3059</v>
      </c>
    </row>
    <row r="949" spans="1:2" x14ac:dyDescent="0.35">
      <c r="A949" s="2" t="s">
        <v>3060</v>
      </c>
      <c r="B949" s="2" t="s">
        <v>3061</v>
      </c>
    </row>
    <row r="950" spans="1:2" x14ac:dyDescent="0.35">
      <c r="A950" s="2" t="s">
        <v>3062</v>
      </c>
      <c r="B950" s="2" t="s">
        <v>3063</v>
      </c>
    </row>
    <row r="951" spans="1:2" x14ac:dyDescent="0.35">
      <c r="A951" s="2" t="s">
        <v>3064</v>
      </c>
      <c r="B951" s="2" t="s">
        <v>3065</v>
      </c>
    </row>
    <row r="952" spans="1:2" x14ac:dyDescent="0.35">
      <c r="A952" s="2" t="s">
        <v>3066</v>
      </c>
      <c r="B952" s="2" t="s">
        <v>3067</v>
      </c>
    </row>
    <row r="953" spans="1:2" x14ac:dyDescent="0.35">
      <c r="A953" s="2" t="s">
        <v>3068</v>
      </c>
      <c r="B953" s="2" t="s">
        <v>3069</v>
      </c>
    </row>
    <row r="954" spans="1:2" x14ac:dyDescent="0.35">
      <c r="A954" s="2" t="s">
        <v>3070</v>
      </c>
      <c r="B954" s="2" t="s">
        <v>3071</v>
      </c>
    </row>
    <row r="955" spans="1:2" x14ac:dyDescent="0.35">
      <c r="A955" s="2" t="s">
        <v>3072</v>
      </c>
      <c r="B955" s="2" t="s">
        <v>3073</v>
      </c>
    </row>
    <row r="956" spans="1:2" x14ac:dyDescent="0.35">
      <c r="A956" s="2" t="s">
        <v>3074</v>
      </c>
      <c r="B956" s="2" t="s">
        <v>3075</v>
      </c>
    </row>
    <row r="957" spans="1:2" x14ac:dyDescent="0.35">
      <c r="A957" s="2" t="s">
        <v>3076</v>
      </c>
      <c r="B957" s="2" t="s">
        <v>3077</v>
      </c>
    </row>
    <row r="958" spans="1:2" x14ac:dyDescent="0.35">
      <c r="A958" s="2" t="s">
        <v>3078</v>
      </c>
      <c r="B958" s="2" t="s">
        <v>3079</v>
      </c>
    </row>
    <row r="959" spans="1:2" x14ac:dyDescent="0.35">
      <c r="A959" s="2" t="s">
        <v>3080</v>
      </c>
      <c r="B959" s="2" t="s">
        <v>3081</v>
      </c>
    </row>
    <row r="960" spans="1:2" x14ac:dyDescent="0.35">
      <c r="A960" s="2" t="s">
        <v>3082</v>
      </c>
      <c r="B960" s="2" t="s">
        <v>3083</v>
      </c>
    </row>
    <row r="961" spans="1:2" x14ac:dyDescent="0.35">
      <c r="A961" s="2" t="s">
        <v>3084</v>
      </c>
      <c r="B961" s="2" t="s">
        <v>3085</v>
      </c>
    </row>
    <row r="962" spans="1:2" x14ac:dyDescent="0.35">
      <c r="A962" s="2" t="s">
        <v>3086</v>
      </c>
      <c r="B962" s="2" t="s">
        <v>3087</v>
      </c>
    </row>
    <row r="963" spans="1:2" x14ac:dyDescent="0.35">
      <c r="A963" s="2" t="s">
        <v>3088</v>
      </c>
      <c r="B963" s="2" t="s">
        <v>3089</v>
      </c>
    </row>
    <row r="964" spans="1:2" x14ac:dyDescent="0.35">
      <c r="A964" s="2" t="s">
        <v>3090</v>
      </c>
      <c r="B964" s="2" t="s">
        <v>3091</v>
      </c>
    </row>
    <row r="965" spans="1:2" x14ac:dyDescent="0.35">
      <c r="A965" s="2" t="s">
        <v>3092</v>
      </c>
      <c r="B965" s="2" t="s">
        <v>3093</v>
      </c>
    </row>
    <row r="966" spans="1:2" x14ac:dyDescent="0.35">
      <c r="A966" s="2" t="s">
        <v>3094</v>
      </c>
      <c r="B966" s="2" t="s">
        <v>3095</v>
      </c>
    </row>
    <row r="967" spans="1:2" x14ac:dyDescent="0.35">
      <c r="A967" s="2" t="s">
        <v>3096</v>
      </c>
      <c r="B967" s="2" t="s">
        <v>3097</v>
      </c>
    </row>
    <row r="968" spans="1:2" x14ac:dyDescent="0.35">
      <c r="A968" s="2" t="s">
        <v>3098</v>
      </c>
      <c r="B968" s="2" t="s">
        <v>3099</v>
      </c>
    </row>
    <row r="969" spans="1:2" x14ac:dyDescent="0.35">
      <c r="A969" s="2" t="s">
        <v>3100</v>
      </c>
      <c r="B969" s="2" t="s">
        <v>3101</v>
      </c>
    </row>
    <row r="970" spans="1:2" x14ac:dyDescent="0.35">
      <c r="A970" s="2" t="s">
        <v>3102</v>
      </c>
      <c r="B970" s="2" t="s">
        <v>3103</v>
      </c>
    </row>
    <row r="971" spans="1:2" x14ac:dyDescent="0.35">
      <c r="A971" s="2" t="s">
        <v>3104</v>
      </c>
      <c r="B971" s="2" t="s">
        <v>3105</v>
      </c>
    </row>
    <row r="972" spans="1:2" x14ac:dyDescent="0.35">
      <c r="A972" s="2" t="s">
        <v>3106</v>
      </c>
      <c r="B972" s="2" t="s">
        <v>3107</v>
      </c>
    </row>
    <row r="973" spans="1:2" x14ac:dyDescent="0.35">
      <c r="A973" s="2" t="s">
        <v>3108</v>
      </c>
      <c r="B973" s="2" t="s">
        <v>3109</v>
      </c>
    </row>
    <row r="974" spans="1:2" x14ac:dyDescent="0.35">
      <c r="A974" s="2" t="s">
        <v>3110</v>
      </c>
      <c r="B974" s="2" t="s">
        <v>3111</v>
      </c>
    </row>
    <row r="975" spans="1:2" x14ac:dyDescent="0.35">
      <c r="A975" s="2" t="s">
        <v>3112</v>
      </c>
      <c r="B975" s="2" t="s">
        <v>3113</v>
      </c>
    </row>
    <row r="976" spans="1:2" x14ac:dyDescent="0.35">
      <c r="A976" s="2" t="s">
        <v>3114</v>
      </c>
      <c r="B976" s="2" t="s">
        <v>3115</v>
      </c>
    </row>
    <row r="977" spans="1:2" x14ac:dyDescent="0.35">
      <c r="A977" s="2" t="s">
        <v>3116</v>
      </c>
      <c r="B977" s="2" t="s">
        <v>3117</v>
      </c>
    </row>
    <row r="978" spans="1:2" x14ac:dyDescent="0.35">
      <c r="A978" s="2" t="s">
        <v>3118</v>
      </c>
      <c r="B978" s="2" t="s">
        <v>3119</v>
      </c>
    </row>
    <row r="979" spans="1:2" x14ac:dyDescent="0.35">
      <c r="A979" s="2" t="s">
        <v>3120</v>
      </c>
      <c r="B979" s="2" t="s">
        <v>3121</v>
      </c>
    </row>
    <row r="980" spans="1:2" x14ac:dyDescent="0.35">
      <c r="A980" s="2" t="s">
        <v>3122</v>
      </c>
      <c r="B980" s="2" t="s">
        <v>3123</v>
      </c>
    </row>
    <row r="981" spans="1:2" x14ac:dyDescent="0.35">
      <c r="A981" s="2" t="s">
        <v>3124</v>
      </c>
      <c r="B981" s="2" t="s">
        <v>3125</v>
      </c>
    </row>
    <row r="982" spans="1:2" x14ac:dyDescent="0.35">
      <c r="A982" s="2" t="s">
        <v>3126</v>
      </c>
      <c r="B982" s="2" t="s">
        <v>3127</v>
      </c>
    </row>
    <row r="983" spans="1:2" x14ac:dyDescent="0.35">
      <c r="A983" s="2" t="s">
        <v>3128</v>
      </c>
      <c r="B983" s="2" t="s">
        <v>3129</v>
      </c>
    </row>
    <row r="984" spans="1:2" x14ac:dyDescent="0.35">
      <c r="A984" s="2" t="s">
        <v>3130</v>
      </c>
      <c r="B984" s="2" t="s">
        <v>3131</v>
      </c>
    </row>
    <row r="985" spans="1:2" x14ac:dyDescent="0.35">
      <c r="A985" s="2" t="s">
        <v>3132</v>
      </c>
      <c r="B985" s="2" t="s">
        <v>3133</v>
      </c>
    </row>
    <row r="986" spans="1:2" x14ac:dyDescent="0.35">
      <c r="A986" s="2" t="s">
        <v>3134</v>
      </c>
      <c r="B986" s="2" t="s">
        <v>3135</v>
      </c>
    </row>
    <row r="987" spans="1:2" x14ac:dyDescent="0.35">
      <c r="A987" s="2" t="s">
        <v>3136</v>
      </c>
      <c r="B987" s="2" t="s">
        <v>3137</v>
      </c>
    </row>
    <row r="988" spans="1:2" x14ac:dyDescent="0.35">
      <c r="A988" s="2" t="s">
        <v>3138</v>
      </c>
      <c r="B988" s="2" t="s">
        <v>3139</v>
      </c>
    </row>
    <row r="989" spans="1:2" x14ac:dyDescent="0.35">
      <c r="A989" s="2" t="s">
        <v>3140</v>
      </c>
      <c r="B989" s="2" t="s">
        <v>3141</v>
      </c>
    </row>
    <row r="990" spans="1:2" x14ac:dyDescent="0.35">
      <c r="A990" s="2" t="s">
        <v>3142</v>
      </c>
      <c r="B990" s="2" t="s">
        <v>3143</v>
      </c>
    </row>
    <row r="991" spans="1:2" x14ac:dyDescent="0.35">
      <c r="A991" s="2" t="s">
        <v>3144</v>
      </c>
      <c r="B991" s="2" t="s">
        <v>3145</v>
      </c>
    </row>
    <row r="992" spans="1:2" x14ac:dyDescent="0.35">
      <c r="A992" s="2" t="s">
        <v>3146</v>
      </c>
      <c r="B992" s="2" t="s">
        <v>3147</v>
      </c>
    </row>
    <row r="993" spans="1:2" x14ac:dyDescent="0.35">
      <c r="A993" s="2" t="s">
        <v>3148</v>
      </c>
      <c r="B993" s="2" t="s">
        <v>3149</v>
      </c>
    </row>
    <row r="994" spans="1:2" x14ac:dyDescent="0.35">
      <c r="A994" s="2" t="s">
        <v>3150</v>
      </c>
      <c r="B994" s="2" t="s">
        <v>3151</v>
      </c>
    </row>
    <row r="995" spans="1:2" x14ac:dyDescent="0.35">
      <c r="A995" s="2" t="s">
        <v>3152</v>
      </c>
      <c r="B995" s="2" t="s">
        <v>3153</v>
      </c>
    </row>
    <row r="996" spans="1:2" x14ac:dyDescent="0.35">
      <c r="A996" s="2" t="s">
        <v>3154</v>
      </c>
      <c r="B996" s="2" t="s">
        <v>3155</v>
      </c>
    </row>
    <row r="997" spans="1:2" x14ac:dyDescent="0.35">
      <c r="A997" s="2" t="s">
        <v>3156</v>
      </c>
      <c r="B997" s="2" t="s">
        <v>3157</v>
      </c>
    </row>
    <row r="998" spans="1:2" x14ac:dyDescent="0.35">
      <c r="A998" s="2" t="s">
        <v>3158</v>
      </c>
      <c r="B998" s="2" t="s">
        <v>3159</v>
      </c>
    </row>
    <row r="999" spans="1:2" x14ac:dyDescent="0.35">
      <c r="A999" s="2" t="s">
        <v>3160</v>
      </c>
      <c r="B999" s="2" t="s">
        <v>3161</v>
      </c>
    </row>
    <row r="1000" spans="1:2" x14ac:dyDescent="0.35">
      <c r="A1000" s="2" t="s">
        <v>3162</v>
      </c>
      <c r="B1000" s="2" t="s">
        <v>3163</v>
      </c>
    </row>
    <row r="1001" spans="1:2" x14ac:dyDescent="0.35">
      <c r="A1001" s="2" t="s">
        <v>3164</v>
      </c>
      <c r="B1001" s="2" t="s">
        <v>3165</v>
      </c>
    </row>
    <row r="1002" spans="1:2" x14ac:dyDescent="0.35">
      <c r="A1002" s="2" t="s">
        <v>3166</v>
      </c>
      <c r="B1002" s="2" t="s">
        <v>3167</v>
      </c>
    </row>
    <row r="1003" spans="1:2" x14ac:dyDescent="0.35">
      <c r="A1003" s="2" t="s">
        <v>3168</v>
      </c>
      <c r="B1003" s="2" t="s">
        <v>3169</v>
      </c>
    </row>
    <row r="1004" spans="1:2" x14ac:dyDescent="0.35">
      <c r="A1004" s="2" t="s">
        <v>3170</v>
      </c>
      <c r="B1004" s="2" t="s">
        <v>3171</v>
      </c>
    </row>
    <row r="1005" spans="1:2" x14ac:dyDescent="0.35">
      <c r="A1005" s="2" t="s">
        <v>3172</v>
      </c>
      <c r="B1005" s="2" t="s">
        <v>3173</v>
      </c>
    </row>
    <row r="1006" spans="1:2" x14ac:dyDescent="0.35">
      <c r="A1006" s="2" t="s">
        <v>3174</v>
      </c>
      <c r="B1006" s="2" t="s">
        <v>3175</v>
      </c>
    </row>
    <row r="1007" spans="1:2" x14ac:dyDescent="0.35">
      <c r="A1007" s="2" t="s">
        <v>3176</v>
      </c>
      <c r="B1007" s="2" t="s">
        <v>3177</v>
      </c>
    </row>
    <row r="1008" spans="1:2" x14ac:dyDescent="0.35">
      <c r="A1008" s="2" t="s">
        <v>3178</v>
      </c>
      <c r="B1008" s="2" t="s">
        <v>3179</v>
      </c>
    </row>
    <row r="1009" spans="1:2" x14ac:dyDescent="0.35">
      <c r="A1009" s="2" t="s">
        <v>3180</v>
      </c>
      <c r="B1009" s="2" t="s">
        <v>3181</v>
      </c>
    </row>
    <row r="1010" spans="1:2" x14ac:dyDescent="0.35">
      <c r="A1010" s="2" t="s">
        <v>3182</v>
      </c>
      <c r="B1010" s="2" t="s">
        <v>3183</v>
      </c>
    </row>
    <row r="1011" spans="1:2" x14ac:dyDescent="0.35">
      <c r="A1011" s="2" t="s">
        <v>3184</v>
      </c>
      <c r="B1011" s="2" t="s">
        <v>3185</v>
      </c>
    </row>
    <row r="1012" spans="1:2" x14ac:dyDescent="0.35">
      <c r="A1012" s="2" t="s">
        <v>3186</v>
      </c>
      <c r="B1012" s="2" t="s">
        <v>3187</v>
      </c>
    </row>
    <row r="1013" spans="1:2" x14ac:dyDescent="0.35">
      <c r="A1013" s="2" t="s">
        <v>3188</v>
      </c>
      <c r="B1013" s="2" t="s">
        <v>3189</v>
      </c>
    </row>
    <row r="1014" spans="1:2" x14ac:dyDescent="0.35">
      <c r="A1014" s="2" t="s">
        <v>3190</v>
      </c>
      <c r="B1014" s="2" t="s">
        <v>3191</v>
      </c>
    </row>
    <row r="1015" spans="1:2" x14ac:dyDescent="0.35">
      <c r="A1015" s="2" t="s">
        <v>3192</v>
      </c>
      <c r="B1015" s="2" t="s">
        <v>3193</v>
      </c>
    </row>
    <row r="1016" spans="1:2" x14ac:dyDescent="0.35">
      <c r="A1016" s="2" t="s">
        <v>3194</v>
      </c>
      <c r="B1016" s="2" t="s">
        <v>3195</v>
      </c>
    </row>
  </sheetData>
  <autoFilter ref="A10:B10" xr:uid="{9DB79A32-2B28-4321-90CD-5BEDD23C2BC5}"/>
  <mergeCells count="1">
    <mergeCell ref="A1:B1"/>
  </mergeCells>
  <conditionalFormatting sqref="A11:B1016">
    <cfRule type="expression" dxfId="13" priority="1">
      <formula>MOD(ROW(),2)=1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AEDA-02CB-4BE8-950C-F071D0FB3084}">
  <dimension ref="A1:B881"/>
  <sheetViews>
    <sheetView showGridLines="0" topLeftCell="B1" workbookViewId="0">
      <pane ySplit="10" topLeftCell="A11" activePane="bottomLeft" state="frozen"/>
      <selection pane="bottomLeft" activeCell="M35" sqref="M35"/>
    </sheetView>
  </sheetViews>
  <sheetFormatPr baseColWidth="10" defaultColWidth="11.54296875" defaultRowHeight="14.5" x14ac:dyDescent="0.35"/>
  <cols>
    <col min="1" max="1" width="26.54296875" style="1" bestFit="1" customWidth="1"/>
    <col min="2" max="2" width="18.36328125" style="1" bestFit="1" customWidth="1"/>
    <col min="3" max="16384" width="11.54296875" style="1"/>
  </cols>
  <sheetData>
    <row r="1" spans="1:2" ht="18.5" x14ac:dyDescent="0.45">
      <c r="A1" s="82" t="s">
        <v>3376</v>
      </c>
      <c r="B1" s="82"/>
    </row>
    <row r="2" spans="1:2" x14ac:dyDescent="0.35">
      <c r="A2"/>
      <c r="B2"/>
    </row>
    <row r="3" spans="1:2" x14ac:dyDescent="0.35">
      <c r="A3" s="29" t="s">
        <v>1172</v>
      </c>
      <c r="B3" s="32">
        <v>871</v>
      </c>
    </row>
    <row r="4" spans="1:2" x14ac:dyDescent="0.35">
      <c r="A4" s="30" t="s">
        <v>3377</v>
      </c>
      <c r="B4" s="33">
        <v>871</v>
      </c>
    </row>
    <row r="5" spans="1:2" x14ac:dyDescent="0.35">
      <c r="A5" s="30" t="s">
        <v>3378</v>
      </c>
      <c r="B5" s="33">
        <v>168</v>
      </c>
    </row>
    <row r="6" spans="1:2" x14ac:dyDescent="0.35">
      <c r="A6" s="30" t="s">
        <v>3379</v>
      </c>
      <c r="B6" s="34">
        <f>COUNTA(B11:B881)/COUNTA(A11:A881)</f>
        <v>0.80711825487944888</v>
      </c>
    </row>
    <row r="7" spans="1:2" x14ac:dyDescent="0.35">
      <c r="A7" s="30" t="s">
        <v>3380</v>
      </c>
      <c r="B7" s="33" t="s">
        <v>258</v>
      </c>
    </row>
    <row r="8" spans="1:2" x14ac:dyDescent="0.35">
      <c r="A8" s="31" t="s">
        <v>3381</v>
      </c>
      <c r="B8" s="35" t="s">
        <v>3382</v>
      </c>
    </row>
    <row r="9" spans="1:2" x14ac:dyDescent="0.35">
      <c r="A9"/>
      <c r="B9"/>
    </row>
    <row r="10" spans="1:2" x14ac:dyDescent="0.35">
      <c r="A10" s="14" t="s">
        <v>1185</v>
      </c>
      <c r="B10" s="14" t="s">
        <v>1150</v>
      </c>
    </row>
    <row r="11" spans="1:2" x14ac:dyDescent="0.35">
      <c r="A11" s="1">
        <v>4000005</v>
      </c>
      <c r="B11" s="1" t="s">
        <v>258</v>
      </c>
    </row>
    <row r="12" spans="1:2" x14ac:dyDescent="0.35">
      <c r="A12" s="1">
        <v>4000009</v>
      </c>
      <c r="B12" s="3"/>
    </row>
    <row r="13" spans="1:2" x14ac:dyDescent="0.35">
      <c r="A13" s="1">
        <v>4000014</v>
      </c>
      <c r="B13" s="1" t="s">
        <v>258</v>
      </c>
    </row>
    <row r="14" spans="1:2" x14ac:dyDescent="0.35">
      <c r="A14" s="1">
        <v>4000023</v>
      </c>
      <c r="B14" s="3"/>
    </row>
    <row r="15" spans="1:2" x14ac:dyDescent="0.35">
      <c r="A15" s="1">
        <v>4000024</v>
      </c>
      <c r="B15" s="3"/>
    </row>
    <row r="16" spans="1:2" x14ac:dyDescent="0.35">
      <c r="A16" s="1">
        <v>4000027</v>
      </c>
      <c r="B16" s="1" t="s">
        <v>258</v>
      </c>
    </row>
    <row r="17" spans="1:2" x14ac:dyDescent="0.35">
      <c r="A17" s="1">
        <v>4000060</v>
      </c>
      <c r="B17" s="1" t="s">
        <v>258</v>
      </c>
    </row>
    <row r="18" spans="1:2" x14ac:dyDescent="0.35">
      <c r="A18" s="1">
        <v>4000061</v>
      </c>
      <c r="B18" s="1" t="s">
        <v>289</v>
      </c>
    </row>
    <row r="19" spans="1:2" x14ac:dyDescent="0.35">
      <c r="A19" s="1">
        <v>4000062</v>
      </c>
      <c r="B19" s="1" t="s">
        <v>258</v>
      </c>
    </row>
    <row r="20" spans="1:2" x14ac:dyDescent="0.35">
      <c r="A20" s="1">
        <v>4000063</v>
      </c>
      <c r="B20" s="1" t="s">
        <v>271</v>
      </c>
    </row>
    <row r="21" spans="1:2" x14ac:dyDescent="0.35">
      <c r="A21" s="1">
        <v>4000065</v>
      </c>
      <c r="B21" s="1" t="s">
        <v>271</v>
      </c>
    </row>
    <row r="22" spans="1:2" x14ac:dyDescent="0.35">
      <c r="A22" s="1">
        <v>4000066</v>
      </c>
      <c r="B22" s="1" t="s">
        <v>258</v>
      </c>
    </row>
    <row r="23" spans="1:2" x14ac:dyDescent="0.35">
      <c r="A23" s="1">
        <v>4000067</v>
      </c>
      <c r="B23" s="1" t="s">
        <v>258</v>
      </c>
    </row>
    <row r="24" spans="1:2" x14ac:dyDescent="0.35">
      <c r="A24" s="1">
        <v>4000069</v>
      </c>
      <c r="B24" s="1" t="s">
        <v>289</v>
      </c>
    </row>
    <row r="25" spans="1:2" x14ac:dyDescent="0.35">
      <c r="A25" s="1">
        <v>4000072</v>
      </c>
      <c r="B25" s="1" t="s">
        <v>258</v>
      </c>
    </row>
    <row r="26" spans="1:2" x14ac:dyDescent="0.35">
      <c r="A26" s="1">
        <v>4000077</v>
      </c>
      <c r="B26" s="1" t="s">
        <v>258</v>
      </c>
    </row>
    <row r="27" spans="1:2" x14ac:dyDescent="0.35">
      <c r="A27" s="1">
        <v>4000078</v>
      </c>
      <c r="B27" s="1" t="s">
        <v>258</v>
      </c>
    </row>
    <row r="28" spans="1:2" x14ac:dyDescent="0.35">
      <c r="A28" s="1">
        <v>4000084</v>
      </c>
      <c r="B28" s="1" t="s">
        <v>258</v>
      </c>
    </row>
    <row r="29" spans="1:2" x14ac:dyDescent="0.35">
      <c r="A29" s="1">
        <v>4000090</v>
      </c>
      <c r="B29" s="1" t="s">
        <v>258</v>
      </c>
    </row>
    <row r="30" spans="1:2" x14ac:dyDescent="0.35">
      <c r="A30" s="1">
        <v>4000094</v>
      </c>
      <c r="B30" s="1" t="s">
        <v>258</v>
      </c>
    </row>
    <row r="31" spans="1:2" x14ac:dyDescent="0.35">
      <c r="A31" s="1">
        <v>4000108</v>
      </c>
      <c r="B31" s="1" t="s">
        <v>258</v>
      </c>
    </row>
    <row r="32" spans="1:2" x14ac:dyDescent="0.35">
      <c r="A32" s="1">
        <v>4000273</v>
      </c>
      <c r="B32" s="1" t="s">
        <v>289</v>
      </c>
    </row>
    <row r="33" spans="1:2" x14ac:dyDescent="0.35">
      <c r="A33" s="1">
        <v>4000274</v>
      </c>
      <c r="B33" s="1" t="s">
        <v>271</v>
      </c>
    </row>
    <row r="34" spans="1:2" x14ac:dyDescent="0.35">
      <c r="A34" s="1">
        <v>4000275</v>
      </c>
      <c r="B34" s="1" t="s">
        <v>258</v>
      </c>
    </row>
    <row r="35" spans="1:2" x14ac:dyDescent="0.35">
      <c r="A35" s="1">
        <v>4000276</v>
      </c>
      <c r="B35" s="1" t="s">
        <v>258</v>
      </c>
    </row>
    <row r="36" spans="1:2" x14ac:dyDescent="0.35">
      <c r="A36" s="1">
        <v>4000279</v>
      </c>
      <c r="B36" s="1" t="s">
        <v>258</v>
      </c>
    </row>
    <row r="37" spans="1:2" x14ac:dyDescent="0.35">
      <c r="A37" s="1">
        <v>4000280</v>
      </c>
      <c r="B37" s="1" t="s">
        <v>258</v>
      </c>
    </row>
    <row r="38" spans="1:2" x14ac:dyDescent="0.35">
      <c r="A38" s="1">
        <v>4000286</v>
      </c>
      <c r="B38" s="1" t="s">
        <v>289</v>
      </c>
    </row>
    <row r="39" spans="1:2" x14ac:dyDescent="0.35">
      <c r="A39" s="1">
        <v>4000287</v>
      </c>
      <c r="B39" s="1" t="s">
        <v>289</v>
      </c>
    </row>
    <row r="40" spans="1:2" x14ac:dyDescent="0.35">
      <c r="A40" s="1">
        <v>4000288</v>
      </c>
      <c r="B40" s="1" t="s">
        <v>289</v>
      </c>
    </row>
    <row r="41" spans="1:2" x14ac:dyDescent="0.35">
      <c r="A41" s="1">
        <v>4000290</v>
      </c>
      <c r="B41" s="1" t="s">
        <v>258</v>
      </c>
    </row>
    <row r="42" spans="1:2" x14ac:dyDescent="0.35">
      <c r="A42" s="1">
        <v>4000291</v>
      </c>
      <c r="B42" s="1" t="s">
        <v>258</v>
      </c>
    </row>
    <row r="43" spans="1:2" x14ac:dyDescent="0.35">
      <c r="A43" s="1">
        <v>4000310</v>
      </c>
      <c r="B43" s="1" t="s">
        <v>258</v>
      </c>
    </row>
    <row r="44" spans="1:2" x14ac:dyDescent="0.35">
      <c r="A44" s="1">
        <v>4000311</v>
      </c>
      <c r="B44" s="1" t="s">
        <v>258</v>
      </c>
    </row>
    <row r="45" spans="1:2" x14ac:dyDescent="0.35">
      <c r="A45" s="1">
        <v>4000312</v>
      </c>
      <c r="B45" s="1" t="s">
        <v>258</v>
      </c>
    </row>
    <row r="46" spans="1:2" x14ac:dyDescent="0.35">
      <c r="A46" s="1">
        <v>4000313</v>
      </c>
      <c r="B46" s="1" t="s">
        <v>258</v>
      </c>
    </row>
    <row r="47" spans="1:2" x14ac:dyDescent="0.35">
      <c r="A47" s="1">
        <v>4000314</v>
      </c>
      <c r="B47" s="1" t="s">
        <v>258</v>
      </c>
    </row>
    <row r="48" spans="1:2" x14ac:dyDescent="0.35">
      <c r="A48" s="1">
        <v>4000315</v>
      </c>
      <c r="B48" s="1" t="s">
        <v>258</v>
      </c>
    </row>
    <row r="49" spans="1:2" x14ac:dyDescent="0.35">
      <c r="A49" s="1">
        <v>4000316</v>
      </c>
      <c r="B49" s="1" t="s">
        <v>258</v>
      </c>
    </row>
    <row r="50" spans="1:2" x14ac:dyDescent="0.35">
      <c r="A50" s="1">
        <v>4000319</v>
      </c>
      <c r="B50" s="1" t="s">
        <v>258</v>
      </c>
    </row>
    <row r="51" spans="1:2" x14ac:dyDescent="0.35">
      <c r="A51" s="1">
        <v>4000323</v>
      </c>
      <c r="B51" s="1" t="s">
        <v>258</v>
      </c>
    </row>
    <row r="52" spans="1:2" x14ac:dyDescent="0.35">
      <c r="A52" s="1">
        <v>4000324</v>
      </c>
      <c r="B52" s="1" t="s">
        <v>258</v>
      </c>
    </row>
    <row r="53" spans="1:2" x14ac:dyDescent="0.35">
      <c r="A53" s="1">
        <v>4000325</v>
      </c>
      <c r="B53" s="1" t="s">
        <v>258</v>
      </c>
    </row>
    <row r="54" spans="1:2" x14ac:dyDescent="0.35">
      <c r="A54" s="1">
        <v>4000328</v>
      </c>
      <c r="B54" s="1" t="s">
        <v>258</v>
      </c>
    </row>
    <row r="55" spans="1:2" x14ac:dyDescent="0.35">
      <c r="A55" s="1">
        <v>4000330</v>
      </c>
      <c r="B55" s="1" t="s">
        <v>258</v>
      </c>
    </row>
    <row r="56" spans="1:2" x14ac:dyDescent="0.35">
      <c r="A56" s="1">
        <v>4000331</v>
      </c>
      <c r="B56" s="1" t="s">
        <v>258</v>
      </c>
    </row>
    <row r="57" spans="1:2" x14ac:dyDescent="0.35">
      <c r="A57" s="1">
        <v>4000332</v>
      </c>
      <c r="B57" s="1" t="s">
        <v>258</v>
      </c>
    </row>
    <row r="58" spans="1:2" x14ac:dyDescent="0.35">
      <c r="A58" s="1">
        <v>4000333</v>
      </c>
      <c r="B58" s="1" t="s">
        <v>258</v>
      </c>
    </row>
    <row r="59" spans="1:2" x14ac:dyDescent="0.35">
      <c r="A59" s="1">
        <v>4000334</v>
      </c>
      <c r="B59" s="1" t="s">
        <v>258</v>
      </c>
    </row>
    <row r="60" spans="1:2" x14ac:dyDescent="0.35">
      <c r="A60" s="1">
        <v>4000340</v>
      </c>
      <c r="B60" s="1" t="s">
        <v>258</v>
      </c>
    </row>
    <row r="61" spans="1:2" x14ac:dyDescent="0.35">
      <c r="A61" s="1">
        <v>4000341</v>
      </c>
      <c r="B61" s="1" t="s">
        <v>258</v>
      </c>
    </row>
    <row r="62" spans="1:2" x14ac:dyDescent="0.35">
      <c r="A62" s="1">
        <v>4000342</v>
      </c>
      <c r="B62" s="1" t="s">
        <v>258</v>
      </c>
    </row>
    <row r="63" spans="1:2" x14ac:dyDescent="0.35">
      <c r="A63" s="1">
        <v>4000343</v>
      </c>
      <c r="B63" s="1" t="s">
        <v>258</v>
      </c>
    </row>
    <row r="64" spans="1:2" x14ac:dyDescent="0.35">
      <c r="A64" s="1">
        <v>4000396</v>
      </c>
      <c r="B64" s="1" t="s">
        <v>289</v>
      </c>
    </row>
    <row r="65" spans="1:2" x14ac:dyDescent="0.35">
      <c r="A65" s="1">
        <v>4000403</v>
      </c>
      <c r="B65" s="1" t="s">
        <v>258</v>
      </c>
    </row>
    <row r="66" spans="1:2" x14ac:dyDescent="0.35">
      <c r="A66" s="1">
        <v>4000406</v>
      </c>
      <c r="B66" s="1" t="s">
        <v>258</v>
      </c>
    </row>
    <row r="67" spans="1:2" x14ac:dyDescent="0.35">
      <c r="A67" s="1">
        <v>4000411</v>
      </c>
      <c r="B67" s="1" t="s">
        <v>258</v>
      </c>
    </row>
    <row r="68" spans="1:2" x14ac:dyDescent="0.35">
      <c r="A68" s="1">
        <v>4000412</v>
      </c>
      <c r="B68" s="1" t="s">
        <v>258</v>
      </c>
    </row>
    <row r="69" spans="1:2" x14ac:dyDescent="0.35">
      <c r="A69" s="1">
        <v>4000413</v>
      </c>
      <c r="B69" s="1" t="s">
        <v>258</v>
      </c>
    </row>
    <row r="70" spans="1:2" x14ac:dyDescent="0.35">
      <c r="A70" s="1">
        <v>4000414</v>
      </c>
      <c r="B70" s="1" t="s">
        <v>258</v>
      </c>
    </row>
    <row r="71" spans="1:2" x14ac:dyDescent="0.35">
      <c r="A71" s="1">
        <v>4000415</v>
      </c>
      <c r="B71" s="1" t="s">
        <v>258</v>
      </c>
    </row>
    <row r="72" spans="1:2" x14ac:dyDescent="0.35">
      <c r="A72" s="1">
        <v>4000416</v>
      </c>
      <c r="B72" s="1" t="s">
        <v>258</v>
      </c>
    </row>
    <row r="73" spans="1:2" x14ac:dyDescent="0.35">
      <c r="A73" s="1">
        <v>4000418</v>
      </c>
      <c r="B73" s="1" t="s">
        <v>258</v>
      </c>
    </row>
    <row r="74" spans="1:2" x14ac:dyDescent="0.35">
      <c r="A74" s="1">
        <v>4000419</v>
      </c>
      <c r="B74" s="1" t="s">
        <v>258</v>
      </c>
    </row>
    <row r="75" spans="1:2" x14ac:dyDescent="0.35">
      <c r="A75" s="1">
        <v>4000420</v>
      </c>
      <c r="B75" s="1" t="s">
        <v>258</v>
      </c>
    </row>
    <row r="76" spans="1:2" x14ac:dyDescent="0.35">
      <c r="A76" s="1">
        <v>4000427</v>
      </c>
      <c r="B76" s="1" t="s">
        <v>289</v>
      </c>
    </row>
    <row r="77" spans="1:2" x14ac:dyDescent="0.35">
      <c r="A77" s="1">
        <v>4000428</v>
      </c>
      <c r="B77" s="1" t="s">
        <v>258</v>
      </c>
    </row>
    <row r="78" spans="1:2" x14ac:dyDescent="0.35">
      <c r="A78" s="1">
        <v>4000430</v>
      </c>
      <c r="B78" s="1" t="s">
        <v>271</v>
      </c>
    </row>
    <row r="79" spans="1:2" x14ac:dyDescent="0.35">
      <c r="A79" s="1">
        <v>4000432</v>
      </c>
      <c r="B79" s="1" t="s">
        <v>289</v>
      </c>
    </row>
    <row r="80" spans="1:2" x14ac:dyDescent="0.35">
      <c r="A80" s="1">
        <v>4000434</v>
      </c>
      <c r="B80" s="1" t="s">
        <v>289</v>
      </c>
    </row>
    <row r="81" spans="1:2" x14ac:dyDescent="0.35">
      <c r="A81" s="1">
        <v>4000435</v>
      </c>
      <c r="B81" s="1" t="s">
        <v>289</v>
      </c>
    </row>
    <row r="82" spans="1:2" x14ac:dyDescent="0.35">
      <c r="A82" s="1">
        <v>4000441</v>
      </c>
      <c r="B82" s="1" t="s">
        <v>258</v>
      </c>
    </row>
    <row r="83" spans="1:2" x14ac:dyDescent="0.35">
      <c r="A83" s="1">
        <v>4000442</v>
      </c>
      <c r="B83" s="1" t="s">
        <v>271</v>
      </c>
    </row>
    <row r="84" spans="1:2" x14ac:dyDescent="0.35">
      <c r="A84" s="1">
        <v>4000443</v>
      </c>
      <c r="B84" s="1" t="s">
        <v>289</v>
      </c>
    </row>
    <row r="85" spans="1:2" x14ac:dyDescent="0.35">
      <c r="A85" s="1">
        <v>4000445</v>
      </c>
      <c r="B85" s="1" t="s">
        <v>289</v>
      </c>
    </row>
    <row r="86" spans="1:2" x14ac:dyDescent="0.35">
      <c r="A86" s="1">
        <v>4000447</v>
      </c>
      <c r="B86" s="1" t="s">
        <v>289</v>
      </c>
    </row>
    <row r="87" spans="1:2" x14ac:dyDescent="0.35">
      <c r="A87" s="1">
        <v>4000449</v>
      </c>
      <c r="B87" s="1" t="s">
        <v>289</v>
      </c>
    </row>
    <row r="88" spans="1:2" x14ac:dyDescent="0.35">
      <c r="A88" s="1">
        <v>4000452</v>
      </c>
      <c r="B88" s="1" t="s">
        <v>258</v>
      </c>
    </row>
    <row r="89" spans="1:2" x14ac:dyDescent="0.35">
      <c r="A89" s="1">
        <v>4000455</v>
      </c>
      <c r="B89" s="1" t="s">
        <v>258</v>
      </c>
    </row>
    <row r="90" spans="1:2" x14ac:dyDescent="0.35">
      <c r="A90" s="1">
        <v>4000457</v>
      </c>
      <c r="B90" s="1" t="s">
        <v>258</v>
      </c>
    </row>
    <row r="91" spans="1:2" x14ac:dyDescent="0.35">
      <c r="A91" s="1">
        <v>4000493</v>
      </c>
      <c r="B91" s="1" t="s">
        <v>258</v>
      </c>
    </row>
    <row r="92" spans="1:2" x14ac:dyDescent="0.35">
      <c r="A92" s="1">
        <v>4000740</v>
      </c>
      <c r="B92" s="1" t="s">
        <v>258</v>
      </c>
    </row>
    <row r="93" spans="1:2" x14ac:dyDescent="0.35">
      <c r="A93" s="1">
        <v>4000755</v>
      </c>
      <c r="B93" s="1" t="s">
        <v>258</v>
      </c>
    </row>
    <row r="94" spans="1:2" x14ac:dyDescent="0.35">
      <c r="A94" s="1">
        <v>4000758</v>
      </c>
      <c r="B94" s="1" t="s">
        <v>258</v>
      </c>
    </row>
    <row r="95" spans="1:2" x14ac:dyDescent="0.35">
      <c r="A95" s="1">
        <v>4000759</v>
      </c>
      <c r="B95" s="1" t="s">
        <v>258</v>
      </c>
    </row>
    <row r="96" spans="1:2" x14ac:dyDescent="0.35">
      <c r="A96" s="1">
        <v>4000760</v>
      </c>
      <c r="B96" s="1" t="s">
        <v>258</v>
      </c>
    </row>
    <row r="97" spans="1:2" x14ac:dyDescent="0.35">
      <c r="A97" s="1">
        <v>4000761</v>
      </c>
      <c r="B97" s="1" t="s">
        <v>258</v>
      </c>
    </row>
    <row r="98" spans="1:2" x14ac:dyDescent="0.35">
      <c r="A98" s="1">
        <v>4000763</v>
      </c>
      <c r="B98" s="1" t="s">
        <v>258</v>
      </c>
    </row>
    <row r="99" spans="1:2" x14ac:dyDescent="0.35">
      <c r="A99" s="1">
        <v>4000764</v>
      </c>
      <c r="B99" s="1" t="s">
        <v>258</v>
      </c>
    </row>
    <row r="100" spans="1:2" x14ac:dyDescent="0.35">
      <c r="A100" s="1">
        <v>4000765</v>
      </c>
      <c r="B100" s="1" t="s">
        <v>258</v>
      </c>
    </row>
    <row r="101" spans="1:2" x14ac:dyDescent="0.35">
      <c r="A101" s="1">
        <v>4000766</v>
      </c>
      <c r="B101" s="1" t="s">
        <v>258</v>
      </c>
    </row>
    <row r="102" spans="1:2" x14ac:dyDescent="0.35">
      <c r="A102" s="1">
        <v>4000767</v>
      </c>
      <c r="B102" s="1" t="s">
        <v>258</v>
      </c>
    </row>
    <row r="103" spans="1:2" x14ac:dyDescent="0.35">
      <c r="A103" s="1">
        <v>4000768</v>
      </c>
      <c r="B103" s="1" t="s">
        <v>258</v>
      </c>
    </row>
    <row r="104" spans="1:2" x14ac:dyDescent="0.35">
      <c r="A104" s="1">
        <v>4000769</v>
      </c>
      <c r="B104" s="1" t="s">
        <v>258</v>
      </c>
    </row>
    <row r="105" spans="1:2" x14ac:dyDescent="0.35">
      <c r="A105" s="1">
        <v>4000770</v>
      </c>
      <c r="B105" s="1" t="s">
        <v>258</v>
      </c>
    </row>
    <row r="106" spans="1:2" x14ac:dyDescent="0.35">
      <c r="A106" s="1">
        <v>4000771</v>
      </c>
      <c r="B106" s="1" t="s">
        <v>258</v>
      </c>
    </row>
    <row r="107" spans="1:2" x14ac:dyDescent="0.35">
      <c r="A107" s="1">
        <v>4000772</v>
      </c>
      <c r="B107" s="1" t="s">
        <v>258</v>
      </c>
    </row>
    <row r="108" spans="1:2" x14ac:dyDescent="0.35">
      <c r="A108" s="1">
        <v>4000773</v>
      </c>
      <c r="B108" s="1" t="s">
        <v>258</v>
      </c>
    </row>
    <row r="109" spans="1:2" x14ac:dyDescent="0.35">
      <c r="A109" s="1">
        <v>4000775</v>
      </c>
      <c r="B109" s="1" t="s">
        <v>258</v>
      </c>
    </row>
    <row r="110" spans="1:2" x14ac:dyDescent="0.35">
      <c r="A110" s="1">
        <v>4000776</v>
      </c>
      <c r="B110" s="1" t="s">
        <v>258</v>
      </c>
    </row>
    <row r="111" spans="1:2" x14ac:dyDescent="0.35">
      <c r="A111" s="1">
        <v>4000777</v>
      </c>
      <c r="B111" s="1" t="s">
        <v>289</v>
      </c>
    </row>
    <row r="112" spans="1:2" x14ac:dyDescent="0.35">
      <c r="A112" s="1">
        <v>4000778</v>
      </c>
      <c r="B112" s="1" t="s">
        <v>289</v>
      </c>
    </row>
    <row r="113" spans="1:2" x14ac:dyDescent="0.35">
      <c r="A113" s="1">
        <v>4000779</v>
      </c>
      <c r="B113" s="1" t="s">
        <v>289</v>
      </c>
    </row>
    <row r="114" spans="1:2" x14ac:dyDescent="0.35">
      <c r="A114" s="1">
        <v>4000780</v>
      </c>
      <c r="B114" s="1" t="s">
        <v>258</v>
      </c>
    </row>
    <row r="115" spans="1:2" x14ac:dyDescent="0.35">
      <c r="A115" s="1">
        <v>4000781</v>
      </c>
      <c r="B115" s="1" t="s">
        <v>258</v>
      </c>
    </row>
    <row r="116" spans="1:2" x14ac:dyDescent="0.35">
      <c r="A116" s="1">
        <v>4000786</v>
      </c>
      <c r="B116" s="1" t="s">
        <v>258</v>
      </c>
    </row>
    <row r="117" spans="1:2" x14ac:dyDescent="0.35">
      <c r="A117" s="1">
        <v>4000787</v>
      </c>
      <c r="B117" s="1" t="s">
        <v>258</v>
      </c>
    </row>
    <row r="118" spans="1:2" x14ac:dyDescent="0.35">
      <c r="A118" s="1">
        <v>4000788</v>
      </c>
      <c r="B118" s="1" t="s">
        <v>258</v>
      </c>
    </row>
    <row r="119" spans="1:2" x14ac:dyDescent="0.35">
      <c r="A119" s="1">
        <v>4000789</v>
      </c>
      <c r="B119" s="1" t="s">
        <v>258</v>
      </c>
    </row>
    <row r="120" spans="1:2" x14ac:dyDescent="0.35">
      <c r="A120" s="1">
        <v>4000790</v>
      </c>
      <c r="B120" s="1" t="s">
        <v>258</v>
      </c>
    </row>
    <row r="121" spans="1:2" x14ac:dyDescent="0.35">
      <c r="A121" s="1">
        <v>4000791</v>
      </c>
      <c r="B121" s="1" t="s">
        <v>258</v>
      </c>
    </row>
    <row r="122" spans="1:2" x14ac:dyDescent="0.35">
      <c r="A122" s="1">
        <v>4000793</v>
      </c>
      <c r="B122" s="1" t="s">
        <v>271</v>
      </c>
    </row>
    <row r="123" spans="1:2" x14ac:dyDescent="0.35">
      <c r="A123" s="1">
        <v>4000794</v>
      </c>
      <c r="B123" s="1" t="s">
        <v>289</v>
      </c>
    </row>
    <row r="124" spans="1:2" x14ac:dyDescent="0.35">
      <c r="A124" s="1">
        <v>4000795</v>
      </c>
      <c r="B124" s="1" t="s">
        <v>258</v>
      </c>
    </row>
    <row r="125" spans="1:2" x14ac:dyDescent="0.35">
      <c r="A125" s="1">
        <v>4000800</v>
      </c>
      <c r="B125" s="1" t="s">
        <v>258</v>
      </c>
    </row>
    <row r="126" spans="1:2" x14ac:dyDescent="0.35">
      <c r="A126" s="1">
        <v>4000801</v>
      </c>
      <c r="B126" s="1" t="s">
        <v>258</v>
      </c>
    </row>
    <row r="127" spans="1:2" x14ac:dyDescent="0.35">
      <c r="A127" s="1">
        <v>4000802</v>
      </c>
      <c r="B127" s="1" t="s">
        <v>289</v>
      </c>
    </row>
    <row r="128" spans="1:2" x14ac:dyDescent="0.35">
      <c r="A128" s="1">
        <v>4000803</v>
      </c>
      <c r="B128" s="1" t="s">
        <v>289</v>
      </c>
    </row>
    <row r="129" spans="1:2" x14ac:dyDescent="0.35">
      <c r="A129" s="1">
        <v>4000804</v>
      </c>
      <c r="B129" s="1" t="s">
        <v>289</v>
      </c>
    </row>
    <row r="130" spans="1:2" x14ac:dyDescent="0.35">
      <c r="A130" s="1">
        <v>4000805</v>
      </c>
      <c r="B130" s="1" t="s">
        <v>258</v>
      </c>
    </row>
    <row r="131" spans="1:2" x14ac:dyDescent="0.35">
      <c r="A131" s="1">
        <v>4000830</v>
      </c>
      <c r="B131" s="1" t="s">
        <v>289</v>
      </c>
    </row>
    <row r="132" spans="1:2" x14ac:dyDescent="0.35">
      <c r="A132" s="1">
        <v>4000835</v>
      </c>
      <c r="B132" s="1" t="s">
        <v>258</v>
      </c>
    </row>
    <row r="133" spans="1:2" x14ac:dyDescent="0.35">
      <c r="A133" s="1">
        <v>4000893</v>
      </c>
      <c r="B133" s="1" t="s">
        <v>258</v>
      </c>
    </row>
    <row r="134" spans="1:2" x14ac:dyDescent="0.35">
      <c r="A134" s="1">
        <v>4000894</v>
      </c>
      <c r="B134" s="1" t="s">
        <v>258</v>
      </c>
    </row>
    <row r="135" spans="1:2" x14ac:dyDescent="0.35">
      <c r="A135" s="1">
        <v>4000895</v>
      </c>
      <c r="B135" s="1" t="s">
        <v>258</v>
      </c>
    </row>
    <row r="136" spans="1:2" x14ac:dyDescent="0.35">
      <c r="A136" s="1">
        <v>4000896</v>
      </c>
      <c r="B136" s="1" t="s">
        <v>258</v>
      </c>
    </row>
    <row r="137" spans="1:2" x14ac:dyDescent="0.35">
      <c r="A137" s="1">
        <v>4000897</v>
      </c>
      <c r="B137" s="1" t="s">
        <v>258</v>
      </c>
    </row>
    <row r="138" spans="1:2" x14ac:dyDescent="0.35">
      <c r="A138" s="1">
        <v>4000966</v>
      </c>
      <c r="B138" s="1" t="s">
        <v>258</v>
      </c>
    </row>
    <row r="139" spans="1:2" x14ac:dyDescent="0.35">
      <c r="A139" s="1">
        <v>4000969</v>
      </c>
      <c r="B139" s="1" t="s">
        <v>258</v>
      </c>
    </row>
    <row r="140" spans="1:2" x14ac:dyDescent="0.35">
      <c r="A140" s="1">
        <v>4000972</v>
      </c>
      <c r="B140" s="1" t="s">
        <v>258</v>
      </c>
    </row>
    <row r="141" spans="1:2" x14ac:dyDescent="0.35">
      <c r="A141" s="1">
        <v>4000973</v>
      </c>
      <c r="B141" s="1" t="s">
        <v>258</v>
      </c>
    </row>
    <row r="142" spans="1:2" x14ac:dyDescent="0.35">
      <c r="A142" s="1">
        <v>4000974</v>
      </c>
      <c r="B142" s="1" t="s">
        <v>258</v>
      </c>
    </row>
    <row r="143" spans="1:2" x14ac:dyDescent="0.35">
      <c r="A143" s="1">
        <v>4000975</v>
      </c>
      <c r="B143" s="1" t="s">
        <v>258</v>
      </c>
    </row>
    <row r="144" spans="1:2" x14ac:dyDescent="0.35">
      <c r="A144" s="1">
        <v>4000976</v>
      </c>
      <c r="B144" s="1" t="s">
        <v>258</v>
      </c>
    </row>
    <row r="145" spans="1:2" x14ac:dyDescent="0.35">
      <c r="A145" s="1">
        <v>4000977</v>
      </c>
      <c r="B145" s="1" t="s">
        <v>258</v>
      </c>
    </row>
    <row r="146" spans="1:2" x14ac:dyDescent="0.35">
      <c r="A146" s="1">
        <v>4000978</v>
      </c>
      <c r="B146" s="1" t="s">
        <v>258</v>
      </c>
    </row>
    <row r="147" spans="1:2" x14ac:dyDescent="0.35">
      <c r="A147" s="1">
        <v>4000979</v>
      </c>
      <c r="B147" s="1" t="s">
        <v>258</v>
      </c>
    </row>
    <row r="148" spans="1:2" x14ac:dyDescent="0.35">
      <c r="A148" s="1">
        <v>4000981</v>
      </c>
      <c r="B148" s="1" t="s">
        <v>258</v>
      </c>
    </row>
    <row r="149" spans="1:2" x14ac:dyDescent="0.35">
      <c r="A149" s="1">
        <v>4000988</v>
      </c>
      <c r="B149" s="1" t="s">
        <v>258</v>
      </c>
    </row>
    <row r="150" spans="1:2" x14ac:dyDescent="0.35">
      <c r="A150" s="1">
        <v>4000989</v>
      </c>
      <c r="B150" s="1" t="s">
        <v>258</v>
      </c>
    </row>
    <row r="151" spans="1:2" x14ac:dyDescent="0.35">
      <c r="A151" s="1">
        <v>4001115</v>
      </c>
      <c r="B151" s="1" t="s">
        <v>258</v>
      </c>
    </row>
    <row r="152" spans="1:2" x14ac:dyDescent="0.35">
      <c r="A152" s="1">
        <v>4001116</v>
      </c>
      <c r="B152" s="1" t="s">
        <v>258</v>
      </c>
    </row>
    <row r="153" spans="1:2" x14ac:dyDescent="0.35">
      <c r="A153" s="1">
        <v>4001117</v>
      </c>
      <c r="B153" s="1" t="s">
        <v>258</v>
      </c>
    </row>
    <row r="154" spans="1:2" x14ac:dyDescent="0.35">
      <c r="A154" s="1">
        <v>4001118</v>
      </c>
      <c r="B154" s="1" t="s">
        <v>258</v>
      </c>
    </row>
    <row r="155" spans="1:2" x14ac:dyDescent="0.35">
      <c r="A155" s="1">
        <v>4001120</v>
      </c>
      <c r="B155" s="1" t="s">
        <v>258</v>
      </c>
    </row>
    <row r="156" spans="1:2" x14ac:dyDescent="0.35">
      <c r="A156" s="1">
        <v>4001122</v>
      </c>
      <c r="B156" s="1" t="s">
        <v>258</v>
      </c>
    </row>
    <row r="157" spans="1:2" x14ac:dyDescent="0.35">
      <c r="A157" s="1">
        <v>4001123</v>
      </c>
      <c r="B157" s="1" t="s">
        <v>289</v>
      </c>
    </row>
    <row r="158" spans="1:2" x14ac:dyDescent="0.35">
      <c r="A158" s="1">
        <v>4001124</v>
      </c>
      <c r="B158" s="1" t="s">
        <v>258</v>
      </c>
    </row>
    <row r="159" spans="1:2" x14ac:dyDescent="0.35">
      <c r="A159" s="1">
        <v>4001125</v>
      </c>
      <c r="B159" s="1" t="s">
        <v>258</v>
      </c>
    </row>
    <row r="160" spans="1:2" x14ac:dyDescent="0.35">
      <c r="A160" s="1">
        <v>4001127</v>
      </c>
      <c r="B160" s="1" t="s">
        <v>258</v>
      </c>
    </row>
    <row r="161" spans="1:2" x14ac:dyDescent="0.35">
      <c r="A161" s="1">
        <v>4001128</v>
      </c>
      <c r="B161" s="1" t="s">
        <v>258</v>
      </c>
    </row>
    <row r="162" spans="1:2" x14ac:dyDescent="0.35">
      <c r="A162" s="1">
        <v>4001129</v>
      </c>
      <c r="B162" s="1" t="s">
        <v>258</v>
      </c>
    </row>
    <row r="163" spans="1:2" x14ac:dyDescent="0.35">
      <c r="A163" s="1">
        <v>4001130</v>
      </c>
      <c r="B163" s="1" t="s">
        <v>258</v>
      </c>
    </row>
    <row r="164" spans="1:2" x14ac:dyDescent="0.35">
      <c r="A164" s="1">
        <v>4001133</v>
      </c>
      <c r="B164" s="3"/>
    </row>
    <row r="165" spans="1:2" x14ac:dyDescent="0.35">
      <c r="A165" s="1">
        <v>4001134</v>
      </c>
      <c r="B165" s="3"/>
    </row>
    <row r="166" spans="1:2" x14ac:dyDescent="0.35">
      <c r="A166" s="1">
        <v>4001135</v>
      </c>
      <c r="B166" s="3"/>
    </row>
    <row r="167" spans="1:2" x14ac:dyDescent="0.35">
      <c r="A167" s="1">
        <v>4001136</v>
      </c>
      <c r="B167" s="3"/>
    </row>
    <row r="168" spans="1:2" x14ac:dyDescent="0.35">
      <c r="A168" s="1">
        <v>4001137</v>
      </c>
      <c r="B168" s="3"/>
    </row>
    <row r="169" spans="1:2" x14ac:dyDescent="0.35">
      <c r="A169" s="1">
        <v>4001138</v>
      </c>
      <c r="B169" s="1" t="s">
        <v>258</v>
      </c>
    </row>
    <row r="170" spans="1:2" x14ac:dyDescent="0.35">
      <c r="A170" s="1">
        <v>4001160</v>
      </c>
      <c r="B170" s="1" t="s">
        <v>258</v>
      </c>
    </row>
    <row r="171" spans="1:2" x14ac:dyDescent="0.35">
      <c r="A171" s="1">
        <v>4001161</v>
      </c>
      <c r="B171" s="3"/>
    </row>
    <row r="172" spans="1:2" x14ac:dyDescent="0.35">
      <c r="A172" s="1">
        <v>4001194</v>
      </c>
      <c r="B172" s="1" t="s">
        <v>258</v>
      </c>
    </row>
    <row r="173" spans="1:2" x14ac:dyDescent="0.35">
      <c r="A173" s="1">
        <v>4001207</v>
      </c>
      <c r="B173" s="1" t="s">
        <v>258</v>
      </c>
    </row>
    <row r="174" spans="1:2" x14ac:dyDescent="0.35">
      <c r="A174" s="1">
        <v>4001208</v>
      </c>
      <c r="B174" s="1" t="s">
        <v>258</v>
      </c>
    </row>
    <row r="175" spans="1:2" x14ac:dyDescent="0.35">
      <c r="A175" s="1">
        <v>4001211</v>
      </c>
      <c r="B175" s="1" t="s">
        <v>258</v>
      </c>
    </row>
    <row r="176" spans="1:2" x14ac:dyDescent="0.35">
      <c r="A176" s="1">
        <v>4001215</v>
      </c>
      <c r="B176" s="1" t="s">
        <v>258</v>
      </c>
    </row>
    <row r="177" spans="1:2" x14ac:dyDescent="0.35">
      <c r="A177" s="1">
        <v>4001216</v>
      </c>
      <c r="B177" s="1" t="s">
        <v>258</v>
      </c>
    </row>
    <row r="178" spans="1:2" x14ac:dyDescent="0.35">
      <c r="A178" s="1">
        <v>4001221</v>
      </c>
      <c r="B178" s="1" t="s">
        <v>258</v>
      </c>
    </row>
    <row r="179" spans="1:2" x14ac:dyDescent="0.35">
      <c r="A179" s="1">
        <v>4001225</v>
      </c>
      <c r="B179" s="1" t="s">
        <v>258</v>
      </c>
    </row>
    <row r="180" spans="1:2" x14ac:dyDescent="0.35">
      <c r="A180" s="1">
        <v>4001233</v>
      </c>
      <c r="B180" s="1" t="s">
        <v>258</v>
      </c>
    </row>
    <row r="181" spans="1:2" x14ac:dyDescent="0.35">
      <c r="A181" s="1">
        <v>4001237</v>
      </c>
      <c r="B181" s="1" t="s">
        <v>258</v>
      </c>
    </row>
    <row r="182" spans="1:2" x14ac:dyDescent="0.35">
      <c r="A182" s="1">
        <v>4001241</v>
      </c>
      <c r="B182" s="1" t="s">
        <v>258</v>
      </c>
    </row>
    <row r="183" spans="1:2" x14ac:dyDescent="0.35">
      <c r="A183" s="1">
        <v>4001257</v>
      </c>
      <c r="B183" s="1" t="s">
        <v>258</v>
      </c>
    </row>
    <row r="184" spans="1:2" x14ac:dyDescent="0.35">
      <c r="A184" s="1">
        <v>4001264</v>
      </c>
      <c r="B184" s="1" t="s">
        <v>289</v>
      </c>
    </row>
    <row r="185" spans="1:2" x14ac:dyDescent="0.35">
      <c r="A185" s="1">
        <v>4001277</v>
      </c>
      <c r="B185" s="1" t="s">
        <v>258</v>
      </c>
    </row>
    <row r="186" spans="1:2" x14ac:dyDescent="0.35">
      <c r="A186" s="1">
        <v>4001278</v>
      </c>
      <c r="B186" s="1" t="s">
        <v>258</v>
      </c>
    </row>
    <row r="187" spans="1:2" x14ac:dyDescent="0.35">
      <c r="A187" s="1">
        <v>4001279</v>
      </c>
      <c r="B187" s="1" t="s">
        <v>258</v>
      </c>
    </row>
    <row r="188" spans="1:2" x14ac:dyDescent="0.35">
      <c r="A188" s="1">
        <v>4001282</v>
      </c>
      <c r="B188" s="1" t="s">
        <v>289</v>
      </c>
    </row>
    <row r="189" spans="1:2" x14ac:dyDescent="0.35">
      <c r="A189" s="1">
        <v>4001283</v>
      </c>
      <c r="B189" s="1" t="s">
        <v>289</v>
      </c>
    </row>
    <row r="190" spans="1:2" x14ac:dyDescent="0.35">
      <c r="A190" s="1">
        <v>4001285</v>
      </c>
      <c r="B190" s="1" t="s">
        <v>258</v>
      </c>
    </row>
    <row r="191" spans="1:2" x14ac:dyDescent="0.35">
      <c r="A191" s="1">
        <v>4001287</v>
      </c>
      <c r="B191" s="1" t="s">
        <v>258</v>
      </c>
    </row>
    <row r="192" spans="1:2" x14ac:dyDescent="0.35">
      <c r="A192" s="1">
        <v>4001288</v>
      </c>
      <c r="B192" s="1" t="s">
        <v>258</v>
      </c>
    </row>
    <row r="193" spans="1:2" x14ac:dyDescent="0.35">
      <c r="A193" s="1">
        <v>4001289</v>
      </c>
      <c r="B193" s="1" t="s">
        <v>258</v>
      </c>
    </row>
    <row r="194" spans="1:2" x14ac:dyDescent="0.35">
      <c r="A194" s="1">
        <v>4001290</v>
      </c>
      <c r="B194" s="1" t="s">
        <v>258</v>
      </c>
    </row>
    <row r="195" spans="1:2" x14ac:dyDescent="0.35">
      <c r="A195" s="1">
        <v>4001291</v>
      </c>
      <c r="B195" s="1" t="s">
        <v>258</v>
      </c>
    </row>
    <row r="196" spans="1:2" x14ac:dyDescent="0.35">
      <c r="A196" s="1">
        <v>4001293</v>
      </c>
      <c r="B196" s="1" t="s">
        <v>258</v>
      </c>
    </row>
    <row r="197" spans="1:2" x14ac:dyDescent="0.35">
      <c r="A197" s="1">
        <v>4001295</v>
      </c>
      <c r="B197" s="1" t="s">
        <v>258</v>
      </c>
    </row>
    <row r="198" spans="1:2" x14ac:dyDescent="0.35">
      <c r="A198" s="1">
        <v>4001298</v>
      </c>
      <c r="B198" s="1" t="s">
        <v>258</v>
      </c>
    </row>
    <row r="199" spans="1:2" x14ac:dyDescent="0.35">
      <c r="A199" s="1">
        <v>4001307</v>
      </c>
      <c r="B199" s="1" t="s">
        <v>258</v>
      </c>
    </row>
    <row r="200" spans="1:2" x14ac:dyDescent="0.35">
      <c r="A200" s="1">
        <v>4001310</v>
      </c>
      <c r="B200" s="1" t="s">
        <v>258</v>
      </c>
    </row>
    <row r="201" spans="1:2" x14ac:dyDescent="0.35">
      <c r="A201" s="1">
        <v>4001311</v>
      </c>
      <c r="B201" s="1" t="s">
        <v>258</v>
      </c>
    </row>
    <row r="202" spans="1:2" x14ac:dyDescent="0.35">
      <c r="A202" s="1">
        <v>4001312</v>
      </c>
      <c r="B202" s="1" t="s">
        <v>258</v>
      </c>
    </row>
    <row r="203" spans="1:2" x14ac:dyDescent="0.35">
      <c r="A203" s="1">
        <v>4001314</v>
      </c>
      <c r="B203" s="1" t="s">
        <v>258</v>
      </c>
    </row>
    <row r="204" spans="1:2" x14ac:dyDescent="0.35">
      <c r="A204" s="1">
        <v>4001315</v>
      </c>
      <c r="B204" s="1" t="s">
        <v>258</v>
      </c>
    </row>
    <row r="205" spans="1:2" x14ac:dyDescent="0.35">
      <c r="A205" s="1">
        <v>4001316</v>
      </c>
      <c r="B205" s="1" t="s">
        <v>258</v>
      </c>
    </row>
    <row r="206" spans="1:2" x14ac:dyDescent="0.35">
      <c r="A206" s="1">
        <v>4001318</v>
      </c>
      <c r="B206" s="1" t="s">
        <v>258</v>
      </c>
    </row>
    <row r="207" spans="1:2" x14ac:dyDescent="0.35">
      <c r="A207" s="1">
        <v>4001320</v>
      </c>
      <c r="B207" s="1" t="s">
        <v>258</v>
      </c>
    </row>
    <row r="208" spans="1:2" x14ac:dyDescent="0.35">
      <c r="A208" s="1">
        <v>4001323</v>
      </c>
      <c r="B208" s="1" t="s">
        <v>258</v>
      </c>
    </row>
    <row r="209" spans="1:2" x14ac:dyDescent="0.35">
      <c r="A209" s="1">
        <v>4001324</v>
      </c>
      <c r="B209" s="1" t="s">
        <v>258</v>
      </c>
    </row>
    <row r="210" spans="1:2" x14ac:dyDescent="0.35">
      <c r="A210" s="1">
        <v>4001327</v>
      </c>
      <c r="B210" s="1" t="s">
        <v>258</v>
      </c>
    </row>
    <row r="211" spans="1:2" x14ac:dyDescent="0.35">
      <c r="A211" s="1">
        <v>4001328</v>
      </c>
      <c r="B211" s="1" t="s">
        <v>258</v>
      </c>
    </row>
    <row r="212" spans="1:2" x14ac:dyDescent="0.35">
      <c r="A212" s="1">
        <v>4001331</v>
      </c>
      <c r="B212" s="1" t="s">
        <v>258</v>
      </c>
    </row>
    <row r="213" spans="1:2" x14ac:dyDescent="0.35">
      <c r="A213" s="1">
        <v>4001333</v>
      </c>
      <c r="B213" s="1" t="s">
        <v>258</v>
      </c>
    </row>
    <row r="214" spans="1:2" x14ac:dyDescent="0.35">
      <c r="A214" s="1">
        <v>4001334</v>
      </c>
      <c r="B214" s="1" t="s">
        <v>258</v>
      </c>
    </row>
    <row r="215" spans="1:2" x14ac:dyDescent="0.35">
      <c r="A215" s="1">
        <v>4001335</v>
      </c>
      <c r="B215" s="1" t="s">
        <v>258</v>
      </c>
    </row>
    <row r="216" spans="1:2" x14ac:dyDescent="0.35">
      <c r="A216" s="1">
        <v>4001336</v>
      </c>
      <c r="B216" s="1" t="s">
        <v>258</v>
      </c>
    </row>
    <row r="217" spans="1:2" x14ac:dyDescent="0.35">
      <c r="A217" s="1">
        <v>4001337</v>
      </c>
      <c r="B217" s="1" t="s">
        <v>258</v>
      </c>
    </row>
    <row r="218" spans="1:2" x14ac:dyDescent="0.35">
      <c r="A218" s="1">
        <v>4001338</v>
      </c>
      <c r="B218" s="1" t="s">
        <v>258</v>
      </c>
    </row>
    <row r="219" spans="1:2" x14ac:dyDescent="0.35">
      <c r="A219" s="1">
        <v>4001339</v>
      </c>
      <c r="B219" s="1" t="s">
        <v>258</v>
      </c>
    </row>
    <row r="220" spans="1:2" x14ac:dyDescent="0.35">
      <c r="A220" s="1">
        <v>4001340</v>
      </c>
      <c r="B220" s="1" t="s">
        <v>258</v>
      </c>
    </row>
    <row r="221" spans="1:2" x14ac:dyDescent="0.35">
      <c r="A221" s="1">
        <v>4001341</v>
      </c>
      <c r="B221" s="1" t="s">
        <v>258</v>
      </c>
    </row>
    <row r="222" spans="1:2" x14ac:dyDescent="0.35">
      <c r="A222" s="1">
        <v>4001343</v>
      </c>
      <c r="B222" s="1" t="s">
        <v>258</v>
      </c>
    </row>
    <row r="223" spans="1:2" x14ac:dyDescent="0.35">
      <c r="A223" s="1">
        <v>4001344</v>
      </c>
      <c r="B223" s="1" t="s">
        <v>258</v>
      </c>
    </row>
    <row r="224" spans="1:2" x14ac:dyDescent="0.35">
      <c r="A224" s="1">
        <v>4001345</v>
      </c>
      <c r="B224" s="1" t="s">
        <v>258</v>
      </c>
    </row>
    <row r="225" spans="1:2" x14ac:dyDescent="0.35">
      <c r="A225" s="1">
        <v>4001347</v>
      </c>
      <c r="B225" s="1" t="s">
        <v>258</v>
      </c>
    </row>
    <row r="226" spans="1:2" x14ac:dyDescent="0.35">
      <c r="A226" s="1">
        <v>4001348</v>
      </c>
      <c r="B226" s="1" t="s">
        <v>258</v>
      </c>
    </row>
    <row r="227" spans="1:2" x14ac:dyDescent="0.35">
      <c r="A227" s="1">
        <v>4001349</v>
      </c>
      <c r="B227" s="1" t="s">
        <v>258</v>
      </c>
    </row>
    <row r="228" spans="1:2" x14ac:dyDescent="0.35">
      <c r="A228" s="1">
        <v>4001350</v>
      </c>
      <c r="B228" s="1" t="s">
        <v>258</v>
      </c>
    </row>
    <row r="229" spans="1:2" x14ac:dyDescent="0.35">
      <c r="A229" s="1">
        <v>4001351</v>
      </c>
      <c r="B229" s="1" t="s">
        <v>258</v>
      </c>
    </row>
    <row r="230" spans="1:2" x14ac:dyDescent="0.35">
      <c r="A230" s="1">
        <v>4001354</v>
      </c>
      <c r="B230" s="1" t="s">
        <v>258</v>
      </c>
    </row>
    <row r="231" spans="1:2" x14ac:dyDescent="0.35">
      <c r="A231" s="1">
        <v>4001357</v>
      </c>
      <c r="B231" s="1" t="s">
        <v>258</v>
      </c>
    </row>
    <row r="232" spans="1:2" x14ac:dyDescent="0.35">
      <c r="A232" s="1">
        <v>4001359</v>
      </c>
      <c r="B232" s="1" t="s">
        <v>258</v>
      </c>
    </row>
    <row r="233" spans="1:2" x14ac:dyDescent="0.35">
      <c r="A233" s="1">
        <v>4001363</v>
      </c>
      <c r="B233" s="1" t="s">
        <v>258</v>
      </c>
    </row>
    <row r="234" spans="1:2" x14ac:dyDescent="0.35">
      <c r="A234" s="1">
        <v>4001364</v>
      </c>
      <c r="B234" s="1" t="s">
        <v>289</v>
      </c>
    </row>
    <row r="235" spans="1:2" x14ac:dyDescent="0.35">
      <c r="A235" s="1">
        <v>4001365</v>
      </c>
      <c r="B235" s="1" t="s">
        <v>258</v>
      </c>
    </row>
    <row r="236" spans="1:2" x14ac:dyDescent="0.35">
      <c r="A236" s="1">
        <v>4001366</v>
      </c>
      <c r="B236" s="1" t="s">
        <v>258</v>
      </c>
    </row>
    <row r="237" spans="1:2" x14ac:dyDescent="0.35">
      <c r="A237" s="1">
        <v>4001367</v>
      </c>
      <c r="B237" s="1" t="s">
        <v>258</v>
      </c>
    </row>
    <row r="238" spans="1:2" x14ac:dyDescent="0.35">
      <c r="A238" s="1">
        <v>4001368</v>
      </c>
      <c r="B238" s="1" t="s">
        <v>258</v>
      </c>
    </row>
    <row r="239" spans="1:2" x14ac:dyDescent="0.35">
      <c r="A239" s="1">
        <v>4001369</v>
      </c>
      <c r="B239" s="1" t="s">
        <v>258</v>
      </c>
    </row>
    <row r="240" spans="1:2" x14ac:dyDescent="0.35">
      <c r="A240" s="1">
        <v>4001371</v>
      </c>
      <c r="B240" s="1" t="s">
        <v>258</v>
      </c>
    </row>
    <row r="241" spans="1:2" x14ac:dyDescent="0.35">
      <c r="A241" s="1">
        <v>4001373</v>
      </c>
      <c r="B241" s="1" t="s">
        <v>258</v>
      </c>
    </row>
    <row r="242" spans="1:2" x14ac:dyDescent="0.35">
      <c r="A242" s="1">
        <v>4001374</v>
      </c>
      <c r="B242" s="1" t="s">
        <v>258</v>
      </c>
    </row>
    <row r="243" spans="1:2" x14ac:dyDescent="0.35">
      <c r="A243" s="1">
        <v>4001376</v>
      </c>
      <c r="B243" s="1" t="s">
        <v>258</v>
      </c>
    </row>
    <row r="244" spans="1:2" x14ac:dyDescent="0.35">
      <c r="A244" s="1">
        <v>4001379</v>
      </c>
      <c r="B244" s="1" t="s">
        <v>258</v>
      </c>
    </row>
    <row r="245" spans="1:2" x14ac:dyDescent="0.35">
      <c r="A245" s="1">
        <v>4001380</v>
      </c>
      <c r="B245" s="1" t="s">
        <v>258</v>
      </c>
    </row>
    <row r="246" spans="1:2" x14ac:dyDescent="0.35">
      <c r="A246" s="1">
        <v>4001383</v>
      </c>
      <c r="B246" s="1" t="s">
        <v>258</v>
      </c>
    </row>
    <row r="247" spans="1:2" x14ac:dyDescent="0.35">
      <c r="A247" s="1">
        <v>4001384</v>
      </c>
      <c r="B247" s="1" t="s">
        <v>258</v>
      </c>
    </row>
    <row r="248" spans="1:2" x14ac:dyDescent="0.35">
      <c r="A248" s="1">
        <v>4001385</v>
      </c>
      <c r="B248" s="1" t="s">
        <v>258</v>
      </c>
    </row>
    <row r="249" spans="1:2" x14ac:dyDescent="0.35">
      <c r="A249" s="1">
        <v>4001387</v>
      </c>
      <c r="B249" s="1" t="s">
        <v>258</v>
      </c>
    </row>
    <row r="250" spans="1:2" x14ac:dyDescent="0.35">
      <c r="A250" s="1">
        <v>4001388</v>
      </c>
      <c r="B250" s="1" t="s">
        <v>258</v>
      </c>
    </row>
    <row r="251" spans="1:2" x14ac:dyDescent="0.35">
      <c r="A251" s="1">
        <v>4001390</v>
      </c>
      <c r="B251" s="1" t="s">
        <v>258</v>
      </c>
    </row>
    <row r="252" spans="1:2" x14ac:dyDescent="0.35">
      <c r="A252" s="1">
        <v>4001396</v>
      </c>
      <c r="B252" s="1" t="s">
        <v>258</v>
      </c>
    </row>
    <row r="253" spans="1:2" x14ac:dyDescent="0.35">
      <c r="A253" s="1">
        <v>4001401</v>
      </c>
      <c r="B253" s="1" t="s">
        <v>289</v>
      </c>
    </row>
    <row r="254" spans="1:2" x14ac:dyDescent="0.35">
      <c r="A254" s="1">
        <v>4001403</v>
      </c>
      <c r="B254" s="1" t="s">
        <v>258</v>
      </c>
    </row>
    <row r="255" spans="1:2" x14ac:dyDescent="0.35">
      <c r="A255" s="1">
        <v>4001449</v>
      </c>
      <c r="B255" s="3"/>
    </row>
    <row r="256" spans="1:2" x14ac:dyDescent="0.35">
      <c r="A256" s="1">
        <v>4001451</v>
      </c>
      <c r="B256" s="1" t="s">
        <v>258</v>
      </c>
    </row>
    <row r="257" spans="1:2" x14ac:dyDescent="0.35">
      <c r="A257" s="1">
        <v>4001458</v>
      </c>
      <c r="B257" s="3"/>
    </row>
    <row r="258" spans="1:2" x14ac:dyDescent="0.35">
      <c r="A258" s="1">
        <v>4001459</v>
      </c>
      <c r="B258" s="1" t="s">
        <v>258</v>
      </c>
    </row>
    <row r="259" spans="1:2" x14ac:dyDescent="0.35">
      <c r="A259" s="1">
        <v>4001461</v>
      </c>
      <c r="B259" s="1" t="s">
        <v>258</v>
      </c>
    </row>
    <row r="260" spans="1:2" x14ac:dyDescent="0.35">
      <c r="A260" s="1">
        <v>4001523</v>
      </c>
      <c r="B260" s="1" t="s">
        <v>258</v>
      </c>
    </row>
    <row r="261" spans="1:2" x14ac:dyDescent="0.35">
      <c r="A261" s="1">
        <v>4001524</v>
      </c>
      <c r="B261" s="1" t="s">
        <v>258</v>
      </c>
    </row>
    <row r="262" spans="1:2" x14ac:dyDescent="0.35">
      <c r="A262" s="1">
        <v>4001551</v>
      </c>
      <c r="B262" s="1" t="s">
        <v>258</v>
      </c>
    </row>
    <row r="263" spans="1:2" x14ac:dyDescent="0.35">
      <c r="A263" s="1">
        <v>4001562</v>
      </c>
      <c r="B263" s="1" t="s">
        <v>258</v>
      </c>
    </row>
    <row r="264" spans="1:2" x14ac:dyDescent="0.35">
      <c r="A264" s="1">
        <v>4001572</v>
      </c>
      <c r="B264" s="1" t="s">
        <v>258</v>
      </c>
    </row>
    <row r="265" spans="1:2" x14ac:dyDescent="0.35">
      <c r="A265" s="1">
        <v>4001573</v>
      </c>
      <c r="B265" s="1" t="s">
        <v>258</v>
      </c>
    </row>
    <row r="266" spans="1:2" x14ac:dyDescent="0.35">
      <c r="A266" s="1">
        <v>4001574</v>
      </c>
      <c r="B266" s="1" t="s">
        <v>258</v>
      </c>
    </row>
    <row r="267" spans="1:2" x14ac:dyDescent="0.35">
      <c r="A267" s="1">
        <v>4001576</v>
      </c>
      <c r="B267" s="1" t="s">
        <v>289</v>
      </c>
    </row>
    <row r="268" spans="1:2" x14ac:dyDescent="0.35">
      <c r="A268" s="1">
        <v>4001609</v>
      </c>
      <c r="B268" s="1" t="s">
        <v>258</v>
      </c>
    </row>
    <row r="269" spans="1:2" x14ac:dyDescent="0.35">
      <c r="A269" s="1">
        <v>4001630</v>
      </c>
      <c r="B269" s="1" t="s">
        <v>258</v>
      </c>
    </row>
    <row r="270" spans="1:2" x14ac:dyDescent="0.35">
      <c r="A270" s="1">
        <v>4001691</v>
      </c>
      <c r="B270" s="1" t="s">
        <v>258</v>
      </c>
    </row>
    <row r="271" spans="1:2" x14ac:dyDescent="0.35">
      <c r="A271" s="1">
        <v>4001701</v>
      </c>
      <c r="B271" s="1" t="s">
        <v>258</v>
      </c>
    </row>
    <row r="272" spans="1:2" x14ac:dyDescent="0.35">
      <c r="A272" s="1">
        <v>4001754</v>
      </c>
      <c r="B272" s="1" t="s">
        <v>258</v>
      </c>
    </row>
    <row r="273" spans="1:2" x14ac:dyDescent="0.35">
      <c r="A273" s="1">
        <v>4001762</v>
      </c>
      <c r="B273" s="1" t="s">
        <v>258</v>
      </c>
    </row>
    <row r="274" spans="1:2" x14ac:dyDescent="0.35">
      <c r="A274" s="1">
        <v>4001763</v>
      </c>
      <c r="B274" s="1" t="s">
        <v>258</v>
      </c>
    </row>
    <row r="275" spans="1:2" x14ac:dyDescent="0.35">
      <c r="A275" s="1">
        <v>4001764</v>
      </c>
      <c r="B275" s="1" t="s">
        <v>258</v>
      </c>
    </row>
    <row r="276" spans="1:2" x14ac:dyDescent="0.35">
      <c r="A276" s="1">
        <v>4001809</v>
      </c>
      <c r="B276" s="1" t="s">
        <v>258</v>
      </c>
    </row>
    <row r="277" spans="1:2" x14ac:dyDescent="0.35">
      <c r="A277" s="1">
        <v>4001853</v>
      </c>
      <c r="B277" s="1" t="s">
        <v>258</v>
      </c>
    </row>
    <row r="278" spans="1:2" x14ac:dyDescent="0.35">
      <c r="A278" s="1">
        <v>4001969</v>
      </c>
      <c r="B278" s="1" t="s">
        <v>258</v>
      </c>
    </row>
    <row r="279" spans="1:2" x14ac:dyDescent="0.35">
      <c r="A279" s="1">
        <v>4002229</v>
      </c>
      <c r="B279" s="1" t="s">
        <v>258</v>
      </c>
    </row>
    <row r="280" spans="1:2" x14ac:dyDescent="0.35">
      <c r="A280" s="1">
        <v>4002233</v>
      </c>
      <c r="B280" s="1" t="s">
        <v>258</v>
      </c>
    </row>
    <row r="281" spans="1:2" x14ac:dyDescent="0.35">
      <c r="A281" s="1">
        <v>4002277</v>
      </c>
      <c r="B281" s="1" t="s">
        <v>258</v>
      </c>
    </row>
    <row r="282" spans="1:2" x14ac:dyDescent="0.35">
      <c r="A282" s="1">
        <v>4002292</v>
      </c>
      <c r="B282" s="1" t="s">
        <v>258</v>
      </c>
    </row>
    <row r="283" spans="1:2" x14ac:dyDescent="0.35">
      <c r="A283" s="1">
        <v>4002298</v>
      </c>
      <c r="B283" s="1" t="s">
        <v>258</v>
      </c>
    </row>
    <row r="284" spans="1:2" x14ac:dyDescent="0.35">
      <c r="A284" s="1">
        <v>4002302</v>
      </c>
      <c r="B284" s="1" t="s">
        <v>258</v>
      </c>
    </row>
    <row r="285" spans="1:2" x14ac:dyDescent="0.35">
      <c r="A285" s="1">
        <v>4002332</v>
      </c>
      <c r="B285" s="1" t="s">
        <v>289</v>
      </c>
    </row>
    <row r="286" spans="1:2" x14ac:dyDescent="0.35">
      <c r="A286" s="1">
        <v>4002333</v>
      </c>
      <c r="B286" s="3"/>
    </row>
    <row r="287" spans="1:2" x14ac:dyDescent="0.35">
      <c r="A287" s="1">
        <v>4002335</v>
      </c>
      <c r="B287" s="1" t="s">
        <v>258</v>
      </c>
    </row>
    <row r="288" spans="1:2" x14ac:dyDescent="0.35">
      <c r="A288" s="1">
        <v>4002344</v>
      </c>
      <c r="B288" s="1" t="s">
        <v>258</v>
      </c>
    </row>
    <row r="289" spans="1:2" x14ac:dyDescent="0.35">
      <c r="A289" s="1">
        <v>4002345</v>
      </c>
      <c r="B289" s="1" t="s">
        <v>289</v>
      </c>
    </row>
    <row r="290" spans="1:2" x14ac:dyDescent="0.35">
      <c r="A290" s="1">
        <v>4002416</v>
      </c>
      <c r="B290" s="1" t="s">
        <v>258</v>
      </c>
    </row>
    <row r="291" spans="1:2" x14ac:dyDescent="0.35">
      <c r="A291" s="1">
        <v>4002446</v>
      </c>
      <c r="B291" s="1" t="s">
        <v>258</v>
      </c>
    </row>
    <row r="292" spans="1:2" x14ac:dyDescent="0.35">
      <c r="A292" s="1">
        <v>4002462</v>
      </c>
      <c r="B292" s="1" t="s">
        <v>258</v>
      </c>
    </row>
    <row r="293" spans="1:2" x14ac:dyDescent="0.35">
      <c r="A293" s="1">
        <v>4002465</v>
      </c>
      <c r="B293" s="1" t="s">
        <v>258</v>
      </c>
    </row>
    <row r="294" spans="1:2" x14ac:dyDescent="0.35">
      <c r="A294" s="1">
        <v>4002466</v>
      </c>
      <c r="B294" s="1" t="s">
        <v>258</v>
      </c>
    </row>
    <row r="295" spans="1:2" x14ac:dyDescent="0.35">
      <c r="A295" s="1">
        <v>4002467</v>
      </c>
      <c r="B295" s="1" t="s">
        <v>258</v>
      </c>
    </row>
    <row r="296" spans="1:2" x14ac:dyDescent="0.35">
      <c r="A296" s="1">
        <v>4002468</v>
      </c>
      <c r="B296" s="1" t="s">
        <v>258</v>
      </c>
    </row>
    <row r="297" spans="1:2" x14ac:dyDescent="0.35">
      <c r="A297" s="1">
        <v>4002472</v>
      </c>
      <c r="B297" s="1" t="s">
        <v>289</v>
      </c>
    </row>
    <row r="298" spans="1:2" x14ac:dyDescent="0.35">
      <c r="A298" s="1">
        <v>4002475</v>
      </c>
      <c r="B298" s="1" t="s">
        <v>258</v>
      </c>
    </row>
    <row r="299" spans="1:2" x14ac:dyDescent="0.35">
      <c r="A299" s="1">
        <v>4002477</v>
      </c>
      <c r="B299" s="1" t="s">
        <v>258</v>
      </c>
    </row>
    <row r="300" spans="1:2" x14ac:dyDescent="0.35">
      <c r="A300" s="1">
        <v>4002481</v>
      </c>
      <c r="B300" s="1" t="s">
        <v>258</v>
      </c>
    </row>
    <row r="301" spans="1:2" x14ac:dyDescent="0.35">
      <c r="A301" s="1">
        <v>4002482</v>
      </c>
      <c r="B301" s="1" t="s">
        <v>258</v>
      </c>
    </row>
    <row r="302" spans="1:2" x14ac:dyDescent="0.35">
      <c r="A302" s="1">
        <v>4002490</v>
      </c>
      <c r="B302" s="1" t="s">
        <v>258</v>
      </c>
    </row>
    <row r="303" spans="1:2" x14ac:dyDescent="0.35">
      <c r="A303" s="1">
        <v>4002491</v>
      </c>
      <c r="B303" s="1" t="s">
        <v>258</v>
      </c>
    </row>
    <row r="304" spans="1:2" x14ac:dyDescent="0.35">
      <c r="A304" s="1">
        <v>4002495</v>
      </c>
      <c r="B304" s="1" t="s">
        <v>258</v>
      </c>
    </row>
    <row r="305" spans="1:2" x14ac:dyDescent="0.35">
      <c r="A305" s="1">
        <v>4002545</v>
      </c>
      <c r="B305" s="1" t="s">
        <v>289</v>
      </c>
    </row>
    <row r="306" spans="1:2" x14ac:dyDescent="0.35">
      <c r="A306" s="1">
        <v>4002546</v>
      </c>
      <c r="B306" s="1" t="s">
        <v>258</v>
      </c>
    </row>
    <row r="307" spans="1:2" x14ac:dyDescent="0.35">
      <c r="A307" s="1">
        <v>4002621</v>
      </c>
      <c r="B307" s="1" t="s">
        <v>258</v>
      </c>
    </row>
    <row r="308" spans="1:2" x14ac:dyDescent="0.35">
      <c r="A308" s="1">
        <v>4002667</v>
      </c>
      <c r="B308" s="1" t="s">
        <v>258</v>
      </c>
    </row>
    <row r="309" spans="1:2" x14ac:dyDescent="0.35">
      <c r="A309" s="1">
        <v>4002675</v>
      </c>
      <c r="B309" s="1" t="s">
        <v>258</v>
      </c>
    </row>
    <row r="310" spans="1:2" x14ac:dyDescent="0.35">
      <c r="A310" s="1">
        <v>4002677</v>
      </c>
      <c r="B310" s="1" t="s">
        <v>258</v>
      </c>
    </row>
    <row r="311" spans="1:2" x14ac:dyDescent="0.35">
      <c r="A311" s="1">
        <v>4002679</v>
      </c>
      <c r="B311" s="1" t="s">
        <v>258</v>
      </c>
    </row>
    <row r="312" spans="1:2" x14ac:dyDescent="0.35">
      <c r="A312" s="1">
        <v>4002682</v>
      </c>
      <c r="B312" s="1" t="s">
        <v>258</v>
      </c>
    </row>
    <row r="313" spans="1:2" x14ac:dyDescent="0.35">
      <c r="A313" s="1">
        <v>4002684</v>
      </c>
      <c r="B313" s="1" t="s">
        <v>258</v>
      </c>
    </row>
    <row r="314" spans="1:2" x14ac:dyDescent="0.35">
      <c r="A314" s="1">
        <v>4002685</v>
      </c>
      <c r="B314" s="1" t="s">
        <v>258</v>
      </c>
    </row>
    <row r="315" spans="1:2" x14ac:dyDescent="0.35">
      <c r="A315" s="1">
        <v>4002686</v>
      </c>
      <c r="B315" s="1" t="s">
        <v>258</v>
      </c>
    </row>
    <row r="316" spans="1:2" x14ac:dyDescent="0.35">
      <c r="A316" s="1">
        <v>4002688</v>
      </c>
      <c r="B316" s="1" t="s">
        <v>258</v>
      </c>
    </row>
    <row r="317" spans="1:2" x14ac:dyDescent="0.35">
      <c r="A317" s="1">
        <v>4002709</v>
      </c>
      <c r="B317" s="1" t="s">
        <v>258</v>
      </c>
    </row>
    <row r="318" spans="1:2" x14ac:dyDescent="0.35">
      <c r="A318" s="1">
        <v>4002737</v>
      </c>
      <c r="B318" s="3"/>
    </row>
    <row r="319" spans="1:2" x14ac:dyDescent="0.35">
      <c r="A319" s="1">
        <v>4002738</v>
      </c>
      <c r="B319" s="3"/>
    </row>
    <row r="320" spans="1:2" x14ac:dyDescent="0.35">
      <c r="A320" s="1">
        <v>4002739</v>
      </c>
      <c r="B320" s="3"/>
    </row>
    <row r="321" spans="1:2" x14ac:dyDescent="0.35">
      <c r="A321" s="1">
        <v>4002740</v>
      </c>
      <c r="B321" s="3"/>
    </row>
    <row r="322" spans="1:2" x14ac:dyDescent="0.35">
      <c r="A322" s="1">
        <v>4002741</v>
      </c>
      <c r="B322" s="3"/>
    </row>
    <row r="323" spans="1:2" x14ac:dyDescent="0.35">
      <c r="A323" s="1">
        <v>4002742</v>
      </c>
      <c r="B323" s="3"/>
    </row>
    <row r="324" spans="1:2" x14ac:dyDescent="0.35">
      <c r="A324" s="1">
        <v>4002743</v>
      </c>
      <c r="B324" s="3"/>
    </row>
    <row r="325" spans="1:2" x14ac:dyDescent="0.35">
      <c r="A325" s="1">
        <v>4002745</v>
      </c>
      <c r="B325" s="3"/>
    </row>
    <row r="326" spans="1:2" x14ac:dyDescent="0.35">
      <c r="A326" s="1">
        <v>4002809</v>
      </c>
      <c r="B326" s="1" t="s">
        <v>271</v>
      </c>
    </row>
    <row r="327" spans="1:2" x14ac:dyDescent="0.35">
      <c r="A327" s="1">
        <v>4002847</v>
      </c>
      <c r="B327" s="1" t="s">
        <v>258</v>
      </c>
    </row>
    <row r="328" spans="1:2" x14ac:dyDescent="0.35">
      <c r="A328" s="1">
        <v>4002874</v>
      </c>
      <c r="B328" s="1" t="s">
        <v>258</v>
      </c>
    </row>
    <row r="329" spans="1:2" x14ac:dyDescent="0.35">
      <c r="A329" s="1">
        <v>4002898</v>
      </c>
      <c r="B329" s="1" t="s">
        <v>258</v>
      </c>
    </row>
    <row r="330" spans="1:2" x14ac:dyDescent="0.35">
      <c r="A330" s="1">
        <v>4002899</v>
      </c>
      <c r="B330" s="1" t="s">
        <v>258</v>
      </c>
    </row>
    <row r="331" spans="1:2" x14ac:dyDescent="0.35">
      <c r="A331" s="1">
        <v>4002985</v>
      </c>
      <c r="B331" s="3"/>
    </row>
    <row r="332" spans="1:2" x14ac:dyDescent="0.35">
      <c r="A332" s="1">
        <v>4003002</v>
      </c>
      <c r="B332" s="1" t="s">
        <v>258</v>
      </c>
    </row>
    <row r="333" spans="1:2" x14ac:dyDescent="0.35">
      <c r="A333" s="1">
        <v>4003004</v>
      </c>
      <c r="B333" s="1" t="s">
        <v>258</v>
      </c>
    </row>
    <row r="334" spans="1:2" x14ac:dyDescent="0.35">
      <c r="A334" s="1">
        <v>4003005</v>
      </c>
      <c r="B334" s="1" t="s">
        <v>258</v>
      </c>
    </row>
    <row r="335" spans="1:2" x14ac:dyDescent="0.35">
      <c r="A335" s="1">
        <v>4003006</v>
      </c>
      <c r="B335" s="1" t="s">
        <v>258</v>
      </c>
    </row>
    <row r="336" spans="1:2" x14ac:dyDescent="0.35">
      <c r="A336" s="1">
        <v>4003008</v>
      </c>
      <c r="B336" s="1" t="s">
        <v>258</v>
      </c>
    </row>
    <row r="337" spans="1:2" x14ac:dyDescent="0.35">
      <c r="A337" s="1">
        <v>4003208</v>
      </c>
      <c r="B337" s="3"/>
    </row>
    <row r="338" spans="1:2" x14ac:dyDescent="0.35">
      <c r="A338" s="1">
        <v>4003238</v>
      </c>
      <c r="B338" s="1" t="s">
        <v>258</v>
      </c>
    </row>
    <row r="339" spans="1:2" x14ac:dyDescent="0.35">
      <c r="A339" s="1">
        <v>4003241</v>
      </c>
      <c r="B339" s="3"/>
    </row>
    <row r="340" spans="1:2" x14ac:dyDescent="0.35">
      <c r="A340" s="1">
        <v>4003273</v>
      </c>
      <c r="B340" s="1" t="s">
        <v>258</v>
      </c>
    </row>
    <row r="341" spans="1:2" x14ac:dyDescent="0.35">
      <c r="A341" s="1">
        <v>4003308</v>
      </c>
      <c r="B341" s="1" t="s">
        <v>271</v>
      </c>
    </row>
    <row r="342" spans="1:2" x14ac:dyDescent="0.35">
      <c r="A342" s="1">
        <v>4003346</v>
      </c>
      <c r="B342" s="1" t="s">
        <v>258</v>
      </c>
    </row>
    <row r="343" spans="1:2" x14ac:dyDescent="0.35">
      <c r="A343" s="1">
        <v>4003357</v>
      </c>
      <c r="B343" s="1" t="s">
        <v>258</v>
      </c>
    </row>
    <row r="344" spans="1:2" x14ac:dyDescent="0.35">
      <c r="A344" s="1">
        <v>4003416</v>
      </c>
      <c r="B344" s="1" t="s">
        <v>258</v>
      </c>
    </row>
    <row r="345" spans="1:2" x14ac:dyDescent="0.35">
      <c r="A345" s="1">
        <v>4003529</v>
      </c>
      <c r="B345" s="1" t="s">
        <v>258</v>
      </c>
    </row>
    <row r="346" spans="1:2" x14ac:dyDescent="0.35">
      <c r="A346" s="1">
        <v>4003611</v>
      </c>
      <c r="B346" s="1" t="s">
        <v>258</v>
      </c>
    </row>
    <row r="347" spans="1:2" x14ac:dyDescent="0.35">
      <c r="A347" s="1">
        <v>4003836</v>
      </c>
      <c r="B347" s="1" t="s">
        <v>258</v>
      </c>
    </row>
    <row r="348" spans="1:2" x14ac:dyDescent="0.35">
      <c r="A348" s="1">
        <v>4003844</v>
      </c>
      <c r="B348" s="1" t="s">
        <v>258</v>
      </c>
    </row>
    <row r="349" spans="1:2" x14ac:dyDescent="0.35">
      <c r="A349" s="1">
        <v>4003854</v>
      </c>
      <c r="B349" s="1" t="s">
        <v>258</v>
      </c>
    </row>
    <row r="350" spans="1:2" x14ac:dyDescent="0.35">
      <c r="A350" s="1">
        <v>4003855</v>
      </c>
      <c r="B350" s="1" t="s">
        <v>258</v>
      </c>
    </row>
    <row r="351" spans="1:2" x14ac:dyDescent="0.35">
      <c r="A351" s="1">
        <v>4003857</v>
      </c>
      <c r="B351" s="1" t="s">
        <v>271</v>
      </c>
    </row>
    <row r="352" spans="1:2" x14ac:dyDescent="0.35">
      <c r="A352" s="1">
        <v>4003858</v>
      </c>
      <c r="B352" s="1" t="s">
        <v>271</v>
      </c>
    </row>
    <row r="353" spans="1:2" x14ac:dyDescent="0.35">
      <c r="A353" s="1">
        <v>4003859</v>
      </c>
      <c r="B353" s="1" t="s">
        <v>258</v>
      </c>
    </row>
    <row r="354" spans="1:2" x14ac:dyDescent="0.35">
      <c r="A354" s="1">
        <v>4003860</v>
      </c>
      <c r="B354" s="1" t="s">
        <v>258</v>
      </c>
    </row>
    <row r="355" spans="1:2" x14ac:dyDescent="0.35">
      <c r="A355" s="1">
        <v>4003862</v>
      </c>
      <c r="B355" s="1" t="s">
        <v>289</v>
      </c>
    </row>
    <row r="356" spans="1:2" x14ac:dyDescent="0.35">
      <c r="A356" s="1">
        <v>4003864</v>
      </c>
      <c r="B356" s="1" t="s">
        <v>289</v>
      </c>
    </row>
    <row r="357" spans="1:2" x14ac:dyDescent="0.35">
      <c r="A357" s="1">
        <v>4003887</v>
      </c>
      <c r="B357" s="1" t="s">
        <v>271</v>
      </c>
    </row>
    <row r="358" spans="1:2" x14ac:dyDescent="0.35">
      <c r="A358" s="1">
        <v>4003889</v>
      </c>
      <c r="B358" s="1" t="s">
        <v>258</v>
      </c>
    </row>
    <row r="359" spans="1:2" x14ac:dyDescent="0.35">
      <c r="A359" s="1">
        <v>4003906</v>
      </c>
      <c r="B359" s="1" t="s">
        <v>258</v>
      </c>
    </row>
    <row r="360" spans="1:2" x14ac:dyDescent="0.35">
      <c r="A360" s="1">
        <v>4003911</v>
      </c>
      <c r="B360" s="1" t="s">
        <v>258</v>
      </c>
    </row>
    <row r="361" spans="1:2" x14ac:dyDescent="0.35">
      <c r="A361" s="1">
        <v>4003915</v>
      </c>
      <c r="B361" s="1" t="s">
        <v>258</v>
      </c>
    </row>
    <row r="362" spans="1:2" x14ac:dyDescent="0.35">
      <c r="A362" s="1">
        <v>4003916</v>
      </c>
      <c r="B362" s="1" t="s">
        <v>258</v>
      </c>
    </row>
    <row r="363" spans="1:2" x14ac:dyDescent="0.35">
      <c r="A363" s="1">
        <v>4003922</v>
      </c>
      <c r="B363" s="3"/>
    </row>
    <row r="364" spans="1:2" x14ac:dyDescent="0.35">
      <c r="A364" s="1">
        <v>4004010</v>
      </c>
      <c r="B364" s="1" t="s">
        <v>258</v>
      </c>
    </row>
    <row r="365" spans="1:2" x14ac:dyDescent="0.35">
      <c r="A365" s="1">
        <v>4004015</v>
      </c>
      <c r="B365" s="1" t="s">
        <v>258</v>
      </c>
    </row>
    <row r="366" spans="1:2" x14ac:dyDescent="0.35">
      <c r="A366" s="1">
        <v>4004018</v>
      </c>
      <c r="B366" s="1" t="s">
        <v>258</v>
      </c>
    </row>
    <row r="367" spans="1:2" x14ac:dyDescent="0.35">
      <c r="A367" s="1">
        <v>4004037</v>
      </c>
      <c r="B367" s="1" t="s">
        <v>258</v>
      </c>
    </row>
    <row r="368" spans="1:2" x14ac:dyDescent="0.35">
      <c r="A368" s="1">
        <v>4004039</v>
      </c>
      <c r="B368" s="1" t="s">
        <v>258</v>
      </c>
    </row>
    <row r="369" spans="1:2" x14ac:dyDescent="0.35">
      <c r="A369" s="1">
        <v>4004041</v>
      </c>
      <c r="B369" s="1" t="s">
        <v>289</v>
      </c>
    </row>
    <row r="370" spans="1:2" x14ac:dyDescent="0.35">
      <c r="A370" s="1">
        <v>4004049</v>
      </c>
      <c r="B370" s="1" t="s">
        <v>258</v>
      </c>
    </row>
    <row r="371" spans="1:2" x14ac:dyDescent="0.35">
      <c r="A371" s="1">
        <v>4004054</v>
      </c>
      <c r="B371" s="1" t="s">
        <v>258</v>
      </c>
    </row>
    <row r="372" spans="1:2" x14ac:dyDescent="0.35">
      <c r="A372" s="1">
        <v>4004067</v>
      </c>
      <c r="B372" s="1" t="s">
        <v>258</v>
      </c>
    </row>
    <row r="373" spans="1:2" x14ac:dyDescent="0.35">
      <c r="A373" s="1">
        <v>4004068</v>
      </c>
      <c r="B373" s="1" t="s">
        <v>258</v>
      </c>
    </row>
    <row r="374" spans="1:2" x14ac:dyDescent="0.35">
      <c r="A374" s="1">
        <v>4004070</v>
      </c>
      <c r="B374" s="1" t="s">
        <v>258</v>
      </c>
    </row>
    <row r="375" spans="1:2" x14ac:dyDescent="0.35">
      <c r="A375" s="1">
        <v>4004071</v>
      </c>
      <c r="B375" s="1" t="s">
        <v>258</v>
      </c>
    </row>
    <row r="376" spans="1:2" x14ac:dyDescent="0.35">
      <c r="A376" s="1">
        <v>4004074</v>
      </c>
      <c r="B376" s="1" t="s">
        <v>258</v>
      </c>
    </row>
    <row r="377" spans="1:2" x14ac:dyDescent="0.35">
      <c r="A377" s="1">
        <v>4004098</v>
      </c>
      <c r="B377" s="1" t="s">
        <v>258</v>
      </c>
    </row>
    <row r="378" spans="1:2" x14ac:dyDescent="0.35">
      <c r="A378" s="1">
        <v>4004107</v>
      </c>
      <c r="B378" s="1" t="s">
        <v>271</v>
      </c>
    </row>
    <row r="379" spans="1:2" x14ac:dyDescent="0.35">
      <c r="A379" s="1">
        <v>4004110</v>
      </c>
      <c r="B379" s="1" t="s">
        <v>289</v>
      </c>
    </row>
    <row r="380" spans="1:2" x14ac:dyDescent="0.35">
      <c r="A380" s="1">
        <v>4004111</v>
      </c>
      <c r="B380" s="1" t="s">
        <v>289</v>
      </c>
    </row>
    <row r="381" spans="1:2" x14ac:dyDescent="0.35">
      <c r="A381" s="1">
        <v>4004114</v>
      </c>
      <c r="B381" s="1" t="s">
        <v>258</v>
      </c>
    </row>
    <row r="382" spans="1:2" x14ac:dyDescent="0.35">
      <c r="A382" s="1">
        <v>4004121</v>
      </c>
      <c r="B382" s="1" t="s">
        <v>258</v>
      </c>
    </row>
    <row r="383" spans="1:2" x14ac:dyDescent="0.35">
      <c r="A383" s="1">
        <v>4004123</v>
      </c>
      <c r="B383" s="1" t="s">
        <v>258</v>
      </c>
    </row>
    <row r="384" spans="1:2" x14ac:dyDescent="0.35">
      <c r="A384" s="1">
        <v>4004124</v>
      </c>
      <c r="B384" s="1" t="s">
        <v>258</v>
      </c>
    </row>
    <row r="385" spans="1:2" x14ac:dyDescent="0.35">
      <c r="A385" s="1">
        <v>4004137</v>
      </c>
      <c r="B385" s="1" t="s">
        <v>258</v>
      </c>
    </row>
    <row r="386" spans="1:2" x14ac:dyDescent="0.35">
      <c r="A386" s="1">
        <v>4004147</v>
      </c>
      <c r="B386" s="1" t="s">
        <v>258</v>
      </c>
    </row>
    <row r="387" spans="1:2" x14ac:dyDescent="0.35">
      <c r="A387" s="1">
        <v>4004149</v>
      </c>
      <c r="B387" s="1" t="s">
        <v>258</v>
      </c>
    </row>
    <row r="388" spans="1:2" x14ac:dyDescent="0.35">
      <c r="A388" s="1">
        <v>4004150</v>
      </c>
      <c r="B388" s="1" t="s">
        <v>258</v>
      </c>
    </row>
    <row r="389" spans="1:2" x14ac:dyDescent="0.35">
      <c r="A389" s="1">
        <v>4004152</v>
      </c>
      <c r="B389" s="1" t="s">
        <v>258</v>
      </c>
    </row>
    <row r="390" spans="1:2" x14ac:dyDescent="0.35">
      <c r="A390" s="1">
        <v>4004157</v>
      </c>
      <c r="B390" s="1" t="s">
        <v>258</v>
      </c>
    </row>
    <row r="391" spans="1:2" x14ac:dyDescent="0.35">
      <c r="A391" s="1">
        <v>4004166</v>
      </c>
      <c r="B391" s="1" t="s">
        <v>258</v>
      </c>
    </row>
    <row r="392" spans="1:2" x14ac:dyDescent="0.35">
      <c r="A392" s="1">
        <v>4004168</v>
      </c>
      <c r="B392" s="1" t="s">
        <v>258</v>
      </c>
    </row>
    <row r="393" spans="1:2" x14ac:dyDescent="0.35">
      <c r="A393" s="1">
        <v>4004171</v>
      </c>
      <c r="B393" s="1" t="s">
        <v>258</v>
      </c>
    </row>
    <row r="394" spans="1:2" x14ac:dyDescent="0.35">
      <c r="A394" s="1">
        <v>4004200</v>
      </c>
      <c r="B394" s="1" t="s">
        <v>258</v>
      </c>
    </row>
    <row r="395" spans="1:2" x14ac:dyDescent="0.35">
      <c r="A395" s="1">
        <v>4004201</v>
      </c>
      <c r="B395" s="1" t="s">
        <v>258</v>
      </c>
    </row>
    <row r="396" spans="1:2" x14ac:dyDescent="0.35">
      <c r="A396" s="1">
        <v>4004203</v>
      </c>
      <c r="B396" s="1" t="s">
        <v>258</v>
      </c>
    </row>
    <row r="397" spans="1:2" x14ac:dyDescent="0.35">
      <c r="A397" s="1">
        <v>4004205</v>
      </c>
      <c r="B397" s="1" t="s">
        <v>258</v>
      </c>
    </row>
    <row r="398" spans="1:2" x14ac:dyDescent="0.35">
      <c r="A398" s="1">
        <v>4004236</v>
      </c>
      <c r="B398" s="1" t="s">
        <v>258</v>
      </c>
    </row>
    <row r="399" spans="1:2" x14ac:dyDescent="0.35">
      <c r="A399" s="1">
        <v>4004237</v>
      </c>
      <c r="B399" s="1" t="s">
        <v>258</v>
      </c>
    </row>
    <row r="400" spans="1:2" x14ac:dyDescent="0.35">
      <c r="A400" s="1">
        <v>4004238</v>
      </c>
      <c r="B400" s="1" t="s">
        <v>258</v>
      </c>
    </row>
    <row r="401" spans="1:2" x14ac:dyDescent="0.35">
      <c r="A401" s="1">
        <v>4004240</v>
      </c>
      <c r="B401" s="1" t="s">
        <v>258</v>
      </c>
    </row>
    <row r="402" spans="1:2" x14ac:dyDescent="0.35">
      <c r="A402" s="1">
        <v>4004241</v>
      </c>
      <c r="B402" s="1" t="s">
        <v>258</v>
      </c>
    </row>
    <row r="403" spans="1:2" x14ac:dyDescent="0.35">
      <c r="A403" s="1">
        <v>4004246</v>
      </c>
      <c r="B403" s="3"/>
    </row>
    <row r="404" spans="1:2" x14ac:dyDescent="0.35">
      <c r="A404" s="1">
        <v>4004247</v>
      </c>
      <c r="B404" s="3"/>
    </row>
    <row r="405" spans="1:2" x14ac:dyDescent="0.35">
      <c r="A405" s="1">
        <v>4004248</v>
      </c>
      <c r="B405" s="3"/>
    </row>
    <row r="406" spans="1:2" x14ac:dyDescent="0.35">
      <c r="A406" s="1">
        <v>4004250</v>
      </c>
      <c r="B406" s="1" t="s">
        <v>258</v>
      </c>
    </row>
    <row r="407" spans="1:2" x14ac:dyDescent="0.35">
      <c r="A407" s="1">
        <v>4004259</v>
      </c>
      <c r="B407" s="1" t="s">
        <v>258</v>
      </c>
    </row>
    <row r="408" spans="1:2" x14ac:dyDescent="0.35">
      <c r="A408" s="1">
        <v>4004262</v>
      </c>
      <c r="B408" s="1" t="s">
        <v>258</v>
      </c>
    </row>
    <row r="409" spans="1:2" x14ac:dyDescent="0.35">
      <c r="A409" s="1">
        <v>4004269</v>
      </c>
      <c r="B409" s="1" t="s">
        <v>258</v>
      </c>
    </row>
    <row r="410" spans="1:2" x14ac:dyDescent="0.35">
      <c r="A410" s="1">
        <v>4004272</v>
      </c>
      <c r="B410" s="1" t="s">
        <v>258</v>
      </c>
    </row>
    <row r="411" spans="1:2" x14ac:dyDescent="0.35">
      <c r="A411" s="1">
        <v>4004276</v>
      </c>
      <c r="B411" s="1" t="s">
        <v>289</v>
      </c>
    </row>
    <row r="412" spans="1:2" x14ac:dyDescent="0.35">
      <c r="A412" s="1">
        <v>4004280</v>
      </c>
      <c r="B412" s="1" t="s">
        <v>258</v>
      </c>
    </row>
    <row r="413" spans="1:2" x14ac:dyDescent="0.35">
      <c r="A413" s="1">
        <v>4004281</v>
      </c>
      <c r="B413" s="1" t="s">
        <v>258</v>
      </c>
    </row>
    <row r="414" spans="1:2" x14ac:dyDescent="0.35">
      <c r="A414" s="1">
        <v>4004319</v>
      </c>
      <c r="B414" s="1" t="s">
        <v>258</v>
      </c>
    </row>
    <row r="415" spans="1:2" x14ac:dyDescent="0.35">
      <c r="A415" s="1">
        <v>4004351</v>
      </c>
      <c r="B415" s="1" t="s">
        <v>258</v>
      </c>
    </row>
    <row r="416" spans="1:2" x14ac:dyDescent="0.35">
      <c r="A416" s="1">
        <v>4004352</v>
      </c>
      <c r="B416" s="1" t="s">
        <v>289</v>
      </c>
    </row>
    <row r="417" spans="1:2" x14ac:dyDescent="0.35">
      <c r="A417" s="1">
        <v>4004353</v>
      </c>
      <c r="B417" s="1" t="s">
        <v>258</v>
      </c>
    </row>
    <row r="418" spans="1:2" x14ac:dyDescent="0.35">
      <c r="A418" s="1">
        <v>4004354</v>
      </c>
      <c r="B418" s="1" t="s">
        <v>258</v>
      </c>
    </row>
    <row r="419" spans="1:2" x14ac:dyDescent="0.35">
      <c r="A419" s="1">
        <v>4004355</v>
      </c>
      <c r="B419" s="1" t="s">
        <v>258</v>
      </c>
    </row>
    <row r="420" spans="1:2" x14ac:dyDescent="0.35">
      <c r="A420" s="1">
        <v>4004359</v>
      </c>
      <c r="B420" s="1" t="s">
        <v>258</v>
      </c>
    </row>
    <row r="421" spans="1:2" x14ac:dyDescent="0.35">
      <c r="A421" s="1">
        <v>4004360</v>
      </c>
      <c r="B421" s="1" t="s">
        <v>258</v>
      </c>
    </row>
    <row r="422" spans="1:2" x14ac:dyDescent="0.35">
      <c r="A422" s="1">
        <v>4004377</v>
      </c>
      <c r="B422" s="1" t="s">
        <v>258</v>
      </c>
    </row>
    <row r="423" spans="1:2" x14ac:dyDescent="0.35">
      <c r="A423" s="1">
        <v>4004385</v>
      </c>
      <c r="B423" s="1" t="s">
        <v>289</v>
      </c>
    </row>
    <row r="424" spans="1:2" x14ac:dyDescent="0.35">
      <c r="A424" s="1">
        <v>4004397</v>
      </c>
      <c r="B424" s="1" t="s">
        <v>258</v>
      </c>
    </row>
    <row r="425" spans="1:2" x14ac:dyDescent="0.35">
      <c r="A425" s="1">
        <v>4004401</v>
      </c>
      <c r="B425" s="1" t="s">
        <v>258</v>
      </c>
    </row>
    <row r="426" spans="1:2" x14ac:dyDescent="0.35">
      <c r="A426" s="1">
        <v>4004408</v>
      </c>
      <c r="B426" s="1" t="s">
        <v>258</v>
      </c>
    </row>
    <row r="427" spans="1:2" x14ac:dyDescent="0.35">
      <c r="A427" s="1">
        <v>4004410</v>
      </c>
      <c r="B427" s="1" t="s">
        <v>258</v>
      </c>
    </row>
    <row r="428" spans="1:2" x14ac:dyDescent="0.35">
      <c r="A428" s="1">
        <v>4004428</v>
      </c>
      <c r="B428" s="1" t="s">
        <v>258</v>
      </c>
    </row>
    <row r="429" spans="1:2" x14ac:dyDescent="0.35">
      <c r="A429" s="1">
        <v>4004437</v>
      </c>
      <c r="B429" s="1" t="s">
        <v>258</v>
      </c>
    </row>
    <row r="430" spans="1:2" x14ac:dyDescent="0.35">
      <c r="A430" s="1">
        <v>4004438</v>
      </c>
      <c r="B430" s="1" t="s">
        <v>258</v>
      </c>
    </row>
    <row r="431" spans="1:2" x14ac:dyDescent="0.35">
      <c r="A431" s="1">
        <v>4004439</v>
      </c>
      <c r="B431" s="1" t="s">
        <v>258</v>
      </c>
    </row>
    <row r="432" spans="1:2" x14ac:dyDescent="0.35">
      <c r="A432" s="1">
        <v>4004440</v>
      </c>
      <c r="B432" s="1" t="s">
        <v>258</v>
      </c>
    </row>
    <row r="433" spans="1:2" x14ac:dyDescent="0.35">
      <c r="A433" s="1">
        <v>4004441</v>
      </c>
      <c r="B433" s="1" t="s">
        <v>258</v>
      </c>
    </row>
    <row r="434" spans="1:2" x14ac:dyDescent="0.35">
      <c r="A434" s="1">
        <v>4004447</v>
      </c>
      <c r="B434" s="3"/>
    </row>
    <row r="435" spans="1:2" x14ac:dyDescent="0.35">
      <c r="A435" s="1">
        <v>4004450</v>
      </c>
      <c r="B435" s="1" t="s">
        <v>258</v>
      </c>
    </row>
    <row r="436" spans="1:2" x14ac:dyDescent="0.35">
      <c r="A436" s="1">
        <v>4004451</v>
      </c>
      <c r="B436" s="1" t="s">
        <v>258</v>
      </c>
    </row>
    <row r="437" spans="1:2" x14ac:dyDescent="0.35">
      <c r="A437" s="1">
        <v>4004453</v>
      </c>
      <c r="B437" s="1" t="s">
        <v>258</v>
      </c>
    </row>
    <row r="438" spans="1:2" x14ac:dyDescent="0.35">
      <c r="A438" s="1">
        <v>4004670</v>
      </c>
      <c r="B438" s="1" t="s">
        <v>271</v>
      </c>
    </row>
    <row r="439" spans="1:2" x14ac:dyDescent="0.35">
      <c r="A439" s="1">
        <v>4004674</v>
      </c>
      <c r="B439" s="1" t="s">
        <v>258</v>
      </c>
    </row>
    <row r="440" spans="1:2" x14ac:dyDescent="0.35">
      <c r="A440" s="1">
        <v>4004679</v>
      </c>
      <c r="B440" s="1" t="s">
        <v>258</v>
      </c>
    </row>
    <row r="441" spans="1:2" x14ac:dyDescent="0.35">
      <c r="A441" s="1">
        <v>4004700</v>
      </c>
      <c r="B441" s="3"/>
    </row>
    <row r="442" spans="1:2" x14ac:dyDescent="0.35">
      <c r="A442" s="1">
        <v>4004809</v>
      </c>
      <c r="B442" s="1" t="s">
        <v>258</v>
      </c>
    </row>
    <row r="443" spans="1:2" x14ac:dyDescent="0.35">
      <c r="A443" s="1">
        <v>4004810</v>
      </c>
      <c r="B443" s="1" t="s">
        <v>258</v>
      </c>
    </row>
    <row r="444" spans="1:2" x14ac:dyDescent="0.35">
      <c r="A444" s="1">
        <v>4004825</v>
      </c>
      <c r="B444" s="1" t="s">
        <v>258</v>
      </c>
    </row>
    <row r="445" spans="1:2" x14ac:dyDescent="0.35">
      <c r="A445" s="1">
        <v>4004843</v>
      </c>
      <c r="B445" s="1" t="s">
        <v>258</v>
      </c>
    </row>
    <row r="446" spans="1:2" x14ac:dyDescent="0.35">
      <c r="A446" s="1">
        <v>4004889</v>
      </c>
      <c r="B446" s="3"/>
    </row>
    <row r="447" spans="1:2" x14ac:dyDescent="0.35">
      <c r="A447" s="1">
        <v>4004891</v>
      </c>
      <c r="B447" s="3"/>
    </row>
    <row r="448" spans="1:2" x14ac:dyDescent="0.35">
      <c r="A448" s="1">
        <v>4004920</v>
      </c>
      <c r="B448" s="3"/>
    </row>
    <row r="449" spans="1:2" x14ac:dyDescent="0.35">
      <c r="A449" s="1">
        <v>4004963</v>
      </c>
      <c r="B449" s="1" t="s">
        <v>258</v>
      </c>
    </row>
    <row r="450" spans="1:2" x14ac:dyDescent="0.35">
      <c r="A450" s="1">
        <v>4004967</v>
      </c>
      <c r="B450" s="1" t="s">
        <v>258</v>
      </c>
    </row>
    <row r="451" spans="1:2" x14ac:dyDescent="0.35">
      <c r="A451" s="1">
        <v>4004969</v>
      </c>
      <c r="B451" s="1" t="s">
        <v>258</v>
      </c>
    </row>
    <row r="452" spans="1:2" x14ac:dyDescent="0.35">
      <c r="A452" s="1">
        <v>4004972</v>
      </c>
      <c r="B452" s="1" t="s">
        <v>258</v>
      </c>
    </row>
    <row r="453" spans="1:2" x14ac:dyDescent="0.35">
      <c r="A453" s="1">
        <v>4004973</v>
      </c>
      <c r="B453" s="1" t="s">
        <v>258</v>
      </c>
    </row>
    <row r="454" spans="1:2" x14ac:dyDescent="0.35">
      <c r="A454" s="1">
        <v>4005020</v>
      </c>
      <c r="B454" s="1" t="s">
        <v>258</v>
      </c>
    </row>
    <row r="455" spans="1:2" x14ac:dyDescent="0.35">
      <c r="A455" s="1">
        <v>4005032</v>
      </c>
      <c r="B455" s="1" t="s">
        <v>258</v>
      </c>
    </row>
    <row r="456" spans="1:2" x14ac:dyDescent="0.35">
      <c r="A456" s="1">
        <v>4005052</v>
      </c>
      <c r="B456" s="3"/>
    </row>
    <row r="457" spans="1:2" x14ac:dyDescent="0.35">
      <c r="A457" s="1">
        <v>4005446</v>
      </c>
      <c r="B457" s="3"/>
    </row>
    <row r="458" spans="1:2" x14ac:dyDescent="0.35">
      <c r="A458" s="1">
        <v>4005449</v>
      </c>
      <c r="B458" s="3"/>
    </row>
    <row r="459" spans="1:2" x14ac:dyDescent="0.35">
      <c r="A459" s="1">
        <v>4005454</v>
      </c>
      <c r="B459" s="3"/>
    </row>
    <row r="460" spans="1:2" x14ac:dyDescent="0.35">
      <c r="A460" s="1">
        <v>4005458</v>
      </c>
      <c r="B460" s="1" t="s">
        <v>258</v>
      </c>
    </row>
    <row r="461" spans="1:2" x14ac:dyDescent="0.35">
      <c r="A461" s="1">
        <v>4005459</v>
      </c>
      <c r="B461" s="1" t="s">
        <v>258</v>
      </c>
    </row>
    <row r="462" spans="1:2" x14ac:dyDescent="0.35">
      <c r="A462" s="1">
        <v>4005503</v>
      </c>
      <c r="B462" s="3"/>
    </row>
    <row r="463" spans="1:2" x14ac:dyDescent="0.35">
      <c r="A463" s="1">
        <v>4005583</v>
      </c>
      <c r="B463" s="1" t="s">
        <v>271</v>
      </c>
    </row>
    <row r="464" spans="1:2" x14ac:dyDescent="0.35">
      <c r="A464" s="1">
        <v>4005584</v>
      </c>
      <c r="B464" s="1" t="s">
        <v>271</v>
      </c>
    </row>
    <row r="465" spans="1:2" x14ac:dyDescent="0.35">
      <c r="A465" s="1">
        <v>4005783</v>
      </c>
      <c r="B465" s="3"/>
    </row>
    <row r="466" spans="1:2" x14ac:dyDescent="0.35">
      <c r="A466" s="1">
        <v>4005791</v>
      </c>
      <c r="B466" s="1" t="s">
        <v>258</v>
      </c>
    </row>
    <row r="467" spans="1:2" x14ac:dyDescent="0.35">
      <c r="A467" s="1">
        <v>4005792</v>
      </c>
      <c r="B467" s="1" t="s">
        <v>258</v>
      </c>
    </row>
    <row r="468" spans="1:2" x14ac:dyDescent="0.35">
      <c r="A468" s="1">
        <v>4005868</v>
      </c>
      <c r="B468" s="1" t="s">
        <v>258</v>
      </c>
    </row>
    <row r="469" spans="1:2" x14ac:dyDescent="0.35">
      <c r="A469" s="1">
        <v>4005876</v>
      </c>
      <c r="B469" s="3"/>
    </row>
    <row r="470" spans="1:2" x14ac:dyDescent="0.35">
      <c r="A470" s="1">
        <v>4005880</v>
      </c>
      <c r="B470" s="1" t="s">
        <v>258</v>
      </c>
    </row>
    <row r="471" spans="1:2" x14ac:dyDescent="0.35">
      <c r="A471" s="1">
        <v>4005881</v>
      </c>
      <c r="B471" s="1" t="s">
        <v>258</v>
      </c>
    </row>
    <row r="472" spans="1:2" x14ac:dyDescent="0.35">
      <c r="A472" s="1">
        <v>4005883</v>
      </c>
      <c r="B472" s="1" t="s">
        <v>258</v>
      </c>
    </row>
    <row r="473" spans="1:2" x14ac:dyDescent="0.35">
      <c r="A473" s="1">
        <v>4005885</v>
      </c>
      <c r="B473" s="1" t="s">
        <v>258</v>
      </c>
    </row>
    <row r="474" spans="1:2" x14ac:dyDescent="0.35">
      <c r="A474" s="1">
        <v>4005925</v>
      </c>
      <c r="B474" s="3"/>
    </row>
    <row r="475" spans="1:2" x14ac:dyDescent="0.35">
      <c r="A475" s="1">
        <v>4005949</v>
      </c>
      <c r="B475" s="1" t="s">
        <v>258</v>
      </c>
    </row>
    <row r="476" spans="1:2" x14ac:dyDescent="0.35">
      <c r="A476" s="1">
        <v>4005955</v>
      </c>
      <c r="B476" s="1" t="s">
        <v>258</v>
      </c>
    </row>
    <row r="477" spans="1:2" x14ac:dyDescent="0.35">
      <c r="A477" s="1">
        <v>4005962</v>
      </c>
      <c r="B477" s="1" t="s">
        <v>289</v>
      </c>
    </row>
    <row r="478" spans="1:2" x14ac:dyDescent="0.35">
      <c r="A478" s="1">
        <v>4005997</v>
      </c>
      <c r="B478" s="1" t="s">
        <v>258</v>
      </c>
    </row>
    <row r="479" spans="1:2" x14ac:dyDescent="0.35">
      <c r="A479" s="1">
        <v>4006009</v>
      </c>
      <c r="B479" s="3"/>
    </row>
    <row r="480" spans="1:2" x14ac:dyDescent="0.35">
      <c r="A480" s="1">
        <v>4006012</v>
      </c>
      <c r="B480" s="1" t="s">
        <v>258</v>
      </c>
    </row>
    <row r="481" spans="1:2" x14ac:dyDescent="0.35">
      <c r="A481" s="1">
        <v>4006014</v>
      </c>
      <c r="B481" s="1" t="s">
        <v>258</v>
      </c>
    </row>
    <row r="482" spans="1:2" x14ac:dyDescent="0.35">
      <c r="A482" s="1">
        <v>4006023</v>
      </c>
      <c r="B482" s="1" t="s">
        <v>258</v>
      </c>
    </row>
    <row r="483" spans="1:2" x14ac:dyDescent="0.35">
      <c r="A483" s="1">
        <v>4006027</v>
      </c>
      <c r="B483" s="1" t="s">
        <v>258</v>
      </c>
    </row>
    <row r="484" spans="1:2" x14ac:dyDescent="0.35">
      <c r="A484" s="1">
        <v>4006037</v>
      </c>
      <c r="B484" s="1" t="s">
        <v>258</v>
      </c>
    </row>
    <row r="485" spans="1:2" x14ac:dyDescent="0.35">
      <c r="A485" s="1">
        <v>4006043</v>
      </c>
      <c r="B485" s="1" t="s">
        <v>258</v>
      </c>
    </row>
    <row r="486" spans="1:2" x14ac:dyDescent="0.35">
      <c r="A486" s="1">
        <v>4006062</v>
      </c>
      <c r="B486" s="1" t="s">
        <v>258</v>
      </c>
    </row>
    <row r="487" spans="1:2" x14ac:dyDescent="0.35">
      <c r="A487" s="1">
        <v>4006066</v>
      </c>
      <c r="B487" s="1" t="s">
        <v>258</v>
      </c>
    </row>
    <row r="488" spans="1:2" x14ac:dyDescent="0.35">
      <c r="A488" s="1">
        <v>4006072</v>
      </c>
      <c r="B488" s="3"/>
    </row>
    <row r="489" spans="1:2" x14ac:dyDescent="0.35">
      <c r="A489" s="1">
        <v>4006075</v>
      </c>
      <c r="B489" s="3"/>
    </row>
    <row r="490" spans="1:2" x14ac:dyDescent="0.35">
      <c r="A490" s="1">
        <v>4006088</v>
      </c>
      <c r="B490" s="1" t="s">
        <v>258</v>
      </c>
    </row>
    <row r="491" spans="1:2" x14ac:dyDescent="0.35">
      <c r="A491" s="1">
        <v>4006094</v>
      </c>
      <c r="B491" s="1" t="s">
        <v>258</v>
      </c>
    </row>
    <row r="492" spans="1:2" x14ac:dyDescent="0.35">
      <c r="A492" s="1">
        <v>4006098</v>
      </c>
      <c r="B492" s="1" t="s">
        <v>258</v>
      </c>
    </row>
    <row r="493" spans="1:2" x14ac:dyDescent="0.35">
      <c r="A493" s="1">
        <v>4006114</v>
      </c>
      <c r="B493" s="1" t="s">
        <v>258</v>
      </c>
    </row>
    <row r="494" spans="1:2" x14ac:dyDescent="0.35">
      <c r="A494" s="1">
        <v>4006157</v>
      </c>
      <c r="B494" s="1" t="s">
        <v>258</v>
      </c>
    </row>
    <row r="495" spans="1:2" x14ac:dyDescent="0.35">
      <c r="A495" s="1">
        <v>4006159</v>
      </c>
      <c r="B495" s="1" t="s">
        <v>289</v>
      </c>
    </row>
    <row r="496" spans="1:2" x14ac:dyDescent="0.35">
      <c r="A496" s="1">
        <v>4006161</v>
      </c>
      <c r="B496" s="1" t="s">
        <v>258</v>
      </c>
    </row>
    <row r="497" spans="1:2" x14ac:dyDescent="0.35">
      <c r="A497" s="1">
        <v>4006163</v>
      </c>
      <c r="B497" s="1" t="s">
        <v>258</v>
      </c>
    </row>
    <row r="498" spans="1:2" x14ac:dyDescent="0.35">
      <c r="A498" s="1">
        <v>4006164</v>
      </c>
      <c r="B498" s="1" t="s">
        <v>258</v>
      </c>
    </row>
    <row r="499" spans="1:2" x14ac:dyDescent="0.35">
      <c r="A499" s="1">
        <v>4006167</v>
      </c>
      <c r="B499" s="1" t="s">
        <v>258</v>
      </c>
    </row>
    <row r="500" spans="1:2" x14ac:dyDescent="0.35">
      <c r="A500" s="1">
        <v>4006168</v>
      </c>
      <c r="B500" s="1" t="s">
        <v>258</v>
      </c>
    </row>
    <row r="501" spans="1:2" x14ac:dyDescent="0.35">
      <c r="A501" s="1">
        <v>4006169</v>
      </c>
      <c r="B501" s="1" t="s">
        <v>258</v>
      </c>
    </row>
    <row r="502" spans="1:2" x14ac:dyDescent="0.35">
      <c r="A502" s="1">
        <v>4006170</v>
      </c>
      <c r="B502" s="1" t="s">
        <v>258</v>
      </c>
    </row>
    <row r="503" spans="1:2" x14ac:dyDescent="0.35">
      <c r="A503" s="1">
        <v>4006171</v>
      </c>
      <c r="B503" s="1" t="s">
        <v>258</v>
      </c>
    </row>
    <row r="504" spans="1:2" x14ac:dyDescent="0.35">
      <c r="A504" s="1">
        <v>4006172</v>
      </c>
      <c r="B504" s="1" t="s">
        <v>289</v>
      </c>
    </row>
    <row r="505" spans="1:2" x14ac:dyDescent="0.35">
      <c r="A505" s="1">
        <v>4006174</v>
      </c>
      <c r="B505" s="1" t="s">
        <v>258</v>
      </c>
    </row>
    <row r="506" spans="1:2" x14ac:dyDescent="0.35">
      <c r="A506" s="1">
        <v>4006176</v>
      </c>
      <c r="B506" s="1" t="s">
        <v>271</v>
      </c>
    </row>
    <row r="507" spans="1:2" x14ac:dyDescent="0.35">
      <c r="A507" s="1">
        <v>4006177</v>
      </c>
      <c r="B507" s="1" t="s">
        <v>258</v>
      </c>
    </row>
    <row r="508" spans="1:2" x14ac:dyDescent="0.35">
      <c r="A508" s="1">
        <v>4006181</v>
      </c>
      <c r="B508" s="1" t="s">
        <v>258</v>
      </c>
    </row>
    <row r="509" spans="1:2" x14ac:dyDescent="0.35">
      <c r="A509" s="1">
        <v>4006185</v>
      </c>
      <c r="B509" s="1" t="s">
        <v>258</v>
      </c>
    </row>
    <row r="510" spans="1:2" x14ac:dyDescent="0.35">
      <c r="A510" s="1">
        <v>4006187</v>
      </c>
      <c r="B510" s="1" t="s">
        <v>258</v>
      </c>
    </row>
    <row r="511" spans="1:2" x14ac:dyDescent="0.35">
      <c r="A511" s="1">
        <v>4006188</v>
      </c>
      <c r="B511" s="1" t="s">
        <v>258</v>
      </c>
    </row>
    <row r="512" spans="1:2" x14ac:dyDescent="0.35">
      <c r="A512" s="1">
        <v>4006193</v>
      </c>
      <c r="B512" s="1" t="s">
        <v>258</v>
      </c>
    </row>
    <row r="513" spans="1:2" x14ac:dyDescent="0.35">
      <c r="A513" s="1">
        <v>4006210</v>
      </c>
      <c r="B513" s="1" t="s">
        <v>258</v>
      </c>
    </row>
    <row r="514" spans="1:2" x14ac:dyDescent="0.35">
      <c r="A514" s="1">
        <v>4006235</v>
      </c>
      <c r="B514" s="3"/>
    </row>
    <row r="515" spans="1:2" x14ac:dyDescent="0.35">
      <c r="A515" s="1">
        <v>4006236</v>
      </c>
      <c r="B515" s="3"/>
    </row>
    <row r="516" spans="1:2" x14ac:dyDescent="0.35">
      <c r="A516" s="1">
        <v>4006332</v>
      </c>
      <c r="B516" s="1" t="s">
        <v>258</v>
      </c>
    </row>
    <row r="517" spans="1:2" x14ac:dyDescent="0.35">
      <c r="A517" s="1">
        <v>4006333</v>
      </c>
      <c r="B517" s="1" t="s">
        <v>258</v>
      </c>
    </row>
    <row r="518" spans="1:2" x14ac:dyDescent="0.35">
      <c r="A518" s="1">
        <v>4006341</v>
      </c>
      <c r="B518" s="3"/>
    </row>
    <row r="519" spans="1:2" x14ac:dyDescent="0.35">
      <c r="A519" s="1">
        <v>4006367</v>
      </c>
      <c r="B519" s="1" t="s">
        <v>271</v>
      </c>
    </row>
    <row r="520" spans="1:2" x14ac:dyDescent="0.35">
      <c r="A520" s="1">
        <v>4006368</v>
      </c>
      <c r="B520" s="1" t="s">
        <v>258</v>
      </c>
    </row>
    <row r="521" spans="1:2" x14ac:dyDescent="0.35">
      <c r="A521" s="1">
        <v>4006370</v>
      </c>
      <c r="B521" s="1" t="s">
        <v>289</v>
      </c>
    </row>
    <row r="522" spans="1:2" x14ac:dyDescent="0.35">
      <c r="A522" s="1">
        <v>4006372</v>
      </c>
      <c r="B522" s="1" t="s">
        <v>258</v>
      </c>
    </row>
    <row r="523" spans="1:2" x14ac:dyDescent="0.35">
      <c r="A523" s="1">
        <v>4006375</v>
      </c>
      <c r="B523" s="1" t="s">
        <v>258</v>
      </c>
    </row>
    <row r="524" spans="1:2" x14ac:dyDescent="0.35">
      <c r="A524" s="1">
        <v>4006377</v>
      </c>
      <c r="B524" s="1" t="s">
        <v>258</v>
      </c>
    </row>
    <row r="525" spans="1:2" x14ac:dyDescent="0.35">
      <c r="A525" s="1">
        <v>4006378</v>
      </c>
      <c r="B525" s="1" t="s">
        <v>258</v>
      </c>
    </row>
    <row r="526" spans="1:2" x14ac:dyDescent="0.35">
      <c r="A526" s="1">
        <v>4006380</v>
      </c>
      <c r="B526" s="1" t="s">
        <v>258</v>
      </c>
    </row>
    <row r="527" spans="1:2" x14ac:dyDescent="0.35">
      <c r="A527" s="1">
        <v>4006381</v>
      </c>
      <c r="B527" s="1" t="s">
        <v>258</v>
      </c>
    </row>
    <row r="528" spans="1:2" x14ac:dyDescent="0.35">
      <c r="A528" s="1">
        <v>4006387</v>
      </c>
      <c r="B528" s="1" t="s">
        <v>258</v>
      </c>
    </row>
    <row r="529" spans="1:2" x14ac:dyDescent="0.35">
      <c r="A529" s="1">
        <v>4006406</v>
      </c>
      <c r="B529" s="1" t="s">
        <v>289</v>
      </c>
    </row>
    <row r="530" spans="1:2" x14ac:dyDescent="0.35">
      <c r="A530" s="1">
        <v>4006417</v>
      </c>
      <c r="B530" s="1" t="s">
        <v>258</v>
      </c>
    </row>
    <row r="531" spans="1:2" x14ac:dyDescent="0.35">
      <c r="A531" s="1">
        <v>4006431</v>
      </c>
      <c r="B531" s="1" t="s">
        <v>258</v>
      </c>
    </row>
    <row r="532" spans="1:2" x14ac:dyDescent="0.35">
      <c r="A532" s="1">
        <v>4006432</v>
      </c>
      <c r="B532" s="1" t="s">
        <v>258</v>
      </c>
    </row>
    <row r="533" spans="1:2" x14ac:dyDescent="0.35">
      <c r="A533" s="1">
        <v>4006450</v>
      </c>
      <c r="B533" s="1" t="s">
        <v>258</v>
      </c>
    </row>
    <row r="534" spans="1:2" x14ac:dyDescent="0.35">
      <c r="A534" s="1">
        <v>4006451</v>
      </c>
      <c r="B534" s="1" t="s">
        <v>258</v>
      </c>
    </row>
    <row r="535" spans="1:2" x14ac:dyDescent="0.35">
      <c r="A535" s="1">
        <v>4006464</v>
      </c>
      <c r="B535" s="1" t="s">
        <v>258</v>
      </c>
    </row>
    <row r="536" spans="1:2" x14ac:dyDescent="0.35">
      <c r="A536" s="1">
        <v>4006497</v>
      </c>
      <c r="B536" s="1" t="s">
        <v>258</v>
      </c>
    </row>
    <row r="537" spans="1:2" x14ac:dyDescent="0.35">
      <c r="A537" s="1">
        <v>4006499</v>
      </c>
      <c r="B537" s="1" t="s">
        <v>258</v>
      </c>
    </row>
    <row r="538" spans="1:2" x14ac:dyDescent="0.35">
      <c r="A538" s="1">
        <v>4006501</v>
      </c>
      <c r="B538" s="1" t="s">
        <v>289</v>
      </c>
    </row>
    <row r="539" spans="1:2" x14ac:dyDescent="0.35">
      <c r="A539" s="1">
        <v>4006502</v>
      </c>
      <c r="B539" s="1" t="s">
        <v>258</v>
      </c>
    </row>
    <row r="540" spans="1:2" x14ac:dyDescent="0.35">
      <c r="A540" s="1">
        <v>4006504</v>
      </c>
      <c r="B540" s="1" t="s">
        <v>258</v>
      </c>
    </row>
    <row r="541" spans="1:2" x14ac:dyDescent="0.35">
      <c r="A541" s="1">
        <v>4006529</v>
      </c>
      <c r="B541" s="3"/>
    </row>
    <row r="542" spans="1:2" x14ac:dyDescent="0.35">
      <c r="A542" s="1">
        <v>4006543</v>
      </c>
      <c r="B542" s="1" t="s">
        <v>271</v>
      </c>
    </row>
    <row r="543" spans="1:2" x14ac:dyDescent="0.35">
      <c r="A543" s="1">
        <v>4006545</v>
      </c>
      <c r="B543" s="1" t="s">
        <v>289</v>
      </c>
    </row>
    <row r="544" spans="1:2" x14ac:dyDescent="0.35">
      <c r="A544" s="1">
        <v>4006546</v>
      </c>
      <c r="B544" s="1" t="s">
        <v>258</v>
      </c>
    </row>
    <row r="545" spans="1:2" x14ac:dyDescent="0.35">
      <c r="A545" s="1">
        <v>4006560</v>
      </c>
      <c r="B545" s="3"/>
    </row>
    <row r="546" spans="1:2" x14ac:dyDescent="0.35">
      <c r="A546" s="1">
        <v>4006561</v>
      </c>
      <c r="B546" s="3"/>
    </row>
    <row r="547" spans="1:2" x14ac:dyDescent="0.35">
      <c r="A547" s="1">
        <v>4006565</v>
      </c>
      <c r="B547" s="3"/>
    </row>
    <row r="548" spans="1:2" x14ac:dyDescent="0.35">
      <c r="A548" s="1">
        <v>4006590</v>
      </c>
      <c r="B548" s="3"/>
    </row>
    <row r="549" spans="1:2" x14ac:dyDescent="0.35">
      <c r="A549" s="1">
        <v>4006599</v>
      </c>
      <c r="B549" s="3"/>
    </row>
    <row r="550" spans="1:2" x14ac:dyDescent="0.35">
      <c r="A550" s="1">
        <v>4006665</v>
      </c>
      <c r="B550" s="1" t="s">
        <v>258</v>
      </c>
    </row>
    <row r="551" spans="1:2" x14ac:dyDescent="0.35">
      <c r="A551" s="1">
        <v>4006678</v>
      </c>
      <c r="B551" s="1" t="s">
        <v>258</v>
      </c>
    </row>
    <row r="552" spans="1:2" x14ac:dyDescent="0.35">
      <c r="A552" s="1">
        <v>4006755</v>
      </c>
      <c r="B552" s="1" t="s">
        <v>258</v>
      </c>
    </row>
    <row r="553" spans="1:2" x14ac:dyDescent="0.35">
      <c r="A553" s="1">
        <v>4006758</v>
      </c>
      <c r="B553" s="3"/>
    </row>
    <row r="554" spans="1:2" x14ac:dyDescent="0.35">
      <c r="A554" s="1">
        <v>4006770</v>
      </c>
      <c r="B554" s="1" t="s">
        <v>258</v>
      </c>
    </row>
    <row r="555" spans="1:2" x14ac:dyDescent="0.35">
      <c r="A555" s="1">
        <v>4006771</v>
      </c>
      <c r="B555" s="1" t="s">
        <v>258</v>
      </c>
    </row>
    <row r="556" spans="1:2" x14ac:dyDescent="0.35">
      <c r="A556" s="1">
        <v>4006775</v>
      </c>
      <c r="B556" s="1" t="s">
        <v>258</v>
      </c>
    </row>
    <row r="557" spans="1:2" x14ac:dyDescent="0.35">
      <c r="A557" s="1">
        <v>4006778</v>
      </c>
      <c r="B557" s="1" t="s">
        <v>258</v>
      </c>
    </row>
    <row r="558" spans="1:2" x14ac:dyDescent="0.35">
      <c r="A558" s="1">
        <v>4006780</v>
      </c>
      <c r="B558" s="1" t="s">
        <v>258</v>
      </c>
    </row>
    <row r="559" spans="1:2" x14ac:dyDescent="0.35">
      <c r="A559" s="1">
        <v>4006795</v>
      </c>
      <c r="B559" s="1" t="s">
        <v>258</v>
      </c>
    </row>
    <row r="560" spans="1:2" x14ac:dyDescent="0.35">
      <c r="A560" s="1">
        <v>4007769</v>
      </c>
      <c r="B560" s="3"/>
    </row>
    <row r="561" spans="1:2" x14ac:dyDescent="0.35">
      <c r="A561" s="1">
        <v>4007774</v>
      </c>
      <c r="B561" s="3"/>
    </row>
    <row r="562" spans="1:2" x14ac:dyDescent="0.35">
      <c r="A562" s="1">
        <v>4007802</v>
      </c>
      <c r="B562" s="1" t="s">
        <v>258</v>
      </c>
    </row>
    <row r="563" spans="1:2" x14ac:dyDescent="0.35">
      <c r="A563" s="1">
        <v>4007817</v>
      </c>
      <c r="B563" s="1" t="s">
        <v>258</v>
      </c>
    </row>
    <row r="564" spans="1:2" x14ac:dyDescent="0.35">
      <c r="A564" s="1">
        <v>4007818</v>
      </c>
      <c r="B564" s="1" t="s">
        <v>258</v>
      </c>
    </row>
    <row r="565" spans="1:2" x14ac:dyDescent="0.35">
      <c r="A565" s="1">
        <v>4007825</v>
      </c>
      <c r="B565" s="1" t="s">
        <v>258</v>
      </c>
    </row>
    <row r="566" spans="1:2" x14ac:dyDescent="0.35">
      <c r="A566" s="1">
        <v>4007843</v>
      </c>
      <c r="B566" s="1" t="s">
        <v>258</v>
      </c>
    </row>
    <row r="567" spans="1:2" x14ac:dyDescent="0.35">
      <c r="A567" s="1">
        <v>4008002</v>
      </c>
      <c r="B567" s="1" t="s">
        <v>258</v>
      </c>
    </row>
    <row r="568" spans="1:2" x14ac:dyDescent="0.35">
      <c r="A568" s="1">
        <v>4008010</v>
      </c>
      <c r="B568" s="1" t="s">
        <v>258</v>
      </c>
    </row>
    <row r="569" spans="1:2" x14ac:dyDescent="0.35">
      <c r="A569" s="1">
        <v>4008022</v>
      </c>
      <c r="B569" s="1" t="s">
        <v>258</v>
      </c>
    </row>
    <row r="570" spans="1:2" x14ac:dyDescent="0.35">
      <c r="A570" s="1">
        <v>4008023</v>
      </c>
      <c r="B570" s="1" t="s">
        <v>258</v>
      </c>
    </row>
    <row r="571" spans="1:2" x14ac:dyDescent="0.35">
      <c r="A571" s="1">
        <v>4008024</v>
      </c>
      <c r="B571" s="1" t="s">
        <v>258</v>
      </c>
    </row>
    <row r="572" spans="1:2" x14ac:dyDescent="0.35">
      <c r="A572" s="1">
        <v>4008026</v>
      </c>
      <c r="B572" s="1" t="s">
        <v>258</v>
      </c>
    </row>
    <row r="573" spans="1:2" x14ac:dyDescent="0.35">
      <c r="A573" s="1">
        <v>4008027</v>
      </c>
      <c r="B573" s="1" t="s">
        <v>258</v>
      </c>
    </row>
    <row r="574" spans="1:2" x14ac:dyDescent="0.35">
      <c r="A574" s="1">
        <v>4008033</v>
      </c>
      <c r="B574" s="1" t="s">
        <v>258</v>
      </c>
    </row>
    <row r="575" spans="1:2" x14ac:dyDescent="0.35">
      <c r="A575" s="1">
        <v>4008034</v>
      </c>
      <c r="B575" s="1" t="s">
        <v>258</v>
      </c>
    </row>
    <row r="576" spans="1:2" x14ac:dyDescent="0.35">
      <c r="A576" s="1">
        <v>4008035</v>
      </c>
      <c r="B576" s="1" t="s">
        <v>258</v>
      </c>
    </row>
    <row r="577" spans="1:2" x14ac:dyDescent="0.35">
      <c r="A577" s="1">
        <v>4008075</v>
      </c>
      <c r="B577" s="1" t="s">
        <v>258</v>
      </c>
    </row>
    <row r="578" spans="1:2" x14ac:dyDescent="0.35">
      <c r="A578" s="1">
        <v>4008076</v>
      </c>
      <c r="B578" s="1" t="s">
        <v>258</v>
      </c>
    </row>
    <row r="579" spans="1:2" x14ac:dyDescent="0.35">
      <c r="A579" s="1">
        <v>4008077</v>
      </c>
      <c r="B579" s="1" t="s">
        <v>258</v>
      </c>
    </row>
    <row r="580" spans="1:2" x14ac:dyDescent="0.35">
      <c r="A580" s="1">
        <v>4008079</v>
      </c>
      <c r="B580" s="1" t="s">
        <v>258</v>
      </c>
    </row>
    <row r="581" spans="1:2" x14ac:dyDescent="0.35">
      <c r="A581" s="1">
        <v>4008095</v>
      </c>
      <c r="B581" s="1" t="s">
        <v>258</v>
      </c>
    </row>
    <row r="582" spans="1:2" x14ac:dyDescent="0.35">
      <c r="A582" s="1">
        <v>4008096</v>
      </c>
      <c r="B582" s="1" t="s">
        <v>289</v>
      </c>
    </row>
    <row r="583" spans="1:2" x14ac:dyDescent="0.35">
      <c r="A583" s="1">
        <v>4008099</v>
      </c>
      <c r="B583" s="1" t="s">
        <v>258</v>
      </c>
    </row>
    <row r="584" spans="1:2" x14ac:dyDescent="0.35">
      <c r="A584" s="1">
        <v>4008100</v>
      </c>
      <c r="B584" s="1" t="s">
        <v>258</v>
      </c>
    </row>
    <row r="585" spans="1:2" x14ac:dyDescent="0.35">
      <c r="A585" s="1">
        <v>4008106</v>
      </c>
      <c r="B585" s="1" t="s">
        <v>258</v>
      </c>
    </row>
    <row r="586" spans="1:2" x14ac:dyDescent="0.35">
      <c r="A586" s="1">
        <v>4008108</v>
      </c>
      <c r="B586" s="1" t="s">
        <v>258</v>
      </c>
    </row>
    <row r="587" spans="1:2" x14ac:dyDescent="0.35">
      <c r="A587" s="1">
        <v>4008109</v>
      </c>
      <c r="B587" s="1" t="s">
        <v>289</v>
      </c>
    </row>
    <row r="588" spans="1:2" x14ac:dyDescent="0.35">
      <c r="A588" s="1">
        <v>4008110</v>
      </c>
      <c r="B588" s="1" t="s">
        <v>258</v>
      </c>
    </row>
    <row r="589" spans="1:2" x14ac:dyDescent="0.35">
      <c r="A589" s="1">
        <v>4008121</v>
      </c>
      <c r="B589" s="1" t="s">
        <v>258</v>
      </c>
    </row>
    <row r="590" spans="1:2" x14ac:dyDescent="0.35">
      <c r="A590" s="1">
        <v>4008122</v>
      </c>
      <c r="B590" s="1" t="s">
        <v>258</v>
      </c>
    </row>
    <row r="591" spans="1:2" x14ac:dyDescent="0.35">
      <c r="A591" s="1">
        <v>4008123</v>
      </c>
      <c r="B591" s="1" t="s">
        <v>258</v>
      </c>
    </row>
    <row r="592" spans="1:2" x14ac:dyDescent="0.35">
      <c r="A592" s="1">
        <v>4008124</v>
      </c>
      <c r="B592" s="1" t="s">
        <v>258</v>
      </c>
    </row>
    <row r="593" spans="1:2" x14ac:dyDescent="0.35">
      <c r="A593" s="1">
        <v>4008133</v>
      </c>
      <c r="B593" s="1" t="s">
        <v>258</v>
      </c>
    </row>
    <row r="594" spans="1:2" x14ac:dyDescent="0.35">
      <c r="A594" s="1">
        <v>4008142</v>
      </c>
      <c r="B594" s="1" t="s">
        <v>258</v>
      </c>
    </row>
    <row r="595" spans="1:2" x14ac:dyDescent="0.35">
      <c r="A595" s="1">
        <v>4008143</v>
      </c>
      <c r="B595" s="1" t="s">
        <v>258</v>
      </c>
    </row>
    <row r="596" spans="1:2" x14ac:dyDescent="0.35">
      <c r="A596" s="1">
        <v>4008145</v>
      </c>
      <c r="B596" s="1" t="s">
        <v>258</v>
      </c>
    </row>
    <row r="597" spans="1:2" x14ac:dyDescent="0.35">
      <c r="A597" s="1">
        <v>4008148</v>
      </c>
      <c r="B597" s="1" t="s">
        <v>258</v>
      </c>
    </row>
    <row r="598" spans="1:2" x14ac:dyDescent="0.35">
      <c r="A598" s="1">
        <v>4008152</v>
      </c>
      <c r="B598" s="1" t="s">
        <v>258</v>
      </c>
    </row>
    <row r="599" spans="1:2" x14ac:dyDescent="0.35">
      <c r="A599" s="1">
        <v>4008157</v>
      </c>
      <c r="B599" s="1" t="s">
        <v>258</v>
      </c>
    </row>
    <row r="600" spans="1:2" x14ac:dyDescent="0.35">
      <c r="A600" s="1">
        <v>4008159</v>
      </c>
      <c r="B600" s="1" t="s">
        <v>258</v>
      </c>
    </row>
    <row r="601" spans="1:2" x14ac:dyDescent="0.35">
      <c r="A601" s="1">
        <v>4008161</v>
      </c>
      <c r="B601" s="1" t="s">
        <v>258</v>
      </c>
    </row>
    <row r="602" spans="1:2" x14ac:dyDescent="0.35">
      <c r="A602" s="1">
        <v>4008184</v>
      </c>
      <c r="B602" s="1" t="s">
        <v>258</v>
      </c>
    </row>
    <row r="603" spans="1:2" x14ac:dyDescent="0.35">
      <c r="A603" s="1">
        <v>4008194</v>
      </c>
      <c r="B603" s="1" t="s">
        <v>258</v>
      </c>
    </row>
    <row r="604" spans="1:2" x14ac:dyDescent="0.35">
      <c r="A604" s="1">
        <v>4008197</v>
      </c>
      <c r="B604" s="1" t="s">
        <v>258</v>
      </c>
    </row>
    <row r="605" spans="1:2" x14ac:dyDescent="0.35">
      <c r="A605" s="1">
        <v>4008198</v>
      </c>
      <c r="B605" s="1" t="s">
        <v>258</v>
      </c>
    </row>
    <row r="606" spans="1:2" x14ac:dyDescent="0.35">
      <c r="A606" s="1">
        <v>4008201</v>
      </c>
      <c r="B606" s="1" t="s">
        <v>258</v>
      </c>
    </row>
    <row r="607" spans="1:2" x14ac:dyDescent="0.35">
      <c r="A607" s="1">
        <v>4008203</v>
      </c>
      <c r="B607" s="1" t="s">
        <v>258</v>
      </c>
    </row>
    <row r="608" spans="1:2" x14ac:dyDescent="0.35">
      <c r="A608" s="1">
        <v>4008204</v>
      </c>
      <c r="B608" s="1" t="s">
        <v>258</v>
      </c>
    </row>
    <row r="609" spans="1:2" x14ac:dyDescent="0.35">
      <c r="A609" s="1">
        <v>4008206</v>
      </c>
      <c r="B609" s="1" t="s">
        <v>258</v>
      </c>
    </row>
    <row r="610" spans="1:2" x14ac:dyDescent="0.35">
      <c r="A610" s="1">
        <v>4008209</v>
      </c>
      <c r="B610" s="1" t="s">
        <v>258</v>
      </c>
    </row>
    <row r="611" spans="1:2" x14ac:dyDescent="0.35">
      <c r="A611" s="1">
        <v>4008211</v>
      </c>
      <c r="B611" s="1" t="s">
        <v>258</v>
      </c>
    </row>
    <row r="612" spans="1:2" x14ac:dyDescent="0.35">
      <c r="A612" s="1">
        <v>4008212</v>
      </c>
      <c r="B612" s="1" t="s">
        <v>258</v>
      </c>
    </row>
    <row r="613" spans="1:2" x14ac:dyDescent="0.35">
      <c r="A613" s="1">
        <v>4008213</v>
      </c>
      <c r="B613" s="1" t="s">
        <v>258</v>
      </c>
    </row>
    <row r="614" spans="1:2" x14ac:dyDescent="0.35">
      <c r="A614" s="1">
        <v>4008214</v>
      </c>
      <c r="B614" s="1" t="s">
        <v>258</v>
      </c>
    </row>
    <row r="615" spans="1:2" x14ac:dyDescent="0.35">
      <c r="A615" s="1">
        <v>4008217</v>
      </c>
      <c r="B615" s="1" t="s">
        <v>258</v>
      </c>
    </row>
    <row r="616" spans="1:2" x14ac:dyDescent="0.35">
      <c r="A616" s="1">
        <v>4008222</v>
      </c>
      <c r="B616" s="1" t="s">
        <v>258</v>
      </c>
    </row>
    <row r="617" spans="1:2" x14ac:dyDescent="0.35">
      <c r="A617" s="1">
        <v>4008223</v>
      </c>
      <c r="B617" s="1" t="s">
        <v>258</v>
      </c>
    </row>
    <row r="618" spans="1:2" x14ac:dyDescent="0.35">
      <c r="A618" s="1">
        <v>4008239</v>
      </c>
      <c r="B618" s="1" t="s">
        <v>258</v>
      </c>
    </row>
    <row r="619" spans="1:2" x14ac:dyDescent="0.35">
      <c r="A619" s="1">
        <v>4008245</v>
      </c>
      <c r="B619" s="1" t="s">
        <v>258</v>
      </c>
    </row>
    <row r="620" spans="1:2" x14ac:dyDescent="0.35">
      <c r="A620" s="1">
        <v>4008247</v>
      </c>
      <c r="B620" s="1" t="s">
        <v>258</v>
      </c>
    </row>
    <row r="621" spans="1:2" x14ac:dyDescent="0.35">
      <c r="A621" s="1">
        <v>4008248</v>
      </c>
      <c r="B621" s="1" t="s">
        <v>289</v>
      </c>
    </row>
    <row r="622" spans="1:2" x14ac:dyDescent="0.35">
      <c r="A622" s="1">
        <v>4008253</v>
      </c>
      <c r="B622" s="1" t="s">
        <v>258</v>
      </c>
    </row>
    <row r="623" spans="1:2" x14ac:dyDescent="0.35">
      <c r="A623" s="1">
        <v>4008254</v>
      </c>
      <c r="B623" s="1" t="s">
        <v>258</v>
      </c>
    </row>
    <row r="624" spans="1:2" x14ac:dyDescent="0.35">
      <c r="A624" s="1">
        <v>4008258</v>
      </c>
      <c r="B624" s="1" t="s">
        <v>258</v>
      </c>
    </row>
    <row r="625" spans="1:2" x14ac:dyDescent="0.35">
      <c r="A625" s="1">
        <v>4008259</v>
      </c>
      <c r="B625" s="1" t="s">
        <v>271</v>
      </c>
    </row>
    <row r="626" spans="1:2" x14ac:dyDescent="0.35">
      <c r="A626" s="1">
        <v>4008263</v>
      </c>
      <c r="B626" s="1" t="s">
        <v>258</v>
      </c>
    </row>
    <row r="627" spans="1:2" x14ac:dyDescent="0.35">
      <c r="A627" s="1">
        <v>4008265</v>
      </c>
      <c r="B627" s="1" t="s">
        <v>258</v>
      </c>
    </row>
    <row r="628" spans="1:2" x14ac:dyDescent="0.35">
      <c r="A628" s="1">
        <v>4008266</v>
      </c>
      <c r="B628" s="1" t="s">
        <v>258</v>
      </c>
    </row>
    <row r="629" spans="1:2" x14ac:dyDescent="0.35">
      <c r="A629" s="1">
        <v>4008267</v>
      </c>
      <c r="B629" s="1" t="s">
        <v>258</v>
      </c>
    </row>
    <row r="630" spans="1:2" x14ac:dyDescent="0.35">
      <c r="A630" s="1">
        <v>4008272</v>
      </c>
      <c r="B630" s="1" t="s">
        <v>258</v>
      </c>
    </row>
    <row r="631" spans="1:2" x14ac:dyDescent="0.35">
      <c r="A631" s="1">
        <v>4008274</v>
      </c>
      <c r="B631" s="1" t="s">
        <v>258</v>
      </c>
    </row>
    <row r="632" spans="1:2" x14ac:dyDescent="0.35">
      <c r="A632" s="1">
        <v>4008276</v>
      </c>
      <c r="B632" s="1" t="s">
        <v>258</v>
      </c>
    </row>
    <row r="633" spans="1:2" x14ac:dyDescent="0.35">
      <c r="A633" s="1">
        <v>4008277</v>
      </c>
      <c r="B633" s="1" t="s">
        <v>258</v>
      </c>
    </row>
    <row r="634" spans="1:2" x14ac:dyDescent="0.35">
      <c r="A634" s="1">
        <v>4008278</v>
      </c>
      <c r="B634" s="1" t="s">
        <v>258</v>
      </c>
    </row>
    <row r="635" spans="1:2" x14ac:dyDescent="0.35">
      <c r="A635" s="1">
        <v>4008279</v>
      </c>
      <c r="B635" s="1" t="s">
        <v>258</v>
      </c>
    </row>
    <row r="636" spans="1:2" x14ac:dyDescent="0.35">
      <c r="A636" s="1">
        <v>4008280</v>
      </c>
      <c r="B636" s="1" t="s">
        <v>258</v>
      </c>
    </row>
    <row r="637" spans="1:2" x14ac:dyDescent="0.35">
      <c r="A637" s="1">
        <v>4008289</v>
      </c>
      <c r="B637" s="1" t="s">
        <v>258</v>
      </c>
    </row>
    <row r="638" spans="1:2" x14ac:dyDescent="0.35">
      <c r="A638" s="1">
        <v>4008290</v>
      </c>
      <c r="B638" s="1" t="s">
        <v>258</v>
      </c>
    </row>
    <row r="639" spans="1:2" x14ac:dyDescent="0.35">
      <c r="A639" s="1">
        <v>4008291</v>
      </c>
      <c r="B639" s="1" t="s">
        <v>258</v>
      </c>
    </row>
    <row r="640" spans="1:2" x14ac:dyDescent="0.35">
      <c r="A640" s="1">
        <v>4008292</v>
      </c>
      <c r="B640" s="1" t="s">
        <v>258</v>
      </c>
    </row>
    <row r="641" spans="1:2" x14ac:dyDescent="0.35">
      <c r="A641" s="1">
        <v>4008295</v>
      </c>
      <c r="B641" s="1" t="s">
        <v>258</v>
      </c>
    </row>
    <row r="642" spans="1:2" x14ac:dyDescent="0.35">
      <c r="A642" s="1">
        <v>4008296</v>
      </c>
      <c r="B642" s="1" t="s">
        <v>258</v>
      </c>
    </row>
    <row r="643" spans="1:2" x14ac:dyDescent="0.35">
      <c r="A643" s="1">
        <v>4008297</v>
      </c>
      <c r="B643" s="1" t="s">
        <v>258</v>
      </c>
    </row>
    <row r="644" spans="1:2" x14ac:dyDescent="0.35">
      <c r="A644" s="1">
        <v>4008299</v>
      </c>
      <c r="B644" s="1" t="s">
        <v>258</v>
      </c>
    </row>
    <row r="645" spans="1:2" x14ac:dyDescent="0.35">
      <c r="A645" s="1">
        <v>4008307</v>
      </c>
      <c r="B645" s="1" t="s">
        <v>258</v>
      </c>
    </row>
    <row r="646" spans="1:2" x14ac:dyDescent="0.35">
      <c r="A646" s="1">
        <v>4008308</v>
      </c>
      <c r="B646" s="1" t="s">
        <v>258</v>
      </c>
    </row>
    <row r="647" spans="1:2" x14ac:dyDescent="0.35">
      <c r="A647" s="1">
        <v>4008314</v>
      </c>
      <c r="B647" s="1" t="s">
        <v>258</v>
      </c>
    </row>
    <row r="648" spans="1:2" x14ac:dyDescent="0.35">
      <c r="A648" s="1">
        <v>4008327</v>
      </c>
      <c r="B648" s="1" t="s">
        <v>258</v>
      </c>
    </row>
    <row r="649" spans="1:2" x14ac:dyDescent="0.35">
      <c r="A649" s="1">
        <v>4008328</v>
      </c>
      <c r="B649" s="1" t="s">
        <v>289</v>
      </c>
    </row>
    <row r="650" spans="1:2" x14ac:dyDescent="0.35">
      <c r="A650" s="1">
        <v>4008333</v>
      </c>
      <c r="B650" s="1" t="s">
        <v>258</v>
      </c>
    </row>
    <row r="651" spans="1:2" x14ac:dyDescent="0.35">
      <c r="A651" s="1">
        <v>4008334</v>
      </c>
      <c r="B651" s="1" t="s">
        <v>258</v>
      </c>
    </row>
    <row r="652" spans="1:2" x14ac:dyDescent="0.35">
      <c r="A652" s="1">
        <v>4008335</v>
      </c>
      <c r="B652" s="1" t="s">
        <v>289</v>
      </c>
    </row>
    <row r="653" spans="1:2" x14ac:dyDescent="0.35">
      <c r="A653" s="1">
        <v>4008336</v>
      </c>
      <c r="B653" s="1" t="s">
        <v>271</v>
      </c>
    </row>
    <row r="654" spans="1:2" x14ac:dyDescent="0.35">
      <c r="A654" s="1">
        <v>4008337</v>
      </c>
      <c r="B654" s="1" t="s">
        <v>289</v>
      </c>
    </row>
    <row r="655" spans="1:2" x14ac:dyDescent="0.35">
      <c r="A655" s="1">
        <v>4008338</v>
      </c>
      <c r="B655" s="1" t="s">
        <v>258</v>
      </c>
    </row>
    <row r="656" spans="1:2" x14ac:dyDescent="0.35">
      <c r="A656" s="1">
        <v>4008339</v>
      </c>
      <c r="B656" s="1" t="s">
        <v>289</v>
      </c>
    </row>
    <row r="657" spans="1:2" x14ac:dyDescent="0.35">
      <c r="A657" s="1">
        <v>4008340</v>
      </c>
      <c r="B657" s="1" t="s">
        <v>289</v>
      </c>
    </row>
    <row r="658" spans="1:2" x14ac:dyDescent="0.35">
      <c r="A658" s="1">
        <v>4008342</v>
      </c>
      <c r="B658" s="1" t="s">
        <v>258</v>
      </c>
    </row>
    <row r="659" spans="1:2" x14ac:dyDescent="0.35">
      <c r="A659" s="1">
        <v>4008343</v>
      </c>
      <c r="B659" s="1" t="s">
        <v>258</v>
      </c>
    </row>
    <row r="660" spans="1:2" x14ac:dyDescent="0.35">
      <c r="A660" s="1">
        <v>4008345</v>
      </c>
      <c r="B660" s="1" t="s">
        <v>258</v>
      </c>
    </row>
    <row r="661" spans="1:2" x14ac:dyDescent="0.35">
      <c r="A661" s="1">
        <v>4008346</v>
      </c>
      <c r="B661" s="1" t="s">
        <v>258</v>
      </c>
    </row>
    <row r="662" spans="1:2" x14ac:dyDescent="0.35">
      <c r="A662" s="1">
        <v>4008347</v>
      </c>
      <c r="B662" s="1" t="s">
        <v>258</v>
      </c>
    </row>
    <row r="663" spans="1:2" x14ac:dyDescent="0.35">
      <c r="A663" s="1">
        <v>4008354</v>
      </c>
      <c r="B663" s="1" t="s">
        <v>258</v>
      </c>
    </row>
    <row r="664" spans="1:2" x14ac:dyDescent="0.35">
      <c r="A664" s="1">
        <v>4008377</v>
      </c>
      <c r="B664" s="1" t="s">
        <v>258</v>
      </c>
    </row>
    <row r="665" spans="1:2" x14ac:dyDescent="0.35">
      <c r="A665" s="1">
        <v>4008378</v>
      </c>
      <c r="B665" s="1" t="s">
        <v>258</v>
      </c>
    </row>
    <row r="666" spans="1:2" x14ac:dyDescent="0.35">
      <c r="A666" s="1">
        <v>4008379</v>
      </c>
      <c r="B666" s="1" t="s">
        <v>258</v>
      </c>
    </row>
    <row r="667" spans="1:2" x14ac:dyDescent="0.35">
      <c r="A667" s="1">
        <v>4008380</v>
      </c>
      <c r="B667" s="1" t="s">
        <v>258</v>
      </c>
    </row>
    <row r="668" spans="1:2" x14ac:dyDescent="0.35">
      <c r="A668" s="1">
        <v>4008387</v>
      </c>
      <c r="B668" s="1" t="s">
        <v>258</v>
      </c>
    </row>
    <row r="669" spans="1:2" x14ac:dyDescent="0.35">
      <c r="A669" s="1">
        <v>4008388</v>
      </c>
      <c r="B669" s="1" t="s">
        <v>258</v>
      </c>
    </row>
    <row r="670" spans="1:2" x14ac:dyDescent="0.35">
      <c r="A670" s="1">
        <v>4008411</v>
      </c>
      <c r="B670" s="1" t="s">
        <v>258</v>
      </c>
    </row>
    <row r="671" spans="1:2" x14ac:dyDescent="0.35">
      <c r="A671" s="1">
        <v>4008412</v>
      </c>
      <c r="B671" s="1" t="s">
        <v>289</v>
      </c>
    </row>
    <row r="672" spans="1:2" x14ac:dyDescent="0.35">
      <c r="A672" s="1">
        <v>4008413</v>
      </c>
      <c r="B672" s="1" t="s">
        <v>258</v>
      </c>
    </row>
    <row r="673" spans="1:2" x14ac:dyDescent="0.35">
      <c r="A673" s="1">
        <v>4008414</v>
      </c>
      <c r="B673" s="1" t="s">
        <v>289</v>
      </c>
    </row>
    <row r="674" spans="1:2" x14ac:dyDescent="0.35">
      <c r="A674" s="1">
        <v>4008419</v>
      </c>
      <c r="B674" s="1" t="s">
        <v>258</v>
      </c>
    </row>
    <row r="675" spans="1:2" x14ac:dyDescent="0.35">
      <c r="A675" s="1">
        <v>4008431</v>
      </c>
      <c r="B675" s="1" t="s">
        <v>258</v>
      </c>
    </row>
    <row r="676" spans="1:2" x14ac:dyDescent="0.35">
      <c r="A676" s="1">
        <v>4008432</v>
      </c>
      <c r="B676" s="1" t="s">
        <v>258</v>
      </c>
    </row>
    <row r="677" spans="1:2" x14ac:dyDescent="0.35">
      <c r="A677" s="1">
        <v>4008436</v>
      </c>
      <c r="B677" s="1" t="s">
        <v>258</v>
      </c>
    </row>
    <row r="678" spans="1:2" x14ac:dyDescent="0.35">
      <c r="A678" s="1">
        <v>4008438</v>
      </c>
      <c r="B678" s="1" t="s">
        <v>289</v>
      </c>
    </row>
    <row r="679" spans="1:2" x14ac:dyDescent="0.35">
      <c r="A679" s="1">
        <v>4008439</v>
      </c>
      <c r="B679" s="1" t="s">
        <v>258</v>
      </c>
    </row>
    <row r="680" spans="1:2" x14ac:dyDescent="0.35">
      <c r="A680" s="1">
        <v>4008440</v>
      </c>
      <c r="B680" s="1" t="s">
        <v>258</v>
      </c>
    </row>
    <row r="681" spans="1:2" x14ac:dyDescent="0.35">
      <c r="A681" s="1">
        <v>4008441</v>
      </c>
      <c r="B681" s="1" t="s">
        <v>258</v>
      </c>
    </row>
    <row r="682" spans="1:2" x14ac:dyDescent="0.35">
      <c r="A682" s="1">
        <v>4008446</v>
      </c>
      <c r="B682" s="1" t="s">
        <v>258</v>
      </c>
    </row>
    <row r="683" spans="1:2" x14ac:dyDescent="0.35">
      <c r="A683" s="1">
        <v>4008447</v>
      </c>
      <c r="B683" s="1" t="s">
        <v>258</v>
      </c>
    </row>
    <row r="684" spans="1:2" x14ac:dyDescent="0.35">
      <c r="A684" s="1">
        <v>4008448</v>
      </c>
      <c r="B684" s="1" t="s">
        <v>258</v>
      </c>
    </row>
    <row r="685" spans="1:2" x14ac:dyDescent="0.35">
      <c r="A685" s="1">
        <v>4008449</v>
      </c>
      <c r="B685" s="1" t="s">
        <v>258</v>
      </c>
    </row>
    <row r="686" spans="1:2" x14ac:dyDescent="0.35">
      <c r="A686" s="1">
        <v>4008450</v>
      </c>
      <c r="B686" s="1" t="s">
        <v>258</v>
      </c>
    </row>
    <row r="687" spans="1:2" x14ac:dyDescent="0.35">
      <c r="A687" s="1">
        <v>4008451</v>
      </c>
      <c r="B687" s="1" t="s">
        <v>258</v>
      </c>
    </row>
    <row r="688" spans="1:2" x14ac:dyDescent="0.35">
      <c r="A688" s="1">
        <v>4008452</v>
      </c>
      <c r="B688" s="1" t="s">
        <v>258</v>
      </c>
    </row>
    <row r="689" spans="1:2" x14ac:dyDescent="0.35">
      <c r="A689" s="1">
        <v>4008453</v>
      </c>
      <c r="B689" s="1" t="s">
        <v>258</v>
      </c>
    </row>
    <row r="690" spans="1:2" x14ac:dyDescent="0.35">
      <c r="A690" s="1">
        <v>4008454</v>
      </c>
      <c r="B690" s="1" t="s">
        <v>258</v>
      </c>
    </row>
    <row r="691" spans="1:2" x14ac:dyDescent="0.35">
      <c r="A691" s="1">
        <v>4008455</v>
      </c>
      <c r="B691" s="1" t="s">
        <v>258</v>
      </c>
    </row>
    <row r="692" spans="1:2" x14ac:dyDescent="0.35">
      <c r="A692" s="1">
        <v>4008456</v>
      </c>
      <c r="B692" s="1" t="s">
        <v>258</v>
      </c>
    </row>
    <row r="693" spans="1:2" x14ac:dyDescent="0.35">
      <c r="A693" s="1">
        <v>4008457</v>
      </c>
      <c r="B693" s="1" t="s">
        <v>258</v>
      </c>
    </row>
    <row r="694" spans="1:2" x14ac:dyDescent="0.35">
      <c r="A694" s="1">
        <v>4008458</v>
      </c>
      <c r="B694" s="1" t="s">
        <v>258</v>
      </c>
    </row>
    <row r="695" spans="1:2" x14ac:dyDescent="0.35">
      <c r="A695" s="1">
        <v>4008459</v>
      </c>
      <c r="B695" s="1" t="s">
        <v>258</v>
      </c>
    </row>
    <row r="696" spans="1:2" x14ac:dyDescent="0.35">
      <c r="A696" s="1">
        <v>4008460</v>
      </c>
      <c r="B696" s="1" t="s">
        <v>258</v>
      </c>
    </row>
    <row r="697" spans="1:2" x14ac:dyDescent="0.35">
      <c r="A697" s="1">
        <v>4008461</v>
      </c>
      <c r="B697" s="1" t="s">
        <v>258</v>
      </c>
    </row>
    <row r="698" spans="1:2" x14ac:dyDescent="0.35">
      <c r="A698" s="1">
        <v>4008462</v>
      </c>
      <c r="B698" s="1" t="s">
        <v>258</v>
      </c>
    </row>
    <row r="699" spans="1:2" x14ac:dyDescent="0.35">
      <c r="A699" s="1">
        <v>4008463</v>
      </c>
      <c r="B699" s="1" t="s">
        <v>258</v>
      </c>
    </row>
    <row r="700" spans="1:2" x14ac:dyDescent="0.35">
      <c r="A700" s="1">
        <v>4008464</v>
      </c>
      <c r="B700" s="1" t="s">
        <v>258</v>
      </c>
    </row>
    <row r="701" spans="1:2" x14ac:dyDescent="0.35">
      <c r="A701" s="1">
        <v>4008465</v>
      </c>
      <c r="B701" s="1" t="s">
        <v>258</v>
      </c>
    </row>
    <row r="702" spans="1:2" x14ac:dyDescent="0.35">
      <c r="A702" s="1">
        <v>4008466</v>
      </c>
      <c r="B702" s="1" t="s">
        <v>258</v>
      </c>
    </row>
    <row r="703" spans="1:2" x14ac:dyDescent="0.35">
      <c r="A703" s="1">
        <v>4008467</v>
      </c>
      <c r="B703" s="1" t="s">
        <v>258</v>
      </c>
    </row>
    <row r="704" spans="1:2" x14ac:dyDescent="0.35">
      <c r="A704" s="1">
        <v>4008468</v>
      </c>
      <c r="B704" s="1" t="s">
        <v>258</v>
      </c>
    </row>
    <row r="705" spans="1:2" x14ac:dyDescent="0.35">
      <c r="A705" s="1">
        <v>4008469</v>
      </c>
      <c r="B705" s="1" t="s">
        <v>258</v>
      </c>
    </row>
    <row r="706" spans="1:2" x14ac:dyDescent="0.35">
      <c r="A706" s="1">
        <v>4008470</v>
      </c>
      <c r="B706" s="1" t="s">
        <v>258</v>
      </c>
    </row>
    <row r="707" spans="1:2" x14ac:dyDescent="0.35">
      <c r="A707" s="1">
        <v>4008471</v>
      </c>
      <c r="B707" s="1" t="s">
        <v>258</v>
      </c>
    </row>
    <row r="708" spans="1:2" x14ac:dyDescent="0.35">
      <c r="A708" s="1">
        <v>4008472</v>
      </c>
      <c r="B708" s="1" t="s">
        <v>289</v>
      </c>
    </row>
    <row r="709" spans="1:2" x14ac:dyDescent="0.35">
      <c r="A709" s="1">
        <v>4008473</v>
      </c>
      <c r="B709" s="1" t="s">
        <v>258</v>
      </c>
    </row>
    <row r="710" spans="1:2" x14ac:dyDescent="0.35">
      <c r="A710" s="1">
        <v>4008474</v>
      </c>
      <c r="B710" s="1" t="s">
        <v>258</v>
      </c>
    </row>
    <row r="711" spans="1:2" x14ac:dyDescent="0.35">
      <c r="A711" s="1">
        <v>4008475</v>
      </c>
      <c r="B711" s="1" t="s">
        <v>258</v>
      </c>
    </row>
    <row r="712" spans="1:2" x14ac:dyDescent="0.35">
      <c r="A712" s="1">
        <v>4008476</v>
      </c>
      <c r="B712" s="1" t="s">
        <v>258</v>
      </c>
    </row>
    <row r="713" spans="1:2" x14ac:dyDescent="0.35">
      <c r="A713" s="1">
        <v>4008477</v>
      </c>
      <c r="B713" s="1" t="s">
        <v>258</v>
      </c>
    </row>
    <row r="714" spans="1:2" x14ac:dyDescent="0.35">
      <c r="A714" s="1">
        <v>4008481</v>
      </c>
      <c r="B714" s="1" t="s">
        <v>258</v>
      </c>
    </row>
    <row r="715" spans="1:2" x14ac:dyDescent="0.35">
      <c r="A715" s="1">
        <v>4008483</v>
      </c>
      <c r="B715" s="1" t="s">
        <v>258</v>
      </c>
    </row>
    <row r="716" spans="1:2" x14ac:dyDescent="0.35">
      <c r="A716" s="1">
        <v>4008484</v>
      </c>
      <c r="B716" s="1" t="s">
        <v>258</v>
      </c>
    </row>
    <row r="717" spans="1:2" x14ac:dyDescent="0.35">
      <c r="A717" s="1">
        <v>4008490</v>
      </c>
      <c r="B717" s="1" t="s">
        <v>258</v>
      </c>
    </row>
    <row r="718" spans="1:2" x14ac:dyDescent="0.35">
      <c r="A718" s="1">
        <v>4008494</v>
      </c>
      <c r="B718" s="1" t="s">
        <v>258</v>
      </c>
    </row>
    <row r="719" spans="1:2" x14ac:dyDescent="0.35">
      <c r="A719" s="1">
        <v>4008506</v>
      </c>
      <c r="B719" s="1" t="s">
        <v>258</v>
      </c>
    </row>
    <row r="720" spans="1:2" x14ac:dyDescent="0.35">
      <c r="A720" s="1">
        <v>4008507</v>
      </c>
      <c r="B720" s="1" t="s">
        <v>258</v>
      </c>
    </row>
    <row r="721" spans="1:2" x14ac:dyDescent="0.35">
      <c r="A721" s="1">
        <v>4008508</v>
      </c>
      <c r="B721" s="1" t="s">
        <v>258</v>
      </c>
    </row>
    <row r="722" spans="1:2" x14ac:dyDescent="0.35">
      <c r="A722" s="1">
        <v>4008511</v>
      </c>
      <c r="B722" s="1" t="s">
        <v>258</v>
      </c>
    </row>
    <row r="723" spans="1:2" x14ac:dyDescent="0.35">
      <c r="A723" s="1">
        <v>4008530</v>
      </c>
      <c r="B723" s="1" t="s">
        <v>258</v>
      </c>
    </row>
    <row r="724" spans="1:2" x14ac:dyDescent="0.35">
      <c r="A724" s="1">
        <v>4008559</v>
      </c>
      <c r="B724" s="1" t="s">
        <v>258</v>
      </c>
    </row>
    <row r="725" spans="1:2" x14ac:dyDescent="0.35">
      <c r="A725" s="1">
        <v>4008583</v>
      </c>
      <c r="B725" s="1" t="s">
        <v>258</v>
      </c>
    </row>
    <row r="726" spans="1:2" x14ac:dyDescent="0.35">
      <c r="A726" s="1">
        <v>4008589</v>
      </c>
      <c r="B726" s="1" t="s">
        <v>258</v>
      </c>
    </row>
    <row r="727" spans="1:2" x14ac:dyDescent="0.35">
      <c r="A727" s="1">
        <v>4008609</v>
      </c>
      <c r="B727" s="1" t="s">
        <v>258</v>
      </c>
    </row>
    <row r="728" spans="1:2" x14ac:dyDescent="0.35">
      <c r="A728" s="1">
        <v>4008615</v>
      </c>
      <c r="B728" s="1" t="s">
        <v>258</v>
      </c>
    </row>
    <row r="729" spans="1:2" x14ac:dyDescent="0.35">
      <c r="A729" s="1">
        <v>4009078</v>
      </c>
      <c r="B729" s="1" t="s">
        <v>258</v>
      </c>
    </row>
    <row r="730" spans="1:2" x14ac:dyDescent="0.35">
      <c r="A730" s="1">
        <v>4009081</v>
      </c>
      <c r="B730" s="1" t="s">
        <v>271</v>
      </c>
    </row>
    <row r="731" spans="1:2" x14ac:dyDescent="0.35">
      <c r="A731" s="1">
        <v>4009082</v>
      </c>
      <c r="B731" s="1" t="s">
        <v>258</v>
      </c>
    </row>
    <row r="732" spans="1:2" x14ac:dyDescent="0.35">
      <c r="A732" s="1">
        <v>4009084</v>
      </c>
      <c r="B732" s="1" t="s">
        <v>289</v>
      </c>
    </row>
    <row r="733" spans="1:2" x14ac:dyDescent="0.35">
      <c r="A733" s="1">
        <v>4009085</v>
      </c>
      <c r="B733" s="1" t="s">
        <v>258</v>
      </c>
    </row>
    <row r="734" spans="1:2" x14ac:dyDescent="0.35">
      <c r="A734" s="1">
        <v>4009086</v>
      </c>
      <c r="B734" s="1" t="s">
        <v>258</v>
      </c>
    </row>
    <row r="735" spans="1:2" x14ac:dyDescent="0.35">
      <c r="A735" s="1">
        <v>4009089</v>
      </c>
      <c r="B735" s="1" t="s">
        <v>258</v>
      </c>
    </row>
    <row r="736" spans="1:2" x14ac:dyDescent="0.35">
      <c r="A736" s="1">
        <v>4009091</v>
      </c>
      <c r="B736" s="1" t="s">
        <v>258</v>
      </c>
    </row>
    <row r="737" spans="1:2" x14ac:dyDescent="0.35">
      <c r="A737" s="1">
        <v>4009092</v>
      </c>
      <c r="B737" s="1" t="s">
        <v>258</v>
      </c>
    </row>
    <row r="738" spans="1:2" x14ac:dyDescent="0.35">
      <c r="A738" s="1">
        <v>4009221</v>
      </c>
      <c r="B738" s="3"/>
    </row>
    <row r="739" spans="1:2" x14ac:dyDescent="0.35">
      <c r="A739" s="1">
        <v>4009223</v>
      </c>
      <c r="B739" s="3"/>
    </row>
    <row r="740" spans="1:2" x14ac:dyDescent="0.35">
      <c r="A740" s="1">
        <v>4009225</v>
      </c>
      <c r="B740" s="1" t="s">
        <v>258</v>
      </c>
    </row>
    <row r="741" spans="1:2" x14ac:dyDescent="0.35">
      <c r="A741" s="1">
        <v>4009249</v>
      </c>
      <c r="B741" s="1" t="s">
        <v>258</v>
      </c>
    </row>
    <row r="742" spans="1:2" x14ac:dyDescent="0.35">
      <c r="A742" s="1">
        <v>4009250</v>
      </c>
      <c r="B742" s="1" t="s">
        <v>258</v>
      </c>
    </row>
    <row r="743" spans="1:2" x14ac:dyDescent="0.35">
      <c r="A743" s="1">
        <v>4009251</v>
      </c>
      <c r="B743" s="3"/>
    </row>
    <row r="744" spans="1:2" x14ac:dyDescent="0.35">
      <c r="A744" s="1">
        <v>4009254</v>
      </c>
      <c r="B744" s="3"/>
    </row>
    <row r="745" spans="1:2" x14ac:dyDescent="0.35">
      <c r="A745" s="1">
        <v>4009256</v>
      </c>
      <c r="B745" s="1" t="s">
        <v>258</v>
      </c>
    </row>
    <row r="746" spans="1:2" x14ac:dyDescent="0.35">
      <c r="A746" s="1">
        <v>4009257</v>
      </c>
      <c r="B746" s="1" t="s">
        <v>258</v>
      </c>
    </row>
    <row r="747" spans="1:2" x14ac:dyDescent="0.35">
      <c r="A747" s="1">
        <v>4009261</v>
      </c>
      <c r="B747" s="1" t="s">
        <v>258</v>
      </c>
    </row>
    <row r="748" spans="1:2" x14ac:dyDescent="0.35">
      <c r="A748" s="1">
        <v>4009476</v>
      </c>
      <c r="B748" s="3"/>
    </row>
    <row r="749" spans="1:2" x14ac:dyDescent="0.35">
      <c r="A749" s="1">
        <v>4009686</v>
      </c>
      <c r="B749" s="1" t="s">
        <v>258</v>
      </c>
    </row>
    <row r="750" spans="1:2" x14ac:dyDescent="0.35">
      <c r="A750" s="1">
        <v>4009745</v>
      </c>
      <c r="B750" s="1" t="s">
        <v>271</v>
      </c>
    </row>
    <row r="751" spans="1:2" x14ac:dyDescent="0.35">
      <c r="A751" s="1">
        <v>4009893</v>
      </c>
      <c r="B751" s="3"/>
    </row>
    <row r="752" spans="1:2" x14ac:dyDescent="0.35">
      <c r="A752" s="1">
        <v>4009895</v>
      </c>
      <c r="B752" s="1" t="s">
        <v>289</v>
      </c>
    </row>
    <row r="753" spans="1:2" x14ac:dyDescent="0.35">
      <c r="A753" s="1">
        <v>4009896</v>
      </c>
      <c r="B753" s="3"/>
    </row>
    <row r="754" spans="1:2" x14ac:dyDescent="0.35">
      <c r="A754" s="1">
        <v>4009898</v>
      </c>
      <c r="B754" s="3"/>
    </row>
    <row r="755" spans="1:2" x14ac:dyDescent="0.35">
      <c r="A755" s="1">
        <v>4009899</v>
      </c>
      <c r="B755" s="3"/>
    </row>
    <row r="756" spans="1:2" x14ac:dyDescent="0.35">
      <c r="A756" s="1">
        <v>4009908</v>
      </c>
      <c r="B756" s="3"/>
    </row>
    <row r="757" spans="1:2" x14ac:dyDescent="0.35">
      <c r="A757" s="1">
        <v>4009909</v>
      </c>
      <c r="B757" s="3"/>
    </row>
    <row r="758" spans="1:2" x14ac:dyDescent="0.35">
      <c r="A758" s="1">
        <v>4009910</v>
      </c>
      <c r="B758" s="3"/>
    </row>
    <row r="759" spans="1:2" x14ac:dyDescent="0.35">
      <c r="A759" s="1">
        <v>4009911</v>
      </c>
      <c r="B759" s="3"/>
    </row>
    <row r="760" spans="1:2" x14ac:dyDescent="0.35">
      <c r="A760" s="1">
        <v>4009912</v>
      </c>
      <c r="B760" s="1" t="s">
        <v>289</v>
      </c>
    </row>
    <row r="761" spans="1:2" x14ac:dyDescent="0.35">
      <c r="A761" s="1">
        <v>4009913</v>
      </c>
      <c r="B761" s="1" t="s">
        <v>289</v>
      </c>
    </row>
    <row r="762" spans="1:2" x14ac:dyDescent="0.35">
      <c r="A762" s="1">
        <v>4009914</v>
      </c>
      <c r="B762" s="3"/>
    </row>
    <row r="763" spans="1:2" x14ac:dyDescent="0.35">
      <c r="A763" s="1">
        <v>4009916</v>
      </c>
      <c r="B763" s="3"/>
    </row>
    <row r="764" spans="1:2" x14ac:dyDescent="0.35">
      <c r="A764" s="1">
        <v>4015482</v>
      </c>
      <c r="B764" s="1" t="s">
        <v>258</v>
      </c>
    </row>
    <row r="765" spans="1:2" x14ac:dyDescent="0.35">
      <c r="A765" s="1">
        <v>4015483</v>
      </c>
      <c r="B765" s="1" t="s">
        <v>258</v>
      </c>
    </row>
    <row r="766" spans="1:2" x14ac:dyDescent="0.35">
      <c r="A766" s="1">
        <v>4024878</v>
      </c>
      <c r="B766" s="3"/>
    </row>
    <row r="767" spans="1:2" x14ac:dyDescent="0.35">
      <c r="A767" s="1">
        <v>4030760</v>
      </c>
      <c r="B767" s="3"/>
    </row>
    <row r="768" spans="1:2" x14ac:dyDescent="0.35">
      <c r="A768" s="1">
        <v>4032343</v>
      </c>
      <c r="B768" s="3"/>
    </row>
    <row r="769" spans="1:2" x14ac:dyDescent="0.35">
      <c r="A769" s="1">
        <v>4032344</v>
      </c>
      <c r="B769" s="3"/>
    </row>
    <row r="770" spans="1:2" x14ac:dyDescent="0.35">
      <c r="A770" s="1">
        <v>4033645</v>
      </c>
      <c r="B770" s="3"/>
    </row>
    <row r="771" spans="1:2" x14ac:dyDescent="0.35">
      <c r="A771" s="1">
        <v>4033646</v>
      </c>
      <c r="B771" s="3"/>
    </row>
    <row r="772" spans="1:2" x14ac:dyDescent="0.35">
      <c r="A772" s="1">
        <v>4033674</v>
      </c>
      <c r="B772" s="3"/>
    </row>
    <row r="773" spans="1:2" x14ac:dyDescent="0.35">
      <c r="A773" s="1">
        <v>4033704</v>
      </c>
      <c r="B773" s="3"/>
    </row>
    <row r="774" spans="1:2" x14ac:dyDescent="0.35">
      <c r="A774" s="1">
        <v>4033706</v>
      </c>
      <c r="B774" s="3"/>
    </row>
    <row r="775" spans="1:2" x14ac:dyDescent="0.35">
      <c r="A775" s="1">
        <v>4035929</v>
      </c>
      <c r="B775" s="1" t="s">
        <v>258</v>
      </c>
    </row>
    <row r="776" spans="1:2" x14ac:dyDescent="0.35">
      <c r="A776" s="1">
        <v>4035930</v>
      </c>
      <c r="B776" s="1" t="s">
        <v>258</v>
      </c>
    </row>
    <row r="777" spans="1:2" x14ac:dyDescent="0.35">
      <c r="A777" s="1">
        <v>4035931</v>
      </c>
      <c r="B777" s="1" t="s">
        <v>258</v>
      </c>
    </row>
    <row r="778" spans="1:2" x14ac:dyDescent="0.35">
      <c r="A778" s="1">
        <v>4035935</v>
      </c>
      <c r="B778" s="3"/>
    </row>
    <row r="779" spans="1:2" x14ac:dyDescent="0.35">
      <c r="A779" s="1">
        <v>4035953</v>
      </c>
      <c r="B779" s="3"/>
    </row>
    <row r="780" spans="1:2" x14ac:dyDescent="0.35">
      <c r="A780" s="1">
        <v>4035954</v>
      </c>
      <c r="B780" s="3"/>
    </row>
    <row r="781" spans="1:2" x14ac:dyDescent="0.35">
      <c r="A781" s="1">
        <v>4035956</v>
      </c>
      <c r="B781" s="3"/>
    </row>
    <row r="782" spans="1:2" x14ac:dyDescent="0.35">
      <c r="A782" s="1">
        <v>4035957</v>
      </c>
      <c r="B782" s="3"/>
    </row>
    <row r="783" spans="1:2" x14ac:dyDescent="0.35">
      <c r="A783" s="1">
        <v>4035958</v>
      </c>
      <c r="B783" s="3"/>
    </row>
    <row r="784" spans="1:2" x14ac:dyDescent="0.35">
      <c r="A784" s="1">
        <v>4035959</v>
      </c>
      <c r="B784" s="3"/>
    </row>
    <row r="785" spans="1:2" x14ac:dyDescent="0.35">
      <c r="A785" s="1">
        <v>4035960</v>
      </c>
      <c r="B785" s="3"/>
    </row>
    <row r="786" spans="1:2" x14ac:dyDescent="0.35">
      <c r="A786" s="1">
        <v>4035963</v>
      </c>
      <c r="B786" s="1" t="s">
        <v>258</v>
      </c>
    </row>
    <row r="787" spans="1:2" x14ac:dyDescent="0.35">
      <c r="A787" s="1">
        <v>4035971</v>
      </c>
      <c r="B787" s="3"/>
    </row>
    <row r="788" spans="1:2" x14ac:dyDescent="0.35">
      <c r="A788" s="1">
        <v>4035972</v>
      </c>
      <c r="B788" s="3"/>
    </row>
    <row r="789" spans="1:2" x14ac:dyDescent="0.35">
      <c r="A789" s="1">
        <v>4035973</v>
      </c>
      <c r="B789" s="3"/>
    </row>
    <row r="790" spans="1:2" x14ac:dyDescent="0.35">
      <c r="A790" s="1">
        <v>4035974</v>
      </c>
      <c r="B790" s="3"/>
    </row>
    <row r="791" spans="1:2" x14ac:dyDescent="0.35">
      <c r="A791" s="1">
        <v>4036481</v>
      </c>
      <c r="B791" s="3"/>
    </row>
    <row r="792" spans="1:2" x14ac:dyDescent="0.35">
      <c r="A792" s="1">
        <v>4036668</v>
      </c>
      <c r="B792" s="3"/>
    </row>
    <row r="793" spans="1:2" x14ac:dyDescent="0.35">
      <c r="A793" s="1">
        <v>4036669</v>
      </c>
      <c r="B793" s="3"/>
    </row>
    <row r="794" spans="1:2" x14ac:dyDescent="0.35">
      <c r="A794" s="1">
        <v>4036670</v>
      </c>
      <c r="B794" s="3"/>
    </row>
    <row r="795" spans="1:2" x14ac:dyDescent="0.35">
      <c r="A795" s="1">
        <v>4036671</v>
      </c>
      <c r="B795" s="3"/>
    </row>
    <row r="796" spans="1:2" x14ac:dyDescent="0.35">
      <c r="A796" s="1">
        <v>4036672</v>
      </c>
      <c r="B796" s="3"/>
    </row>
    <row r="797" spans="1:2" x14ac:dyDescent="0.35">
      <c r="A797" s="1">
        <v>4036673</v>
      </c>
      <c r="B797" s="3"/>
    </row>
    <row r="798" spans="1:2" x14ac:dyDescent="0.35">
      <c r="A798" s="1">
        <v>4036674</v>
      </c>
      <c r="B798" s="1" t="s">
        <v>24</v>
      </c>
    </row>
    <row r="799" spans="1:2" x14ac:dyDescent="0.35">
      <c r="A799" s="1">
        <v>4036675</v>
      </c>
      <c r="B799" s="1" t="s">
        <v>24</v>
      </c>
    </row>
    <row r="800" spans="1:2" x14ac:dyDescent="0.35">
      <c r="A800" s="1">
        <v>4036677</v>
      </c>
      <c r="B800" s="3"/>
    </row>
    <row r="801" spans="1:2" x14ac:dyDescent="0.35">
      <c r="A801" s="1">
        <v>4036744</v>
      </c>
      <c r="B801" s="1" t="s">
        <v>24</v>
      </c>
    </row>
    <row r="802" spans="1:2" x14ac:dyDescent="0.35">
      <c r="A802" s="1">
        <v>4036755</v>
      </c>
      <c r="B802" s="1" t="s">
        <v>24</v>
      </c>
    </row>
    <row r="803" spans="1:2" x14ac:dyDescent="0.35">
      <c r="A803" s="1">
        <v>4036757</v>
      </c>
      <c r="B803" s="1" t="s">
        <v>24</v>
      </c>
    </row>
    <row r="804" spans="1:2" x14ac:dyDescent="0.35">
      <c r="A804" s="1">
        <v>4036758</v>
      </c>
      <c r="B804" s="1" t="s">
        <v>24</v>
      </c>
    </row>
    <row r="805" spans="1:2" x14ac:dyDescent="0.35">
      <c r="A805" s="1">
        <v>4036771</v>
      </c>
      <c r="B805" s="1" t="s">
        <v>24</v>
      </c>
    </row>
    <row r="806" spans="1:2" x14ac:dyDescent="0.35">
      <c r="A806" s="1">
        <v>4036772</v>
      </c>
      <c r="B806" s="1" t="s">
        <v>24</v>
      </c>
    </row>
    <row r="807" spans="1:2" x14ac:dyDescent="0.35">
      <c r="A807" s="1">
        <v>4036777</v>
      </c>
      <c r="B807" s="1" t="s">
        <v>24</v>
      </c>
    </row>
    <row r="808" spans="1:2" x14ac:dyDescent="0.35">
      <c r="A808" s="1">
        <v>4036778</v>
      </c>
      <c r="B808" s="1" t="s">
        <v>24</v>
      </c>
    </row>
    <row r="809" spans="1:2" x14ac:dyDescent="0.35">
      <c r="A809" s="1">
        <v>4036779</v>
      </c>
      <c r="B809" s="1" t="s">
        <v>24</v>
      </c>
    </row>
    <row r="810" spans="1:2" x14ac:dyDescent="0.35">
      <c r="A810" s="1">
        <v>4036780</v>
      </c>
      <c r="B810" s="3"/>
    </row>
    <row r="811" spans="1:2" x14ac:dyDescent="0.35">
      <c r="A811" s="1">
        <v>4038552</v>
      </c>
      <c r="B811" s="3"/>
    </row>
    <row r="812" spans="1:2" x14ac:dyDescent="0.35">
      <c r="A812" s="1">
        <v>4038553</v>
      </c>
      <c r="B812" s="3"/>
    </row>
    <row r="813" spans="1:2" x14ac:dyDescent="0.35">
      <c r="A813" s="1">
        <v>4038555</v>
      </c>
      <c r="B813" s="3"/>
    </row>
    <row r="814" spans="1:2" x14ac:dyDescent="0.35">
      <c r="A814" s="1">
        <v>4038558</v>
      </c>
      <c r="B814" s="3"/>
    </row>
    <row r="815" spans="1:2" x14ac:dyDescent="0.35">
      <c r="A815" s="1">
        <v>4038559</v>
      </c>
      <c r="B815" s="3"/>
    </row>
    <row r="816" spans="1:2" x14ac:dyDescent="0.35">
      <c r="A816" s="1">
        <v>4038560</v>
      </c>
      <c r="B816" s="3"/>
    </row>
    <row r="817" spans="1:2" x14ac:dyDescent="0.35">
      <c r="A817" s="1">
        <v>4038564</v>
      </c>
      <c r="B817" s="3"/>
    </row>
    <row r="818" spans="1:2" x14ac:dyDescent="0.35">
      <c r="A818" s="1">
        <v>4038567</v>
      </c>
      <c r="B818" s="3"/>
    </row>
    <row r="819" spans="1:2" x14ac:dyDescent="0.35">
      <c r="A819" s="1">
        <v>4038571</v>
      </c>
      <c r="B819" s="3"/>
    </row>
    <row r="820" spans="1:2" x14ac:dyDescent="0.35">
      <c r="A820" s="1">
        <v>4038574</v>
      </c>
      <c r="B820" s="3"/>
    </row>
    <row r="821" spans="1:2" x14ac:dyDescent="0.35">
      <c r="A821" s="1">
        <v>4038582</v>
      </c>
      <c r="B821" s="3"/>
    </row>
    <row r="822" spans="1:2" x14ac:dyDescent="0.35">
      <c r="A822" s="1">
        <v>4038586</v>
      </c>
      <c r="B822" s="3"/>
    </row>
    <row r="823" spans="1:2" x14ac:dyDescent="0.35">
      <c r="A823" s="1">
        <v>4038643</v>
      </c>
      <c r="B823" s="3"/>
    </row>
    <row r="824" spans="1:2" x14ac:dyDescent="0.35">
      <c r="A824" s="1">
        <v>4038735</v>
      </c>
      <c r="B824" s="3"/>
    </row>
    <row r="825" spans="1:2" x14ac:dyDescent="0.35">
      <c r="A825" s="1">
        <v>4038736</v>
      </c>
      <c r="B825" s="3"/>
    </row>
    <row r="826" spans="1:2" x14ac:dyDescent="0.35">
      <c r="A826" s="1">
        <v>4038737</v>
      </c>
      <c r="B826" s="3"/>
    </row>
    <row r="827" spans="1:2" x14ac:dyDescent="0.35">
      <c r="A827" s="1">
        <v>4038742</v>
      </c>
      <c r="B827" s="3"/>
    </row>
    <row r="828" spans="1:2" x14ac:dyDescent="0.35">
      <c r="A828" s="1">
        <v>4038743</v>
      </c>
      <c r="B828" s="3"/>
    </row>
    <row r="829" spans="1:2" x14ac:dyDescent="0.35">
      <c r="A829" s="1">
        <v>4043184</v>
      </c>
      <c r="B829" s="1" t="s">
        <v>141</v>
      </c>
    </row>
    <row r="830" spans="1:2" x14ac:dyDescent="0.35">
      <c r="A830" s="1">
        <v>4044446</v>
      </c>
      <c r="B830" s="3"/>
    </row>
    <row r="831" spans="1:2" x14ac:dyDescent="0.35">
      <c r="A831" s="1">
        <v>4044449</v>
      </c>
      <c r="B831" s="3"/>
    </row>
    <row r="832" spans="1:2" x14ac:dyDescent="0.35">
      <c r="A832" s="1">
        <v>4044453</v>
      </c>
      <c r="B832" s="3"/>
    </row>
    <row r="833" spans="1:2" x14ac:dyDescent="0.35">
      <c r="A833" s="1">
        <v>4044460</v>
      </c>
      <c r="B833" s="3"/>
    </row>
    <row r="834" spans="1:2" x14ac:dyDescent="0.35">
      <c r="A834" s="1">
        <v>4044461</v>
      </c>
      <c r="B834" s="3"/>
    </row>
    <row r="835" spans="1:2" x14ac:dyDescent="0.35">
      <c r="A835" s="1">
        <v>4044462</v>
      </c>
      <c r="B835" s="3"/>
    </row>
    <row r="836" spans="1:2" x14ac:dyDescent="0.35">
      <c r="A836" s="1">
        <v>4044466</v>
      </c>
      <c r="B836" s="3"/>
    </row>
    <row r="837" spans="1:2" x14ac:dyDescent="0.35">
      <c r="A837" s="1">
        <v>4044863</v>
      </c>
      <c r="B837" s="3"/>
    </row>
    <row r="838" spans="1:2" x14ac:dyDescent="0.35">
      <c r="A838" s="1">
        <v>4044864</v>
      </c>
      <c r="B838" s="3"/>
    </row>
    <row r="839" spans="1:2" x14ac:dyDescent="0.35">
      <c r="A839" s="1">
        <v>4045014</v>
      </c>
      <c r="B839" s="3"/>
    </row>
    <row r="840" spans="1:2" x14ac:dyDescent="0.35">
      <c r="A840" s="1">
        <v>4045015</v>
      </c>
      <c r="B840" s="3"/>
    </row>
    <row r="841" spans="1:2" x14ac:dyDescent="0.35">
      <c r="A841" s="1">
        <v>4045018</v>
      </c>
      <c r="B841" s="3"/>
    </row>
    <row r="842" spans="1:2" x14ac:dyDescent="0.35">
      <c r="A842" s="1">
        <v>4045020</v>
      </c>
      <c r="B842" s="3"/>
    </row>
    <row r="843" spans="1:2" x14ac:dyDescent="0.35">
      <c r="A843" s="1">
        <v>4045021</v>
      </c>
      <c r="B843" s="3"/>
    </row>
    <row r="844" spans="1:2" x14ac:dyDescent="0.35">
      <c r="A844" s="1">
        <v>4045024</v>
      </c>
      <c r="B844" s="3"/>
    </row>
    <row r="845" spans="1:2" x14ac:dyDescent="0.35">
      <c r="A845" s="1">
        <v>4045025</v>
      </c>
      <c r="B845" s="3"/>
    </row>
    <row r="846" spans="1:2" x14ac:dyDescent="0.35">
      <c r="A846" s="1">
        <v>4045026</v>
      </c>
      <c r="B846" s="3"/>
    </row>
    <row r="847" spans="1:2" x14ac:dyDescent="0.35">
      <c r="A847" s="1">
        <v>4045027</v>
      </c>
      <c r="B847" s="3"/>
    </row>
    <row r="848" spans="1:2" x14ac:dyDescent="0.35">
      <c r="A848" s="1">
        <v>4045028</v>
      </c>
      <c r="B848" s="3"/>
    </row>
    <row r="849" spans="1:2" x14ac:dyDescent="0.35">
      <c r="A849" s="1">
        <v>4045029</v>
      </c>
      <c r="B849" s="3"/>
    </row>
    <row r="850" spans="1:2" x14ac:dyDescent="0.35">
      <c r="A850" s="1">
        <v>4045030</v>
      </c>
      <c r="B850" s="3"/>
    </row>
    <row r="851" spans="1:2" x14ac:dyDescent="0.35">
      <c r="A851" s="1">
        <v>4045031</v>
      </c>
      <c r="B851" s="3"/>
    </row>
    <row r="852" spans="1:2" x14ac:dyDescent="0.35">
      <c r="A852" s="1">
        <v>4045032</v>
      </c>
      <c r="B852" s="3"/>
    </row>
    <row r="853" spans="1:2" x14ac:dyDescent="0.35">
      <c r="A853" s="1">
        <v>4045033</v>
      </c>
      <c r="B853" s="3"/>
    </row>
    <row r="854" spans="1:2" x14ac:dyDescent="0.35">
      <c r="A854" s="1">
        <v>4045034</v>
      </c>
      <c r="B854" s="3"/>
    </row>
    <row r="855" spans="1:2" x14ac:dyDescent="0.35">
      <c r="A855" s="1">
        <v>4045035</v>
      </c>
      <c r="B855" s="3"/>
    </row>
    <row r="856" spans="1:2" x14ac:dyDescent="0.35">
      <c r="A856" s="1">
        <v>4045037</v>
      </c>
      <c r="B856" s="3"/>
    </row>
    <row r="857" spans="1:2" x14ac:dyDescent="0.35">
      <c r="A857" s="1">
        <v>4045038</v>
      </c>
      <c r="B857" s="3"/>
    </row>
    <row r="858" spans="1:2" x14ac:dyDescent="0.35">
      <c r="A858" s="1">
        <v>4045039</v>
      </c>
      <c r="B858" s="3"/>
    </row>
    <row r="859" spans="1:2" x14ac:dyDescent="0.35">
      <c r="A859" s="1">
        <v>4045042</v>
      </c>
      <c r="B859" s="3"/>
    </row>
    <row r="860" spans="1:2" x14ac:dyDescent="0.35">
      <c r="A860" s="1">
        <v>4045055</v>
      </c>
      <c r="B860" s="3"/>
    </row>
    <row r="861" spans="1:2" x14ac:dyDescent="0.35">
      <c r="A861" s="1">
        <v>4045056</v>
      </c>
      <c r="B861" s="3"/>
    </row>
    <row r="862" spans="1:2" x14ac:dyDescent="0.35">
      <c r="A862" s="1">
        <v>4045057</v>
      </c>
      <c r="B862" s="3"/>
    </row>
    <row r="863" spans="1:2" x14ac:dyDescent="0.35">
      <c r="A863" s="1">
        <v>4045068</v>
      </c>
      <c r="B863" s="3"/>
    </row>
    <row r="864" spans="1:2" x14ac:dyDescent="0.35">
      <c r="A864" s="1">
        <v>4045081</v>
      </c>
      <c r="B864" s="3"/>
    </row>
    <row r="865" spans="1:2" x14ac:dyDescent="0.35">
      <c r="A865" s="1">
        <v>4045333</v>
      </c>
      <c r="B865" s="3"/>
    </row>
    <row r="866" spans="1:2" x14ac:dyDescent="0.35">
      <c r="A866" s="1">
        <v>4045334</v>
      </c>
      <c r="B866" s="3"/>
    </row>
    <row r="867" spans="1:2" x14ac:dyDescent="0.35">
      <c r="A867" s="1">
        <v>4045335</v>
      </c>
      <c r="B867" s="3"/>
    </row>
    <row r="868" spans="1:2" x14ac:dyDescent="0.35">
      <c r="A868" s="1">
        <v>4045337</v>
      </c>
      <c r="B868" s="3"/>
    </row>
    <row r="869" spans="1:2" x14ac:dyDescent="0.35">
      <c r="A869" s="1">
        <v>4045338</v>
      </c>
      <c r="B869" s="3"/>
    </row>
    <row r="870" spans="1:2" x14ac:dyDescent="0.35">
      <c r="A870" s="1">
        <v>4045339</v>
      </c>
      <c r="B870" s="3"/>
    </row>
    <row r="871" spans="1:2" x14ac:dyDescent="0.35">
      <c r="A871" s="1">
        <v>4045343</v>
      </c>
      <c r="B871" s="3"/>
    </row>
    <row r="872" spans="1:2" x14ac:dyDescent="0.35">
      <c r="A872" s="1">
        <v>4045370</v>
      </c>
      <c r="B872" s="3"/>
    </row>
    <row r="873" spans="1:2" x14ac:dyDescent="0.35">
      <c r="A873" s="1">
        <v>4045373</v>
      </c>
      <c r="B873" s="1" t="s">
        <v>258</v>
      </c>
    </row>
    <row r="874" spans="1:2" x14ac:dyDescent="0.35">
      <c r="A874" s="1">
        <v>4046090</v>
      </c>
      <c r="B874" s="3"/>
    </row>
    <row r="875" spans="1:2" x14ac:dyDescent="0.35">
      <c r="A875" s="1">
        <v>4046091</v>
      </c>
      <c r="B875" s="3"/>
    </row>
    <row r="876" spans="1:2" x14ac:dyDescent="0.35">
      <c r="A876" s="1">
        <v>4046092</v>
      </c>
      <c r="B876" s="3"/>
    </row>
    <row r="877" spans="1:2" x14ac:dyDescent="0.35">
      <c r="A877" s="1">
        <v>4046094</v>
      </c>
      <c r="B877" s="3"/>
    </row>
    <row r="878" spans="1:2" x14ac:dyDescent="0.35">
      <c r="A878" s="1">
        <v>4048468</v>
      </c>
      <c r="B878" s="3"/>
    </row>
    <row r="879" spans="1:2" x14ac:dyDescent="0.35">
      <c r="A879" s="1">
        <v>4049107</v>
      </c>
      <c r="B879" s="3"/>
    </row>
    <row r="880" spans="1:2" x14ac:dyDescent="0.35">
      <c r="A880" s="1">
        <v>4049121</v>
      </c>
      <c r="B880" s="3"/>
    </row>
    <row r="881" spans="1:2" x14ac:dyDescent="0.35">
      <c r="A881" s="1">
        <v>4049360</v>
      </c>
      <c r="B881" s="1" t="s">
        <v>271</v>
      </c>
    </row>
  </sheetData>
  <autoFilter ref="A10:B10" xr:uid="{7EC5AEDA-02CB-4BE8-950C-F071D0FB3084}"/>
  <mergeCells count="1">
    <mergeCell ref="A1:B1"/>
  </mergeCells>
  <conditionalFormatting sqref="A11:B881">
    <cfRule type="expression" dxfId="12" priority="1">
      <formula>MOD(ROW(),2)=1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CFD3-E9AA-4AF5-A23A-1FF7A5E09D43}">
  <dimension ref="A1:E881"/>
  <sheetViews>
    <sheetView showGridLines="0" workbookViewId="0">
      <pane ySplit="10" topLeftCell="A11" activePane="bottomLeft" state="frozen"/>
      <selection pane="bottomLeft" activeCell="M35" sqref="M35"/>
    </sheetView>
  </sheetViews>
  <sheetFormatPr baseColWidth="10" defaultColWidth="11.54296875" defaultRowHeight="14.5" x14ac:dyDescent="0.35"/>
  <cols>
    <col min="1" max="1" width="28.1796875" style="1" bestFit="1" customWidth="1"/>
    <col min="2" max="2" width="13" style="1" bestFit="1" customWidth="1"/>
    <col min="3" max="3" width="8.81640625" style="1" bestFit="1" customWidth="1"/>
    <col min="4" max="4" width="8.54296875" style="1" bestFit="1" customWidth="1"/>
    <col min="5" max="5" width="14.1796875" style="1" bestFit="1" customWidth="1"/>
    <col min="6" max="16384" width="11.54296875" style="1"/>
  </cols>
  <sheetData>
    <row r="1" spans="1:5" ht="18.5" x14ac:dyDescent="0.45">
      <c r="A1" s="82" t="s">
        <v>3356</v>
      </c>
      <c r="B1" s="83"/>
      <c r="C1" s="83"/>
      <c r="D1" s="83"/>
      <c r="E1" s="83"/>
    </row>
    <row r="3" spans="1:5" x14ac:dyDescent="0.35">
      <c r="A3" s="10" t="s">
        <v>3357</v>
      </c>
      <c r="B3" s="16">
        <f>COUNTA(A11:A881)</f>
        <v>871</v>
      </c>
    </row>
    <row r="4" spans="1:5" x14ac:dyDescent="0.35">
      <c r="A4" s="11" t="s">
        <v>3358</v>
      </c>
      <c r="B4" s="20">
        <f>AVERAGE(B11:B881)</f>
        <v>429.34198863375428</v>
      </c>
    </row>
    <row r="5" spans="1:5" x14ac:dyDescent="0.35">
      <c r="A5" s="11" t="s">
        <v>3359</v>
      </c>
      <c r="B5" s="20">
        <f>MEDIAN(B11:B881)</f>
        <v>16.940000000000001</v>
      </c>
    </row>
    <row r="6" spans="1:5" x14ac:dyDescent="0.35">
      <c r="A6" s="11" t="s">
        <v>3360</v>
      </c>
      <c r="B6" s="20">
        <f>MAX(B11:B881)</f>
        <v>119438.31</v>
      </c>
    </row>
    <row r="7" spans="1:5" x14ac:dyDescent="0.35">
      <c r="A7" s="11" t="s">
        <v>3361</v>
      </c>
      <c r="B7" s="21">
        <f>_xlfn.MINIFS(B11:B881,B11:B881,"&gt;0")</f>
        <v>1E-4</v>
      </c>
    </row>
    <row r="8" spans="1:5" x14ac:dyDescent="0.35">
      <c r="A8" s="12" t="s">
        <v>3362</v>
      </c>
      <c r="B8" s="13">
        <f>COUNTIF(C11:C881,"V")/COUNTA(C11:C881)</f>
        <v>0.95407577497129736</v>
      </c>
    </row>
    <row r="10" spans="1:5" x14ac:dyDescent="0.35">
      <c r="A10" s="14" t="s">
        <v>1185</v>
      </c>
      <c r="B10" s="14" t="s">
        <v>3196</v>
      </c>
      <c r="C10" s="14" t="s">
        <v>3197</v>
      </c>
      <c r="D10" s="14" t="s">
        <v>3198</v>
      </c>
      <c r="E10" s="14" t="s">
        <v>3199</v>
      </c>
    </row>
    <row r="11" spans="1:5" x14ac:dyDescent="0.35">
      <c r="A11" s="1">
        <v>4000005</v>
      </c>
      <c r="B11" s="15">
        <v>2064.73</v>
      </c>
      <c r="C11" s="1" t="s">
        <v>3200</v>
      </c>
      <c r="D11" s="6">
        <v>1</v>
      </c>
    </row>
    <row r="12" spans="1:5" x14ac:dyDescent="0.35">
      <c r="A12" s="1">
        <v>4000009</v>
      </c>
      <c r="B12" s="15">
        <v>79.89</v>
      </c>
      <c r="C12" s="1" t="s">
        <v>3200</v>
      </c>
      <c r="D12" s="6">
        <v>1</v>
      </c>
    </row>
    <row r="13" spans="1:5" x14ac:dyDescent="0.35">
      <c r="A13" s="1">
        <v>4000014</v>
      </c>
      <c r="B13" s="15">
        <v>10.25</v>
      </c>
      <c r="C13" s="1" t="s">
        <v>3200</v>
      </c>
      <c r="D13" s="6">
        <v>1</v>
      </c>
    </row>
    <row r="14" spans="1:5" x14ac:dyDescent="0.35">
      <c r="A14" s="1">
        <v>4000023</v>
      </c>
      <c r="B14" s="15">
        <v>23.41</v>
      </c>
      <c r="C14" s="1" t="s">
        <v>3200</v>
      </c>
      <c r="D14" s="6">
        <v>1</v>
      </c>
    </row>
    <row r="15" spans="1:5" x14ac:dyDescent="0.35">
      <c r="A15" s="1">
        <v>4000024</v>
      </c>
      <c r="B15" s="15">
        <v>22.39</v>
      </c>
      <c r="C15" s="1" t="s">
        <v>3200</v>
      </c>
      <c r="D15" s="6">
        <v>1</v>
      </c>
    </row>
    <row r="16" spans="1:5" x14ac:dyDescent="0.35">
      <c r="A16" s="1">
        <v>4000027</v>
      </c>
      <c r="B16" s="15">
        <v>39.69</v>
      </c>
      <c r="C16" s="1" t="s">
        <v>3200</v>
      </c>
      <c r="D16" s="6">
        <v>1</v>
      </c>
    </row>
    <row r="17" spans="1:4" x14ac:dyDescent="0.35">
      <c r="A17" s="1">
        <v>4000060</v>
      </c>
      <c r="B17" s="15">
        <v>2.77</v>
      </c>
      <c r="C17" s="1" t="s">
        <v>3200</v>
      </c>
      <c r="D17" s="6">
        <v>1</v>
      </c>
    </row>
    <row r="18" spans="1:4" x14ac:dyDescent="0.35">
      <c r="A18" s="1">
        <v>4000061</v>
      </c>
      <c r="B18" s="15">
        <v>4.26</v>
      </c>
      <c r="C18" s="1" t="s">
        <v>3200</v>
      </c>
      <c r="D18" s="6">
        <v>1</v>
      </c>
    </row>
    <row r="19" spans="1:4" x14ac:dyDescent="0.35">
      <c r="A19" s="1">
        <v>4000062</v>
      </c>
      <c r="B19" s="15">
        <v>7.48</v>
      </c>
      <c r="C19" s="1" t="s">
        <v>3200</v>
      </c>
      <c r="D19" s="6">
        <v>1</v>
      </c>
    </row>
    <row r="20" spans="1:4" x14ac:dyDescent="0.35">
      <c r="A20" s="1">
        <v>4000063</v>
      </c>
      <c r="B20" s="15">
        <v>4.91</v>
      </c>
      <c r="C20" s="1" t="s">
        <v>3200</v>
      </c>
      <c r="D20" s="6">
        <v>1</v>
      </c>
    </row>
    <row r="21" spans="1:4" x14ac:dyDescent="0.35">
      <c r="A21" s="1">
        <v>4000065</v>
      </c>
      <c r="B21" s="15">
        <v>0.26019999999999999</v>
      </c>
      <c r="C21" s="1" t="s">
        <v>3200</v>
      </c>
      <c r="D21" s="6">
        <v>100</v>
      </c>
    </row>
    <row r="22" spans="1:4" x14ac:dyDescent="0.35">
      <c r="A22" s="1">
        <v>4000066</v>
      </c>
      <c r="B22" s="15">
        <v>6.9</v>
      </c>
      <c r="C22" s="1" t="s">
        <v>3200</v>
      </c>
      <c r="D22" s="6">
        <v>1</v>
      </c>
    </row>
    <row r="23" spans="1:4" x14ac:dyDescent="0.35">
      <c r="A23" s="1">
        <v>4000067</v>
      </c>
      <c r="B23" s="15">
        <v>5.61</v>
      </c>
      <c r="C23" s="1" t="s">
        <v>3200</v>
      </c>
      <c r="D23" s="6">
        <v>1</v>
      </c>
    </row>
    <row r="24" spans="1:4" x14ac:dyDescent="0.35">
      <c r="A24" s="1">
        <v>4000069</v>
      </c>
      <c r="B24" s="15">
        <v>3.6</v>
      </c>
      <c r="C24" s="1" t="s">
        <v>3200</v>
      </c>
      <c r="D24" s="6">
        <v>1</v>
      </c>
    </row>
    <row r="25" spans="1:4" x14ac:dyDescent="0.35">
      <c r="A25" s="1">
        <v>4000072</v>
      </c>
      <c r="B25" s="15">
        <v>2.96</v>
      </c>
      <c r="C25" s="1" t="s">
        <v>3200</v>
      </c>
      <c r="D25" s="6">
        <v>1</v>
      </c>
    </row>
    <row r="26" spans="1:4" x14ac:dyDescent="0.35">
      <c r="A26" s="1">
        <v>4000077</v>
      </c>
      <c r="B26" s="15">
        <v>15.7</v>
      </c>
      <c r="C26" s="1" t="s">
        <v>3200</v>
      </c>
      <c r="D26" s="6">
        <v>1</v>
      </c>
    </row>
    <row r="27" spans="1:4" x14ac:dyDescent="0.35">
      <c r="A27" s="1">
        <v>4000078</v>
      </c>
      <c r="B27" s="15">
        <v>1.4157999999999999</v>
      </c>
      <c r="C27" s="1" t="s">
        <v>3200</v>
      </c>
      <c r="D27" s="6">
        <v>100</v>
      </c>
    </row>
    <row r="28" spans="1:4" x14ac:dyDescent="0.35">
      <c r="A28" s="1">
        <v>4000084</v>
      </c>
      <c r="B28" s="15">
        <v>38.18</v>
      </c>
      <c r="C28" s="1" t="s">
        <v>3200</v>
      </c>
      <c r="D28" s="6">
        <v>1</v>
      </c>
    </row>
    <row r="29" spans="1:4" x14ac:dyDescent="0.35">
      <c r="A29" s="1">
        <v>4000090</v>
      </c>
      <c r="B29" s="15">
        <v>6.73</v>
      </c>
      <c r="C29" s="1" t="s">
        <v>3200</v>
      </c>
      <c r="D29" s="6">
        <v>1</v>
      </c>
    </row>
    <row r="30" spans="1:4" x14ac:dyDescent="0.35">
      <c r="A30" s="1">
        <v>4000094</v>
      </c>
      <c r="B30" s="15">
        <v>3.57</v>
      </c>
      <c r="C30" s="1" t="s">
        <v>3200</v>
      </c>
      <c r="D30" s="6">
        <v>1</v>
      </c>
    </row>
    <row r="31" spans="1:4" x14ac:dyDescent="0.35">
      <c r="A31" s="1">
        <v>4000108</v>
      </c>
      <c r="B31" s="15">
        <v>16.940000000000001</v>
      </c>
      <c r="C31" s="1" t="s">
        <v>3200</v>
      </c>
      <c r="D31" s="6">
        <v>1</v>
      </c>
    </row>
    <row r="32" spans="1:4" x14ac:dyDescent="0.35">
      <c r="A32" s="1">
        <v>4000273</v>
      </c>
      <c r="B32" s="15">
        <v>2.0499999999999998</v>
      </c>
      <c r="C32" s="1" t="s">
        <v>3200</v>
      </c>
      <c r="D32" s="6">
        <v>1</v>
      </c>
    </row>
    <row r="33" spans="1:4" x14ac:dyDescent="0.35">
      <c r="A33" s="1">
        <v>4000274</v>
      </c>
      <c r="B33" s="15">
        <v>2.11</v>
      </c>
      <c r="C33" s="1" t="s">
        <v>3200</v>
      </c>
      <c r="D33" s="6">
        <v>1</v>
      </c>
    </row>
    <row r="34" spans="1:4" x14ac:dyDescent="0.35">
      <c r="A34" s="1">
        <v>4000275</v>
      </c>
      <c r="B34" s="15">
        <v>0.755</v>
      </c>
      <c r="C34" s="1" t="s">
        <v>3200</v>
      </c>
      <c r="D34" s="6">
        <v>100</v>
      </c>
    </row>
    <row r="35" spans="1:4" x14ac:dyDescent="0.35">
      <c r="A35" s="1">
        <v>4000276</v>
      </c>
      <c r="B35" s="15">
        <v>0.76</v>
      </c>
      <c r="C35" s="1" t="s">
        <v>3200</v>
      </c>
      <c r="D35" s="6">
        <v>100</v>
      </c>
    </row>
    <row r="36" spans="1:4" x14ac:dyDescent="0.35">
      <c r="A36" s="1">
        <v>4000279</v>
      </c>
      <c r="B36" s="15">
        <v>0.31380000000000002</v>
      </c>
      <c r="C36" s="1" t="s">
        <v>3200</v>
      </c>
      <c r="D36" s="6">
        <v>100</v>
      </c>
    </row>
    <row r="37" spans="1:4" x14ac:dyDescent="0.35">
      <c r="A37" s="1">
        <v>4000280</v>
      </c>
      <c r="B37" s="15">
        <v>2.48</v>
      </c>
      <c r="C37" s="1" t="s">
        <v>3200</v>
      </c>
      <c r="D37" s="6">
        <v>1</v>
      </c>
    </row>
    <row r="38" spans="1:4" x14ac:dyDescent="0.35">
      <c r="A38" s="1">
        <v>4000286</v>
      </c>
      <c r="B38" s="15">
        <v>6.77</v>
      </c>
      <c r="C38" s="1" t="s">
        <v>3200</v>
      </c>
      <c r="D38" s="6">
        <v>1</v>
      </c>
    </row>
    <row r="39" spans="1:4" x14ac:dyDescent="0.35">
      <c r="A39" s="1">
        <v>4000287</v>
      </c>
      <c r="B39" s="15">
        <v>6.71</v>
      </c>
      <c r="C39" s="1" t="s">
        <v>3200</v>
      </c>
      <c r="D39" s="6">
        <v>1</v>
      </c>
    </row>
    <row r="40" spans="1:4" x14ac:dyDescent="0.35">
      <c r="A40" s="1">
        <v>4000288</v>
      </c>
      <c r="B40" s="15">
        <v>6.75</v>
      </c>
      <c r="C40" s="1" t="s">
        <v>3200</v>
      </c>
      <c r="D40" s="6">
        <v>1</v>
      </c>
    </row>
    <row r="41" spans="1:4" x14ac:dyDescent="0.35">
      <c r="A41" s="1">
        <v>4000290</v>
      </c>
      <c r="B41" s="15">
        <v>6.77</v>
      </c>
      <c r="C41" s="1" t="s">
        <v>3200</v>
      </c>
      <c r="D41" s="6">
        <v>1</v>
      </c>
    </row>
    <row r="42" spans="1:4" x14ac:dyDescent="0.35">
      <c r="A42" s="1">
        <v>4000291</v>
      </c>
      <c r="B42" s="15">
        <v>7.09</v>
      </c>
      <c r="C42" s="1" t="s">
        <v>3200</v>
      </c>
      <c r="D42" s="6">
        <v>1</v>
      </c>
    </row>
    <row r="43" spans="1:4" x14ac:dyDescent="0.35">
      <c r="A43" s="1">
        <v>4000310</v>
      </c>
      <c r="B43" s="15">
        <v>33.54</v>
      </c>
      <c r="C43" s="1" t="s">
        <v>3200</v>
      </c>
      <c r="D43" s="6">
        <v>1</v>
      </c>
    </row>
    <row r="44" spans="1:4" x14ac:dyDescent="0.35">
      <c r="A44" s="1">
        <v>4000311</v>
      </c>
      <c r="B44" s="15">
        <v>32.99</v>
      </c>
      <c r="C44" s="1" t="s">
        <v>3200</v>
      </c>
      <c r="D44" s="6">
        <v>1</v>
      </c>
    </row>
    <row r="45" spans="1:4" x14ac:dyDescent="0.35">
      <c r="A45" s="1">
        <v>4000312</v>
      </c>
      <c r="B45" s="15">
        <v>38.44</v>
      </c>
      <c r="C45" s="1" t="s">
        <v>3200</v>
      </c>
      <c r="D45" s="6">
        <v>1</v>
      </c>
    </row>
    <row r="46" spans="1:4" x14ac:dyDescent="0.35">
      <c r="A46" s="1">
        <v>4000313</v>
      </c>
      <c r="B46" s="15">
        <v>76.45</v>
      </c>
      <c r="C46" s="1" t="s">
        <v>3200</v>
      </c>
      <c r="D46" s="6">
        <v>1</v>
      </c>
    </row>
    <row r="47" spans="1:4" x14ac:dyDescent="0.35">
      <c r="A47" s="1">
        <v>4000314</v>
      </c>
      <c r="B47" s="15">
        <v>20.04</v>
      </c>
      <c r="C47" s="1" t="s">
        <v>3200</v>
      </c>
      <c r="D47" s="6">
        <v>1</v>
      </c>
    </row>
    <row r="48" spans="1:4" x14ac:dyDescent="0.35">
      <c r="A48" s="1">
        <v>4000315</v>
      </c>
      <c r="B48" s="15">
        <v>128.31</v>
      </c>
      <c r="C48" s="1" t="s">
        <v>3200</v>
      </c>
      <c r="D48" s="6">
        <v>1</v>
      </c>
    </row>
    <row r="49" spans="1:4" x14ac:dyDescent="0.35">
      <c r="A49" s="1">
        <v>4000316</v>
      </c>
      <c r="B49" s="15">
        <v>131.25</v>
      </c>
      <c r="C49" s="1" t="s">
        <v>3200</v>
      </c>
      <c r="D49" s="6">
        <v>1</v>
      </c>
    </row>
    <row r="50" spans="1:4" x14ac:dyDescent="0.35">
      <c r="A50" s="1">
        <v>4000319</v>
      </c>
      <c r="B50" s="15">
        <v>193.1</v>
      </c>
      <c r="C50" s="1" t="s">
        <v>3200</v>
      </c>
      <c r="D50" s="6">
        <v>1</v>
      </c>
    </row>
    <row r="51" spans="1:4" x14ac:dyDescent="0.35">
      <c r="A51" s="1">
        <v>4000323</v>
      </c>
      <c r="B51" s="15">
        <v>1E-4</v>
      </c>
      <c r="C51" s="1" t="s">
        <v>3201</v>
      </c>
      <c r="D51" s="6">
        <v>100</v>
      </c>
    </row>
    <row r="52" spans="1:4" x14ac:dyDescent="0.35">
      <c r="A52" s="1">
        <v>4000324</v>
      </c>
      <c r="B52" s="15">
        <v>1E-4</v>
      </c>
      <c r="C52" s="1" t="s">
        <v>3201</v>
      </c>
      <c r="D52" s="6">
        <v>100</v>
      </c>
    </row>
    <row r="53" spans="1:4" x14ac:dyDescent="0.35">
      <c r="A53" s="1">
        <v>4000325</v>
      </c>
      <c r="B53" s="15">
        <v>0.7</v>
      </c>
      <c r="C53" s="1" t="s">
        <v>3200</v>
      </c>
      <c r="D53" s="6">
        <v>100</v>
      </c>
    </row>
    <row r="54" spans="1:4" x14ac:dyDescent="0.35">
      <c r="A54" s="1">
        <v>4000328</v>
      </c>
      <c r="B54" s="15">
        <v>0.01</v>
      </c>
      <c r="C54" s="1" t="s">
        <v>3201</v>
      </c>
      <c r="D54" s="6">
        <v>100</v>
      </c>
    </row>
    <row r="55" spans="1:4" x14ac:dyDescent="0.35">
      <c r="A55" s="1">
        <v>4000330</v>
      </c>
      <c r="B55" s="15">
        <v>0.78449999999999998</v>
      </c>
      <c r="C55" s="1" t="s">
        <v>3200</v>
      </c>
      <c r="D55" s="6">
        <v>100</v>
      </c>
    </row>
    <row r="56" spans="1:4" x14ac:dyDescent="0.35">
      <c r="A56" s="1">
        <v>4000331</v>
      </c>
      <c r="B56" s="15">
        <v>0.81759999999999999</v>
      </c>
      <c r="C56" s="1" t="s">
        <v>3200</v>
      </c>
      <c r="D56" s="6">
        <v>100</v>
      </c>
    </row>
    <row r="57" spans="1:4" x14ac:dyDescent="0.35">
      <c r="A57" s="1">
        <v>4000332</v>
      </c>
      <c r="B57" s="15">
        <v>0.8669</v>
      </c>
      <c r="C57" s="1" t="s">
        <v>3200</v>
      </c>
      <c r="D57" s="6">
        <v>100</v>
      </c>
    </row>
    <row r="58" spans="1:4" x14ac:dyDescent="0.35">
      <c r="A58" s="1">
        <v>4000333</v>
      </c>
      <c r="B58" s="15">
        <v>0.6845</v>
      </c>
      <c r="C58" s="1" t="s">
        <v>3200</v>
      </c>
      <c r="D58" s="6">
        <v>100</v>
      </c>
    </row>
    <row r="59" spans="1:4" x14ac:dyDescent="0.35">
      <c r="A59" s="1">
        <v>4000334</v>
      </c>
      <c r="B59" s="15">
        <v>0.01</v>
      </c>
      <c r="C59" s="1" t="s">
        <v>3201</v>
      </c>
      <c r="D59" s="6">
        <v>1</v>
      </c>
    </row>
    <row r="60" spans="1:4" x14ac:dyDescent="0.35">
      <c r="A60" s="1">
        <v>4000340</v>
      </c>
      <c r="B60" s="15">
        <v>0.81289999999999996</v>
      </c>
      <c r="C60" s="1" t="s">
        <v>3200</v>
      </c>
      <c r="D60" s="6">
        <v>100</v>
      </c>
    </row>
    <row r="61" spans="1:4" x14ac:dyDescent="0.35">
      <c r="A61" s="1">
        <v>4000341</v>
      </c>
      <c r="B61" s="15">
        <v>0.95399999999999996</v>
      </c>
      <c r="C61" s="1" t="s">
        <v>3200</v>
      </c>
      <c r="D61" s="6">
        <v>100</v>
      </c>
    </row>
    <row r="62" spans="1:4" x14ac:dyDescent="0.35">
      <c r="A62" s="1">
        <v>4000342</v>
      </c>
      <c r="B62" s="15">
        <v>0.95760000000000001</v>
      </c>
      <c r="C62" s="1" t="s">
        <v>3200</v>
      </c>
      <c r="D62" s="6">
        <v>100</v>
      </c>
    </row>
    <row r="63" spans="1:4" x14ac:dyDescent="0.35">
      <c r="A63" s="1">
        <v>4000343</v>
      </c>
      <c r="B63" s="15">
        <v>0.5645</v>
      </c>
      <c r="C63" s="1" t="s">
        <v>3200</v>
      </c>
      <c r="D63" s="6">
        <v>100</v>
      </c>
    </row>
    <row r="64" spans="1:4" x14ac:dyDescent="0.35">
      <c r="A64" s="1">
        <v>4000396</v>
      </c>
      <c r="B64" s="15">
        <v>4.1900000000000004</v>
      </c>
      <c r="C64" s="1" t="s">
        <v>3200</v>
      </c>
      <c r="D64" s="6">
        <v>1</v>
      </c>
    </row>
    <row r="65" spans="1:4" x14ac:dyDescent="0.35">
      <c r="A65" s="1">
        <v>4000403</v>
      </c>
      <c r="B65" s="15">
        <v>2.0123000000000002</v>
      </c>
      <c r="C65" s="1" t="s">
        <v>3200</v>
      </c>
      <c r="D65" s="6">
        <v>100</v>
      </c>
    </row>
    <row r="66" spans="1:4" x14ac:dyDescent="0.35">
      <c r="A66" s="1">
        <v>4000406</v>
      </c>
      <c r="B66" s="15">
        <v>16.100000000000001</v>
      </c>
      <c r="C66" s="1" t="s">
        <v>3200</v>
      </c>
      <c r="D66" s="6">
        <v>1</v>
      </c>
    </row>
    <row r="67" spans="1:4" x14ac:dyDescent="0.35">
      <c r="A67" s="1">
        <v>4000411</v>
      </c>
      <c r="B67" s="15">
        <v>177.06</v>
      </c>
      <c r="C67" s="1" t="s">
        <v>3200</v>
      </c>
      <c r="D67" s="6">
        <v>1</v>
      </c>
    </row>
    <row r="68" spans="1:4" x14ac:dyDescent="0.35">
      <c r="A68" s="1">
        <v>4000412</v>
      </c>
      <c r="B68" s="15">
        <v>232.28</v>
      </c>
      <c r="C68" s="1" t="s">
        <v>3200</v>
      </c>
      <c r="D68" s="6">
        <v>1</v>
      </c>
    </row>
    <row r="69" spans="1:4" x14ac:dyDescent="0.35">
      <c r="A69" s="1">
        <v>4000413</v>
      </c>
      <c r="B69" s="15">
        <v>331.15</v>
      </c>
      <c r="C69" s="1" t="s">
        <v>3200</v>
      </c>
      <c r="D69" s="6">
        <v>1</v>
      </c>
    </row>
    <row r="70" spans="1:4" x14ac:dyDescent="0.35">
      <c r="A70" s="1">
        <v>4000414</v>
      </c>
      <c r="B70" s="15">
        <v>452.87</v>
      </c>
      <c r="C70" s="1" t="s">
        <v>3200</v>
      </c>
      <c r="D70" s="6">
        <v>1</v>
      </c>
    </row>
    <row r="71" spans="1:4" x14ac:dyDescent="0.35">
      <c r="A71" s="1">
        <v>4000415</v>
      </c>
      <c r="B71" s="15">
        <v>566.97</v>
      </c>
      <c r="C71" s="1" t="s">
        <v>3200</v>
      </c>
      <c r="D71" s="6">
        <v>1</v>
      </c>
    </row>
    <row r="72" spans="1:4" x14ac:dyDescent="0.35">
      <c r="A72" s="1">
        <v>4000416</v>
      </c>
      <c r="B72" s="15">
        <v>1.1284000000000001</v>
      </c>
      <c r="C72" s="1" t="s">
        <v>3200</v>
      </c>
      <c r="D72" s="6">
        <v>100</v>
      </c>
    </row>
    <row r="73" spans="1:4" x14ac:dyDescent="0.35">
      <c r="A73" s="1">
        <v>4000418</v>
      </c>
      <c r="B73" s="15">
        <v>0.74980000000000002</v>
      </c>
      <c r="C73" s="1" t="s">
        <v>3200</v>
      </c>
      <c r="D73" s="6">
        <v>100</v>
      </c>
    </row>
    <row r="74" spans="1:4" x14ac:dyDescent="0.35">
      <c r="A74" s="1">
        <v>4000419</v>
      </c>
      <c r="B74" s="15">
        <v>0.3</v>
      </c>
      <c r="C74" s="1" t="s">
        <v>3200</v>
      </c>
      <c r="D74" s="6">
        <v>100</v>
      </c>
    </row>
    <row r="75" spans="1:4" x14ac:dyDescent="0.35">
      <c r="A75" s="1">
        <v>4000420</v>
      </c>
      <c r="B75" s="15">
        <v>0.34</v>
      </c>
      <c r="C75" s="1" t="s">
        <v>3200</v>
      </c>
      <c r="D75" s="6">
        <v>100</v>
      </c>
    </row>
    <row r="76" spans="1:4" x14ac:dyDescent="0.35">
      <c r="A76" s="1">
        <v>4000427</v>
      </c>
      <c r="B76" s="15">
        <v>1.33</v>
      </c>
      <c r="C76" s="1" t="s">
        <v>3200</v>
      </c>
      <c r="D76" s="6">
        <v>1</v>
      </c>
    </row>
    <row r="77" spans="1:4" x14ac:dyDescent="0.35">
      <c r="A77" s="1">
        <v>4000428</v>
      </c>
      <c r="B77" s="15">
        <v>1.2202999999999999</v>
      </c>
      <c r="C77" s="1" t="s">
        <v>3200</v>
      </c>
      <c r="D77" s="6">
        <v>100</v>
      </c>
    </row>
    <row r="78" spans="1:4" x14ac:dyDescent="0.35">
      <c r="A78" s="1">
        <v>4000430</v>
      </c>
      <c r="B78" s="15">
        <v>0.78900000000000003</v>
      </c>
      <c r="C78" s="1" t="s">
        <v>3200</v>
      </c>
      <c r="D78" s="6">
        <v>100</v>
      </c>
    </row>
    <row r="79" spans="1:4" x14ac:dyDescent="0.35">
      <c r="A79" s="1">
        <v>4000432</v>
      </c>
      <c r="B79" s="15">
        <v>1.2219</v>
      </c>
      <c r="C79" s="1" t="s">
        <v>3200</v>
      </c>
      <c r="D79" s="6">
        <v>100</v>
      </c>
    </row>
    <row r="80" spans="1:4" x14ac:dyDescent="0.35">
      <c r="A80" s="1">
        <v>4000434</v>
      </c>
      <c r="B80" s="15">
        <v>2.67</v>
      </c>
      <c r="C80" s="1" t="s">
        <v>3200</v>
      </c>
      <c r="D80" s="6">
        <v>1</v>
      </c>
    </row>
    <row r="81" spans="1:4" x14ac:dyDescent="0.35">
      <c r="A81" s="1">
        <v>4000435</v>
      </c>
      <c r="B81" s="15">
        <v>1.2836000000000001</v>
      </c>
      <c r="C81" s="1" t="s">
        <v>3200</v>
      </c>
      <c r="D81" s="6">
        <v>100</v>
      </c>
    </row>
    <row r="82" spans="1:4" x14ac:dyDescent="0.35">
      <c r="A82" s="1">
        <v>4000441</v>
      </c>
      <c r="B82" s="15">
        <v>5.23</v>
      </c>
      <c r="C82" s="1" t="s">
        <v>3200</v>
      </c>
      <c r="D82" s="6">
        <v>1</v>
      </c>
    </row>
    <row r="83" spans="1:4" x14ac:dyDescent="0.35">
      <c r="A83" s="1">
        <v>4000442</v>
      </c>
      <c r="B83" s="15">
        <v>0.19800000000000001</v>
      </c>
      <c r="C83" s="1" t="s">
        <v>3200</v>
      </c>
      <c r="D83" s="6">
        <v>100</v>
      </c>
    </row>
    <row r="84" spans="1:4" x14ac:dyDescent="0.35">
      <c r="A84" s="1">
        <v>4000443</v>
      </c>
      <c r="B84" s="15">
        <v>3.98</v>
      </c>
      <c r="C84" s="1" t="s">
        <v>3200</v>
      </c>
      <c r="D84" s="6">
        <v>1</v>
      </c>
    </row>
    <row r="85" spans="1:4" x14ac:dyDescent="0.35">
      <c r="A85" s="1">
        <v>4000445</v>
      </c>
      <c r="B85" s="15">
        <v>0.3826</v>
      </c>
      <c r="C85" s="1" t="s">
        <v>3200</v>
      </c>
      <c r="D85" s="6">
        <v>100</v>
      </c>
    </row>
    <row r="86" spans="1:4" x14ac:dyDescent="0.35">
      <c r="A86" s="1">
        <v>4000447</v>
      </c>
      <c r="B86" s="15">
        <v>0.33489999999999998</v>
      </c>
      <c r="C86" s="1" t="s">
        <v>3200</v>
      </c>
      <c r="D86" s="6">
        <v>100</v>
      </c>
    </row>
    <row r="87" spans="1:4" x14ac:dyDescent="0.35">
      <c r="A87" s="1">
        <v>4000449</v>
      </c>
      <c r="B87" s="15">
        <v>0.4098</v>
      </c>
      <c r="C87" s="1" t="s">
        <v>3200</v>
      </c>
      <c r="D87" s="6">
        <v>100</v>
      </c>
    </row>
    <row r="88" spans="1:4" x14ac:dyDescent="0.35">
      <c r="A88" s="1">
        <v>4000452</v>
      </c>
      <c r="B88" s="15">
        <v>0.92</v>
      </c>
      <c r="C88" s="1" t="s">
        <v>3200</v>
      </c>
      <c r="D88" s="6">
        <v>1</v>
      </c>
    </row>
    <row r="89" spans="1:4" x14ac:dyDescent="0.35">
      <c r="A89" s="1">
        <v>4000455</v>
      </c>
      <c r="B89" s="15">
        <v>112.7</v>
      </c>
      <c r="C89" s="1" t="s">
        <v>3200</v>
      </c>
      <c r="D89" s="6">
        <v>1</v>
      </c>
    </row>
    <row r="90" spans="1:4" x14ac:dyDescent="0.35">
      <c r="A90" s="1">
        <v>4000457</v>
      </c>
      <c r="B90" s="15">
        <v>67.459999999999994</v>
      </c>
      <c r="C90" s="1" t="s">
        <v>3200</v>
      </c>
      <c r="D90" s="6">
        <v>1</v>
      </c>
    </row>
    <row r="91" spans="1:4" x14ac:dyDescent="0.35">
      <c r="A91" s="1">
        <v>4000493</v>
      </c>
      <c r="B91" s="15">
        <v>8.44</v>
      </c>
      <c r="C91" s="1" t="s">
        <v>3200</v>
      </c>
      <c r="D91" s="6">
        <v>100</v>
      </c>
    </row>
    <row r="92" spans="1:4" x14ac:dyDescent="0.35">
      <c r="A92" s="1">
        <v>4000740</v>
      </c>
      <c r="B92" s="15">
        <v>5.43</v>
      </c>
      <c r="C92" s="1" t="s">
        <v>3200</v>
      </c>
      <c r="D92" s="6">
        <v>1</v>
      </c>
    </row>
    <row r="93" spans="1:4" x14ac:dyDescent="0.35">
      <c r="A93" s="1">
        <v>4000755</v>
      </c>
      <c r="B93" s="15">
        <v>0.79869999999999997</v>
      </c>
      <c r="C93" s="1" t="s">
        <v>3200</v>
      </c>
      <c r="D93" s="6">
        <v>100</v>
      </c>
    </row>
    <row r="94" spans="1:4" x14ac:dyDescent="0.35">
      <c r="A94" s="1">
        <v>4000758</v>
      </c>
      <c r="B94" s="15">
        <v>11.5</v>
      </c>
      <c r="C94" s="1" t="s">
        <v>3200</v>
      </c>
      <c r="D94" s="6">
        <v>1</v>
      </c>
    </row>
    <row r="95" spans="1:4" x14ac:dyDescent="0.35">
      <c r="A95" s="1">
        <v>4000759</v>
      </c>
      <c r="B95" s="15">
        <v>13.17</v>
      </c>
      <c r="C95" s="1" t="s">
        <v>3200</v>
      </c>
      <c r="D95" s="6">
        <v>1</v>
      </c>
    </row>
    <row r="96" spans="1:4" x14ac:dyDescent="0.35">
      <c r="A96" s="1">
        <v>4000760</v>
      </c>
      <c r="B96" s="15">
        <v>34.200000000000003</v>
      </c>
      <c r="C96" s="1" t="s">
        <v>3200</v>
      </c>
      <c r="D96" s="6">
        <v>1</v>
      </c>
    </row>
    <row r="97" spans="1:4" x14ac:dyDescent="0.35">
      <c r="A97" s="1">
        <v>4000761</v>
      </c>
      <c r="B97" s="15">
        <v>12.37</v>
      </c>
      <c r="C97" s="1" t="s">
        <v>3200</v>
      </c>
      <c r="D97" s="6">
        <v>1</v>
      </c>
    </row>
    <row r="98" spans="1:4" x14ac:dyDescent="0.35">
      <c r="A98" s="1">
        <v>4000763</v>
      </c>
      <c r="B98" s="15">
        <v>17.87</v>
      </c>
      <c r="C98" s="1" t="s">
        <v>3200</v>
      </c>
      <c r="D98" s="6">
        <v>1</v>
      </c>
    </row>
    <row r="99" spans="1:4" x14ac:dyDescent="0.35">
      <c r="A99" s="1">
        <v>4000764</v>
      </c>
      <c r="B99" s="15">
        <v>26.34</v>
      </c>
      <c r="C99" s="1" t="s">
        <v>3200</v>
      </c>
      <c r="D99" s="6">
        <v>1</v>
      </c>
    </row>
    <row r="100" spans="1:4" x14ac:dyDescent="0.35">
      <c r="A100" s="1">
        <v>4000765</v>
      </c>
      <c r="B100" s="15">
        <v>65.430000000000007</v>
      </c>
      <c r="C100" s="1" t="s">
        <v>3200</v>
      </c>
      <c r="D100" s="6">
        <v>1</v>
      </c>
    </row>
    <row r="101" spans="1:4" x14ac:dyDescent="0.35">
      <c r="A101" s="1">
        <v>4000766</v>
      </c>
      <c r="B101" s="15">
        <v>26.34</v>
      </c>
      <c r="C101" s="1" t="s">
        <v>3200</v>
      </c>
      <c r="D101" s="6">
        <v>1</v>
      </c>
    </row>
    <row r="102" spans="1:4" x14ac:dyDescent="0.35">
      <c r="A102" s="1">
        <v>4000767</v>
      </c>
      <c r="B102" s="15">
        <v>26.56</v>
      </c>
      <c r="C102" s="1" t="s">
        <v>3200</v>
      </c>
      <c r="D102" s="6">
        <v>1</v>
      </c>
    </row>
    <row r="103" spans="1:4" x14ac:dyDescent="0.35">
      <c r="A103" s="1">
        <v>4000768</v>
      </c>
      <c r="B103" s="15">
        <v>26.54</v>
      </c>
      <c r="C103" s="1" t="s">
        <v>3200</v>
      </c>
      <c r="D103" s="6">
        <v>1</v>
      </c>
    </row>
    <row r="104" spans="1:4" x14ac:dyDescent="0.35">
      <c r="A104" s="1">
        <v>4000769</v>
      </c>
      <c r="B104" s="15">
        <v>26.52</v>
      </c>
      <c r="C104" s="1" t="s">
        <v>3200</v>
      </c>
      <c r="D104" s="6">
        <v>1</v>
      </c>
    </row>
    <row r="105" spans="1:4" x14ac:dyDescent="0.35">
      <c r="A105" s="1">
        <v>4000770</v>
      </c>
      <c r="B105" s="15">
        <v>26.56</v>
      </c>
      <c r="C105" s="1" t="s">
        <v>3200</v>
      </c>
      <c r="D105" s="6">
        <v>1</v>
      </c>
    </row>
    <row r="106" spans="1:4" x14ac:dyDescent="0.35">
      <c r="A106" s="1">
        <v>4000771</v>
      </c>
      <c r="B106" s="15">
        <v>0.01</v>
      </c>
      <c r="C106" s="1" t="s">
        <v>3201</v>
      </c>
      <c r="D106" s="6">
        <v>1</v>
      </c>
    </row>
    <row r="107" spans="1:4" x14ac:dyDescent="0.35">
      <c r="A107" s="1">
        <v>4000772</v>
      </c>
      <c r="B107" s="15">
        <v>13.28</v>
      </c>
      <c r="C107" s="1" t="s">
        <v>3200</v>
      </c>
      <c r="D107" s="6">
        <v>1</v>
      </c>
    </row>
    <row r="108" spans="1:4" x14ac:dyDescent="0.35">
      <c r="A108" s="1">
        <v>4000773</v>
      </c>
      <c r="B108" s="15">
        <v>13.27</v>
      </c>
      <c r="C108" s="1" t="s">
        <v>3200</v>
      </c>
      <c r="D108" s="6">
        <v>1</v>
      </c>
    </row>
    <row r="109" spans="1:4" x14ac:dyDescent="0.35">
      <c r="A109" s="1">
        <v>4000775</v>
      </c>
      <c r="B109" s="15">
        <v>35.880000000000003</v>
      </c>
      <c r="C109" s="1" t="s">
        <v>3200</v>
      </c>
      <c r="D109" s="6">
        <v>1</v>
      </c>
    </row>
    <row r="110" spans="1:4" x14ac:dyDescent="0.35">
      <c r="A110" s="1">
        <v>4000776</v>
      </c>
      <c r="B110" s="15">
        <v>25.55</v>
      </c>
      <c r="C110" s="1" t="s">
        <v>3200</v>
      </c>
      <c r="D110" s="6">
        <v>1</v>
      </c>
    </row>
    <row r="111" spans="1:4" x14ac:dyDescent="0.35">
      <c r="A111" s="1">
        <v>4000777</v>
      </c>
      <c r="B111" s="15">
        <v>25.55</v>
      </c>
      <c r="C111" s="1" t="s">
        <v>3200</v>
      </c>
      <c r="D111" s="6">
        <v>1</v>
      </c>
    </row>
    <row r="112" spans="1:4" x14ac:dyDescent="0.35">
      <c r="A112" s="1">
        <v>4000778</v>
      </c>
      <c r="B112" s="15">
        <v>25.55</v>
      </c>
      <c r="C112" s="1" t="s">
        <v>3200</v>
      </c>
      <c r="D112" s="6">
        <v>1</v>
      </c>
    </row>
    <row r="113" spans="1:4" x14ac:dyDescent="0.35">
      <c r="A113" s="1">
        <v>4000779</v>
      </c>
      <c r="B113" s="15">
        <v>25.55</v>
      </c>
      <c r="C113" s="1" t="s">
        <v>3200</v>
      </c>
      <c r="D113" s="6">
        <v>1</v>
      </c>
    </row>
    <row r="114" spans="1:4" x14ac:dyDescent="0.35">
      <c r="A114" s="1">
        <v>4000780</v>
      </c>
      <c r="B114" s="15">
        <v>25.55</v>
      </c>
      <c r="C114" s="1" t="s">
        <v>3200</v>
      </c>
      <c r="D114" s="6">
        <v>1</v>
      </c>
    </row>
    <row r="115" spans="1:4" x14ac:dyDescent="0.35">
      <c r="A115" s="1">
        <v>4000781</v>
      </c>
      <c r="B115" s="15">
        <v>25.33</v>
      </c>
      <c r="C115" s="1" t="s">
        <v>3200</v>
      </c>
      <c r="D115" s="6">
        <v>1</v>
      </c>
    </row>
    <row r="116" spans="1:4" x14ac:dyDescent="0.35">
      <c r="A116" s="1">
        <v>4000786</v>
      </c>
      <c r="B116" s="15">
        <v>12.77</v>
      </c>
      <c r="C116" s="1" t="s">
        <v>3200</v>
      </c>
      <c r="D116" s="6">
        <v>1</v>
      </c>
    </row>
    <row r="117" spans="1:4" x14ac:dyDescent="0.35">
      <c r="A117" s="1">
        <v>4000787</v>
      </c>
      <c r="B117" s="15">
        <v>12.77</v>
      </c>
      <c r="C117" s="1" t="s">
        <v>3200</v>
      </c>
      <c r="D117" s="6">
        <v>1</v>
      </c>
    </row>
    <row r="118" spans="1:4" x14ac:dyDescent="0.35">
      <c r="A118" s="1">
        <v>4000788</v>
      </c>
      <c r="B118" s="15">
        <v>12.78</v>
      </c>
      <c r="C118" s="1" t="s">
        <v>3200</v>
      </c>
      <c r="D118" s="6">
        <v>1</v>
      </c>
    </row>
    <row r="119" spans="1:4" x14ac:dyDescent="0.35">
      <c r="A119" s="1">
        <v>4000789</v>
      </c>
      <c r="B119" s="15">
        <v>12.78</v>
      </c>
      <c r="C119" s="1" t="s">
        <v>3200</v>
      </c>
      <c r="D119" s="6">
        <v>1</v>
      </c>
    </row>
    <row r="120" spans="1:4" x14ac:dyDescent="0.35">
      <c r="A120" s="1">
        <v>4000790</v>
      </c>
      <c r="B120" s="15">
        <v>12.77</v>
      </c>
      <c r="C120" s="1" t="s">
        <v>3200</v>
      </c>
      <c r="D120" s="6">
        <v>1</v>
      </c>
    </row>
    <row r="121" spans="1:4" x14ac:dyDescent="0.35">
      <c r="A121" s="1">
        <v>4000791</v>
      </c>
      <c r="B121" s="15">
        <v>12.78</v>
      </c>
      <c r="C121" s="1" t="s">
        <v>3200</v>
      </c>
      <c r="D121" s="6">
        <v>1</v>
      </c>
    </row>
    <row r="122" spans="1:4" x14ac:dyDescent="0.35">
      <c r="A122" s="1">
        <v>4000793</v>
      </c>
      <c r="B122" s="15">
        <v>18.670000000000002</v>
      </c>
      <c r="C122" s="1" t="s">
        <v>3200</v>
      </c>
      <c r="D122" s="6">
        <v>1</v>
      </c>
    </row>
    <row r="123" spans="1:4" x14ac:dyDescent="0.35">
      <c r="A123" s="1">
        <v>4000794</v>
      </c>
      <c r="B123" s="15">
        <v>74.540000000000006</v>
      </c>
      <c r="C123" s="1" t="s">
        <v>3200</v>
      </c>
      <c r="D123" s="6">
        <v>1</v>
      </c>
    </row>
    <row r="124" spans="1:4" x14ac:dyDescent="0.35">
      <c r="A124" s="1">
        <v>4000795</v>
      </c>
      <c r="B124" s="15">
        <v>18.309999999999999</v>
      </c>
      <c r="C124" s="1" t="s">
        <v>3200</v>
      </c>
      <c r="D124" s="6">
        <v>1</v>
      </c>
    </row>
    <row r="125" spans="1:4" x14ac:dyDescent="0.35">
      <c r="A125" s="1">
        <v>4000800</v>
      </c>
      <c r="B125" s="15">
        <v>0.62119999999999997</v>
      </c>
      <c r="C125" s="1" t="s">
        <v>3200</v>
      </c>
      <c r="D125" s="6">
        <v>100</v>
      </c>
    </row>
    <row r="126" spans="1:4" x14ac:dyDescent="0.35">
      <c r="A126" s="1">
        <v>4000801</v>
      </c>
      <c r="B126" s="15">
        <v>0.66830000000000001</v>
      </c>
      <c r="C126" s="1" t="s">
        <v>3200</v>
      </c>
      <c r="D126" s="6">
        <v>100</v>
      </c>
    </row>
    <row r="127" spans="1:4" x14ac:dyDescent="0.35">
      <c r="A127" s="1">
        <v>4000802</v>
      </c>
      <c r="B127" s="15">
        <v>0.95069999999999999</v>
      </c>
      <c r="C127" s="1" t="s">
        <v>3200</v>
      </c>
      <c r="D127" s="6">
        <v>100</v>
      </c>
    </row>
    <row r="128" spans="1:4" x14ac:dyDescent="0.35">
      <c r="A128" s="1">
        <v>4000803</v>
      </c>
      <c r="B128" s="15">
        <v>1.34</v>
      </c>
      <c r="C128" s="1" t="s">
        <v>3200</v>
      </c>
      <c r="D128" s="6">
        <v>1</v>
      </c>
    </row>
    <row r="129" spans="1:4" x14ac:dyDescent="0.35">
      <c r="A129" s="1">
        <v>4000804</v>
      </c>
      <c r="B129" s="15">
        <v>3.06</v>
      </c>
      <c r="C129" s="1" t="s">
        <v>3200</v>
      </c>
      <c r="D129" s="6">
        <v>1</v>
      </c>
    </row>
    <row r="130" spans="1:4" x14ac:dyDescent="0.35">
      <c r="A130" s="1">
        <v>4000805</v>
      </c>
      <c r="B130" s="15">
        <v>0.72409999999999997</v>
      </c>
      <c r="C130" s="1" t="s">
        <v>3200</v>
      </c>
      <c r="D130" s="6">
        <v>100</v>
      </c>
    </row>
    <row r="131" spans="1:4" x14ac:dyDescent="0.35">
      <c r="A131" s="1">
        <v>4000830</v>
      </c>
      <c r="B131" s="15">
        <v>0.85470000000000002</v>
      </c>
      <c r="C131" s="1" t="s">
        <v>3200</v>
      </c>
      <c r="D131" s="6">
        <v>100</v>
      </c>
    </row>
    <row r="132" spans="1:4" x14ac:dyDescent="0.35">
      <c r="A132" s="1">
        <v>4000835</v>
      </c>
      <c r="B132" s="15">
        <v>2.08</v>
      </c>
      <c r="C132" s="1" t="s">
        <v>3200</v>
      </c>
      <c r="D132" s="6">
        <v>1</v>
      </c>
    </row>
    <row r="133" spans="1:4" x14ac:dyDescent="0.35">
      <c r="A133" s="1">
        <v>4000893</v>
      </c>
      <c r="B133" s="15">
        <v>21.73</v>
      </c>
      <c r="C133" s="1" t="s">
        <v>3200</v>
      </c>
      <c r="D133" s="6">
        <v>1</v>
      </c>
    </row>
    <row r="134" spans="1:4" x14ac:dyDescent="0.35">
      <c r="A134" s="1">
        <v>4000894</v>
      </c>
      <c r="B134" s="15">
        <v>14.1</v>
      </c>
      <c r="C134" s="1" t="s">
        <v>3200</v>
      </c>
      <c r="D134" s="6">
        <v>1</v>
      </c>
    </row>
    <row r="135" spans="1:4" x14ac:dyDescent="0.35">
      <c r="A135" s="1">
        <v>4000895</v>
      </c>
      <c r="B135" s="15">
        <v>51.69</v>
      </c>
      <c r="C135" s="1" t="s">
        <v>3200</v>
      </c>
      <c r="D135" s="6">
        <v>1</v>
      </c>
    </row>
    <row r="136" spans="1:4" x14ac:dyDescent="0.35">
      <c r="A136" s="1">
        <v>4000896</v>
      </c>
      <c r="B136" s="15">
        <v>14.1</v>
      </c>
      <c r="C136" s="1" t="s">
        <v>3200</v>
      </c>
      <c r="D136" s="6">
        <v>1</v>
      </c>
    </row>
    <row r="137" spans="1:4" x14ac:dyDescent="0.35">
      <c r="A137" s="1">
        <v>4000897</v>
      </c>
      <c r="B137" s="15">
        <v>14.1</v>
      </c>
      <c r="C137" s="1" t="s">
        <v>3200</v>
      </c>
      <c r="D137" s="6">
        <v>1</v>
      </c>
    </row>
    <row r="138" spans="1:4" x14ac:dyDescent="0.35">
      <c r="A138" s="1">
        <v>4000966</v>
      </c>
      <c r="B138" s="15">
        <v>27.9</v>
      </c>
      <c r="C138" s="1" t="s">
        <v>3200</v>
      </c>
      <c r="D138" s="6">
        <v>1</v>
      </c>
    </row>
    <row r="139" spans="1:4" x14ac:dyDescent="0.35">
      <c r="A139" s="1">
        <v>4000969</v>
      </c>
      <c r="B139" s="15">
        <v>1.61</v>
      </c>
      <c r="C139" s="1" t="s">
        <v>3200</v>
      </c>
      <c r="D139" s="6">
        <v>1</v>
      </c>
    </row>
    <row r="140" spans="1:4" x14ac:dyDescent="0.35">
      <c r="A140" s="1">
        <v>4000972</v>
      </c>
      <c r="B140" s="15">
        <v>7.27</v>
      </c>
      <c r="C140" s="1" t="s">
        <v>3200</v>
      </c>
      <c r="D140" s="6">
        <v>1</v>
      </c>
    </row>
    <row r="141" spans="1:4" x14ac:dyDescent="0.35">
      <c r="A141" s="1">
        <v>4000973</v>
      </c>
      <c r="B141" s="15">
        <v>7.05</v>
      </c>
      <c r="C141" s="1" t="s">
        <v>3200</v>
      </c>
      <c r="D141" s="6">
        <v>1</v>
      </c>
    </row>
    <row r="142" spans="1:4" x14ac:dyDescent="0.35">
      <c r="A142" s="1">
        <v>4000974</v>
      </c>
      <c r="B142" s="15">
        <v>8.76</v>
      </c>
      <c r="C142" s="1" t="s">
        <v>3200</v>
      </c>
      <c r="D142" s="6">
        <v>1</v>
      </c>
    </row>
    <row r="143" spans="1:4" x14ac:dyDescent="0.35">
      <c r="A143" s="1">
        <v>4000975</v>
      </c>
      <c r="B143" s="15">
        <v>7.77</v>
      </c>
      <c r="C143" s="1" t="s">
        <v>3200</v>
      </c>
      <c r="D143" s="6">
        <v>1</v>
      </c>
    </row>
    <row r="144" spans="1:4" x14ac:dyDescent="0.35">
      <c r="A144" s="1">
        <v>4000976</v>
      </c>
      <c r="B144" s="15">
        <v>8.2799999999999994</v>
      </c>
      <c r="C144" s="1" t="s">
        <v>3200</v>
      </c>
      <c r="D144" s="6">
        <v>1</v>
      </c>
    </row>
    <row r="145" spans="1:4" x14ac:dyDescent="0.35">
      <c r="A145" s="1">
        <v>4000977</v>
      </c>
      <c r="B145" s="15">
        <v>8.44</v>
      </c>
      <c r="C145" s="1" t="s">
        <v>3200</v>
      </c>
      <c r="D145" s="6">
        <v>1</v>
      </c>
    </row>
    <row r="146" spans="1:4" x14ac:dyDescent="0.35">
      <c r="A146" s="1">
        <v>4000978</v>
      </c>
      <c r="B146" s="15">
        <v>11.59</v>
      </c>
      <c r="C146" s="1" t="s">
        <v>3200</v>
      </c>
      <c r="D146" s="6">
        <v>1</v>
      </c>
    </row>
    <row r="147" spans="1:4" x14ac:dyDescent="0.35">
      <c r="A147" s="1">
        <v>4000979</v>
      </c>
      <c r="B147" s="15">
        <v>9.39</v>
      </c>
      <c r="C147" s="1" t="s">
        <v>3200</v>
      </c>
      <c r="D147" s="6">
        <v>1</v>
      </c>
    </row>
    <row r="148" spans="1:4" x14ac:dyDescent="0.35">
      <c r="A148" s="1">
        <v>4000981</v>
      </c>
      <c r="B148" s="15">
        <v>4.0199999999999996</v>
      </c>
      <c r="C148" s="1" t="s">
        <v>3200</v>
      </c>
      <c r="D148" s="6">
        <v>1</v>
      </c>
    </row>
    <row r="149" spans="1:4" x14ac:dyDescent="0.35">
      <c r="A149" s="1">
        <v>4000988</v>
      </c>
      <c r="B149" s="15">
        <v>4.83</v>
      </c>
      <c r="C149" s="1" t="s">
        <v>3200</v>
      </c>
      <c r="D149" s="6">
        <v>1</v>
      </c>
    </row>
    <row r="150" spans="1:4" x14ac:dyDescent="0.35">
      <c r="A150" s="1">
        <v>4000989</v>
      </c>
      <c r="B150" s="15">
        <v>5.0199999999999996</v>
      </c>
      <c r="C150" s="1" t="s">
        <v>3200</v>
      </c>
      <c r="D150" s="6">
        <v>1</v>
      </c>
    </row>
    <row r="151" spans="1:4" x14ac:dyDescent="0.35">
      <c r="A151" s="1">
        <v>4001115</v>
      </c>
      <c r="B151" s="15">
        <v>3.87</v>
      </c>
      <c r="C151" s="1" t="s">
        <v>3200</v>
      </c>
      <c r="D151" s="6">
        <v>1</v>
      </c>
    </row>
    <row r="152" spans="1:4" x14ac:dyDescent="0.35">
      <c r="A152" s="1">
        <v>4001116</v>
      </c>
      <c r="B152" s="15">
        <v>7.29</v>
      </c>
      <c r="C152" s="1" t="s">
        <v>3200</v>
      </c>
      <c r="D152" s="6">
        <v>1</v>
      </c>
    </row>
    <row r="153" spans="1:4" x14ac:dyDescent="0.35">
      <c r="A153" s="1">
        <v>4001117</v>
      </c>
      <c r="B153" s="15">
        <v>7.11</v>
      </c>
      <c r="C153" s="1" t="s">
        <v>3200</v>
      </c>
      <c r="D153" s="6">
        <v>1</v>
      </c>
    </row>
    <row r="154" spans="1:4" x14ac:dyDescent="0.35">
      <c r="A154" s="1">
        <v>4001118</v>
      </c>
      <c r="B154" s="15">
        <v>7.24</v>
      </c>
      <c r="C154" s="1" t="s">
        <v>3200</v>
      </c>
      <c r="D154" s="6">
        <v>1</v>
      </c>
    </row>
    <row r="155" spans="1:4" x14ac:dyDescent="0.35">
      <c r="A155" s="1">
        <v>4001120</v>
      </c>
      <c r="B155" s="15">
        <v>15</v>
      </c>
      <c r="C155" s="1" t="s">
        <v>3200</v>
      </c>
      <c r="D155" s="6">
        <v>1</v>
      </c>
    </row>
    <row r="156" spans="1:4" x14ac:dyDescent="0.35">
      <c r="A156" s="1">
        <v>4001122</v>
      </c>
      <c r="B156" s="15">
        <v>12.27</v>
      </c>
      <c r="C156" s="1" t="s">
        <v>3200</v>
      </c>
      <c r="D156" s="6">
        <v>1</v>
      </c>
    </row>
    <row r="157" spans="1:4" x14ac:dyDescent="0.35">
      <c r="A157" s="1">
        <v>4001123</v>
      </c>
      <c r="B157" s="15">
        <v>12.26</v>
      </c>
      <c r="C157" s="1" t="s">
        <v>3200</v>
      </c>
      <c r="D157" s="6">
        <v>1</v>
      </c>
    </row>
    <row r="158" spans="1:4" x14ac:dyDescent="0.35">
      <c r="A158" s="1">
        <v>4001124</v>
      </c>
      <c r="B158" s="15">
        <v>12.23</v>
      </c>
      <c r="C158" s="1" t="s">
        <v>3200</v>
      </c>
      <c r="D158" s="6">
        <v>1</v>
      </c>
    </row>
    <row r="159" spans="1:4" x14ac:dyDescent="0.35">
      <c r="A159" s="1">
        <v>4001125</v>
      </c>
      <c r="B159" s="15">
        <v>25.33</v>
      </c>
      <c r="C159" s="1" t="s">
        <v>3200</v>
      </c>
      <c r="D159" s="6">
        <v>1</v>
      </c>
    </row>
    <row r="160" spans="1:4" x14ac:dyDescent="0.35">
      <c r="A160" s="1">
        <v>4001127</v>
      </c>
      <c r="B160" s="15">
        <v>1.54</v>
      </c>
      <c r="C160" s="1" t="s">
        <v>3200</v>
      </c>
      <c r="D160" s="6">
        <v>1</v>
      </c>
    </row>
    <row r="161" spans="1:4" x14ac:dyDescent="0.35">
      <c r="A161" s="1">
        <v>4001128</v>
      </c>
      <c r="B161" s="15">
        <v>2.1</v>
      </c>
      <c r="C161" s="1" t="s">
        <v>3200</v>
      </c>
      <c r="D161" s="6">
        <v>1</v>
      </c>
    </row>
    <row r="162" spans="1:4" x14ac:dyDescent="0.35">
      <c r="A162" s="1">
        <v>4001129</v>
      </c>
      <c r="B162" s="15">
        <v>2.63</v>
      </c>
      <c r="C162" s="1" t="s">
        <v>3200</v>
      </c>
      <c r="D162" s="6">
        <v>1</v>
      </c>
    </row>
    <row r="163" spans="1:4" x14ac:dyDescent="0.35">
      <c r="A163" s="1">
        <v>4001130</v>
      </c>
      <c r="B163" s="15">
        <v>20.78</v>
      </c>
      <c r="C163" s="1" t="s">
        <v>3200</v>
      </c>
      <c r="D163" s="6">
        <v>1</v>
      </c>
    </row>
    <row r="164" spans="1:4" x14ac:dyDescent="0.35">
      <c r="A164" s="1">
        <v>4001133</v>
      </c>
      <c r="B164" s="15">
        <v>26.42</v>
      </c>
      <c r="C164" s="1" t="s">
        <v>3200</v>
      </c>
      <c r="D164" s="6">
        <v>1</v>
      </c>
    </row>
    <row r="165" spans="1:4" x14ac:dyDescent="0.35">
      <c r="A165" s="1">
        <v>4001134</v>
      </c>
      <c r="B165" s="15">
        <v>26.71</v>
      </c>
      <c r="C165" s="1" t="s">
        <v>3200</v>
      </c>
      <c r="D165" s="6">
        <v>1</v>
      </c>
    </row>
    <row r="166" spans="1:4" x14ac:dyDescent="0.35">
      <c r="A166" s="1">
        <v>4001135</v>
      </c>
      <c r="B166" s="15">
        <v>26.42</v>
      </c>
      <c r="C166" s="1" t="s">
        <v>3200</v>
      </c>
      <c r="D166" s="6">
        <v>1</v>
      </c>
    </row>
    <row r="167" spans="1:4" x14ac:dyDescent="0.35">
      <c r="A167" s="1">
        <v>4001136</v>
      </c>
      <c r="B167" s="15">
        <v>25.24</v>
      </c>
      <c r="C167" s="1" t="s">
        <v>3200</v>
      </c>
      <c r="D167" s="6">
        <v>1</v>
      </c>
    </row>
    <row r="168" spans="1:4" x14ac:dyDescent="0.35">
      <c r="A168" s="1">
        <v>4001137</v>
      </c>
      <c r="B168" s="15">
        <v>28.03</v>
      </c>
      <c r="C168" s="1" t="s">
        <v>3200</v>
      </c>
      <c r="D168" s="6">
        <v>1</v>
      </c>
    </row>
    <row r="169" spans="1:4" x14ac:dyDescent="0.35">
      <c r="A169" s="1">
        <v>4001138</v>
      </c>
      <c r="B169" s="15">
        <v>27.33</v>
      </c>
      <c r="C169" s="1" t="s">
        <v>3200</v>
      </c>
      <c r="D169" s="6">
        <v>1</v>
      </c>
    </row>
    <row r="170" spans="1:4" x14ac:dyDescent="0.35">
      <c r="A170" s="1">
        <v>4001160</v>
      </c>
      <c r="B170" s="15">
        <v>3.22</v>
      </c>
      <c r="C170" s="1" t="s">
        <v>3200</v>
      </c>
      <c r="D170" s="6">
        <v>1</v>
      </c>
    </row>
    <row r="171" spans="1:4" x14ac:dyDescent="0.35">
      <c r="A171" s="1">
        <v>4001161</v>
      </c>
      <c r="B171" s="15">
        <v>36.270000000000003</v>
      </c>
      <c r="C171" s="1" t="s">
        <v>3200</v>
      </c>
      <c r="D171" s="6">
        <v>1</v>
      </c>
    </row>
    <row r="172" spans="1:4" x14ac:dyDescent="0.35">
      <c r="A172" s="1">
        <v>4001194</v>
      </c>
      <c r="B172" s="15">
        <v>76.849999999999994</v>
      </c>
      <c r="C172" s="1" t="s">
        <v>3200</v>
      </c>
      <c r="D172" s="6">
        <v>1</v>
      </c>
    </row>
    <row r="173" spans="1:4" x14ac:dyDescent="0.35">
      <c r="A173" s="1">
        <v>4001207</v>
      </c>
      <c r="B173" s="15">
        <v>26.72</v>
      </c>
      <c r="C173" s="1" t="s">
        <v>3200</v>
      </c>
      <c r="D173" s="6">
        <v>1</v>
      </c>
    </row>
    <row r="174" spans="1:4" x14ac:dyDescent="0.35">
      <c r="A174" s="1">
        <v>4001208</v>
      </c>
      <c r="B174" s="15">
        <v>35.799999999999997</v>
      </c>
      <c r="C174" s="1" t="s">
        <v>3200</v>
      </c>
      <c r="D174" s="6">
        <v>1</v>
      </c>
    </row>
    <row r="175" spans="1:4" x14ac:dyDescent="0.35">
      <c r="A175" s="1">
        <v>4001211</v>
      </c>
      <c r="B175" s="15">
        <v>0.14680000000000001</v>
      </c>
      <c r="C175" s="1" t="s">
        <v>3200</v>
      </c>
      <c r="D175" s="6">
        <v>100</v>
      </c>
    </row>
    <row r="176" spans="1:4" x14ac:dyDescent="0.35">
      <c r="A176" s="1">
        <v>4001215</v>
      </c>
      <c r="B176" s="15">
        <v>47.73</v>
      </c>
      <c r="C176" s="1" t="s">
        <v>3200</v>
      </c>
      <c r="D176" s="6">
        <v>1</v>
      </c>
    </row>
    <row r="177" spans="1:4" x14ac:dyDescent="0.35">
      <c r="A177" s="1">
        <v>4001216</v>
      </c>
      <c r="B177" s="15">
        <v>8.42</v>
      </c>
      <c r="C177" s="1" t="s">
        <v>3200</v>
      </c>
      <c r="D177" s="6">
        <v>1</v>
      </c>
    </row>
    <row r="178" spans="1:4" x14ac:dyDescent="0.35">
      <c r="A178" s="1">
        <v>4001221</v>
      </c>
      <c r="B178" s="15">
        <v>3.23</v>
      </c>
      <c r="C178" s="1" t="s">
        <v>3200</v>
      </c>
      <c r="D178" s="6">
        <v>1</v>
      </c>
    </row>
    <row r="179" spans="1:4" x14ac:dyDescent="0.35">
      <c r="A179" s="1">
        <v>4001225</v>
      </c>
      <c r="B179" s="15">
        <v>1.56</v>
      </c>
      <c r="C179" s="1" t="s">
        <v>3200</v>
      </c>
      <c r="D179" s="6">
        <v>1</v>
      </c>
    </row>
    <row r="180" spans="1:4" x14ac:dyDescent="0.35">
      <c r="A180" s="1">
        <v>4001233</v>
      </c>
      <c r="B180" s="15">
        <v>5.65</v>
      </c>
      <c r="C180" s="1" t="s">
        <v>3200</v>
      </c>
      <c r="D180" s="6">
        <v>1</v>
      </c>
    </row>
    <row r="181" spans="1:4" x14ac:dyDescent="0.35">
      <c r="A181" s="1">
        <v>4001237</v>
      </c>
      <c r="B181" s="15">
        <v>118.73</v>
      </c>
      <c r="C181" s="1" t="s">
        <v>3200</v>
      </c>
      <c r="D181" s="6">
        <v>1</v>
      </c>
    </row>
    <row r="182" spans="1:4" x14ac:dyDescent="0.35">
      <c r="A182" s="1">
        <v>4001241</v>
      </c>
      <c r="B182" s="15">
        <v>1.0459000000000001</v>
      </c>
      <c r="C182" s="1" t="s">
        <v>3200</v>
      </c>
      <c r="D182" s="6">
        <v>100</v>
      </c>
    </row>
    <row r="183" spans="1:4" x14ac:dyDescent="0.35">
      <c r="A183" s="1">
        <v>4001257</v>
      </c>
      <c r="B183" s="15">
        <v>9.4600000000000009</v>
      </c>
      <c r="C183" s="1" t="s">
        <v>3200</v>
      </c>
      <c r="D183" s="6">
        <v>1</v>
      </c>
    </row>
    <row r="184" spans="1:4" x14ac:dyDescent="0.35">
      <c r="A184" s="1">
        <v>4001264</v>
      </c>
      <c r="B184" s="15">
        <v>12.33</v>
      </c>
      <c r="C184" s="1" t="s">
        <v>3200</v>
      </c>
      <c r="D184" s="6">
        <v>1</v>
      </c>
    </row>
    <row r="185" spans="1:4" x14ac:dyDescent="0.35">
      <c r="A185" s="1">
        <v>4001277</v>
      </c>
      <c r="B185" s="15">
        <v>2</v>
      </c>
      <c r="C185" s="1" t="s">
        <v>3200</v>
      </c>
      <c r="D185" s="6">
        <v>1</v>
      </c>
    </row>
    <row r="186" spans="1:4" x14ac:dyDescent="0.35">
      <c r="A186" s="1">
        <v>4001278</v>
      </c>
      <c r="B186" s="15">
        <v>1.72</v>
      </c>
      <c r="C186" s="1" t="s">
        <v>3200</v>
      </c>
      <c r="D186" s="6">
        <v>1</v>
      </c>
    </row>
    <row r="187" spans="1:4" x14ac:dyDescent="0.35">
      <c r="A187" s="1">
        <v>4001279</v>
      </c>
      <c r="B187" s="15">
        <v>1.0152000000000001</v>
      </c>
      <c r="C187" s="1" t="s">
        <v>3200</v>
      </c>
      <c r="D187" s="6">
        <v>100</v>
      </c>
    </row>
    <row r="188" spans="1:4" x14ac:dyDescent="0.35">
      <c r="A188" s="1">
        <v>4001282</v>
      </c>
      <c r="B188" s="15">
        <v>0.91349999999999998</v>
      </c>
      <c r="C188" s="1" t="s">
        <v>3200</v>
      </c>
      <c r="D188" s="6">
        <v>100</v>
      </c>
    </row>
    <row r="189" spans="1:4" x14ac:dyDescent="0.35">
      <c r="A189" s="1">
        <v>4001283</v>
      </c>
      <c r="B189" s="15">
        <v>0.63929999999999998</v>
      </c>
      <c r="C189" s="1" t="s">
        <v>3200</v>
      </c>
      <c r="D189" s="6">
        <v>100</v>
      </c>
    </row>
    <row r="190" spans="1:4" x14ac:dyDescent="0.35">
      <c r="A190" s="1">
        <v>4001285</v>
      </c>
      <c r="B190" s="15">
        <v>6.5</v>
      </c>
      <c r="C190" s="1" t="s">
        <v>3200</v>
      </c>
      <c r="D190" s="6">
        <v>1</v>
      </c>
    </row>
    <row r="191" spans="1:4" x14ac:dyDescent="0.35">
      <c r="A191" s="1">
        <v>4001287</v>
      </c>
      <c r="B191" s="15">
        <v>0.39479999999999998</v>
      </c>
      <c r="C191" s="1" t="s">
        <v>3200</v>
      </c>
      <c r="D191" s="6">
        <v>100</v>
      </c>
    </row>
    <row r="192" spans="1:4" x14ac:dyDescent="0.35">
      <c r="A192" s="1">
        <v>4001288</v>
      </c>
      <c r="B192" s="15">
        <v>1.7</v>
      </c>
      <c r="C192" s="1" t="s">
        <v>3200</v>
      </c>
      <c r="D192" s="6">
        <v>1</v>
      </c>
    </row>
    <row r="193" spans="1:4" x14ac:dyDescent="0.35">
      <c r="A193" s="1">
        <v>4001289</v>
      </c>
      <c r="B193" s="15">
        <v>1.46</v>
      </c>
      <c r="C193" s="1" t="s">
        <v>3200</v>
      </c>
      <c r="D193" s="6">
        <v>1</v>
      </c>
    </row>
    <row r="194" spans="1:4" x14ac:dyDescent="0.35">
      <c r="A194" s="1">
        <v>4001290</v>
      </c>
      <c r="B194" s="15">
        <v>4.9000000000000004</v>
      </c>
      <c r="C194" s="1" t="s">
        <v>3200</v>
      </c>
      <c r="D194" s="6">
        <v>1</v>
      </c>
    </row>
    <row r="195" spans="1:4" x14ac:dyDescent="0.35">
      <c r="A195" s="1">
        <v>4001291</v>
      </c>
      <c r="B195" s="15">
        <v>2.02</v>
      </c>
      <c r="C195" s="1" t="s">
        <v>3200</v>
      </c>
      <c r="D195" s="6">
        <v>1</v>
      </c>
    </row>
    <row r="196" spans="1:4" x14ac:dyDescent="0.35">
      <c r="A196" s="1">
        <v>4001293</v>
      </c>
      <c r="B196" s="15">
        <v>5.38</v>
      </c>
      <c r="C196" s="1" t="s">
        <v>3200</v>
      </c>
      <c r="D196" s="6">
        <v>1</v>
      </c>
    </row>
    <row r="197" spans="1:4" x14ac:dyDescent="0.35">
      <c r="A197" s="1">
        <v>4001295</v>
      </c>
      <c r="B197" s="15">
        <v>33.58</v>
      </c>
      <c r="C197" s="1" t="s">
        <v>3200</v>
      </c>
      <c r="D197" s="6">
        <v>1</v>
      </c>
    </row>
    <row r="198" spans="1:4" x14ac:dyDescent="0.35">
      <c r="A198" s="1">
        <v>4001298</v>
      </c>
      <c r="B198" s="15">
        <v>0.2185</v>
      </c>
      <c r="C198" s="1" t="s">
        <v>3200</v>
      </c>
      <c r="D198" s="6">
        <v>100</v>
      </c>
    </row>
    <row r="199" spans="1:4" x14ac:dyDescent="0.35">
      <c r="A199" s="1">
        <v>4001307</v>
      </c>
      <c r="B199" s="15">
        <v>2.77</v>
      </c>
      <c r="C199" s="1" t="s">
        <v>3200</v>
      </c>
      <c r="D199" s="6">
        <v>1</v>
      </c>
    </row>
    <row r="200" spans="1:4" x14ac:dyDescent="0.35">
      <c r="A200" s="1">
        <v>4001310</v>
      </c>
      <c r="B200" s="15">
        <v>102.65</v>
      </c>
      <c r="C200" s="1" t="s">
        <v>3200</v>
      </c>
      <c r="D200" s="6">
        <v>1</v>
      </c>
    </row>
    <row r="201" spans="1:4" x14ac:dyDescent="0.35">
      <c r="A201" s="1">
        <v>4001311</v>
      </c>
      <c r="B201" s="15">
        <v>25.6</v>
      </c>
      <c r="C201" s="1" t="s">
        <v>3200</v>
      </c>
      <c r="D201" s="6">
        <v>1</v>
      </c>
    </row>
    <row r="202" spans="1:4" x14ac:dyDescent="0.35">
      <c r="A202" s="1">
        <v>4001312</v>
      </c>
      <c r="B202" s="15">
        <v>2.38</v>
      </c>
      <c r="C202" s="1" t="s">
        <v>3200</v>
      </c>
      <c r="D202" s="6">
        <v>1</v>
      </c>
    </row>
    <row r="203" spans="1:4" x14ac:dyDescent="0.35">
      <c r="A203" s="1">
        <v>4001314</v>
      </c>
      <c r="B203" s="15">
        <v>1.1619999999999999</v>
      </c>
      <c r="C203" s="1" t="s">
        <v>3200</v>
      </c>
      <c r="D203" s="6">
        <v>100</v>
      </c>
    </row>
    <row r="204" spans="1:4" x14ac:dyDescent="0.35">
      <c r="A204" s="1">
        <v>4001315</v>
      </c>
      <c r="B204" s="15">
        <v>3.06</v>
      </c>
      <c r="C204" s="1" t="s">
        <v>3200</v>
      </c>
      <c r="D204" s="6">
        <v>1</v>
      </c>
    </row>
    <row r="205" spans="1:4" x14ac:dyDescent="0.35">
      <c r="A205" s="1">
        <v>4001316</v>
      </c>
      <c r="B205" s="15">
        <v>10.15</v>
      </c>
      <c r="C205" s="1" t="s">
        <v>3200</v>
      </c>
      <c r="D205" s="6">
        <v>1</v>
      </c>
    </row>
    <row r="206" spans="1:4" x14ac:dyDescent="0.35">
      <c r="A206" s="1">
        <v>4001318</v>
      </c>
      <c r="B206" s="15">
        <v>27.86</v>
      </c>
      <c r="C206" s="1" t="s">
        <v>3200</v>
      </c>
      <c r="D206" s="6">
        <v>1</v>
      </c>
    </row>
    <row r="207" spans="1:4" x14ac:dyDescent="0.35">
      <c r="A207" s="1">
        <v>4001320</v>
      </c>
      <c r="B207" s="15">
        <v>2.67</v>
      </c>
      <c r="C207" s="1" t="s">
        <v>3200</v>
      </c>
      <c r="D207" s="6">
        <v>1</v>
      </c>
    </row>
    <row r="208" spans="1:4" x14ac:dyDescent="0.35">
      <c r="A208" s="1">
        <v>4001323</v>
      </c>
      <c r="B208" s="15">
        <v>0.01</v>
      </c>
      <c r="C208" s="1" t="s">
        <v>3201</v>
      </c>
      <c r="D208" s="6">
        <v>1</v>
      </c>
    </row>
    <row r="209" spans="1:4" x14ac:dyDescent="0.35">
      <c r="A209" s="1">
        <v>4001324</v>
      </c>
      <c r="B209" s="15">
        <v>397.94</v>
      </c>
      <c r="C209" s="1" t="s">
        <v>3200</v>
      </c>
      <c r="D209" s="6">
        <v>1</v>
      </c>
    </row>
    <row r="210" spans="1:4" x14ac:dyDescent="0.35">
      <c r="A210" s="1">
        <v>4001327</v>
      </c>
      <c r="B210" s="15">
        <v>10.77</v>
      </c>
      <c r="C210" s="1" t="s">
        <v>3200</v>
      </c>
      <c r="D210" s="6">
        <v>1</v>
      </c>
    </row>
    <row r="211" spans="1:4" x14ac:dyDescent="0.35">
      <c r="A211" s="1">
        <v>4001328</v>
      </c>
      <c r="B211" s="15">
        <v>4.1900000000000004</v>
      </c>
      <c r="C211" s="1" t="s">
        <v>3200</v>
      </c>
      <c r="D211" s="6">
        <v>1</v>
      </c>
    </row>
    <row r="212" spans="1:4" x14ac:dyDescent="0.35">
      <c r="A212" s="1">
        <v>4001331</v>
      </c>
      <c r="B212" s="15">
        <v>2.4544000000000001</v>
      </c>
      <c r="C212" s="1" t="s">
        <v>3200</v>
      </c>
      <c r="D212" s="6">
        <v>100</v>
      </c>
    </row>
    <row r="213" spans="1:4" x14ac:dyDescent="0.35">
      <c r="A213" s="1">
        <v>4001333</v>
      </c>
      <c r="B213" s="15">
        <v>23.06</v>
      </c>
      <c r="C213" s="1" t="s">
        <v>3200</v>
      </c>
      <c r="D213" s="6">
        <v>1</v>
      </c>
    </row>
    <row r="214" spans="1:4" x14ac:dyDescent="0.35">
      <c r="A214" s="1">
        <v>4001334</v>
      </c>
      <c r="B214" s="15">
        <v>2.64</v>
      </c>
      <c r="C214" s="1" t="s">
        <v>3200</v>
      </c>
      <c r="D214" s="6">
        <v>1</v>
      </c>
    </row>
    <row r="215" spans="1:4" x14ac:dyDescent="0.35">
      <c r="A215" s="1">
        <v>4001335</v>
      </c>
      <c r="B215" s="15">
        <v>13.61</v>
      </c>
      <c r="C215" s="1" t="s">
        <v>3200</v>
      </c>
      <c r="D215" s="6">
        <v>1</v>
      </c>
    </row>
    <row r="216" spans="1:4" x14ac:dyDescent="0.35">
      <c r="A216" s="1">
        <v>4001336</v>
      </c>
      <c r="B216" s="15">
        <v>41.8</v>
      </c>
      <c r="C216" s="1" t="s">
        <v>3200</v>
      </c>
      <c r="D216" s="6">
        <v>1</v>
      </c>
    </row>
    <row r="217" spans="1:4" x14ac:dyDescent="0.35">
      <c r="A217" s="1">
        <v>4001337</v>
      </c>
      <c r="B217" s="15">
        <v>8.14</v>
      </c>
      <c r="C217" s="1" t="s">
        <v>3200</v>
      </c>
      <c r="D217" s="6">
        <v>1</v>
      </c>
    </row>
    <row r="218" spans="1:4" x14ac:dyDescent="0.35">
      <c r="A218" s="1">
        <v>4001338</v>
      </c>
      <c r="B218" s="15">
        <v>4.0599999999999996</v>
      </c>
      <c r="C218" s="1" t="s">
        <v>3200</v>
      </c>
      <c r="D218" s="6">
        <v>1</v>
      </c>
    </row>
    <row r="219" spans="1:4" x14ac:dyDescent="0.35">
      <c r="A219" s="1">
        <v>4001339</v>
      </c>
      <c r="B219" s="15">
        <v>76.540000000000006</v>
      </c>
      <c r="C219" s="1" t="s">
        <v>3200</v>
      </c>
      <c r="D219" s="6">
        <v>1</v>
      </c>
    </row>
    <row r="220" spans="1:4" x14ac:dyDescent="0.35">
      <c r="A220" s="1">
        <v>4001340</v>
      </c>
      <c r="B220" s="15">
        <v>121.28</v>
      </c>
      <c r="C220" s="1" t="s">
        <v>3200</v>
      </c>
      <c r="D220" s="6">
        <v>1</v>
      </c>
    </row>
    <row r="221" spans="1:4" x14ac:dyDescent="0.35">
      <c r="A221" s="1">
        <v>4001341</v>
      </c>
      <c r="B221" s="15">
        <v>1.2</v>
      </c>
      <c r="C221" s="1" t="s">
        <v>3200</v>
      </c>
      <c r="D221" s="6">
        <v>1</v>
      </c>
    </row>
    <row r="222" spans="1:4" x14ac:dyDescent="0.35">
      <c r="A222" s="1">
        <v>4001343</v>
      </c>
      <c r="B222" s="15">
        <v>95.07</v>
      </c>
      <c r="C222" s="1" t="s">
        <v>3200</v>
      </c>
      <c r="D222" s="6">
        <v>1</v>
      </c>
    </row>
    <row r="223" spans="1:4" x14ac:dyDescent="0.35">
      <c r="A223" s="1">
        <v>4001344</v>
      </c>
      <c r="B223" s="15">
        <v>26.89</v>
      </c>
      <c r="C223" s="1" t="s">
        <v>3200</v>
      </c>
      <c r="D223" s="6">
        <v>1</v>
      </c>
    </row>
    <row r="224" spans="1:4" x14ac:dyDescent="0.35">
      <c r="A224" s="1">
        <v>4001345</v>
      </c>
      <c r="B224" s="15">
        <v>20.78</v>
      </c>
      <c r="C224" s="1" t="s">
        <v>3200</v>
      </c>
      <c r="D224" s="6">
        <v>1</v>
      </c>
    </row>
    <row r="225" spans="1:4" x14ac:dyDescent="0.35">
      <c r="A225" s="1">
        <v>4001347</v>
      </c>
      <c r="B225" s="15">
        <v>13</v>
      </c>
      <c r="C225" s="1" t="s">
        <v>3200</v>
      </c>
      <c r="D225" s="6">
        <v>1</v>
      </c>
    </row>
    <row r="226" spans="1:4" x14ac:dyDescent="0.35">
      <c r="A226" s="1">
        <v>4001348</v>
      </c>
      <c r="B226" s="15">
        <v>15</v>
      </c>
      <c r="C226" s="1" t="s">
        <v>3200</v>
      </c>
      <c r="D226" s="6">
        <v>1</v>
      </c>
    </row>
    <row r="227" spans="1:4" x14ac:dyDescent="0.35">
      <c r="A227" s="1">
        <v>4001349</v>
      </c>
      <c r="B227" s="15">
        <v>15</v>
      </c>
      <c r="C227" s="1" t="s">
        <v>3200</v>
      </c>
      <c r="D227" s="6">
        <v>1</v>
      </c>
    </row>
    <row r="228" spans="1:4" x14ac:dyDescent="0.35">
      <c r="A228" s="1">
        <v>4001350</v>
      </c>
      <c r="B228" s="15">
        <v>0.34499999999999997</v>
      </c>
      <c r="C228" s="1" t="s">
        <v>3200</v>
      </c>
      <c r="D228" s="6">
        <v>100</v>
      </c>
    </row>
    <row r="229" spans="1:4" x14ac:dyDescent="0.35">
      <c r="A229" s="1">
        <v>4001351</v>
      </c>
      <c r="B229" s="15">
        <v>31.02</v>
      </c>
      <c r="C229" s="1" t="s">
        <v>3200</v>
      </c>
      <c r="D229" s="6">
        <v>1</v>
      </c>
    </row>
    <row r="230" spans="1:4" x14ac:dyDescent="0.35">
      <c r="A230" s="1">
        <v>4001354</v>
      </c>
      <c r="B230" s="15">
        <v>12.26</v>
      </c>
      <c r="C230" s="1" t="s">
        <v>3200</v>
      </c>
      <c r="D230" s="6">
        <v>1</v>
      </c>
    </row>
    <row r="231" spans="1:4" x14ac:dyDescent="0.35">
      <c r="A231" s="1">
        <v>4001357</v>
      </c>
      <c r="B231" s="15">
        <v>34</v>
      </c>
      <c r="C231" s="1" t="s">
        <v>3200</v>
      </c>
      <c r="D231" s="6">
        <v>1</v>
      </c>
    </row>
    <row r="232" spans="1:4" x14ac:dyDescent="0.35">
      <c r="A232" s="1">
        <v>4001359</v>
      </c>
      <c r="B232" s="15">
        <v>3.95</v>
      </c>
      <c r="C232" s="1" t="s">
        <v>3200</v>
      </c>
      <c r="D232" s="6">
        <v>1</v>
      </c>
    </row>
    <row r="233" spans="1:4" x14ac:dyDescent="0.35">
      <c r="A233" s="1">
        <v>4001363</v>
      </c>
      <c r="B233" s="15">
        <v>3.87</v>
      </c>
      <c r="C233" s="1" t="s">
        <v>3200</v>
      </c>
      <c r="D233" s="6">
        <v>1</v>
      </c>
    </row>
    <row r="234" spans="1:4" x14ac:dyDescent="0.35">
      <c r="A234" s="1">
        <v>4001364</v>
      </c>
      <c r="B234" s="15">
        <v>12.27</v>
      </c>
      <c r="C234" s="1" t="s">
        <v>3200</v>
      </c>
      <c r="D234" s="6">
        <v>1</v>
      </c>
    </row>
    <row r="235" spans="1:4" x14ac:dyDescent="0.35">
      <c r="A235" s="1">
        <v>4001365</v>
      </c>
      <c r="B235" s="15">
        <v>22.5</v>
      </c>
      <c r="C235" s="1" t="s">
        <v>3200</v>
      </c>
      <c r="D235" s="6">
        <v>1</v>
      </c>
    </row>
    <row r="236" spans="1:4" x14ac:dyDescent="0.35">
      <c r="A236" s="1">
        <v>4001366</v>
      </c>
      <c r="B236" s="15">
        <v>2.84</v>
      </c>
      <c r="C236" s="1" t="s">
        <v>3200</v>
      </c>
      <c r="D236" s="6">
        <v>1</v>
      </c>
    </row>
    <row r="237" spans="1:4" x14ac:dyDescent="0.35">
      <c r="A237" s="1">
        <v>4001367</v>
      </c>
      <c r="B237" s="15">
        <v>1.56</v>
      </c>
      <c r="C237" s="1" t="s">
        <v>3200</v>
      </c>
      <c r="D237" s="6">
        <v>1</v>
      </c>
    </row>
    <row r="238" spans="1:4" x14ac:dyDescent="0.35">
      <c r="A238" s="1">
        <v>4001368</v>
      </c>
      <c r="B238" s="15">
        <v>1.51</v>
      </c>
      <c r="C238" s="1" t="s">
        <v>3200</v>
      </c>
      <c r="D238" s="6">
        <v>1</v>
      </c>
    </row>
    <row r="239" spans="1:4" x14ac:dyDescent="0.35">
      <c r="A239" s="1">
        <v>4001369</v>
      </c>
      <c r="B239" s="15">
        <v>1.51</v>
      </c>
      <c r="C239" s="1" t="s">
        <v>3200</v>
      </c>
      <c r="D239" s="6">
        <v>1</v>
      </c>
    </row>
    <row r="240" spans="1:4" x14ac:dyDescent="0.35">
      <c r="A240" s="1">
        <v>4001371</v>
      </c>
      <c r="B240" s="15">
        <v>93.57</v>
      </c>
      <c r="C240" s="1" t="s">
        <v>3200</v>
      </c>
      <c r="D240" s="6">
        <v>1</v>
      </c>
    </row>
    <row r="241" spans="1:4" x14ac:dyDescent="0.35">
      <c r="A241" s="1">
        <v>4001373</v>
      </c>
      <c r="B241" s="15">
        <v>18.52</v>
      </c>
      <c r="C241" s="1" t="s">
        <v>3200</v>
      </c>
      <c r="D241" s="6">
        <v>1</v>
      </c>
    </row>
    <row r="242" spans="1:4" x14ac:dyDescent="0.35">
      <c r="A242" s="1">
        <v>4001374</v>
      </c>
      <c r="B242" s="15">
        <v>24.03</v>
      </c>
      <c r="C242" s="1" t="s">
        <v>3200</v>
      </c>
      <c r="D242" s="6">
        <v>1</v>
      </c>
    </row>
    <row r="243" spans="1:4" x14ac:dyDescent="0.35">
      <c r="A243" s="1">
        <v>4001376</v>
      </c>
      <c r="B243" s="15">
        <v>3.25</v>
      </c>
      <c r="C243" s="1" t="s">
        <v>3200</v>
      </c>
      <c r="D243" s="6">
        <v>1</v>
      </c>
    </row>
    <row r="244" spans="1:4" x14ac:dyDescent="0.35">
      <c r="A244" s="1">
        <v>4001379</v>
      </c>
      <c r="B244" s="15">
        <v>46.95</v>
      </c>
      <c r="C244" s="1" t="s">
        <v>3200</v>
      </c>
      <c r="D244" s="6">
        <v>1</v>
      </c>
    </row>
    <row r="245" spans="1:4" x14ac:dyDescent="0.35">
      <c r="A245" s="1">
        <v>4001380</v>
      </c>
      <c r="B245" s="15">
        <v>5.58</v>
      </c>
      <c r="C245" s="1" t="s">
        <v>3200</v>
      </c>
      <c r="D245" s="6">
        <v>1</v>
      </c>
    </row>
    <row r="246" spans="1:4" x14ac:dyDescent="0.35">
      <c r="A246" s="1">
        <v>4001383</v>
      </c>
      <c r="B246" s="15">
        <v>17.84</v>
      </c>
      <c r="C246" s="1" t="s">
        <v>3200</v>
      </c>
      <c r="D246" s="6">
        <v>1</v>
      </c>
    </row>
    <row r="247" spans="1:4" x14ac:dyDescent="0.35">
      <c r="A247" s="1">
        <v>4001384</v>
      </c>
      <c r="B247" s="15">
        <v>17.84</v>
      </c>
      <c r="C247" s="1" t="s">
        <v>3200</v>
      </c>
      <c r="D247" s="6">
        <v>1</v>
      </c>
    </row>
    <row r="248" spans="1:4" x14ac:dyDescent="0.35">
      <c r="A248" s="1">
        <v>4001385</v>
      </c>
      <c r="B248" s="15">
        <v>15</v>
      </c>
      <c r="C248" s="1" t="s">
        <v>3200</v>
      </c>
      <c r="D248" s="6">
        <v>1</v>
      </c>
    </row>
    <row r="249" spans="1:4" x14ac:dyDescent="0.35">
      <c r="A249" s="1">
        <v>4001387</v>
      </c>
      <c r="B249" s="15">
        <v>2.6036999999999999</v>
      </c>
      <c r="C249" s="1" t="s">
        <v>3200</v>
      </c>
      <c r="D249" s="6">
        <v>100</v>
      </c>
    </row>
    <row r="250" spans="1:4" x14ac:dyDescent="0.35">
      <c r="A250" s="1">
        <v>4001388</v>
      </c>
      <c r="B250" s="15">
        <v>8.5</v>
      </c>
      <c r="C250" s="1" t="s">
        <v>3200</v>
      </c>
      <c r="D250" s="6">
        <v>1</v>
      </c>
    </row>
    <row r="251" spans="1:4" x14ac:dyDescent="0.35">
      <c r="A251" s="1">
        <v>4001390</v>
      </c>
      <c r="B251" s="15">
        <v>1.0214000000000001</v>
      </c>
      <c r="C251" s="1" t="s">
        <v>3200</v>
      </c>
      <c r="D251" s="6">
        <v>100</v>
      </c>
    </row>
    <row r="252" spans="1:4" x14ac:dyDescent="0.35">
      <c r="A252" s="1">
        <v>4001396</v>
      </c>
      <c r="B252" s="15">
        <v>27.18</v>
      </c>
      <c r="C252" s="1" t="s">
        <v>3200</v>
      </c>
      <c r="D252" s="6">
        <v>1</v>
      </c>
    </row>
    <row r="253" spans="1:4" x14ac:dyDescent="0.35">
      <c r="A253" s="1">
        <v>4001401</v>
      </c>
      <c r="B253" s="15">
        <v>59.45</v>
      </c>
      <c r="C253" s="1" t="s">
        <v>3200</v>
      </c>
      <c r="D253" s="6">
        <v>1</v>
      </c>
    </row>
    <row r="254" spans="1:4" x14ac:dyDescent="0.35">
      <c r="A254" s="1">
        <v>4001403</v>
      </c>
      <c r="B254" s="15">
        <v>98.95</v>
      </c>
      <c r="C254" s="1" t="s">
        <v>3200</v>
      </c>
      <c r="D254" s="6">
        <v>1</v>
      </c>
    </row>
    <row r="255" spans="1:4" x14ac:dyDescent="0.35">
      <c r="A255" s="1">
        <v>4001449</v>
      </c>
      <c r="B255" s="15">
        <v>24.13</v>
      </c>
      <c r="C255" s="1" t="s">
        <v>3200</v>
      </c>
      <c r="D255" s="6">
        <v>1</v>
      </c>
    </row>
    <row r="256" spans="1:4" x14ac:dyDescent="0.35">
      <c r="A256" s="1">
        <v>4001451</v>
      </c>
      <c r="B256" s="15">
        <v>15.7</v>
      </c>
      <c r="C256" s="1" t="s">
        <v>3200</v>
      </c>
      <c r="D256" s="6">
        <v>1</v>
      </c>
    </row>
    <row r="257" spans="1:4" x14ac:dyDescent="0.35">
      <c r="A257" s="1">
        <v>4001458</v>
      </c>
      <c r="B257" s="15">
        <v>9.0299999999999994</v>
      </c>
      <c r="C257" s="1" t="s">
        <v>3200</v>
      </c>
      <c r="D257" s="6">
        <v>1</v>
      </c>
    </row>
    <row r="258" spans="1:4" x14ac:dyDescent="0.35">
      <c r="A258" s="1">
        <v>4001459</v>
      </c>
      <c r="B258" s="15">
        <v>16.13</v>
      </c>
      <c r="C258" s="1" t="s">
        <v>3200</v>
      </c>
      <c r="D258" s="6">
        <v>1</v>
      </c>
    </row>
    <row r="259" spans="1:4" x14ac:dyDescent="0.35">
      <c r="A259" s="1">
        <v>4001461</v>
      </c>
      <c r="B259" s="15">
        <v>6.23</v>
      </c>
      <c r="C259" s="1" t="s">
        <v>3200</v>
      </c>
      <c r="D259" s="6">
        <v>1</v>
      </c>
    </row>
    <row r="260" spans="1:4" x14ac:dyDescent="0.35">
      <c r="A260" s="1">
        <v>4001523</v>
      </c>
      <c r="B260" s="15">
        <v>1.0591999999999999</v>
      </c>
      <c r="C260" s="1" t="s">
        <v>3200</v>
      </c>
      <c r="D260" s="6">
        <v>100</v>
      </c>
    </row>
    <row r="261" spans="1:4" x14ac:dyDescent="0.35">
      <c r="A261" s="1">
        <v>4001524</v>
      </c>
      <c r="B261" s="15">
        <v>1.1233</v>
      </c>
      <c r="C261" s="1" t="s">
        <v>3200</v>
      </c>
      <c r="D261" s="6">
        <v>100</v>
      </c>
    </row>
    <row r="262" spans="1:4" x14ac:dyDescent="0.35">
      <c r="A262" s="1">
        <v>4001551</v>
      </c>
      <c r="B262" s="15">
        <v>2.78</v>
      </c>
      <c r="C262" s="1" t="s">
        <v>3200</v>
      </c>
      <c r="D262" s="6">
        <v>1</v>
      </c>
    </row>
    <row r="263" spans="1:4" x14ac:dyDescent="0.35">
      <c r="A263" s="1">
        <v>4001562</v>
      </c>
      <c r="B263" s="15">
        <v>48.58</v>
      </c>
      <c r="C263" s="1" t="s">
        <v>3200</v>
      </c>
      <c r="D263" s="6">
        <v>1</v>
      </c>
    </row>
    <row r="264" spans="1:4" x14ac:dyDescent="0.35">
      <c r="A264" s="1">
        <v>4001572</v>
      </c>
      <c r="B264" s="15">
        <v>5.0999999999999996</v>
      </c>
      <c r="C264" s="1" t="s">
        <v>3200</v>
      </c>
      <c r="D264" s="6">
        <v>1</v>
      </c>
    </row>
    <row r="265" spans="1:4" x14ac:dyDescent="0.35">
      <c r="A265" s="1">
        <v>4001573</v>
      </c>
      <c r="B265" s="15">
        <v>11.25</v>
      </c>
      <c r="C265" s="1" t="s">
        <v>3200</v>
      </c>
      <c r="D265" s="6">
        <v>1</v>
      </c>
    </row>
    <row r="266" spans="1:4" x14ac:dyDescent="0.35">
      <c r="A266" s="1">
        <v>4001574</v>
      </c>
      <c r="B266" s="15">
        <v>9.56</v>
      </c>
      <c r="C266" s="1" t="s">
        <v>3200</v>
      </c>
      <c r="D266" s="6">
        <v>1</v>
      </c>
    </row>
    <row r="267" spans="1:4" x14ac:dyDescent="0.35">
      <c r="A267" s="1">
        <v>4001576</v>
      </c>
      <c r="B267" s="15">
        <v>2.4</v>
      </c>
      <c r="C267" s="1" t="s">
        <v>3200</v>
      </c>
      <c r="D267" s="6">
        <v>1</v>
      </c>
    </row>
    <row r="268" spans="1:4" x14ac:dyDescent="0.35">
      <c r="A268" s="1">
        <v>4001609</v>
      </c>
      <c r="B268" s="15">
        <v>369</v>
      </c>
      <c r="C268" s="1" t="s">
        <v>3200</v>
      </c>
      <c r="D268" s="6">
        <v>1</v>
      </c>
    </row>
    <row r="269" spans="1:4" x14ac:dyDescent="0.35">
      <c r="A269" s="1">
        <v>4001630</v>
      </c>
      <c r="B269" s="15">
        <v>357</v>
      </c>
      <c r="C269" s="1" t="s">
        <v>3200</v>
      </c>
      <c r="D269" s="6">
        <v>1</v>
      </c>
    </row>
    <row r="270" spans="1:4" x14ac:dyDescent="0.35">
      <c r="A270" s="1">
        <v>4001691</v>
      </c>
      <c r="B270" s="15">
        <v>0.01</v>
      </c>
      <c r="C270" s="1" t="s">
        <v>3201</v>
      </c>
      <c r="D270" s="6">
        <v>1</v>
      </c>
    </row>
    <row r="271" spans="1:4" x14ac:dyDescent="0.35">
      <c r="A271" s="1">
        <v>4001701</v>
      </c>
      <c r="B271" s="15">
        <v>4.9381000000000004</v>
      </c>
      <c r="C271" s="1" t="s">
        <v>3200</v>
      </c>
      <c r="D271" s="6">
        <v>100</v>
      </c>
    </row>
    <row r="272" spans="1:4" x14ac:dyDescent="0.35">
      <c r="A272" s="1">
        <v>4001754</v>
      </c>
      <c r="B272" s="15">
        <v>5.0599999999999996</v>
      </c>
      <c r="C272" s="1" t="s">
        <v>3200</v>
      </c>
      <c r="D272" s="6">
        <v>1</v>
      </c>
    </row>
    <row r="273" spans="1:4" x14ac:dyDescent="0.35">
      <c r="A273" s="1">
        <v>4001762</v>
      </c>
      <c r="B273" s="15">
        <v>1.5053000000000001</v>
      </c>
      <c r="C273" s="1" t="s">
        <v>3200</v>
      </c>
      <c r="D273" s="6">
        <v>100</v>
      </c>
    </row>
    <row r="274" spans="1:4" x14ac:dyDescent="0.35">
      <c r="A274" s="1">
        <v>4001763</v>
      </c>
      <c r="B274" s="15">
        <v>1.9072</v>
      </c>
      <c r="C274" s="1" t="s">
        <v>3200</v>
      </c>
      <c r="D274" s="6">
        <v>100</v>
      </c>
    </row>
    <row r="275" spans="1:4" x14ac:dyDescent="0.35">
      <c r="A275" s="1">
        <v>4001764</v>
      </c>
      <c r="B275" s="15">
        <v>1.163</v>
      </c>
      <c r="C275" s="1" t="s">
        <v>3200</v>
      </c>
      <c r="D275" s="6">
        <v>100</v>
      </c>
    </row>
    <row r="276" spans="1:4" x14ac:dyDescent="0.35">
      <c r="A276" s="1">
        <v>4001809</v>
      </c>
      <c r="B276" s="15">
        <v>0.3105</v>
      </c>
      <c r="C276" s="1" t="s">
        <v>3200</v>
      </c>
      <c r="D276" s="6">
        <v>100</v>
      </c>
    </row>
    <row r="277" spans="1:4" x14ac:dyDescent="0.35">
      <c r="A277" s="1">
        <v>4001853</v>
      </c>
      <c r="B277" s="15">
        <v>71.12</v>
      </c>
      <c r="C277" s="1" t="s">
        <v>3200</v>
      </c>
      <c r="D277" s="6">
        <v>1</v>
      </c>
    </row>
    <row r="278" spans="1:4" x14ac:dyDescent="0.35">
      <c r="A278" s="1">
        <v>4001969</v>
      </c>
      <c r="B278" s="15">
        <v>40.18</v>
      </c>
      <c r="C278" s="1" t="s">
        <v>3200</v>
      </c>
      <c r="D278" s="6">
        <v>1</v>
      </c>
    </row>
    <row r="279" spans="1:4" x14ac:dyDescent="0.35">
      <c r="A279" s="1">
        <v>4002229</v>
      </c>
      <c r="B279" s="15">
        <v>0.01</v>
      </c>
      <c r="C279" s="1" t="s">
        <v>3201</v>
      </c>
      <c r="D279" s="6">
        <v>1</v>
      </c>
    </row>
    <row r="280" spans="1:4" x14ac:dyDescent="0.35">
      <c r="A280" s="1">
        <v>4002233</v>
      </c>
      <c r="B280" s="15">
        <v>9</v>
      </c>
      <c r="C280" s="1" t="s">
        <v>3200</v>
      </c>
      <c r="D280" s="6">
        <v>1</v>
      </c>
    </row>
    <row r="281" spans="1:4" x14ac:dyDescent="0.35">
      <c r="A281" s="1">
        <v>4002277</v>
      </c>
      <c r="B281" s="15">
        <v>14.79</v>
      </c>
      <c r="C281" s="1" t="s">
        <v>3200</v>
      </c>
      <c r="D281" s="6">
        <v>1</v>
      </c>
    </row>
    <row r="282" spans="1:4" x14ac:dyDescent="0.35">
      <c r="A282" s="1">
        <v>4002292</v>
      </c>
      <c r="B282" s="15">
        <v>9.77</v>
      </c>
      <c r="C282" s="1" t="s">
        <v>3200</v>
      </c>
      <c r="D282" s="6">
        <v>1</v>
      </c>
    </row>
    <row r="283" spans="1:4" x14ac:dyDescent="0.35">
      <c r="A283" s="1">
        <v>4002298</v>
      </c>
      <c r="B283" s="15">
        <v>17.170000000000002</v>
      </c>
      <c r="C283" s="1" t="s">
        <v>3200</v>
      </c>
      <c r="D283" s="6">
        <v>1</v>
      </c>
    </row>
    <row r="284" spans="1:4" x14ac:dyDescent="0.35">
      <c r="A284" s="1">
        <v>4002302</v>
      </c>
      <c r="B284" s="15">
        <v>1E-4</v>
      </c>
      <c r="C284" s="1" t="s">
        <v>3200</v>
      </c>
      <c r="D284" s="6">
        <v>100</v>
      </c>
    </row>
    <row r="285" spans="1:4" x14ac:dyDescent="0.35">
      <c r="A285" s="1">
        <v>4002332</v>
      </c>
      <c r="B285" s="15">
        <v>1.4350000000000001</v>
      </c>
      <c r="C285" s="1" t="s">
        <v>3200</v>
      </c>
      <c r="D285" s="6">
        <v>100</v>
      </c>
    </row>
    <row r="286" spans="1:4" x14ac:dyDescent="0.35">
      <c r="A286" s="1">
        <v>4002333</v>
      </c>
      <c r="B286" s="15">
        <v>0.20300000000000001</v>
      </c>
      <c r="C286" s="1" t="s">
        <v>3200</v>
      </c>
      <c r="D286" s="6">
        <v>100</v>
      </c>
    </row>
    <row r="287" spans="1:4" x14ac:dyDescent="0.35">
      <c r="A287" s="1">
        <v>4002335</v>
      </c>
      <c r="B287" s="15">
        <v>8.9700000000000006</v>
      </c>
      <c r="C287" s="1" t="s">
        <v>3200</v>
      </c>
      <c r="D287" s="6">
        <v>1</v>
      </c>
    </row>
    <row r="288" spans="1:4" x14ac:dyDescent="0.35">
      <c r="A288" s="1">
        <v>4002344</v>
      </c>
      <c r="B288" s="15">
        <v>155.1</v>
      </c>
      <c r="C288" s="1" t="s">
        <v>3200</v>
      </c>
      <c r="D288" s="6">
        <v>1</v>
      </c>
    </row>
    <row r="289" spans="1:4" x14ac:dyDescent="0.35">
      <c r="A289" s="1">
        <v>4002345</v>
      </c>
      <c r="B289" s="15">
        <v>12.31</v>
      </c>
      <c r="C289" s="1" t="s">
        <v>3200</v>
      </c>
      <c r="D289" s="6">
        <v>1</v>
      </c>
    </row>
    <row r="290" spans="1:4" x14ac:dyDescent="0.35">
      <c r="A290" s="1">
        <v>4002416</v>
      </c>
      <c r="B290" s="15">
        <v>6.91</v>
      </c>
      <c r="C290" s="1" t="s">
        <v>3200</v>
      </c>
      <c r="D290" s="6">
        <v>1</v>
      </c>
    </row>
    <row r="291" spans="1:4" x14ac:dyDescent="0.35">
      <c r="A291" s="1">
        <v>4002446</v>
      </c>
      <c r="B291" s="15">
        <v>1.3</v>
      </c>
      <c r="C291" s="1" t="s">
        <v>3200</v>
      </c>
      <c r="D291" s="6">
        <v>1</v>
      </c>
    </row>
    <row r="292" spans="1:4" x14ac:dyDescent="0.35">
      <c r="A292" s="1">
        <v>4002462</v>
      </c>
      <c r="B292" s="15">
        <v>4.71</v>
      </c>
      <c r="C292" s="1" t="s">
        <v>3200</v>
      </c>
      <c r="D292" s="6">
        <v>1</v>
      </c>
    </row>
    <row r="293" spans="1:4" x14ac:dyDescent="0.35">
      <c r="A293" s="1">
        <v>4002465</v>
      </c>
      <c r="B293" s="15">
        <v>3.98</v>
      </c>
      <c r="C293" s="1" t="s">
        <v>3200</v>
      </c>
      <c r="D293" s="6">
        <v>1</v>
      </c>
    </row>
    <row r="294" spans="1:4" x14ac:dyDescent="0.35">
      <c r="A294" s="1">
        <v>4002466</v>
      </c>
      <c r="B294" s="15">
        <v>3.94</v>
      </c>
      <c r="C294" s="1" t="s">
        <v>3200</v>
      </c>
      <c r="D294" s="6">
        <v>1</v>
      </c>
    </row>
    <row r="295" spans="1:4" x14ac:dyDescent="0.35">
      <c r="A295" s="1">
        <v>4002467</v>
      </c>
      <c r="B295" s="15">
        <v>3.98</v>
      </c>
      <c r="C295" s="1" t="s">
        <v>3200</v>
      </c>
      <c r="D295" s="6">
        <v>1</v>
      </c>
    </row>
    <row r="296" spans="1:4" x14ac:dyDescent="0.35">
      <c r="A296" s="1">
        <v>4002468</v>
      </c>
      <c r="B296" s="15">
        <v>4.01</v>
      </c>
      <c r="C296" s="1" t="s">
        <v>3200</v>
      </c>
      <c r="D296" s="6">
        <v>1</v>
      </c>
    </row>
    <row r="297" spans="1:4" x14ac:dyDescent="0.35">
      <c r="A297" s="1">
        <v>4002472</v>
      </c>
      <c r="B297" s="15">
        <v>6.55</v>
      </c>
      <c r="C297" s="1" t="s">
        <v>3200</v>
      </c>
      <c r="D297" s="6">
        <v>1</v>
      </c>
    </row>
    <row r="298" spans="1:4" x14ac:dyDescent="0.35">
      <c r="A298" s="1">
        <v>4002475</v>
      </c>
      <c r="B298" s="15">
        <v>28</v>
      </c>
      <c r="C298" s="1" t="s">
        <v>3200</v>
      </c>
      <c r="D298" s="6">
        <v>1</v>
      </c>
    </row>
    <row r="299" spans="1:4" x14ac:dyDescent="0.35">
      <c r="A299" s="1">
        <v>4002477</v>
      </c>
      <c r="B299" s="15">
        <v>2.84</v>
      </c>
      <c r="C299" s="1" t="s">
        <v>3200</v>
      </c>
      <c r="D299" s="6">
        <v>1</v>
      </c>
    </row>
    <row r="300" spans="1:4" x14ac:dyDescent="0.35">
      <c r="A300" s="1">
        <v>4002481</v>
      </c>
      <c r="B300" s="15">
        <v>22.92</v>
      </c>
      <c r="C300" s="1" t="s">
        <v>3200</v>
      </c>
      <c r="D300" s="6">
        <v>1</v>
      </c>
    </row>
    <row r="301" spans="1:4" x14ac:dyDescent="0.35">
      <c r="A301" s="1">
        <v>4002482</v>
      </c>
      <c r="B301" s="15">
        <v>0.17050000000000001</v>
      </c>
      <c r="C301" s="1" t="s">
        <v>3200</v>
      </c>
      <c r="D301" s="6">
        <v>100</v>
      </c>
    </row>
    <row r="302" spans="1:4" x14ac:dyDescent="0.35">
      <c r="A302" s="1">
        <v>4002490</v>
      </c>
      <c r="B302" s="15">
        <v>13.5</v>
      </c>
      <c r="C302" s="1" t="s">
        <v>3200</v>
      </c>
      <c r="D302" s="6">
        <v>1</v>
      </c>
    </row>
    <row r="303" spans="1:4" x14ac:dyDescent="0.35">
      <c r="A303" s="1">
        <v>4002491</v>
      </c>
      <c r="B303" s="15">
        <v>4.1900000000000004</v>
      </c>
      <c r="C303" s="1" t="s">
        <v>3200</v>
      </c>
      <c r="D303" s="6">
        <v>1</v>
      </c>
    </row>
    <row r="304" spans="1:4" x14ac:dyDescent="0.35">
      <c r="A304" s="1">
        <v>4002495</v>
      </c>
      <c r="B304" s="15">
        <v>0.88080000000000003</v>
      </c>
      <c r="C304" s="1" t="s">
        <v>3200</v>
      </c>
      <c r="D304" s="6">
        <v>100</v>
      </c>
    </row>
    <row r="305" spans="1:4" x14ac:dyDescent="0.35">
      <c r="A305" s="1">
        <v>4002545</v>
      </c>
      <c r="B305" s="15">
        <v>2.02</v>
      </c>
      <c r="C305" s="1" t="s">
        <v>3200</v>
      </c>
      <c r="D305" s="6">
        <v>1</v>
      </c>
    </row>
    <row r="306" spans="1:4" x14ac:dyDescent="0.35">
      <c r="A306" s="1">
        <v>4002546</v>
      </c>
      <c r="B306" s="15">
        <v>1.48</v>
      </c>
      <c r="C306" s="1" t="s">
        <v>3200</v>
      </c>
      <c r="D306" s="6">
        <v>1</v>
      </c>
    </row>
    <row r="307" spans="1:4" x14ac:dyDescent="0.35">
      <c r="A307" s="1">
        <v>4002621</v>
      </c>
      <c r="B307" s="15">
        <v>130</v>
      </c>
      <c r="C307" s="1" t="s">
        <v>3200</v>
      </c>
      <c r="D307" s="6">
        <v>1</v>
      </c>
    </row>
    <row r="308" spans="1:4" x14ac:dyDescent="0.35">
      <c r="A308" s="1">
        <v>4002667</v>
      </c>
      <c r="B308" s="15">
        <v>9.5</v>
      </c>
      <c r="C308" s="1" t="s">
        <v>3200</v>
      </c>
      <c r="D308" s="6">
        <v>1</v>
      </c>
    </row>
    <row r="309" spans="1:4" x14ac:dyDescent="0.35">
      <c r="A309" s="1">
        <v>4002675</v>
      </c>
      <c r="B309" s="15">
        <v>16.23</v>
      </c>
      <c r="C309" s="1" t="s">
        <v>3200</v>
      </c>
      <c r="D309" s="6">
        <v>1</v>
      </c>
    </row>
    <row r="310" spans="1:4" x14ac:dyDescent="0.35">
      <c r="A310" s="1">
        <v>4002677</v>
      </c>
      <c r="B310" s="15">
        <v>24.68</v>
      </c>
      <c r="C310" s="1" t="s">
        <v>3200</v>
      </c>
      <c r="D310" s="6">
        <v>1</v>
      </c>
    </row>
    <row r="311" spans="1:4" x14ac:dyDescent="0.35">
      <c r="A311" s="1">
        <v>4002679</v>
      </c>
      <c r="B311" s="15">
        <v>20.2</v>
      </c>
      <c r="C311" s="1" t="s">
        <v>3200</v>
      </c>
      <c r="D311" s="6">
        <v>1</v>
      </c>
    </row>
    <row r="312" spans="1:4" x14ac:dyDescent="0.35">
      <c r="A312" s="1">
        <v>4002682</v>
      </c>
      <c r="B312" s="15">
        <v>2.8</v>
      </c>
      <c r="C312" s="1" t="s">
        <v>3200</v>
      </c>
      <c r="D312" s="6">
        <v>1</v>
      </c>
    </row>
    <row r="313" spans="1:4" x14ac:dyDescent="0.35">
      <c r="A313" s="1">
        <v>4002684</v>
      </c>
      <c r="B313" s="15">
        <v>77.489999999999995</v>
      </c>
      <c r="C313" s="1" t="s">
        <v>3200</v>
      </c>
      <c r="D313" s="6">
        <v>1</v>
      </c>
    </row>
    <row r="314" spans="1:4" x14ac:dyDescent="0.35">
      <c r="A314" s="1">
        <v>4002685</v>
      </c>
      <c r="B314" s="15">
        <v>25.09</v>
      </c>
      <c r="C314" s="1" t="s">
        <v>3200</v>
      </c>
      <c r="D314" s="6">
        <v>1</v>
      </c>
    </row>
    <row r="315" spans="1:4" x14ac:dyDescent="0.35">
      <c r="A315" s="1">
        <v>4002686</v>
      </c>
      <c r="B315" s="15">
        <v>155.13</v>
      </c>
      <c r="C315" s="1" t="s">
        <v>3200</v>
      </c>
      <c r="D315" s="6">
        <v>1</v>
      </c>
    </row>
    <row r="316" spans="1:4" x14ac:dyDescent="0.35">
      <c r="A316" s="1">
        <v>4002688</v>
      </c>
      <c r="B316" s="15">
        <v>84.86</v>
      </c>
      <c r="C316" s="1" t="s">
        <v>3200</v>
      </c>
      <c r="D316" s="6">
        <v>1</v>
      </c>
    </row>
    <row r="317" spans="1:4" x14ac:dyDescent="0.35">
      <c r="A317" s="1">
        <v>4002709</v>
      </c>
      <c r="B317" s="15">
        <v>8.08</v>
      </c>
      <c r="C317" s="1" t="s">
        <v>3200</v>
      </c>
      <c r="D317" s="6">
        <v>1</v>
      </c>
    </row>
    <row r="318" spans="1:4" x14ac:dyDescent="0.35">
      <c r="A318" s="1">
        <v>4002737</v>
      </c>
      <c r="B318" s="15">
        <v>164.7</v>
      </c>
      <c r="C318" s="1" t="s">
        <v>3200</v>
      </c>
      <c r="D318" s="6">
        <v>1</v>
      </c>
    </row>
    <row r="319" spans="1:4" x14ac:dyDescent="0.35">
      <c r="A319" s="1">
        <v>4002738</v>
      </c>
      <c r="B319" s="15">
        <v>170.23</v>
      </c>
      <c r="C319" s="1" t="s">
        <v>3200</v>
      </c>
      <c r="D319" s="6">
        <v>1</v>
      </c>
    </row>
    <row r="320" spans="1:4" x14ac:dyDescent="0.35">
      <c r="A320" s="1">
        <v>4002739</v>
      </c>
      <c r="B320" s="15">
        <v>163.24</v>
      </c>
      <c r="C320" s="1" t="s">
        <v>3200</v>
      </c>
      <c r="D320" s="6">
        <v>1</v>
      </c>
    </row>
    <row r="321" spans="1:4" x14ac:dyDescent="0.35">
      <c r="A321" s="1">
        <v>4002740</v>
      </c>
      <c r="B321" s="15">
        <v>115.49</v>
      </c>
      <c r="C321" s="1" t="s">
        <v>3200</v>
      </c>
      <c r="D321" s="6">
        <v>1</v>
      </c>
    </row>
    <row r="322" spans="1:4" x14ac:dyDescent="0.35">
      <c r="A322" s="1">
        <v>4002741</v>
      </c>
      <c r="B322" s="15">
        <v>115.76</v>
      </c>
      <c r="C322" s="1" t="s">
        <v>3200</v>
      </c>
      <c r="D322" s="6">
        <v>1</v>
      </c>
    </row>
    <row r="323" spans="1:4" x14ac:dyDescent="0.35">
      <c r="A323" s="1">
        <v>4002742</v>
      </c>
      <c r="B323" s="15">
        <v>441.14</v>
      </c>
      <c r="C323" s="1" t="s">
        <v>3200</v>
      </c>
      <c r="D323" s="6">
        <v>1</v>
      </c>
    </row>
    <row r="324" spans="1:4" x14ac:dyDescent="0.35">
      <c r="A324" s="1">
        <v>4002743</v>
      </c>
      <c r="B324" s="15">
        <v>243.92</v>
      </c>
      <c r="C324" s="1" t="s">
        <v>3200</v>
      </c>
      <c r="D324" s="6">
        <v>1</v>
      </c>
    </row>
    <row r="325" spans="1:4" x14ac:dyDescent="0.35">
      <c r="A325" s="1">
        <v>4002745</v>
      </c>
      <c r="B325" s="15">
        <v>239.36</v>
      </c>
      <c r="C325" s="1" t="s">
        <v>3200</v>
      </c>
      <c r="D325" s="6">
        <v>1</v>
      </c>
    </row>
    <row r="326" spans="1:4" x14ac:dyDescent="0.35">
      <c r="A326" s="1">
        <v>4002809</v>
      </c>
      <c r="B326" s="15">
        <v>0.313</v>
      </c>
      <c r="C326" s="1" t="s">
        <v>3200</v>
      </c>
      <c r="D326" s="6">
        <v>100</v>
      </c>
    </row>
    <row r="327" spans="1:4" x14ac:dyDescent="0.35">
      <c r="A327" s="1">
        <v>4002847</v>
      </c>
      <c r="B327" s="15">
        <v>4.93</v>
      </c>
      <c r="C327" s="1" t="s">
        <v>3200</v>
      </c>
      <c r="D327" s="6">
        <v>1</v>
      </c>
    </row>
    <row r="328" spans="1:4" x14ac:dyDescent="0.35">
      <c r="A328" s="1">
        <v>4002874</v>
      </c>
      <c r="B328" s="15">
        <v>9.9700000000000006</v>
      </c>
      <c r="C328" s="1" t="s">
        <v>3200</v>
      </c>
      <c r="D328" s="6">
        <v>1</v>
      </c>
    </row>
    <row r="329" spans="1:4" x14ac:dyDescent="0.35">
      <c r="A329" s="1">
        <v>4002898</v>
      </c>
      <c r="B329" s="15">
        <v>217.91</v>
      </c>
      <c r="C329" s="1" t="s">
        <v>3200</v>
      </c>
      <c r="D329" s="6">
        <v>1</v>
      </c>
    </row>
    <row r="330" spans="1:4" x14ac:dyDescent="0.35">
      <c r="A330" s="1">
        <v>4002899</v>
      </c>
      <c r="B330" s="15">
        <v>631.89</v>
      </c>
      <c r="C330" s="1" t="s">
        <v>3200</v>
      </c>
      <c r="D330" s="6">
        <v>1</v>
      </c>
    </row>
    <row r="331" spans="1:4" x14ac:dyDescent="0.35">
      <c r="A331" s="1">
        <v>4002985</v>
      </c>
      <c r="B331" s="15">
        <v>0.01</v>
      </c>
      <c r="C331" s="1" t="s">
        <v>3201</v>
      </c>
      <c r="D331" s="6">
        <v>1</v>
      </c>
    </row>
    <row r="332" spans="1:4" x14ac:dyDescent="0.35">
      <c r="A332" s="1">
        <v>4003002</v>
      </c>
      <c r="B332" s="15">
        <v>246.23</v>
      </c>
      <c r="C332" s="1" t="s">
        <v>3200</v>
      </c>
      <c r="D332" s="6">
        <v>1</v>
      </c>
    </row>
    <row r="333" spans="1:4" x14ac:dyDescent="0.35">
      <c r="A333" s="1">
        <v>4003004</v>
      </c>
      <c r="B333" s="15">
        <v>327.97</v>
      </c>
      <c r="C333" s="1" t="s">
        <v>3200</v>
      </c>
      <c r="D333" s="6">
        <v>1</v>
      </c>
    </row>
    <row r="334" spans="1:4" x14ac:dyDescent="0.35">
      <c r="A334" s="1">
        <v>4003005</v>
      </c>
      <c r="B334" s="15">
        <v>376.59</v>
      </c>
      <c r="C334" s="1" t="s">
        <v>3200</v>
      </c>
      <c r="D334" s="6">
        <v>1</v>
      </c>
    </row>
    <row r="335" spans="1:4" x14ac:dyDescent="0.35">
      <c r="A335" s="1">
        <v>4003006</v>
      </c>
      <c r="B335" s="15">
        <v>417.09</v>
      </c>
      <c r="C335" s="1" t="s">
        <v>3200</v>
      </c>
      <c r="D335" s="6">
        <v>1</v>
      </c>
    </row>
    <row r="336" spans="1:4" x14ac:dyDescent="0.35">
      <c r="A336" s="1">
        <v>4003008</v>
      </c>
      <c r="B336" s="15">
        <v>102.6</v>
      </c>
      <c r="C336" s="1" t="s">
        <v>3200</v>
      </c>
      <c r="D336" s="6">
        <v>1</v>
      </c>
    </row>
    <row r="337" spans="1:4" x14ac:dyDescent="0.35">
      <c r="A337" s="1">
        <v>4003208</v>
      </c>
      <c r="B337" s="15">
        <v>59.06</v>
      </c>
      <c r="C337" s="1" t="s">
        <v>3200</v>
      </c>
      <c r="D337" s="6">
        <v>1</v>
      </c>
    </row>
    <row r="338" spans="1:4" x14ac:dyDescent="0.35">
      <c r="A338" s="1">
        <v>4003238</v>
      </c>
      <c r="B338" s="15">
        <v>95.12</v>
      </c>
      <c r="C338" s="1" t="s">
        <v>3200</v>
      </c>
      <c r="D338" s="6">
        <v>1</v>
      </c>
    </row>
    <row r="339" spans="1:4" x14ac:dyDescent="0.35">
      <c r="A339" s="1">
        <v>4003241</v>
      </c>
      <c r="B339" s="15">
        <v>181.27</v>
      </c>
      <c r="C339" s="1" t="s">
        <v>3200</v>
      </c>
      <c r="D339" s="6">
        <v>1</v>
      </c>
    </row>
    <row r="340" spans="1:4" x14ac:dyDescent="0.35">
      <c r="A340" s="1">
        <v>4003273</v>
      </c>
      <c r="B340" s="15">
        <v>33</v>
      </c>
      <c r="C340" s="1" t="s">
        <v>3200</v>
      </c>
      <c r="D340" s="6">
        <v>1</v>
      </c>
    </row>
    <row r="341" spans="1:4" x14ac:dyDescent="0.35">
      <c r="A341" s="1">
        <v>4003308</v>
      </c>
      <c r="B341" s="15">
        <v>1.0147999999999999</v>
      </c>
      <c r="C341" s="1" t="s">
        <v>3200</v>
      </c>
      <c r="D341" s="6">
        <v>100</v>
      </c>
    </row>
    <row r="342" spans="1:4" x14ac:dyDescent="0.35">
      <c r="A342" s="1">
        <v>4003346</v>
      </c>
      <c r="B342" s="15">
        <v>155</v>
      </c>
      <c r="C342" s="1" t="s">
        <v>3200</v>
      </c>
      <c r="D342" s="6">
        <v>1</v>
      </c>
    </row>
    <row r="343" spans="1:4" x14ac:dyDescent="0.35">
      <c r="A343" s="1">
        <v>4003357</v>
      </c>
      <c r="B343" s="15">
        <v>0.01</v>
      </c>
      <c r="C343" s="1" t="s">
        <v>3201</v>
      </c>
      <c r="D343" s="6">
        <v>1</v>
      </c>
    </row>
    <row r="344" spans="1:4" x14ac:dyDescent="0.35">
      <c r="A344" s="1">
        <v>4003416</v>
      </c>
      <c r="B344" s="15">
        <v>56.31</v>
      </c>
      <c r="C344" s="1" t="s">
        <v>3200</v>
      </c>
      <c r="D344" s="6">
        <v>1</v>
      </c>
    </row>
    <row r="345" spans="1:4" x14ac:dyDescent="0.35">
      <c r="A345" s="1">
        <v>4003529</v>
      </c>
      <c r="B345" s="15">
        <v>0.3004</v>
      </c>
      <c r="C345" s="1" t="s">
        <v>3200</v>
      </c>
      <c r="D345" s="6">
        <v>100</v>
      </c>
    </row>
    <row r="346" spans="1:4" x14ac:dyDescent="0.35">
      <c r="A346" s="1">
        <v>4003611</v>
      </c>
      <c r="B346" s="15">
        <v>1.0447</v>
      </c>
      <c r="C346" s="1" t="s">
        <v>3200</v>
      </c>
      <c r="D346" s="6">
        <v>100</v>
      </c>
    </row>
    <row r="347" spans="1:4" x14ac:dyDescent="0.35">
      <c r="A347" s="1">
        <v>4003836</v>
      </c>
      <c r="B347" s="15">
        <v>282</v>
      </c>
      <c r="C347" s="1" t="s">
        <v>3200</v>
      </c>
      <c r="D347" s="6">
        <v>1</v>
      </c>
    </row>
    <row r="348" spans="1:4" x14ac:dyDescent="0.35">
      <c r="A348" s="1">
        <v>4003844</v>
      </c>
      <c r="B348" s="15">
        <v>66.36</v>
      </c>
      <c r="C348" s="1" t="s">
        <v>3200</v>
      </c>
      <c r="D348" s="6">
        <v>1</v>
      </c>
    </row>
    <row r="349" spans="1:4" x14ac:dyDescent="0.35">
      <c r="A349" s="1">
        <v>4003854</v>
      </c>
      <c r="B349" s="15">
        <v>170.01</v>
      </c>
      <c r="C349" s="1" t="s">
        <v>3200</v>
      </c>
      <c r="D349" s="6">
        <v>1</v>
      </c>
    </row>
    <row r="350" spans="1:4" x14ac:dyDescent="0.35">
      <c r="A350" s="1">
        <v>4003855</v>
      </c>
      <c r="B350" s="15">
        <v>242.99</v>
      </c>
      <c r="C350" s="1" t="s">
        <v>3200</v>
      </c>
      <c r="D350" s="6">
        <v>1</v>
      </c>
    </row>
    <row r="351" spans="1:4" x14ac:dyDescent="0.35">
      <c r="A351" s="1">
        <v>4003857</v>
      </c>
      <c r="B351" s="15">
        <v>4.07</v>
      </c>
      <c r="C351" s="1" t="s">
        <v>3200</v>
      </c>
      <c r="D351" s="6">
        <v>1</v>
      </c>
    </row>
    <row r="352" spans="1:4" x14ac:dyDescent="0.35">
      <c r="A352" s="1">
        <v>4003858</v>
      </c>
      <c r="B352" s="15">
        <v>4.08</v>
      </c>
      <c r="C352" s="1" t="s">
        <v>3200</v>
      </c>
      <c r="D352" s="6">
        <v>1</v>
      </c>
    </row>
    <row r="353" spans="1:5" x14ac:dyDescent="0.35">
      <c r="A353" s="1">
        <v>4003859</v>
      </c>
      <c r="B353" s="15">
        <v>134.41999999999999</v>
      </c>
      <c r="C353" s="1" t="s">
        <v>3200</v>
      </c>
      <c r="D353" s="6">
        <v>1</v>
      </c>
    </row>
    <row r="354" spans="1:5" x14ac:dyDescent="0.35">
      <c r="A354" s="1">
        <v>4003860</v>
      </c>
      <c r="B354" s="15">
        <v>122.58</v>
      </c>
      <c r="C354" s="1" t="s">
        <v>3200</v>
      </c>
      <c r="D354" s="6">
        <v>1</v>
      </c>
    </row>
    <row r="355" spans="1:5" x14ac:dyDescent="0.35">
      <c r="A355" s="1">
        <v>4003862</v>
      </c>
      <c r="B355" s="15">
        <v>137.24</v>
      </c>
      <c r="C355" s="1" t="s">
        <v>3200</v>
      </c>
      <c r="D355" s="6">
        <v>1</v>
      </c>
    </row>
    <row r="356" spans="1:5" x14ac:dyDescent="0.35">
      <c r="A356" s="1">
        <v>4003864</v>
      </c>
      <c r="B356" s="15">
        <v>9.02</v>
      </c>
      <c r="C356" s="1" t="s">
        <v>3200</v>
      </c>
      <c r="D356" s="6">
        <v>1</v>
      </c>
    </row>
    <row r="357" spans="1:5" x14ac:dyDescent="0.35">
      <c r="A357" s="1">
        <v>4003887</v>
      </c>
      <c r="B357" s="15">
        <v>0.11840000000000001</v>
      </c>
      <c r="C357" s="1" t="s">
        <v>3200</v>
      </c>
      <c r="D357" s="6">
        <v>100</v>
      </c>
    </row>
    <row r="358" spans="1:5" x14ac:dyDescent="0.35">
      <c r="A358" s="1">
        <v>4003889</v>
      </c>
      <c r="B358" s="15">
        <v>79</v>
      </c>
      <c r="C358" s="1" t="s">
        <v>3200</v>
      </c>
      <c r="D358" s="6">
        <v>1</v>
      </c>
    </row>
    <row r="359" spans="1:5" x14ac:dyDescent="0.35">
      <c r="A359" s="1">
        <v>4003906</v>
      </c>
      <c r="B359" s="15">
        <v>24.93</v>
      </c>
      <c r="C359" s="1" t="s">
        <v>3200</v>
      </c>
      <c r="D359" s="6">
        <v>1</v>
      </c>
    </row>
    <row r="360" spans="1:5" x14ac:dyDescent="0.35">
      <c r="A360" s="1">
        <v>4003911</v>
      </c>
      <c r="B360" s="15">
        <v>5.28</v>
      </c>
      <c r="C360" s="1" t="s">
        <v>3200</v>
      </c>
      <c r="D360" s="6">
        <v>1</v>
      </c>
    </row>
    <row r="361" spans="1:5" x14ac:dyDescent="0.35">
      <c r="A361" s="1">
        <v>4003915</v>
      </c>
      <c r="B361" s="15">
        <v>10.14</v>
      </c>
      <c r="C361" s="1" t="s">
        <v>3200</v>
      </c>
      <c r="D361" s="6">
        <v>1</v>
      </c>
    </row>
    <row r="362" spans="1:5" x14ac:dyDescent="0.35">
      <c r="A362" s="1">
        <v>4003916</v>
      </c>
      <c r="B362" s="15">
        <v>12.78</v>
      </c>
      <c r="C362" s="1" t="s">
        <v>3200</v>
      </c>
      <c r="D362" s="6">
        <v>1</v>
      </c>
    </row>
    <row r="363" spans="1:5" x14ac:dyDescent="0.35">
      <c r="A363" s="5">
        <v>4003922</v>
      </c>
      <c r="B363" s="22">
        <v>0</v>
      </c>
      <c r="C363" s="5" t="s">
        <v>3200</v>
      </c>
      <c r="D363" s="23">
        <v>1</v>
      </c>
      <c r="E363" s="5" t="s">
        <v>3202</v>
      </c>
    </row>
    <row r="364" spans="1:5" x14ac:dyDescent="0.35">
      <c r="A364" s="1">
        <v>4004010</v>
      </c>
      <c r="B364" s="15">
        <v>0.01</v>
      </c>
      <c r="C364" s="1" t="s">
        <v>3201</v>
      </c>
      <c r="D364" s="6">
        <v>1</v>
      </c>
    </row>
    <row r="365" spans="1:5" x14ac:dyDescent="0.35">
      <c r="A365" s="1">
        <v>4004015</v>
      </c>
      <c r="B365" s="15">
        <v>0.76129999999999998</v>
      </c>
      <c r="C365" s="1" t="s">
        <v>3200</v>
      </c>
      <c r="D365" s="6">
        <v>100</v>
      </c>
    </row>
    <row r="366" spans="1:5" x14ac:dyDescent="0.35">
      <c r="A366" s="1">
        <v>4004018</v>
      </c>
      <c r="B366" s="15">
        <v>0.01</v>
      </c>
      <c r="C366" s="1" t="s">
        <v>3201</v>
      </c>
      <c r="D366" s="6">
        <v>1</v>
      </c>
    </row>
    <row r="367" spans="1:5" x14ac:dyDescent="0.35">
      <c r="A367" s="1">
        <v>4004037</v>
      </c>
      <c r="B367" s="15">
        <v>31.21</v>
      </c>
      <c r="C367" s="1" t="s">
        <v>3200</v>
      </c>
      <c r="D367" s="6">
        <v>1</v>
      </c>
    </row>
    <row r="368" spans="1:5" x14ac:dyDescent="0.35">
      <c r="A368" s="1">
        <v>4004039</v>
      </c>
      <c r="B368" s="15">
        <v>3.07</v>
      </c>
      <c r="C368" s="1" t="s">
        <v>3200</v>
      </c>
      <c r="D368" s="6">
        <v>1</v>
      </c>
    </row>
    <row r="369" spans="1:4" x14ac:dyDescent="0.35">
      <c r="A369" s="1">
        <v>4004041</v>
      </c>
      <c r="B369" s="15">
        <v>7.2</v>
      </c>
      <c r="C369" s="1" t="s">
        <v>3200</v>
      </c>
      <c r="D369" s="6">
        <v>1</v>
      </c>
    </row>
    <row r="370" spans="1:4" x14ac:dyDescent="0.35">
      <c r="A370" s="1">
        <v>4004049</v>
      </c>
      <c r="B370" s="15">
        <v>1.2229000000000001</v>
      </c>
      <c r="C370" s="1" t="s">
        <v>3200</v>
      </c>
      <c r="D370" s="6">
        <v>100</v>
      </c>
    </row>
    <row r="371" spans="1:4" x14ac:dyDescent="0.35">
      <c r="A371" s="1">
        <v>4004054</v>
      </c>
      <c r="B371" s="15">
        <v>9.51</v>
      </c>
      <c r="C371" s="1" t="s">
        <v>3200</v>
      </c>
      <c r="D371" s="6">
        <v>1</v>
      </c>
    </row>
    <row r="372" spans="1:4" x14ac:dyDescent="0.35">
      <c r="A372" s="1">
        <v>4004067</v>
      </c>
      <c r="B372" s="15">
        <v>185</v>
      </c>
      <c r="C372" s="1" t="s">
        <v>3200</v>
      </c>
      <c r="D372" s="6">
        <v>1</v>
      </c>
    </row>
    <row r="373" spans="1:4" x14ac:dyDescent="0.35">
      <c r="A373" s="1">
        <v>4004068</v>
      </c>
      <c r="B373" s="15">
        <v>88</v>
      </c>
      <c r="C373" s="1" t="s">
        <v>3200</v>
      </c>
      <c r="D373" s="6">
        <v>1</v>
      </c>
    </row>
    <row r="374" spans="1:4" x14ac:dyDescent="0.35">
      <c r="A374" s="1">
        <v>4004070</v>
      </c>
      <c r="B374" s="15">
        <v>18.84</v>
      </c>
      <c r="C374" s="1" t="s">
        <v>3200</v>
      </c>
      <c r="D374" s="6">
        <v>1</v>
      </c>
    </row>
    <row r="375" spans="1:4" x14ac:dyDescent="0.35">
      <c r="A375" s="1">
        <v>4004071</v>
      </c>
      <c r="B375" s="15">
        <v>51.48</v>
      </c>
      <c r="C375" s="1" t="s">
        <v>3200</v>
      </c>
      <c r="D375" s="6">
        <v>1</v>
      </c>
    </row>
    <row r="376" spans="1:4" x14ac:dyDescent="0.35">
      <c r="A376" s="1">
        <v>4004074</v>
      </c>
      <c r="B376" s="15">
        <v>24.06</v>
      </c>
      <c r="C376" s="1" t="s">
        <v>3200</v>
      </c>
      <c r="D376" s="6">
        <v>1</v>
      </c>
    </row>
    <row r="377" spans="1:4" x14ac:dyDescent="0.35">
      <c r="A377" s="1">
        <v>4004098</v>
      </c>
      <c r="B377" s="15">
        <v>91</v>
      </c>
      <c r="C377" s="1" t="s">
        <v>3200</v>
      </c>
      <c r="D377" s="6">
        <v>1</v>
      </c>
    </row>
    <row r="378" spans="1:4" x14ac:dyDescent="0.35">
      <c r="A378" s="1">
        <v>4004107</v>
      </c>
      <c r="B378" s="15">
        <v>16.3</v>
      </c>
      <c r="C378" s="1" t="s">
        <v>3200</v>
      </c>
      <c r="D378" s="6">
        <v>1</v>
      </c>
    </row>
    <row r="379" spans="1:4" x14ac:dyDescent="0.35">
      <c r="A379" s="1">
        <v>4004110</v>
      </c>
      <c r="B379" s="15">
        <v>20.7</v>
      </c>
      <c r="C379" s="1" t="s">
        <v>3200</v>
      </c>
      <c r="D379" s="6">
        <v>1</v>
      </c>
    </row>
    <row r="380" spans="1:4" x14ac:dyDescent="0.35">
      <c r="A380" s="1">
        <v>4004111</v>
      </c>
      <c r="B380" s="15">
        <v>36</v>
      </c>
      <c r="C380" s="1" t="s">
        <v>3200</v>
      </c>
      <c r="D380" s="6">
        <v>1</v>
      </c>
    </row>
    <row r="381" spans="1:4" x14ac:dyDescent="0.35">
      <c r="A381" s="1">
        <v>4004114</v>
      </c>
      <c r="B381" s="15">
        <v>10.53</v>
      </c>
      <c r="C381" s="1" t="s">
        <v>3200</v>
      </c>
      <c r="D381" s="6">
        <v>1</v>
      </c>
    </row>
    <row r="382" spans="1:4" x14ac:dyDescent="0.35">
      <c r="A382" s="1">
        <v>4004121</v>
      </c>
      <c r="B382" s="15">
        <v>20.62</v>
      </c>
      <c r="C382" s="1" t="s">
        <v>3200</v>
      </c>
      <c r="D382" s="6">
        <v>1</v>
      </c>
    </row>
    <row r="383" spans="1:4" x14ac:dyDescent="0.35">
      <c r="A383" s="1">
        <v>4004123</v>
      </c>
      <c r="B383" s="15">
        <v>5.41</v>
      </c>
      <c r="C383" s="1" t="s">
        <v>3200</v>
      </c>
      <c r="D383" s="6">
        <v>1</v>
      </c>
    </row>
    <row r="384" spans="1:4" x14ac:dyDescent="0.35">
      <c r="A384" s="1">
        <v>4004124</v>
      </c>
      <c r="B384" s="15">
        <v>6.94</v>
      </c>
      <c r="C384" s="1" t="s">
        <v>3200</v>
      </c>
      <c r="D384" s="6">
        <v>1</v>
      </c>
    </row>
    <row r="385" spans="1:4" x14ac:dyDescent="0.35">
      <c r="A385" s="1">
        <v>4004137</v>
      </c>
      <c r="B385" s="15">
        <v>14.7</v>
      </c>
      <c r="C385" s="1" t="s">
        <v>3200</v>
      </c>
      <c r="D385" s="6">
        <v>1</v>
      </c>
    </row>
    <row r="386" spans="1:4" x14ac:dyDescent="0.35">
      <c r="A386" s="1">
        <v>4004147</v>
      </c>
      <c r="B386" s="15">
        <v>1.0831</v>
      </c>
      <c r="C386" s="1" t="s">
        <v>3200</v>
      </c>
      <c r="D386" s="6">
        <v>100</v>
      </c>
    </row>
    <row r="387" spans="1:4" x14ac:dyDescent="0.35">
      <c r="A387" s="1">
        <v>4004149</v>
      </c>
      <c r="B387" s="15">
        <v>0.01</v>
      </c>
      <c r="C387" s="1" t="s">
        <v>3200</v>
      </c>
      <c r="D387" s="6">
        <v>1</v>
      </c>
    </row>
    <row r="388" spans="1:4" x14ac:dyDescent="0.35">
      <c r="A388" s="1">
        <v>4004150</v>
      </c>
      <c r="B388" s="15">
        <v>57.02</v>
      </c>
      <c r="C388" s="1" t="s">
        <v>3200</v>
      </c>
      <c r="D388" s="6">
        <v>1</v>
      </c>
    </row>
    <row r="389" spans="1:4" x14ac:dyDescent="0.35">
      <c r="A389" s="1">
        <v>4004152</v>
      </c>
      <c r="B389" s="15">
        <v>0.01</v>
      </c>
      <c r="C389" s="1" t="s">
        <v>3201</v>
      </c>
      <c r="D389" s="6">
        <v>1</v>
      </c>
    </row>
    <row r="390" spans="1:4" x14ac:dyDescent="0.35">
      <c r="A390" s="1">
        <v>4004157</v>
      </c>
      <c r="B390" s="15">
        <v>265.97000000000003</v>
      </c>
      <c r="C390" s="1" t="s">
        <v>3200</v>
      </c>
      <c r="D390" s="6">
        <v>1</v>
      </c>
    </row>
    <row r="391" spans="1:4" x14ac:dyDescent="0.35">
      <c r="A391" s="1">
        <v>4004166</v>
      </c>
      <c r="B391" s="15">
        <v>15.83</v>
      </c>
      <c r="C391" s="1" t="s">
        <v>3200</v>
      </c>
      <c r="D391" s="6">
        <v>1</v>
      </c>
    </row>
    <row r="392" spans="1:4" x14ac:dyDescent="0.35">
      <c r="A392" s="1">
        <v>4004168</v>
      </c>
      <c r="B392" s="15">
        <v>122.37</v>
      </c>
      <c r="C392" s="1" t="s">
        <v>3200</v>
      </c>
      <c r="D392" s="6">
        <v>1</v>
      </c>
    </row>
    <row r="393" spans="1:4" x14ac:dyDescent="0.35">
      <c r="A393" s="1">
        <v>4004171</v>
      </c>
      <c r="B393" s="15">
        <v>5.73</v>
      </c>
      <c r="C393" s="1" t="s">
        <v>3200</v>
      </c>
      <c r="D393" s="6">
        <v>1</v>
      </c>
    </row>
    <row r="394" spans="1:4" x14ac:dyDescent="0.35">
      <c r="A394" s="1">
        <v>4004200</v>
      </c>
      <c r="B394" s="15">
        <v>0.64839999999999998</v>
      </c>
      <c r="C394" s="1" t="s">
        <v>3200</v>
      </c>
      <c r="D394" s="6">
        <v>100</v>
      </c>
    </row>
    <row r="395" spans="1:4" x14ac:dyDescent="0.35">
      <c r="A395" s="1">
        <v>4004201</v>
      </c>
      <c r="B395" s="15">
        <v>0.8347</v>
      </c>
      <c r="C395" s="1" t="s">
        <v>3200</v>
      </c>
      <c r="D395" s="6">
        <v>100</v>
      </c>
    </row>
    <row r="396" spans="1:4" x14ac:dyDescent="0.35">
      <c r="A396" s="1">
        <v>4004203</v>
      </c>
      <c r="B396" s="15">
        <v>0.54810000000000003</v>
      </c>
      <c r="C396" s="1" t="s">
        <v>3200</v>
      </c>
      <c r="D396" s="6">
        <v>100</v>
      </c>
    </row>
    <row r="397" spans="1:4" x14ac:dyDescent="0.35">
      <c r="A397" s="1">
        <v>4004205</v>
      </c>
      <c r="B397" s="15">
        <v>3.56</v>
      </c>
      <c r="C397" s="1" t="s">
        <v>3200</v>
      </c>
      <c r="D397" s="6">
        <v>1</v>
      </c>
    </row>
    <row r="398" spans="1:4" x14ac:dyDescent="0.35">
      <c r="A398" s="1">
        <v>4004236</v>
      </c>
      <c r="B398" s="15">
        <v>11.35</v>
      </c>
      <c r="C398" s="1" t="s">
        <v>3200</v>
      </c>
      <c r="D398" s="6">
        <v>1</v>
      </c>
    </row>
    <row r="399" spans="1:4" x14ac:dyDescent="0.35">
      <c r="A399" s="1">
        <v>4004237</v>
      </c>
      <c r="B399" s="15">
        <v>1.0406</v>
      </c>
      <c r="C399" s="1" t="s">
        <v>3200</v>
      </c>
      <c r="D399" s="6">
        <v>100</v>
      </c>
    </row>
    <row r="400" spans="1:4" x14ac:dyDescent="0.35">
      <c r="A400" s="1">
        <v>4004238</v>
      </c>
      <c r="B400" s="15">
        <v>16.579999999999998</v>
      </c>
      <c r="C400" s="1" t="s">
        <v>3200</v>
      </c>
      <c r="D400" s="6">
        <v>1</v>
      </c>
    </row>
    <row r="401" spans="1:4" x14ac:dyDescent="0.35">
      <c r="A401" s="1">
        <v>4004240</v>
      </c>
      <c r="B401" s="15">
        <v>1.03</v>
      </c>
      <c r="C401" s="1" t="s">
        <v>3200</v>
      </c>
      <c r="D401" s="6">
        <v>1</v>
      </c>
    </row>
    <row r="402" spans="1:4" x14ac:dyDescent="0.35">
      <c r="A402" s="1">
        <v>4004241</v>
      </c>
      <c r="B402" s="15">
        <v>1.83</v>
      </c>
      <c r="C402" s="1" t="s">
        <v>3200</v>
      </c>
      <c r="D402" s="6">
        <v>1</v>
      </c>
    </row>
    <row r="403" spans="1:4" x14ac:dyDescent="0.35">
      <c r="A403" s="1">
        <v>4004246</v>
      </c>
      <c r="B403" s="15">
        <v>11.11</v>
      </c>
      <c r="C403" s="1" t="s">
        <v>3200</v>
      </c>
      <c r="D403" s="6">
        <v>1</v>
      </c>
    </row>
    <row r="404" spans="1:4" x14ac:dyDescent="0.35">
      <c r="A404" s="1">
        <v>4004247</v>
      </c>
      <c r="B404" s="15">
        <v>8</v>
      </c>
      <c r="C404" s="1" t="s">
        <v>3200</v>
      </c>
      <c r="D404" s="6">
        <v>1</v>
      </c>
    </row>
    <row r="405" spans="1:4" x14ac:dyDescent="0.35">
      <c r="A405" s="1">
        <v>4004248</v>
      </c>
      <c r="B405" s="15">
        <v>8</v>
      </c>
      <c r="C405" s="1" t="s">
        <v>3200</v>
      </c>
      <c r="D405" s="6">
        <v>1</v>
      </c>
    </row>
    <row r="406" spans="1:4" x14ac:dyDescent="0.35">
      <c r="A406" s="1">
        <v>4004250</v>
      </c>
      <c r="B406" s="15">
        <v>35.53</v>
      </c>
      <c r="C406" s="1" t="s">
        <v>3200</v>
      </c>
      <c r="D406" s="6">
        <v>1</v>
      </c>
    </row>
    <row r="407" spans="1:4" x14ac:dyDescent="0.35">
      <c r="A407" s="1">
        <v>4004259</v>
      </c>
      <c r="B407" s="15">
        <v>16.54</v>
      </c>
      <c r="C407" s="1" t="s">
        <v>3200</v>
      </c>
      <c r="D407" s="6">
        <v>1</v>
      </c>
    </row>
    <row r="408" spans="1:4" x14ac:dyDescent="0.35">
      <c r="A408" s="1">
        <v>4004262</v>
      </c>
      <c r="B408" s="15">
        <v>45.74</v>
      </c>
      <c r="C408" s="1" t="s">
        <v>3200</v>
      </c>
      <c r="D408" s="6">
        <v>1</v>
      </c>
    </row>
    <row r="409" spans="1:4" x14ac:dyDescent="0.35">
      <c r="A409" s="1">
        <v>4004269</v>
      </c>
      <c r="B409" s="15">
        <v>1.1048</v>
      </c>
      <c r="C409" s="1" t="s">
        <v>3200</v>
      </c>
      <c r="D409" s="6">
        <v>100</v>
      </c>
    </row>
    <row r="410" spans="1:4" x14ac:dyDescent="0.35">
      <c r="A410" s="1">
        <v>4004272</v>
      </c>
      <c r="B410" s="15">
        <v>0.01</v>
      </c>
      <c r="C410" s="1" t="s">
        <v>3201</v>
      </c>
      <c r="D410" s="6">
        <v>1</v>
      </c>
    </row>
    <row r="411" spans="1:4" x14ac:dyDescent="0.35">
      <c r="A411" s="1">
        <v>4004276</v>
      </c>
      <c r="B411" s="15">
        <v>10.59</v>
      </c>
      <c r="C411" s="1" t="s">
        <v>3200</v>
      </c>
      <c r="D411" s="6">
        <v>1</v>
      </c>
    </row>
    <row r="412" spans="1:4" x14ac:dyDescent="0.35">
      <c r="A412" s="1">
        <v>4004280</v>
      </c>
      <c r="B412" s="15">
        <v>4.3</v>
      </c>
      <c r="C412" s="1" t="s">
        <v>3200</v>
      </c>
      <c r="D412" s="6">
        <v>1</v>
      </c>
    </row>
    <row r="413" spans="1:4" x14ac:dyDescent="0.35">
      <c r="A413" s="1">
        <v>4004281</v>
      </c>
      <c r="B413" s="15">
        <v>6.56</v>
      </c>
      <c r="C413" s="1" t="s">
        <v>3200</v>
      </c>
      <c r="D413" s="6">
        <v>1</v>
      </c>
    </row>
    <row r="414" spans="1:4" x14ac:dyDescent="0.35">
      <c r="A414" s="1">
        <v>4004319</v>
      </c>
      <c r="B414" s="15">
        <v>31.78</v>
      </c>
      <c r="C414" s="1" t="s">
        <v>3200</v>
      </c>
      <c r="D414" s="6">
        <v>1</v>
      </c>
    </row>
    <row r="415" spans="1:4" x14ac:dyDescent="0.35">
      <c r="A415" s="1">
        <v>4004351</v>
      </c>
      <c r="B415" s="15">
        <v>40.64</v>
      </c>
      <c r="C415" s="1" t="s">
        <v>3200</v>
      </c>
      <c r="D415" s="6">
        <v>1</v>
      </c>
    </row>
    <row r="416" spans="1:4" x14ac:dyDescent="0.35">
      <c r="A416" s="1">
        <v>4004352</v>
      </c>
      <c r="B416" s="15">
        <v>6.98</v>
      </c>
      <c r="C416" s="1" t="s">
        <v>3200</v>
      </c>
      <c r="D416" s="6">
        <v>1</v>
      </c>
    </row>
    <row r="417" spans="1:4" x14ac:dyDescent="0.35">
      <c r="A417" s="1">
        <v>4004353</v>
      </c>
      <c r="B417" s="15">
        <v>18.32</v>
      </c>
      <c r="C417" s="1" t="s">
        <v>3200</v>
      </c>
      <c r="D417" s="6">
        <v>1</v>
      </c>
    </row>
    <row r="418" spans="1:4" x14ac:dyDescent="0.35">
      <c r="A418" s="1">
        <v>4004354</v>
      </c>
      <c r="B418" s="15">
        <v>18.18</v>
      </c>
      <c r="C418" s="1" t="s">
        <v>3200</v>
      </c>
      <c r="D418" s="6">
        <v>1</v>
      </c>
    </row>
    <row r="419" spans="1:4" x14ac:dyDescent="0.35">
      <c r="A419" s="1">
        <v>4004355</v>
      </c>
      <c r="B419" s="15">
        <v>18.12</v>
      </c>
      <c r="C419" s="1" t="s">
        <v>3200</v>
      </c>
      <c r="D419" s="6">
        <v>1</v>
      </c>
    </row>
    <row r="420" spans="1:4" x14ac:dyDescent="0.35">
      <c r="A420" s="1">
        <v>4004359</v>
      </c>
      <c r="B420" s="15">
        <v>26.8</v>
      </c>
      <c r="C420" s="1" t="s">
        <v>3200</v>
      </c>
      <c r="D420" s="6">
        <v>1</v>
      </c>
    </row>
    <row r="421" spans="1:4" x14ac:dyDescent="0.35">
      <c r="A421" s="1">
        <v>4004360</v>
      </c>
      <c r="B421" s="15">
        <v>7.75</v>
      </c>
      <c r="C421" s="1" t="s">
        <v>3200</v>
      </c>
      <c r="D421" s="6">
        <v>1</v>
      </c>
    </row>
    <row r="422" spans="1:4" x14ac:dyDescent="0.35">
      <c r="A422" s="1">
        <v>4004377</v>
      </c>
      <c r="B422" s="15">
        <v>25.12</v>
      </c>
      <c r="C422" s="1" t="s">
        <v>3200</v>
      </c>
      <c r="D422" s="6">
        <v>1</v>
      </c>
    </row>
    <row r="423" spans="1:4" x14ac:dyDescent="0.35">
      <c r="A423" s="1">
        <v>4004385</v>
      </c>
      <c r="B423" s="15">
        <v>4.76</v>
      </c>
      <c r="C423" s="1" t="s">
        <v>3200</v>
      </c>
      <c r="D423" s="6">
        <v>1</v>
      </c>
    </row>
    <row r="424" spans="1:4" x14ac:dyDescent="0.35">
      <c r="A424" s="1">
        <v>4004397</v>
      </c>
      <c r="B424" s="15">
        <v>11.45</v>
      </c>
      <c r="C424" s="1" t="s">
        <v>3200</v>
      </c>
      <c r="D424" s="6">
        <v>1</v>
      </c>
    </row>
    <row r="425" spans="1:4" x14ac:dyDescent="0.35">
      <c r="A425" s="1">
        <v>4004401</v>
      </c>
      <c r="B425" s="15">
        <v>56.37</v>
      </c>
      <c r="C425" s="1" t="s">
        <v>3200</v>
      </c>
      <c r="D425" s="6">
        <v>1</v>
      </c>
    </row>
    <row r="426" spans="1:4" x14ac:dyDescent="0.35">
      <c r="A426" s="1">
        <v>4004408</v>
      </c>
      <c r="B426" s="15">
        <v>17</v>
      </c>
      <c r="C426" s="1" t="s">
        <v>3200</v>
      </c>
      <c r="D426" s="6">
        <v>1</v>
      </c>
    </row>
    <row r="427" spans="1:4" x14ac:dyDescent="0.35">
      <c r="A427" s="1">
        <v>4004410</v>
      </c>
      <c r="B427" s="15">
        <v>22</v>
      </c>
      <c r="C427" s="1" t="s">
        <v>3200</v>
      </c>
      <c r="D427" s="6">
        <v>1</v>
      </c>
    </row>
    <row r="428" spans="1:4" x14ac:dyDescent="0.35">
      <c r="A428" s="1">
        <v>4004428</v>
      </c>
      <c r="B428" s="15">
        <v>0.01</v>
      </c>
      <c r="C428" s="1" t="s">
        <v>3200</v>
      </c>
      <c r="D428" s="6">
        <v>1</v>
      </c>
    </row>
    <row r="429" spans="1:4" x14ac:dyDescent="0.35">
      <c r="A429" s="1">
        <v>4004437</v>
      </c>
      <c r="B429" s="15">
        <v>27.91</v>
      </c>
      <c r="C429" s="1" t="s">
        <v>3200</v>
      </c>
      <c r="D429" s="6">
        <v>1</v>
      </c>
    </row>
    <row r="430" spans="1:4" x14ac:dyDescent="0.35">
      <c r="A430" s="1">
        <v>4004438</v>
      </c>
      <c r="B430" s="15">
        <v>28.06</v>
      </c>
      <c r="C430" s="1" t="s">
        <v>3200</v>
      </c>
      <c r="D430" s="6">
        <v>1</v>
      </c>
    </row>
    <row r="431" spans="1:4" x14ac:dyDescent="0.35">
      <c r="A431" s="1">
        <v>4004439</v>
      </c>
      <c r="B431" s="15">
        <v>27.53</v>
      </c>
      <c r="C431" s="1" t="s">
        <v>3200</v>
      </c>
      <c r="D431" s="6">
        <v>1</v>
      </c>
    </row>
    <row r="432" spans="1:4" x14ac:dyDescent="0.35">
      <c r="A432" s="1">
        <v>4004440</v>
      </c>
      <c r="B432" s="15">
        <v>22.16</v>
      </c>
      <c r="C432" s="1" t="s">
        <v>3200</v>
      </c>
      <c r="D432" s="6">
        <v>1</v>
      </c>
    </row>
    <row r="433" spans="1:4" x14ac:dyDescent="0.35">
      <c r="A433" s="1">
        <v>4004441</v>
      </c>
      <c r="B433" s="15">
        <v>23.68</v>
      </c>
      <c r="C433" s="1" t="s">
        <v>3200</v>
      </c>
      <c r="D433" s="6">
        <v>1</v>
      </c>
    </row>
    <row r="434" spans="1:4" x14ac:dyDescent="0.35">
      <c r="A434" s="1">
        <v>4004447</v>
      </c>
      <c r="B434" s="15">
        <v>0.80010000000000003</v>
      </c>
      <c r="C434" s="1" t="s">
        <v>3200</v>
      </c>
      <c r="D434" s="6">
        <v>100</v>
      </c>
    </row>
    <row r="435" spans="1:4" x14ac:dyDescent="0.35">
      <c r="A435" s="1">
        <v>4004450</v>
      </c>
      <c r="B435" s="15">
        <v>7</v>
      </c>
      <c r="C435" s="1" t="s">
        <v>3200</v>
      </c>
      <c r="D435" s="6">
        <v>1</v>
      </c>
    </row>
    <row r="436" spans="1:4" x14ac:dyDescent="0.35">
      <c r="A436" s="1">
        <v>4004451</v>
      </c>
      <c r="B436" s="15">
        <v>22.02</v>
      </c>
      <c r="C436" s="1" t="s">
        <v>3200</v>
      </c>
      <c r="D436" s="6">
        <v>1</v>
      </c>
    </row>
    <row r="437" spans="1:4" x14ac:dyDescent="0.35">
      <c r="A437" s="1">
        <v>4004453</v>
      </c>
      <c r="B437" s="15">
        <v>0.83399999999999996</v>
      </c>
      <c r="C437" s="1" t="s">
        <v>3200</v>
      </c>
      <c r="D437" s="6">
        <v>100</v>
      </c>
    </row>
    <row r="438" spans="1:4" x14ac:dyDescent="0.35">
      <c r="A438" s="1">
        <v>4004670</v>
      </c>
      <c r="B438" s="15">
        <v>0.01</v>
      </c>
      <c r="C438" s="1" t="s">
        <v>3201</v>
      </c>
      <c r="D438" s="6">
        <v>1</v>
      </c>
    </row>
    <row r="439" spans="1:4" x14ac:dyDescent="0.35">
      <c r="A439" s="1">
        <v>4004674</v>
      </c>
      <c r="B439" s="15">
        <v>7.22</v>
      </c>
      <c r="C439" s="1" t="s">
        <v>3200</v>
      </c>
      <c r="D439" s="6">
        <v>1</v>
      </c>
    </row>
    <row r="440" spans="1:4" x14ac:dyDescent="0.35">
      <c r="A440" s="1">
        <v>4004679</v>
      </c>
      <c r="B440" s="15">
        <v>34</v>
      </c>
      <c r="C440" s="1" t="s">
        <v>3200</v>
      </c>
      <c r="D440" s="6">
        <v>1</v>
      </c>
    </row>
    <row r="441" spans="1:4" x14ac:dyDescent="0.35">
      <c r="A441" s="1">
        <v>4004700</v>
      </c>
      <c r="B441" s="15">
        <v>9.2799999999999994</v>
      </c>
      <c r="C441" s="1" t="s">
        <v>3200</v>
      </c>
      <c r="D441" s="6">
        <v>1</v>
      </c>
    </row>
    <row r="442" spans="1:4" x14ac:dyDescent="0.35">
      <c r="A442" s="1">
        <v>4004809</v>
      </c>
      <c r="B442" s="15">
        <v>192.44</v>
      </c>
      <c r="C442" s="1" t="s">
        <v>3200</v>
      </c>
      <c r="D442" s="6">
        <v>1</v>
      </c>
    </row>
    <row r="443" spans="1:4" x14ac:dyDescent="0.35">
      <c r="A443" s="1">
        <v>4004810</v>
      </c>
      <c r="B443" s="15">
        <v>165.24</v>
      </c>
      <c r="C443" s="1" t="s">
        <v>3200</v>
      </c>
      <c r="D443" s="6">
        <v>1</v>
      </c>
    </row>
    <row r="444" spans="1:4" x14ac:dyDescent="0.35">
      <c r="A444" s="1">
        <v>4004825</v>
      </c>
      <c r="B444" s="15">
        <v>41.23</v>
      </c>
      <c r="C444" s="1" t="s">
        <v>3200</v>
      </c>
      <c r="D444" s="6">
        <v>1</v>
      </c>
    </row>
    <row r="445" spans="1:4" x14ac:dyDescent="0.35">
      <c r="A445" s="1">
        <v>4004843</v>
      </c>
      <c r="B445" s="15">
        <v>2.4049</v>
      </c>
      <c r="C445" s="1" t="s">
        <v>3200</v>
      </c>
      <c r="D445" s="6">
        <v>100</v>
      </c>
    </row>
    <row r="446" spans="1:4" x14ac:dyDescent="0.35">
      <c r="A446" s="1">
        <v>4004889</v>
      </c>
      <c r="B446" s="15">
        <v>18.5</v>
      </c>
      <c r="C446" s="1" t="s">
        <v>3200</v>
      </c>
      <c r="D446" s="6">
        <v>100</v>
      </c>
    </row>
    <row r="447" spans="1:4" x14ac:dyDescent="0.35">
      <c r="A447" s="1">
        <v>4004891</v>
      </c>
      <c r="B447" s="15">
        <v>72.525300000000001</v>
      </c>
      <c r="C447" s="1" t="s">
        <v>3200</v>
      </c>
      <c r="D447" s="6">
        <v>100</v>
      </c>
    </row>
    <row r="448" spans="1:4" x14ac:dyDescent="0.35">
      <c r="A448" s="1">
        <v>4004920</v>
      </c>
      <c r="B448" s="15">
        <v>29.54</v>
      </c>
      <c r="C448" s="1" t="s">
        <v>3200</v>
      </c>
      <c r="D448" s="6">
        <v>1</v>
      </c>
    </row>
    <row r="449" spans="1:4" x14ac:dyDescent="0.35">
      <c r="A449" s="1">
        <v>4004963</v>
      </c>
      <c r="B449" s="15">
        <v>75</v>
      </c>
      <c r="C449" s="1" t="s">
        <v>3200</v>
      </c>
      <c r="D449" s="6">
        <v>1</v>
      </c>
    </row>
    <row r="450" spans="1:4" x14ac:dyDescent="0.35">
      <c r="A450" s="1">
        <v>4004967</v>
      </c>
      <c r="B450" s="15">
        <v>349.31</v>
      </c>
      <c r="C450" s="1" t="s">
        <v>3200</v>
      </c>
      <c r="D450" s="6">
        <v>1</v>
      </c>
    </row>
    <row r="451" spans="1:4" x14ac:dyDescent="0.35">
      <c r="A451" s="1">
        <v>4004969</v>
      </c>
      <c r="B451" s="15">
        <v>6.47</v>
      </c>
      <c r="C451" s="1" t="s">
        <v>3200</v>
      </c>
      <c r="D451" s="6">
        <v>1</v>
      </c>
    </row>
    <row r="452" spans="1:4" x14ac:dyDescent="0.35">
      <c r="A452" s="1">
        <v>4004972</v>
      </c>
      <c r="B452" s="15">
        <v>50.99</v>
      </c>
      <c r="C452" s="1" t="s">
        <v>3200</v>
      </c>
      <c r="D452" s="6">
        <v>1</v>
      </c>
    </row>
    <row r="453" spans="1:4" x14ac:dyDescent="0.35">
      <c r="A453" s="1">
        <v>4004973</v>
      </c>
      <c r="B453" s="15">
        <v>49.37</v>
      </c>
      <c r="C453" s="1" t="s">
        <v>3200</v>
      </c>
      <c r="D453" s="6">
        <v>1</v>
      </c>
    </row>
    <row r="454" spans="1:4" x14ac:dyDescent="0.35">
      <c r="A454" s="1">
        <v>4005020</v>
      </c>
      <c r="B454" s="15">
        <v>47.77</v>
      </c>
      <c r="C454" s="1" t="s">
        <v>3200</v>
      </c>
      <c r="D454" s="6">
        <v>1</v>
      </c>
    </row>
    <row r="455" spans="1:4" x14ac:dyDescent="0.35">
      <c r="A455" s="1">
        <v>4005032</v>
      </c>
      <c r="B455" s="15">
        <v>28</v>
      </c>
      <c r="C455" s="1" t="s">
        <v>3200</v>
      </c>
      <c r="D455" s="6">
        <v>1</v>
      </c>
    </row>
    <row r="456" spans="1:4" x14ac:dyDescent="0.35">
      <c r="A456" s="1">
        <v>4005052</v>
      </c>
      <c r="B456" s="15">
        <v>45</v>
      </c>
      <c r="C456" s="1" t="s">
        <v>3200</v>
      </c>
      <c r="D456" s="6">
        <v>1</v>
      </c>
    </row>
    <row r="457" spans="1:4" x14ac:dyDescent="0.35">
      <c r="A457" s="1">
        <v>4005446</v>
      </c>
      <c r="B457" s="15">
        <v>219.94</v>
      </c>
      <c r="C457" s="1" t="s">
        <v>3200</v>
      </c>
      <c r="D457" s="6">
        <v>1</v>
      </c>
    </row>
    <row r="458" spans="1:4" x14ac:dyDescent="0.35">
      <c r="A458" s="1">
        <v>4005449</v>
      </c>
      <c r="B458" s="15">
        <v>68.900000000000006</v>
      </c>
      <c r="C458" s="1" t="s">
        <v>3200</v>
      </c>
      <c r="D458" s="6">
        <v>1</v>
      </c>
    </row>
    <row r="459" spans="1:4" x14ac:dyDescent="0.35">
      <c r="A459" s="1">
        <v>4005454</v>
      </c>
      <c r="B459" s="15">
        <v>63.4</v>
      </c>
      <c r="C459" s="1" t="s">
        <v>3200</v>
      </c>
      <c r="D459" s="6">
        <v>1</v>
      </c>
    </row>
    <row r="460" spans="1:4" x14ac:dyDescent="0.35">
      <c r="A460" s="1">
        <v>4005458</v>
      </c>
      <c r="B460" s="15">
        <v>0.65280000000000005</v>
      </c>
      <c r="C460" s="1" t="s">
        <v>3200</v>
      </c>
      <c r="D460" s="6">
        <v>100</v>
      </c>
    </row>
    <row r="461" spans="1:4" x14ac:dyDescent="0.35">
      <c r="A461" s="1">
        <v>4005459</v>
      </c>
      <c r="B461" s="15">
        <v>1.71</v>
      </c>
      <c r="C461" s="1" t="s">
        <v>3200</v>
      </c>
      <c r="D461" s="6">
        <v>100</v>
      </c>
    </row>
    <row r="462" spans="1:4" x14ac:dyDescent="0.35">
      <c r="A462" s="1">
        <v>4005503</v>
      </c>
      <c r="B462" s="15">
        <v>2.4</v>
      </c>
      <c r="C462" s="1" t="s">
        <v>3200</v>
      </c>
      <c r="D462" s="6">
        <v>1</v>
      </c>
    </row>
    <row r="463" spans="1:4" x14ac:dyDescent="0.35">
      <c r="A463" s="1">
        <v>4005583</v>
      </c>
      <c r="B463" s="15">
        <v>3.28</v>
      </c>
      <c r="C463" s="1" t="s">
        <v>3200</v>
      </c>
      <c r="D463" s="6">
        <v>1</v>
      </c>
    </row>
    <row r="464" spans="1:4" x14ac:dyDescent="0.35">
      <c r="A464" s="1">
        <v>4005584</v>
      </c>
      <c r="B464" s="15">
        <v>3.24</v>
      </c>
      <c r="C464" s="1" t="s">
        <v>3200</v>
      </c>
      <c r="D464" s="6">
        <v>1</v>
      </c>
    </row>
    <row r="465" spans="1:4" x14ac:dyDescent="0.35">
      <c r="A465" s="1">
        <v>4005783</v>
      </c>
      <c r="B465" s="15">
        <v>190.38</v>
      </c>
      <c r="C465" s="1" t="s">
        <v>3200</v>
      </c>
      <c r="D465" s="6">
        <v>1</v>
      </c>
    </row>
    <row r="466" spans="1:4" x14ac:dyDescent="0.35">
      <c r="A466" s="1">
        <v>4005791</v>
      </c>
      <c r="B466" s="15">
        <v>1.28</v>
      </c>
      <c r="C466" s="1" t="s">
        <v>3200</v>
      </c>
      <c r="D466" s="6">
        <v>1</v>
      </c>
    </row>
    <row r="467" spans="1:4" x14ac:dyDescent="0.35">
      <c r="A467" s="1">
        <v>4005792</v>
      </c>
      <c r="B467" s="15">
        <v>0.1</v>
      </c>
      <c r="C467" s="1" t="s">
        <v>3200</v>
      </c>
      <c r="D467" s="6">
        <v>1</v>
      </c>
    </row>
    <row r="468" spans="1:4" x14ac:dyDescent="0.35">
      <c r="A468" s="1">
        <v>4005868</v>
      </c>
      <c r="B468" s="15">
        <v>17.86</v>
      </c>
      <c r="C468" s="1" t="s">
        <v>3200</v>
      </c>
      <c r="D468" s="6">
        <v>1</v>
      </c>
    </row>
    <row r="469" spans="1:4" x14ac:dyDescent="0.35">
      <c r="A469" s="1">
        <v>4005876</v>
      </c>
      <c r="B469" s="15">
        <v>36.42</v>
      </c>
      <c r="C469" s="1" t="s">
        <v>3200</v>
      </c>
      <c r="D469" s="6">
        <v>1</v>
      </c>
    </row>
    <row r="470" spans="1:4" x14ac:dyDescent="0.35">
      <c r="A470" s="1">
        <v>4005880</v>
      </c>
      <c r="B470" s="15">
        <v>35.69</v>
      </c>
      <c r="C470" s="1" t="s">
        <v>3200</v>
      </c>
      <c r="D470" s="6">
        <v>1</v>
      </c>
    </row>
    <row r="471" spans="1:4" x14ac:dyDescent="0.35">
      <c r="A471" s="1">
        <v>4005881</v>
      </c>
      <c r="B471" s="15">
        <v>16.61</v>
      </c>
      <c r="C471" s="1" t="s">
        <v>3200</v>
      </c>
      <c r="D471" s="6">
        <v>1</v>
      </c>
    </row>
    <row r="472" spans="1:4" x14ac:dyDescent="0.35">
      <c r="A472" s="1">
        <v>4005883</v>
      </c>
      <c r="B472" s="15">
        <v>45.95</v>
      </c>
      <c r="C472" s="1" t="s">
        <v>3200</v>
      </c>
      <c r="D472" s="6">
        <v>1</v>
      </c>
    </row>
    <row r="473" spans="1:4" x14ac:dyDescent="0.35">
      <c r="A473" s="1">
        <v>4005885</v>
      </c>
      <c r="B473" s="15">
        <v>19.11</v>
      </c>
      <c r="C473" s="1" t="s">
        <v>3200</v>
      </c>
      <c r="D473" s="6">
        <v>1</v>
      </c>
    </row>
    <row r="474" spans="1:4" x14ac:dyDescent="0.35">
      <c r="A474" s="1">
        <v>4005925</v>
      </c>
      <c r="B474" s="15">
        <v>13.75</v>
      </c>
      <c r="C474" s="1" t="s">
        <v>3200</v>
      </c>
      <c r="D474" s="6">
        <v>1</v>
      </c>
    </row>
    <row r="475" spans="1:4" x14ac:dyDescent="0.35">
      <c r="A475" s="1">
        <v>4005949</v>
      </c>
      <c r="B475" s="15">
        <v>25.55</v>
      </c>
      <c r="C475" s="1" t="s">
        <v>3200</v>
      </c>
      <c r="D475" s="6">
        <v>1</v>
      </c>
    </row>
    <row r="476" spans="1:4" x14ac:dyDescent="0.35">
      <c r="A476" s="1">
        <v>4005955</v>
      </c>
      <c r="B476" s="15">
        <v>6.37</v>
      </c>
      <c r="C476" s="1" t="s">
        <v>3200</v>
      </c>
      <c r="D476" s="6">
        <v>1</v>
      </c>
    </row>
    <row r="477" spans="1:4" x14ac:dyDescent="0.35">
      <c r="A477" s="1">
        <v>4005962</v>
      </c>
      <c r="B477" s="15">
        <v>3.77</v>
      </c>
      <c r="C477" s="1" t="s">
        <v>3200</v>
      </c>
      <c r="D477" s="6">
        <v>1</v>
      </c>
    </row>
    <row r="478" spans="1:4" x14ac:dyDescent="0.35">
      <c r="A478" s="1">
        <v>4005997</v>
      </c>
      <c r="B478" s="15">
        <v>0.01</v>
      </c>
      <c r="C478" s="1" t="s">
        <v>3201</v>
      </c>
      <c r="D478" s="6">
        <v>1</v>
      </c>
    </row>
    <row r="479" spans="1:4" x14ac:dyDescent="0.35">
      <c r="A479" s="1">
        <v>4006009</v>
      </c>
      <c r="B479" s="15">
        <v>37.75</v>
      </c>
      <c r="C479" s="1" t="s">
        <v>3200</v>
      </c>
      <c r="D479" s="6">
        <v>1</v>
      </c>
    </row>
    <row r="480" spans="1:4" x14ac:dyDescent="0.35">
      <c r="A480" s="1">
        <v>4006012</v>
      </c>
      <c r="B480" s="15">
        <v>70.58</v>
      </c>
      <c r="C480" s="1" t="s">
        <v>3200</v>
      </c>
      <c r="D480" s="6">
        <v>1</v>
      </c>
    </row>
    <row r="481" spans="1:4" x14ac:dyDescent="0.35">
      <c r="A481" s="1">
        <v>4006014</v>
      </c>
      <c r="B481" s="15">
        <v>10.220000000000001</v>
      </c>
      <c r="C481" s="1" t="s">
        <v>3200</v>
      </c>
      <c r="D481" s="6">
        <v>1</v>
      </c>
    </row>
    <row r="482" spans="1:4" x14ac:dyDescent="0.35">
      <c r="A482" s="1">
        <v>4006023</v>
      </c>
      <c r="B482" s="15">
        <v>33.17</v>
      </c>
      <c r="C482" s="1" t="s">
        <v>3200</v>
      </c>
      <c r="D482" s="6">
        <v>1</v>
      </c>
    </row>
    <row r="483" spans="1:4" x14ac:dyDescent="0.35">
      <c r="A483" s="1">
        <v>4006027</v>
      </c>
      <c r="B483" s="15">
        <v>17.39</v>
      </c>
      <c r="C483" s="1" t="s">
        <v>3200</v>
      </c>
      <c r="D483" s="6">
        <v>1</v>
      </c>
    </row>
    <row r="484" spans="1:4" x14ac:dyDescent="0.35">
      <c r="A484" s="1">
        <v>4006037</v>
      </c>
      <c r="B484" s="15">
        <v>18.38</v>
      </c>
      <c r="C484" s="1" t="s">
        <v>3200</v>
      </c>
      <c r="D484" s="6">
        <v>1</v>
      </c>
    </row>
    <row r="485" spans="1:4" x14ac:dyDescent="0.35">
      <c r="A485" s="1">
        <v>4006043</v>
      </c>
      <c r="B485" s="15">
        <v>0.73729999999999996</v>
      </c>
      <c r="C485" s="1" t="s">
        <v>3200</v>
      </c>
      <c r="D485" s="6">
        <v>100</v>
      </c>
    </row>
    <row r="486" spans="1:4" x14ac:dyDescent="0.35">
      <c r="A486" s="1">
        <v>4006062</v>
      </c>
      <c r="B486" s="15">
        <v>19.11</v>
      </c>
      <c r="C486" s="1" t="s">
        <v>3200</v>
      </c>
      <c r="D486" s="6">
        <v>1</v>
      </c>
    </row>
    <row r="487" spans="1:4" x14ac:dyDescent="0.35">
      <c r="A487" s="1">
        <v>4006066</v>
      </c>
      <c r="B487" s="15">
        <v>10.220000000000001</v>
      </c>
      <c r="C487" s="1" t="s">
        <v>3200</v>
      </c>
      <c r="D487" s="6">
        <v>1</v>
      </c>
    </row>
    <row r="488" spans="1:4" x14ac:dyDescent="0.35">
      <c r="A488" s="1">
        <v>4006072</v>
      </c>
      <c r="B488" s="15">
        <v>47.17</v>
      </c>
      <c r="C488" s="1" t="s">
        <v>3200</v>
      </c>
      <c r="D488" s="6">
        <v>1</v>
      </c>
    </row>
    <row r="489" spans="1:4" x14ac:dyDescent="0.35">
      <c r="A489" s="1">
        <v>4006075</v>
      </c>
      <c r="B489" s="15">
        <v>0.01</v>
      </c>
      <c r="C489" s="1" t="s">
        <v>3200</v>
      </c>
      <c r="D489" s="6">
        <v>1</v>
      </c>
    </row>
    <row r="490" spans="1:4" x14ac:dyDescent="0.35">
      <c r="A490" s="1">
        <v>4006088</v>
      </c>
      <c r="B490" s="15">
        <v>10.25</v>
      </c>
      <c r="C490" s="1" t="s">
        <v>3200</v>
      </c>
      <c r="D490" s="6">
        <v>1</v>
      </c>
    </row>
    <row r="491" spans="1:4" x14ac:dyDescent="0.35">
      <c r="A491" s="1">
        <v>4006094</v>
      </c>
      <c r="B491" s="15">
        <v>11.47</v>
      </c>
      <c r="C491" s="1" t="s">
        <v>3200</v>
      </c>
      <c r="D491" s="6">
        <v>1</v>
      </c>
    </row>
    <row r="492" spans="1:4" x14ac:dyDescent="0.35">
      <c r="A492" s="1">
        <v>4006098</v>
      </c>
      <c r="B492" s="15">
        <v>11.47</v>
      </c>
      <c r="C492" s="1" t="s">
        <v>3200</v>
      </c>
      <c r="D492" s="6">
        <v>1</v>
      </c>
    </row>
    <row r="493" spans="1:4" x14ac:dyDescent="0.35">
      <c r="A493" s="1">
        <v>4006114</v>
      </c>
      <c r="B493" s="15">
        <v>0.01</v>
      </c>
      <c r="C493" s="1" t="s">
        <v>3201</v>
      </c>
      <c r="D493" s="6">
        <v>1</v>
      </c>
    </row>
    <row r="494" spans="1:4" x14ac:dyDescent="0.35">
      <c r="A494" s="1">
        <v>4006157</v>
      </c>
      <c r="B494" s="15">
        <v>14.23</v>
      </c>
      <c r="C494" s="1" t="s">
        <v>3200</v>
      </c>
      <c r="D494" s="6">
        <v>1</v>
      </c>
    </row>
    <row r="495" spans="1:4" x14ac:dyDescent="0.35">
      <c r="A495" s="1">
        <v>4006159</v>
      </c>
      <c r="B495" s="15">
        <v>1.32</v>
      </c>
      <c r="C495" s="1" t="s">
        <v>3200</v>
      </c>
      <c r="D495" s="6">
        <v>1</v>
      </c>
    </row>
    <row r="496" spans="1:4" x14ac:dyDescent="0.35">
      <c r="A496" s="1">
        <v>4006161</v>
      </c>
      <c r="B496" s="15">
        <v>11.94</v>
      </c>
      <c r="C496" s="1" t="s">
        <v>3200</v>
      </c>
      <c r="D496" s="6">
        <v>1</v>
      </c>
    </row>
    <row r="497" spans="1:4" x14ac:dyDescent="0.35">
      <c r="A497" s="1">
        <v>4006163</v>
      </c>
      <c r="B497" s="15">
        <v>150</v>
      </c>
      <c r="C497" s="1" t="s">
        <v>3200</v>
      </c>
      <c r="D497" s="6">
        <v>1</v>
      </c>
    </row>
    <row r="498" spans="1:4" x14ac:dyDescent="0.35">
      <c r="A498" s="1">
        <v>4006164</v>
      </c>
      <c r="B498" s="15">
        <v>82.25</v>
      </c>
      <c r="C498" s="1" t="s">
        <v>3200</v>
      </c>
      <c r="D498" s="6">
        <v>1</v>
      </c>
    </row>
    <row r="499" spans="1:4" x14ac:dyDescent="0.35">
      <c r="A499" s="1">
        <v>4006167</v>
      </c>
      <c r="B499" s="15">
        <v>12.02</v>
      </c>
      <c r="C499" s="1" t="s">
        <v>3200</v>
      </c>
      <c r="D499" s="6">
        <v>1</v>
      </c>
    </row>
    <row r="500" spans="1:4" x14ac:dyDescent="0.35">
      <c r="A500" s="1">
        <v>4006168</v>
      </c>
      <c r="B500" s="15">
        <v>0.1</v>
      </c>
      <c r="C500" s="1" t="s">
        <v>3201</v>
      </c>
      <c r="D500" s="6">
        <v>1</v>
      </c>
    </row>
    <row r="501" spans="1:4" x14ac:dyDescent="0.35">
      <c r="A501" s="1">
        <v>4006169</v>
      </c>
      <c r="B501" s="15">
        <v>0.01</v>
      </c>
      <c r="C501" s="1" t="s">
        <v>3201</v>
      </c>
      <c r="D501" s="6">
        <v>100</v>
      </c>
    </row>
    <row r="502" spans="1:4" x14ac:dyDescent="0.35">
      <c r="A502" s="1">
        <v>4006170</v>
      </c>
      <c r="B502" s="15">
        <v>15</v>
      </c>
      <c r="C502" s="1" t="s">
        <v>3200</v>
      </c>
      <c r="D502" s="6">
        <v>1</v>
      </c>
    </row>
    <row r="503" spans="1:4" x14ac:dyDescent="0.35">
      <c r="A503" s="1">
        <v>4006171</v>
      </c>
      <c r="B503" s="15">
        <v>16</v>
      </c>
      <c r="C503" s="1" t="s">
        <v>3200</v>
      </c>
      <c r="D503" s="6">
        <v>1</v>
      </c>
    </row>
    <row r="504" spans="1:4" x14ac:dyDescent="0.35">
      <c r="A504" s="1">
        <v>4006172</v>
      </c>
      <c r="B504" s="15">
        <v>5.92</v>
      </c>
      <c r="C504" s="1" t="s">
        <v>3200</v>
      </c>
      <c r="D504" s="6">
        <v>1</v>
      </c>
    </row>
    <row r="505" spans="1:4" x14ac:dyDescent="0.35">
      <c r="A505" s="1">
        <v>4006174</v>
      </c>
      <c r="B505" s="15">
        <v>0.61</v>
      </c>
      <c r="C505" s="1" t="s">
        <v>3200</v>
      </c>
      <c r="D505" s="6">
        <v>1</v>
      </c>
    </row>
    <row r="506" spans="1:4" x14ac:dyDescent="0.35">
      <c r="A506" s="1">
        <v>4006176</v>
      </c>
      <c r="B506" s="15">
        <v>0.01</v>
      </c>
      <c r="C506" s="1" t="s">
        <v>3201</v>
      </c>
      <c r="D506" s="6">
        <v>1</v>
      </c>
    </row>
    <row r="507" spans="1:4" x14ac:dyDescent="0.35">
      <c r="A507" s="1">
        <v>4006177</v>
      </c>
      <c r="B507" s="15">
        <v>22.66</v>
      </c>
      <c r="C507" s="1" t="s">
        <v>3200</v>
      </c>
      <c r="D507" s="6">
        <v>1</v>
      </c>
    </row>
    <row r="508" spans="1:4" x14ac:dyDescent="0.35">
      <c r="A508" s="1">
        <v>4006181</v>
      </c>
      <c r="B508" s="15">
        <v>0.01</v>
      </c>
      <c r="C508" s="1" t="s">
        <v>3201</v>
      </c>
      <c r="D508" s="6">
        <v>1</v>
      </c>
    </row>
    <row r="509" spans="1:4" x14ac:dyDescent="0.35">
      <c r="A509" s="1">
        <v>4006185</v>
      </c>
      <c r="B509" s="15">
        <v>28.01</v>
      </c>
      <c r="C509" s="1" t="s">
        <v>3200</v>
      </c>
      <c r="D509" s="6">
        <v>1</v>
      </c>
    </row>
    <row r="510" spans="1:4" x14ac:dyDescent="0.35">
      <c r="A510" s="1">
        <v>4006187</v>
      </c>
      <c r="B510" s="15">
        <v>14.48</v>
      </c>
      <c r="C510" s="1" t="s">
        <v>3200</v>
      </c>
      <c r="D510" s="6">
        <v>1</v>
      </c>
    </row>
    <row r="511" spans="1:4" x14ac:dyDescent="0.35">
      <c r="A511" s="1">
        <v>4006188</v>
      </c>
      <c r="B511" s="15">
        <v>12.65</v>
      </c>
      <c r="C511" s="1" t="s">
        <v>3200</v>
      </c>
      <c r="D511" s="6">
        <v>1</v>
      </c>
    </row>
    <row r="512" spans="1:4" x14ac:dyDescent="0.35">
      <c r="A512" s="1">
        <v>4006193</v>
      </c>
      <c r="B512" s="15">
        <v>21.06</v>
      </c>
      <c r="C512" s="1" t="s">
        <v>3200</v>
      </c>
      <c r="D512" s="6">
        <v>1</v>
      </c>
    </row>
    <row r="513" spans="1:4" x14ac:dyDescent="0.35">
      <c r="A513" s="1">
        <v>4006210</v>
      </c>
      <c r="B513" s="15">
        <v>104.98</v>
      </c>
      <c r="C513" s="1" t="s">
        <v>3200</v>
      </c>
      <c r="D513" s="6">
        <v>1</v>
      </c>
    </row>
    <row r="514" spans="1:4" x14ac:dyDescent="0.35">
      <c r="A514" s="1">
        <v>4006235</v>
      </c>
      <c r="B514" s="15">
        <v>1890</v>
      </c>
      <c r="C514" s="1" t="s">
        <v>3200</v>
      </c>
      <c r="D514" s="6">
        <v>1</v>
      </c>
    </row>
    <row r="515" spans="1:4" x14ac:dyDescent="0.35">
      <c r="A515" s="1">
        <v>4006236</v>
      </c>
      <c r="B515" s="15">
        <v>1000</v>
      </c>
      <c r="C515" s="1" t="s">
        <v>3200</v>
      </c>
      <c r="D515" s="6">
        <v>1</v>
      </c>
    </row>
    <row r="516" spans="1:4" x14ac:dyDescent="0.35">
      <c r="A516" s="1">
        <v>4006332</v>
      </c>
      <c r="B516" s="15">
        <v>1E-4</v>
      </c>
      <c r="C516" s="1" t="s">
        <v>3201</v>
      </c>
      <c r="D516" s="6">
        <v>100</v>
      </c>
    </row>
    <row r="517" spans="1:4" x14ac:dyDescent="0.35">
      <c r="A517" s="1">
        <v>4006333</v>
      </c>
      <c r="B517" s="15">
        <v>0.01</v>
      </c>
      <c r="C517" s="1" t="s">
        <v>3201</v>
      </c>
      <c r="D517" s="6">
        <v>1</v>
      </c>
    </row>
    <row r="518" spans="1:4" x14ac:dyDescent="0.35">
      <c r="A518" s="1">
        <v>4006341</v>
      </c>
      <c r="B518" s="15">
        <v>6.87</v>
      </c>
      <c r="C518" s="1" t="s">
        <v>3200</v>
      </c>
      <c r="D518" s="6">
        <v>1</v>
      </c>
    </row>
    <row r="519" spans="1:4" x14ac:dyDescent="0.35">
      <c r="A519" s="1">
        <v>4006367</v>
      </c>
      <c r="B519" s="15">
        <v>7.45</v>
      </c>
      <c r="C519" s="1" t="s">
        <v>3200</v>
      </c>
      <c r="D519" s="6">
        <v>1</v>
      </c>
    </row>
    <row r="520" spans="1:4" x14ac:dyDescent="0.35">
      <c r="A520" s="1">
        <v>4006368</v>
      </c>
      <c r="B520" s="15">
        <v>10.76</v>
      </c>
      <c r="C520" s="1" t="s">
        <v>3200</v>
      </c>
      <c r="D520" s="6">
        <v>1</v>
      </c>
    </row>
    <row r="521" spans="1:4" x14ac:dyDescent="0.35">
      <c r="A521" s="1">
        <v>4006370</v>
      </c>
      <c r="B521" s="15">
        <v>1.35</v>
      </c>
      <c r="C521" s="1" t="s">
        <v>3200</v>
      </c>
      <c r="D521" s="6">
        <v>100</v>
      </c>
    </row>
    <row r="522" spans="1:4" x14ac:dyDescent="0.35">
      <c r="A522" s="1">
        <v>4006372</v>
      </c>
      <c r="B522" s="15">
        <v>1.89</v>
      </c>
      <c r="C522" s="1" t="s">
        <v>3200</v>
      </c>
      <c r="D522" s="6">
        <v>1</v>
      </c>
    </row>
    <row r="523" spans="1:4" x14ac:dyDescent="0.35">
      <c r="A523" s="1">
        <v>4006375</v>
      </c>
      <c r="B523" s="15">
        <v>0.74319999999999997</v>
      </c>
      <c r="C523" s="1" t="s">
        <v>3200</v>
      </c>
      <c r="D523" s="6">
        <v>100</v>
      </c>
    </row>
    <row r="524" spans="1:4" x14ac:dyDescent="0.35">
      <c r="A524" s="1">
        <v>4006377</v>
      </c>
      <c r="B524" s="15">
        <v>0.23</v>
      </c>
      <c r="C524" s="1" t="s">
        <v>3200</v>
      </c>
      <c r="D524" s="6">
        <v>100</v>
      </c>
    </row>
    <row r="525" spans="1:4" x14ac:dyDescent="0.35">
      <c r="A525" s="1">
        <v>4006378</v>
      </c>
      <c r="B525" s="15">
        <v>1.88</v>
      </c>
      <c r="C525" s="1" t="s">
        <v>3200</v>
      </c>
      <c r="D525" s="6">
        <v>1</v>
      </c>
    </row>
    <row r="526" spans="1:4" x14ac:dyDescent="0.35">
      <c r="A526" s="1">
        <v>4006380</v>
      </c>
      <c r="B526" s="15">
        <v>0.88</v>
      </c>
      <c r="C526" s="1" t="s">
        <v>3200</v>
      </c>
      <c r="D526" s="6">
        <v>100</v>
      </c>
    </row>
    <row r="527" spans="1:4" x14ac:dyDescent="0.35">
      <c r="A527" s="1">
        <v>4006381</v>
      </c>
      <c r="B527" s="15">
        <v>0.38</v>
      </c>
      <c r="C527" s="1" t="s">
        <v>3200</v>
      </c>
      <c r="D527" s="6">
        <v>100</v>
      </c>
    </row>
    <row r="528" spans="1:4" x14ac:dyDescent="0.35">
      <c r="A528" s="1">
        <v>4006387</v>
      </c>
      <c r="B528" s="15">
        <v>0.45</v>
      </c>
      <c r="C528" s="1" t="s">
        <v>3200</v>
      </c>
      <c r="D528" s="6">
        <v>100</v>
      </c>
    </row>
    <row r="529" spans="1:4" x14ac:dyDescent="0.35">
      <c r="A529" s="1">
        <v>4006406</v>
      </c>
      <c r="B529" s="15">
        <v>9.7200000000000006</v>
      </c>
      <c r="C529" s="1" t="s">
        <v>3200</v>
      </c>
      <c r="D529" s="6">
        <v>1</v>
      </c>
    </row>
    <row r="530" spans="1:4" x14ac:dyDescent="0.35">
      <c r="A530" s="1">
        <v>4006417</v>
      </c>
      <c r="B530" s="15">
        <v>11.44</v>
      </c>
      <c r="C530" s="1" t="s">
        <v>3200</v>
      </c>
      <c r="D530" s="6">
        <v>1</v>
      </c>
    </row>
    <row r="531" spans="1:4" x14ac:dyDescent="0.35">
      <c r="A531" s="1">
        <v>4006431</v>
      </c>
      <c r="B531" s="15">
        <v>13.28</v>
      </c>
      <c r="C531" s="1" t="s">
        <v>3200</v>
      </c>
      <c r="D531" s="6">
        <v>1</v>
      </c>
    </row>
    <row r="532" spans="1:4" x14ac:dyDescent="0.35">
      <c r="A532" s="1">
        <v>4006432</v>
      </c>
      <c r="B532" s="15">
        <v>13.28</v>
      </c>
      <c r="C532" s="1" t="s">
        <v>3200</v>
      </c>
      <c r="D532" s="6">
        <v>1</v>
      </c>
    </row>
    <row r="533" spans="1:4" x14ac:dyDescent="0.35">
      <c r="A533" s="1">
        <v>4006450</v>
      </c>
      <c r="B533" s="15">
        <v>135</v>
      </c>
      <c r="C533" s="1" t="s">
        <v>3200</v>
      </c>
      <c r="D533" s="6">
        <v>1</v>
      </c>
    </row>
    <row r="534" spans="1:4" x14ac:dyDescent="0.35">
      <c r="A534" s="1">
        <v>4006451</v>
      </c>
      <c r="B534" s="15">
        <v>135</v>
      </c>
      <c r="C534" s="1" t="s">
        <v>3200</v>
      </c>
      <c r="D534" s="6">
        <v>1</v>
      </c>
    </row>
    <row r="535" spans="1:4" x14ac:dyDescent="0.35">
      <c r="A535" s="1">
        <v>4006464</v>
      </c>
      <c r="B535" s="15">
        <v>7.53</v>
      </c>
      <c r="C535" s="1" t="s">
        <v>3200</v>
      </c>
      <c r="D535" s="6">
        <v>1</v>
      </c>
    </row>
    <row r="536" spans="1:4" x14ac:dyDescent="0.35">
      <c r="A536" s="1">
        <v>4006497</v>
      </c>
      <c r="B536" s="15">
        <v>257.20999999999998</v>
      </c>
      <c r="C536" s="1" t="s">
        <v>3200</v>
      </c>
      <c r="D536" s="6">
        <v>1</v>
      </c>
    </row>
    <row r="537" spans="1:4" x14ac:dyDescent="0.35">
      <c r="A537" s="1">
        <v>4006499</v>
      </c>
      <c r="B537" s="15">
        <v>165</v>
      </c>
      <c r="C537" s="1" t="s">
        <v>3200</v>
      </c>
      <c r="D537" s="6">
        <v>1</v>
      </c>
    </row>
    <row r="538" spans="1:4" x14ac:dyDescent="0.35">
      <c r="A538" s="1">
        <v>4006501</v>
      </c>
      <c r="B538" s="15">
        <v>0.57199999999999995</v>
      </c>
      <c r="C538" s="1" t="s">
        <v>3200</v>
      </c>
      <c r="D538" s="6">
        <v>100</v>
      </c>
    </row>
    <row r="539" spans="1:4" x14ac:dyDescent="0.35">
      <c r="A539" s="1">
        <v>4006502</v>
      </c>
      <c r="B539" s="15">
        <v>55</v>
      </c>
      <c r="C539" s="1" t="s">
        <v>3200</v>
      </c>
      <c r="D539" s="6">
        <v>1</v>
      </c>
    </row>
    <row r="540" spans="1:4" x14ac:dyDescent="0.35">
      <c r="A540" s="1">
        <v>4006504</v>
      </c>
      <c r="B540" s="15">
        <v>1.0367</v>
      </c>
      <c r="C540" s="1" t="s">
        <v>3200</v>
      </c>
      <c r="D540" s="6">
        <v>100</v>
      </c>
    </row>
    <row r="541" spans="1:4" x14ac:dyDescent="0.35">
      <c r="A541" s="1">
        <v>4006529</v>
      </c>
      <c r="B541" s="15">
        <v>23</v>
      </c>
      <c r="C541" s="1" t="s">
        <v>3200</v>
      </c>
      <c r="D541" s="6">
        <v>1</v>
      </c>
    </row>
    <row r="542" spans="1:4" x14ac:dyDescent="0.35">
      <c r="A542" s="1">
        <v>4006543</v>
      </c>
      <c r="B542" s="15">
        <v>0.35560000000000003</v>
      </c>
      <c r="C542" s="1" t="s">
        <v>3200</v>
      </c>
      <c r="D542" s="6">
        <v>100</v>
      </c>
    </row>
    <row r="543" spans="1:4" x14ac:dyDescent="0.35">
      <c r="A543" s="1">
        <v>4006545</v>
      </c>
      <c r="B543" s="15">
        <v>0.29149999999999998</v>
      </c>
      <c r="C543" s="1" t="s">
        <v>3200</v>
      </c>
      <c r="D543" s="6">
        <v>100</v>
      </c>
    </row>
    <row r="544" spans="1:4" x14ac:dyDescent="0.35">
      <c r="A544" s="1">
        <v>4006546</v>
      </c>
      <c r="B544" s="15">
        <v>13.35</v>
      </c>
      <c r="C544" s="1" t="s">
        <v>3200</v>
      </c>
      <c r="D544" s="6">
        <v>1</v>
      </c>
    </row>
    <row r="545" spans="1:4" x14ac:dyDescent="0.35">
      <c r="A545" s="1">
        <v>4006560</v>
      </c>
      <c r="B545" s="15">
        <v>482.38</v>
      </c>
      <c r="C545" s="1" t="s">
        <v>3200</v>
      </c>
      <c r="D545" s="6">
        <v>1</v>
      </c>
    </row>
    <row r="546" spans="1:4" x14ac:dyDescent="0.35">
      <c r="A546" s="1">
        <v>4006561</v>
      </c>
      <c r="B546" s="15">
        <v>254.4</v>
      </c>
      <c r="C546" s="1" t="s">
        <v>3200</v>
      </c>
      <c r="D546" s="6">
        <v>1</v>
      </c>
    </row>
    <row r="547" spans="1:4" x14ac:dyDescent="0.35">
      <c r="A547" s="1">
        <v>4006565</v>
      </c>
      <c r="B547" s="15">
        <v>18.920000000000002</v>
      </c>
      <c r="C547" s="1" t="s">
        <v>3200</v>
      </c>
      <c r="D547" s="6">
        <v>1</v>
      </c>
    </row>
    <row r="548" spans="1:4" x14ac:dyDescent="0.35">
      <c r="A548" s="1">
        <v>4006590</v>
      </c>
      <c r="B548" s="15">
        <v>19</v>
      </c>
      <c r="C548" s="1" t="s">
        <v>3200</v>
      </c>
      <c r="D548" s="6">
        <v>1</v>
      </c>
    </row>
    <row r="549" spans="1:4" x14ac:dyDescent="0.35">
      <c r="A549" s="1">
        <v>4006599</v>
      </c>
      <c r="B549" s="15">
        <v>10.8</v>
      </c>
      <c r="C549" s="1" t="s">
        <v>3200</v>
      </c>
      <c r="D549" s="6">
        <v>1</v>
      </c>
    </row>
    <row r="550" spans="1:4" x14ac:dyDescent="0.35">
      <c r="A550" s="1">
        <v>4006665</v>
      </c>
      <c r="B550" s="15">
        <v>8.86</v>
      </c>
      <c r="C550" s="1" t="s">
        <v>3200</v>
      </c>
      <c r="D550" s="6">
        <v>1</v>
      </c>
    </row>
    <row r="551" spans="1:4" x14ac:dyDescent="0.35">
      <c r="A551" s="1">
        <v>4006678</v>
      </c>
      <c r="B551" s="15">
        <v>7.57</v>
      </c>
      <c r="C551" s="1" t="s">
        <v>3200</v>
      </c>
      <c r="D551" s="6">
        <v>1</v>
      </c>
    </row>
    <row r="552" spans="1:4" x14ac:dyDescent="0.35">
      <c r="A552" s="1">
        <v>4006755</v>
      </c>
      <c r="B552" s="15">
        <v>23.91</v>
      </c>
      <c r="C552" s="1" t="s">
        <v>3200</v>
      </c>
      <c r="D552" s="6">
        <v>1</v>
      </c>
    </row>
    <row r="553" spans="1:4" x14ac:dyDescent="0.35">
      <c r="A553" s="1">
        <v>4006758</v>
      </c>
      <c r="B553" s="15">
        <v>195.08</v>
      </c>
      <c r="C553" s="1" t="s">
        <v>3200</v>
      </c>
      <c r="D553" s="6">
        <v>1</v>
      </c>
    </row>
    <row r="554" spans="1:4" x14ac:dyDescent="0.35">
      <c r="A554" s="1">
        <v>4006770</v>
      </c>
      <c r="B554" s="15">
        <v>11.47</v>
      </c>
      <c r="C554" s="1" t="s">
        <v>3200</v>
      </c>
      <c r="D554" s="6">
        <v>1</v>
      </c>
    </row>
    <row r="555" spans="1:4" x14ac:dyDescent="0.35">
      <c r="A555" s="1">
        <v>4006771</v>
      </c>
      <c r="B555" s="15">
        <v>11.47</v>
      </c>
      <c r="C555" s="1" t="s">
        <v>3200</v>
      </c>
      <c r="D555" s="6">
        <v>1</v>
      </c>
    </row>
    <row r="556" spans="1:4" x14ac:dyDescent="0.35">
      <c r="A556" s="1">
        <v>4006775</v>
      </c>
      <c r="B556" s="15">
        <v>36.97</v>
      </c>
      <c r="C556" s="1" t="s">
        <v>3200</v>
      </c>
      <c r="D556" s="6">
        <v>1</v>
      </c>
    </row>
    <row r="557" spans="1:4" x14ac:dyDescent="0.35">
      <c r="A557" s="1">
        <v>4006778</v>
      </c>
      <c r="B557" s="15">
        <v>22.94</v>
      </c>
      <c r="C557" s="1" t="s">
        <v>3200</v>
      </c>
      <c r="D557" s="6">
        <v>1</v>
      </c>
    </row>
    <row r="558" spans="1:4" x14ac:dyDescent="0.35">
      <c r="A558" s="1">
        <v>4006780</v>
      </c>
      <c r="B558" s="15">
        <v>33.17</v>
      </c>
      <c r="C558" s="1" t="s">
        <v>3200</v>
      </c>
      <c r="D558" s="6">
        <v>1</v>
      </c>
    </row>
    <row r="559" spans="1:4" x14ac:dyDescent="0.35">
      <c r="A559" s="1">
        <v>4006795</v>
      </c>
      <c r="B559" s="15">
        <v>77.44</v>
      </c>
      <c r="C559" s="1" t="s">
        <v>3200</v>
      </c>
      <c r="D559" s="6">
        <v>1</v>
      </c>
    </row>
    <row r="560" spans="1:4" x14ac:dyDescent="0.35">
      <c r="A560" s="1">
        <v>4007769</v>
      </c>
      <c r="B560" s="15">
        <v>36.42</v>
      </c>
      <c r="C560" s="1" t="s">
        <v>3200</v>
      </c>
      <c r="D560" s="6">
        <v>1</v>
      </c>
    </row>
    <row r="561" spans="1:4" x14ac:dyDescent="0.35">
      <c r="A561" s="1">
        <v>4007774</v>
      </c>
      <c r="B561" s="15">
        <v>20.64</v>
      </c>
      <c r="C561" s="1" t="s">
        <v>3200</v>
      </c>
      <c r="D561" s="6">
        <v>1</v>
      </c>
    </row>
    <row r="562" spans="1:4" x14ac:dyDescent="0.35">
      <c r="A562" s="1">
        <v>4007802</v>
      </c>
      <c r="B562" s="15">
        <v>1.42</v>
      </c>
      <c r="C562" s="1" t="s">
        <v>3200</v>
      </c>
      <c r="D562" s="6">
        <v>1</v>
      </c>
    </row>
    <row r="563" spans="1:4" x14ac:dyDescent="0.35">
      <c r="A563" s="1">
        <v>4007817</v>
      </c>
      <c r="B563" s="15">
        <v>0.01</v>
      </c>
      <c r="C563" s="1" t="s">
        <v>3201</v>
      </c>
      <c r="D563" s="6">
        <v>100</v>
      </c>
    </row>
    <row r="564" spans="1:4" x14ac:dyDescent="0.35">
      <c r="A564" s="1">
        <v>4007818</v>
      </c>
      <c r="B564" s="15">
        <v>0.01</v>
      </c>
      <c r="C564" s="1" t="s">
        <v>3201</v>
      </c>
      <c r="D564" s="6">
        <v>100</v>
      </c>
    </row>
    <row r="565" spans="1:4" x14ac:dyDescent="0.35">
      <c r="A565" s="1">
        <v>4007825</v>
      </c>
      <c r="B565" s="15">
        <v>9.99</v>
      </c>
      <c r="C565" s="1" t="s">
        <v>3200</v>
      </c>
      <c r="D565" s="6">
        <v>1</v>
      </c>
    </row>
    <row r="566" spans="1:4" x14ac:dyDescent="0.35">
      <c r="A566" s="1">
        <v>4007843</v>
      </c>
      <c r="B566" s="15">
        <v>1.48</v>
      </c>
      <c r="C566" s="1" t="s">
        <v>3200</v>
      </c>
      <c r="D566" s="6">
        <v>1</v>
      </c>
    </row>
    <row r="567" spans="1:4" x14ac:dyDescent="0.35">
      <c r="A567" s="1">
        <v>4008002</v>
      </c>
      <c r="B567" s="15">
        <v>445.16</v>
      </c>
      <c r="C567" s="1" t="s">
        <v>3200</v>
      </c>
      <c r="D567" s="6">
        <v>1</v>
      </c>
    </row>
    <row r="568" spans="1:4" x14ac:dyDescent="0.35">
      <c r="A568" s="1">
        <v>4008010</v>
      </c>
      <c r="B568" s="15">
        <v>12.58</v>
      </c>
      <c r="C568" s="1" t="s">
        <v>3200</v>
      </c>
      <c r="D568" s="6">
        <v>1</v>
      </c>
    </row>
    <row r="569" spans="1:4" x14ac:dyDescent="0.35">
      <c r="A569" s="1">
        <v>4008022</v>
      </c>
      <c r="B569" s="15">
        <v>54.78</v>
      </c>
      <c r="C569" s="1" t="s">
        <v>3200</v>
      </c>
      <c r="D569" s="6">
        <v>1</v>
      </c>
    </row>
    <row r="570" spans="1:4" x14ac:dyDescent="0.35">
      <c r="A570" s="1">
        <v>4008023</v>
      </c>
      <c r="B570" s="15">
        <v>9.25</v>
      </c>
      <c r="C570" s="1" t="s">
        <v>3200</v>
      </c>
      <c r="D570" s="6">
        <v>1</v>
      </c>
    </row>
    <row r="571" spans="1:4" x14ac:dyDescent="0.35">
      <c r="A571" s="1">
        <v>4008024</v>
      </c>
      <c r="B571" s="15">
        <v>45.9</v>
      </c>
      <c r="C571" s="1" t="s">
        <v>3200</v>
      </c>
      <c r="D571" s="6">
        <v>1</v>
      </c>
    </row>
    <row r="572" spans="1:4" x14ac:dyDescent="0.35">
      <c r="A572" s="1">
        <v>4008026</v>
      </c>
      <c r="B572" s="15">
        <v>6.25</v>
      </c>
      <c r="C572" s="1" t="s">
        <v>3200</v>
      </c>
      <c r="D572" s="6">
        <v>1</v>
      </c>
    </row>
    <row r="573" spans="1:4" x14ac:dyDescent="0.35">
      <c r="A573" s="1">
        <v>4008027</v>
      </c>
      <c r="B573" s="15">
        <v>7.95</v>
      </c>
      <c r="C573" s="1" t="s">
        <v>3200</v>
      </c>
      <c r="D573" s="6">
        <v>1</v>
      </c>
    </row>
    <row r="574" spans="1:4" x14ac:dyDescent="0.35">
      <c r="A574" s="1">
        <v>4008033</v>
      </c>
      <c r="B574" s="15">
        <v>0.01</v>
      </c>
      <c r="C574" s="1" t="s">
        <v>3201</v>
      </c>
      <c r="D574" s="6">
        <v>100</v>
      </c>
    </row>
    <row r="575" spans="1:4" x14ac:dyDescent="0.35">
      <c r="A575" s="1">
        <v>4008034</v>
      </c>
      <c r="B575" s="15">
        <v>57.83</v>
      </c>
      <c r="C575" s="1" t="s">
        <v>3200</v>
      </c>
      <c r="D575" s="6">
        <v>1</v>
      </c>
    </row>
    <row r="576" spans="1:4" x14ac:dyDescent="0.35">
      <c r="A576" s="1">
        <v>4008035</v>
      </c>
      <c r="B576" s="15">
        <v>251.63</v>
      </c>
      <c r="C576" s="1" t="s">
        <v>3200</v>
      </c>
      <c r="D576" s="6">
        <v>1</v>
      </c>
    </row>
    <row r="577" spans="1:4" x14ac:dyDescent="0.35">
      <c r="A577" s="1">
        <v>4008075</v>
      </c>
      <c r="B577" s="15">
        <v>0.01</v>
      </c>
      <c r="C577" s="1" t="s">
        <v>3201</v>
      </c>
      <c r="D577" s="6">
        <v>1</v>
      </c>
    </row>
    <row r="578" spans="1:4" x14ac:dyDescent="0.35">
      <c r="A578" s="1">
        <v>4008076</v>
      </c>
      <c r="B578" s="15">
        <v>0.7923</v>
      </c>
      <c r="C578" s="1" t="s">
        <v>3200</v>
      </c>
      <c r="D578" s="6">
        <v>100</v>
      </c>
    </row>
    <row r="579" spans="1:4" x14ac:dyDescent="0.35">
      <c r="A579" s="1">
        <v>4008077</v>
      </c>
      <c r="B579" s="15">
        <v>9.9900000000000003E-2</v>
      </c>
      <c r="C579" s="1" t="s">
        <v>3200</v>
      </c>
      <c r="D579" s="6">
        <v>100</v>
      </c>
    </row>
    <row r="580" spans="1:4" x14ac:dyDescent="0.35">
      <c r="A580" s="1">
        <v>4008079</v>
      </c>
      <c r="B580" s="15">
        <v>6.9</v>
      </c>
      <c r="C580" s="1" t="s">
        <v>3200</v>
      </c>
      <c r="D580" s="6">
        <v>1</v>
      </c>
    </row>
    <row r="581" spans="1:4" x14ac:dyDescent="0.35">
      <c r="A581" s="1">
        <v>4008095</v>
      </c>
      <c r="B581" s="15">
        <v>2</v>
      </c>
      <c r="C581" s="1" t="s">
        <v>3200</v>
      </c>
      <c r="D581" s="6">
        <v>1</v>
      </c>
    </row>
    <row r="582" spans="1:4" x14ac:dyDescent="0.35">
      <c r="A582" s="1">
        <v>4008096</v>
      </c>
      <c r="B582" s="15">
        <v>4.79</v>
      </c>
      <c r="C582" s="1" t="s">
        <v>3200</v>
      </c>
      <c r="D582" s="6">
        <v>1</v>
      </c>
    </row>
    <row r="583" spans="1:4" x14ac:dyDescent="0.35">
      <c r="A583" s="1">
        <v>4008099</v>
      </c>
      <c r="B583" s="15">
        <v>14.56</v>
      </c>
      <c r="C583" s="1" t="s">
        <v>3200</v>
      </c>
      <c r="D583" s="6">
        <v>1</v>
      </c>
    </row>
    <row r="584" spans="1:4" x14ac:dyDescent="0.35">
      <c r="A584" s="1">
        <v>4008100</v>
      </c>
      <c r="B584" s="15">
        <v>0.01</v>
      </c>
      <c r="C584" s="1" t="s">
        <v>3201</v>
      </c>
      <c r="D584" s="6">
        <v>1</v>
      </c>
    </row>
    <row r="585" spans="1:4" x14ac:dyDescent="0.35">
      <c r="A585" s="1">
        <v>4008106</v>
      </c>
      <c r="B585" s="15">
        <v>1.1738</v>
      </c>
      <c r="C585" s="1" t="s">
        <v>3200</v>
      </c>
      <c r="D585" s="6">
        <v>100</v>
      </c>
    </row>
    <row r="586" spans="1:4" x14ac:dyDescent="0.35">
      <c r="A586" s="1">
        <v>4008108</v>
      </c>
      <c r="B586" s="15">
        <v>43.04</v>
      </c>
      <c r="C586" s="1" t="s">
        <v>3200</v>
      </c>
      <c r="D586" s="6">
        <v>1</v>
      </c>
    </row>
    <row r="587" spans="1:4" x14ac:dyDescent="0.35">
      <c r="A587" s="1">
        <v>4008109</v>
      </c>
      <c r="B587" s="15">
        <v>4.95</v>
      </c>
      <c r="C587" s="1" t="s">
        <v>3200</v>
      </c>
      <c r="D587" s="6">
        <v>1</v>
      </c>
    </row>
    <row r="588" spans="1:4" x14ac:dyDescent="0.35">
      <c r="A588" s="1">
        <v>4008110</v>
      </c>
      <c r="B588" s="15">
        <v>3.44</v>
      </c>
      <c r="C588" s="1" t="s">
        <v>3200</v>
      </c>
      <c r="D588" s="6">
        <v>1</v>
      </c>
    </row>
    <row r="589" spans="1:4" x14ac:dyDescent="0.35">
      <c r="A589" s="1">
        <v>4008121</v>
      </c>
      <c r="B589" s="15">
        <v>65</v>
      </c>
      <c r="C589" s="1" t="s">
        <v>3200</v>
      </c>
      <c r="D589" s="6">
        <v>1</v>
      </c>
    </row>
    <row r="590" spans="1:4" x14ac:dyDescent="0.35">
      <c r="A590" s="1">
        <v>4008122</v>
      </c>
      <c r="B590" s="15">
        <v>9.5500000000000002E-2</v>
      </c>
      <c r="C590" s="1" t="s">
        <v>3200</v>
      </c>
      <c r="D590" s="6">
        <v>100</v>
      </c>
    </row>
    <row r="591" spans="1:4" x14ac:dyDescent="0.35">
      <c r="A591" s="1">
        <v>4008123</v>
      </c>
      <c r="B591" s="15">
        <v>83.12</v>
      </c>
      <c r="C591" s="1" t="s">
        <v>3200</v>
      </c>
      <c r="D591" s="6">
        <v>1</v>
      </c>
    </row>
    <row r="592" spans="1:4" x14ac:dyDescent="0.35">
      <c r="A592" s="1">
        <v>4008124</v>
      </c>
      <c r="B592" s="15">
        <v>87.92</v>
      </c>
      <c r="C592" s="1" t="s">
        <v>3200</v>
      </c>
      <c r="D592" s="6">
        <v>1</v>
      </c>
    </row>
    <row r="593" spans="1:4" x14ac:dyDescent="0.35">
      <c r="A593" s="1">
        <v>4008133</v>
      </c>
      <c r="B593" s="15">
        <v>186.33</v>
      </c>
      <c r="C593" s="1" t="s">
        <v>3200</v>
      </c>
      <c r="D593" s="6">
        <v>1</v>
      </c>
    </row>
    <row r="594" spans="1:4" x14ac:dyDescent="0.35">
      <c r="A594" s="1">
        <v>4008142</v>
      </c>
      <c r="B594" s="15">
        <v>18.53</v>
      </c>
      <c r="C594" s="1" t="s">
        <v>3200</v>
      </c>
      <c r="D594" s="6">
        <v>1</v>
      </c>
    </row>
    <row r="595" spans="1:4" x14ac:dyDescent="0.35">
      <c r="A595" s="1">
        <v>4008143</v>
      </c>
      <c r="B595" s="15">
        <v>31.5</v>
      </c>
      <c r="C595" s="1" t="s">
        <v>3200</v>
      </c>
      <c r="D595" s="6">
        <v>1</v>
      </c>
    </row>
    <row r="596" spans="1:4" x14ac:dyDescent="0.35">
      <c r="A596" s="1">
        <v>4008145</v>
      </c>
      <c r="B596" s="15">
        <v>10.61</v>
      </c>
      <c r="C596" s="1" t="s">
        <v>3200</v>
      </c>
      <c r="D596" s="6">
        <v>1</v>
      </c>
    </row>
    <row r="597" spans="1:4" x14ac:dyDescent="0.35">
      <c r="A597" s="1">
        <v>4008148</v>
      </c>
      <c r="B597" s="15">
        <v>1.1293</v>
      </c>
      <c r="C597" s="1" t="s">
        <v>3200</v>
      </c>
      <c r="D597" s="6">
        <v>100</v>
      </c>
    </row>
    <row r="598" spans="1:4" x14ac:dyDescent="0.35">
      <c r="A598" s="1">
        <v>4008152</v>
      </c>
      <c r="B598" s="15">
        <v>197.35</v>
      </c>
      <c r="C598" s="1" t="s">
        <v>3200</v>
      </c>
      <c r="D598" s="6">
        <v>1</v>
      </c>
    </row>
    <row r="599" spans="1:4" x14ac:dyDescent="0.35">
      <c r="A599" s="1">
        <v>4008157</v>
      </c>
      <c r="B599" s="15">
        <v>6.02</v>
      </c>
      <c r="C599" s="1" t="s">
        <v>3200</v>
      </c>
      <c r="D599" s="6">
        <v>1</v>
      </c>
    </row>
    <row r="600" spans="1:4" x14ac:dyDescent="0.35">
      <c r="A600" s="1">
        <v>4008159</v>
      </c>
      <c r="B600" s="15">
        <v>6.47</v>
      </c>
      <c r="C600" s="1" t="s">
        <v>3200</v>
      </c>
      <c r="D600" s="6">
        <v>1</v>
      </c>
    </row>
    <row r="601" spans="1:4" x14ac:dyDescent="0.35">
      <c r="A601" s="1">
        <v>4008161</v>
      </c>
      <c r="B601" s="15">
        <v>3.83</v>
      </c>
      <c r="C601" s="1" t="s">
        <v>3200</v>
      </c>
      <c r="D601" s="6">
        <v>1</v>
      </c>
    </row>
    <row r="602" spans="1:4" x14ac:dyDescent="0.35">
      <c r="A602" s="1">
        <v>4008184</v>
      </c>
      <c r="B602" s="15">
        <v>46.97</v>
      </c>
      <c r="C602" s="1" t="s">
        <v>3200</v>
      </c>
      <c r="D602" s="6">
        <v>1</v>
      </c>
    </row>
    <row r="603" spans="1:4" x14ac:dyDescent="0.35">
      <c r="A603" s="1">
        <v>4008194</v>
      </c>
      <c r="B603" s="15">
        <v>5</v>
      </c>
      <c r="C603" s="1" t="s">
        <v>3200</v>
      </c>
      <c r="D603" s="6">
        <v>1</v>
      </c>
    </row>
    <row r="604" spans="1:4" x14ac:dyDescent="0.35">
      <c r="A604" s="1">
        <v>4008197</v>
      </c>
      <c r="B604" s="15">
        <v>14.5</v>
      </c>
      <c r="C604" s="1" t="s">
        <v>3200</v>
      </c>
      <c r="D604" s="6">
        <v>1</v>
      </c>
    </row>
    <row r="605" spans="1:4" x14ac:dyDescent="0.35">
      <c r="A605" s="1">
        <v>4008198</v>
      </c>
      <c r="B605" s="15">
        <v>15.12</v>
      </c>
      <c r="C605" s="1" t="s">
        <v>3200</v>
      </c>
      <c r="D605" s="6">
        <v>1</v>
      </c>
    </row>
    <row r="606" spans="1:4" x14ac:dyDescent="0.35">
      <c r="A606" s="1">
        <v>4008201</v>
      </c>
      <c r="B606" s="15">
        <v>16.54</v>
      </c>
      <c r="C606" s="1" t="s">
        <v>3200</v>
      </c>
      <c r="D606" s="6">
        <v>1</v>
      </c>
    </row>
    <row r="607" spans="1:4" x14ac:dyDescent="0.35">
      <c r="A607" s="1">
        <v>4008203</v>
      </c>
      <c r="B607" s="15">
        <v>19.95</v>
      </c>
      <c r="C607" s="1" t="s">
        <v>3200</v>
      </c>
      <c r="D607" s="6">
        <v>1</v>
      </c>
    </row>
    <row r="608" spans="1:4" x14ac:dyDescent="0.35">
      <c r="A608" s="1">
        <v>4008204</v>
      </c>
      <c r="B608" s="15">
        <v>0.01</v>
      </c>
      <c r="C608" s="1" t="s">
        <v>3201</v>
      </c>
      <c r="D608" s="6">
        <v>1</v>
      </c>
    </row>
    <row r="609" spans="1:4" x14ac:dyDescent="0.35">
      <c r="A609" s="1">
        <v>4008206</v>
      </c>
      <c r="B609" s="15">
        <v>101.59</v>
      </c>
      <c r="C609" s="1" t="s">
        <v>3200</v>
      </c>
      <c r="D609" s="6">
        <v>1</v>
      </c>
    </row>
    <row r="610" spans="1:4" x14ac:dyDescent="0.35">
      <c r="A610" s="1">
        <v>4008209</v>
      </c>
      <c r="B610" s="15">
        <v>1E-4</v>
      </c>
      <c r="C610" s="1" t="s">
        <v>3201</v>
      </c>
      <c r="D610" s="6">
        <v>100</v>
      </c>
    </row>
    <row r="611" spans="1:4" x14ac:dyDescent="0.35">
      <c r="A611" s="1">
        <v>4008211</v>
      </c>
      <c r="B611" s="15">
        <v>198.13</v>
      </c>
      <c r="C611" s="1" t="s">
        <v>3200</v>
      </c>
      <c r="D611" s="6">
        <v>1</v>
      </c>
    </row>
    <row r="612" spans="1:4" x14ac:dyDescent="0.35">
      <c r="A612" s="1">
        <v>4008212</v>
      </c>
      <c r="B612" s="15">
        <v>111.58</v>
      </c>
      <c r="C612" s="1" t="s">
        <v>3200</v>
      </c>
      <c r="D612" s="6">
        <v>1</v>
      </c>
    </row>
    <row r="613" spans="1:4" x14ac:dyDescent="0.35">
      <c r="A613" s="1">
        <v>4008213</v>
      </c>
      <c r="B613" s="15">
        <v>106.21</v>
      </c>
      <c r="C613" s="1" t="s">
        <v>3200</v>
      </c>
      <c r="D613" s="6">
        <v>1</v>
      </c>
    </row>
    <row r="614" spans="1:4" x14ac:dyDescent="0.35">
      <c r="A614" s="1">
        <v>4008214</v>
      </c>
      <c r="B614" s="15">
        <v>151.85</v>
      </c>
      <c r="C614" s="1" t="s">
        <v>3200</v>
      </c>
      <c r="D614" s="6">
        <v>1</v>
      </c>
    </row>
    <row r="615" spans="1:4" x14ac:dyDescent="0.35">
      <c r="A615" s="1">
        <v>4008217</v>
      </c>
      <c r="B615" s="15">
        <v>47.99</v>
      </c>
      <c r="C615" s="1" t="s">
        <v>3200</v>
      </c>
      <c r="D615" s="6">
        <v>1</v>
      </c>
    </row>
    <row r="616" spans="1:4" x14ac:dyDescent="0.35">
      <c r="A616" s="1">
        <v>4008222</v>
      </c>
      <c r="B616" s="15">
        <v>75</v>
      </c>
      <c r="C616" s="1" t="s">
        <v>3200</v>
      </c>
      <c r="D616" s="6">
        <v>1</v>
      </c>
    </row>
    <row r="617" spans="1:4" x14ac:dyDescent="0.35">
      <c r="A617" s="1">
        <v>4008223</v>
      </c>
      <c r="B617" s="15">
        <v>19.68</v>
      </c>
      <c r="C617" s="1" t="s">
        <v>3200</v>
      </c>
      <c r="D617" s="6">
        <v>1</v>
      </c>
    </row>
    <row r="618" spans="1:4" x14ac:dyDescent="0.35">
      <c r="A618" s="1">
        <v>4008239</v>
      </c>
      <c r="B618" s="15">
        <v>52.22</v>
      </c>
      <c r="C618" s="1" t="s">
        <v>3200</v>
      </c>
      <c r="D618" s="6">
        <v>1</v>
      </c>
    </row>
    <row r="619" spans="1:4" x14ac:dyDescent="0.35">
      <c r="A619" s="1">
        <v>4008245</v>
      </c>
      <c r="B619" s="15">
        <v>79.239999999999995</v>
      </c>
      <c r="C619" s="1" t="s">
        <v>3200</v>
      </c>
      <c r="D619" s="6">
        <v>1</v>
      </c>
    </row>
    <row r="620" spans="1:4" x14ac:dyDescent="0.35">
      <c r="A620" s="1">
        <v>4008247</v>
      </c>
      <c r="B620" s="15">
        <v>11.57</v>
      </c>
      <c r="C620" s="1" t="s">
        <v>3200</v>
      </c>
      <c r="D620" s="6">
        <v>1</v>
      </c>
    </row>
    <row r="621" spans="1:4" x14ac:dyDescent="0.35">
      <c r="A621" s="1">
        <v>4008248</v>
      </c>
      <c r="B621" s="15">
        <v>43.23</v>
      </c>
      <c r="C621" s="1" t="s">
        <v>3200</v>
      </c>
      <c r="D621" s="6">
        <v>1</v>
      </c>
    </row>
    <row r="622" spans="1:4" x14ac:dyDescent="0.35">
      <c r="A622" s="1">
        <v>4008253</v>
      </c>
      <c r="B622" s="15">
        <v>167.22</v>
      </c>
      <c r="C622" s="1" t="s">
        <v>3200</v>
      </c>
      <c r="D622" s="6">
        <v>1</v>
      </c>
    </row>
    <row r="623" spans="1:4" x14ac:dyDescent="0.35">
      <c r="A623" s="1">
        <v>4008254</v>
      </c>
      <c r="B623" s="15">
        <v>151.56</v>
      </c>
      <c r="C623" s="1" t="s">
        <v>3200</v>
      </c>
      <c r="D623" s="6">
        <v>1</v>
      </c>
    </row>
    <row r="624" spans="1:4" x14ac:dyDescent="0.35">
      <c r="A624" s="1">
        <v>4008258</v>
      </c>
      <c r="B624" s="15">
        <v>18.010000000000002</v>
      </c>
      <c r="C624" s="1" t="s">
        <v>3200</v>
      </c>
      <c r="D624" s="6">
        <v>1</v>
      </c>
    </row>
    <row r="625" spans="1:4" x14ac:dyDescent="0.35">
      <c r="A625" s="1">
        <v>4008259</v>
      </c>
      <c r="B625" s="15">
        <v>11.65</v>
      </c>
      <c r="C625" s="1" t="s">
        <v>3200</v>
      </c>
      <c r="D625" s="6">
        <v>1</v>
      </c>
    </row>
    <row r="626" spans="1:4" x14ac:dyDescent="0.35">
      <c r="A626" s="1">
        <v>4008263</v>
      </c>
      <c r="B626" s="15">
        <v>0.29959999999999998</v>
      </c>
      <c r="C626" s="1" t="s">
        <v>3200</v>
      </c>
      <c r="D626" s="6">
        <v>100</v>
      </c>
    </row>
    <row r="627" spans="1:4" x14ac:dyDescent="0.35">
      <c r="A627" s="1">
        <v>4008265</v>
      </c>
      <c r="B627" s="15">
        <v>22.62</v>
      </c>
      <c r="C627" s="1" t="s">
        <v>3200</v>
      </c>
      <c r="D627" s="6">
        <v>1</v>
      </c>
    </row>
    <row r="628" spans="1:4" x14ac:dyDescent="0.35">
      <c r="A628" s="1">
        <v>4008266</v>
      </c>
      <c r="B628" s="15">
        <v>10.66</v>
      </c>
      <c r="C628" s="1" t="s">
        <v>3200</v>
      </c>
      <c r="D628" s="6">
        <v>1</v>
      </c>
    </row>
    <row r="629" spans="1:4" x14ac:dyDescent="0.35">
      <c r="A629" s="1">
        <v>4008267</v>
      </c>
      <c r="B629" s="15">
        <v>25.99</v>
      </c>
      <c r="C629" s="1" t="s">
        <v>3200</v>
      </c>
      <c r="D629" s="6">
        <v>1</v>
      </c>
    </row>
    <row r="630" spans="1:4" x14ac:dyDescent="0.35">
      <c r="A630" s="1">
        <v>4008272</v>
      </c>
      <c r="B630" s="15">
        <v>98.64</v>
      </c>
      <c r="C630" s="1" t="s">
        <v>3200</v>
      </c>
      <c r="D630" s="6">
        <v>1</v>
      </c>
    </row>
    <row r="631" spans="1:4" x14ac:dyDescent="0.35">
      <c r="A631" s="1">
        <v>4008274</v>
      </c>
      <c r="B631" s="15">
        <v>21.9</v>
      </c>
      <c r="C631" s="1" t="s">
        <v>3200</v>
      </c>
      <c r="D631" s="6">
        <v>1</v>
      </c>
    </row>
    <row r="632" spans="1:4" x14ac:dyDescent="0.35">
      <c r="A632" s="1">
        <v>4008276</v>
      </c>
      <c r="B632" s="15">
        <v>137.16</v>
      </c>
      <c r="C632" s="1" t="s">
        <v>3200</v>
      </c>
      <c r="D632" s="6">
        <v>1</v>
      </c>
    </row>
    <row r="633" spans="1:4" x14ac:dyDescent="0.35">
      <c r="A633" s="1">
        <v>4008277</v>
      </c>
      <c r="B633" s="15">
        <v>85.08</v>
      </c>
      <c r="C633" s="1" t="s">
        <v>3200</v>
      </c>
      <c r="D633" s="6">
        <v>1</v>
      </c>
    </row>
    <row r="634" spans="1:4" x14ac:dyDescent="0.35">
      <c r="A634" s="1">
        <v>4008278</v>
      </c>
      <c r="B634" s="15">
        <v>460.92</v>
      </c>
      <c r="C634" s="1" t="s">
        <v>3200</v>
      </c>
      <c r="D634" s="6">
        <v>1</v>
      </c>
    </row>
    <row r="635" spans="1:4" x14ac:dyDescent="0.35">
      <c r="A635" s="1">
        <v>4008279</v>
      </c>
      <c r="B635" s="15">
        <v>493.45</v>
      </c>
      <c r="C635" s="1" t="s">
        <v>3200</v>
      </c>
      <c r="D635" s="6">
        <v>1</v>
      </c>
    </row>
    <row r="636" spans="1:4" x14ac:dyDescent="0.35">
      <c r="A636" s="1">
        <v>4008280</v>
      </c>
      <c r="B636" s="15">
        <v>419.22</v>
      </c>
      <c r="C636" s="1" t="s">
        <v>3200</v>
      </c>
      <c r="D636" s="6">
        <v>1</v>
      </c>
    </row>
    <row r="637" spans="1:4" x14ac:dyDescent="0.35">
      <c r="A637" s="1">
        <v>4008289</v>
      </c>
      <c r="B637" s="15">
        <v>10.220000000000001</v>
      </c>
      <c r="C637" s="1" t="s">
        <v>3200</v>
      </c>
      <c r="D637" s="6">
        <v>1</v>
      </c>
    </row>
    <row r="638" spans="1:4" x14ac:dyDescent="0.35">
      <c r="A638" s="1">
        <v>4008290</v>
      </c>
      <c r="B638" s="15">
        <v>0.01</v>
      </c>
      <c r="C638" s="1" t="s">
        <v>3201</v>
      </c>
      <c r="D638" s="6">
        <v>1</v>
      </c>
    </row>
    <row r="639" spans="1:4" x14ac:dyDescent="0.35">
      <c r="A639" s="1">
        <v>4008291</v>
      </c>
      <c r="B639" s="15">
        <v>17.86</v>
      </c>
      <c r="C639" s="1" t="s">
        <v>3200</v>
      </c>
      <c r="D639" s="6">
        <v>1</v>
      </c>
    </row>
    <row r="640" spans="1:4" x14ac:dyDescent="0.35">
      <c r="A640" s="1">
        <v>4008292</v>
      </c>
      <c r="B640" s="15">
        <v>17.86</v>
      </c>
      <c r="C640" s="1" t="s">
        <v>3200</v>
      </c>
      <c r="D640" s="6">
        <v>1</v>
      </c>
    </row>
    <row r="641" spans="1:4" x14ac:dyDescent="0.35">
      <c r="A641" s="1">
        <v>4008295</v>
      </c>
      <c r="B641" s="15">
        <v>8.8000000000000007</v>
      </c>
      <c r="C641" s="1" t="s">
        <v>3200</v>
      </c>
      <c r="D641" s="6">
        <v>1</v>
      </c>
    </row>
    <row r="642" spans="1:4" x14ac:dyDescent="0.35">
      <c r="A642" s="1">
        <v>4008296</v>
      </c>
      <c r="B642" s="15">
        <v>4.13</v>
      </c>
      <c r="C642" s="1" t="s">
        <v>3200</v>
      </c>
      <c r="D642" s="6">
        <v>1</v>
      </c>
    </row>
    <row r="643" spans="1:4" x14ac:dyDescent="0.35">
      <c r="A643" s="1">
        <v>4008297</v>
      </c>
      <c r="B643" s="15">
        <v>45.51</v>
      </c>
      <c r="C643" s="1" t="s">
        <v>3200</v>
      </c>
      <c r="D643" s="6">
        <v>1</v>
      </c>
    </row>
    <row r="644" spans="1:4" x14ac:dyDescent="0.35">
      <c r="A644" s="1">
        <v>4008299</v>
      </c>
      <c r="B644" s="15">
        <v>0.01</v>
      </c>
      <c r="C644" s="1" t="s">
        <v>3201</v>
      </c>
      <c r="D644" s="6">
        <v>1</v>
      </c>
    </row>
    <row r="645" spans="1:4" x14ac:dyDescent="0.35">
      <c r="A645" s="1">
        <v>4008307</v>
      </c>
      <c r="B645" s="15">
        <v>7673.76</v>
      </c>
      <c r="C645" s="1" t="s">
        <v>3200</v>
      </c>
      <c r="D645" s="6">
        <v>1</v>
      </c>
    </row>
    <row r="646" spans="1:4" x14ac:dyDescent="0.35">
      <c r="A646" s="1">
        <v>4008308</v>
      </c>
      <c r="B646" s="15">
        <v>212.97</v>
      </c>
      <c r="C646" s="1" t="s">
        <v>3200</v>
      </c>
      <c r="D646" s="6">
        <v>1</v>
      </c>
    </row>
    <row r="647" spans="1:4" x14ac:dyDescent="0.35">
      <c r="A647" s="1">
        <v>4008314</v>
      </c>
      <c r="B647" s="15">
        <v>26.59</v>
      </c>
      <c r="C647" s="1" t="s">
        <v>3200</v>
      </c>
      <c r="D647" s="6">
        <v>1</v>
      </c>
    </row>
    <row r="648" spans="1:4" x14ac:dyDescent="0.35">
      <c r="A648" s="1">
        <v>4008327</v>
      </c>
      <c r="B648" s="15">
        <v>52.69</v>
      </c>
      <c r="C648" s="1" t="s">
        <v>3200</v>
      </c>
      <c r="D648" s="6">
        <v>1</v>
      </c>
    </row>
    <row r="649" spans="1:4" x14ac:dyDescent="0.35">
      <c r="A649" s="1">
        <v>4008328</v>
      </c>
      <c r="B649" s="15">
        <v>0.1061</v>
      </c>
      <c r="C649" s="1" t="s">
        <v>3200</v>
      </c>
      <c r="D649" s="6">
        <v>100</v>
      </c>
    </row>
    <row r="650" spans="1:4" x14ac:dyDescent="0.35">
      <c r="A650" s="1">
        <v>4008333</v>
      </c>
      <c r="B650" s="15">
        <v>85.07</v>
      </c>
      <c r="C650" s="1" t="s">
        <v>3200</v>
      </c>
      <c r="D650" s="6">
        <v>1</v>
      </c>
    </row>
    <row r="651" spans="1:4" x14ac:dyDescent="0.35">
      <c r="A651" s="1">
        <v>4008334</v>
      </c>
      <c r="B651" s="15">
        <v>7.06</v>
      </c>
      <c r="C651" s="1" t="s">
        <v>3200</v>
      </c>
      <c r="D651" s="6">
        <v>1</v>
      </c>
    </row>
    <row r="652" spans="1:4" x14ac:dyDescent="0.35">
      <c r="A652" s="1">
        <v>4008335</v>
      </c>
      <c r="B652" s="15">
        <v>0.19450000000000001</v>
      </c>
      <c r="C652" s="1" t="s">
        <v>3200</v>
      </c>
      <c r="D652" s="6">
        <v>100</v>
      </c>
    </row>
    <row r="653" spans="1:4" x14ac:dyDescent="0.35">
      <c r="A653" s="1">
        <v>4008336</v>
      </c>
      <c r="B653" s="15">
        <v>0.17069999999999999</v>
      </c>
      <c r="C653" s="1" t="s">
        <v>3200</v>
      </c>
      <c r="D653" s="6">
        <v>100</v>
      </c>
    </row>
    <row r="654" spans="1:4" x14ac:dyDescent="0.35">
      <c r="A654" s="1">
        <v>4008337</v>
      </c>
      <c r="B654" s="15">
        <v>2.4700000000000002</v>
      </c>
      <c r="C654" s="1" t="s">
        <v>3200</v>
      </c>
      <c r="D654" s="6">
        <v>1</v>
      </c>
    </row>
    <row r="655" spans="1:4" x14ac:dyDescent="0.35">
      <c r="A655" s="1">
        <v>4008338</v>
      </c>
      <c r="B655" s="15">
        <v>65</v>
      </c>
      <c r="C655" s="1" t="s">
        <v>3200</v>
      </c>
      <c r="D655" s="6">
        <v>1</v>
      </c>
    </row>
    <row r="656" spans="1:4" x14ac:dyDescent="0.35">
      <c r="A656" s="1">
        <v>4008339</v>
      </c>
      <c r="B656" s="15">
        <v>2.31</v>
      </c>
      <c r="C656" s="1" t="s">
        <v>3200</v>
      </c>
      <c r="D656" s="6">
        <v>1</v>
      </c>
    </row>
    <row r="657" spans="1:4" x14ac:dyDescent="0.35">
      <c r="A657" s="1">
        <v>4008340</v>
      </c>
      <c r="B657" s="15">
        <v>0.34399999999999997</v>
      </c>
      <c r="C657" s="1" t="s">
        <v>3200</v>
      </c>
      <c r="D657" s="6">
        <v>100</v>
      </c>
    </row>
    <row r="658" spans="1:4" x14ac:dyDescent="0.35">
      <c r="A658" s="1">
        <v>4008342</v>
      </c>
      <c r="B658" s="15">
        <v>43.44</v>
      </c>
      <c r="C658" s="1" t="s">
        <v>3200</v>
      </c>
      <c r="D658" s="6">
        <v>1</v>
      </c>
    </row>
    <row r="659" spans="1:4" x14ac:dyDescent="0.35">
      <c r="A659" s="1">
        <v>4008343</v>
      </c>
      <c r="B659" s="15">
        <v>1.7</v>
      </c>
      <c r="C659" s="1" t="s">
        <v>3200</v>
      </c>
      <c r="D659" s="6">
        <v>1</v>
      </c>
    </row>
    <row r="660" spans="1:4" x14ac:dyDescent="0.35">
      <c r="A660" s="1">
        <v>4008345</v>
      </c>
      <c r="B660" s="15">
        <v>31.48</v>
      </c>
      <c r="C660" s="1" t="s">
        <v>3200</v>
      </c>
      <c r="D660" s="6">
        <v>1</v>
      </c>
    </row>
    <row r="661" spans="1:4" x14ac:dyDescent="0.35">
      <c r="A661" s="1">
        <v>4008346</v>
      </c>
      <c r="B661" s="15">
        <v>0.2417</v>
      </c>
      <c r="C661" s="1" t="s">
        <v>3200</v>
      </c>
      <c r="D661" s="6">
        <v>100</v>
      </c>
    </row>
    <row r="662" spans="1:4" x14ac:dyDescent="0.35">
      <c r="A662" s="1">
        <v>4008347</v>
      </c>
      <c r="B662" s="15">
        <v>0.5</v>
      </c>
      <c r="C662" s="1" t="s">
        <v>3200</v>
      </c>
      <c r="D662" s="6">
        <v>100</v>
      </c>
    </row>
    <row r="663" spans="1:4" x14ac:dyDescent="0.35">
      <c r="A663" s="1">
        <v>4008354</v>
      </c>
      <c r="B663" s="15">
        <v>229.65</v>
      </c>
      <c r="C663" s="1" t="s">
        <v>3200</v>
      </c>
      <c r="D663" s="6">
        <v>1</v>
      </c>
    </row>
    <row r="664" spans="1:4" x14ac:dyDescent="0.35">
      <c r="A664" s="1">
        <v>4008377</v>
      </c>
      <c r="B664" s="15">
        <v>50.33</v>
      </c>
      <c r="C664" s="1" t="s">
        <v>3200</v>
      </c>
      <c r="D664" s="6">
        <v>1</v>
      </c>
    </row>
    <row r="665" spans="1:4" x14ac:dyDescent="0.35">
      <c r="A665" s="1">
        <v>4008378</v>
      </c>
      <c r="B665" s="15">
        <v>62.27</v>
      </c>
      <c r="C665" s="1" t="s">
        <v>3200</v>
      </c>
      <c r="D665" s="6">
        <v>1</v>
      </c>
    </row>
    <row r="666" spans="1:4" x14ac:dyDescent="0.35">
      <c r="A666" s="1">
        <v>4008379</v>
      </c>
      <c r="B666" s="15">
        <v>60.68</v>
      </c>
      <c r="C666" s="1" t="s">
        <v>3200</v>
      </c>
      <c r="D666" s="6">
        <v>1</v>
      </c>
    </row>
    <row r="667" spans="1:4" x14ac:dyDescent="0.35">
      <c r="A667" s="1">
        <v>4008380</v>
      </c>
      <c r="B667" s="15">
        <v>69.02</v>
      </c>
      <c r="C667" s="1" t="s">
        <v>3200</v>
      </c>
      <c r="D667" s="6">
        <v>1</v>
      </c>
    </row>
    <row r="668" spans="1:4" x14ac:dyDescent="0.35">
      <c r="A668" s="1">
        <v>4008387</v>
      </c>
      <c r="B668" s="15">
        <v>79.3</v>
      </c>
      <c r="C668" s="1" t="s">
        <v>3200</v>
      </c>
      <c r="D668" s="6">
        <v>1</v>
      </c>
    </row>
    <row r="669" spans="1:4" x14ac:dyDescent="0.35">
      <c r="A669" s="1">
        <v>4008388</v>
      </c>
      <c r="B669" s="15">
        <v>4.2</v>
      </c>
      <c r="C669" s="1" t="s">
        <v>3200</v>
      </c>
      <c r="D669" s="6">
        <v>1</v>
      </c>
    </row>
    <row r="670" spans="1:4" x14ac:dyDescent="0.35">
      <c r="A670" s="1">
        <v>4008411</v>
      </c>
      <c r="B670" s="15">
        <v>112.67</v>
      </c>
      <c r="C670" s="1" t="s">
        <v>3200</v>
      </c>
      <c r="D670" s="6">
        <v>1</v>
      </c>
    </row>
    <row r="671" spans="1:4" x14ac:dyDescent="0.35">
      <c r="A671" s="1">
        <v>4008412</v>
      </c>
      <c r="B671" s="15">
        <v>2.56</v>
      </c>
      <c r="C671" s="1" t="s">
        <v>3200</v>
      </c>
      <c r="D671" s="6">
        <v>1</v>
      </c>
    </row>
    <row r="672" spans="1:4" x14ac:dyDescent="0.35">
      <c r="A672" s="1">
        <v>4008413</v>
      </c>
      <c r="B672" s="15">
        <v>0.92</v>
      </c>
      <c r="C672" s="1" t="s">
        <v>3200</v>
      </c>
      <c r="D672" s="6">
        <v>1</v>
      </c>
    </row>
    <row r="673" spans="1:4" x14ac:dyDescent="0.35">
      <c r="A673" s="1">
        <v>4008414</v>
      </c>
      <c r="B673" s="15">
        <v>12.09</v>
      </c>
      <c r="C673" s="1" t="s">
        <v>3200</v>
      </c>
      <c r="D673" s="6">
        <v>1</v>
      </c>
    </row>
    <row r="674" spans="1:4" x14ac:dyDescent="0.35">
      <c r="A674" s="1">
        <v>4008419</v>
      </c>
      <c r="B674" s="15">
        <v>5.77</v>
      </c>
      <c r="C674" s="1" t="s">
        <v>3200</v>
      </c>
      <c r="D674" s="6">
        <v>1</v>
      </c>
    </row>
    <row r="675" spans="1:4" x14ac:dyDescent="0.35">
      <c r="A675" s="1">
        <v>4008431</v>
      </c>
      <c r="B675" s="15">
        <v>4.4400000000000004</v>
      </c>
      <c r="C675" s="1" t="s">
        <v>3200</v>
      </c>
      <c r="D675" s="6">
        <v>1</v>
      </c>
    </row>
    <row r="676" spans="1:4" x14ac:dyDescent="0.35">
      <c r="A676" s="1">
        <v>4008432</v>
      </c>
      <c r="B676" s="15">
        <v>0.01</v>
      </c>
      <c r="C676" s="1" t="s">
        <v>3201</v>
      </c>
      <c r="D676" s="6">
        <v>1</v>
      </c>
    </row>
    <row r="677" spans="1:4" x14ac:dyDescent="0.35">
      <c r="A677" s="1">
        <v>4008436</v>
      </c>
      <c r="B677" s="15">
        <v>17.78</v>
      </c>
      <c r="C677" s="1" t="s">
        <v>3200</v>
      </c>
      <c r="D677" s="6">
        <v>1</v>
      </c>
    </row>
    <row r="678" spans="1:4" x14ac:dyDescent="0.35">
      <c r="A678" s="1">
        <v>4008438</v>
      </c>
      <c r="B678" s="15">
        <v>2.7</v>
      </c>
      <c r="C678" s="1" t="s">
        <v>3200</v>
      </c>
      <c r="D678" s="6">
        <v>1</v>
      </c>
    </row>
    <row r="679" spans="1:4" x14ac:dyDescent="0.35">
      <c r="A679" s="1">
        <v>4008439</v>
      </c>
      <c r="B679" s="15">
        <v>2.7</v>
      </c>
      <c r="C679" s="1" t="s">
        <v>3200</v>
      </c>
      <c r="D679" s="6">
        <v>1</v>
      </c>
    </row>
    <row r="680" spans="1:4" x14ac:dyDescent="0.35">
      <c r="A680" s="1">
        <v>4008440</v>
      </c>
      <c r="B680" s="15">
        <v>13.5</v>
      </c>
      <c r="C680" s="1" t="s">
        <v>3200</v>
      </c>
      <c r="D680" s="6">
        <v>1</v>
      </c>
    </row>
    <row r="681" spans="1:4" x14ac:dyDescent="0.35">
      <c r="A681" s="1">
        <v>4008441</v>
      </c>
      <c r="B681" s="15">
        <v>62</v>
      </c>
      <c r="C681" s="1" t="s">
        <v>3200</v>
      </c>
      <c r="D681" s="6">
        <v>1</v>
      </c>
    </row>
    <row r="682" spans="1:4" x14ac:dyDescent="0.35">
      <c r="A682" s="1">
        <v>4008446</v>
      </c>
      <c r="B682" s="15">
        <v>196.99</v>
      </c>
      <c r="C682" s="1" t="s">
        <v>3200</v>
      </c>
      <c r="D682" s="6">
        <v>1</v>
      </c>
    </row>
    <row r="683" spans="1:4" x14ac:dyDescent="0.35">
      <c r="A683" s="1">
        <v>4008447</v>
      </c>
      <c r="B683" s="15">
        <v>19.11</v>
      </c>
      <c r="C683" s="1" t="s">
        <v>3200</v>
      </c>
      <c r="D683" s="6">
        <v>1</v>
      </c>
    </row>
    <row r="684" spans="1:4" x14ac:dyDescent="0.35">
      <c r="A684" s="1">
        <v>4008448</v>
      </c>
      <c r="B684" s="15">
        <v>20.420000000000002</v>
      </c>
      <c r="C684" s="1" t="s">
        <v>3200</v>
      </c>
      <c r="D684" s="6">
        <v>1</v>
      </c>
    </row>
    <row r="685" spans="1:4" x14ac:dyDescent="0.35">
      <c r="A685" s="1">
        <v>4008449</v>
      </c>
      <c r="B685" s="15">
        <v>25.25</v>
      </c>
      <c r="C685" s="1" t="s">
        <v>3200</v>
      </c>
      <c r="D685" s="6">
        <v>1</v>
      </c>
    </row>
    <row r="686" spans="1:4" x14ac:dyDescent="0.35">
      <c r="A686" s="1">
        <v>4008450</v>
      </c>
      <c r="B686" s="15">
        <v>0.01</v>
      </c>
      <c r="C686" s="1" t="s">
        <v>3200</v>
      </c>
      <c r="D686" s="6">
        <v>1</v>
      </c>
    </row>
    <row r="687" spans="1:4" x14ac:dyDescent="0.35">
      <c r="A687" s="1">
        <v>4008451</v>
      </c>
      <c r="B687" s="15">
        <v>15.28</v>
      </c>
      <c r="C687" s="1" t="s">
        <v>3200</v>
      </c>
      <c r="D687" s="6">
        <v>1</v>
      </c>
    </row>
    <row r="688" spans="1:4" x14ac:dyDescent="0.35">
      <c r="A688" s="1">
        <v>4008452</v>
      </c>
      <c r="B688" s="15">
        <v>0.01</v>
      </c>
      <c r="C688" s="1" t="s">
        <v>3200</v>
      </c>
      <c r="D688" s="6">
        <v>1</v>
      </c>
    </row>
    <row r="689" spans="1:4" x14ac:dyDescent="0.35">
      <c r="A689" s="1">
        <v>4008453</v>
      </c>
      <c r="B689" s="15">
        <v>19.11</v>
      </c>
      <c r="C689" s="1" t="s">
        <v>3200</v>
      </c>
      <c r="D689" s="6">
        <v>1</v>
      </c>
    </row>
    <row r="690" spans="1:4" x14ac:dyDescent="0.35">
      <c r="A690" s="1">
        <v>4008454</v>
      </c>
      <c r="B690" s="15">
        <v>17.86</v>
      </c>
      <c r="C690" s="1" t="s">
        <v>3200</v>
      </c>
      <c r="D690" s="6">
        <v>1</v>
      </c>
    </row>
    <row r="691" spans="1:4" x14ac:dyDescent="0.35">
      <c r="A691" s="1">
        <v>4008455</v>
      </c>
      <c r="B691" s="15">
        <v>19.11</v>
      </c>
      <c r="C691" s="1" t="s">
        <v>3200</v>
      </c>
      <c r="D691" s="6">
        <v>1</v>
      </c>
    </row>
    <row r="692" spans="1:4" x14ac:dyDescent="0.35">
      <c r="A692" s="1">
        <v>4008456</v>
      </c>
      <c r="B692" s="15">
        <v>17.850000000000001</v>
      </c>
      <c r="C692" s="1" t="s">
        <v>3200</v>
      </c>
      <c r="D692" s="6">
        <v>1</v>
      </c>
    </row>
    <row r="693" spans="1:4" x14ac:dyDescent="0.35">
      <c r="A693" s="1">
        <v>4008457</v>
      </c>
      <c r="B693" s="15">
        <v>26.8</v>
      </c>
      <c r="C693" s="1" t="s">
        <v>3200</v>
      </c>
      <c r="D693" s="6">
        <v>1</v>
      </c>
    </row>
    <row r="694" spans="1:4" x14ac:dyDescent="0.35">
      <c r="A694" s="1">
        <v>4008458</v>
      </c>
      <c r="B694" s="15">
        <v>168.58</v>
      </c>
      <c r="C694" s="1" t="s">
        <v>3200</v>
      </c>
      <c r="D694" s="6">
        <v>1</v>
      </c>
    </row>
    <row r="695" spans="1:4" x14ac:dyDescent="0.35">
      <c r="A695" s="1">
        <v>4008459</v>
      </c>
      <c r="B695" s="15">
        <v>20.92</v>
      </c>
      <c r="C695" s="1" t="s">
        <v>3200</v>
      </c>
      <c r="D695" s="6">
        <v>1</v>
      </c>
    </row>
    <row r="696" spans="1:4" x14ac:dyDescent="0.35">
      <c r="A696" s="1">
        <v>4008460</v>
      </c>
      <c r="B696" s="15">
        <v>25.5</v>
      </c>
      <c r="C696" s="1" t="s">
        <v>3200</v>
      </c>
      <c r="D696" s="6">
        <v>1</v>
      </c>
    </row>
    <row r="697" spans="1:4" x14ac:dyDescent="0.35">
      <c r="A697" s="1">
        <v>4008461</v>
      </c>
      <c r="B697" s="15">
        <v>24.18</v>
      </c>
      <c r="C697" s="1" t="s">
        <v>3200</v>
      </c>
      <c r="D697" s="6">
        <v>1</v>
      </c>
    </row>
    <row r="698" spans="1:4" x14ac:dyDescent="0.35">
      <c r="A698" s="1">
        <v>4008462</v>
      </c>
      <c r="B698" s="15">
        <v>35.69</v>
      </c>
      <c r="C698" s="1" t="s">
        <v>3200</v>
      </c>
      <c r="D698" s="6">
        <v>1</v>
      </c>
    </row>
    <row r="699" spans="1:4" x14ac:dyDescent="0.35">
      <c r="A699" s="1">
        <v>4008463</v>
      </c>
      <c r="B699" s="15">
        <v>20.41</v>
      </c>
      <c r="C699" s="1" t="s">
        <v>3200</v>
      </c>
      <c r="D699" s="6">
        <v>1</v>
      </c>
    </row>
    <row r="700" spans="1:4" x14ac:dyDescent="0.35">
      <c r="A700" s="1">
        <v>4008464</v>
      </c>
      <c r="B700" s="15">
        <v>53.62</v>
      </c>
      <c r="C700" s="1" t="s">
        <v>3200</v>
      </c>
      <c r="D700" s="6">
        <v>1</v>
      </c>
    </row>
    <row r="701" spans="1:4" x14ac:dyDescent="0.35">
      <c r="A701" s="1">
        <v>4008465</v>
      </c>
      <c r="B701" s="15">
        <v>3.27</v>
      </c>
      <c r="C701" s="1" t="s">
        <v>3200</v>
      </c>
      <c r="D701" s="6">
        <v>1</v>
      </c>
    </row>
    <row r="702" spans="1:4" x14ac:dyDescent="0.35">
      <c r="A702" s="1">
        <v>4008466</v>
      </c>
      <c r="B702" s="15">
        <v>3.28</v>
      </c>
      <c r="C702" s="1" t="s">
        <v>3200</v>
      </c>
      <c r="D702" s="6">
        <v>1</v>
      </c>
    </row>
    <row r="703" spans="1:4" x14ac:dyDescent="0.35">
      <c r="A703" s="1">
        <v>4008467</v>
      </c>
      <c r="B703" s="15">
        <v>595.19000000000005</v>
      </c>
      <c r="C703" s="1" t="s">
        <v>3200</v>
      </c>
      <c r="D703" s="6">
        <v>1</v>
      </c>
    </row>
    <row r="704" spans="1:4" x14ac:dyDescent="0.35">
      <c r="A704" s="1">
        <v>4008468</v>
      </c>
      <c r="B704" s="15">
        <v>645.91999999999996</v>
      </c>
      <c r="C704" s="1" t="s">
        <v>3200</v>
      </c>
      <c r="D704" s="6">
        <v>1</v>
      </c>
    </row>
    <row r="705" spans="1:4" x14ac:dyDescent="0.35">
      <c r="A705" s="1">
        <v>4008469</v>
      </c>
      <c r="B705" s="15">
        <v>1002.51</v>
      </c>
      <c r="C705" s="1" t="s">
        <v>3200</v>
      </c>
      <c r="D705" s="6">
        <v>1</v>
      </c>
    </row>
    <row r="706" spans="1:4" x14ac:dyDescent="0.35">
      <c r="A706" s="1">
        <v>4008470</v>
      </c>
      <c r="B706" s="15">
        <v>1E-4</v>
      </c>
      <c r="C706" s="1" t="s">
        <v>3200</v>
      </c>
      <c r="D706" s="6">
        <v>100</v>
      </c>
    </row>
    <row r="707" spans="1:4" x14ac:dyDescent="0.35">
      <c r="A707" s="1">
        <v>4008471</v>
      </c>
      <c r="B707" s="15">
        <v>24.61</v>
      </c>
      <c r="C707" s="1" t="s">
        <v>3200</v>
      </c>
      <c r="D707" s="6">
        <v>1</v>
      </c>
    </row>
    <row r="708" spans="1:4" x14ac:dyDescent="0.35">
      <c r="A708" s="1">
        <v>4008472</v>
      </c>
      <c r="B708" s="15">
        <v>244.28</v>
      </c>
      <c r="C708" s="1" t="s">
        <v>3200</v>
      </c>
      <c r="D708" s="6">
        <v>1</v>
      </c>
    </row>
    <row r="709" spans="1:4" x14ac:dyDescent="0.35">
      <c r="A709" s="1">
        <v>4008473</v>
      </c>
      <c r="B709" s="15">
        <v>0.50380000000000003</v>
      </c>
      <c r="C709" s="1" t="s">
        <v>3200</v>
      </c>
      <c r="D709" s="6">
        <v>100</v>
      </c>
    </row>
    <row r="710" spans="1:4" x14ac:dyDescent="0.35">
      <c r="A710" s="1">
        <v>4008474</v>
      </c>
      <c r="B710" s="15">
        <v>2.4984999999999999</v>
      </c>
      <c r="C710" s="1" t="s">
        <v>3200</v>
      </c>
      <c r="D710" s="6">
        <v>100</v>
      </c>
    </row>
    <row r="711" spans="1:4" x14ac:dyDescent="0.35">
      <c r="A711" s="1">
        <v>4008475</v>
      </c>
      <c r="B711" s="15">
        <v>1E-3</v>
      </c>
      <c r="C711" s="1" t="s">
        <v>3201</v>
      </c>
      <c r="D711" s="6">
        <v>100</v>
      </c>
    </row>
    <row r="712" spans="1:4" x14ac:dyDescent="0.35">
      <c r="A712" s="1">
        <v>4008476</v>
      </c>
      <c r="B712" s="15">
        <v>3</v>
      </c>
      <c r="C712" s="1" t="s">
        <v>3201</v>
      </c>
      <c r="D712" s="6">
        <v>1</v>
      </c>
    </row>
    <row r="713" spans="1:4" x14ac:dyDescent="0.35">
      <c r="A713" s="1">
        <v>4008477</v>
      </c>
      <c r="B713" s="15">
        <v>30.5</v>
      </c>
      <c r="C713" s="1" t="s">
        <v>3200</v>
      </c>
      <c r="D713" s="6">
        <v>1</v>
      </c>
    </row>
    <row r="714" spans="1:4" x14ac:dyDescent="0.35">
      <c r="A714" s="1">
        <v>4008481</v>
      </c>
      <c r="B714" s="15">
        <v>5.21</v>
      </c>
      <c r="C714" s="1" t="s">
        <v>3200</v>
      </c>
      <c r="D714" s="6">
        <v>1</v>
      </c>
    </row>
    <row r="715" spans="1:4" x14ac:dyDescent="0.35">
      <c r="A715" s="1">
        <v>4008483</v>
      </c>
      <c r="B715" s="15">
        <v>0.01</v>
      </c>
      <c r="C715" s="1" t="s">
        <v>3201</v>
      </c>
      <c r="D715" s="6">
        <v>1</v>
      </c>
    </row>
    <row r="716" spans="1:4" x14ac:dyDescent="0.35">
      <c r="A716" s="1">
        <v>4008484</v>
      </c>
      <c r="B716" s="15">
        <v>0.01</v>
      </c>
      <c r="C716" s="1" t="s">
        <v>3201</v>
      </c>
      <c r="D716" s="6">
        <v>1</v>
      </c>
    </row>
    <row r="717" spans="1:4" x14ac:dyDescent="0.35">
      <c r="A717" s="1">
        <v>4008490</v>
      </c>
      <c r="B717" s="15">
        <v>84.21</v>
      </c>
      <c r="C717" s="1" t="s">
        <v>3200</v>
      </c>
      <c r="D717" s="6">
        <v>1</v>
      </c>
    </row>
    <row r="718" spans="1:4" x14ac:dyDescent="0.35">
      <c r="A718" s="1">
        <v>4008494</v>
      </c>
      <c r="B718" s="15">
        <v>8.94</v>
      </c>
      <c r="C718" s="1" t="s">
        <v>3200</v>
      </c>
      <c r="D718" s="6">
        <v>1</v>
      </c>
    </row>
    <row r="719" spans="1:4" x14ac:dyDescent="0.35">
      <c r="A719" s="1">
        <v>4008506</v>
      </c>
      <c r="B719" s="15">
        <v>4.83</v>
      </c>
      <c r="C719" s="1" t="s">
        <v>3200</v>
      </c>
      <c r="D719" s="6">
        <v>1</v>
      </c>
    </row>
    <row r="720" spans="1:4" x14ac:dyDescent="0.35">
      <c r="A720" s="1">
        <v>4008507</v>
      </c>
      <c r="B720" s="15">
        <v>4.83</v>
      </c>
      <c r="C720" s="1" t="s">
        <v>3200</v>
      </c>
      <c r="D720" s="6">
        <v>1</v>
      </c>
    </row>
    <row r="721" spans="1:4" x14ac:dyDescent="0.35">
      <c r="A721" s="1">
        <v>4008508</v>
      </c>
      <c r="B721" s="15">
        <v>4.83</v>
      </c>
      <c r="C721" s="1" t="s">
        <v>3200</v>
      </c>
      <c r="D721" s="6">
        <v>1</v>
      </c>
    </row>
    <row r="722" spans="1:4" x14ac:dyDescent="0.35">
      <c r="A722" s="1">
        <v>4008511</v>
      </c>
      <c r="B722" s="15">
        <v>93.73</v>
      </c>
      <c r="C722" s="1" t="s">
        <v>3200</v>
      </c>
      <c r="D722" s="6">
        <v>1</v>
      </c>
    </row>
    <row r="723" spans="1:4" x14ac:dyDescent="0.35">
      <c r="A723" s="1">
        <v>4008530</v>
      </c>
      <c r="B723" s="15">
        <v>0.01</v>
      </c>
      <c r="C723" s="1" t="s">
        <v>3201</v>
      </c>
      <c r="D723" s="6">
        <v>1</v>
      </c>
    </row>
    <row r="724" spans="1:4" x14ac:dyDescent="0.35">
      <c r="A724" s="1">
        <v>4008559</v>
      </c>
      <c r="B724" s="15">
        <v>15</v>
      </c>
      <c r="C724" s="1" t="s">
        <v>3200</v>
      </c>
      <c r="D724" s="6">
        <v>1</v>
      </c>
    </row>
    <row r="725" spans="1:4" x14ac:dyDescent="0.35">
      <c r="A725" s="1">
        <v>4008583</v>
      </c>
      <c r="B725" s="15">
        <v>600</v>
      </c>
      <c r="C725" s="1" t="s">
        <v>3200</v>
      </c>
      <c r="D725" s="6">
        <v>1</v>
      </c>
    </row>
    <row r="726" spans="1:4" x14ac:dyDescent="0.35">
      <c r="A726" s="1">
        <v>4008589</v>
      </c>
      <c r="B726" s="15">
        <v>141.75</v>
      </c>
      <c r="C726" s="1" t="s">
        <v>3200</v>
      </c>
      <c r="D726" s="6">
        <v>1</v>
      </c>
    </row>
    <row r="727" spans="1:4" x14ac:dyDescent="0.35">
      <c r="A727" s="1">
        <v>4008609</v>
      </c>
      <c r="B727" s="15">
        <v>20.34</v>
      </c>
      <c r="C727" s="1" t="s">
        <v>3200</v>
      </c>
      <c r="D727" s="6">
        <v>1</v>
      </c>
    </row>
    <row r="728" spans="1:4" x14ac:dyDescent="0.35">
      <c r="A728" s="1">
        <v>4008615</v>
      </c>
      <c r="B728" s="15">
        <v>227.99</v>
      </c>
      <c r="C728" s="1" t="s">
        <v>3200</v>
      </c>
      <c r="D728" s="6">
        <v>1</v>
      </c>
    </row>
    <row r="729" spans="1:4" x14ac:dyDescent="0.35">
      <c r="A729" s="1">
        <v>4009078</v>
      </c>
      <c r="B729" s="15">
        <v>9.6</v>
      </c>
      <c r="C729" s="1" t="s">
        <v>3200</v>
      </c>
      <c r="D729" s="6">
        <v>1</v>
      </c>
    </row>
    <row r="730" spans="1:4" x14ac:dyDescent="0.35">
      <c r="A730" s="1">
        <v>4009081</v>
      </c>
      <c r="B730" s="15">
        <v>216</v>
      </c>
      <c r="C730" s="1" t="s">
        <v>3200</v>
      </c>
      <c r="D730" s="6">
        <v>1</v>
      </c>
    </row>
    <row r="731" spans="1:4" x14ac:dyDescent="0.35">
      <c r="A731" s="1">
        <v>4009082</v>
      </c>
      <c r="B731" s="15">
        <v>37.68</v>
      </c>
      <c r="C731" s="1" t="s">
        <v>3200</v>
      </c>
      <c r="D731" s="6">
        <v>1</v>
      </c>
    </row>
    <row r="732" spans="1:4" x14ac:dyDescent="0.35">
      <c r="A732" s="1">
        <v>4009084</v>
      </c>
      <c r="B732" s="15">
        <v>53.68</v>
      </c>
      <c r="C732" s="1" t="s">
        <v>3200</v>
      </c>
      <c r="D732" s="6">
        <v>1</v>
      </c>
    </row>
    <row r="733" spans="1:4" x14ac:dyDescent="0.35">
      <c r="A733" s="1">
        <v>4009085</v>
      </c>
      <c r="B733" s="15">
        <v>25.7</v>
      </c>
      <c r="C733" s="1" t="s">
        <v>3200</v>
      </c>
      <c r="D733" s="6">
        <v>1</v>
      </c>
    </row>
    <row r="734" spans="1:4" x14ac:dyDescent="0.35">
      <c r="A734" s="1">
        <v>4009086</v>
      </c>
      <c r="B734" s="15">
        <v>1.37</v>
      </c>
      <c r="C734" s="1" t="s">
        <v>3200</v>
      </c>
      <c r="D734" s="6">
        <v>1</v>
      </c>
    </row>
    <row r="735" spans="1:4" x14ac:dyDescent="0.35">
      <c r="A735" s="1">
        <v>4009089</v>
      </c>
      <c r="B735" s="15">
        <v>27.11</v>
      </c>
      <c r="C735" s="1" t="s">
        <v>3200</v>
      </c>
      <c r="D735" s="6">
        <v>1</v>
      </c>
    </row>
    <row r="736" spans="1:4" x14ac:dyDescent="0.35">
      <c r="A736" s="1">
        <v>4009091</v>
      </c>
      <c r="B736" s="15">
        <v>6.8</v>
      </c>
      <c r="C736" s="1" t="s">
        <v>3200</v>
      </c>
      <c r="D736" s="6">
        <v>1</v>
      </c>
    </row>
    <row r="737" spans="1:4" x14ac:dyDescent="0.35">
      <c r="A737" s="1">
        <v>4009092</v>
      </c>
      <c r="B737" s="15">
        <v>344.95</v>
      </c>
      <c r="C737" s="1" t="s">
        <v>3200</v>
      </c>
      <c r="D737" s="6">
        <v>1</v>
      </c>
    </row>
    <row r="738" spans="1:4" x14ac:dyDescent="0.35">
      <c r="A738" s="1">
        <v>4009221</v>
      </c>
      <c r="B738" s="15">
        <v>426.38</v>
      </c>
      <c r="C738" s="1" t="s">
        <v>3200</v>
      </c>
      <c r="D738" s="6">
        <v>1</v>
      </c>
    </row>
    <row r="739" spans="1:4" x14ac:dyDescent="0.35">
      <c r="A739" s="1">
        <v>4009223</v>
      </c>
      <c r="B739" s="15">
        <v>312.89</v>
      </c>
      <c r="C739" s="1" t="s">
        <v>3200</v>
      </c>
      <c r="D739" s="6">
        <v>1</v>
      </c>
    </row>
    <row r="740" spans="1:4" x14ac:dyDescent="0.35">
      <c r="A740" s="1">
        <v>4009225</v>
      </c>
      <c r="B740" s="15">
        <v>583.71</v>
      </c>
      <c r="C740" s="1" t="s">
        <v>3200</v>
      </c>
      <c r="D740" s="6">
        <v>1</v>
      </c>
    </row>
    <row r="741" spans="1:4" x14ac:dyDescent="0.35">
      <c r="A741" s="1">
        <v>4009249</v>
      </c>
      <c r="B741" s="15">
        <v>65</v>
      </c>
      <c r="C741" s="1" t="s">
        <v>3200</v>
      </c>
      <c r="D741" s="6">
        <v>1</v>
      </c>
    </row>
    <row r="742" spans="1:4" x14ac:dyDescent="0.35">
      <c r="A742" s="1">
        <v>4009250</v>
      </c>
      <c r="B742" s="15">
        <v>114.99</v>
      </c>
      <c r="C742" s="1" t="s">
        <v>3200</v>
      </c>
      <c r="D742" s="6">
        <v>1</v>
      </c>
    </row>
    <row r="743" spans="1:4" x14ac:dyDescent="0.35">
      <c r="A743" s="1">
        <v>4009251</v>
      </c>
      <c r="B743" s="15">
        <v>194.29</v>
      </c>
      <c r="C743" s="1" t="s">
        <v>3200</v>
      </c>
      <c r="D743" s="6">
        <v>1</v>
      </c>
    </row>
    <row r="744" spans="1:4" x14ac:dyDescent="0.35">
      <c r="A744" s="1">
        <v>4009254</v>
      </c>
      <c r="B744" s="15">
        <v>65</v>
      </c>
      <c r="C744" s="1" t="s">
        <v>3200</v>
      </c>
      <c r="D744" s="6">
        <v>1</v>
      </c>
    </row>
    <row r="745" spans="1:4" x14ac:dyDescent="0.35">
      <c r="A745" s="1">
        <v>4009256</v>
      </c>
      <c r="B745" s="15">
        <v>215</v>
      </c>
      <c r="C745" s="1" t="s">
        <v>3200</v>
      </c>
      <c r="D745" s="6">
        <v>1</v>
      </c>
    </row>
    <row r="746" spans="1:4" x14ac:dyDescent="0.35">
      <c r="A746" s="1">
        <v>4009257</v>
      </c>
      <c r="B746" s="15">
        <v>185</v>
      </c>
      <c r="C746" s="1" t="s">
        <v>3200</v>
      </c>
      <c r="D746" s="6">
        <v>1</v>
      </c>
    </row>
    <row r="747" spans="1:4" x14ac:dyDescent="0.35">
      <c r="A747" s="1">
        <v>4009261</v>
      </c>
      <c r="B747" s="15">
        <v>115</v>
      </c>
      <c r="C747" s="1" t="s">
        <v>3200</v>
      </c>
      <c r="D747" s="6">
        <v>1</v>
      </c>
    </row>
    <row r="748" spans="1:4" x14ac:dyDescent="0.35">
      <c r="A748" s="1">
        <v>4009476</v>
      </c>
      <c r="B748" s="15">
        <v>81.84</v>
      </c>
      <c r="C748" s="1" t="s">
        <v>3200</v>
      </c>
      <c r="D748" s="6">
        <v>1</v>
      </c>
    </row>
    <row r="749" spans="1:4" x14ac:dyDescent="0.35">
      <c r="A749" s="1">
        <v>4009686</v>
      </c>
      <c r="B749" s="15">
        <v>137.16</v>
      </c>
      <c r="C749" s="1" t="s">
        <v>3200</v>
      </c>
      <c r="D749" s="6">
        <v>1</v>
      </c>
    </row>
    <row r="750" spans="1:4" x14ac:dyDescent="0.35">
      <c r="A750" s="1">
        <v>4009745</v>
      </c>
      <c r="B750" s="15">
        <v>23.92</v>
      </c>
      <c r="C750" s="1" t="s">
        <v>3200</v>
      </c>
      <c r="D750" s="6">
        <v>1</v>
      </c>
    </row>
    <row r="751" spans="1:4" x14ac:dyDescent="0.35">
      <c r="A751" s="1">
        <v>4009893</v>
      </c>
      <c r="B751" s="15">
        <v>392.98</v>
      </c>
      <c r="C751" s="1" t="s">
        <v>3200</v>
      </c>
      <c r="D751" s="6">
        <v>1</v>
      </c>
    </row>
    <row r="752" spans="1:4" x14ac:dyDescent="0.35">
      <c r="A752" s="1">
        <v>4009895</v>
      </c>
      <c r="B752" s="15">
        <v>83.63</v>
      </c>
      <c r="C752" s="1" t="s">
        <v>3200</v>
      </c>
      <c r="D752" s="6">
        <v>1</v>
      </c>
    </row>
    <row r="753" spans="1:4" x14ac:dyDescent="0.35">
      <c r="A753" s="1">
        <v>4009896</v>
      </c>
      <c r="B753" s="15">
        <v>65</v>
      </c>
      <c r="C753" s="1" t="s">
        <v>3200</v>
      </c>
      <c r="D753" s="6">
        <v>1</v>
      </c>
    </row>
    <row r="754" spans="1:4" x14ac:dyDescent="0.35">
      <c r="A754" s="1">
        <v>4009898</v>
      </c>
      <c r="B754" s="15">
        <v>66.64</v>
      </c>
      <c r="C754" s="1" t="s">
        <v>3200</v>
      </c>
      <c r="D754" s="6">
        <v>1</v>
      </c>
    </row>
    <row r="755" spans="1:4" x14ac:dyDescent="0.35">
      <c r="A755" s="1">
        <v>4009899</v>
      </c>
      <c r="B755" s="15">
        <v>66.959999999999994</v>
      </c>
      <c r="C755" s="1" t="s">
        <v>3200</v>
      </c>
      <c r="D755" s="6">
        <v>1</v>
      </c>
    </row>
    <row r="756" spans="1:4" x14ac:dyDescent="0.35">
      <c r="A756" s="1">
        <v>4009908</v>
      </c>
      <c r="B756" s="15">
        <v>22.95</v>
      </c>
      <c r="C756" s="1" t="s">
        <v>3200</v>
      </c>
      <c r="D756" s="6">
        <v>1</v>
      </c>
    </row>
    <row r="757" spans="1:4" x14ac:dyDescent="0.35">
      <c r="A757" s="1">
        <v>4009909</v>
      </c>
      <c r="B757" s="15">
        <v>44</v>
      </c>
      <c r="C757" s="1" t="s">
        <v>3200</v>
      </c>
      <c r="D757" s="6">
        <v>1</v>
      </c>
    </row>
    <row r="758" spans="1:4" x14ac:dyDescent="0.35">
      <c r="A758" s="1">
        <v>4009910</v>
      </c>
      <c r="B758" s="15">
        <v>78.97</v>
      </c>
      <c r="C758" s="1" t="s">
        <v>3200</v>
      </c>
      <c r="D758" s="6">
        <v>1</v>
      </c>
    </row>
    <row r="759" spans="1:4" x14ac:dyDescent="0.35">
      <c r="A759" s="1">
        <v>4009911</v>
      </c>
      <c r="B759" s="15">
        <v>81.8</v>
      </c>
      <c r="C759" s="1" t="s">
        <v>3200</v>
      </c>
      <c r="D759" s="6">
        <v>1</v>
      </c>
    </row>
    <row r="760" spans="1:4" x14ac:dyDescent="0.35">
      <c r="A760" s="1">
        <v>4009912</v>
      </c>
      <c r="B760" s="15">
        <v>35.4</v>
      </c>
      <c r="C760" s="1" t="s">
        <v>3200</v>
      </c>
      <c r="D760" s="6">
        <v>1</v>
      </c>
    </row>
    <row r="761" spans="1:4" x14ac:dyDescent="0.35">
      <c r="A761" s="1">
        <v>4009913</v>
      </c>
      <c r="B761" s="15">
        <v>39.42</v>
      </c>
      <c r="C761" s="1" t="s">
        <v>3200</v>
      </c>
      <c r="D761" s="6">
        <v>1</v>
      </c>
    </row>
    <row r="762" spans="1:4" x14ac:dyDescent="0.35">
      <c r="A762" s="1">
        <v>4009914</v>
      </c>
      <c r="B762" s="15">
        <v>16.12</v>
      </c>
      <c r="C762" s="1" t="s">
        <v>3200</v>
      </c>
      <c r="D762" s="6">
        <v>1</v>
      </c>
    </row>
    <row r="763" spans="1:4" x14ac:dyDescent="0.35">
      <c r="A763" s="1">
        <v>4009916</v>
      </c>
      <c r="B763" s="15">
        <v>438.33</v>
      </c>
      <c r="C763" s="1" t="s">
        <v>3200</v>
      </c>
      <c r="D763" s="6">
        <v>1</v>
      </c>
    </row>
    <row r="764" spans="1:4" x14ac:dyDescent="0.35">
      <c r="A764" s="1">
        <v>4015482</v>
      </c>
      <c r="B764" s="15">
        <v>1.76</v>
      </c>
      <c r="C764" s="1" t="s">
        <v>3200</v>
      </c>
      <c r="D764" s="6">
        <v>1</v>
      </c>
    </row>
    <row r="765" spans="1:4" x14ac:dyDescent="0.35">
      <c r="A765" s="1">
        <v>4015483</v>
      </c>
      <c r="B765" s="15">
        <v>1.39</v>
      </c>
      <c r="C765" s="1" t="s">
        <v>3200</v>
      </c>
      <c r="D765" s="6">
        <v>1</v>
      </c>
    </row>
    <row r="766" spans="1:4" x14ac:dyDescent="0.35">
      <c r="A766" s="1">
        <v>4024878</v>
      </c>
      <c r="B766" s="15">
        <v>249</v>
      </c>
      <c r="C766" s="1" t="s">
        <v>3200</v>
      </c>
      <c r="D766" s="6">
        <v>1</v>
      </c>
    </row>
    <row r="767" spans="1:4" x14ac:dyDescent="0.35">
      <c r="A767" s="1">
        <v>4030760</v>
      </c>
      <c r="B767" s="15">
        <v>32.53</v>
      </c>
      <c r="C767" s="1" t="s">
        <v>3200</v>
      </c>
      <c r="D767" s="6">
        <v>1</v>
      </c>
    </row>
    <row r="768" spans="1:4" x14ac:dyDescent="0.35">
      <c r="A768" s="1">
        <v>4032343</v>
      </c>
      <c r="B768" s="15">
        <v>398.6</v>
      </c>
      <c r="C768" s="1" t="s">
        <v>3200</v>
      </c>
      <c r="D768" s="6">
        <v>1</v>
      </c>
    </row>
    <row r="769" spans="1:4" x14ac:dyDescent="0.35">
      <c r="A769" s="1">
        <v>4032344</v>
      </c>
      <c r="B769" s="15">
        <v>559.04999999999995</v>
      </c>
      <c r="C769" s="1" t="s">
        <v>3200</v>
      </c>
      <c r="D769" s="6">
        <v>1</v>
      </c>
    </row>
    <row r="770" spans="1:4" x14ac:dyDescent="0.35">
      <c r="A770" s="1">
        <v>4033645</v>
      </c>
      <c r="B770" s="15">
        <v>1740</v>
      </c>
      <c r="C770" s="1" t="s">
        <v>3200</v>
      </c>
      <c r="D770" s="6">
        <v>1</v>
      </c>
    </row>
    <row r="771" spans="1:4" x14ac:dyDescent="0.35">
      <c r="A771" s="1">
        <v>4033646</v>
      </c>
      <c r="B771" s="15">
        <v>1890</v>
      </c>
      <c r="C771" s="1" t="s">
        <v>3200</v>
      </c>
      <c r="D771" s="6">
        <v>1</v>
      </c>
    </row>
    <row r="772" spans="1:4" x14ac:dyDescent="0.35">
      <c r="A772" s="1">
        <v>4033674</v>
      </c>
      <c r="B772" s="15">
        <v>453.51</v>
      </c>
      <c r="C772" s="1" t="s">
        <v>3200</v>
      </c>
      <c r="D772" s="6">
        <v>1</v>
      </c>
    </row>
    <row r="773" spans="1:4" x14ac:dyDescent="0.35">
      <c r="A773" s="1">
        <v>4033704</v>
      </c>
      <c r="B773" s="15">
        <v>402.91</v>
      </c>
      <c r="C773" s="1" t="s">
        <v>3200</v>
      </c>
      <c r="D773" s="6">
        <v>1</v>
      </c>
    </row>
    <row r="774" spans="1:4" x14ac:dyDescent="0.35">
      <c r="A774" s="1">
        <v>4033706</v>
      </c>
      <c r="B774" s="15">
        <v>538.55999999999995</v>
      </c>
      <c r="C774" s="1" t="s">
        <v>3200</v>
      </c>
      <c r="D774" s="6">
        <v>1</v>
      </c>
    </row>
    <row r="775" spans="1:4" x14ac:dyDescent="0.35">
      <c r="A775" s="1">
        <v>4035929</v>
      </c>
      <c r="B775" s="15">
        <v>282.74</v>
      </c>
      <c r="C775" s="1" t="s">
        <v>3200</v>
      </c>
      <c r="D775" s="6">
        <v>1</v>
      </c>
    </row>
    <row r="776" spans="1:4" x14ac:dyDescent="0.35">
      <c r="A776" s="1">
        <v>4035930</v>
      </c>
      <c r="B776" s="15">
        <v>387.82</v>
      </c>
      <c r="C776" s="1" t="s">
        <v>3200</v>
      </c>
      <c r="D776" s="6">
        <v>1</v>
      </c>
    </row>
    <row r="777" spans="1:4" x14ac:dyDescent="0.35">
      <c r="A777" s="1">
        <v>4035931</v>
      </c>
      <c r="B777" s="15">
        <v>383.49</v>
      </c>
      <c r="C777" s="1" t="s">
        <v>3200</v>
      </c>
      <c r="D777" s="6">
        <v>1</v>
      </c>
    </row>
    <row r="778" spans="1:4" x14ac:dyDescent="0.35">
      <c r="A778" s="1">
        <v>4035935</v>
      </c>
      <c r="B778" s="15">
        <v>117.98</v>
      </c>
      <c r="C778" s="1" t="s">
        <v>3200</v>
      </c>
      <c r="D778" s="6">
        <v>1</v>
      </c>
    </row>
    <row r="779" spans="1:4" x14ac:dyDescent="0.35">
      <c r="A779" s="1">
        <v>4035953</v>
      </c>
      <c r="B779" s="15">
        <v>315.18</v>
      </c>
      <c r="C779" s="1" t="s">
        <v>3200</v>
      </c>
      <c r="D779" s="6">
        <v>1</v>
      </c>
    </row>
    <row r="780" spans="1:4" x14ac:dyDescent="0.35">
      <c r="A780" s="1">
        <v>4035954</v>
      </c>
      <c r="B780" s="15">
        <v>315.92</v>
      </c>
      <c r="C780" s="1" t="s">
        <v>3200</v>
      </c>
      <c r="D780" s="6">
        <v>1</v>
      </c>
    </row>
    <row r="781" spans="1:4" x14ac:dyDescent="0.35">
      <c r="A781" s="1">
        <v>4035956</v>
      </c>
      <c r="B781" s="15">
        <v>315.31</v>
      </c>
      <c r="C781" s="1" t="s">
        <v>3200</v>
      </c>
      <c r="D781" s="6">
        <v>1</v>
      </c>
    </row>
    <row r="782" spans="1:4" x14ac:dyDescent="0.35">
      <c r="A782" s="1">
        <v>4035957</v>
      </c>
      <c r="B782" s="15">
        <v>316.11</v>
      </c>
      <c r="C782" s="1" t="s">
        <v>3200</v>
      </c>
      <c r="D782" s="6">
        <v>1</v>
      </c>
    </row>
    <row r="783" spans="1:4" x14ac:dyDescent="0.35">
      <c r="A783" s="1">
        <v>4035958</v>
      </c>
      <c r="B783" s="15">
        <v>314.04000000000002</v>
      </c>
      <c r="C783" s="1" t="s">
        <v>3200</v>
      </c>
      <c r="D783" s="6">
        <v>1</v>
      </c>
    </row>
    <row r="784" spans="1:4" x14ac:dyDescent="0.35">
      <c r="A784" s="1">
        <v>4035959</v>
      </c>
      <c r="B784" s="15">
        <v>316.16000000000003</v>
      </c>
      <c r="C784" s="1" t="s">
        <v>3200</v>
      </c>
      <c r="D784" s="6">
        <v>1</v>
      </c>
    </row>
    <row r="785" spans="1:4" x14ac:dyDescent="0.35">
      <c r="A785" s="1">
        <v>4035960</v>
      </c>
      <c r="B785" s="15">
        <v>70.89</v>
      </c>
      <c r="C785" s="1" t="s">
        <v>3200</v>
      </c>
      <c r="D785" s="6">
        <v>1</v>
      </c>
    </row>
    <row r="786" spans="1:4" x14ac:dyDescent="0.35">
      <c r="A786" s="1">
        <v>4035963</v>
      </c>
      <c r="B786" s="15">
        <v>243.81</v>
      </c>
      <c r="C786" s="1" t="s">
        <v>3200</v>
      </c>
      <c r="D786" s="6">
        <v>1</v>
      </c>
    </row>
    <row r="787" spans="1:4" x14ac:dyDescent="0.35">
      <c r="A787" s="1">
        <v>4035971</v>
      </c>
      <c r="B787" s="15">
        <v>71.95</v>
      </c>
      <c r="C787" s="1" t="s">
        <v>3200</v>
      </c>
      <c r="D787" s="6">
        <v>1</v>
      </c>
    </row>
    <row r="788" spans="1:4" x14ac:dyDescent="0.35">
      <c r="A788" s="1">
        <v>4035972</v>
      </c>
      <c r="B788" s="15">
        <v>72.61</v>
      </c>
      <c r="C788" s="1" t="s">
        <v>3200</v>
      </c>
      <c r="D788" s="6">
        <v>1</v>
      </c>
    </row>
    <row r="789" spans="1:4" x14ac:dyDescent="0.35">
      <c r="A789" s="1">
        <v>4035973</v>
      </c>
      <c r="B789" s="15">
        <v>248.51</v>
      </c>
      <c r="C789" s="1" t="s">
        <v>3200</v>
      </c>
      <c r="D789" s="6">
        <v>1</v>
      </c>
    </row>
    <row r="790" spans="1:4" x14ac:dyDescent="0.35">
      <c r="A790" s="1">
        <v>4035974</v>
      </c>
      <c r="B790" s="15">
        <v>4620</v>
      </c>
      <c r="C790" s="1" t="s">
        <v>3200</v>
      </c>
      <c r="D790" s="6">
        <v>1</v>
      </c>
    </row>
    <row r="791" spans="1:4" x14ac:dyDescent="0.35">
      <c r="A791" s="1">
        <v>4036481</v>
      </c>
      <c r="B791" s="15">
        <v>73.349999999999994</v>
      </c>
      <c r="C791" s="1" t="s">
        <v>3200</v>
      </c>
      <c r="D791" s="6">
        <v>1</v>
      </c>
    </row>
    <row r="792" spans="1:4" x14ac:dyDescent="0.35">
      <c r="A792" s="1">
        <v>4036668</v>
      </c>
      <c r="B792" s="15">
        <v>42.72</v>
      </c>
      <c r="C792" s="1" t="s">
        <v>3200</v>
      </c>
      <c r="D792" s="6">
        <v>1</v>
      </c>
    </row>
    <row r="793" spans="1:4" x14ac:dyDescent="0.35">
      <c r="A793" s="1">
        <v>4036669</v>
      </c>
      <c r="B793" s="15">
        <v>36.42</v>
      </c>
      <c r="C793" s="1" t="s">
        <v>3200</v>
      </c>
      <c r="D793" s="6">
        <v>1</v>
      </c>
    </row>
    <row r="794" spans="1:4" x14ac:dyDescent="0.35">
      <c r="A794" s="1">
        <v>4036670</v>
      </c>
      <c r="B794" s="15">
        <v>37.11</v>
      </c>
      <c r="C794" s="1" t="s">
        <v>3200</v>
      </c>
      <c r="D794" s="6">
        <v>1</v>
      </c>
    </row>
    <row r="795" spans="1:4" x14ac:dyDescent="0.35">
      <c r="A795" s="1">
        <v>4036671</v>
      </c>
      <c r="B795" s="15">
        <v>32.53</v>
      </c>
      <c r="C795" s="1" t="s">
        <v>3200</v>
      </c>
      <c r="D795" s="6">
        <v>1</v>
      </c>
    </row>
    <row r="796" spans="1:4" x14ac:dyDescent="0.35">
      <c r="A796" s="1">
        <v>4036672</v>
      </c>
      <c r="B796" s="15">
        <v>38.28</v>
      </c>
      <c r="C796" s="1" t="s">
        <v>3200</v>
      </c>
      <c r="D796" s="6">
        <v>1</v>
      </c>
    </row>
    <row r="797" spans="1:4" x14ac:dyDescent="0.35">
      <c r="A797" s="1">
        <v>4036673</v>
      </c>
      <c r="B797" s="15">
        <v>35.69</v>
      </c>
      <c r="C797" s="1" t="s">
        <v>3200</v>
      </c>
      <c r="D797" s="6">
        <v>1</v>
      </c>
    </row>
    <row r="798" spans="1:4" x14ac:dyDescent="0.35">
      <c r="A798" s="1">
        <v>4036674</v>
      </c>
      <c r="B798" s="15">
        <v>1740</v>
      </c>
      <c r="C798" s="1" t="s">
        <v>3200</v>
      </c>
      <c r="D798" s="6">
        <v>1</v>
      </c>
    </row>
    <row r="799" spans="1:4" x14ac:dyDescent="0.35">
      <c r="A799" s="1">
        <v>4036675</v>
      </c>
      <c r="B799" s="15">
        <v>279</v>
      </c>
      <c r="C799" s="1" t="s">
        <v>3200</v>
      </c>
      <c r="D799" s="6">
        <v>1</v>
      </c>
    </row>
    <row r="800" spans="1:4" x14ac:dyDescent="0.35">
      <c r="A800" s="1">
        <v>4036677</v>
      </c>
      <c r="B800" s="15">
        <v>2090</v>
      </c>
      <c r="C800" s="1" t="s">
        <v>3200</v>
      </c>
      <c r="D800" s="6">
        <v>1</v>
      </c>
    </row>
    <row r="801" spans="1:4" x14ac:dyDescent="0.35">
      <c r="A801" s="1">
        <v>4036744</v>
      </c>
      <c r="B801" s="15">
        <v>70.2</v>
      </c>
      <c r="C801" s="1" t="s">
        <v>3200</v>
      </c>
      <c r="D801" s="6">
        <v>1</v>
      </c>
    </row>
    <row r="802" spans="1:4" x14ac:dyDescent="0.35">
      <c r="A802" s="1">
        <v>4036755</v>
      </c>
      <c r="B802" s="15">
        <v>144.16999999999999</v>
      </c>
      <c r="C802" s="1" t="s">
        <v>3200</v>
      </c>
      <c r="D802" s="6">
        <v>1</v>
      </c>
    </row>
    <row r="803" spans="1:4" x14ac:dyDescent="0.35">
      <c r="A803" s="1">
        <v>4036757</v>
      </c>
      <c r="B803" s="15">
        <v>45</v>
      </c>
      <c r="C803" s="1" t="s">
        <v>3200</v>
      </c>
      <c r="D803" s="6">
        <v>1</v>
      </c>
    </row>
    <row r="804" spans="1:4" x14ac:dyDescent="0.35">
      <c r="A804" s="1">
        <v>4036758</v>
      </c>
      <c r="B804" s="15">
        <v>43.42</v>
      </c>
      <c r="C804" s="1" t="s">
        <v>3200</v>
      </c>
      <c r="D804" s="6">
        <v>1</v>
      </c>
    </row>
    <row r="805" spans="1:4" x14ac:dyDescent="0.35">
      <c r="A805" s="1">
        <v>4036771</v>
      </c>
      <c r="B805" s="15">
        <v>170.25</v>
      </c>
      <c r="C805" s="1" t="s">
        <v>3200</v>
      </c>
      <c r="D805" s="6">
        <v>1</v>
      </c>
    </row>
    <row r="806" spans="1:4" x14ac:dyDescent="0.35">
      <c r="A806" s="1">
        <v>4036772</v>
      </c>
      <c r="B806" s="15">
        <v>229.5</v>
      </c>
      <c r="C806" s="1" t="s">
        <v>3200</v>
      </c>
      <c r="D806" s="6">
        <v>1</v>
      </c>
    </row>
    <row r="807" spans="1:4" x14ac:dyDescent="0.35">
      <c r="A807" s="1">
        <v>4036777</v>
      </c>
      <c r="B807" s="15">
        <v>20.64</v>
      </c>
      <c r="C807" s="1" t="s">
        <v>3200</v>
      </c>
      <c r="D807" s="6">
        <v>1</v>
      </c>
    </row>
    <row r="808" spans="1:4" x14ac:dyDescent="0.35">
      <c r="A808" s="1">
        <v>4036778</v>
      </c>
      <c r="B808" s="15">
        <v>22.06</v>
      </c>
      <c r="C808" s="1" t="s">
        <v>3200</v>
      </c>
      <c r="D808" s="6">
        <v>1</v>
      </c>
    </row>
    <row r="809" spans="1:4" x14ac:dyDescent="0.35">
      <c r="A809" s="1">
        <v>4036779</v>
      </c>
      <c r="B809" s="15">
        <v>23.39</v>
      </c>
      <c r="C809" s="1" t="s">
        <v>3200</v>
      </c>
      <c r="D809" s="6">
        <v>1</v>
      </c>
    </row>
    <row r="810" spans="1:4" x14ac:dyDescent="0.35">
      <c r="A810" s="1">
        <v>4036780</v>
      </c>
      <c r="B810" s="15">
        <v>47.11</v>
      </c>
      <c r="C810" s="1" t="s">
        <v>3200</v>
      </c>
      <c r="D810" s="6">
        <v>1</v>
      </c>
    </row>
    <row r="811" spans="1:4" x14ac:dyDescent="0.35">
      <c r="A811" s="1">
        <v>4038552</v>
      </c>
      <c r="B811" s="15">
        <v>972.41</v>
      </c>
      <c r="C811" s="1" t="s">
        <v>3200</v>
      </c>
      <c r="D811" s="6">
        <v>1</v>
      </c>
    </row>
    <row r="812" spans="1:4" x14ac:dyDescent="0.35">
      <c r="A812" s="1">
        <v>4038553</v>
      </c>
      <c r="B812" s="15">
        <v>198.87</v>
      </c>
      <c r="C812" s="1" t="s">
        <v>3200</v>
      </c>
      <c r="D812" s="6">
        <v>1</v>
      </c>
    </row>
    <row r="813" spans="1:4" x14ac:dyDescent="0.35">
      <c r="A813" s="1">
        <v>4038555</v>
      </c>
      <c r="B813" s="15">
        <v>122.73</v>
      </c>
      <c r="C813" s="1" t="s">
        <v>3200</v>
      </c>
      <c r="D813" s="6">
        <v>1</v>
      </c>
    </row>
    <row r="814" spans="1:4" x14ac:dyDescent="0.35">
      <c r="A814" s="1">
        <v>4038558</v>
      </c>
      <c r="B814" s="15">
        <v>499</v>
      </c>
      <c r="C814" s="1" t="s">
        <v>3200</v>
      </c>
      <c r="D814" s="6">
        <v>1</v>
      </c>
    </row>
    <row r="815" spans="1:4" x14ac:dyDescent="0.35">
      <c r="A815" s="1">
        <v>4038559</v>
      </c>
      <c r="B815" s="15">
        <v>190.6</v>
      </c>
      <c r="C815" s="1" t="s">
        <v>3200</v>
      </c>
      <c r="D815" s="6">
        <v>1</v>
      </c>
    </row>
    <row r="816" spans="1:4" x14ac:dyDescent="0.35">
      <c r="A816" s="1">
        <v>4038560</v>
      </c>
      <c r="B816" s="15">
        <v>168.73</v>
      </c>
      <c r="C816" s="1" t="s">
        <v>3200</v>
      </c>
      <c r="D816" s="6">
        <v>1</v>
      </c>
    </row>
    <row r="817" spans="1:4" x14ac:dyDescent="0.35">
      <c r="A817" s="1">
        <v>4038564</v>
      </c>
      <c r="B817" s="15">
        <v>600.4</v>
      </c>
      <c r="C817" s="1" t="s">
        <v>3200</v>
      </c>
      <c r="D817" s="6">
        <v>1</v>
      </c>
    </row>
    <row r="818" spans="1:4" x14ac:dyDescent="0.35">
      <c r="A818" s="1">
        <v>4038567</v>
      </c>
      <c r="B818" s="15">
        <v>360.1</v>
      </c>
      <c r="C818" s="1" t="s">
        <v>3200</v>
      </c>
      <c r="D818" s="6">
        <v>1</v>
      </c>
    </row>
    <row r="819" spans="1:4" x14ac:dyDescent="0.35">
      <c r="A819" s="1">
        <v>4038571</v>
      </c>
      <c r="B819" s="15">
        <v>137.99</v>
      </c>
      <c r="C819" s="1" t="s">
        <v>3200</v>
      </c>
      <c r="D819" s="6">
        <v>1</v>
      </c>
    </row>
    <row r="820" spans="1:4" x14ac:dyDescent="0.35">
      <c r="A820" s="1">
        <v>4038574</v>
      </c>
      <c r="B820" s="15">
        <v>316.63</v>
      </c>
      <c r="C820" s="1" t="s">
        <v>3200</v>
      </c>
      <c r="D820" s="6">
        <v>1</v>
      </c>
    </row>
    <row r="821" spans="1:4" x14ac:dyDescent="0.35">
      <c r="A821" s="1">
        <v>4038582</v>
      </c>
      <c r="B821" s="15">
        <v>161.96</v>
      </c>
      <c r="C821" s="1" t="s">
        <v>3200</v>
      </c>
      <c r="D821" s="6">
        <v>1</v>
      </c>
    </row>
    <row r="822" spans="1:4" x14ac:dyDescent="0.35">
      <c r="A822" s="1">
        <v>4038586</v>
      </c>
      <c r="B822" s="15">
        <v>326.8</v>
      </c>
      <c r="C822" s="1" t="s">
        <v>3200</v>
      </c>
      <c r="D822" s="6">
        <v>1</v>
      </c>
    </row>
    <row r="823" spans="1:4" x14ac:dyDescent="0.35">
      <c r="A823" s="1">
        <v>4038643</v>
      </c>
      <c r="B823" s="15">
        <v>6.45</v>
      </c>
      <c r="C823" s="1" t="s">
        <v>3200</v>
      </c>
      <c r="D823" s="6">
        <v>1</v>
      </c>
    </row>
    <row r="824" spans="1:4" x14ac:dyDescent="0.35">
      <c r="A824" s="1">
        <v>4038735</v>
      </c>
      <c r="B824" s="15">
        <v>0.1</v>
      </c>
      <c r="C824" s="1" t="s">
        <v>3200</v>
      </c>
      <c r="D824" s="6">
        <v>1</v>
      </c>
    </row>
    <row r="825" spans="1:4" x14ac:dyDescent="0.35">
      <c r="A825" s="1">
        <v>4038736</v>
      </c>
      <c r="B825" s="15">
        <v>0.01</v>
      </c>
      <c r="C825" s="1" t="s">
        <v>3200</v>
      </c>
      <c r="D825" s="6">
        <v>1</v>
      </c>
    </row>
    <row r="826" spans="1:4" x14ac:dyDescent="0.35">
      <c r="A826" s="1">
        <v>4038737</v>
      </c>
      <c r="B826" s="15">
        <v>3.24</v>
      </c>
      <c r="C826" s="1" t="s">
        <v>3200</v>
      </c>
      <c r="D826" s="6">
        <v>1</v>
      </c>
    </row>
    <row r="827" spans="1:4" x14ac:dyDescent="0.35">
      <c r="A827" s="1">
        <v>4038742</v>
      </c>
      <c r="B827" s="15">
        <v>0.01</v>
      </c>
      <c r="C827" s="1" t="s">
        <v>3201</v>
      </c>
      <c r="D827" s="6">
        <v>1</v>
      </c>
    </row>
    <row r="828" spans="1:4" x14ac:dyDescent="0.35">
      <c r="A828" s="1">
        <v>4038743</v>
      </c>
      <c r="B828" s="15">
        <v>0.01</v>
      </c>
      <c r="C828" s="1" t="s">
        <v>3201</v>
      </c>
      <c r="D828" s="6">
        <v>1</v>
      </c>
    </row>
    <row r="829" spans="1:4" x14ac:dyDescent="0.35">
      <c r="A829" s="1">
        <v>4043184</v>
      </c>
      <c r="B829" s="15">
        <v>112.69</v>
      </c>
      <c r="C829" s="1" t="s">
        <v>3200</v>
      </c>
      <c r="D829" s="6">
        <v>1</v>
      </c>
    </row>
    <row r="830" spans="1:4" x14ac:dyDescent="0.35">
      <c r="A830" s="1">
        <v>4044446</v>
      </c>
      <c r="B830" s="15">
        <v>194.85</v>
      </c>
      <c r="C830" s="1" t="s">
        <v>3200</v>
      </c>
      <c r="D830" s="6">
        <v>1</v>
      </c>
    </row>
    <row r="831" spans="1:4" x14ac:dyDescent="0.35">
      <c r="A831" s="1">
        <v>4044449</v>
      </c>
      <c r="B831" s="15">
        <v>1204.32</v>
      </c>
      <c r="C831" s="1" t="s">
        <v>3200</v>
      </c>
      <c r="D831" s="6">
        <v>1</v>
      </c>
    </row>
    <row r="832" spans="1:4" x14ac:dyDescent="0.35">
      <c r="A832" s="1">
        <v>4044453</v>
      </c>
      <c r="B832" s="15">
        <v>7.58</v>
      </c>
      <c r="C832" s="1" t="s">
        <v>3200</v>
      </c>
      <c r="D832" s="6">
        <v>1</v>
      </c>
    </row>
    <row r="833" spans="1:4" x14ac:dyDescent="0.35">
      <c r="A833" s="1">
        <v>4044460</v>
      </c>
      <c r="B833" s="15">
        <v>160.02000000000001</v>
      </c>
      <c r="C833" s="1" t="s">
        <v>3200</v>
      </c>
      <c r="D833" s="6">
        <v>1</v>
      </c>
    </row>
    <row r="834" spans="1:4" x14ac:dyDescent="0.35">
      <c r="A834" s="1">
        <v>4044461</v>
      </c>
      <c r="B834" s="15">
        <v>331.76</v>
      </c>
      <c r="C834" s="1" t="s">
        <v>3200</v>
      </c>
      <c r="D834" s="6">
        <v>1</v>
      </c>
    </row>
    <row r="835" spans="1:4" x14ac:dyDescent="0.35">
      <c r="A835" s="1">
        <v>4044462</v>
      </c>
      <c r="B835" s="15">
        <v>426.65</v>
      </c>
      <c r="C835" s="1" t="s">
        <v>3200</v>
      </c>
      <c r="D835" s="6">
        <v>1</v>
      </c>
    </row>
    <row r="836" spans="1:4" x14ac:dyDescent="0.35">
      <c r="A836" s="1">
        <v>4044466</v>
      </c>
      <c r="B836" s="15">
        <v>1884.79</v>
      </c>
      <c r="C836" s="1" t="s">
        <v>3200</v>
      </c>
      <c r="D836" s="6">
        <v>1</v>
      </c>
    </row>
    <row r="837" spans="1:4" x14ac:dyDescent="0.35">
      <c r="A837" s="1">
        <v>4044863</v>
      </c>
      <c r="B837" s="15">
        <v>110</v>
      </c>
      <c r="C837" s="1" t="s">
        <v>3200</v>
      </c>
      <c r="D837" s="6">
        <v>1</v>
      </c>
    </row>
    <row r="838" spans="1:4" x14ac:dyDescent="0.35">
      <c r="A838" s="1">
        <v>4044864</v>
      </c>
      <c r="B838" s="15">
        <v>110</v>
      </c>
      <c r="C838" s="1" t="s">
        <v>3200</v>
      </c>
      <c r="D838" s="6">
        <v>1</v>
      </c>
    </row>
    <row r="839" spans="1:4" x14ac:dyDescent="0.35">
      <c r="A839" s="1">
        <v>4045014</v>
      </c>
      <c r="B839" s="15">
        <v>46.2</v>
      </c>
      <c r="C839" s="1" t="s">
        <v>3200</v>
      </c>
      <c r="D839" s="6">
        <v>1</v>
      </c>
    </row>
    <row r="840" spans="1:4" x14ac:dyDescent="0.35">
      <c r="A840" s="1">
        <v>4045015</v>
      </c>
      <c r="B840" s="15">
        <v>1721.2</v>
      </c>
      <c r="C840" s="1" t="s">
        <v>3200</v>
      </c>
      <c r="D840" s="6">
        <v>1</v>
      </c>
    </row>
    <row r="841" spans="1:4" x14ac:dyDescent="0.35">
      <c r="A841" s="1">
        <v>4045018</v>
      </c>
      <c r="B841" s="15">
        <v>1914</v>
      </c>
      <c r="C841" s="1" t="s">
        <v>3200</v>
      </c>
      <c r="D841" s="6">
        <v>1</v>
      </c>
    </row>
    <row r="842" spans="1:4" x14ac:dyDescent="0.35">
      <c r="A842" s="1">
        <v>4045020</v>
      </c>
      <c r="B842" s="15">
        <v>0.28000000000000003</v>
      </c>
      <c r="C842" s="1" t="s">
        <v>3200</v>
      </c>
      <c r="D842" s="6">
        <v>1</v>
      </c>
    </row>
    <row r="843" spans="1:4" x14ac:dyDescent="0.35">
      <c r="A843" s="1">
        <v>4045021</v>
      </c>
      <c r="B843" s="15">
        <v>1546.67</v>
      </c>
      <c r="C843" s="1" t="s">
        <v>3200</v>
      </c>
      <c r="D843" s="6">
        <v>1</v>
      </c>
    </row>
    <row r="844" spans="1:4" x14ac:dyDescent="0.35">
      <c r="A844" s="1">
        <v>4045024</v>
      </c>
      <c r="B844" s="15">
        <v>1964.93</v>
      </c>
      <c r="C844" s="1" t="s">
        <v>3200</v>
      </c>
      <c r="D844" s="6">
        <v>1</v>
      </c>
    </row>
    <row r="845" spans="1:4" x14ac:dyDescent="0.35">
      <c r="A845" s="1">
        <v>4045025</v>
      </c>
      <c r="B845" s="15">
        <v>593.41999999999996</v>
      </c>
      <c r="C845" s="1" t="s">
        <v>3200</v>
      </c>
      <c r="D845" s="6">
        <v>1</v>
      </c>
    </row>
    <row r="846" spans="1:4" x14ac:dyDescent="0.35">
      <c r="A846" s="1">
        <v>4045026</v>
      </c>
      <c r="B846" s="15">
        <v>1458.53</v>
      </c>
      <c r="C846" s="1" t="s">
        <v>3200</v>
      </c>
      <c r="D846" s="6">
        <v>1</v>
      </c>
    </row>
    <row r="847" spans="1:4" x14ac:dyDescent="0.35">
      <c r="A847" s="1">
        <v>4045027</v>
      </c>
      <c r="B847" s="15">
        <v>12.5</v>
      </c>
      <c r="C847" s="1" t="s">
        <v>3200</v>
      </c>
      <c r="D847" s="6">
        <v>1</v>
      </c>
    </row>
    <row r="848" spans="1:4" x14ac:dyDescent="0.35">
      <c r="A848" s="1">
        <v>4045028</v>
      </c>
      <c r="B848" s="15">
        <v>12.58</v>
      </c>
      <c r="C848" s="1" t="s">
        <v>3200</v>
      </c>
      <c r="D848" s="6">
        <v>1</v>
      </c>
    </row>
    <row r="849" spans="1:4" x14ac:dyDescent="0.35">
      <c r="A849" s="1">
        <v>4045029</v>
      </c>
      <c r="B849" s="15">
        <v>8.8800000000000008</v>
      </c>
      <c r="C849" s="1" t="s">
        <v>3200</v>
      </c>
      <c r="D849" s="6">
        <v>1</v>
      </c>
    </row>
    <row r="850" spans="1:4" x14ac:dyDescent="0.35">
      <c r="A850" s="1">
        <v>4045030</v>
      </c>
      <c r="B850" s="15">
        <v>8.8000000000000007</v>
      </c>
      <c r="C850" s="1" t="s">
        <v>3200</v>
      </c>
      <c r="D850" s="6">
        <v>1</v>
      </c>
    </row>
    <row r="851" spans="1:4" x14ac:dyDescent="0.35">
      <c r="A851" s="1">
        <v>4045031</v>
      </c>
      <c r="B851" s="15">
        <v>8.8000000000000007</v>
      </c>
      <c r="C851" s="1" t="s">
        <v>3200</v>
      </c>
      <c r="D851" s="6">
        <v>1</v>
      </c>
    </row>
    <row r="852" spans="1:4" x14ac:dyDescent="0.35">
      <c r="A852" s="1">
        <v>4045032</v>
      </c>
      <c r="B852" s="15">
        <v>87000</v>
      </c>
      <c r="C852" s="1" t="s">
        <v>3200</v>
      </c>
      <c r="D852" s="6">
        <v>1</v>
      </c>
    </row>
    <row r="853" spans="1:4" x14ac:dyDescent="0.35">
      <c r="A853" s="1">
        <v>4045033</v>
      </c>
      <c r="B853" s="15">
        <v>3466</v>
      </c>
      <c r="C853" s="1" t="s">
        <v>3200</v>
      </c>
      <c r="D853" s="6">
        <v>1</v>
      </c>
    </row>
    <row r="854" spans="1:4" x14ac:dyDescent="0.35">
      <c r="A854" s="1">
        <v>4045034</v>
      </c>
      <c r="B854" s="15">
        <v>3466</v>
      </c>
      <c r="C854" s="1" t="s">
        <v>3200</v>
      </c>
      <c r="D854" s="6">
        <v>1</v>
      </c>
    </row>
    <row r="855" spans="1:4" x14ac:dyDescent="0.35">
      <c r="A855" s="1">
        <v>4045035</v>
      </c>
      <c r="B855" s="15">
        <v>3466</v>
      </c>
      <c r="C855" s="1" t="s">
        <v>3200</v>
      </c>
      <c r="D855" s="6">
        <v>1</v>
      </c>
    </row>
    <row r="856" spans="1:4" x14ac:dyDescent="0.35">
      <c r="A856" s="1">
        <v>4045037</v>
      </c>
      <c r="B856" s="15">
        <v>3466</v>
      </c>
      <c r="C856" s="1" t="s">
        <v>3200</v>
      </c>
      <c r="D856" s="6">
        <v>1</v>
      </c>
    </row>
    <row r="857" spans="1:4" x14ac:dyDescent="0.35">
      <c r="A857" s="1">
        <v>4045038</v>
      </c>
      <c r="B857" s="15">
        <v>3466</v>
      </c>
      <c r="C857" s="1" t="s">
        <v>3200</v>
      </c>
      <c r="D857" s="6">
        <v>1</v>
      </c>
    </row>
    <row r="858" spans="1:4" x14ac:dyDescent="0.35">
      <c r="A858" s="1">
        <v>4045039</v>
      </c>
      <c r="B858" s="15">
        <v>3466</v>
      </c>
      <c r="C858" s="1" t="s">
        <v>3200</v>
      </c>
      <c r="D858" s="6">
        <v>1</v>
      </c>
    </row>
    <row r="859" spans="1:4" x14ac:dyDescent="0.35">
      <c r="A859" s="1">
        <v>4045042</v>
      </c>
      <c r="B859" s="15">
        <v>119438.31</v>
      </c>
      <c r="C859" s="1" t="s">
        <v>3200</v>
      </c>
      <c r="D859" s="6">
        <v>1</v>
      </c>
    </row>
    <row r="860" spans="1:4" x14ac:dyDescent="0.35">
      <c r="A860" s="1">
        <v>4045055</v>
      </c>
      <c r="B860" s="15">
        <v>3520</v>
      </c>
      <c r="C860" s="1" t="s">
        <v>3200</v>
      </c>
      <c r="D860" s="6">
        <v>1</v>
      </c>
    </row>
    <row r="861" spans="1:4" x14ac:dyDescent="0.35">
      <c r="A861" s="1">
        <v>4045056</v>
      </c>
      <c r="B861" s="15">
        <v>3520</v>
      </c>
      <c r="C861" s="1" t="s">
        <v>3200</v>
      </c>
      <c r="D861" s="6">
        <v>1</v>
      </c>
    </row>
    <row r="862" spans="1:4" x14ac:dyDescent="0.35">
      <c r="A862" s="1">
        <v>4045057</v>
      </c>
      <c r="B862" s="15">
        <v>3520</v>
      </c>
      <c r="C862" s="1" t="s">
        <v>3200</v>
      </c>
      <c r="D862" s="6">
        <v>1</v>
      </c>
    </row>
    <row r="863" spans="1:4" x14ac:dyDescent="0.35">
      <c r="A863" s="1">
        <v>4045068</v>
      </c>
      <c r="B863" s="15">
        <v>44.94</v>
      </c>
      <c r="C863" s="1" t="s">
        <v>3200</v>
      </c>
      <c r="D863" s="6">
        <v>1</v>
      </c>
    </row>
    <row r="864" spans="1:4" x14ac:dyDescent="0.35">
      <c r="A864" s="1">
        <v>4045081</v>
      </c>
      <c r="B864" s="15">
        <v>368.4</v>
      </c>
      <c r="C864" s="1" t="s">
        <v>3200</v>
      </c>
      <c r="D864" s="6">
        <v>1</v>
      </c>
    </row>
    <row r="865" spans="1:4" x14ac:dyDescent="0.35">
      <c r="A865" s="1">
        <v>4045333</v>
      </c>
      <c r="B865" s="15">
        <v>14394.63</v>
      </c>
      <c r="C865" s="1" t="s">
        <v>3200</v>
      </c>
      <c r="D865" s="6">
        <v>1</v>
      </c>
    </row>
    <row r="866" spans="1:4" x14ac:dyDescent="0.35">
      <c r="A866" s="1">
        <v>4045334</v>
      </c>
      <c r="B866" s="15">
        <v>1667.98</v>
      </c>
      <c r="C866" s="1" t="s">
        <v>3200</v>
      </c>
      <c r="D866" s="6">
        <v>1</v>
      </c>
    </row>
    <row r="867" spans="1:4" x14ac:dyDescent="0.35">
      <c r="A867" s="1">
        <v>4045335</v>
      </c>
      <c r="B867" s="15">
        <v>1667.98</v>
      </c>
      <c r="C867" s="1" t="s">
        <v>3200</v>
      </c>
      <c r="D867" s="6">
        <v>1</v>
      </c>
    </row>
    <row r="868" spans="1:4" x14ac:dyDescent="0.35">
      <c r="A868" s="1">
        <v>4045337</v>
      </c>
      <c r="B868" s="15">
        <v>2413</v>
      </c>
      <c r="C868" s="1" t="s">
        <v>3200</v>
      </c>
      <c r="D868" s="6">
        <v>1</v>
      </c>
    </row>
    <row r="869" spans="1:4" x14ac:dyDescent="0.35">
      <c r="A869" s="1">
        <v>4045338</v>
      </c>
      <c r="B869" s="15">
        <v>5067</v>
      </c>
      <c r="C869" s="1" t="s">
        <v>3200</v>
      </c>
      <c r="D869" s="6">
        <v>1</v>
      </c>
    </row>
    <row r="870" spans="1:4" x14ac:dyDescent="0.35">
      <c r="A870" s="1">
        <v>4045339</v>
      </c>
      <c r="B870" s="15">
        <v>812</v>
      </c>
      <c r="C870" s="1" t="s">
        <v>3200</v>
      </c>
      <c r="D870" s="6">
        <v>1</v>
      </c>
    </row>
    <row r="871" spans="1:4" x14ac:dyDescent="0.35">
      <c r="A871" s="1">
        <v>4045343</v>
      </c>
      <c r="B871" s="15">
        <v>3897.66</v>
      </c>
      <c r="C871" s="1" t="s">
        <v>3200</v>
      </c>
      <c r="D871" s="6">
        <v>1</v>
      </c>
    </row>
    <row r="872" spans="1:4" x14ac:dyDescent="0.35">
      <c r="A872" s="1">
        <v>4045370</v>
      </c>
      <c r="B872" s="15">
        <v>181.5</v>
      </c>
      <c r="C872" s="1" t="s">
        <v>3200</v>
      </c>
      <c r="D872" s="6">
        <v>1</v>
      </c>
    </row>
    <row r="873" spans="1:4" x14ac:dyDescent="0.35">
      <c r="A873" s="1">
        <v>4045373</v>
      </c>
      <c r="B873" s="15">
        <v>5786</v>
      </c>
      <c r="C873" s="1" t="s">
        <v>3200</v>
      </c>
      <c r="D873" s="6">
        <v>1</v>
      </c>
    </row>
    <row r="874" spans="1:4" x14ac:dyDescent="0.35">
      <c r="A874" s="1">
        <v>4046090</v>
      </c>
      <c r="B874" s="15">
        <v>7650</v>
      </c>
      <c r="C874" s="1" t="s">
        <v>3200</v>
      </c>
      <c r="D874" s="6">
        <v>1</v>
      </c>
    </row>
    <row r="875" spans="1:4" x14ac:dyDescent="0.35">
      <c r="A875" s="1">
        <v>4046091</v>
      </c>
      <c r="B875" s="15">
        <v>260</v>
      </c>
      <c r="C875" s="1" t="s">
        <v>3200</v>
      </c>
      <c r="D875" s="6">
        <v>1</v>
      </c>
    </row>
    <row r="876" spans="1:4" x14ac:dyDescent="0.35">
      <c r="A876" s="1">
        <v>4046092</v>
      </c>
      <c r="B876" s="15">
        <v>3892.78</v>
      </c>
      <c r="C876" s="1" t="s">
        <v>3200</v>
      </c>
      <c r="D876" s="6">
        <v>1</v>
      </c>
    </row>
    <row r="877" spans="1:4" x14ac:dyDescent="0.35">
      <c r="A877" s="1">
        <v>4046094</v>
      </c>
      <c r="B877" s="15">
        <v>1010</v>
      </c>
      <c r="C877" s="1" t="s">
        <v>3200</v>
      </c>
      <c r="D877" s="6">
        <v>1</v>
      </c>
    </row>
    <row r="878" spans="1:4" x14ac:dyDescent="0.35">
      <c r="A878" s="1">
        <v>4048468</v>
      </c>
      <c r="B878" s="15">
        <v>87.92</v>
      </c>
      <c r="C878" s="1" t="s">
        <v>3200</v>
      </c>
      <c r="D878" s="6">
        <v>1</v>
      </c>
    </row>
    <row r="879" spans="1:4" x14ac:dyDescent="0.35">
      <c r="A879" s="1">
        <v>4049107</v>
      </c>
      <c r="B879" s="15">
        <v>33.69</v>
      </c>
      <c r="C879" s="1" t="s">
        <v>3200</v>
      </c>
      <c r="D879" s="6">
        <v>1</v>
      </c>
    </row>
    <row r="880" spans="1:4" x14ac:dyDescent="0.35">
      <c r="A880" s="1">
        <v>4049121</v>
      </c>
      <c r="B880" s="15">
        <v>157.75</v>
      </c>
      <c r="C880" s="1" t="s">
        <v>3200</v>
      </c>
      <c r="D880" s="6">
        <v>1</v>
      </c>
    </row>
    <row r="881" spans="1:4" x14ac:dyDescent="0.35">
      <c r="A881" s="1">
        <v>4049360</v>
      </c>
      <c r="B881" s="15">
        <v>2.6402000000000001</v>
      </c>
      <c r="C881" s="1" t="s">
        <v>3200</v>
      </c>
      <c r="D881" s="6">
        <v>100</v>
      </c>
    </row>
  </sheetData>
  <autoFilter ref="A10:E10" xr:uid="{3A07CFD3-E9AA-4AF5-A23A-1FF7A5E09D43}"/>
  <mergeCells count="1">
    <mergeCell ref="A1:E1"/>
  </mergeCells>
  <conditionalFormatting sqref="A11:E881">
    <cfRule type="expression" dxfId="11" priority="1">
      <formula>MOD(ROW(),2)=1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F283-2070-49B2-AFED-A166D3175670}">
  <dimension ref="A1:AC732"/>
  <sheetViews>
    <sheetView showGridLines="0" workbookViewId="0">
      <pane ySplit="10" topLeftCell="A11" activePane="bottomLeft" state="frozen"/>
      <selection pane="bottomLeft" activeCell="M35" sqref="M35"/>
    </sheetView>
  </sheetViews>
  <sheetFormatPr baseColWidth="10" defaultColWidth="11.54296875" defaultRowHeight="14.5" x14ac:dyDescent="0.35"/>
  <cols>
    <col min="1" max="1" width="24.81640625" style="1" bestFit="1" customWidth="1"/>
    <col min="2" max="25" width="9.90625" style="1" bestFit="1" customWidth="1"/>
    <col min="26" max="26" width="8.36328125" style="1" bestFit="1" customWidth="1"/>
    <col min="27" max="27" width="17.36328125" style="1" bestFit="1" customWidth="1"/>
    <col min="28" max="28" width="8.08984375" style="1" bestFit="1" customWidth="1"/>
    <col min="29" max="16384" width="11.54296875" style="1"/>
  </cols>
  <sheetData>
    <row r="1" spans="1:29" ht="18.5" x14ac:dyDescent="0.45">
      <c r="A1" s="82" t="s">
        <v>3363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3" spans="1:29" x14ac:dyDescent="0.35">
      <c r="A3" s="10" t="s">
        <v>3357</v>
      </c>
      <c r="B3" s="16">
        <f>COUNTA(A11:A732)</f>
        <v>722</v>
      </c>
    </row>
    <row r="4" spans="1:29" x14ac:dyDescent="0.35">
      <c r="A4" s="11" t="s">
        <v>3364</v>
      </c>
      <c r="B4" s="18">
        <f>AVERAGE(Z11:Z732)</f>
        <v>49793.706371191132</v>
      </c>
    </row>
    <row r="5" spans="1:29" x14ac:dyDescent="0.35">
      <c r="A5" s="11" t="s">
        <v>3365</v>
      </c>
      <c r="B5" s="24">
        <f>SUM(Y11:Y732)</f>
        <v>1564115</v>
      </c>
    </row>
    <row r="6" spans="1:29" x14ac:dyDescent="0.35">
      <c r="A6" s="11" t="s">
        <v>3366</v>
      </c>
      <c r="B6" s="25">
        <f>AVERAGE(AA11:AA732)</f>
        <v>19.695290858725762</v>
      </c>
    </row>
    <row r="7" spans="1:29" x14ac:dyDescent="0.35">
      <c r="A7" s="11" t="s">
        <v>3367</v>
      </c>
      <c r="B7" s="17">
        <f>COUNTIF(AA11:AA732,"&gt;1")</f>
        <v>709</v>
      </c>
    </row>
    <row r="8" spans="1:29" x14ac:dyDescent="0.35">
      <c r="A8" s="12" t="s">
        <v>3368</v>
      </c>
      <c r="B8" s="19">
        <f>COUNTIF(AB11:AB732,"*INAKTIV*")</f>
        <v>0</v>
      </c>
    </row>
    <row r="10" spans="1:29" x14ac:dyDescent="0.35">
      <c r="A10" s="14" t="s">
        <v>1185</v>
      </c>
      <c r="B10" s="14" t="s">
        <v>3203</v>
      </c>
      <c r="C10" s="14" t="s">
        <v>3204</v>
      </c>
      <c r="D10" s="14" t="s">
        <v>3205</v>
      </c>
      <c r="E10" s="14" t="s">
        <v>3206</v>
      </c>
      <c r="F10" s="14" t="s">
        <v>3207</v>
      </c>
      <c r="G10" s="14" t="s">
        <v>3208</v>
      </c>
      <c r="H10" s="14" t="s">
        <v>3209</v>
      </c>
      <c r="I10" s="14" t="s">
        <v>3210</v>
      </c>
      <c r="J10" s="14" t="s">
        <v>3211</v>
      </c>
      <c r="K10" s="14" t="s">
        <v>3212</v>
      </c>
      <c r="L10" s="14" t="s">
        <v>3213</v>
      </c>
      <c r="M10" s="14" t="s">
        <v>3214</v>
      </c>
      <c r="N10" s="14" t="s">
        <v>3215</v>
      </c>
      <c r="O10" s="14" t="s">
        <v>3216</v>
      </c>
      <c r="P10" s="14" t="s">
        <v>3217</v>
      </c>
      <c r="Q10" s="14" t="s">
        <v>3218</v>
      </c>
      <c r="R10" s="14" t="s">
        <v>3219</v>
      </c>
      <c r="S10" s="14" t="s">
        <v>3220</v>
      </c>
      <c r="T10" s="14" t="s">
        <v>3221</v>
      </c>
      <c r="U10" s="14" t="s">
        <v>3222</v>
      </c>
      <c r="V10" s="14" t="s">
        <v>3223</v>
      </c>
      <c r="W10" s="14" t="s">
        <v>3224</v>
      </c>
      <c r="X10" s="14" t="s">
        <v>3225</v>
      </c>
      <c r="Y10" s="14" t="s">
        <v>3226</v>
      </c>
      <c r="Z10" s="14" t="s">
        <v>3227</v>
      </c>
      <c r="AA10" s="14" t="s">
        <v>3228</v>
      </c>
      <c r="AB10" s="14" t="s">
        <v>3229</v>
      </c>
      <c r="AC10" s="14" t="s">
        <v>22</v>
      </c>
    </row>
    <row r="11" spans="1:29" x14ac:dyDescent="0.35">
      <c r="A11" s="1">
        <v>4000005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50</v>
      </c>
      <c r="K11" s="15">
        <v>60</v>
      </c>
      <c r="L11" s="15">
        <v>34</v>
      </c>
      <c r="M11" s="15">
        <v>60</v>
      </c>
      <c r="N11" s="15">
        <v>30</v>
      </c>
      <c r="O11" s="15">
        <v>50</v>
      </c>
      <c r="P11" s="15">
        <v>24</v>
      </c>
      <c r="Q11" s="15">
        <v>70</v>
      </c>
      <c r="R11" s="15">
        <v>8</v>
      </c>
      <c r="S11" s="15">
        <v>60</v>
      </c>
      <c r="T11" s="15">
        <v>60</v>
      </c>
      <c r="U11" s="15">
        <v>10</v>
      </c>
      <c r="V11" s="15">
        <v>30</v>
      </c>
      <c r="W11" s="15">
        <v>20</v>
      </c>
      <c r="X11" s="15">
        <v>10</v>
      </c>
      <c r="Y11" s="15">
        <v>78</v>
      </c>
      <c r="Z11" s="4">
        <v>654</v>
      </c>
      <c r="AA11" s="26">
        <v>16</v>
      </c>
      <c r="AB11" s="7">
        <v>0.96970000000000001</v>
      </c>
    </row>
    <row r="12" spans="1:29" x14ac:dyDescent="0.35">
      <c r="A12" s="1">
        <v>4000014</v>
      </c>
      <c r="B12" s="15">
        <v>1512</v>
      </c>
      <c r="C12" s="15">
        <v>1162</v>
      </c>
      <c r="D12" s="15">
        <v>1184</v>
      </c>
      <c r="E12" s="15">
        <v>999</v>
      </c>
      <c r="F12" s="15">
        <v>1347</v>
      </c>
      <c r="G12" s="15">
        <v>897</v>
      </c>
      <c r="H12" s="15">
        <v>1131</v>
      </c>
      <c r="I12" s="15">
        <v>958</v>
      </c>
      <c r="J12" s="15">
        <v>1409</v>
      </c>
      <c r="K12" s="15">
        <v>1333</v>
      </c>
      <c r="L12" s="15">
        <v>1347</v>
      </c>
      <c r="M12" s="15">
        <v>1236</v>
      </c>
      <c r="N12" s="15">
        <v>1489</v>
      </c>
      <c r="O12" s="15">
        <v>1566</v>
      </c>
      <c r="P12" s="15">
        <v>1470</v>
      </c>
      <c r="Q12" s="15">
        <v>1211</v>
      </c>
      <c r="R12" s="15">
        <v>1040</v>
      </c>
      <c r="S12" s="15">
        <v>972</v>
      </c>
      <c r="T12" s="15">
        <v>975</v>
      </c>
      <c r="U12" s="15">
        <v>1090</v>
      </c>
      <c r="V12" s="15">
        <v>1242</v>
      </c>
      <c r="W12" s="15">
        <v>1434</v>
      </c>
      <c r="X12" s="15">
        <v>1185</v>
      </c>
      <c r="Y12" s="15">
        <v>1438</v>
      </c>
      <c r="Z12" s="4">
        <v>29627</v>
      </c>
      <c r="AA12" s="26">
        <v>24</v>
      </c>
      <c r="AB12" s="7">
        <v>0.1583</v>
      </c>
    </row>
    <row r="13" spans="1:29" x14ac:dyDescent="0.35">
      <c r="A13" s="1">
        <v>4000023</v>
      </c>
      <c r="B13" s="15">
        <v>840</v>
      </c>
      <c r="C13" s="15">
        <v>930</v>
      </c>
      <c r="D13" s="15">
        <v>1050</v>
      </c>
      <c r="E13" s="15">
        <v>820</v>
      </c>
      <c r="F13" s="15">
        <v>640</v>
      </c>
      <c r="G13" s="15">
        <v>780</v>
      </c>
      <c r="H13" s="15">
        <v>1000</v>
      </c>
      <c r="I13" s="15">
        <v>930</v>
      </c>
      <c r="J13" s="15">
        <v>900</v>
      </c>
      <c r="K13" s="15">
        <v>995</v>
      </c>
      <c r="L13" s="15">
        <v>1095</v>
      </c>
      <c r="M13" s="15">
        <v>1100</v>
      </c>
      <c r="N13" s="15">
        <v>1050</v>
      </c>
      <c r="O13" s="15">
        <v>1370</v>
      </c>
      <c r="P13" s="15">
        <v>1400</v>
      </c>
      <c r="Q13" s="15">
        <v>1120</v>
      </c>
      <c r="R13" s="15">
        <v>1020</v>
      </c>
      <c r="S13" s="15">
        <v>1010</v>
      </c>
      <c r="T13" s="15">
        <v>995</v>
      </c>
      <c r="U13" s="15">
        <v>930</v>
      </c>
      <c r="V13" s="15">
        <v>1260</v>
      </c>
      <c r="W13" s="15">
        <v>1110</v>
      </c>
      <c r="X13" s="15">
        <v>820</v>
      </c>
      <c r="Y13" s="15">
        <v>1140</v>
      </c>
      <c r="Z13" s="4">
        <v>24305</v>
      </c>
      <c r="AA13" s="26">
        <v>24</v>
      </c>
      <c r="AB13" s="7">
        <v>0.1716</v>
      </c>
    </row>
    <row r="14" spans="1:29" x14ac:dyDescent="0.35">
      <c r="A14" s="1">
        <v>4000024</v>
      </c>
      <c r="B14" s="15">
        <v>300</v>
      </c>
      <c r="C14" s="15">
        <v>30</v>
      </c>
      <c r="D14" s="15">
        <v>60</v>
      </c>
      <c r="E14" s="15">
        <v>120</v>
      </c>
      <c r="F14" s="15">
        <v>750</v>
      </c>
      <c r="G14" s="15">
        <v>1530</v>
      </c>
      <c r="H14" s="15">
        <v>1170</v>
      </c>
      <c r="I14" s="15">
        <v>540</v>
      </c>
      <c r="J14" s="15">
        <v>120</v>
      </c>
      <c r="K14" s="15">
        <v>60</v>
      </c>
      <c r="L14" s="15">
        <v>1590</v>
      </c>
      <c r="M14" s="15">
        <v>90</v>
      </c>
      <c r="N14" s="15">
        <v>60</v>
      </c>
      <c r="O14" s="15">
        <v>60</v>
      </c>
      <c r="P14" s="15">
        <v>120</v>
      </c>
      <c r="Q14" s="15">
        <v>780</v>
      </c>
      <c r="R14" s="15">
        <v>210</v>
      </c>
      <c r="S14" s="15">
        <v>570</v>
      </c>
      <c r="T14" s="15">
        <v>1170</v>
      </c>
      <c r="U14" s="15">
        <v>540</v>
      </c>
      <c r="V14" s="15">
        <v>90</v>
      </c>
      <c r="W14" s="15">
        <v>2280</v>
      </c>
      <c r="X14" s="15">
        <v>30</v>
      </c>
      <c r="Y14" s="15">
        <v>630</v>
      </c>
      <c r="Z14" s="4">
        <v>12900</v>
      </c>
      <c r="AA14" s="26">
        <v>24</v>
      </c>
      <c r="AB14" s="7">
        <v>1.1109</v>
      </c>
    </row>
    <row r="15" spans="1:29" x14ac:dyDescent="0.35">
      <c r="A15" s="1">
        <v>4000027</v>
      </c>
      <c r="B15" s="15">
        <v>28</v>
      </c>
      <c r="C15" s="15">
        <v>44</v>
      </c>
      <c r="D15" s="15">
        <v>52</v>
      </c>
      <c r="E15" s="15">
        <v>28</v>
      </c>
      <c r="F15" s="15">
        <v>0</v>
      </c>
      <c r="G15" s="15">
        <v>24</v>
      </c>
      <c r="H15" s="15">
        <v>4</v>
      </c>
      <c r="I15" s="15">
        <v>44</v>
      </c>
      <c r="J15" s="15">
        <v>4</v>
      </c>
      <c r="K15" s="15">
        <v>34</v>
      </c>
      <c r="L15" s="15">
        <v>4</v>
      </c>
      <c r="M15" s="15">
        <v>39</v>
      </c>
      <c r="N15" s="15">
        <v>24</v>
      </c>
      <c r="O15" s="15">
        <v>48</v>
      </c>
      <c r="P15" s="15">
        <v>64</v>
      </c>
      <c r="Q15" s="15">
        <v>20</v>
      </c>
      <c r="R15" s="15">
        <v>14</v>
      </c>
      <c r="S15" s="15">
        <v>24</v>
      </c>
      <c r="T15" s="15">
        <v>20</v>
      </c>
      <c r="U15" s="15">
        <v>30</v>
      </c>
      <c r="V15" s="15">
        <v>4</v>
      </c>
      <c r="W15" s="15">
        <v>22</v>
      </c>
      <c r="X15" s="15">
        <v>10</v>
      </c>
      <c r="Y15" s="15">
        <v>10</v>
      </c>
      <c r="Z15" s="4">
        <v>595</v>
      </c>
      <c r="AA15" s="26">
        <v>23</v>
      </c>
      <c r="AB15" s="7">
        <v>0.68100000000000005</v>
      </c>
    </row>
    <row r="16" spans="1:29" x14ac:dyDescent="0.35">
      <c r="A16" s="1">
        <v>4000060</v>
      </c>
      <c r="B16" s="15">
        <v>5200</v>
      </c>
      <c r="C16" s="15">
        <v>5400</v>
      </c>
      <c r="D16" s="15">
        <v>4000</v>
      </c>
      <c r="E16" s="15">
        <v>6100</v>
      </c>
      <c r="F16" s="15">
        <v>4700</v>
      </c>
      <c r="G16" s="15">
        <v>4600</v>
      </c>
      <c r="H16" s="15">
        <v>4050</v>
      </c>
      <c r="I16" s="15">
        <v>4100</v>
      </c>
      <c r="J16" s="15">
        <v>5600</v>
      </c>
      <c r="K16" s="15">
        <v>4400</v>
      </c>
      <c r="L16" s="15">
        <v>5600</v>
      </c>
      <c r="M16" s="15">
        <v>4400</v>
      </c>
      <c r="N16" s="15">
        <v>4600</v>
      </c>
      <c r="O16" s="15">
        <v>5900</v>
      </c>
      <c r="P16" s="15">
        <v>4500</v>
      </c>
      <c r="Q16" s="15">
        <v>5100</v>
      </c>
      <c r="R16" s="15">
        <v>5100</v>
      </c>
      <c r="S16" s="15">
        <v>4500</v>
      </c>
      <c r="T16" s="15">
        <v>4500</v>
      </c>
      <c r="U16" s="15">
        <v>5000</v>
      </c>
      <c r="V16" s="15">
        <v>6800</v>
      </c>
      <c r="W16" s="15">
        <v>4400</v>
      </c>
      <c r="X16" s="15">
        <v>5400</v>
      </c>
      <c r="Y16" s="15">
        <v>4600</v>
      </c>
      <c r="Z16" s="4">
        <v>118550</v>
      </c>
      <c r="AA16" s="26">
        <v>24</v>
      </c>
      <c r="AB16" s="7">
        <v>0.1394</v>
      </c>
    </row>
    <row r="17" spans="1:28" x14ac:dyDescent="0.35">
      <c r="A17" s="1">
        <v>4000061</v>
      </c>
      <c r="B17" s="15">
        <v>12350</v>
      </c>
      <c r="C17" s="15">
        <v>12500</v>
      </c>
      <c r="D17" s="15">
        <v>11400</v>
      </c>
      <c r="E17" s="15">
        <v>13300</v>
      </c>
      <c r="F17" s="15">
        <v>13150</v>
      </c>
      <c r="G17" s="15">
        <v>11200</v>
      </c>
      <c r="H17" s="15">
        <v>10250</v>
      </c>
      <c r="I17" s="15">
        <v>11500</v>
      </c>
      <c r="J17" s="15">
        <v>12850</v>
      </c>
      <c r="K17" s="15">
        <v>12900</v>
      </c>
      <c r="L17" s="15">
        <v>13700</v>
      </c>
      <c r="M17" s="15">
        <v>12700</v>
      </c>
      <c r="N17" s="15">
        <v>13700</v>
      </c>
      <c r="O17" s="15">
        <v>13700</v>
      </c>
      <c r="P17" s="15">
        <v>12850</v>
      </c>
      <c r="Q17" s="15">
        <v>12950</v>
      </c>
      <c r="R17" s="15">
        <v>12150</v>
      </c>
      <c r="S17" s="15">
        <v>12150</v>
      </c>
      <c r="T17" s="15">
        <v>10950</v>
      </c>
      <c r="U17" s="15">
        <v>11900</v>
      </c>
      <c r="V17" s="15">
        <v>14550</v>
      </c>
      <c r="W17" s="15">
        <v>13400</v>
      </c>
      <c r="X17" s="15">
        <v>12550</v>
      </c>
      <c r="Y17" s="15">
        <v>14350</v>
      </c>
      <c r="Z17" s="4">
        <v>303000</v>
      </c>
      <c r="AA17" s="26">
        <v>24</v>
      </c>
      <c r="AB17" s="7">
        <v>8.2600000000000007E-2</v>
      </c>
    </row>
    <row r="18" spans="1:28" x14ac:dyDescent="0.35">
      <c r="A18" s="1">
        <v>4000065</v>
      </c>
      <c r="B18" s="15">
        <v>93100</v>
      </c>
      <c r="C18" s="15">
        <v>91900</v>
      </c>
      <c r="D18" s="15">
        <v>84400</v>
      </c>
      <c r="E18" s="15">
        <v>81500</v>
      </c>
      <c r="F18" s="15">
        <v>79900</v>
      </c>
      <c r="G18" s="15">
        <v>71000</v>
      </c>
      <c r="H18" s="15">
        <v>75600</v>
      </c>
      <c r="I18" s="15">
        <v>77500</v>
      </c>
      <c r="J18" s="15">
        <v>86700</v>
      </c>
      <c r="K18" s="15">
        <v>80200</v>
      </c>
      <c r="L18" s="15">
        <v>86200</v>
      </c>
      <c r="M18" s="15">
        <v>87100</v>
      </c>
      <c r="N18" s="15">
        <v>82500</v>
      </c>
      <c r="O18" s="15">
        <v>82600</v>
      </c>
      <c r="P18" s="15">
        <v>78020</v>
      </c>
      <c r="Q18" s="15">
        <v>81900</v>
      </c>
      <c r="R18" s="15">
        <v>83002</v>
      </c>
      <c r="S18" s="15">
        <v>72000</v>
      </c>
      <c r="T18" s="15">
        <v>63100</v>
      </c>
      <c r="U18" s="15">
        <v>76300</v>
      </c>
      <c r="V18" s="15">
        <v>88900</v>
      </c>
      <c r="W18" s="15">
        <v>95100</v>
      </c>
      <c r="X18" s="15">
        <v>76300</v>
      </c>
      <c r="Y18" s="15">
        <v>89500</v>
      </c>
      <c r="Z18" s="4">
        <v>1964322</v>
      </c>
      <c r="AA18" s="26">
        <v>24</v>
      </c>
      <c r="AB18" s="7">
        <v>8.9800000000000005E-2</v>
      </c>
    </row>
    <row r="19" spans="1:28" x14ac:dyDescent="0.35">
      <c r="A19" s="1">
        <v>4000066</v>
      </c>
      <c r="B19" s="15">
        <v>225</v>
      </c>
      <c r="C19" s="15">
        <v>350</v>
      </c>
      <c r="D19" s="15">
        <v>375</v>
      </c>
      <c r="E19" s="15">
        <v>150</v>
      </c>
      <c r="F19" s="15">
        <v>200</v>
      </c>
      <c r="G19" s="15">
        <v>325</v>
      </c>
      <c r="H19" s="15">
        <v>75</v>
      </c>
      <c r="I19" s="15">
        <v>25</v>
      </c>
      <c r="J19" s="15">
        <v>200</v>
      </c>
      <c r="K19" s="15">
        <v>250</v>
      </c>
      <c r="L19" s="15">
        <v>375</v>
      </c>
      <c r="M19" s="15">
        <v>125</v>
      </c>
      <c r="N19" s="15">
        <v>250</v>
      </c>
      <c r="O19" s="15">
        <v>300</v>
      </c>
      <c r="P19" s="15">
        <v>75</v>
      </c>
      <c r="Q19" s="15">
        <v>200</v>
      </c>
      <c r="R19" s="15">
        <v>150</v>
      </c>
      <c r="S19" s="15">
        <v>300</v>
      </c>
      <c r="T19" s="15">
        <v>100</v>
      </c>
      <c r="U19" s="15">
        <v>125</v>
      </c>
      <c r="V19" s="15">
        <v>200</v>
      </c>
      <c r="W19" s="15">
        <v>350</v>
      </c>
      <c r="X19" s="15">
        <v>350</v>
      </c>
      <c r="Y19" s="15">
        <v>200</v>
      </c>
      <c r="Z19" s="4">
        <v>5275</v>
      </c>
      <c r="AA19" s="26">
        <v>24</v>
      </c>
      <c r="AB19" s="7">
        <v>0.4632</v>
      </c>
    </row>
    <row r="20" spans="1:28" x14ac:dyDescent="0.35">
      <c r="A20" s="1">
        <v>4000067</v>
      </c>
      <c r="B20" s="15">
        <v>0</v>
      </c>
      <c r="C20" s="15">
        <v>150</v>
      </c>
      <c r="D20" s="15">
        <v>100</v>
      </c>
      <c r="E20" s="15">
        <v>25</v>
      </c>
      <c r="F20" s="15">
        <v>100</v>
      </c>
      <c r="G20" s="15">
        <v>250</v>
      </c>
      <c r="H20" s="15">
        <v>100</v>
      </c>
      <c r="I20" s="15">
        <v>50</v>
      </c>
      <c r="J20" s="15">
        <v>25</v>
      </c>
      <c r="K20" s="15">
        <v>75</v>
      </c>
      <c r="L20" s="15">
        <v>100</v>
      </c>
      <c r="M20" s="15">
        <v>75</v>
      </c>
      <c r="N20" s="15">
        <v>125</v>
      </c>
      <c r="O20" s="15">
        <v>125</v>
      </c>
      <c r="P20" s="15">
        <v>25</v>
      </c>
      <c r="Q20" s="15">
        <v>0</v>
      </c>
      <c r="R20" s="15">
        <v>25</v>
      </c>
      <c r="S20" s="15">
        <v>200</v>
      </c>
      <c r="T20" s="15">
        <v>25</v>
      </c>
      <c r="U20" s="15">
        <v>25</v>
      </c>
      <c r="V20" s="15">
        <v>50</v>
      </c>
      <c r="W20" s="15">
        <v>100</v>
      </c>
      <c r="X20" s="15">
        <v>125</v>
      </c>
      <c r="Y20" s="15">
        <v>0</v>
      </c>
      <c r="Z20" s="4">
        <v>1875</v>
      </c>
      <c r="AA20" s="26">
        <v>21</v>
      </c>
      <c r="AB20" s="7">
        <v>0.80700000000000005</v>
      </c>
    </row>
    <row r="21" spans="1:28" x14ac:dyDescent="0.35">
      <c r="A21" s="1">
        <v>4000072</v>
      </c>
      <c r="B21" s="15">
        <v>1744</v>
      </c>
      <c r="C21" s="15">
        <v>1898</v>
      </c>
      <c r="D21" s="15">
        <v>2000</v>
      </c>
      <c r="E21" s="15">
        <v>1592</v>
      </c>
      <c r="F21" s="15">
        <v>1405</v>
      </c>
      <c r="G21" s="15">
        <v>1413</v>
      </c>
      <c r="H21" s="15">
        <v>1230</v>
      </c>
      <c r="I21" s="15">
        <v>1922</v>
      </c>
      <c r="J21" s="15">
        <v>1646</v>
      </c>
      <c r="K21" s="15">
        <v>1396</v>
      </c>
      <c r="L21" s="15">
        <v>1615</v>
      </c>
      <c r="M21" s="15">
        <v>1394</v>
      </c>
      <c r="N21" s="15">
        <v>1406</v>
      </c>
      <c r="O21" s="15">
        <v>1578</v>
      </c>
      <c r="P21" s="15">
        <v>1640</v>
      </c>
      <c r="Q21" s="15">
        <v>1570</v>
      </c>
      <c r="R21" s="15">
        <v>1654</v>
      </c>
      <c r="S21" s="15">
        <v>1474</v>
      </c>
      <c r="T21" s="15">
        <v>859</v>
      </c>
      <c r="U21" s="15">
        <v>1380</v>
      </c>
      <c r="V21" s="15">
        <v>1957</v>
      </c>
      <c r="W21" s="15">
        <v>1856</v>
      </c>
      <c r="X21" s="15">
        <v>1156</v>
      </c>
      <c r="Y21" s="15">
        <v>1226</v>
      </c>
      <c r="Z21" s="4">
        <v>37011</v>
      </c>
      <c r="AA21" s="26">
        <v>24</v>
      </c>
      <c r="AB21" s="7">
        <v>0.1764</v>
      </c>
    </row>
    <row r="22" spans="1:28" x14ac:dyDescent="0.35">
      <c r="A22" s="1">
        <v>4000077</v>
      </c>
      <c r="B22" s="15">
        <v>700</v>
      </c>
      <c r="C22" s="15">
        <v>860</v>
      </c>
      <c r="D22" s="15">
        <v>400</v>
      </c>
      <c r="E22" s="15">
        <v>1025</v>
      </c>
      <c r="F22" s="15">
        <v>1125</v>
      </c>
      <c r="G22" s="15">
        <v>625</v>
      </c>
      <c r="H22" s="15">
        <v>1000</v>
      </c>
      <c r="I22" s="15">
        <v>695</v>
      </c>
      <c r="J22" s="15">
        <v>775</v>
      </c>
      <c r="K22" s="15">
        <v>875</v>
      </c>
      <c r="L22" s="15">
        <v>725</v>
      </c>
      <c r="M22" s="15">
        <v>850</v>
      </c>
      <c r="N22" s="15">
        <v>615</v>
      </c>
      <c r="O22" s="15">
        <v>1075</v>
      </c>
      <c r="P22" s="15">
        <v>1100</v>
      </c>
      <c r="Q22" s="15">
        <v>775</v>
      </c>
      <c r="R22" s="15">
        <v>951</v>
      </c>
      <c r="S22" s="15">
        <v>1160</v>
      </c>
      <c r="T22" s="15">
        <v>575</v>
      </c>
      <c r="U22" s="15">
        <v>807</v>
      </c>
      <c r="V22" s="15">
        <v>1325</v>
      </c>
      <c r="W22" s="15">
        <v>725</v>
      </c>
      <c r="X22" s="15">
        <v>1150</v>
      </c>
      <c r="Y22" s="15">
        <v>1060</v>
      </c>
      <c r="Z22" s="4">
        <v>20973</v>
      </c>
      <c r="AA22" s="26">
        <v>24</v>
      </c>
      <c r="AB22" s="7">
        <v>0.25259999999999999</v>
      </c>
    </row>
    <row r="23" spans="1:28" x14ac:dyDescent="0.35">
      <c r="A23" s="1">
        <v>4000078</v>
      </c>
      <c r="B23" s="15">
        <v>300</v>
      </c>
      <c r="C23" s="15">
        <v>400</v>
      </c>
      <c r="D23" s="15">
        <v>800</v>
      </c>
      <c r="E23" s="15">
        <v>900</v>
      </c>
      <c r="F23" s="15">
        <v>200</v>
      </c>
      <c r="G23" s="15">
        <v>1000</v>
      </c>
      <c r="H23" s="15">
        <v>400</v>
      </c>
      <c r="I23" s="15">
        <v>700</v>
      </c>
      <c r="J23" s="15">
        <v>0</v>
      </c>
      <c r="K23" s="15">
        <v>500</v>
      </c>
      <c r="L23" s="15">
        <v>600</v>
      </c>
      <c r="M23" s="15">
        <v>300</v>
      </c>
      <c r="N23" s="15">
        <v>100</v>
      </c>
      <c r="O23" s="15">
        <v>200</v>
      </c>
      <c r="P23" s="15">
        <v>500</v>
      </c>
      <c r="Q23" s="15">
        <v>600</v>
      </c>
      <c r="R23" s="15">
        <v>2600</v>
      </c>
      <c r="S23" s="15">
        <v>200</v>
      </c>
      <c r="T23" s="15">
        <v>0</v>
      </c>
      <c r="U23" s="15">
        <v>100</v>
      </c>
      <c r="V23" s="15">
        <v>400</v>
      </c>
      <c r="W23" s="15">
        <v>400</v>
      </c>
      <c r="X23" s="15">
        <v>300</v>
      </c>
      <c r="Y23" s="15">
        <v>400</v>
      </c>
      <c r="Z23" s="4">
        <v>11900</v>
      </c>
      <c r="AA23" s="26">
        <v>22</v>
      </c>
      <c r="AB23" s="7">
        <v>1.0275000000000001</v>
      </c>
    </row>
    <row r="24" spans="1:28" x14ac:dyDescent="0.35">
      <c r="A24" s="1">
        <v>4000084</v>
      </c>
      <c r="B24" s="15">
        <v>49</v>
      </c>
      <c r="C24" s="15">
        <v>34</v>
      </c>
      <c r="D24" s="15">
        <v>46</v>
      </c>
      <c r="E24" s="15">
        <v>62</v>
      </c>
      <c r="F24" s="15">
        <v>50</v>
      </c>
      <c r="G24" s="15">
        <v>36</v>
      </c>
      <c r="H24" s="15">
        <v>4</v>
      </c>
      <c r="I24" s="15">
        <v>69</v>
      </c>
      <c r="J24" s="15">
        <v>40</v>
      </c>
      <c r="K24" s="15">
        <v>49</v>
      </c>
      <c r="L24" s="15">
        <v>34</v>
      </c>
      <c r="M24" s="15">
        <v>68</v>
      </c>
      <c r="N24" s="15">
        <v>81</v>
      </c>
      <c r="O24" s="15">
        <v>76</v>
      </c>
      <c r="P24" s="15">
        <v>33</v>
      </c>
      <c r="Q24" s="15">
        <v>14</v>
      </c>
      <c r="R24" s="15">
        <v>66</v>
      </c>
      <c r="S24" s="15">
        <v>36</v>
      </c>
      <c r="T24" s="15">
        <v>44</v>
      </c>
      <c r="U24" s="15">
        <v>44</v>
      </c>
      <c r="V24" s="15">
        <v>66</v>
      </c>
      <c r="W24" s="15">
        <v>41</v>
      </c>
      <c r="X24" s="15">
        <v>66</v>
      </c>
      <c r="Y24" s="15">
        <v>60</v>
      </c>
      <c r="Z24" s="4">
        <v>1168</v>
      </c>
      <c r="AA24" s="26">
        <v>24</v>
      </c>
      <c r="AB24" s="7">
        <v>0.37909999999999999</v>
      </c>
    </row>
    <row r="25" spans="1:28" x14ac:dyDescent="0.35">
      <c r="A25" s="1">
        <v>4000090</v>
      </c>
      <c r="B25" s="15">
        <v>1300</v>
      </c>
      <c r="C25" s="15">
        <v>1700</v>
      </c>
      <c r="D25" s="15">
        <v>1500</v>
      </c>
      <c r="E25" s="15">
        <v>2000</v>
      </c>
      <c r="F25" s="15">
        <v>2800</v>
      </c>
      <c r="G25" s="15">
        <v>1100</v>
      </c>
      <c r="H25" s="15">
        <v>1700</v>
      </c>
      <c r="I25" s="15">
        <v>2800</v>
      </c>
      <c r="J25" s="15">
        <v>1400</v>
      </c>
      <c r="K25" s="15">
        <v>1185</v>
      </c>
      <c r="L25" s="15">
        <v>0</v>
      </c>
      <c r="M25" s="15">
        <v>0</v>
      </c>
      <c r="N25" s="15">
        <v>1200</v>
      </c>
      <c r="O25" s="15">
        <v>0</v>
      </c>
      <c r="P25" s="15">
        <v>3501</v>
      </c>
      <c r="Q25" s="15">
        <v>2300</v>
      </c>
      <c r="R25" s="15">
        <v>1100</v>
      </c>
      <c r="S25" s="15">
        <v>1300</v>
      </c>
      <c r="T25" s="15">
        <v>1600</v>
      </c>
      <c r="U25" s="15">
        <v>700</v>
      </c>
      <c r="V25" s="15">
        <v>1300</v>
      </c>
      <c r="W25" s="15">
        <v>1700</v>
      </c>
      <c r="X25" s="15">
        <v>1300</v>
      </c>
      <c r="Y25" s="15">
        <v>1100</v>
      </c>
      <c r="Z25" s="4">
        <v>34586</v>
      </c>
      <c r="AA25" s="26">
        <v>21</v>
      </c>
      <c r="AB25" s="7">
        <v>0.57620000000000005</v>
      </c>
    </row>
    <row r="26" spans="1:28" x14ac:dyDescent="0.35">
      <c r="A26" s="1">
        <v>4000094</v>
      </c>
      <c r="B26" s="15">
        <v>19500</v>
      </c>
      <c r="C26" s="15">
        <v>17100</v>
      </c>
      <c r="D26" s="15">
        <v>18800</v>
      </c>
      <c r="E26" s="15">
        <v>18900</v>
      </c>
      <c r="F26" s="15">
        <v>20100</v>
      </c>
      <c r="G26" s="15">
        <v>16700</v>
      </c>
      <c r="H26" s="15">
        <v>14900</v>
      </c>
      <c r="I26" s="15">
        <v>16800</v>
      </c>
      <c r="J26" s="15">
        <v>18700</v>
      </c>
      <c r="K26" s="15">
        <v>20900</v>
      </c>
      <c r="L26" s="15">
        <v>21300</v>
      </c>
      <c r="M26" s="15">
        <v>16700</v>
      </c>
      <c r="N26" s="15">
        <v>19600</v>
      </c>
      <c r="O26" s="15">
        <v>21200</v>
      </c>
      <c r="P26" s="15">
        <v>18600</v>
      </c>
      <c r="Q26" s="15">
        <v>18600</v>
      </c>
      <c r="R26" s="15">
        <v>17900</v>
      </c>
      <c r="S26" s="15">
        <v>18300</v>
      </c>
      <c r="T26" s="15">
        <v>14800</v>
      </c>
      <c r="U26" s="15">
        <v>20900</v>
      </c>
      <c r="V26" s="15">
        <v>20600</v>
      </c>
      <c r="W26" s="15">
        <v>20900</v>
      </c>
      <c r="X26" s="15">
        <v>19600</v>
      </c>
      <c r="Y26" s="15">
        <v>20600</v>
      </c>
      <c r="Z26" s="4">
        <v>452000</v>
      </c>
      <c r="AA26" s="26">
        <v>24</v>
      </c>
      <c r="AB26" s="7">
        <v>9.8900000000000002E-2</v>
      </c>
    </row>
    <row r="27" spans="1:28" x14ac:dyDescent="0.35">
      <c r="A27" s="1">
        <v>4000108</v>
      </c>
      <c r="B27" s="15">
        <v>950</v>
      </c>
      <c r="C27" s="15">
        <v>2700</v>
      </c>
      <c r="D27" s="15">
        <v>900</v>
      </c>
      <c r="E27" s="15">
        <v>1950</v>
      </c>
      <c r="F27" s="15">
        <v>1350</v>
      </c>
      <c r="G27" s="15">
        <v>1600</v>
      </c>
      <c r="H27" s="15">
        <v>1400</v>
      </c>
      <c r="I27" s="15">
        <v>1200</v>
      </c>
      <c r="J27" s="15">
        <v>1550</v>
      </c>
      <c r="K27" s="15">
        <v>1650</v>
      </c>
      <c r="L27" s="15">
        <v>1650</v>
      </c>
      <c r="M27" s="15">
        <v>1550</v>
      </c>
      <c r="N27" s="15">
        <v>1500</v>
      </c>
      <c r="O27" s="15">
        <v>1950</v>
      </c>
      <c r="P27" s="15">
        <v>1450</v>
      </c>
      <c r="Q27" s="15">
        <v>1450</v>
      </c>
      <c r="R27" s="15">
        <v>1550</v>
      </c>
      <c r="S27" s="15">
        <v>1550</v>
      </c>
      <c r="T27" s="15">
        <v>1450</v>
      </c>
      <c r="U27" s="15">
        <v>1400</v>
      </c>
      <c r="V27" s="15">
        <v>1950</v>
      </c>
      <c r="W27" s="15">
        <v>1450</v>
      </c>
      <c r="X27" s="15">
        <v>1950</v>
      </c>
      <c r="Y27" s="15">
        <v>1901</v>
      </c>
      <c r="Z27" s="4">
        <v>38001</v>
      </c>
      <c r="AA27" s="26">
        <v>24</v>
      </c>
      <c r="AB27" s="7">
        <v>0.22750000000000001</v>
      </c>
    </row>
    <row r="28" spans="1:28" x14ac:dyDescent="0.35">
      <c r="A28" s="1">
        <v>4000273</v>
      </c>
      <c r="B28" s="15">
        <v>19110</v>
      </c>
      <c r="C28" s="15">
        <v>16980</v>
      </c>
      <c r="D28" s="15">
        <v>19050</v>
      </c>
      <c r="E28" s="15">
        <v>21240</v>
      </c>
      <c r="F28" s="15">
        <v>18780</v>
      </c>
      <c r="G28" s="15">
        <v>17610</v>
      </c>
      <c r="H28" s="15">
        <v>17940</v>
      </c>
      <c r="I28" s="15">
        <v>19530</v>
      </c>
      <c r="J28" s="15">
        <v>20310</v>
      </c>
      <c r="K28" s="15">
        <v>19860</v>
      </c>
      <c r="L28" s="15">
        <v>19200</v>
      </c>
      <c r="M28" s="15">
        <v>22470</v>
      </c>
      <c r="N28" s="15">
        <v>19680</v>
      </c>
      <c r="O28" s="15">
        <v>20040</v>
      </c>
      <c r="P28" s="15">
        <v>18780</v>
      </c>
      <c r="Q28" s="15">
        <v>19410</v>
      </c>
      <c r="R28" s="15">
        <v>19560</v>
      </c>
      <c r="S28" s="15">
        <v>21960</v>
      </c>
      <c r="T28" s="15">
        <v>18900</v>
      </c>
      <c r="U28" s="15">
        <v>20970</v>
      </c>
      <c r="V28" s="15">
        <v>21810</v>
      </c>
      <c r="W28" s="15">
        <v>24300</v>
      </c>
      <c r="X28" s="15">
        <v>19680</v>
      </c>
      <c r="Y28" s="15">
        <v>21600</v>
      </c>
      <c r="Z28" s="4">
        <v>478770</v>
      </c>
      <c r="AA28" s="26">
        <v>24</v>
      </c>
      <c r="AB28" s="7">
        <v>8.1500000000000003E-2</v>
      </c>
    </row>
    <row r="29" spans="1:28" x14ac:dyDescent="0.35">
      <c r="A29" s="1">
        <v>4000274</v>
      </c>
      <c r="B29" s="15">
        <v>70740</v>
      </c>
      <c r="C29" s="15">
        <v>66030</v>
      </c>
      <c r="D29" s="15">
        <v>69060</v>
      </c>
      <c r="E29" s="15">
        <v>64500</v>
      </c>
      <c r="F29" s="15">
        <v>68700</v>
      </c>
      <c r="G29" s="15">
        <v>64240</v>
      </c>
      <c r="H29" s="15">
        <v>60750</v>
      </c>
      <c r="I29" s="15">
        <v>67620</v>
      </c>
      <c r="J29" s="15">
        <v>72120</v>
      </c>
      <c r="K29" s="15">
        <v>72480</v>
      </c>
      <c r="L29" s="15">
        <v>75000</v>
      </c>
      <c r="M29" s="15">
        <v>74640</v>
      </c>
      <c r="N29" s="15">
        <v>70300</v>
      </c>
      <c r="O29" s="15">
        <v>77010</v>
      </c>
      <c r="P29" s="15">
        <v>69480</v>
      </c>
      <c r="Q29" s="15">
        <v>73440</v>
      </c>
      <c r="R29" s="15">
        <v>66750</v>
      </c>
      <c r="S29" s="15">
        <v>62190</v>
      </c>
      <c r="T29" s="15">
        <v>60210</v>
      </c>
      <c r="U29" s="15">
        <v>69810</v>
      </c>
      <c r="V29" s="15">
        <v>82920</v>
      </c>
      <c r="W29" s="15">
        <v>78900</v>
      </c>
      <c r="X29" s="15">
        <v>69180</v>
      </c>
      <c r="Y29" s="15">
        <v>77610</v>
      </c>
      <c r="Z29" s="4">
        <v>1683680</v>
      </c>
      <c r="AA29" s="26">
        <v>24</v>
      </c>
      <c r="AB29" s="7">
        <v>8.0399999999999999E-2</v>
      </c>
    </row>
    <row r="30" spans="1:28" x14ac:dyDescent="0.35">
      <c r="A30" s="1">
        <v>4000275</v>
      </c>
      <c r="B30" s="15">
        <v>3600</v>
      </c>
      <c r="C30" s="15">
        <v>3300</v>
      </c>
      <c r="D30" s="15">
        <v>3400</v>
      </c>
      <c r="E30" s="15">
        <v>3000</v>
      </c>
      <c r="F30" s="15">
        <v>4800</v>
      </c>
      <c r="G30" s="15">
        <v>4200</v>
      </c>
      <c r="H30" s="15">
        <v>3400</v>
      </c>
      <c r="I30" s="15">
        <v>3300</v>
      </c>
      <c r="J30" s="15">
        <v>3800</v>
      </c>
      <c r="K30" s="15">
        <v>3700</v>
      </c>
      <c r="L30" s="15">
        <v>3300</v>
      </c>
      <c r="M30" s="15">
        <v>4200</v>
      </c>
      <c r="N30" s="15">
        <v>3000</v>
      </c>
      <c r="O30" s="15">
        <v>4000</v>
      </c>
      <c r="P30" s="15">
        <v>3650</v>
      </c>
      <c r="Q30" s="15">
        <v>3400</v>
      </c>
      <c r="R30" s="15">
        <v>3500</v>
      </c>
      <c r="S30" s="15">
        <v>4150</v>
      </c>
      <c r="T30" s="15">
        <v>3400</v>
      </c>
      <c r="U30" s="15">
        <v>2800</v>
      </c>
      <c r="V30" s="15">
        <v>3600</v>
      </c>
      <c r="W30" s="15">
        <v>3200</v>
      </c>
      <c r="X30" s="15">
        <v>3750</v>
      </c>
      <c r="Y30" s="15">
        <v>4100</v>
      </c>
      <c r="Z30" s="4">
        <v>86550</v>
      </c>
      <c r="AA30" s="26">
        <v>24</v>
      </c>
      <c r="AB30" s="7">
        <v>0.12540000000000001</v>
      </c>
    </row>
    <row r="31" spans="1:28" x14ac:dyDescent="0.35">
      <c r="A31" s="1">
        <v>4000276</v>
      </c>
      <c r="B31" s="15">
        <v>6200</v>
      </c>
      <c r="C31" s="15">
        <v>5600</v>
      </c>
      <c r="D31" s="15">
        <v>4300</v>
      </c>
      <c r="E31" s="15">
        <v>4200</v>
      </c>
      <c r="F31" s="15">
        <v>5000</v>
      </c>
      <c r="G31" s="15">
        <v>4000</v>
      </c>
      <c r="H31" s="15">
        <v>4800</v>
      </c>
      <c r="I31" s="15">
        <v>3900</v>
      </c>
      <c r="J31" s="15">
        <v>5100</v>
      </c>
      <c r="K31" s="15">
        <v>5100</v>
      </c>
      <c r="L31" s="15">
        <v>3300</v>
      </c>
      <c r="M31" s="15">
        <v>4800</v>
      </c>
      <c r="N31" s="15">
        <v>4300</v>
      </c>
      <c r="O31" s="15">
        <v>4700</v>
      </c>
      <c r="P31" s="15">
        <v>5200</v>
      </c>
      <c r="Q31" s="15">
        <v>5800</v>
      </c>
      <c r="R31" s="15">
        <v>5400</v>
      </c>
      <c r="S31" s="15">
        <v>5800</v>
      </c>
      <c r="T31" s="15">
        <v>4100</v>
      </c>
      <c r="U31" s="15">
        <v>5000</v>
      </c>
      <c r="V31" s="15">
        <v>4800</v>
      </c>
      <c r="W31" s="15">
        <v>5200</v>
      </c>
      <c r="X31" s="15">
        <v>3800</v>
      </c>
      <c r="Y31" s="15">
        <v>4900</v>
      </c>
      <c r="Z31" s="4">
        <v>115300</v>
      </c>
      <c r="AA31" s="26">
        <v>24</v>
      </c>
      <c r="AB31" s="7">
        <v>0.14480000000000001</v>
      </c>
    </row>
    <row r="32" spans="1:28" x14ac:dyDescent="0.35">
      <c r="A32" s="1">
        <v>4000279</v>
      </c>
      <c r="B32" s="15">
        <v>4170</v>
      </c>
      <c r="C32" s="15">
        <v>4845</v>
      </c>
      <c r="D32" s="15">
        <v>4870</v>
      </c>
      <c r="E32" s="15">
        <v>5535</v>
      </c>
      <c r="F32" s="15">
        <v>4595</v>
      </c>
      <c r="G32" s="15">
        <v>5270</v>
      </c>
      <c r="H32" s="15">
        <v>3846</v>
      </c>
      <c r="I32" s="15">
        <v>5639</v>
      </c>
      <c r="J32" s="15">
        <v>3475</v>
      </c>
      <c r="K32" s="15">
        <v>4395</v>
      </c>
      <c r="L32" s="15">
        <v>4955</v>
      </c>
      <c r="M32" s="15">
        <v>5130</v>
      </c>
      <c r="N32" s="15">
        <v>4310</v>
      </c>
      <c r="O32" s="15">
        <v>5865</v>
      </c>
      <c r="P32" s="15">
        <v>4490</v>
      </c>
      <c r="Q32" s="15">
        <v>5033</v>
      </c>
      <c r="R32" s="15">
        <v>3626</v>
      </c>
      <c r="S32" s="15">
        <v>5745</v>
      </c>
      <c r="T32" s="15">
        <v>4746</v>
      </c>
      <c r="U32" s="15">
        <v>4768</v>
      </c>
      <c r="V32" s="15">
        <v>4825</v>
      </c>
      <c r="W32" s="15">
        <v>5500</v>
      </c>
      <c r="X32" s="15">
        <v>4535</v>
      </c>
      <c r="Y32" s="15">
        <v>5927</v>
      </c>
      <c r="Z32" s="4">
        <v>116095</v>
      </c>
      <c r="AA32" s="26">
        <v>24</v>
      </c>
      <c r="AB32" s="7">
        <v>0.13650000000000001</v>
      </c>
    </row>
    <row r="33" spans="1:28" x14ac:dyDescent="0.35">
      <c r="A33" s="1">
        <v>4000286</v>
      </c>
      <c r="B33" s="15">
        <v>7250</v>
      </c>
      <c r="C33" s="15">
        <v>8850</v>
      </c>
      <c r="D33" s="15">
        <v>7750</v>
      </c>
      <c r="E33" s="15">
        <v>8850</v>
      </c>
      <c r="F33" s="15">
        <v>8050</v>
      </c>
      <c r="G33" s="15">
        <v>7200</v>
      </c>
      <c r="H33" s="15">
        <v>6700</v>
      </c>
      <c r="I33" s="15">
        <v>7100</v>
      </c>
      <c r="J33" s="15">
        <v>9100</v>
      </c>
      <c r="K33" s="15">
        <v>9500</v>
      </c>
      <c r="L33" s="15">
        <v>8350</v>
      </c>
      <c r="M33" s="15">
        <v>8050</v>
      </c>
      <c r="N33" s="15">
        <v>8350</v>
      </c>
      <c r="O33" s="15">
        <v>9900</v>
      </c>
      <c r="P33" s="15">
        <v>6750</v>
      </c>
      <c r="Q33" s="15">
        <v>7750</v>
      </c>
      <c r="R33" s="15">
        <v>7450</v>
      </c>
      <c r="S33" s="15">
        <v>8250</v>
      </c>
      <c r="T33" s="15">
        <v>6150</v>
      </c>
      <c r="U33" s="15">
        <v>7250</v>
      </c>
      <c r="V33" s="15">
        <v>8500</v>
      </c>
      <c r="W33" s="15">
        <v>9600</v>
      </c>
      <c r="X33" s="15">
        <v>8400</v>
      </c>
      <c r="Y33" s="15">
        <v>8750</v>
      </c>
      <c r="Z33" s="4">
        <v>193850</v>
      </c>
      <c r="AA33" s="26">
        <v>24</v>
      </c>
      <c r="AB33" s="7">
        <v>0.1183</v>
      </c>
    </row>
    <row r="34" spans="1:28" x14ac:dyDescent="0.35">
      <c r="A34" s="1">
        <v>4000287</v>
      </c>
      <c r="B34" s="15">
        <v>6150</v>
      </c>
      <c r="C34" s="15">
        <v>7050</v>
      </c>
      <c r="D34" s="15">
        <v>7300</v>
      </c>
      <c r="E34" s="15">
        <v>6500</v>
      </c>
      <c r="F34" s="15">
        <v>7100</v>
      </c>
      <c r="G34" s="15">
        <v>5600</v>
      </c>
      <c r="H34" s="15">
        <v>5350</v>
      </c>
      <c r="I34" s="15">
        <v>5650</v>
      </c>
      <c r="J34" s="15">
        <v>7650</v>
      </c>
      <c r="K34" s="15">
        <v>6800</v>
      </c>
      <c r="L34" s="15">
        <v>7850</v>
      </c>
      <c r="M34" s="15">
        <v>6650</v>
      </c>
      <c r="N34" s="15">
        <v>7150</v>
      </c>
      <c r="O34" s="15">
        <v>7750</v>
      </c>
      <c r="P34" s="15">
        <v>6950</v>
      </c>
      <c r="Q34" s="15">
        <v>6900</v>
      </c>
      <c r="R34" s="15">
        <v>6550</v>
      </c>
      <c r="S34" s="15">
        <v>6750</v>
      </c>
      <c r="T34" s="15">
        <v>5050</v>
      </c>
      <c r="U34" s="15">
        <v>6250</v>
      </c>
      <c r="V34" s="15">
        <v>7700</v>
      </c>
      <c r="W34" s="15">
        <v>7250</v>
      </c>
      <c r="X34" s="15">
        <v>7200</v>
      </c>
      <c r="Y34" s="15">
        <v>7900</v>
      </c>
      <c r="Z34" s="4">
        <v>163050</v>
      </c>
      <c r="AA34" s="26">
        <v>24</v>
      </c>
      <c r="AB34" s="7">
        <v>0.1144</v>
      </c>
    </row>
    <row r="35" spans="1:28" x14ac:dyDescent="0.35">
      <c r="A35" s="1">
        <v>4000288</v>
      </c>
      <c r="B35" s="15">
        <v>5950</v>
      </c>
      <c r="C35" s="15">
        <v>6050</v>
      </c>
      <c r="D35" s="15">
        <v>6000</v>
      </c>
      <c r="E35" s="15">
        <v>6000</v>
      </c>
      <c r="F35" s="15">
        <v>6350</v>
      </c>
      <c r="G35" s="15">
        <v>6050</v>
      </c>
      <c r="H35" s="15">
        <v>5100</v>
      </c>
      <c r="I35" s="15">
        <v>5250</v>
      </c>
      <c r="J35" s="15">
        <v>6950</v>
      </c>
      <c r="K35" s="15">
        <v>6600</v>
      </c>
      <c r="L35" s="15">
        <v>5900</v>
      </c>
      <c r="M35" s="15">
        <v>5850</v>
      </c>
      <c r="N35" s="15">
        <v>6400</v>
      </c>
      <c r="O35" s="15">
        <v>6700</v>
      </c>
      <c r="P35" s="15">
        <v>6850</v>
      </c>
      <c r="Q35" s="15">
        <v>6450</v>
      </c>
      <c r="R35" s="15">
        <v>6050</v>
      </c>
      <c r="S35" s="15">
        <v>6300</v>
      </c>
      <c r="T35" s="15">
        <v>5800</v>
      </c>
      <c r="U35" s="15">
        <v>6350</v>
      </c>
      <c r="V35" s="15">
        <v>9250</v>
      </c>
      <c r="W35" s="15">
        <v>6850</v>
      </c>
      <c r="X35" s="15">
        <v>6150</v>
      </c>
      <c r="Y35" s="15">
        <v>6500</v>
      </c>
      <c r="Z35" s="4">
        <v>151700</v>
      </c>
      <c r="AA35" s="26">
        <v>24</v>
      </c>
      <c r="AB35" s="7">
        <v>0.1196</v>
      </c>
    </row>
    <row r="36" spans="1:28" x14ac:dyDescent="0.35">
      <c r="A36" s="1">
        <v>4000290</v>
      </c>
      <c r="B36" s="15">
        <v>400</v>
      </c>
      <c r="C36" s="15">
        <v>400</v>
      </c>
      <c r="D36" s="15">
        <v>650</v>
      </c>
      <c r="E36" s="15">
        <v>350</v>
      </c>
      <c r="F36" s="15">
        <v>500</v>
      </c>
      <c r="G36" s="15">
        <v>600</v>
      </c>
      <c r="H36" s="15">
        <v>150</v>
      </c>
      <c r="I36" s="15">
        <v>550</v>
      </c>
      <c r="J36" s="15">
        <v>400</v>
      </c>
      <c r="K36" s="15">
        <v>450</v>
      </c>
      <c r="L36" s="15">
        <v>650</v>
      </c>
      <c r="M36" s="15">
        <v>350</v>
      </c>
      <c r="N36" s="15">
        <v>450</v>
      </c>
      <c r="O36" s="15">
        <v>350</v>
      </c>
      <c r="P36" s="15">
        <v>300</v>
      </c>
      <c r="Q36" s="15">
        <v>350</v>
      </c>
      <c r="R36" s="15">
        <v>700</v>
      </c>
      <c r="S36" s="15">
        <v>300</v>
      </c>
      <c r="T36" s="15">
        <v>350</v>
      </c>
      <c r="U36" s="15">
        <v>400</v>
      </c>
      <c r="V36" s="15">
        <v>550</v>
      </c>
      <c r="W36" s="15">
        <v>400</v>
      </c>
      <c r="X36" s="15">
        <v>500</v>
      </c>
      <c r="Y36" s="15">
        <v>400</v>
      </c>
      <c r="Z36" s="4">
        <v>10500</v>
      </c>
      <c r="AA36" s="26">
        <v>24</v>
      </c>
      <c r="AB36" s="7">
        <v>0.28999999999999998</v>
      </c>
    </row>
    <row r="37" spans="1:28" x14ac:dyDescent="0.35">
      <c r="A37" s="1">
        <v>4000291</v>
      </c>
      <c r="B37" s="15">
        <v>0</v>
      </c>
      <c r="C37" s="15">
        <v>150</v>
      </c>
      <c r="D37" s="15">
        <v>0</v>
      </c>
      <c r="E37" s="15">
        <v>50</v>
      </c>
      <c r="F37" s="15">
        <v>0</v>
      </c>
      <c r="G37" s="15">
        <v>100</v>
      </c>
      <c r="H37" s="15">
        <v>50</v>
      </c>
      <c r="I37" s="15">
        <v>100</v>
      </c>
      <c r="J37" s="15">
        <v>150</v>
      </c>
      <c r="K37" s="15">
        <v>50</v>
      </c>
      <c r="L37" s="15">
        <v>100</v>
      </c>
      <c r="M37" s="15">
        <v>50</v>
      </c>
      <c r="N37" s="15">
        <v>50</v>
      </c>
      <c r="O37" s="15">
        <v>50</v>
      </c>
      <c r="P37" s="15">
        <v>50</v>
      </c>
      <c r="Q37" s="15">
        <v>150</v>
      </c>
      <c r="R37" s="15">
        <v>200</v>
      </c>
      <c r="S37" s="15">
        <v>0</v>
      </c>
      <c r="T37" s="15">
        <v>0</v>
      </c>
      <c r="U37" s="15">
        <v>100</v>
      </c>
      <c r="V37" s="15">
        <v>100</v>
      </c>
      <c r="W37" s="15">
        <v>100</v>
      </c>
      <c r="X37" s="15">
        <v>100</v>
      </c>
      <c r="Y37" s="15">
        <v>50</v>
      </c>
      <c r="Z37" s="4">
        <v>1750</v>
      </c>
      <c r="AA37" s="26">
        <v>19</v>
      </c>
      <c r="AB37" s="7">
        <v>0.74009999999999998</v>
      </c>
    </row>
    <row r="38" spans="1:28" x14ac:dyDescent="0.35">
      <c r="A38" s="1">
        <v>4000310</v>
      </c>
      <c r="B38" s="15">
        <v>279</v>
      </c>
      <c r="C38" s="15">
        <v>241</v>
      </c>
      <c r="D38" s="15">
        <v>291</v>
      </c>
      <c r="E38" s="15">
        <v>296</v>
      </c>
      <c r="F38" s="15">
        <v>243</v>
      </c>
      <c r="G38" s="15">
        <v>238</v>
      </c>
      <c r="H38" s="15">
        <v>110</v>
      </c>
      <c r="I38" s="15">
        <v>236</v>
      </c>
      <c r="J38" s="15">
        <v>253</v>
      </c>
      <c r="K38" s="15">
        <v>218</v>
      </c>
      <c r="L38" s="15">
        <v>201</v>
      </c>
      <c r="M38" s="15">
        <v>188</v>
      </c>
      <c r="N38" s="15">
        <v>280</v>
      </c>
      <c r="O38" s="15">
        <v>256</v>
      </c>
      <c r="P38" s="15">
        <v>263</v>
      </c>
      <c r="Q38" s="15">
        <v>201</v>
      </c>
      <c r="R38" s="15">
        <v>249</v>
      </c>
      <c r="S38" s="15">
        <v>193</v>
      </c>
      <c r="T38" s="15">
        <v>148</v>
      </c>
      <c r="U38" s="15">
        <v>218</v>
      </c>
      <c r="V38" s="15">
        <v>238</v>
      </c>
      <c r="W38" s="15">
        <v>220</v>
      </c>
      <c r="X38" s="15">
        <v>238</v>
      </c>
      <c r="Y38" s="15">
        <v>221</v>
      </c>
      <c r="Z38" s="4">
        <v>5519</v>
      </c>
      <c r="AA38" s="26">
        <v>24</v>
      </c>
      <c r="AB38" s="7">
        <v>0.18310000000000001</v>
      </c>
    </row>
    <row r="39" spans="1:28" x14ac:dyDescent="0.35">
      <c r="A39" s="1">
        <v>4000311</v>
      </c>
      <c r="B39" s="15">
        <v>79</v>
      </c>
      <c r="C39" s="15">
        <v>45</v>
      </c>
      <c r="D39" s="15">
        <v>10</v>
      </c>
      <c r="E39" s="15">
        <v>130</v>
      </c>
      <c r="F39" s="15">
        <v>80</v>
      </c>
      <c r="G39" s="15">
        <v>80</v>
      </c>
      <c r="H39" s="15">
        <v>25</v>
      </c>
      <c r="I39" s="15">
        <v>55</v>
      </c>
      <c r="J39" s="15">
        <v>80</v>
      </c>
      <c r="K39" s="15">
        <v>75</v>
      </c>
      <c r="L39" s="15">
        <v>70</v>
      </c>
      <c r="M39" s="15">
        <v>95</v>
      </c>
      <c r="N39" s="15">
        <v>135</v>
      </c>
      <c r="O39" s="15">
        <v>86</v>
      </c>
      <c r="P39" s="15">
        <v>264</v>
      </c>
      <c r="Q39" s="15">
        <v>199</v>
      </c>
      <c r="R39" s="15">
        <v>311</v>
      </c>
      <c r="S39" s="15">
        <v>245</v>
      </c>
      <c r="T39" s="15">
        <v>85</v>
      </c>
      <c r="U39" s="15">
        <v>185</v>
      </c>
      <c r="V39" s="15">
        <v>380</v>
      </c>
      <c r="W39" s="15">
        <v>175</v>
      </c>
      <c r="X39" s="15">
        <v>310</v>
      </c>
      <c r="Y39" s="15">
        <v>245</v>
      </c>
      <c r="Z39" s="4">
        <v>3444</v>
      </c>
      <c r="AA39" s="26">
        <v>24</v>
      </c>
      <c r="AB39" s="7">
        <v>0.69350000000000001</v>
      </c>
    </row>
    <row r="40" spans="1:28" x14ac:dyDescent="0.35">
      <c r="A40" s="1">
        <v>4000312</v>
      </c>
      <c r="B40" s="15">
        <v>124</v>
      </c>
      <c r="C40" s="15">
        <v>130</v>
      </c>
      <c r="D40" s="15">
        <v>90</v>
      </c>
      <c r="E40" s="15">
        <v>80</v>
      </c>
      <c r="F40" s="15">
        <v>95</v>
      </c>
      <c r="G40" s="15">
        <v>96</v>
      </c>
      <c r="H40" s="15">
        <v>80</v>
      </c>
      <c r="I40" s="15">
        <v>85</v>
      </c>
      <c r="J40" s="15">
        <v>65</v>
      </c>
      <c r="K40" s="15">
        <v>105</v>
      </c>
      <c r="L40" s="15">
        <v>95</v>
      </c>
      <c r="M40" s="15">
        <v>85</v>
      </c>
      <c r="N40" s="15">
        <v>70</v>
      </c>
      <c r="O40" s="15">
        <v>101</v>
      </c>
      <c r="P40" s="15">
        <v>110</v>
      </c>
      <c r="Q40" s="15">
        <v>95</v>
      </c>
      <c r="R40" s="15">
        <v>70</v>
      </c>
      <c r="S40" s="15">
        <v>80</v>
      </c>
      <c r="T40" s="15">
        <v>70</v>
      </c>
      <c r="U40" s="15">
        <v>80</v>
      </c>
      <c r="V40" s="15">
        <v>110</v>
      </c>
      <c r="W40" s="15">
        <v>120</v>
      </c>
      <c r="X40" s="15">
        <v>90</v>
      </c>
      <c r="Y40" s="15">
        <v>80</v>
      </c>
      <c r="Z40" s="4">
        <v>2206</v>
      </c>
      <c r="AA40" s="26">
        <v>24</v>
      </c>
      <c r="AB40" s="7">
        <v>0.18840000000000001</v>
      </c>
    </row>
    <row r="41" spans="1:28" x14ac:dyDescent="0.35">
      <c r="A41" s="1">
        <v>4000313</v>
      </c>
      <c r="B41" s="15">
        <v>180</v>
      </c>
      <c r="C41" s="15">
        <v>140</v>
      </c>
      <c r="D41" s="15">
        <v>120</v>
      </c>
      <c r="E41" s="15">
        <v>100</v>
      </c>
      <c r="F41" s="15">
        <v>100</v>
      </c>
      <c r="G41" s="15">
        <v>60</v>
      </c>
      <c r="H41" s="15">
        <v>60</v>
      </c>
      <c r="I41" s="15">
        <v>100</v>
      </c>
      <c r="J41" s="15">
        <v>120</v>
      </c>
      <c r="K41" s="15">
        <v>100</v>
      </c>
      <c r="L41" s="15">
        <v>120</v>
      </c>
      <c r="M41" s="15">
        <v>100</v>
      </c>
      <c r="N41" s="15">
        <v>140</v>
      </c>
      <c r="O41" s="15">
        <v>120</v>
      </c>
      <c r="P41" s="15">
        <v>100</v>
      </c>
      <c r="Q41" s="15">
        <v>100</v>
      </c>
      <c r="R41" s="15">
        <v>100</v>
      </c>
      <c r="S41" s="15">
        <v>80</v>
      </c>
      <c r="T41" s="15">
        <v>80</v>
      </c>
      <c r="U41" s="15">
        <v>100</v>
      </c>
      <c r="V41" s="15">
        <v>100</v>
      </c>
      <c r="W41" s="15">
        <v>80</v>
      </c>
      <c r="X41" s="15">
        <v>100</v>
      </c>
      <c r="Y41" s="15">
        <v>100</v>
      </c>
      <c r="Z41" s="4">
        <v>2500</v>
      </c>
      <c r="AA41" s="26">
        <v>24</v>
      </c>
      <c r="AB41" s="7">
        <v>0.24149999999999999</v>
      </c>
    </row>
    <row r="42" spans="1:28" x14ac:dyDescent="0.35">
      <c r="A42" s="1">
        <v>4000314</v>
      </c>
      <c r="B42" s="15">
        <v>920</v>
      </c>
      <c r="C42" s="15">
        <v>640</v>
      </c>
      <c r="D42" s="15">
        <v>610</v>
      </c>
      <c r="E42" s="15">
        <v>550</v>
      </c>
      <c r="F42" s="15">
        <v>730</v>
      </c>
      <c r="G42" s="15">
        <v>490</v>
      </c>
      <c r="H42" s="15">
        <v>810</v>
      </c>
      <c r="I42" s="15">
        <v>410</v>
      </c>
      <c r="J42" s="15">
        <v>580</v>
      </c>
      <c r="K42" s="15">
        <v>890</v>
      </c>
      <c r="L42" s="15">
        <v>520</v>
      </c>
      <c r="M42" s="15">
        <v>550</v>
      </c>
      <c r="N42" s="15">
        <v>930</v>
      </c>
      <c r="O42" s="15">
        <v>760</v>
      </c>
      <c r="P42" s="15">
        <v>500</v>
      </c>
      <c r="Q42" s="15">
        <v>759</v>
      </c>
      <c r="R42" s="15">
        <v>600</v>
      </c>
      <c r="S42" s="15">
        <v>620</v>
      </c>
      <c r="T42" s="15">
        <v>420</v>
      </c>
      <c r="U42" s="15">
        <v>810</v>
      </c>
      <c r="V42" s="15">
        <v>840</v>
      </c>
      <c r="W42" s="15">
        <v>630</v>
      </c>
      <c r="X42" s="15">
        <v>580</v>
      </c>
      <c r="Y42" s="15">
        <v>810</v>
      </c>
      <c r="Z42" s="4">
        <v>15959</v>
      </c>
      <c r="AA42" s="26">
        <v>24</v>
      </c>
      <c r="AB42" s="7">
        <v>0.22919999999999999</v>
      </c>
    </row>
    <row r="43" spans="1:28" x14ac:dyDescent="0.35">
      <c r="A43" s="1">
        <v>4000315</v>
      </c>
      <c r="B43" s="15">
        <v>20</v>
      </c>
      <c r="C43" s="15">
        <v>30</v>
      </c>
      <c r="D43" s="15">
        <v>20</v>
      </c>
      <c r="E43" s="15">
        <v>40</v>
      </c>
      <c r="F43" s="15">
        <v>20</v>
      </c>
      <c r="G43" s="15">
        <v>10</v>
      </c>
      <c r="H43" s="15">
        <v>20</v>
      </c>
      <c r="I43" s="15">
        <v>30</v>
      </c>
      <c r="J43" s="15">
        <v>40</v>
      </c>
      <c r="K43" s="15">
        <v>10</v>
      </c>
      <c r="L43" s="15">
        <v>20</v>
      </c>
      <c r="M43" s="15">
        <v>20</v>
      </c>
      <c r="N43" s="15">
        <v>20</v>
      </c>
      <c r="O43" s="15">
        <v>20</v>
      </c>
      <c r="P43" s="15">
        <v>20</v>
      </c>
      <c r="Q43" s="15">
        <v>10</v>
      </c>
      <c r="R43" s="15">
        <v>20</v>
      </c>
      <c r="S43" s="15">
        <v>30</v>
      </c>
      <c r="T43" s="15">
        <v>30</v>
      </c>
      <c r="U43" s="15">
        <v>20</v>
      </c>
      <c r="V43" s="15">
        <v>10</v>
      </c>
      <c r="W43" s="15">
        <v>30</v>
      </c>
      <c r="X43" s="15">
        <v>20</v>
      </c>
      <c r="Y43" s="15">
        <v>30</v>
      </c>
      <c r="Z43" s="4">
        <v>540</v>
      </c>
      <c r="AA43" s="26">
        <v>24</v>
      </c>
      <c r="AB43" s="7">
        <v>0.36849999999999999</v>
      </c>
    </row>
    <row r="44" spans="1:28" x14ac:dyDescent="0.35">
      <c r="A44" s="1">
        <v>4000316</v>
      </c>
      <c r="B44" s="15">
        <v>130</v>
      </c>
      <c r="C44" s="15">
        <v>80</v>
      </c>
      <c r="D44" s="15">
        <v>90</v>
      </c>
      <c r="E44" s="15">
        <v>100</v>
      </c>
      <c r="F44" s="15">
        <v>120</v>
      </c>
      <c r="G44" s="15">
        <v>110</v>
      </c>
      <c r="H44" s="15">
        <v>60</v>
      </c>
      <c r="I44" s="15">
        <v>90</v>
      </c>
      <c r="J44" s="15">
        <v>120</v>
      </c>
      <c r="K44" s="15">
        <v>110</v>
      </c>
      <c r="L44" s="15">
        <v>100</v>
      </c>
      <c r="M44" s="15">
        <v>90</v>
      </c>
      <c r="N44" s="15">
        <v>110</v>
      </c>
      <c r="O44" s="15">
        <v>100</v>
      </c>
      <c r="P44" s="15">
        <v>100</v>
      </c>
      <c r="Q44" s="15">
        <v>92</v>
      </c>
      <c r="R44" s="15">
        <v>80</v>
      </c>
      <c r="S44" s="15">
        <v>110</v>
      </c>
      <c r="T44" s="15">
        <v>80</v>
      </c>
      <c r="U44" s="15">
        <v>60</v>
      </c>
      <c r="V44" s="15">
        <v>90</v>
      </c>
      <c r="W44" s="15">
        <v>100</v>
      </c>
      <c r="X44" s="15">
        <v>100</v>
      </c>
      <c r="Y44" s="15">
        <v>90</v>
      </c>
      <c r="Z44" s="4">
        <v>2312</v>
      </c>
      <c r="AA44" s="26">
        <v>24</v>
      </c>
      <c r="AB44" s="7">
        <v>0.17399999999999999</v>
      </c>
    </row>
    <row r="45" spans="1:28" x14ac:dyDescent="0.35">
      <c r="A45" s="1">
        <v>4000319</v>
      </c>
      <c r="B45" s="15">
        <v>70</v>
      </c>
      <c r="C45" s="15">
        <v>80</v>
      </c>
      <c r="D45" s="15">
        <v>60</v>
      </c>
      <c r="E45" s="15">
        <v>60</v>
      </c>
      <c r="F45" s="15">
        <v>70</v>
      </c>
      <c r="G45" s="15">
        <v>50</v>
      </c>
      <c r="H45" s="15">
        <v>40</v>
      </c>
      <c r="I45" s="15">
        <v>70</v>
      </c>
      <c r="J45" s="15">
        <v>90</v>
      </c>
      <c r="K45" s="15">
        <v>70</v>
      </c>
      <c r="L45" s="15">
        <v>70</v>
      </c>
      <c r="M45" s="15">
        <v>50</v>
      </c>
      <c r="N45" s="15">
        <v>60</v>
      </c>
      <c r="O45" s="15">
        <v>60</v>
      </c>
      <c r="P45" s="15">
        <v>90</v>
      </c>
      <c r="Q45" s="15">
        <v>60</v>
      </c>
      <c r="R45" s="15">
        <v>50</v>
      </c>
      <c r="S45" s="15">
        <v>60</v>
      </c>
      <c r="T45" s="15">
        <v>40</v>
      </c>
      <c r="U45" s="15">
        <v>50</v>
      </c>
      <c r="V45" s="15">
        <v>80</v>
      </c>
      <c r="W45" s="15">
        <v>80</v>
      </c>
      <c r="X45" s="15">
        <v>60</v>
      </c>
      <c r="Y45" s="15">
        <v>50</v>
      </c>
      <c r="Z45" s="4">
        <v>1520</v>
      </c>
      <c r="AA45" s="26">
        <v>24</v>
      </c>
      <c r="AB45" s="7">
        <v>0.217</v>
      </c>
    </row>
    <row r="46" spans="1:28" x14ac:dyDescent="0.35">
      <c r="A46" s="1">
        <v>4000323</v>
      </c>
      <c r="B46" s="15">
        <v>210</v>
      </c>
      <c r="C46" s="15">
        <v>30</v>
      </c>
      <c r="D46" s="15">
        <v>150</v>
      </c>
      <c r="E46" s="15">
        <v>0</v>
      </c>
      <c r="F46" s="15">
        <v>150</v>
      </c>
      <c r="G46" s="15">
        <v>60</v>
      </c>
      <c r="H46" s="15">
        <v>90</v>
      </c>
      <c r="I46" s="15">
        <v>90</v>
      </c>
      <c r="J46" s="15">
        <v>90</v>
      </c>
      <c r="K46" s="15">
        <v>90</v>
      </c>
      <c r="L46" s="15">
        <v>180</v>
      </c>
      <c r="M46" s="15">
        <v>0</v>
      </c>
      <c r="N46" s="15">
        <v>60</v>
      </c>
      <c r="O46" s="15">
        <v>150</v>
      </c>
      <c r="P46" s="15">
        <v>0</v>
      </c>
      <c r="Q46" s="15">
        <v>60</v>
      </c>
      <c r="R46" s="15">
        <v>120</v>
      </c>
      <c r="S46" s="15">
        <v>150</v>
      </c>
      <c r="T46" s="15">
        <v>150</v>
      </c>
      <c r="U46" s="15">
        <v>0</v>
      </c>
      <c r="V46" s="15">
        <v>180</v>
      </c>
      <c r="W46" s="15">
        <v>150</v>
      </c>
      <c r="X46" s="15">
        <v>150</v>
      </c>
      <c r="Y46" s="15">
        <v>150</v>
      </c>
      <c r="Z46" s="4">
        <v>2460</v>
      </c>
      <c r="AA46" s="26">
        <v>20</v>
      </c>
      <c r="AB46" s="7">
        <v>0.61460000000000004</v>
      </c>
    </row>
    <row r="47" spans="1:28" x14ac:dyDescent="0.35">
      <c r="A47" s="1">
        <v>4000324</v>
      </c>
      <c r="B47" s="15">
        <v>180</v>
      </c>
      <c r="C47" s="15">
        <v>60</v>
      </c>
      <c r="D47" s="15">
        <v>180</v>
      </c>
      <c r="E47" s="15">
        <v>150</v>
      </c>
      <c r="F47" s="15">
        <v>180</v>
      </c>
      <c r="G47" s="15">
        <v>90</v>
      </c>
      <c r="H47" s="15">
        <v>30</v>
      </c>
      <c r="I47" s="15">
        <v>300</v>
      </c>
      <c r="J47" s="15">
        <v>120</v>
      </c>
      <c r="K47" s="15">
        <v>150</v>
      </c>
      <c r="L47" s="15">
        <v>30</v>
      </c>
      <c r="M47" s="15">
        <v>180</v>
      </c>
      <c r="N47" s="15">
        <v>0</v>
      </c>
      <c r="O47" s="15">
        <v>150</v>
      </c>
      <c r="P47" s="15">
        <v>90</v>
      </c>
      <c r="Q47" s="15">
        <v>180</v>
      </c>
      <c r="R47" s="15">
        <v>210</v>
      </c>
      <c r="S47" s="15">
        <v>180</v>
      </c>
      <c r="T47" s="15">
        <v>30</v>
      </c>
      <c r="U47" s="15">
        <v>180</v>
      </c>
      <c r="V47" s="15">
        <v>240</v>
      </c>
      <c r="W47" s="15">
        <v>180</v>
      </c>
      <c r="X47" s="15">
        <v>150</v>
      </c>
      <c r="Y47" s="15">
        <v>240</v>
      </c>
      <c r="Z47" s="4">
        <v>3480</v>
      </c>
      <c r="AA47" s="26">
        <v>23</v>
      </c>
      <c r="AB47" s="7">
        <v>0.5091</v>
      </c>
    </row>
    <row r="48" spans="1:28" x14ac:dyDescent="0.35">
      <c r="A48" s="1">
        <v>4000325</v>
      </c>
      <c r="B48" s="15">
        <v>30</v>
      </c>
      <c r="C48" s="15">
        <v>0</v>
      </c>
      <c r="D48" s="15">
        <v>30</v>
      </c>
      <c r="E48" s="15">
        <v>0</v>
      </c>
      <c r="F48" s="15">
        <v>60</v>
      </c>
      <c r="G48" s="15">
        <v>60</v>
      </c>
      <c r="H48" s="15">
        <v>30</v>
      </c>
      <c r="I48" s="15">
        <v>30</v>
      </c>
      <c r="J48" s="15">
        <v>90</v>
      </c>
      <c r="K48" s="15">
        <v>0</v>
      </c>
      <c r="L48" s="15">
        <v>0</v>
      </c>
      <c r="M48" s="15">
        <v>0</v>
      </c>
      <c r="N48" s="15">
        <v>60</v>
      </c>
      <c r="O48" s="15">
        <v>60</v>
      </c>
      <c r="P48" s="15">
        <v>30</v>
      </c>
      <c r="Q48" s="15">
        <v>30</v>
      </c>
      <c r="R48" s="15">
        <v>0</v>
      </c>
      <c r="S48" s="15">
        <v>60</v>
      </c>
      <c r="T48" s="15">
        <v>0</v>
      </c>
      <c r="U48" s="15">
        <v>0</v>
      </c>
      <c r="V48" s="15">
        <v>30</v>
      </c>
      <c r="W48" s="15">
        <v>0</v>
      </c>
      <c r="X48" s="15">
        <v>0</v>
      </c>
      <c r="Y48" s="15">
        <v>30</v>
      </c>
      <c r="Z48" s="4">
        <v>630</v>
      </c>
      <c r="AA48" s="26">
        <v>14</v>
      </c>
      <c r="AB48" s="7">
        <v>1.0067999999999999</v>
      </c>
    </row>
    <row r="49" spans="1:28" x14ac:dyDescent="0.35">
      <c r="A49" s="1">
        <v>4000328</v>
      </c>
      <c r="B49" s="15">
        <v>0</v>
      </c>
      <c r="C49" s="15">
        <v>40</v>
      </c>
      <c r="D49" s="15">
        <v>40</v>
      </c>
      <c r="E49" s="15">
        <v>20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10</v>
      </c>
      <c r="N49" s="15">
        <v>0</v>
      </c>
      <c r="O49" s="15">
        <v>0</v>
      </c>
      <c r="P49" s="15">
        <v>20</v>
      </c>
      <c r="Q49" s="15">
        <v>10</v>
      </c>
      <c r="R49" s="15">
        <v>10</v>
      </c>
      <c r="S49" s="15">
        <v>0</v>
      </c>
      <c r="T49" s="15">
        <v>0</v>
      </c>
      <c r="U49" s="15">
        <v>20</v>
      </c>
      <c r="V49" s="15">
        <v>30</v>
      </c>
      <c r="W49" s="15">
        <v>10</v>
      </c>
      <c r="X49" s="15">
        <v>20</v>
      </c>
      <c r="Y49" s="15">
        <v>40</v>
      </c>
      <c r="Z49" s="4">
        <v>270</v>
      </c>
      <c r="AA49" s="26">
        <v>12</v>
      </c>
      <c r="AB49" s="7">
        <v>1.2388999999999999</v>
      </c>
    </row>
    <row r="50" spans="1:28" x14ac:dyDescent="0.35">
      <c r="A50" s="1">
        <v>4000330</v>
      </c>
      <c r="B50" s="15">
        <v>40</v>
      </c>
      <c r="C50" s="15">
        <v>10</v>
      </c>
      <c r="D50" s="15">
        <v>75</v>
      </c>
      <c r="E50" s="15">
        <v>50</v>
      </c>
      <c r="F50" s="15">
        <v>70</v>
      </c>
      <c r="G50" s="15">
        <v>50</v>
      </c>
      <c r="H50" s="15">
        <v>65</v>
      </c>
      <c r="I50" s="15">
        <v>70</v>
      </c>
      <c r="J50" s="15">
        <v>40</v>
      </c>
      <c r="K50" s="15">
        <v>40</v>
      </c>
      <c r="L50" s="15">
        <v>50</v>
      </c>
      <c r="M50" s="15">
        <v>15</v>
      </c>
      <c r="N50" s="15">
        <v>10</v>
      </c>
      <c r="O50" s="15">
        <v>160</v>
      </c>
      <c r="P50" s="15">
        <v>10</v>
      </c>
      <c r="Q50" s="15">
        <v>15</v>
      </c>
      <c r="R50" s="15">
        <v>150</v>
      </c>
      <c r="S50" s="15">
        <v>40</v>
      </c>
      <c r="T50" s="15">
        <v>75</v>
      </c>
      <c r="U50" s="15">
        <v>55</v>
      </c>
      <c r="V50" s="15">
        <v>145</v>
      </c>
      <c r="W50" s="15">
        <v>10</v>
      </c>
      <c r="X50" s="15">
        <v>40</v>
      </c>
      <c r="Y50" s="15">
        <v>175</v>
      </c>
      <c r="Z50" s="4">
        <v>1460</v>
      </c>
      <c r="AA50" s="26">
        <v>24</v>
      </c>
      <c r="AB50" s="7">
        <v>0.79110000000000003</v>
      </c>
    </row>
    <row r="51" spans="1:28" x14ac:dyDescent="0.35">
      <c r="A51" s="1">
        <v>4000331</v>
      </c>
      <c r="B51" s="15">
        <v>205</v>
      </c>
      <c r="C51" s="15">
        <v>360</v>
      </c>
      <c r="D51" s="15">
        <v>235</v>
      </c>
      <c r="E51" s="15">
        <v>215</v>
      </c>
      <c r="F51" s="15">
        <v>430</v>
      </c>
      <c r="G51" s="15">
        <v>150</v>
      </c>
      <c r="H51" s="15">
        <v>515</v>
      </c>
      <c r="I51" s="15">
        <v>335</v>
      </c>
      <c r="J51" s="15">
        <v>240</v>
      </c>
      <c r="K51" s="15">
        <v>135</v>
      </c>
      <c r="L51" s="15">
        <v>180</v>
      </c>
      <c r="M51" s="15">
        <v>170</v>
      </c>
      <c r="N51" s="15">
        <v>435</v>
      </c>
      <c r="O51" s="15">
        <v>245</v>
      </c>
      <c r="P51" s="15">
        <v>240</v>
      </c>
      <c r="Q51" s="15">
        <v>170</v>
      </c>
      <c r="R51" s="15">
        <v>200</v>
      </c>
      <c r="S51" s="15">
        <v>275</v>
      </c>
      <c r="T51" s="15">
        <v>225</v>
      </c>
      <c r="U51" s="15">
        <v>285</v>
      </c>
      <c r="V51" s="15">
        <v>260</v>
      </c>
      <c r="W51" s="15">
        <v>175</v>
      </c>
      <c r="X51" s="15">
        <v>210</v>
      </c>
      <c r="Y51" s="15">
        <v>340</v>
      </c>
      <c r="Z51" s="4">
        <v>6230</v>
      </c>
      <c r="AA51" s="26">
        <v>24</v>
      </c>
      <c r="AB51" s="7">
        <v>0.36799999999999999</v>
      </c>
    </row>
    <row r="52" spans="1:28" x14ac:dyDescent="0.35">
      <c r="A52" s="1">
        <v>4000332</v>
      </c>
      <c r="B52" s="15">
        <v>365</v>
      </c>
      <c r="C52" s="15">
        <v>260</v>
      </c>
      <c r="D52" s="15">
        <v>275</v>
      </c>
      <c r="E52" s="15">
        <v>270</v>
      </c>
      <c r="F52" s="15">
        <v>390</v>
      </c>
      <c r="G52" s="15">
        <v>280</v>
      </c>
      <c r="H52" s="15">
        <v>420</v>
      </c>
      <c r="I52" s="15">
        <v>205</v>
      </c>
      <c r="J52" s="15">
        <v>620</v>
      </c>
      <c r="K52" s="15">
        <v>180</v>
      </c>
      <c r="L52" s="15">
        <v>230</v>
      </c>
      <c r="M52" s="15">
        <v>230</v>
      </c>
      <c r="N52" s="15">
        <v>235</v>
      </c>
      <c r="O52" s="15">
        <v>250</v>
      </c>
      <c r="P52" s="15">
        <v>165</v>
      </c>
      <c r="Q52" s="15">
        <v>315</v>
      </c>
      <c r="R52" s="15">
        <v>180</v>
      </c>
      <c r="S52" s="15">
        <v>285</v>
      </c>
      <c r="T52" s="15">
        <v>245</v>
      </c>
      <c r="U52" s="15">
        <v>110</v>
      </c>
      <c r="V52" s="15">
        <v>245</v>
      </c>
      <c r="W52" s="15">
        <v>245</v>
      </c>
      <c r="X52" s="15">
        <v>222</v>
      </c>
      <c r="Y52" s="15">
        <v>401</v>
      </c>
      <c r="Z52" s="4">
        <v>6623</v>
      </c>
      <c r="AA52" s="26">
        <v>24</v>
      </c>
      <c r="AB52" s="7">
        <v>0.37230000000000002</v>
      </c>
    </row>
    <row r="53" spans="1:28" x14ac:dyDescent="0.35">
      <c r="A53" s="1">
        <v>4000333</v>
      </c>
      <c r="B53" s="15">
        <v>210</v>
      </c>
      <c r="C53" s="15">
        <v>50</v>
      </c>
      <c r="D53" s="15">
        <v>45</v>
      </c>
      <c r="E53" s="15">
        <v>5</v>
      </c>
      <c r="F53" s="15">
        <v>70</v>
      </c>
      <c r="G53" s="15">
        <v>30</v>
      </c>
      <c r="H53" s="15">
        <v>85</v>
      </c>
      <c r="I53" s="15">
        <v>135</v>
      </c>
      <c r="J53" s="15">
        <v>35</v>
      </c>
      <c r="K53" s="15">
        <v>45</v>
      </c>
      <c r="L53" s="15">
        <v>35</v>
      </c>
      <c r="M53" s="15">
        <v>90</v>
      </c>
      <c r="N53" s="15">
        <v>30</v>
      </c>
      <c r="O53" s="15">
        <v>20</v>
      </c>
      <c r="P53" s="15">
        <v>45</v>
      </c>
      <c r="Q53" s="15">
        <v>20</v>
      </c>
      <c r="R53" s="15">
        <v>90</v>
      </c>
      <c r="S53" s="15">
        <v>160</v>
      </c>
      <c r="T53" s="15">
        <v>20</v>
      </c>
      <c r="U53" s="15">
        <v>30</v>
      </c>
      <c r="V53" s="15">
        <v>65</v>
      </c>
      <c r="W53" s="15">
        <v>110</v>
      </c>
      <c r="X53" s="15">
        <v>15</v>
      </c>
      <c r="Y53" s="15">
        <v>50</v>
      </c>
      <c r="Z53" s="4">
        <v>1490</v>
      </c>
      <c r="AA53" s="26">
        <v>24</v>
      </c>
      <c r="AB53" s="7">
        <v>0.79010000000000002</v>
      </c>
    </row>
    <row r="54" spans="1:28" x14ac:dyDescent="0.35">
      <c r="A54" s="1">
        <v>4000334</v>
      </c>
      <c r="B54" s="15">
        <v>30</v>
      </c>
      <c r="C54" s="15">
        <v>10</v>
      </c>
      <c r="D54" s="15">
        <v>0</v>
      </c>
      <c r="E54" s="15">
        <v>5</v>
      </c>
      <c r="F54" s="15">
        <v>0</v>
      </c>
      <c r="G54" s="15">
        <v>0</v>
      </c>
      <c r="H54" s="15">
        <v>5</v>
      </c>
      <c r="I54" s="15">
        <v>0</v>
      </c>
      <c r="J54" s="15">
        <v>0</v>
      </c>
      <c r="K54" s="15">
        <v>0</v>
      </c>
      <c r="L54" s="15">
        <v>20</v>
      </c>
      <c r="M54" s="15">
        <v>0</v>
      </c>
      <c r="N54" s="15">
        <v>0</v>
      </c>
      <c r="O54" s="15">
        <v>70</v>
      </c>
      <c r="P54" s="15">
        <v>30</v>
      </c>
      <c r="Q54" s="15">
        <v>5</v>
      </c>
      <c r="R54" s="15">
        <v>0</v>
      </c>
      <c r="S54" s="15">
        <v>10</v>
      </c>
      <c r="T54" s="15">
        <v>40</v>
      </c>
      <c r="U54" s="15">
        <v>0</v>
      </c>
      <c r="V54" s="15">
        <v>0</v>
      </c>
      <c r="W54" s="15">
        <v>5</v>
      </c>
      <c r="X54" s="15">
        <v>5</v>
      </c>
      <c r="Y54" s="15">
        <v>30</v>
      </c>
      <c r="Z54" s="4">
        <v>265</v>
      </c>
      <c r="AA54" s="26">
        <v>13</v>
      </c>
      <c r="AB54" s="7">
        <v>1.5466</v>
      </c>
    </row>
    <row r="55" spans="1:28" x14ac:dyDescent="0.35">
      <c r="A55" s="1">
        <v>4000340</v>
      </c>
      <c r="B55" s="15">
        <v>90</v>
      </c>
      <c r="C55" s="15">
        <v>70</v>
      </c>
      <c r="D55" s="15">
        <v>215</v>
      </c>
      <c r="E55" s="15">
        <v>265</v>
      </c>
      <c r="F55" s="15">
        <v>80</v>
      </c>
      <c r="G55" s="15">
        <v>115</v>
      </c>
      <c r="H55" s="15">
        <v>120</v>
      </c>
      <c r="I55" s="15">
        <v>50</v>
      </c>
      <c r="J55" s="15">
        <v>125</v>
      </c>
      <c r="K55" s="15">
        <v>55</v>
      </c>
      <c r="L55" s="15">
        <v>115</v>
      </c>
      <c r="M55" s="15">
        <v>65</v>
      </c>
      <c r="N55" s="15">
        <v>105</v>
      </c>
      <c r="O55" s="15">
        <v>230</v>
      </c>
      <c r="P55" s="15">
        <v>65</v>
      </c>
      <c r="Q55" s="15">
        <v>85</v>
      </c>
      <c r="R55" s="15">
        <v>105</v>
      </c>
      <c r="S55" s="15">
        <v>130</v>
      </c>
      <c r="T55" s="15">
        <v>85</v>
      </c>
      <c r="U55" s="15">
        <v>100</v>
      </c>
      <c r="V55" s="15">
        <v>200</v>
      </c>
      <c r="W55" s="15">
        <v>85</v>
      </c>
      <c r="X55" s="15">
        <v>135</v>
      </c>
      <c r="Y55" s="15">
        <v>190</v>
      </c>
      <c r="Z55" s="4">
        <v>2880</v>
      </c>
      <c r="AA55" s="26">
        <v>24</v>
      </c>
      <c r="AB55" s="7">
        <v>0.47670000000000001</v>
      </c>
    </row>
    <row r="56" spans="1:28" x14ac:dyDescent="0.35">
      <c r="A56" s="1">
        <v>4000341</v>
      </c>
      <c r="B56" s="15">
        <v>1200</v>
      </c>
      <c r="C56" s="15">
        <v>1390</v>
      </c>
      <c r="D56" s="15">
        <v>1465</v>
      </c>
      <c r="E56" s="15">
        <v>1270</v>
      </c>
      <c r="F56" s="15">
        <v>1500</v>
      </c>
      <c r="G56" s="15">
        <v>1515</v>
      </c>
      <c r="H56" s="15">
        <v>1405</v>
      </c>
      <c r="I56" s="15">
        <v>1775</v>
      </c>
      <c r="J56" s="15">
        <v>1620</v>
      </c>
      <c r="K56" s="15">
        <v>1171</v>
      </c>
      <c r="L56" s="15">
        <v>1840</v>
      </c>
      <c r="M56" s="15">
        <v>1600</v>
      </c>
      <c r="N56" s="15">
        <v>1390</v>
      </c>
      <c r="O56" s="15">
        <v>1425</v>
      </c>
      <c r="P56" s="15">
        <v>1575</v>
      </c>
      <c r="Q56" s="15">
        <v>1630</v>
      </c>
      <c r="R56" s="15">
        <v>1355</v>
      </c>
      <c r="S56" s="15">
        <v>1460</v>
      </c>
      <c r="T56" s="15">
        <v>1390</v>
      </c>
      <c r="U56" s="15">
        <v>1485</v>
      </c>
      <c r="V56" s="15">
        <v>1465</v>
      </c>
      <c r="W56" s="15">
        <v>1995</v>
      </c>
      <c r="X56" s="15">
        <v>1010</v>
      </c>
      <c r="Y56" s="15">
        <v>1200</v>
      </c>
      <c r="Z56" s="4">
        <v>35131</v>
      </c>
      <c r="AA56" s="26">
        <v>24</v>
      </c>
      <c r="AB56" s="7">
        <v>0.1469</v>
      </c>
    </row>
    <row r="57" spans="1:28" x14ac:dyDescent="0.35">
      <c r="A57" s="1">
        <v>4000342</v>
      </c>
      <c r="B57" s="15">
        <v>540</v>
      </c>
      <c r="C57" s="15">
        <v>290</v>
      </c>
      <c r="D57" s="15">
        <v>630</v>
      </c>
      <c r="E57" s="15">
        <v>395</v>
      </c>
      <c r="F57" s="15">
        <v>255</v>
      </c>
      <c r="G57" s="15">
        <v>450</v>
      </c>
      <c r="H57" s="15">
        <v>290</v>
      </c>
      <c r="I57" s="15">
        <v>365</v>
      </c>
      <c r="J57" s="15">
        <v>320</v>
      </c>
      <c r="K57" s="15">
        <v>265</v>
      </c>
      <c r="L57" s="15">
        <v>450</v>
      </c>
      <c r="M57" s="15">
        <v>290</v>
      </c>
      <c r="N57" s="15">
        <v>420</v>
      </c>
      <c r="O57" s="15">
        <v>325</v>
      </c>
      <c r="P57" s="15">
        <v>330</v>
      </c>
      <c r="Q57" s="15">
        <v>460</v>
      </c>
      <c r="R57" s="15">
        <v>170</v>
      </c>
      <c r="S57" s="15">
        <v>445</v>
      </c>
      <c r="T57" s="15">
        <v>345</v>
      </c>
      <c r="U57" s="15">
        <v>355</v>
      </c>
      <c r="V57" s="15">
        <v>320</v>
      </c>
      <c r="W57" s="15">
        <v>425</v>
      </c>
      <c r="X57" s="15">
        <v>305</v>
      </c>
      <c r="Y57" s="15">
        <v>460</v>
      </c>
      <c r="Z57" s="4">
        <v>8900</v>
      </c>
      <c r="AA57" s="26">
        <v>24</v>
      </c>
      <c r="AB57" s="7">
        <v>0.26650000000000001</v>
      </c>
    </row>
    <row r="58" spans="1:28" x14ac:dyDescent="0.35">
      <c r="A58" s="1">
        <v>4000343</v>
      </c>
      <c r="B58" s="15">
        <v>200</v>
      </c>
      <c r="C58" s="15">
        <v>290</v>
      </c>
      <c r="D58" s="15">
        <v>280</v>
      </c>
      <c r="E58" s="15">
        <v>280</v>
      </c>
      <c r="F58" s="15">
        <v>340</v>
      </c>
      <c r="G58" s="15">
        <v>250</v>
      </c>
      <c r="H58" s="15">
        <v>340</v>
      </c>
      <c r="I58" s="15">
        <v>330</v>
      </c>
      <c r="J58" s="15">
        <v>250</v>
      </c>
      <c r="K58" s="15">
        <v>420</v>
      </c>
      <c r="L58" s="15">
        <v>330</v>
      </c>
      <c r="M58" s="15">
        <v>420</v>
      </c>
      <c r="N58" s="15">
        <v>300</v>
      </c>
      <c r="O58" s="15">
        <v>380</v>
      </c>
      <c r="P58" s="15">
        <v>370</v>
      </c>
      <c r="Q58" s="15">
        <v>290</v>
      </c>
      <c r="R58" s="15">
        <v>340</v>
      </c>
      <c r="S58" s="15">
        <v>380</v>
      </c>
      <c r="T58" s="15">
        <v>280</v>
      </c>
      <c r="U58" s="15">
        <v>360</v>
      </c>
      <c r="V58" s="15">
        <v>380</v>
      </c>
      <c r="W58" s="15">
        <v>390</v>
      </c>
      <c r="X58" s="15">
        <v>340</v>
      </c>
      <c r="Y58" s="15">
        <v>340</v>
      </c>
      <c r="Z58" s="4">
        <v>7880</v>
      </c>
      <c r="AA58" s="26">
        <v>24</v>
      </c>
      <c r="AB58" s="7">
        <v>0.1663</v>
      </c>
    </row>
    <row r="59" spans="1:28" x14ac:dyDescent="0.35">
      <c r="A59" s="1">
        <v>4000396</v>
      </c>
      <c r="B59" s="15">
        <v>4760</v>
      </c>
      <c r="C59" s="15">
        <v>4370</v>
      </c>
      <c r="D59" s="15">
        <v>4970</v>
      </c>
      <c r="E59" s="15">
        <v>4530</v>
      </c>
      <c r="F59" s="15">
        <v>4170</v>
      </c>
      <c r="G59" s="15">
        <v>3710</v>
      </c>
      <c r="H59" s="15">
        <v>3640</v>
      </c>
      <c r="I59" s="15">
        <v>4600</v>
      </c>
      <c r="J59" s="15">
        <v>4290</v>
      </c>
      <c r="K59" s="15">
        <v>4010</v>
      </c>
      <c r="L59" s="15">
        <v>5260</v>
      </c>
      <c r="M59" s="15">
        <v>4510</v>
      </c>
      <c r="N59" s="15">
        <v>4440</v>
      </c>
      <c r="O59" s="15">
        <v>4310</v>
      </c>
      <c r="P59" s="15">
        <v>4040</v>
      </c>
      <c r="Q59" s="15">
        <v>4050</v>
      </c>
      <c r="R59" s="15">
        <v>3460</v>
      </c>
      <c r="S59" s="15">
        <v>4290</v>
      </c>
      <c r="T59" s="15">
        <v>3861</v>
      </c>
      <c r="U59" s="15">
        <v>3530</v>
      </c>
      <c r="V59" s="15">
        <v>4560</v>
      </c>
      <c r="W59" s="15">
        <v>3880</v>
      </c>
      <c r="X59" s="15">
        <v>3680</v>
      </c>
      <c r="Y59" s="15">
        <v>3180</v>
      </c>
      <c r="Z59" s="4">
        <v>100101</v>
      </c>
      <c r="AA59" s="26">
        <v>24</v>
      </c>
      <c r="AB59" s="7">
        <v>0.1177</v>
      </c>
    </row>
    <row r="60" spans="1:28" x14ac:dyDescent="0.35">
      <c r="A60" s="1">
        <v>4000403</v>
      </c>
      <c r="B60" s="15">
        <v>200</v>
      </c>
      <c r="C60" s="15">
        <v>700</v>
      </c>
      <c r="D60" s="15">
        <v>700</v>
      </c>
      <c r="E60" s="15">
        <v>700</v>
      </c>
      <c r="F60" s="15">
        <v>1600</v>
      </c>
      <c r="G60" s="15">
        <v>500</v>
      </c>
      <c r="H60" s="15">
        <v>500</v>
      </c>
      <c r="I60" s="15">
        <v>200</v>
      </c>
      <c r="J60" s="15">
        <v>500</v>
      </c>
      <c r="K60" s="15">
        <v>400</v>
      </c>
      <c r="L60" s="15">
        <v>500</v>
      </c>
      <c r="M60" s="15">
        <v>500</v>
      </c>
      <c r="N60" s="15">
        <v>300</v>
      </c>
      <c r="O60" s="15">
        <v>600</v>
      </c>
      <c r="P60" s="15">
        <v>600</v>
      </c>
      <c r="Q60" s="15">
        <v>500</v>
      </c>
      <c r="R60" s="15">
        <v>300</v>
      </c>
      <c r="S60" s="15">
        <v>1000</v>
      </c>
      <c r="T60" s="15">
        <v>400</v>
      </c>
      <c r="U60" s="15">
        <v>200</v>
      </c>
      <c r="V60" s="15">
        <v>900</v>
      </c>
      <c r="W60" s="15">
        <v>600</v>
      </c>
      <c r="X60" s="15">
        <v>600</v>
      </c>
      <c r="Y60" s="15">
        <v>700</v>
      </c>
      <c r="Z60" s="4">
        <v>13700</v>
      </c>
      <c r="AA60" s="26">
        <v>24</v>
      </c>
      <c r="AB60" s="7">
        <v>0.51439999999999997</v>
      </c>
    </row>
    <row r="61" spans="1:28" x14ac:dyDescent="0.35">
      <c r="A61" s="1">
        <v>4000406</v>
      </c>
      <c r="B61" s="15">
        <v>3560</v>
      </c>
      <c r="C61" s="15">
        <v>3700</v>
      </c>
      <c r="D61" s="15">
        <v>3440</v>
      </c>
      <c r="E61" s="15">
        <v>3570</v>
      </c>
      <c r="F61" s="15">
        <v>3570</v>
      </c>
      <c r="G61" s="15">
        <v>3420</v>
      </c>
      <c r="H61" s="15">
        <v>3090</v>
      </c>
      <c r="I61" s="15">
        <v>3090</v>
      </c>
      <c r="J61" s="15">
        <v>3700</v>
      </c>
      <c r="K61" s="15">
        <v>3440</v>
      </c>
      <c r="L61" s="15">
        <v>3560</v>
      </c>
      <c r="M61" s="15">
        <v>3400</v>
      </c>
      <c r="N61" s="15">
        <v>3960</v>
      </c>
      <c r="O61" s="15">
        <v>3815</v>
      </c>
      <c r="P61" s="15">
        <v>3190</v>
      </c>
      <c r="Q61" s="15">
        <v>3650</v>
      </c>
      <c r="R61" s="15">
        <v>3350</v>
      </c>
      <c r="S61" s="15">
        <v>3330</v>
      </c>
      <c r="T61" s="15">
        <v>3040</v>
      </c>
      <c r="U61" s="15">
        <v>2850</v>
      </c>
      <c r="V61" s="15">
        <v>4180</v>
      </c>
      <c r="W61" s="15">
        <v>3560</v>
      </c>
      <c r="X61" s="15">
        <v>3790</v>
      </c>
      <c r="Y61" s="15">
        <v>3650</v>
      </c>
      <c r="Z61" s="4">
        <v>83905</v>
      </c>
      <c r="AA61" s="26">
        <v>24</v>
      </c>
      <c r="AB61" s="7">
        <v>8.5500000000000007E-2</v>
      </c>
    </row>
    <row r="62" spans="1:28" x14ac:dyDescent="0.35">
      <c r="A62" s="1">
        <v>4000411</v>
      </c>
      <c r="B62" s="15">
        <v>4</v>
      </c>
      <c r="C62" s="15">
        <v>3</v>
      </c>
      <c r="D62" s="15">
        <v>3</v>
      </c>
      <c r="E62" s="15">
        <v>0</v>
      </c>
      <c r="F62" s="15">
        <v>7</v>
      </c>
      <c r="G62" s="15">
        <v>0</v>
      </c>
      <c r="H62" s="15">
        <v>1</v>
      </c>
      <c r="I62" s="15">
        <v>2</v>
      </c>
      <c r="J62" s="15">
        <v>3</v>
      </c>
      <c r="K62" s="15">
        <v>0</v>
      </c>
      <c r="L62" s="15">
        <v>5</v>
      </c>
      <c r="M62" s="15">
        <v>4</v>
      </c>
      <c r="N62" s="15">
        <v>4</v>
      </c>
      <c r="O62" s="15">
        <v>5</v>
      </c>
      <c r="P62" s="15">
        <v>1</v>
      </c>
      <c r="Q62" s="15">
        <v>2</v>
      </c>
      <c r="R62" s="15">
        <v>4</v>
      </c>
      <c r="S62" s="15">
        <v>3</v>
      </c>
      <c r="T62" s="15">
        <v>1</v>
      </c>
      <c r="U62" s="15">
        <v>2</v>
      </c>
      <c r="V62" s="15">
        <v>2</v>
      </c>
      <c r="W62" s="15">
        <v>1</v>
      </c>
      <c r="X62" s="15">
        <v>2</v>
      </c>
      <c r="Y62" s="15">
        <v>1</v>
      </c>
      <c r="Z62" s="4">
        <v>60</v>
      </c>
      <c r="AA62" s="26">
        <v>21</v>
      </c>
      <c r="AB62" s="7">
        <v>0.70240000000000002</v>
      </c>
    </row>
    <row r="63" spans="1:28" x14ac:dyDescent="0.35">
      <c r="A63" s="1">
        <v>4000412</v>
      </c>
      <c r="B63" s="15">
        <v>4</v>
      </c>
      <c r="C63" s="15">
        <v>4</v>
      </c>
      <c r="D63" s="15">
        <v>1</v>
      </c>
      <c r="E63" s="15">
        <v>6</v>
      </c>
      <c r="F63" s="15">
        <v>8</v>
      </c>
      <c r="G63" s="15">
        <v>5</v>
      </c>
      <c r="H63" s="15">
        <v>3</v>
      </c>
      <c r="I63" s="15">
        <v>2</v>
      </c>
      <c r="J63" s="15">
        <v>9</v>
      </c>
      <c r="K63" s="15">
        <v>4</v>
      </c>
      <c r="L63" s="15">
        <v>3</v>
      </c>
      <c r="M63" s="15">
        <v>5</v>
      </c>
      <c r="N63" s="15">
        <v>2</v>
      </c>
      <c r="O63" s="15">
        <v>10</v>
      </c>
      <c r="P63" s="15">
        <v>2</v>
      </c>
      <c r="Q63" s="15">
        <v>3</v>
      </c>
      <c r="R63" s="15">
        <v>9</v>
      </c>
      <c r="S63" s="15">
        <v>1</v>
      </c>
      <c r="T63" s="15">
        <v>5</v>
      </c>
      <c r="U63" s="15">
        <v>5</v>
      </c>
      <c r="V63" s="15">
        <v>5</v>
      </c>
      <c r="W63" s="15">
        <v>4</v>
      </c>
      <c r="X63" s="15">
        <v>8</v>
      </c>
      <c r="Y63" s="15">
        <v>2</v>
      </c>
      <c r="Z63" s="4">
        <v>110</v>
      </c>
      <c r="AA63" s="26">
        <v>24</v>
      </c>
      <c r="AB63" s="7">
        <v>0.55600000000000005</v>
      </c>
    </row>
    <row r="64" spans="1:28" x14ac:dyDescent="0.35">
      <c r="A64" s="1">
        <v>4000413</v>
      </c>
      <c r="B64" s="15">
        <v>4</v>
      </c>
      <c r="C64" s="15">
        <v>4</v>
      </c>
      <c r="D64" s="15">
        <v>4</v>
      </c>
      <c r="E64" s="15">
        <v>5</v>
      </c>
      <c r="F64" s="15">
        <v>7</v>
      </c>
      <c r="G64" s="15">
        <v>4</v>
      </c>
      <c r="H64" s="15">
        <v>1</v>
      </c>
      <c r="I64" s="15">
        <v>7</v>
      </c>
      <c r="J64" s="15">
        <v>4</v>
      </c>
      <c r="K64" s="15">
        <v>3</v>
      </c>
      <c r="L64" s="15">
        <v>4</v>
      </c>
      <c r="M64" s="15">
        <v>6</v>
      </c>
      <c r="N64" s="15">
        <v>2</v>
      </c>
      <c r="O64" s="15">
        <v>4</v>
      </c>
      <c r="P64" s="15">
        <v>9</v>
      </c>
      <c r="Q64" s="15">
        <v>3</v>
      </c>
      <c r="R64" s="15">
        <v>5</v>
      </c>
      <c r="S64" s="15">
        <v>4</v>
      </c>
      <c r="T64" s="15">
        <v>3</v>
      </c>
      <c r="U64" s="15">
        <v>4</v>
      </c>
      <c r="V64" s="15">
        <v>7</v>
      </c>
      <c r="W64" s="15">
        <v>3</v>
      </c>
      <c r="X64" s="15">
        <v>5</v>
      </c>
      <c r="Y64" s="15">
        <v>5</v>
      </c>
      <c r="Z64" s="4">
        <v>107</v>
      </c>
      <c r="AA64" s="26">
        <v>24</v>
      </c>
      <c r="AB64" s="7">
        <v>0.38840000000000002</v>
      </c>
    </row>
    <row r="65" spans="1:28" x14ac:dyDescent="0.35">
      <c r="A65" s="1">
        <v>4000414</v>
      </c>
      <c r="B65" s="15">
        <v>5</v>
      </c>
      <c r="C65" s="15">
        <v>2</v>
      </c>
      <c r="D65" s="15">
        <v>3</v>
      </c>
      <c r="E65" s="15">
        <v>6</v>
      </c>
      <c r="F65" s="15">
        <v>5</v>
      </c>
      <c r="G65" s="15">
        <v>2</v>
      </c>
      <c r="H65" s="15">
        <v>3</v>
      </c>
      <c r="I65" s="15">
        <v>3</v>
      </c>
      <c r="J65" s="15">
        <v>9</v>
      </c>
      <c r="K65" s="15">
        <v>4</v>
      </c>
      <c r="L65" s="15">
        <v>7</v>
      </c>
      <c r="M65" s="15">
        <v>1</v>
      </c>
      <c r="N65" s="15">
        <v>5</v>
      </c>
      <c r="O65" s="15">
        <v>8</v>
      </c>
      <c r="P65" s="15">
        <v>4</v>
      </c>
      <c r="Q65" s="15">
        <v>4</v>
      </c>
      <c r="R65" s="15">
        <v>5</v>
      </c>
      <c r="S65" s="15">
        <v>5</v>
      </c>
      <c r="T65" s="15">
        <v>2</v>
      </c>
      <c r="U65" s="15">
        <v>5</v>
      </c>
      <c r="V65" s="15">
        <v>7</v>
      </c>
      <c r="W65" s="15">
        <v>5</v>
      </c>
      <c r="X65" s="15">
        <v>4</v>
      </c>
      <c r="Y65" s="15">
        <v>5</v>
      </c>
      <c r="Z65" s="4">
        <v>109</v>
      </c>
      <c r="AA65" s="26">
        <v>24</v>
      </c>
      <c r="AB65" s="7">
        <v>0.42149999999999999</v>
      </c>
    </row>
    <row r="66" spans="1:28" x14ac:dyDescent="0.35">
      <c r="A66" s="1">
        <v>4000415</v>
      </c>
      <c r="B66" s="15">
        <v>1</v>
      </c>
      <c r="C66" s="15">
        <v>1</v>
      </c>
      <c r="D66" s="15">
        <v>2</v>
      </c>
      <c r="E66" s="15">
        <v>3</v>
      </c>
      <c r="F66" s="15">
        <v>3</v>
      </c>
      <c r="G66" s="15">
        <v>2</v>
      </c>
      <c r="H66" s="15">
        <v>2</v>
      </c>
      <c r="I66" s="15">
        <v>0</v>
      </c>
      <c r="J66" s="15">
        <v>4</v>
      </c>
      <c r="K66" s="15">
        <v>2</v>
      </c>
      <c r="L66" s="15">
        <v>2</v>
      </c>
      <c r="M66" s="15">
        <v>1</v>
      </c>
      <c r="N66" s="15">
        <v>4</v>
      </c>
      <c r="O66" s="15">
        <v>2</v>
      </c>
      <c r="P66" s="15">
        <v>1</v>
      </c>
      <c r="Q66" s="15">
        <v>1</v>
      </c>
      <c r="R66" s="15">
        <v>3</v>
      </c>
      <c r="S66" s="15">
        <v>1</v>
      </c>
      <c r="T66" s="15">
        <v>0</v>
      </c>
      <c r="U66" s="15">
        <v>3</v>
      </c>
      <c r="V66" s="15">
        <v>4</v>
      </c>
      <c r="W66" s="15">
        <v>2</v>
      </c>
      <c r="X66" s="15">
        <v>1</v>
      </c>
      <c r="Y66" s="15">
        <v>3</v>
      </c>
      <c r="Z66" s="4">
        <v>48</v>
      </c>
      <c r="AA66" s="26">
        <v>22</v>
      </c>
      <c r="AB66" s="7">
        <v>0.57740000000000002</v>
      </c>
    </row>
    <row r="67" spans="1:28" x14ac:dyDescent="0.35">
      <c r="A67" s="1">
        <v>4000416</v>
      </c>
      <c r="B67" s="15">
        <v>1400</v>
      </c>
      <c r="C67" s="15">
        <v>1900</v>
      </c>
      <c r="D67" s="15">
        <v>1400</v>
      </c>
      <c r="E67" s="15">
        <v>1200</v>
      </c>
      <c r="F67" s="15">
        <v>900</v>
      </c>
      <c r="G67" s="15">
        <v>1000</v>
      </c>
      <c r="H67" s="15">
        <v>300</v>
      </c>
      <c r="I67" s="15">
        <v>500</v>
      </c>
      <c r="J67" s="15">
        <v>1000</v>
      </c>
      <c r="K67" s="15">
        <v>900</v>
      </c>
      <c r="L67" s="15">
        <v>700</v>
      </c>
      <c r="M67" s="15">
        <v>1300</v>
      </c>
      <c r="N67" s="15">
        <v>800</v>
      </c>
      <c r="O67" s="15">
        <v>1400</v>
      </c>
      <c r="P67" s="15">
        <v>800</v>
      </c>
      <c r="Q67" s="15">
        <v>0</v>
      </c>
      <c r="R67" s="15">
        <v>1200</v>
      </c>
      <c r="S67" s="15">
        <v>900</v>
      </c>
      <c r="T67" s="15">
        <v>100</v>
      </c>
      <c r="U67" s="15">
        <v>600</v>
      </c>
      <c r="V67" s="15">
        <v>800</v>
      </c>
      <c r="W67" s="15">
        <v>800</v>
      </c>
      <c r="X67" s="15">
        <v>1700</v>
      </c>
      <c r="Y67" s="15">
        <v>900</v>
      </c>
      <c r="Z67" s="4">
        <v>22500</v>
      </c>
      <c r="AA67" s="26">
        <v>23</v>
      </c>
      <c r="AB67" s="7">
        <v>0.4798</v>
      </c>
    </row>
    <row r="68" spans="1:28" x14ac:dyDescent="0.35">
      <c r="A68" s="1">
        <v>4000418</v>
      </c>
      <c r="B68" s="15">
        <v>200</v>
      </c>
      <c r="C68" s="15">
        <v>200</v>
      </c>
      <c r="D68" s="15">
        <v>200</v>
      </c>
      <c r="E68" s="15">
        <v>200</v>
      </c>
      <c r="F68" s="15">
        <v>0</v>
      </c>
      <c r="G68" s="15">
        <v>100</v>
      </c>
      <c r="H68" s="15">
        <v>0</v>
      </c>
      <c r="I68" s="15">
        <v>100</v>
      </c>
      <c r="J68" s="15">
        <v>200</v>
      </c>
      <c r="K68" s="15">
        <v>100</v>
      </c>
      <c r="L68" s="15">
        <v>100</v>
      </c>
      <c r="M68" s="15">
        <v>0</v>
      </c>
      <c r="N68" s="15">
        <v>100</v>
      </c>
      <c r="O68" s="15">
        <v>200</v>
      </c>
      <c r="P68" s="15">
        <v>100</v>
      </c>
      <c r="Q68" s="15">
        <v>0</v>
      </c>
      <c r="R68" s="15">
        <v>100</v>
      </c>
      <c r="S68" s="15">
        <v>100</v>
      </c>
      <c r="T68" s="15">
        <v>0</v>
      </c>
      <c r="U68" s="15">
        <v>200</v>
      </c>
      <c r="V68" s="15">
        <v>0</v>
      </c>
      <c r="W68" s="15">
        <v>200</v>
      </c>
      <c r="X68" s="15">
        <v>0</v>
      </c>
      <c r="Y68" s="15">
        <v>100</v>
      </c>
      <c r="Z68" s="4">
        <v>2500</v>
      </c>
      <c r="AA68" s="26">
        <v>17</v>
      </c>
      <c r="AB68" s="7">
        <v>0.75790000000000002</v>
      </c>
    </row>
    <row r="69" spans="1:28" x14ac:dyDescent="0.35">
      <c r="A69" s="1">
        <v>4000419</v>
      </c>
      <c r="B69" s="15">
        <v>300</v>
      </c>
      <c r="C69" s="15">
        <v>1200</v>
      </c>
      <c r="D69" s="15">
        <v>1300</v>
      </c>
      <c r="E69" s="15">
        <v>500</v>
      </c>
      <c r="F69" s="15">
        <v>1000</v>
      </c>
      <c r="G69" s="15">
        <v>100</v>
      </c>
      <c r="H69" s="15">
        <v>100</v>
      </c>
      <c r="I69" s="15">
        <v>300</v>
      </c>
      <c r="J69" s="15">
        <v>1000</v>
      </c>
      <c r="K69" s="15">
        <v>500</v>
      </c>
      <c r="L69" s="15">
        <v>900</v>
      </c>
      <c r="M69" s="15">
        <v>0</v>
      </c>
      <c r="N69" s="15">
        <v>100</v>
      </c>
      <c r="O69" s="15">
        <v>0</v>
      </c>
      <c r="P69" s="15">
        <v>1200</v>
      </c>
      <c r="Q69" s="15">
        <v>700</v>
      </c>
      <c r="R69" s="15">
        <v>100</v>
      </c>
      <c r="S69" s="15">
        <v>1100</v>
      </c>
      <c r="T69" s="15">
        <v>100</v>
      </c>
      <c r="U69" s="15">
        <v>1000</v>
      </c>
      <c r="V69" s="15">
        <v>0</v>
      </c>
      <c r="W69" s="15">
        <v>1100</v>
      </c>
      <c r="X69" s="15">
        <v>1000</v>
      </c>
      <c r="Y69" s="15">
        <v>1100</v>
      </c>
      <c r="Z69" s="4">
        <v>14700</v>
      </c>
      <c r="AA69" s="26">
        <v>21</v>
      </c>
      <c r="AB69" s="7">
        <v>0.76190000000000002</v>
      </c>
    </row>
    <row r="70" spans="1:28" x14ac:dyDescent="0.35">
      <c r="A70" s="1">
        <v>4000420</v>
      </c>
      <c r="B70" s="15">
        <v>2000</v>
      </c>
      <c r="C70" s="15">
        <v>3700</v>
      </c>
      <c r="D70" s="15">
        <v>300</v>
      </c>
      <c r="E70" s="15">
        <v>2100</v>
      </c>
      <c r="F70" s="15">
        <v>1900</v>
      </c>
      <c r="G70" s="15">
        <v>3500</v>
      </c>
      <c r="H70" s="15">
        <v>2000</v>
      </c>
      <c r="I70" s="15">
        <v>1800</v>
      </c>
      <c r="J70" s="15">
        <v>2600</v>
      </c>
      <c r="K70" s="15">
        <v>1700</v>
      </c>
      <c r="L70" s="15">
        <v>3200</v>
      </c>
      <c r="M70" s="15">
        <v>300</v>
      </c>
      <c r="N70" s="15">
        <v>1700</v>
      </c>
      <c r="O70" s="15">
        <v>3200</v>
      </c>
      <c r="P70" s="15">
        <v>300</v>
      </c>
      <c r="Q70" s="15">
        <v>3600</v>
      </c>
      <c r="R70" s="15">
        <v>400</v>
      </c>
      <c r="S70" s="15">
        <v>2000</v>
      </c>
      <c r="T70" s="15">
        <v>1800</v>
      </c>
      <c r="U70" s="15">
        <v>3500</v>
      </c>
      <c r="V70" s="15">
        <v>2000</v>
      </c>
      <c r="W70" s="15">
        <v>2500</v>
      </c>
      <c r="X70" s="15">
        <v>1600</v>
      </c>
      <c r="Y70" s="15">
        <v>2000</v>
      </c>
      <c r="Z70" s="4">
        <v>49700</v>
      </c>
      <c r="AA70" s="26">
        <v>24</v>
      </c>
      <c r="AB70" s="7">
        <v>0.49280000000000002</v>
      </c>
    </row>
    <row r="71" spans="1:28" x14ac:dyDescent="0.35">
      <c r="A71" s="1">
        <v>4000427</v>
      </c>
      <c r="B71" s="15">
        <v>550</v>
      </c>
      <c r="C71" s="15">
        <v>300</v>
      </c>
      <c r="D71" s="15">
        <v>500</v>
      </c>
      <c r="E71" s="15">
        <v>800</v>
      </c>
      <c r="F71" s="15">
        <v>750</v>
      </c>
      <c r="G71" s="15">
        <v>750</v>
      </c>
      <c r="H71" s="15">
        <v>1000</v>
      </c>
      <c r="I71" s="15">
        <v>1100</v>
      </c>
      <c r="J71" s="15">
        <v>750</v>
      </c>
      <c r="K71" s="15">
        <v>350</v>
      </c>
      <c r="L71" s="15">
        <v>450</v>
      </c>
      <c r="M71" s="15">
        <v>850</v>
      </c>
      <c r="N71" s="15">
        <v>800</v>
      </c>
      <c r="O71" s="15">
        <v>250</v>
      </c>
      <c r="P71" s="15">
        <v>650</v>
      </c>
      <c r="Q71" s="15">
        <v>950</v>
      </c>
      <c r="R71" s="15">
        <v>865</v>
      </c>
      <c r="S71" s="15">
        <v>550</v>
      </c>
      <c r="T71" s="15">
        <v>550</v>
      </c>
      <c r="U71" s="15">
        <v>750</v>
      </c>
      <c r="V71" s="15">
        <v>600</v>
      </c>
      <c r="W71" s="15">
        <v>700</v>
      </c>
      <c r="X71" s="15">
        <v>1000</v>
      </c>
      <c r="Y71" s="15">
        <v>1200</v>
      </c>
      <c r="Z71" s="4">
        <v>17015</v>
      </c>
      <c r="AA71" s="26">
        <v>24</v>
      </c>
      <c r="AB71" s="7">
        <v>0.34039999999999998</v>
      </c>
    </row>
    <row r="72" spans="1:28" x14ac:dyDescent="0.35">
      <c r="A72" s="1">
        <v>4000428</v>
      </c>
      <c r="B72" s="15">
        <v>3050</v>
      </c>
      <c r="C72" s="15">
        <v>2200</v>
      </c>
      <c r="D72" s="15">
        <v>3150</v>
      </c>
      <c r="E72" s="15">
        <v>2000</v>
      </c>
      <c r="F72" s="15">
        <v>1800</v>
      </c>
      <c r="G72" s="15">
        <v>2600</v>
      </c>
      <c r="H72" s="15">
        <v>3450</v>
      </c>
      <c r="I72" s="15">
        <v>1200</v>
      </c>
      <c r="J72" s="15">
        <v>3100</v>
      </c>
      <c r="K72" s="15">
        <v>2300</v>
      </c>
      <c r="L72" s="15">
        <v>2850</v>
      </c>
      <c r="M72" s="15">
        <v>2750</v>
      </c>
      <c r="N72" s="15">
        <v>2800</v>
      </c>
      <c r="O72" s="15">
        <v>1450</v>
      </c>
      <c r="P72" s="15">
        <v>3500</v>
      </c>
      <c r="Q72" s="15">
        <v>2600</v>
      </c>
      <c r="R72" s="15">
        <v>3050</v>
      </c>
      <c r="S72" s="15">
        <v>2500</v>
      </c>
      <c r="T72" s="15">
        <v>1950</v>
      </c>
      <c r="U72" s="15">
        <v>2300</v>
      </c>
      <c r="V72" s="15">
        <v>3400</v>
      </c>
      <c r="W72" s="15">
        <v>2850</v>
      </c>
      <c r="X72" s="15">
        <v>3600</v>
      </c>
      <c r="Y72" s="15">
        <v>2800</v>
      </c>
      <c r="Z72" s="4">
        <v>63250</v>
      </c>
      <c r="AA72" s="26">
        <v>24</v>
      </c>
      <c r="AB72" s="7">
        <v>0.23719999999999999</v>
      </c>
    </row>
    <row r="73" spans="1:28" x14ac:dyDescent="0.35">
      <c r="A73" s="1">
        <v>4000432</v>
      </c>
      <c r="B73" s="15">
        <v>10050</v>
      </c>
      <c r="C73" s="15">
        <v>8000</v>
      </c>
      <c r="D73" s="15">
        <v>8200</v>
      </c>
      <c r="E73" s="15">
        <v>6850</v>
      </c>
      <c r="F73" s="15">
        <v>6350</v>
      </c>
      <c r="G73" s="15">
        <v>8100</v>
      </c>
      <c r="H73" s="15">
        <v>7400</v>
      </c>
      <c r="I73" s="15">
        <v>8300</v>
      </c>
      <c r="J73" s="15">
        <v>4800</v>
      </c>
      <c r="K73" s="15">
        <v>8200</v>
      </c>
      <c r="L73" s="15">
        <v>9000</v>
      </c>
      <c r="M73" s="15">
        <v>10738</v>
      </c>
      <c r="N73" s="15">
        <v>7500</v>
      </c>
      <c r="O73" s="15">
        <v>6600</v>
      </c>
      <c r="P73" s="15">
        <v>6550</v>
      </c>
      <c r="Q73" s="15">
        <v>8812</v>
      </c>
      <c r="R73" s="15">
        <v>9250</v>
      </c>
      <c r="S73" s="15">
        <v>4751</v>
      </c>
      <c r="T73" s="15">
        <v>7650</v>
      </c>
      <c r="U73" s="15">
        <v>8200</v>
      </c>
      <c r="V73" s="15">
        <v>5300</v>
      </c>
      <c r="W73" s="15">
        <v>9000</v>
      </c>
      <c r="X73" s="15">
        <v>9400</v>
      </c>
      <c r="Y73" s="15">
        <v>8050</v>
      </c>
      <c r="Z73" s="4">
        <v>187051</v>
      </c>
      <c r="AA73" s="26">
        <v>24</v>
      </c>
      <c r="AB73" s="7">
        <v>0.1925</v>
      </c>
    </row>
    <row r="74" spans="1:28" x14ac:dyDescent="0.35">
      <c r="A74" s="1">
        <v>4000434</v>
      </c>
      <c r="B74" s="15">
        <v>6800</v>
      </c>
      <c r="C74" s="15">
        <v>5150</v>
      </c>
      <c r="D74" s="15">
        <v>4850</v>
      </c>
      <c r="E74" s="15">
        <v>5000</v>
      </c>
      <c r="F74" s="15">
        <v>4050</v>
      </c>
      <c r="G74" s="15">
        <v>6000</v>
      </c>
      <c r="H74" s="15">
        <v>4100</v>
      </c>
      <c r="I74" s="15">
        <v>5400</v>
      </c>
      <c r="J74" s="15">
        <v>5050</v>
      </c>
      <c r="K74" s="15">
        <v>4750</v>
      </c>
      <c r="L74" s="15">
        <v>5350</v>
      </c>
      <c r="M74" s="15">
        <v>7600</v>
      </c>
      <c r="N74" s="15">
        <v>4350</v>
      </c>
      <c r="O74" s="15">
        <v>4350</v>
      </c>
      <c r="P74" s="15">
        <v>4350</v>
      </c>
      <c r="Q74" s="15">
        <v>4300</v>
      </c>
      <c r="R74" s="15">
        <v>5300</v>
      </c>
      <c r="S74" s="15">
        <v>7650</v>
      </c>
      <c r="T74" s="15">
        <v>2200</v>
      </c>
      <c r="U74" s="15">
        <v>4800</v>
      </c>
      <c r="V74" s="15">
        <v>4050</v>
      </c>
      <c r="W74" s="15">
        <v>5750</v>
      </c>
      <c r="X74" s="15">
        <v>5450</v>
      </c>
      <c r="Y74" s="15">
        <v>6300</v>
      </c>
      <c r="Z74" s="4">
        <v>122950</v>
      </c>
      <c r="AA74" s="26">
        <v>24</v>
      </c>
      <c r="AB74" s="7">
        <v>0.22839999999999999</v>
      </c>
    </row>
    <row r="75" spans="1:28" x14ac:dyDescent="0.35">
      <c r="A75" s="1">
        <v>4000435</v>
      </c>
      <c r="B75" s="15">
        <v>2850</v>
      </c>
      <c r="C75" s="15">
        <v>3400</v>
      </c>
      <c r="D75" s="15">
        <v>2750</v>
      </c>
      <c r="E75" s="15">
        <v>3200</v>
      </c>
      <c r="F75" s="15">
        <v>1950</v>
      </c>
      <c r="G75" s="15">
        <v>1800</v>
      </c>
      <c r="H75" s="15">
        <v>1800</v>
      </c>
      <c r="I75" s="15">
        <v>3050</v>
      </c>
      <c r="J75" s="15">
        <v>400</v>
      </c>
      <c r="K75" s="15">
        <v>3200</v>
      </c>
      <c r="L75" s="15">
        <v>3050</v>
      </c>
      <c r="M75" s="15">
        <v>1750</v>
      </c>
      <c r="N75" s="15">
        <v>1800</v>
      </c>
      <c r="O75" s="15">
        <v>3200</v>
      </c>
      <c r="P75" s="15">
        <v>2050</v>
      </c>
      <c r="Q75" s="15">
        <v>3000</v>
      </c>
      <c r="R75" s="15">
        <v>3300</v>
      </c>
      <c r="S75" s="15">
        <v>3800</v>
      </c>
      <c r="T75" s="15">
        <v>1900</v>
      </c>
      <c r="U75" s="15">
        <v>2200</v>
      </c>
      <c r="V75" s="15">
        <v>1800</v>
      </c>
      <c r="W75" s="15">
        <v>2700</v>
      </c>
      <c r="X75" s="15">
        <v>950</v>
      </c>
      <c r="Y75" s="15">
        <v>3850</v>
      </c>
      <c r="Z75" s="4">
        <v>59750</v>
      </c>
      <c r="AA75" s="26">
        <v>24</v>
      </c>
      <c r="AB75" s="7">
        <v>0.34589999999999999</v>
      </c>
    </row>
    <row r="76" spans="1:28" x14ac:dyDescent="0.35">
      <c r="A76" s="1">
        <v>4000441</v>
      </c>
      <c r="B76" s="15">
        <v>2315</v>
      </c>
      <c r="C76" s="15">
        <v>1920</v>
      </c>
      <c r="D76" s="15">
        <v>1770</v>
      </c>
      <c r="E76" s="15">
        <v>2730</v>
      </c>
      <c r="F76" s="15">
        <v>1560</v>
      </c>
      <c r="G76" s="15">
        <v>1770</v>
      </c>
      <c r="H76" s="15">
        <v>1500</v>
      </c>
      <c r="I76" s="15">
        <v>1890</v>
      </c>
      <c r="J76" s="15">
        <v>3210</v>
      </c>
      <c r="K76" s="15">
        <v>1680</v>
      </c>
      <c r="L76" s="15">
        <v>1830</v>
      </c>
      <c r="M76" s="15">
        <v>1500</v>
      </c>
      <c r="N76" s="15">
        <v>1680</v>
      </c>
      <c r="O76" s="15">
        <v>1680</v>
      </c>
      <c r="P76" s="15">
        <v>2100</v>
      </c>
      <c r="Q76" s="15">
        <v>2010</v>
      </c>
      <c r="R76" s="15">
        <v>2010</v>
      </c>
      <c r="S76" s="15">
        <v>1170</v>
      </c>
      <c r="T76" s="15">
        <v>2220</v>
      </c>
      <c r="U76" s="15">
        <v>1530</v>
      </c>
      <c r="V76" s="15">
        <v>1740</v>
      </c>
      <c r="W76" s="15">
        <v>2190</v>
      </c>
      <c r="X76" s="15">
        <v>1620</v>
      </c>
      <c r="Y76" s="15">
        <v>1740</v>
      </c>
      <c r="Z76" s="4">
        <v>45365</v>
      </c>
      <c r="AA76" s="26">
        <v>24</v>
      </c>
      <c r="AB76" s="7">
        <v>0.2225</v>
      </c>
    </row>
    <row r="77" spans="1:28" x14ac:dyDescent="0.35">
      <c r="A77" s="1">
        <v>4000442</v>
      </c>
      <c r="B77" s="15">
        <v>86030</v>
      </c>
      <c r="C77" s="15">
        <v>82050</v>
      </c>
      <c r="D77" s="15">
        <v>87500</v>
      </c>
      <c r="E77" s="15">
        <v>85100</v>
      </c>
      <c r="F77" s="15">
        <v>91800</v>
      </c>
      <c r="G77" s="15">
        <v>69700</v>
      </c>
      <c r="H77" s="15">
        <v>79150</v>
      </c>
      <c r="I77" s="15">
        <v>86650</v>
      </c>
      <c r="J77" s="15">
        <v>99600</v>
      </c>
      <c r="K77" s="15">
        <v>99600</v>
      </c>
      <c r="L77" s="15">
        <v>87900</v>
      </c>
      <c r="M77" s="15">
        <v>94200</v>
      </c>
      <c r="N77" s="15">
        <v>97650</v>
      </c>
      <c r="O77" s="15">
        <v>106200</v>
      </c>
      <c r="P77" s="15">
        <v>119470</v>
      </c>
      <c r="Q77" s="15">
        <v>79380</v>
      </c>
      <c r="R77" s="15">
        <v>74280</v>
      </c>
      <c r="S77" s="15">
        <v>75160</v>
      </c>
      <c r="T77" s="15">
        <v>55230</v>
      </c>
      <c r="U77" s="15">
        <v>75300</v>
      </c>
      <c r="V77" s="15">
        <v>77700</v>
      </c>
      <c r="W77" s="15">
        <v>89450</v>
      </c>
      <c r="X77" s="15">
        <v>100800</v>
      </c>
      <c r="Y77" s="15">
        <v>92700</v>
      </c>
      <c r="Z77" s="4">
        <v>2092600</v>
      </c>
      <c r="AA77" s="26">
        <v>24</v>
      </c>
      <c r="AB77" s="7">
        <v>0.15060000000000001</v>
      </c>
    </row>
    <row r="78" spans="1:28" x14ac:dyDescent="0.35">
      <c r="A78" s="1">
        <v>4000443</v>
      </c>
      <c r="B78" s="15">
        <v>9490</v>
      </c>
      <c r="C78" s="15">
        <v>8580</v>
      </c>
      <c r="D78" s="15">
        <v>8840</v>
      </c>
      <c r="E78" s="15">
        <v>9425</v>
      </c>
      <c r="F78" s="15">
        <v>12985</v>
      </c>
      <c r="G78" s="15">
        <v>8255</v>
      </c>
      <c r="H78" s="15">
        <v>6045</v>
      </c>
      <c r="I78" s="15">
        <v>8190</v>
      </c>
      <c r="J78" s="15">
        <v>8450</v>
      </c>
      <c r="K78" s="15">
        <v>8645</v>
      </c>
      <c r="L78" s="15">
        <v>9880</v>
      </c>
      <c r="M78" s="15">
        <v>8320</v>
      </c>
      <c r="N78" s="15">
        <v>10205</v>
      </c>
      <c r="O78" s="15">
        <v>8645</v>
      </c>
      <c r="P78" s="15">
        <v>8970</v>
      </c>
      <c r="Q78" s="15">
        <v>8775</v>
      </c>
      <c r="R78" s="15">
        <v>10075</v>
      </c>
      <c r="S78" s="15">
        <v>8125</v>
      </c>
      <c r="T78" s="15">
        <v>5980</v>
      </c>
      <c r="U78" s="15">
        <v>7540</v>
      </c>
      <c r="V78" s="15">
        <v>9470</v>
      </c>
      <c r="W78" s="15">
        <v>9880</v>
      </c>
      <c r="X78" s="15">
        <v>7280</v>
      </c>
      <c r="Y78" s="15">
        <v>7930</v>
      </c>
      <c r="Z78" s="4">
        <v>209980</v>
      </c>
      <c r="AA78" s="26">
        <v>24</v>
      </c>
      <c r="AB78" s="7">
        <v>0.15909999999999999</v>
      </c>
    </row>
    <row r="79" spans="1:28" x14ac:dyDescent="0.35">
      <c r="A79" s="1">
        <v>4000445</v>
      </c>
      <c r="B79" s="15">
        <v>28700</v>
      </c>
      <c r="C79" s="15">
        <v>26000</v>
      </c>
      <c r="D79" s="15">
        <v>25400</v>
      </c>
      <c r="E79" s="15">
        <v>28001</v>
      </c>
      <c r="F79" s="15">
        <v>26330</v>
      </c>
      <c r="G79" s="15">
        <v>21300</v>
      </c>
      <c r="H79" s="15">
        <v>22800</v>
      </c>
      <c r="I79" s="15">
        <v>23400</v>
      </c>
      <c r="J79" s="15">
        <v>26700</v>
      </c>
      <c r="K79" s="15">
        <v>29100</v>
      </c>
      <c r="L79" s="15">
        <v>25100</v>
      </c>
      <c r="M79" s="15">
        <v>27400</v>
      </c>
      <c r="N79" s="15">
        <v>24000</v>
      </c>
      <c r="O79" s="15">
        <v>29000</v>
      </c>
      <c r="P79" s="15">
        <v>23200</v>
      </c>
      <c r="Q79" s="15">
        <v>27500</v>
      </c>
      <c r="R79" s="15">
        <v>23300</v>
      </c>
      <c r="S79" s="15">
        <v>22700</v>
      </c>
      <c r="T79" s="15">
        <v>19500</v>
      </c>
      <c r="U79" s="15">
        <v>23600</v>
      </c>
      <c r="V79" s="15">
        <v>27100</v>
      </c>
      <c r="W79" s="15">
        <v>27900</v>
      </c>
      <c r="X79" s="15">
        <v>23100</v>
      </c>
      <c r="Y79" s="15">
        <v>26900</v>
      </c>
      <c r="Z79" s="4">
        <v>608031</v>
      </c>
      <c r="AA79" s="26">
        <v>24</v>
      </c>
      <c r="AB79" s="7">
        <v>0.1008</v>
      </c>
    </row>
    <row r="80" spans="1:28" x14ac:dyDescent="0.35">
      <c r="A80" s="1">
        <v>4000447</v>
      </c>
      <c r="B80" s="15">
        <v>27300</v>
      </c>
      <c r="C80" s="15">
        <v>25900</v>
      </c>
      <c r="D80" s="15">
        <v>25400</v>
      </c>
      <c r="E80" s="15">
        <v>24100</v>
      </c>
      <c r="F80" s="15">
        <v>24400</v>
      </c>
      <c r="G80" s="15">
        <v>20900</v>
      </c>
      <c r="H80" s="15">
        <v>20800</v>
      </c>
      <c r="I80" s="15">
        <v>23700</v>
      </c>
      <c r="J80" s="15">
        <v>26800</v>
      </c>
      <c r="K80" s="15">
        <v>26100</v>
      </c>
      <c r="L80" s="15">
        <v>27400</v>
      </c>
      <c r="M80" s="15">
        <v>27900</v>
      </c>
      <c r="N80" s="15">
        <v>25800</v>
      </c>
      <c r="O80" s="15">
        <v>30900</v>
      </c>
      <c r="P80" s="15">
        <v>28000</v>
      </c>
      <c r="Q80" s="15">
        <v>24500</v>
      </c>
      <c r="R80" s="15">
        <v>23500</v>
      </c>
      <c r="S80" s="15">
        <v>24700</v>
      </c>
      <c r="T80" s="15">
        <v>19100</v>
      </c>
      <c r="U80" s="15">
        <v>22100</v>
      </c>
      <c r="V80" s="15">
        <v>26700</v>
      </c>
      <c r="W80" s="15">
        <v>27700</v>
      </c>
      <c r="X80" s="15">
        <v>21200</v>
      </c>
      <c r="Y80" s="15">
        <v>28100</v>
      </c>
      <c r="Z80" s="4">
        <v>603000</v>
      </c>
      <c r="AA80" s="26">
        <v>24</v>
      </c>
      <c r="AB80" s="7">
        <v>0.1109</v>
      </c>
    </row>
    <row r="81" spans="1:29" x14ac:dyDescent="0.35">
      <c r="A81" s="1">
        <v>4000449</v>
      </c>
      <c r="B81" s="15">
        <v>21400</v>
      </c>
      <c r="C81" s="15">
        <v>22400</v>
      </c>
      <c r="D81" s="15">
        <v>23000</v>
      </c>
      <c r="E81" s="15">
        <v>21600</v>
      </c>
      <c r="F81" s="15">
        <v>22000</v>
      </c>
      <c r="G81" s="15">
        <v>19700</v>
      </c>
      <c r="H81" s="15">
        <v>16900</v>
      </c>
      <c r="I81" s="15">
        <v>18200</v>
      </c>
      <c r="J81" s="15">
        <v>19100</v>
      </c>
      <c r="K81" s="15">
        <v>22000</v>
      </c>
      <c r="L81" s="15">
        <v>21300</v>
      </c>
      <c r="M81" s="15">
        <v>22000</v>
      </c>
      <c r="N81" s="15">
        <v>21500</v>
      </c>
      <c r="O81" s="15">
        <v>23700</v>
      </c>
      <c r="P81" s="15">
        <v>22000</v>
      </c>
      <c r="Q81" s="15">
        <v>19900</v>
      </c>
      <c r="R81" s="15">
        <v>18402</v>
      </c>
      <c r="S81" s="15">
        <v>19701</v>
      </c>
      <c r="T81" s="15">
        <v>15300</v>
      </c>
      <c r="U81" s="15">
        <v>16800</v>
      </c>
      <c r="V81" s="15">
        <v>23800</v>
      </c>
      <c r="W81" s="15">
        <v>20500</v>
      </c>
      <c r="X81" s="15">
        <v>18800</v>
      </c>
      <c r="Y81" s="15">
        <v>21800</v>
      </c>
      <c r="Z81" s="4">
        <v>491803</v>
      </c>
      <c r="AA81" s="26">
        <v>24</v>
      </c>
      <c r="AB81" s="7">
        <v>0.1069</v>
      </c>
    </row>
    <row r="82" spans="1:29" x14ac:dyDescent="0.35">
      <c r="A82" s="1">
        <v>4000452</v>
      </c>
      <c r="B82" s="15">
        <v>1950</v>
      </c>
      <c r="C82" s="15">
        <v>3000</v>
      </c>
      <c r="D82" s="15">
        <v>2100</v>
      </c>
      <c r="E82" s="15">
        <v>2250</v>
      </c>
      <c r="F82" s="15">
        <v>2850</v>
      </c>
      <c r="G82" s="15">
        <v>1800</v>
      </c>
      <c r="H82" s="15">
        <v>1200</v>
      </c>
      <c r="I82" s="15">
        <v>1500</v>
      </c>
      <c r="J82" s="15">
        <v>2400</v>
      </c>
      <c r="K82" s="15">
        <v>2400</v>
      </c>
      <c r="L82" s="15">
        <v>2550</v>
      </c>
      <c r="M82" s="15">
        <v>1650</v>
      </c>
      <c r="N82" s="15">
        <v>2700</v>
      </c>
      <c r="O82" s="15">
        <v>2250</v>
      </c>
      <c r="P82" s="15">
        <v>2100</v>
      </c>
      <c r="Q82" s="15">
        <v>2250</v>
      </c>
      <c r="R82" s="15">
        <v>2400</v>
      </c>
      <c r="S82" s="15">
        <v>2700</v>
      </c>
      <c r="T82" s="15">
        <v>900</v>
      </c>
      <c r="U82" s="15">
        <v>1800</v>
      </c>
      <c r="V82" s="15">
        <v>2700</v>
      </c>
      <c r="W82" s="15">
        <v>3000</v>
      </c>
      <c r="X82" s="15">
        <v>2100</v>
      </c>
      <c r="Y82" s="15">
        <v>2250</v>
      </c>
      <c r="Z82" s="4">
        <v>52800</v>
      </c>
      <c r="AA82" s="26">
        <v>24</v>
      </c>
      <c r="AB82" s="7">
        <v>0.2384</v>
      </c>
    </row>
    <row r="83" spans="1:29" x14ac:dyDescent="0.35">
      <c r="A83" s="1">
        <v>4000455</v>
      </c>
      <c r="B83" s="15">
        <v>0</v>
      </c>
      <c r="C83" s="15">
        <v>10</v>
      </c>
      <c r="D83" s="15">
        <v>0</v>
      </c>
      <c r="E83" s="15">
        <v>10</v>
      </c>
      <c r="F83" s="15">
        <v>0</v>
      </c>
      <c r="G83" s="15">
        <v>20</v>
      </c>
      <c r="H83" s="15">
        <v>10</v>
      </c>
      <c r="I83" s="15">
        <v>0</v>
      </c>
      <c r="J83" s="15">
        <v>0</v>
      </c>
      <c r="K83" s="15">
        <v>0</v>
      </c>
      <c r="L83" s="15">
        <v>10</v>
      </c>
      <c r="M83" s="15">
        <v>10</v>
      </c>
      <c r="N83" s="15">
        <v>0</v>
      </c>
      <c r="O83" s="15">
        <v>0</v>
      </c>
      <c r="P83" s="15">
        <v>20</v>
      </c>
      <c r="Q83" s="15">
        <v>0</v>
      </c>
      <c r="R83" s="15">
        <v>10</v>
      </c>
      <c r="S83" s="15">
        <v>10</v>
      </c>
      <c r="T83" s="15">
        <v>0</v>
      </c>
      <c r="U83" s="15">
        <v>20</v>
      </c>
      <c r="V83" s="15">
        <v>0</v>
      </c>
      <c r="W83" s="15">
        <v>10</v>
      </c>
      <c r="X83" s="15">
        <v>10</v>
      </c>
      <c r="Y83" s="15">
        <v>0</v>
      </c>
      <c r="Z83" s="4">
        <v>150</v>
      </c>
      <c r="AA83" s="26">
        <v>12</v>
      </c>
      <c r="AB83" s="7">
        <v>1.1135999999999999</v>
      </c>
    </row>
    <row r="84" spans="1:29" x14ac:dyDescent="0.35">
      <c r="A84" s="1">
        <v>4000457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100</v>
      </c>
      <c r="M84" s="15">
        <v>150</v>
      </c>
      <c r="N84" s="15">
        <v>110</v>
      </c>
      <c r="O84" s="15">
        <v>0</v>
      </c>
      <c r="P84" s="15">
        <v>0</v>
      </c>
      <c r="Q84" s="15">
        <v>0</v>
      </c>
      <c r="R84" s="15">
        <v>100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4">
        <v>460</v>
      </c>
      <c r="AA84" s="26">
        <v>4</v>
      </c>
      <c r="AB84" s="7">
        <v>2.2787999999999999</v>
      </c>
      <c r="AC84" s="1" t="s">
        <v>3230</v>
      </c>
    </row>
    <row r="85" spans="1:29" x14ac:dyDescent="0.35">
      <c r="A85" s="1">
        <v>4000740</v>
      </c>
      <c r="B85" s="15">
        <v>123</v>
      </c>
      <c r="C85" s="15">
        <v>152</v>
      </c>
      <c r="D85" s="15">
        <v>153</v>
      </c>
      <c r="E85" s="15">
        <v>102</v>
      </c>
      <c r="F85" s="15">
        <v>77</v>
      </c>
      <c r="G85" s="15">
        <v>198</v>
      </c>
      <c r="H85" s="15">
        <v>89</v>
      </c>
      <c r="I85" s="15">
        <v>132</v>
      </c>
      <c r="J85" s="15">
        <v>150</v>
      </c>
      <c r="K85" s="15">
        <v>144</v>
      </c>
      <c r="L85" s="15">
        <v>128</v>
      </c>
      <c r="M85" s="15">
        <v>152</v>
      </c>
      <c r="N85" s="15">
        <v>128</v>
      </c>
      <c r="O85" s="15">
        <v>167</v>
      </c>
      <c r="P85" s="15">
        <v>143</v>
      </c>
      <c r="Q85" s="15">
        <v>138</v>
      </c>
      <c r="R85" s="15">
        <v>142</v>
      </c>
      <c r="S85" s="15">
        <v>169</v>
      </c>
      <c r="T85" s="15">
        <v>105</v>
      </c>
      <c r="U85" s="15">
        <v>162</v>
      </c>
      <c r="V85" s="15">
        <v>186</v>
      </c>
      <c r="W85" s="15">
        <v>136</v>
      </c>
      <c r="X85" s="15">
        <v>152</v>
      </c>
      <c r="Y85" s="15">
        <v>214</v>
      </c>
      <c r="Z85" s="4">
        <v>3442</v>
      </c>
      <c r="AA85" s="26">
        <v>24</v>
      </c>
      <c r="AB85" s="7">
        <v>0.2175</v>
      </c>
    </row>
    <row r="86" spans="1:29" x14ac:dyDescent="0.35">
      <c r="A86" s="1">
        <v>4000755</v>
      </c>
      <c r="B86" s="15">
        <v>5400</v>
      </c>
      <c r="C86" s="15">
        <v>3800</v>
      </c>
      <c r="D86" s="15">
        <v>4800</v>
      </c>
      <c r="E86" s="15">
        <v>5000</v>
      </c>
      <c r="F86" s="15">
        <v>4600</v>
      </c>
      <c r="G86" s="15">
        <v>4200</v>
      </c>
      <c r="H86" s="15">
        <v>3000</v>
      </c>
      <c r="I86" s="15">
        <v>3600</v>
      </c>
      <c r="J86" s="15">
        <v>4200</v>
      </c>
      <c r="K86" s="15">
        <v>4800</v>
      </c>
      <c r="L86" s="15">
        <v>6400</v>
      </c>
      <c r="M86" s="15">
        <v>3800</v>
      </c>
      <c r="N86" s="15">
        <v>4800</v>
      </c>
      <c r="O86" s="15">
        <v>4200</v>
      </c>
      <c r="P86" s="15">
        <v>5000</v>
      </c>
      <c r="Q86" s="15">
        <v>3800</v>
      </c>
      <c r="R86" s="15">
        <v>5000</v>
      </c>
      <c r="S86" s="15">
        <v>4200</v>
      </c>
      <c r="T86" s="15">
        <v>2800</v>
      </c>
      <c r="U86" s="15">
        <v>3200</v>
      </c>
      <c r="V86" s="15">
        <v>5800</v>
      </c>
      <c r="W86" s="15">
        <v>3400</v>
      </c>
      <c r="X86" s="15">
        <v>4800</v>
      </c>
      <c r="Y86" s="15">
        <v>4600</v>
      </c>
      <c r="Z86" s="4">
        <v>105200</v>
      </c>
      <c r="AA86" s="26">
        <v>24</v>
      </c>
      <c r="AB86" s="7">
        <v>0.1953</v>
      </c>
    </row>
    <row r="87" spans="1:29" x14ac:dyDescent="0.35">
      <c r="A87" s="1">
        <v>4000758</v>
      </c>
      <c r="B87" s="15">
        <v>230</v>
      </c>
      <c r="C87" s="15">
        <v>170</v>
      </c>
      <c r="D87" s="15">
        <v>240</v>
      </c>
      <c r="E87" s="15">
        <v>100</v>
      </c>
      <c r="F87" s="15">
        <v>220</v>
      </c>
      <c r="G87" s="15">
        <v>160</v>
      </c>
      <c r="H87" s="15">
        <v>160</v>
      </c>
      <c r="I87" s="15">
        <v>190</v>
      </c>
      <c r="J87" s="15">
        <v>310</v>
      </c>
      <c r="K87" s="15">
        <v>230</v>
      </c>
      <c r="L87" s="15">
        <v>190</v>
      </c>
      <c r="M87" s="15">
        <v>190</v>
      </c>
      <c r="N87" s="15">
        <v>260</v>
      </c>
      <c r="O87" s="15">
        <v>230</v>
      </c>
      <c r="P87" s="15">
        <v>270</v>
      </c>
      <c r="Q87" s="15">
        <v>200</v>
      </c>
      <c r="R87" s="15">
        <v>300</v>
      </c>
      <c r="S87" s="15">
        <v>230</v>
      </c>
      <c r="T87" s="15">
        <v>160</v>
      </c>
      <c r="U87" s="15">
        <v>120</v>
      </c>
      <c r="V87" s="15">
        <v>290</v>
      </c>
      <c r="W87" s="15">
        <v>240</v>
      </c>
      <c r="X87" s="15">
        <v>200</v>
      </c>
      <c r="Y87" s="15">
        <v>140</v>
      </c>
      <c r="Z87" s="4">
        <v>5030</v>
      </c>
      <c r="AA87" s="26">
        <v>24</v>
      </c>
      <c r="AB87" s="7">
        <v>0.2571</v>
      </c>
    </row>
    <row r="88" spans="1:29" x14ac:dyDescent="0.35">
      <c r="A88" s="1">
        <v>4000759</v>
      </c>
      <c r="B88" s="15">
        <v>110</v>
      </c>
      <c r="C88" s="15">
        <v>150</v>
      </c>
      <c r="D88" s="15">
        <v>130</v>
      </c>
      <c r="E88" s="15">
        <v>140</v>
      </c>
      <c r="F88" s="15">
        <v>250</v>
      </c>
      <c r="G88" s="15">
        <v>60</v>
      </c>
      <c r="H88" s="15">
        <v>120</v>
      </c>
      <c r="I88" s="15">
        <v>40</v>
      </c>
      <c r="J88" s="15">
        <v>130</v>
      </c>
      <c r="K88" s="15">
        <v>130</v>
      </c>
      <c r="L88" s="15">
        <v>140</v>
      </c>
      <c r="M88" s="15">
        <v>180</v>
      </c>
      <c r="N88" s="15">
        <v>60</v>
      </c>
      <c r="O88" s="15">
        <v>150</v>
      </c>
      <c r="P88" s="15">
        <v>140</v>
      </c>
      <c r="Q88" s="15">
        <v>80</v>
      </c>
      <c r="R88" s="15">
        <v>170</v>
      </c>
      <c r="S88" s="15">
        <v>220</v>
      </c>
      <c r="T88" s="15">
        <v>100</v>
      </c>
      <c r="U88" s="15">
        <v>40</v>
      </c>
      <c r="V88" s="15">
        <v>120</v>
      </c>
      <c r="W88" s="15">
        <v>140</v>
      </c>
      <c r="X88" s="15">
        <v>110</v>
      </c>
      <c r="Y88" s="15">
        <v>90</v>
      </c>
      <c r="Z88" s="4">
        <v>3000</v>
      </c>
      <c r="AA88" s="26">
        <v>24</v>
      </c>
      <c r="AB88" s="7">
        <v>0.39729999999999999</v>
      </c>
    </row>
    <row r="89" spans="1:29" x14ac:dyDescent="0.35">
      <c r="A89" s="1">
        <v>4000760</v>
      </c>
      <c r="B89" s="15">
        <v>20</v>
      </c>
      <c r="C89" s="15">
        <v>10</v>
      </c>
      <c r="D89" s="15">
        <v>60</v>
      </c>
      <c r="E89" s="15">
        <v>20</v>
      </c>
      <c r="F89" s="15">
        <v>110</v>
      </c>
      <c r="G89" s="15">
        <v>20</v>
      </c>
      <c r="H89" s="15">
        <v>30</v>
      </c>
      <c r="I89" s="15">
        <v>40</v>
      </c>
      <c r="J89" s="15">
        <v>30</v>
      </c>
      <c r="K89" s="15">
        <v>60</v>
      </c>
      <c r="L89" s="15">
        <v>70</v>
      </c>
      <c r="M89" s="15">
        <v>60</v>
      </c>
      <c r="N89" s="15">
        <v>50</v>
      </c>
      <c r="O89" s="15">
        <v>30</v>
      </c>
      <c r="P89" s="15">
        <v>20</v>
      </c>
      <c r="Q89" s="15">
        <v>40</v>
      </c>
      <c r="R89" s="15">
        <v>110</v>
      </c>
      <c r="S89" s="15">
        <v>60</v>
      </c>
      <c r="T89" s="15">
        <v>10</v>
      </c>
      <c r="U89" s="15">
        <v>30</v>
      </c>
      <c r="V89" s="15">
        <v>100</v>
      </c>
      <c r="W89" s="15">
        <v>120</v>
      </c>
      <c r="X89" s="15">
        <v>40</v>
      </c>
      <c r="Y89" s="15">
        <v>100</v>
      </c>
      <c r="Z89" s="4">
        <v>1240</v>
      </c>
      <c r="AA89" s="26">
        <v>24</v>
      </c>
      <c r="AB89" s="7">
        <v>0.64349999999999996</v>
      </c>
    </row>
    <row r="90" spans="1:29" x14ac:dyDescent="0.35">
      <c r="A90" s="1">
        <v>4000761</v>
      </c>
      <c r="B90" s="15">
        <v>120</v>
      </c>
      <c r="C90" s="15">
        <v>130</v>
      </c>
      <c r="D90" s="15">
        <v>60</v>
      </c>
      <c r="E90" s="15">
        <v>150</v>
      </c>
      <c r="F90" s="15">
        <v>210</v>
      </c>
      <c r="G90" s="15">
        <v>70</v>
      </c>
      <c r="H90" s="15">
        <v>130</v>
      </c>
      <c r="I90" s="15">
        <v>110</v>
      </c>
      <c r="J90" s="15">
        <v>120</v>
      </c>
      <c r="K90" s="15">
        <v>80</v>
      </c>
      <c r="L90" s="15">
        <v>100</v>
      </c>
      <c r="M90" s="15">
        <v>50</v>
      </c>
      <c r="N90" s="15">
        <v>60</v>
      </c>
      <c r="O90" s="15">
        <v>120</v>
      </c>
      <c r="P90" s="15">
        <v>60</v>
      </c>
      <c r="Q90" s="15">
        <v>110</v>
      </c>
      <c r="R90" s="15">
        <v>122</v>
      </c>
      <c r="S90" s="15">
        <v>180</v>
      </c>
      <c r="T90" s="15">
        <v>120</v>
      </c>
      <c r="U90" s="15">
        <v>110</v>
      </c>
      <c r="V90" s="15">
        <v>110</v>
      </c>
      <c r="W90" s="15">
        <v>130</v>
      </c>
      <c r="X90" s="15">
        <v>160</v>
      </c>
      <c r="Y90" s="15">
        <v>106</v>
      </c>
      <c r="Z90" s="4">
        <v>2718</v>
      </c>
      <c r="AA90" s="26">
        <v>24</v>
      </c>
      <c r="AB90" s="7">
        <v>0.33339999999999997</v>
      </c>
    </row>
    <row r="91" spans="1:29" x14ac:dyDescent="0.35">
      <c r="A91" s="1">
        <v>4000763</v>
      </c>
      <c r="B91" s="15">
        <v>55</v>
      </c>
      <c r="C91" s="15">
        <v>56</v>
      </c>
      <c r="D91" s="15">
        <v>28</v>
      </c>
      <c r="E91" s="15">
        <v>54</v>
      </c>
      <c r="F91" s="15">
        <v>44</v>
      </c>
      <c r="G91" s="15">
        <v>39</v>
      </c>
      <c r="H91" s="15">
        <v>46</v>
      </c>
      <c r="I91" s="15">
        <v>43</v>
      </c>
      <c r="J91" s="15">
        <v>29</v>
      </c>
      <c r="K91" s="15">
        <v>42</v>
      </c>
      <c r="L91" s="15">
        <v>38</v>
      </c>
      <c r="M91" s="15">
        <v>37</v>
      </c>
      <c r="N91" s="15">
        <v>54</v>
      </c>
      <c r="O91" s="15">
        <v>55</v>
      </c>
      <c r="P91" s="15">
        <v>45</v>
      </c>
      <c r="Q91" s="15">
        <v>34</v>
      </c>
      <c r="R91" s="15">
        <v>57</v>
      </c>
      <c r="S91" s="15">
        <v>47</v>
      </c>
      <c r="T91" s="15">
        <v>52</v>
      </c>
      <c r="U91" s="15">
        <v>27</v>
      </c>
      <c r="V91" s="15">
        <v>38</v>
      </c>
      <c r="W91" s="15">
        <v>33</v>
      </c>
      <c r="X91" s="15">
        <v>36</v>
      </c>
      <c r="Y91" s="15">
        <v>43</v>
      </c>
      <c r="Z91" s="4">
        <v>1032</v>
      </c>
      <c r="AA91" s="26">
        <v>24</v>
      </c>
      <c r="AB91" s="7">
        <v>0.21310000000000001</v>
      </c>
    </row>
    <row r="92" spans="1:29" x14ac:dyDescent="0.35">
      <c r="A92" s="1">
        <v>4000764</v>
      </c>
      <c r="B92" s="15">
        <v>26</v>
      </c>
      <c r="C92" s="15">
        <v>23</v>
      </c>
      <c r="D92" s="15">
        <v>20</v>
      </c>
      <c r="E92" s="15">
        <v>35</v>
      </c>
      <c r="F92" s="15">
        <v>30</v>
      </c>
      <c r="G92" s="15">
        <v>32</v>
      </c>
      <c r="H92" s="15">
        <v>30</v>
      </c>
      <c r="I92" s="15">
        <v>41</v>
      </c>
      <c r="J92" s="15">
        <v>25</v>
      </c>
      <c r="K92" s="15">
        <v>37</v>
      </c>
      <c r="L92" s="15">
        <v>34</v>
      </c>
      <c r="M92" s="15">
        <v>37</v>
      </c>
      <c r="N92" s="15">
        <v>33</v>
      </c>
      <c r="O92" s="15">
        <v>30</v>
      </c>
      <c r="P92" s="15">
        <v>30</v>
      </c>
      <c r="Q92" s="15">
        <v>40</v>
      </c>
      <c r="R92" s="15">
        <v>27</v>
      </c>
      <c r="S92" s="15">
        <v>31</v>
      </c>
      <c r="T92" s="15">
        <v>23</v>
      </c>
      <c r="U92" s="15">
        <v>17</v>
      </c>
      <c r="V92" s="15">
        <v>24</v>
      </c>
      <c r="W92" s="15">
        <v>22</v>
      </c>
      <c r="X92" s="15">
        <v>25</v>
      </c>
      <c r="Y92" s="15">
        <v>19</v>
      </c>
      <c r="Z92" s="4">
        <v>691</v>
      </c>
      <c r="AA92" s="26">
        <v>24</v>
      </c>
      <c r="AB92" s="7">
        <v>0.22439999999999999</v>
      </c>
    </row>
    <row r="93" spans="1:29" x14ac:dyDescent="0.35">
      <c r="A93" s="1">
        <v>4000765</v>
      </c>
      <c r="B93" s="15">
        <v>18</v>
      </c>
      <c r="C93" s="15">
        <v>9</v>
      </c>
      <c r="D93" s="15">
        <v>8</v>
      </c>
      <c r="E93" s="15">
        <v>1</v>
      </c>
      <c r="F93" s="15">
        <v>5</v>
      </c>
      <c r="G93" s="15">
        <v>7</v>
      </c>
      <c r="H93" s="15">
        <v>7</v>
      </c>
      <c r="I93" s="15">
        <v>2</v>
      </c>
      <c r="J93" s="15">
        <v>14</v>
      </c>
      <c r="K93" s="15">
        <v>2</v>
      </c>
      <c r="L93" s="15">
        <v>5</v>
      </c>
      <c r="M93" s="15">
        <v>12</v>
      </c>
      <c r="N93" s="15">
        <v>2</v>
      </c>
      <c r="O93" s="15">
        <v>8</v>
      </c>
      <c r="P93" s="15">
        <v>7</v>
      </c>
      <c r="Q93" s="15">
        <v>3</v>
      </c>
      <c r="R93" s="15">
        <v>9</v>
      </c>
      <c r="S93" s="15">
        <v>6</v>
      </c>
      <c r="T93" s="15">
        <v>1</v>
      </c>
      <c r="U93" s="15">
        <v>2</v>
      </c>
      <c r="V93" s="15">
        <v>7</v>
      </c>
      <c r="W93" s="15">
        <v>6</v>
      </c>
      <c r="X93" s="15">
        <v>29</v>
      </c>
      <c r="Y93" s="15">
        <v>9</v>
      </c>
      <c r="Z93" s="4">
        <v>179</v>
      </c>
      <c r="AA93" s="26">
        <v>24</v>
      </c>
      <c r="AB93" s="7">
        <v>0.81459999999999999</v>
      </c>
    </row>
    <row r="94" spans="1:29" x14ac:dyDescent="0.35">
      <c r="A94" s="1">
        <v>4000766</v>
      </c>
      <c r="B94" s="15">
        <v>75</v>
      </c>
      <c r="C94" s="15">
        <v>25</v>
      </c>
      <c r="D94" s="15">
        <v>175</v>
      </c>
      <c r="E94" s="15">
        <v>125</v>
      </c>
      <c r="F94" s="15">
        <v>25</v>
      </c>
      <c r="G94" s="15">
        <v>75</v>
      </c>
      <c r="H94" s="15">
        <v>50</v>
      </c>
      <c r="I94" s="15">
        <v>25</v>
      </c>
      <c r="J94" s="15">
        <v>25</v>
      </c>
      <c r="K94" s="15">
        <v>75</v>
      </c>
      <c r="L94" s="15">
        <v>75</v>
      </c>
      <c r="M94" s="15">
        <v>125</v>
      </c>
      <c r="N94" s="15">
        <v>25</v>
      </c>
      <c r="O94" s="15">
        <v>150</v>
      </c>
      <c r="P94" s="15">
        <v>75</v>
      </c>
      <c r="Q94" s="15">
        <v>50</v>
      </c>
      <c r="R94" s="15">
        <v>0</v>
      </c>
      <c r="S94" s="15">
        <v>175</v>
      </c>
      <c r="T94" s="15">
        <v>50</v>
      </c>
      <c r="U94" s="15">
        <v>50</v>
      </c>
      <c r="V94" s="15">
        <v>50</v>
      </c>
      <c r="W94" s="15">
        <v>75</v>
      </c>
      <c r="X94" s="15">
        <v>50</v>
      </c>
      <c r="Y94" s="15">
        <v>25</v>
      </c>
      <c r="Z94" s="4">
        <v>1650</v>
      </c>
      <c r="AA94" s="26">
        <v>23</v>
      </c>
      <c r="AB94" s="7">
        <v>0.69040000000000001</v>
      </c>
    </row>
    <row r="95" spans="1:29" x14ac:dyDescent="0.35">
      <c r="A95" s="1">
        <v>4000767</v>
      </c>
      <c r="B95" s="15">
        <v>250</v>
      </c>
      <c r="C95" s="15">
        <v>225</v>
      </c>
      <c r="D95" s="15">
        <v>275</v>
      </c>
      <c r="E95" s="15">
        <v>275</v>
      </c>
      <c r="F95" s="15">
        <v>275</v>
      </c>
      <c r="G95" s="15">
        <v>250</v>
      </c>
      <c r="H95" s="15">
        <v>275</v>
      </c>
      <c r="I95" s="15">
        <v>325</v>
      </c>
      <c r="J95" s="15">
        <v>325</v>
      </c>
      <c r="K95" s="15">
        <v>325</v>
      </c>
      <c r="L95" s="15">
        <v>275</v>
      </c>
      <c r="M95" s="15">
        <v>150</v>
      </c>
      <c r="N95" s="15">
        <v>350</v>
      </c>
      <c r="O95" s="15">
        <v>450</v>
      </c>
      <c r="P95" s="15">
        <v>250</v>
      </c>
      <c r="Q95" s="15">
        <v>300</v>
      </c>
      <c r="R95" s="15">
        <v>375</v>
      </c>
      <c r="S95" s="15">
        <v>250</v>
      </c>
      <c r="T95" s="15">
        <v>250</v>
      </c>
      <c r="U95" s="15">
        <v>425</v>
      </c>
      <c r="V95" s="15">
        <v>225</v>
      </c>
      <c r="W95" s="15">
        <v>375</v>
      </c>
      <c r="X95" s="15">
        <v>250</v>
      </c>
      <c r="Y95" s="15">
        <v>425</v>
      </c>
      <c r="Z95" s="4">
        <v>7150</v>
      </c>
      <c r="AA95" s="26">
        <v>24</v>
      </c>
      <c r="AB95" s="7">
        <v>0.23849999999999999</v>
      </c>
    </row>
    <row r="96" spans="1:29" x14ac:dyDescent="0.35">
      <c r="A96" s="1">
        <v>4000768</v>
      </c>
      <c r="B96" s="15">
        <v>400</v>
      </c>
      <c r="C96" s="15">
        <v>250</v>
      </c>
      <c r="D96" s="15">
        <v>225</v>
      </c>
      <c r="E96" s="15">
        <v>225</v>
      </c>
      <c r="F96" s="15">
        <v>100</v>
      </c>
      <c r="G96" s="15">
        <v>225</v>
      </c>
      <c r="H96" s="15">
        <v>150</v>
      </c>
      <c r="I96" s="15">
        <v>275</v>
      </c>
      <c r="J96" s="15">
        <v>375</v>
      </c>
      <c r="K96" s="15">
        <v>200</v>
      </c>
      <c r="L96" s="15">
        <v>350</v>
      </c>
      <c r="M96" s="15">
        <v>250</v>
      </c>
      <c r="N96" s="15">
        <v>425</v>
      </c>
      <c r="O96" s="15">
        <v>300</v>
      </c>
      <c r="P96" s="15">
        <v>275</v>
      </c>
      <c r="Q96" s="15">
        <v>250</v>
      </c>
      <c r="R96" s="15">
        <v>225</v>
      </c>
      <c r="S96" s="15">
        <v>250</v>
      </c>
      <c r="T96" s="15">
        <v>200</v>
      </c>
      <c r="U96" s="15">
        <v>250</v>
      </c>
      <c r="V96" s="15">
        <v>325</v>
      </c>
      <c r="W96" s="15">
        <v>275</v>
      </c>
      <c r="X96" s="15">
        <v>375</v>
      </c>
      <c r="Y96" s="15">
        <v>225</v>
      </c>
      <c r="Z96" s="4">
        <v>6400</v>
      </c>
      <c r="AA96" s="26">
        <v>24</v>
      </c>
      <c r="AB96" s="7">
        <v>0.28470000000000001</v>
      </c>
    </row>
    <row r="97" spans="1:28" x14ac:dyDescent="0.35">
      <c r="A97" s="1">
        <v>4000769</v>
      </c>
      <c r="B97" s="15">
        <v>400</v>
      </c>
      <c r="C97" s="15">
        <v>175</v>
      </c>
      <c r="D97" s="15">
        <v>325</v>
      </c>
      <c r="E97" s="15">
        <v>375</v>
      </c>
      <c r="F97" s="15">
        <v>175</v>
      </c>
      <c r="G97" s="15">
        <v>325</v>
      </c>
      <c r="H97" s="15">
        <v>275</v>
      </c>
      <c r="I97" s="15">
        <v>225</v>
      </c>
      <c r="J97" s="15">
        <v>350</v>
      </c>
      <c r="K97" s="15">
        <v>250</v>
      </c>
      <c r="L97" s="15">
        <v>250</v>
      </c>
      <c r="M97" s="15">
        <v>325</v>
      </c>
      <c r="N97" s="15">
        <v>400</v>
      </c>
      <c r="O97" s="15">
        <v>300</v>
      </c>
      <c r="P97" s="15">
        <v>400</v>
      </c>
      <c r="Q97" s="15">
        <v>325</v>
      </c>
      <c r="R97" s="15">
        <v>300</v>
      </c>
      <c r="S97" s="15">
        <v>200</v>
      </c>
      <c r="T97" s="15">
        <v>200</v>
      </c>
      <c r="U97" s="15">
        <v>275</v>
      </c>
      <c r="V97" s="15">
        <v>325</v>
      </c>
      <c r="W97" s="15">
        <v>275</v>
      </c>
      <c r="X97" s="15">
        <v>300</v>
      </c>
      <c r="Y97" s="15">
        <v>250</v>
      </c>
      <c r="Z97" s="4">
        <v>7000</v>
      </c>
      <c r="AA97" s="26">
        <v>24</v>
      </c>
      <c r="AB97" s="7">
        <v>0.22770000000000001</v>
      </c>
    </row>
    <row r="98" spans="1:28" x14ac:dyDescent="0.35">
      <c r="A98" s="1">
        <v>4000770</v>
      </c>
      <c r="B98" s="15">
        <v>125</v>
      </c>
      <c r="C98" s="15">
        <v>50</v>
      </c>
      <c r="D98" s="15">
        <v>50</v>
      </c>
      <c r="E98" s="15">
        <v>325</v>
      </c>
      <c r="F98" s="15">
        <v>25</v>
      </c>
      <c r="G98" s="15">
        <v>175</v>
      </c>
      <c r="H98" s="15">
        <v>25</v>
      </c>
      <c r="I98" s="15">
        <v>25</v>
      </c>
      <c r="J98" s="15">
        <v>50</v>
      </c>
      <c r="K98" s="15">
        <v>225</v>
      </c>
      <c r="L98" s="15">
        <v>50</v>
      </c>
      <c r="M98" s="15">
        <v>50</v>
      </c>
      <c r="N98" s="15">
        <v>175</v>
      </c>
      <c r="O98" s="15">
        <v>175</v>
      </c>
      <c r="P98" s="15">
        <v>50</v>
      </c>
      <c r="Q98" s="15">
        <v>75</v>
      </c>
      <c r="R98" s="15">
        <v>25</v>
      </c>
      <c r="S98" s="15">
        <v>150</v>
      </c>
      <c r="T98" s="15">
        <v>50</v>
      </c>
      <c r="U98" s="15">
        <v>25</v>
      </c>
      <c r="V98" s="15">
        <v>150</v>
      </c>
      <c r="W98" s="15">
        <v>50</v>
      </c>
      <c r="X98" s="15">
        <v>50</v>
      </c>
      <c r="Y98" s="15">
        <v>125</v>
      </c>
      <c r="Z98" s="4">
        <v>2275</v>
      </c>
      <c r="AA98" s="26">
        <v>24</v>
      </c>
      <c r="AB98" s="7">
        <v>0.80569999999999997</v>
      </c>
    </row>
    <row r="99" spans="1:28" x14ac:dyDescent="0.35">
      <c r="A99" s="1">
        <v>4000772</v>
      </c>
      <c r="B99" s="15">
        <v>1200</v>
      </c>
      <c r="C99" s="15">
        <v>1050</v>
      </c>
      <c r="D99" s="15">
        <v>950</v>
      </c>
      <c r="E99" s="15">
        <v>1300</v>
      </c>
      <c r="F99" s="15">
        <v>1150</v>
      </c>
      <c r="G99" s="15">
        <v>1150</v>
      </c>
      <c r="H99" s="15">
        <v>600</v>
      </c>
      <c r="I99" s="15">
        <v>800</v>
      </c>
      <c r="J99" s="15">
        <v>850</v>
      </c>
      <c r="K99" s="15">
        <v>1400</v>
      </c>
      <c r="L99" s="15">
        <v>1850</v>
      </c>
      <c r="M99" s="15">
        <v>1000</v>
      </c>
      <c r="N99" s="15">
        <v>1300</v>
      </c>
      <c r="O99" s="15">
        <v>1150</v>
      </c>
      <c r="P99" s="15">
        <v>1150</v>
      </c>
      <c r="Q99" s="15">
        <v>1100</v>
      </c>
      <c r="R99" s="15">
        <v>1750</v>
      </c>
      <c r="S99" s="15">
        <v>950</v>
      </c>
      <c r="T99" s="15">
        <v>1050</v>
      </c>
      <c r="U99" s="15">
        <v>1850</v>
      </c>
      <c r="V99" s="15">
        <v>1200</v>
      </c>
      <c r="W99" s="15">
        <v>1450</v>
      </c>
      <c r="X99" s="15">
        <v>950</v>
      </c>
      <c r="Y99" s="15">
        <v>1450</v>
      </c>
      <c r="Z99" s="4">
        <v>28650</v>
      </c>
      <c r="AA99" s="26">
        <v>24</v>
      </c>
      <c r="AB99" s="7">
        <v>0.25740000000000002</v>
      </c>
    </row>
    <row r="100" spans="1:28" x14ac:dyDescent="0.35">
      <c r="A100" s="1">
        <v>4000773</v>
      </c>
      <c r="B100" s="15">
        <v>350</v>
      </c>
      <c r="C100" s="15">
        <v>100</v>
      </c>
      <c r="D100" s="15">
        <v>50</v>
      </c>
      <c r="E100" s="15">
        <v>100</v>
      </c>
      <c r="F100" s="15">
        <v>100</v>
      </c>
      <c r="G100" s="15">
        <v>100</v>
      </c>
      <c r="H100" s="15">
        <v>50</v>
      </c>
      <c r="I100" s="15">
        <v>100</v>
      </c>
      <c r="J100" s="15">
        <v>150</v>
      </c>
      <c r="K100" s="15">
        <v>200</v>
      </c>
      <c r="L100" s="15">
        <v>150</v>
      </c>
      <c r="M100" s="15">
        <v>350</v>
      </c>
      <c r="N100" s="15">
        <v>300</v>
      </c>
      <c r="O100" s="15">
        <v>150</v>
      </c>
      <c r="P100" s="15">
        <v>200</v>
      </c>
      <c r="Q100" s="15">
        <v>150</v>
      </c>
      <c r="R100" s="15">
        <v>150</v>
      </c>
      <c r="S100" s="15">
        <v>250</v>
      </c>
      <c r="T100" s="15">
        <v>50</v>
      </c>
      <c r="U100" s="15">
        <v>250</v>
      </c>
      <c r="V100" s="15">
        <v>650</v>
      </c>
      <c r="W100" s="15">
        <v>200</v>
      </c>
      <c r="X100" s="15">
        <v>100</v>
      </c>
      <c r="Y100" s="15">
        <v>250</v>
      </c>
      <c r="Z100" s="4">
        <v>4500</v>
      </c>
      <c r="AA100" s="26">
        <v>24</v>
      </c>
      <c r="AB100" s="7">
        <v>0.68959999999999999</v>
      </c>
    </row>
    <row r="101" spans="1:28" x14ac:dyDescent="0.35">
      <c r="A101" s="1">
        <v>4000775</v>
      </c>
      <c r="B101" s="15">
        <v>119</v>
      </c>
      <c r="C101" s="15">
        <v>85</v>
      </c>
      <c r="D101" s="15">
        <v>153</v>
      </c>
      <c r="E101" s="15">
        <v>34</v>
      </c>
      <c r="F101" s="15">
        <v>102</v>
      </c>
      <c r="G101" s="15">
        <v>68</v>
      </c>
      <c r="H101" s="15">
        <v>68</v>
      </c>
      <c r="I101" s="15">
        <v>68</v>
      </c>
      <c r="J101" s="15">
        <v>34</v>
      </c>
      <c r="K101" s="15">
        <v>136</v>
      </c>
      <c r="L101" s="15">
        <v>136</v>
      </c>
      <c r="M101" s="15">
        <v>34</v>
      </c>
      <c r="N101" s="15">
        <v>153</v>
      </c>
      <c r="O101" s="15">
        <v>102</v>
      </c>
      <c r="P101" s="15">
        <v>85</v>
      </c>
      <c r="Q101" s="15">
        <v>153</v>
      </c>
      <c r="R101" s="15">
        <v>68</v>
      </c>
      <c r="S101" s="15">
        <v>102</v>
      </c>
      <c r="T101" s="15">
        <v>170</v>
      </c>
      <c r="U101" s="15">
        <v>187</v>
      </c>
      <c r="V101" s="15">
        <v>0</v>
      </c>
      <c r="W101" s="15">
        <v>51</v>
      </c>
      <c r="X101" s="15">
        <v>102</v>
      </c>
      <c r="Y101" s="15">
        <v>102</v>
      </c>
      <c r="Z101" s="4">
        <v>2312</v>
      </c>
      <c r="AA101" s="26">
        <v>23</v>
      </c>
      <c r="AB101" s="7">
        <v>0.4904</v>
      </c>
    </row>
    <row r="102" spans="1:28" x14ac:dyDescent="0.35">
      <c r="A102" s="1">
        <v>4000776</v>
      </c>
      <c r="B102" s="15">
        <v>325</v>
      </c>
      <c r="C102" s="15">
        <v>275</v>
      </c>
      <c r="D102" s="15">
        <v>300</v>
      </c>
      <c r="E102" s="15">
        <v>250</v>
      </c>
      <c r="F102" s="15">
        <v>300</v>
      </c>
      <c r="G102" s="15">
        <v>350</v>
      </c>
      <c r="H102" s="15">
        <v>200</v>
      </c>
      <c r="I102" s="15">
        <v>150</v>
      </c>
      <c r="J102" s="15">
        <v>225</v>
      </c>
      <c r="K102" s="15">
        <v>325</v>
      </c>
      <c r="L102" s="15">
        <v>225</v>
      </c>
      <c r="M102" s="15">
        <v>250</v>
      </c>
      <c r="N102" s="15">
        <v>350</v>
      </c>
      <c r="O102" s="15">
        <v>300</v>
      </c>
      <c r="P102" s="15">
        <v>275</v>
      </c>
      <c r="Q102" s="15">
        <v>175</v>
      </c>
      <c r="R102" s="15">
        <v>350</v>
      </c>
      <c r="S102" s="15">
        <v>150</v>
      </c>
      <c r="T102" s="15">
        <v>175</v>
      </c>
      <c r="U102" s="15">
        <v>275</v>
      </c>
      <c r="V102" s="15">
        <v>450</v>
      </c>
      <c r="W102" s="15">
        <v>225</v>
      </c>
      <c r="X102" s="15">
        <v>275</v>
      </c>
      <c r="Y102" s="15">
        <v>250</v>
      </c>
      <c r="Z102" s="4">
        <v>6425</v>
      </c>
      <c r="AA102" s="26">
        <v>24</v>
      </c>
      <c r="AB102" s="7">
        <v>0.26340000000000002</v>
      </c>
    </row>
    <row r="103" spans="1:28" x14ac:dyDescent="0.35">
      <c r="A103" s="1">
        <v>4000777</v>
      </c>
      <c r="B103" s="15">
        <v>2500</v>
      </c>
      <c r="C103" s="15">
        <v>2375</v>
      </c>
      <c r="D103" s="15">
        <v>2175</v>
      </c>
      <c r="E103" s="15">
        <v>2700</v>
      </c>
      <c r="F103" s="15">
        <v>2550</v>
      </c>
      <c r="G103" s="15">
        <v>2175</v>
      </c>
      <c r="H103" s="15">
        <v>1275</v>
      </c>
      <c r="I103" s="15">
        <v>2075</v>
      </c>
      <c r="J103" s="15">
        <v>2525</v>
      </c>
      <c r="K103" s="15">
        <v>2375</v>
      </c>
      <c r="L103" s="15">
        <v>2575</v>
      </c>
      <c r="M103" s="15">
        <v>1875</v>
      </c>
      <c r="N103" s="15">
        <v>2750</v>
      </c>
      <c r="O103" s="15">
        <v>2325</v>
      </c>
      <c r="P103" s="15">
        <v>2475</v>
      </c>
      <c r="Q103" s="15">
        <v>1975</v>
      </c>
      <c r="R103" s="15">
        <v>2575</v>
      </c>
      <c r="S103" s="15">
        <v>1900</v>
      </c>
      <c r="T103" s="15">
        <v>1425</v>
      </c>
      <c r="U103" s="15">
        <v>2375</v>
      </c>
      <c r="V103" s="15">
        <v>2625</v>
      </c>
      <c r="W103" s="15">
        <v>2625</v>
      </c>
      <c r="X103" s="15">
        <v>2600</v>
      </c>
      <c r="Y103" s="15">
        <v>2025</v>
      </c>
      <c r="Z103" s="4">
        <v>54850</v>
      </c>
      <c r="AA103" s="26">
        <v>24</v>
      </c>
      <c r="AB103" s="7">
        <v>0.16539999999999999</v>
      </c>
    </row>
    <row r="104" spans="1:28" x14ac:dyDescent="0.35">
      <c r="A104" s="1">
        <v>4000778</v>
      </c>
      <c r="B104" s="15">
        <v>1600</v>
      </c>
      <c r="C104" s="15">
        <v>1375</v>
      </c>
      <c r="D104" s="15">
        <v>1325</v>
      </c>
      <c r="E104" s="15">
        <v>1275</v>
      </c>
      <c r="F104" s="15">
        <v>1800</v>
      </c>
      <c r="G104" s="15">
        <v>1575</v>
      </c>
      <c r="H104" s="15">
        <v>700</v>
      </c>
      <c r="I104" s="15">
        <v>1250</v>
      </c>
      <c r="J104" s="15">
        <v>1425</v>
      </c>
      <c r="K104" s="15">
        <v>1250</v>
      </c>
      <c r="L104" s="15">
        <v>1600</v>
      </c>
      <c r="M104" s="15">
        <v>1325</v>
      </c>
      <c r="N104" s="15">
        <v>1700</v>
      </c>
      <c r="O104" s="15">
        <v>1700</v>
      </c>
      <c r="P104" s="15">
        <v>1550</v>
      </c>
      <c r="Q104" s="15">
        <v>1450</v>
      </c>
      <c r="R104" s="15">
        <v>1650</v>
      </c>
      <c r="S104" s="15">
        <v>1575</v>
      </c>
      <c r="T104" s="15">
        <v>850</v>
      </c>
      <c r="U104" s="15">
        <v>1350</v>
      </c>
      <c r="V104" s="15">
        <v>1800</v>
      </c>
      <c r="W104" s="15">
        <v>1725</v>
      </c>
      <c r="X104" s="15">
        <v>1500</v>
      </c>
      <c r="Y104" s="15">
        <v>1625</v>
      </c>
      <c r="Z104" s="4">
        <v>34975</v>
      </c>
      <c r="AA104" s="26">
        <v>24</v>
      </c>
      <c r="AB104" s="7">
        <v>0.18179999999999999</v>
      </c>
    </row>
    <row r="105" spans="1:28" x14ac:dyDescent="0.35">
      <c r="A105" s="1">
        <v>4000779</v>
      </c>
      <c r="B105" s="15">
        <v>1800</v>
      </c>
      <c r="C105" s="15">
        <v>1500</v>
      </c>
      <c r="D105" s="15">
        <v>1425</v>
      </c>
      <c r="E105" s="15">
        <v>1750</v>
      </c>
      <c r="F105" s="15">
        <v>1600</v>
      </c>
      <c r="G105" s="15">
        <v>1675</v>
      </c>
      <c r="H105" s="15">
        <v>1025</v>
      </c>
      <c r="I105" s="15">
        <v>1325</v>
      </c>
      <c r="J105" s="15">
        <v>1475</v>
      </c>
      <c r="K105" s="15">
        <v>1450</v>
      </c>
      <c r="L105" s="15">
        <v>1800</v>
      </c>
      <c r="M105" s="15">
        <v>1375</v>
      </c>
      <c r="N105" s="15">
        <v>1750</v>
      </c>
      <c r="O105" s="15">
        <v>1775</v>
      </c>
      <c r="P105" s="15">
        <v>1850</v>
      </c>
      <c r="Q105" s="15">
        <v>1375</v>
      </c>
      <c r="R105" s="15">
        <v>1600</v>
      </c>
      <c r="S105" s="15">
        <v>1425</v>
      </c>
      <c r="T105" s="15">
        <v>1625</v>
      </c>
      <c r="U105" s="15">
        <v>1575</v>
      </c>
      <c r="V105" s="15">
        <v>1625</v>
      </c>
      <c r="W105" s="15">
        <v>1575</v>
      </c>
      <c r="X105" s="15">
        <v>1675</v>
      </c>
      <c r="Y105" s="15">
        <v>1675</v>
      </c>
      <c r="Z105" s="4">
        <v>37725</v>
      </c>
      <c r="AA105" s="26">
        <v>24</v>
      </c>
      <c r="AB105" s="7">
        <v>0.1187</v>
      </c>
    </row>
    <row r="106" spans="1:28" x14ac:dyDescent="0.35">
      <c r="A106" s="1">
        <v>4000780</v>
      </c>
      <c r="B106" s="15">
        <v>550</v>
      </c>
      <c r="C106" s="15">
        <v>500</v>
      </c>
      <c r="D106" s="15">
        <v>400</v>
      </c>
      <c r="E106" s="15">
        <v>475</v>
      </c>
      <c r="F106" s="15">
        <v>650</v>
      </c>
      <c r="G106" s="15">
        <v>475</v>
      </c>
      <c r="H106" s="15">
        <v>350</v>
      </c>
      <c r="I106" s="15">
        <v>400</v>
      </c>
      <c r="J106" s="15">
        <v>475</v>
      </c>
      <c r="K106" s="15">
        <v>500</v>
      </c>
      <c r="L106" s="15">
        <v>550</v>
      </c>
      <c r="M106" s="15">
        <v>450</v>
      </c>
      <c r="N106" s="15">
        <v>575</v>
      </c>
      <c r="O106" s="15">
        <v>500</v>
      </c>
      <c r="P106" s="15">
        <v>600</v>
      </c>
      <c r="Q106" s="15">
        <v>425</v>
      </c>
      <c r="R106" s="15">
        <v>450</v>
      </c>
      <c r="S106" s="15">
        <v>400</v>
      </c>
      <c r="T106" s="15">
        <v>300</v>
      </c>
      <c r="U106" s="15">
        <v>350</v>
      </c>
      <c r="V106" s="15">
        <v>500</v>
      </c>
      <c r="W106" s="15">
        <v>400</v>
      </c>
      <c r="X106" s="15">
        <v>525</v>
      </c>
      <c r="Y106" s="15">
        <v>500</v>
      </c>
      <c r="Z106" s="4">
        <v>11300</v>
      </c>
      <c r="AA106" s="26">
        <v>24</v>
      </c>
      <c r="AB106" s="7">
        <v>0.1739</v>
      </c>
    </row>
    <row r="107" spans="1:28" x14ac:dyDescent="0.35">
      <c r="A107" s="1">
        <v>4000781</v>
      </c>
      <c r="B107" s="15">
        <v>150</v>
      </c>
      <c r="C107" s="15">
        <v>175</v>
      </c>
      <c r="D107" s="15">
        <v>100</v>
      </c>
      <c r="E107" s="15">
        <v>125</v>
      </c>
      <c r="F107" s="15">
        <v>200</v>
      </c>
      <c r="G107" s="15">
        <v>150</v>
      </c>
      <c r="H107" s="15">
        <v>75</v>
      </c>
      <c r="I107" s="15">
        <v>75</v>
      </c>
      <c r="J107" s="15">
        <v>175</v>
      </c>
      <c r="K107" s="15">
        <v>75</v>
      </c>
      <c r="L107" s="15">
        <v>300</v>
      </c>
      <c r="M107" s="15">
        <v>125</v>
      </c>
      <c r="N107" s="15">
        <v>175</v>
      </c>
      <c r="O107" s="15">
        <v>100</v>
      </c>
      <c r="P107" s="15">
        <v>150</v>
      </c>
      <c r="Q107" s="15">
        <v>125</v>
      </c>
      <c r="R107" s="15">
        <v>100</v>
      </c>
      <c r="S107" s="15">
        <v>200</v>
      </c>
      <c r="T107" s="15">
        <v>50</v>
      </c>
      <c r="U107" s="15">
        <v>75</v>
      </c>
      <c r="V107" s="15">
        <v>225</v>
      </c>
      <c r="W107" s="15">
        <v>100</v>
      </c>
      <c r="X107" s="15">
        <v>100</v>
      </c>
      <c r="Y107" s="15">
        <v>125</v>
      </c>
      <c r="Z107" s="4">
        <v>3250</v>
      </c>
      <c r="AA107" s="26">
        <v>24</v>
      </c>
      <c r="AB107" s="7">
        <v>0.4194</v>
      </c>
    </row>
    <row r="108" spans="1:28" x14ac:dyDescent="0.35">
      <c r="A108" s="1">
        <v>4000786</v>
      </c>
      <c r="B108" s="15">
        <v>250</v>
      </c>
      <c r="C108" s="15">
        <v>150</v>
      </c>
      <c r="D108" s="15">
        <v>100</v>
      </c>
      <c r="E108" s="15">
        <v>200</v>
      </c>
      <c r="F108" s="15">
        <v>200</v>
      </c>
      <c r="G108" s="15">
        <v>50</v>
      </c>
      <c r="H108" s="15">
        <v>100</v>
      </c>
      <c r="I108" s="15">
        <v>250</v>
      </c>
      <c r="J108" s="15">
        <v>100</v>
      </c>
      <c r="K108" s="15">
        <v>100</v>
      </c>
      <c r="L108" s="15">
        <v>250</v>
      </c>
      <c r="M108" s="15">
        <v>100</v>
      </c>
      <c r="N108" s="15">
        <v>100</v>
      </c>
      <c r="O108" s="15">
        <v>150</v>
      </c>
      <c r="P108" s="15">
        <v>200</v>
      </c>
      <c r="Q108" s="15">
        <v>150</v>
      </c>
      <c r="R108" s="15">
        <v>200</v>
      </c>
      <c r="S108" s="15">
        <v>0</v>
      </c>
      <c r="T108" s="15">
        <v>150</v>
      </c>
      <c r="U108" s="15">
        <v>300</v>
      </c>
      <c r="V108" s="15">
        <v>350</v>
      </c>
      <c r="W108" s="15">
        <v>50</v>
      </c>
      <c r="X108" s="15">
        <v>200</v>
      </c>
      <c r="Y108" s="15">
        <v>350</v>
      </c>
      <c r="Z108" s="4">
        <v>4050</v>
      </c>
      <c r="AA108" s="26">
        <v>23</v>
      </c>
      <c r="AB108" s="7">
        <v>0.53290000000000004</v>
      </c>
    </row>
    <row r="109" spans="1:28" x14ac:dyDescent="0.35">
      <c r="A109" s="1">
        <v>4000787</v>
      </c>
      <c r="B109" s="15">
        <v>1250</v>
      </c>
      <c r="C109" s="15">
        <v>1200</v>
      </c>
      <c r="D109" s="15">
        <v>1400</v>
      </c>
      <c r="E109" s="15">
        <v>1400</v>
      </c>
      <c r="F109" s="15">
        <v>1550</v>
      </c>
      <c r="G109" s="15">
        <v>1100</v>
      </c>
      <c r="H109" s="15">
        <v>850</v>
      </c>
      <c r="I109" s="15">
        <v>1100</v>
      </c>
      <c r="J109" s="15">
        <v>1400</v>
      </c>
      <c r="K109" s="15">
        <v>1250</v>
      </c>
      <c r="L109" s="15">
        <v>1350</v>
      </c>
      <c r="M109" s="15">
        <v>1150</v>
      </c>
      <c r="N109" s="15">
        <v>1450</v>
      </c>
      <c r="O109" s="15">
        <v>1350</v>
      </c>
      <c r="P109" s="15">
        <v>1500</v>
      </c>
      <c r="Q109" s="15">
        <v>1350</v>
      </c>
      <c r="R109" s="15">
        <v>1600</v>
      </c>
      <c r="S109" s="15">
        <v>1250</v>
      </c>
      <c r="T109" s="15">
        <v>650</v>
      </c>
      <c r="U109" s="15">
        <v>1000</v>
      </c>
      <c r="V109" s="15">
        <v>1400</v>
      </c>
      <c r="W109" s="15">
        <v>1150</v>
      </c>
      <c r="X109" s="15">
        <v>1550</v>
      </c>
      <c r="Y109" s="15">
        <v>1150</v>
      </c>
      <c r="Z109" s="4">
        <v>30400</v>
      </c>
      <c r="AA109" s="26">
        <v>24</v>
      </c>
      <c r="AB109" s="7">
        <v>0.1749</v>
      </c>
    </row>
    <row r="110" spans="1:28" x14ac:dyDescent="0.35">
      <c r="A110" s="1">
        <v>4000788</v>
      </c>
      <c r="B110" s="15">
        <v>1150</v>
      </c>
      <c r="C110" s="15">
        <v>900</v>
      </c>
      <c r="D110" s="15">
        <v>950</v>
      </c>
      <c r="E110" s="15">
        <v>800</v>
      </c>
      <c r="F110" s="15">
        <v>1650</v>
      </c>
      <c r="G110" s="15">
        <v>850</v>
      </c>
      <c r="H110" s="15">
        <v>550</v>
      </c>
      <c r="I110" s="15">
        <v>750</v>
      </c>
      <c r="J110" s="15">
        <v>1050</v>
      </c>
      <c r="K110" s="15">
        <v>950</v>
      </c>
      <c r="L110" s="15">
        <v>1150</v>
      </c>
      <c r="M110" s="15">
        <v>1100</v>
      </c>
      <c r="N110" s="15">
        <v>1050</v>
      </c>
      <c r="O110" s="15">
        <v>1250</v>
      </c>
      <c r="P110" s="15">
        <v>1400</v>
      </c>
      <c r="Q110" s="15">
        <v>1150</v>
      </c>
      <c r="R110" s="15">
        <v>1400</v>
      </c>
      <c r="S110" s="15">
        <v>1200</v>
      </c>
      <c r="T110" s="15">
        <v>900</v>
      </c>
      <c r="U110" s="15">
        <v>950</v>
      </c>
      <c r="V110" s="15">
        <v>1450</v>
      </c>
      <c r="W110" s="15">
        <v>1250</v>
      </c>
      <c r="X110" s="15">
        <v>1500</v>
      </c>
      <c r="Y110" s="15">
        <v>1250</v>
      </c>
      <c r="Z110" s="4">
        <v>26600</v>
      </c>
      <c r="AA110" s="26">
        <v>24</v>
      </c>
      <c r="AB110" s="7">
        <v>0.23139999999999999</v>
      </c>
    </row>
    <row r="111" spans="1:28" x14ac:dyDescent="0.35">
      <c r="A111" s="1">
        <v>4000789</v>
      </c>
      <c r="B111" s="15">
        <v>1050</v>
      </c>
      <c r="C111" s="15">
        <v>950</v>
      </c>
      <c r="D111" s="15">
        <v>1000</v>
      </c>
      <c r="E111" s="15">
        <v>950</v>
      </c>
      <c r="F111" s="15">
        <v>1500</v>
      </c>
      <c r="G111" s="15">
        <v>1000</v>
      </c>
      <c r="H111" s="15">
        <v>800</v>
      </c>
      <c r="I111" s="15">
        <v>800</v>
      </c>
      <c r="J111" s="15">
        <v>1050</v>
      </c>
      <c r="K111" s="15">
        <v>1000</v>
      </c>
      <c r="L111" s="15">
        <v>1100</v>
      </c>
      <c r="M111" s="15">
        <v>1100</v>
      </c>
      <c r="N111" s="15">
        <v>1400</v>
      </c>
      <c r="O111" s="15">
        <v>1000</v>
      </c>
      <c r="P111" s="15">
        <v>1200</v>
      </c>
      <c r="Q111" s="15">
        <v>1100</v>
      </c>
      <c r="R111" s="15">
        <v>1050</v>
      </c>
      <c r="S111" s="15">
        <v>1200</v>
      </c>
      <c r="T111" s="15">
        <v>800</v>
      </c>
      <c r="U111" s="15">
        <v>1150</v>
      </c>
      <c r="V111" s="15">
        <v>1250</v>
      </c>
      <c r="W111" s="15">
        <v>1300</v>
      </c>
      <c r="X111" s="15">
        <v>1250</v>
      </c>
      <c r="Y111" s="15">
        <v>1300</v>
      </c>
      <c r="Z111" s="4">
        <v>26300</v>
      </c>
      <c r="AA111" s="26">
        <v>24</v>
      </c>
      <c r="AB111" s="7">
        <v>0.1623</v>
      </c>
    </row>
    <row r="112" spans="1:28" x14ac:dyDescent="0.35">
      <c r="A112" s="1">
        <v>4000790</v>
      </c>
      <c r="B112" s="15">
        <v>550</v>
      </c>
      <c r="C112" s="15">
        <v>350</v>
      </c>
      <c r="D112" s="15">
        <v>500</v>
      </c>
      <c r="E112" s="15">
        <v>350</v>
      </c>
      <c r="F112" s="15">
        <v>500</v>
      </c>
      <c r="G112" s="15">
        <v>400</v>
      </c>
      <c r="H112" s="15">
        <v>300</v>
      </c>
      <c r="I112" s="15">
        <v>200</v>
      </c>
      <c r="J112" s="15">
        <v>550</v>
      </c>
      <c r="K112" s="15">
        <v>450</v>
      </c>
      <c r="L112" s="15">
        <v>400</v>
      </c>
      <c r="M112" s="15">
        <v>450</v>
      </c>
      <c r="N112" s="15">
        <v>350</v>
      </c>
      <c r="O112" s="15">
        <v>400</v>
      </c>
      <c r="P112" s="15">
        <v>500</v>
      </c>
      <c r="Q112" s="15">
        <v>300</v>
      </c>
      <c r="R112" s="15">
        <v>400</v>
      </c>
      <c r="S112" s="15">
        <v>350</v>
      </c>
      <c r="T112" s="15">
        <v>350</v>
      </c>
      <c r="U112" s="15">
        <v>450</v>
      </c>
      <c r="V112" s="15">
        <v>500</v>
      </c>
      <c r="W112" s="15">
        <v>350</v>
      </c>
      <c r="X112" s="15">
        <v>450</v>
      </c>
      <c r="Y112" s="15">
        <v>550</v>
      </c>
      <c r="Z112" s="4">
        <v>9950</v>
      </c>
      <c r="AA112" s="26">
        <v>24</v>
      </c>
      <c r="AB112" s="7">
        <v>0.21310000000000001</v>
      </c>
    </row>
    <row r="113" spans="1:29" x14ac:dyDescent="0.35">
      <c r="A113" s="1">
        <v>4000791</v>
      </c>
      <c r="B113" s="15">
        <v>100</v>
      </c>
      <c r="C113" s="15">
        <v>200</v>
      </c>
      <c r="D113" s="15">
        <v>150</v>
      </c>
      <c r="E113" s="15">
        <v>150</v>
      </c>
      <c r="F113" s="15">
        <v>300</v>
      </c>
      <c r="G113" s="15">
        <v>150</v>
      </c>
      <c r="H113" s="15">
        <v>300</v>
      </c>
      <c r="I113" s="15">
        <v>100</v>
      </c>
      <c r="J113" s="15">
        <v>150</v>
      </c>
      <c r="K113" s="15">
        <v>300</v>
      </c>
      <c r="L113" s="15">
        <v>300</v>
      </c>
      <c r="M113" s="15">
        <v>100</v>
      </c>
      <c r="N113" s="15">
        <v>150</v>
      </c>
      <c r="O113" s="15">
        <v>150</v>
      </c>
      <c r="P113" s="15">
        <v>200</v>
      </c>
      <c r="Q113" s="15">
        <v>100</v>
      </c>
      <c r="R113" s="15">
        <v>150</v>
      </c>
      <c r="S113" s="15">
        <v>50</v>
      </c>
      <c r="T113" s="15">
        <v>50</v>
      </c>
      <c r="U113" s="15">
        <v>250</v>
      </c>
      <c r="V113" s="15">
        <v>150</v>
      </c>
      <c r="W113" s="15">
        <v>350</v>
      </c>
      <c r="X113" s="15">
        <v>150</v>
      </c>
      <c r="Y113" s="15">
        <v>150</v>
      </c>
      <c r="Z113" s="4">
        <v>4200</v>
      </c>
      <c r="AA113" s="26">
        <v>24</v>
      </c>
      <c r="AB113" s="7">
        <v>0.46660000000000001</v>
      </c>
    </row>
    <row r="114" spans="1:29" x14ac:dyDescent="0.35">
      <c r="A114" s="1">
        <v>4000793</v>
      </c>
      <c r="B114" s="15">
        <v>0</v>
      </c>
      <c r="C114" s="15">
        <v>30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4">
        <v>30</v>
      </c>
      <c r="AA114" s="26">
        <v>1</v>
      </c>
      <c r="AB114" s="7">
        <v>4.7957999999999998</v>
      </c>
      <c r="AC114" s="1" t="s">
        <v>3230</v>
      </c>
    </row>
    <row r="115" spans="1:29" x14ac:dyDescent="0.35">
      <c r="A115" s="1">
        <v>4000795</v>
      </c>
      <c r="B115" s="15">
        <v>40</v>
      </c>
      <c r="C115" s="15">
        <v>40</v>
      </c>
      <c r="D115" s="15">
        <v>0</v>
      </c>
      <c r="E115" s="15">
        <v>0</v>
      </c>
      <c r="F115" s="15">
        <v>10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30</v>
      </c>
      <c r="M115" s="15">
        <v>25</v>
      </c>
      <c r="N115" s="15">
        <v>30</v>
      </c>
      <c r="O115" s="15">
        <v>20</v>
      </c>
      <c r="P115" s="15">
        <v>30</v>
      </c>
      <c r="Q115" s="15">
        <v>40</v>
      </c>
      <c r="R115" s="15">
        <v>0</v>
      </c>
      <c r="S115" s="15">
        <v>0</v>
      </c>
      <c r="T115" s="15">
        <v>0</v>
      </c>
      <c r="U115" s="15">
        <v>5</v>
      </c>
      <c r="V115" s="15">
        <v>10</v>
      </c>
      <c r="W115" s="15">
        <v>10</v>
      </c>
      <c r="X115" s="15">
        <v>10</v>
      </c>
      <c r="Y115" s="15">
        <v>10</v>
      </c>
      <c r="Z115" s="4">
        <v>310</v>
      </c>
      <c r="AA115" s="26">
        <v>14</v>
      </c>
      <c r="AB115" s="7">
        <v>1.1226</v>
      </c>
    </row>
    <row r="116" spans="1:29" x14ac:dyDescent="0.35">
      <c r="A116" s="1">
        <v>4000800</v>
      </c>
      <c r="B116" s="15">
        <v>2400</v>
      </c>
      <c r="C116" s="15">
        <v>4300</v>
      </c>
      <c r="D116" s="15">
        <v>4400</v>
      </c>
      <c r="E116" s="15">
        <v>1200</v>
      </c>
      <c r="F116" s="15">
        <v>2800</v>
      </c>
      <c r="G116" s="15">
        <v>1900</v>
      </c>
      <c r="H116" s="15">
        <v>3000</v>
      </c>
      <c r="I116" s="15">
        <v>3100</v>
      </c>
      <c r="J116" s="15">
        <v>3100</v>
      </c>
      <c r="K116" s="15">
        <v>4400</v>
      </c>
      <c r="L116" s="15">
        <v>3100</v>
      </c>
      <c r="M116" s="15">
        <v>3700</v>
      </c>
      <c r="N116" s="15">
        <v>2100</v>
      </c>
      <c r="O116" s="15">
        <v>4700</v>
      </c>
      <c r="P116" s="15">
        <v>4500</v>
      </c>
      <c r="Q116" s="15">
        <v>3500</v>
      </c>
      <c r="R116" s="15">
        <v>5200</v>
      </c>
      <c r="S116" s="15">
        <v>3400</v>
      </c>
      <c r="T116" s="15">
        <v>2800</v>
      </c>
      <c r="U116" s="15">
        <v>3800</v>
      </c>
      <c r="V116" s="15">
        <v>3400</v>
      </c>
      <c r="W116" s="15">
        <v>2800</v>
      </c>
      <c r="X116" s="15">
        <v>2700</v>
      </c>
      <c r="Y116" s="15">
        <v>3000</v>
      </c>
      <c r="Z116" s="4">
        <v>79300</v>
      </c>
      <c r="AA116" s="26">
        <v>24</v>
      </c>
      <c r="AB116" s="7">
        <v>0.28260000000000002</v>
      </c>
    </row>
    <row r="117" spans="1:29" x14ac:dyDescent="0.35">
      <c r="A117" s="1">
        <v>4000801</v>
      </c>
      <c r="B117" s="15">
        <v>3500</v>
      </c>
      <c r="C117" s="15">
        <v>5100</v>
      </c>
      <c r="D117" s="15">
        <v>5050</v>
      </c>
      <c r="E117" s="15">
        <v>3200</v>
      </c>
      <c r="F117" s="15">
        <v>4600</v>
      </c>
      <c r="G117" s="15">
        <v>4200</v>
      </c>
      <c r="H117" s="15">
        <v>4200</v>
      </c>
      <c r="I117" s="15">
        <v>4200</v>
      </c>
      <c r="J117" s="15">
        <v>2300</v>
      </c>
      <c r="K117" s="15">
        <v>4910</v>
      </c>
      <c r="L117" s="15">
        <v>4110</v>
      </c>
      <c r="M117" s="15">
        <v>6000</v>
      </c>
      <c r="N117" s="15">
        <v>4080</v>
      </c>
      <c r="O117" s="15">
        <v>4930</v>
      </c>
      <c r="P117" s="15">
        <v>6970</v>
      </c>
      <c r="Q117" s="15">
        <v>3500</v>
      </c>
      <c r="R117" s="15">
        <v>6700</v>
      </c>
      <c r="S117" s="15">
        <v>5210</v>
      </c>
      <c r="T117" s="15">
        <v>3315</v>
      </c>
      <c r="U117" s="15">
        <v>4400</v>
      </c>
      <c r="V117" s="15">
        <v>3875</v>
      </c>
      <c r="W117" s="15">
        <v>4100</v>
      </c>
      <c r="X117" s="15">
        <v>4000</v>
      </c>
      <c r="Y117" s="15">
        <v>6500</v>
      </c>
      <c r="Z117" s="4">
        <v>108950</v>
      </c>
      <c r="AA117" s="26">
        <v>24</v>
      </c>
      <c r="AB117" s="7">
        <v>0.24640000000000001</v>
      </c>
    </row>
    <row r="118" spans="1:29" x14ac:dyDescent="0.35">
      <c r="A118" s="1">
        <v>4000802</v>
      </c>
      <c r="B118" s="15">
        <v>1590</v>
      </c>
      <c r="C118" s="15">
        <v>2278</v>
      </c>
      <c r="D118" s="15">
        <v>1490</v>
      </c>
      <c r="E118" s="15">
        <v>2114</v>
      </c>
      <c r="F118" s="15">
        <v>1688</v>
      </c>
      <c r="G118" s="15">
        <v>2334</v>
      </c>
      <c r="H118" s="15">
        <v>1768</v>
      </c>
      <c r="I118" s="15">
        <v>2254</v>
      </c>
      <c r="J118" s="15">
        <v>1862</v>
      </c>
      <c r="K118" s="15">
        <v>2220</v>
      </c>
      <c r="L118" s="15">
        <v>1831</v>
      </c>
      <c r="M118" s="15">
        <v>2480</v>
      </c>
      <c r="N118" s="15">
        <v>1534</v>
      </c>
      <c r="O118" s="15">
        <v>3162</v>
      </c>
      <c r="P118" s="15">
        <v>2678</v>
      </c>
      <c r="Q118" s="15">
        <v>2852</v>
      </c>
      <c r="R118" s="15">
        <v>2480</v>
      </c>
      <c r="S118" s="15">
        <v>3272</v>
      </c>
      <c r="T118" s="15">
        <v>1575</v>
      </c>
      <c r="U118" s="15">
        <v>1564</v>
      </c>
      <c r="V118" s="15">
        <v>2986</v>
      </c>
      <c r="W118" s="15">
        <v>2644</v>
      </c>
      <c r="X118" s="15">
        <v>2794</v>
      </c>
      <c r="Y118" s="15">
        <v>2834</v>
      </c>
      <c r="Z118" s="4">
        <v>54284</v>
      </c>
      <c r="AA118" s="26">
        <v>24</v>
      </c>
      <c r="AB118" s="7">
        <v>0.2424</v>
      </c>
    </row>
    <row r="119" spans="1:29" x14ac:dyDescent="0.35">
      <c r="A119" s="1">
        <v>4000803</v>
      </c>
      <c r="B119" s="15">
        <v>2797</v>
      </c>
      <c r="C119" s="15">
        <v>3113</v>
      </c>
      <c r="D119" s="15">
        <v>2709</v>
      </c>
      <c r="E119" s="15">
        <v>2384</v>
      </c>
      <c r="F119" s="15">
        <v>2876</v>
      </c>
      <c r="G119" s="15">
        <v>1724</v>
      </c>
      <c r="H119" s="15">
        <v>3209</v>
      </c>
      <c r="I119" s="15">
        <v>1822</v>
      </c>
      <c r="J119" s="15">
        <v>2324</v>
      </c>
      <c r="K119" s="15">
        <v>2712</v>
      </c>
      <c r="L119" s="15">
        <v>2231</v>
      </c>
      <c r="M119" s="15">
        <v>2703</v>
      </c>
      <c r="N119" s="15">
        <v>3452</v>
      </c>
      <c r="O119" s="15">
        <v>3433</v>
      </c>
      <c r="P119" s="15">
        <v>3361</v>
      </c>
      <c r="Q119" s="15">
        <v>3418</v>
      </c>
      <c r="R119" s="15">
        <v>3680</v>
      </c>
      <c r="S119" s="15">
        <v>2990</v>
      </c>
      <c r="T119" s="15">
        <v>2781</v>
      </c>
      <c r="U119" s="15">
        <v>2369</v>
      </c>
      <c r="V119" s="15">
        <v>2988</v>
      </c>
      <c r="W119" s="15">
        <v>2553</v>
      </c>
      <c r="X119" s="15">
        <v>4224</v>
      </c>
      <c r="Y119" s="15">
        <v>2976</v>
      </c>
      <c r="Z119" s="4">
        <v>68829</v>
      </c>
      <c r="AA119" s="26">
        <v>24</v>
      </c>
      <c r="AB119" s="7">
        <v>0.19750000000000001</v>
      </c>
    </row>
    <row r="120" spans="1:29" x14ac:dyDescent="0.35">
      <c r="A120" s="1">
        <v>4000804</v>
      </c>
      <c r="B120" s="15">
        <v>1665</v>
      </c>
      <c r="C120" s="15">
        <v>1465</v>
      </c>
      <c r="D120" s="15">
        <v>1760</v>
      </c>
      <c r="E120" s="15">
        <v>1755</v>
      </c>
      <c r="F120" s="15">
        <v>1720</v>
      </c>
      <c r="G120" s="15">
        <v>2130</v>
      </c>
      <c r="H120" s="15">
        <v>1815</v>
      </c>
      <c r="I120" s="15">
        <v>1740</v>
      </c>
      <c r="J120" s="15">
        <v>2485</v>
      </c>
      <c r="K120" s="15">
        <v>2123</v>
      </c>
      <c r="L120" s="15">
        <v>1950</v>
      </c>
      <c r="M120" s="15">
        <v>3165</v>
      </c>
      <c r="N120" s="15">
        <v>1800</v>
      </c>
      <c r="O120" s="15">
        <v>2335</v>
      </c>
      <c r="P120" s="15">
        <v>2425</v>
      </c>
      <c r="Q120" s="15">
        <v>4155</v>
      </c>
      <c r="R120" s="15">
        <v>2200</v>
      </c>
      <c r="S120" s="15">
        <v>2930</v>
      </c>
      <c r="T120" s="15">
        <v>2221</v>
      </c>
      <c r="U120" s="15">
        <v>1375</v>
      </c>
      <c r="V120" s="15">
        <v>2420</v>
      </c>
      <c r="W120" s="15">
        <v>2635</v>
      </c>
      <c r="X120" s="15">
        <v>2025</v>
      </c>
      <c r="Y120" s="15">
        <v>2250</v>
      </c>
      <c r="Z120" s="4">
        <v>52544</v>
      </c>
      <c r="AA120" s="26">
        <v>24</v>
      </c>
      <c r="AB120" s="7">
        <v>0.2707</v>
      </c>
    </row>
    <row r="121" spans="1:29" x14ac:dyDescent="0.35">
      <c r="A121" s="1">
        <v>4000805</v>
      </c>
      <c r="B121" s="15">
        <v>4300</v>
      </c>
      <c r="C121" s="15">
        <v>1200</v>
      </c>
      <c r="D121" s="15">
        <v>1400</v>
      </c>
      <c r="E121" s="15">
        <v>2700</v>
      </c>
      <c r="F121" s="15">
        <v>3300</v>
      </c>
      <c r="G121" s="15">
        <v>900</v>
      </c>
      <c r="H121" s="15">
        <v>1400</v>
      </c>
      <c r="I121" s="15">
        <v>2200</v>
      </c>
      <c r="J121" s="15">
        <v>1415</v>
      </c>
      <c r="K121" s="15">
        <v>2985</v>
      </c>
      <c r="L121" s="15">
        <v>3225</v>
      </c>
      <c r="M121" s="15">
        <v>2625</v>
      </c>
      <c r="N121" s="15">
        <v>2000</v>
      </c>
      <c r="O121" s="15">
        <v>2525</v>
      </c>
      <c r="P121" s="15">
        <v>2925</v>
      </c>
      <c r="Q121" s="15">
        <v>1900</v>
      </c>
      <c r="R121" s="15">
        <v>2400</v>
      </c>
      <c r="S121" s="15">
        <v>3100</v>
      </c>
      <c r="T121" s="15">
        <v>2700</v>
      </c>
      <c r="U121" s="15">
        <v>2800</v>
      </c>
      <c r="V121" s="15">
        <v>2100</v>
      </c>
      <c r="W121" s="15">
        <v>3500</v>
      </c>
      <c r="X121" s="15">
        <v>2400</v>
      </c>
      <c r="Y121" s="15">
        <v>4200</v>
      </c>
      <c r="Z121" s="4">
        <v>60200</v>
      </c>
      <c r="AA121" s="26">
        <v>24</v>
      </c>
      <c r="AB121" s="7">
        <v>0.34510000000000002</v>
      </c>
    </row>
    <row r="122" spans="1:29" x14ac:dyDescent="0.35">
      <c r="A122" s="1">
        <v>4000830</v>
      </c>
      <c r="B122" s="15">
        <v>36200</v>
      </c>
      <c r="C122" s="15">
        <v>33900</v>
      </c>
      <c r="D122" s="15">
        <v>32200</v>
      </c>
      <c r="E122" s="15">
        <v>38750</v>
      </c>
      <c r="F122" s="15">
        <v>36800</v>
      </c>
      <c r="G122" s="15">
        <v>32300</v>
      </c>
      <c r="H122" s="15">
        <v>29400</v>
      </c>
      <c r="I122" s="15">
        <v>31300</v>
      </c>
      <c r="J122" s="15">
        <v>35100</v>
      </c>
      <c r="K122" s="15">
        <v>32600</v>
      </c>
      <c r="L122" s="15">
        <v>37300</v>
      </c>
      <c r="M122" s="15">
        <v>38900</v>
      </c>
      <c r="N122" s="15">
        <v>37300</v>
      </c>
      <c r="O122" s="15">
        <v>39600</v>
      </c>
      <c r="P122" s="15">
        <v>38600</v>
      </c>
      <c r="Q122" s="15">
        <v>36200</v>
      </c>
      <c r="R122" s="15">
        <v>34100</v>
      </c>
      <c r="S122" s="15">
        <v>32400</v>
      </c>
      <c r="T122" s="15">
        <v>29100</v>
      </c>
      <c r="U122" s="15">
        <v>34100</v>
      </c>
      <c r="V122" s="15">
        <v>40200</v>
      </c>
      <c r="W122" s="15">
        <v>41500</v>
      </c>
      <c r="X122" s="15">
        <v>38400</v>
      </c>
      <c r="Y122" s="15">
        <v>35800</v>
      </c>
      <c r="Z122" s="4">
        <v>852050</v>
      </c>
      <c r="AA122" s="26">
        <v>24</v>
      </c>
      <c r="AB122" s="7">
        <v>9.3799999999999994E-2</v>
      </c>
    </row>
    <row r="123" spans="1:29" x14ac:dyDescent="0.35">
      <c r="A123" s="1">
        <v>4000835</v>
      </c>
      <c r="B123" s="15">
        <v>1060</v>
      </c>
      <c r="C123" s="15">
        <v>450</v>
      </c>
      <c r="D123" s="15">
        <v>960</v>
      </c>
      <c r="E123" s="15">
        <v>830</v>
      </c>
      <c r="F123" s="15">
        <v>985</v>
      </c>
      <c r="G123" s="15">
        <v>1160</v>
      </c>
      <c r="H123" s="15">
        <v>910</v>
      </c>
      <c r="I123" s="15">
        <v>535</v>
      </c>
      <c r="J123" s="15">
        <v>790</v>
      </c>
      <c r="K123" s="15">
        <v>1245</v>
      </c>
      <c r="L123" s="15">
        <v>495</v>
      </c>
      <c r="M123" s="15">
        <v>845</v>
      </c>
      <c r="N123" s="15">
        <v>770</v>
      </c>
      <c r="O123" s="15">
        <v>1485</v>
      </c>
      <c r="P123" s="15">
        <v>920</v>
      </c>
      <c r="Q123" s="15">
        <v>1010</v>
      </c>
      <c r="R123" s="15">
        <v>130</v>
      </c>
      <c r="S123" s="15">
        <v>1190</v>
      </c>
      <c r="T123" s="15">
        <v>850</v>
      </c>
      <c r="U123" s="15">
        <v>980</v>
      </c>
      <c r="V123" s="15">
        <v>610</v>
      </c>
      <c r="W123" s="15">
        <v>2155</v>
      </c>
      <c r="X123" s="15">
        <v>425</v>
      </c>
      <c r="Y123" s="15">
        <v>630</v>
      </c>
      <c r="Z123" s="4">
        <v>21420</v>
      </c>
      <c r="AA123" s="26">
        <v>24</v>
      </c>
      <c r="AB123" s="7">
        <v>0.44330000000000003</v>
      </c>
    </row>
    <row r="124" spans="1:29" x14ac:dyDescent="0.35">
      <c r="A124" s="1">
        <v>4000966</v>
      </c>
      <c r="B124" s="15">
        <v>60</v>
      </c>
      <c r="C124" s="15">
        <v>120</v>
      </c>
      <c r="D124" s="15">
        <v>200</v>
      </c>
      <c r="E124" s="15">
        <v>200</v>
      </c>
      <c r="F124" s="15">
        <v>250</v>
      </c>
      <c r="G124" s="15">
        <v>225</v>
      </c>
      <c r="H124" s="15">
        <v>130</v>
      </c>
      <c r="I124" s="15">
        <v>100</v>
      </c>
      <c r="J124" s="15">
        <v>350</v>
      </c>
      <c r="K124" s="15">
        <v>200</v>
      </c>
      <c r="L124" s="15">
        <v>300</v>
      </c>
      <c r="M124" s="15">
        <v>200</v>
      </c>
      <c r="N124" s="15">
        <v>250</v>
      </c>
      <c r="O124" s="15">
        <v>200</v>
      </c>
      <c r="P124" s="15">
        <v>350</v>
      </c>
      <c r="Q124" s="15">
        <v>210</v>
      </c>
      <c r="R124" s="15">
        <v>450</v>
      </c>
      <c r="S124" s="15">
        <v>300</v>
      </c>
      <c r="T124" s="15">
        <v>250</v>
      </c>
      <c r="U124" s="15">
        <v>200</v>
      </c>
      <c r="V124" s="15">
        <v>500</v>
      </c>
      <c r="W124" s="15">
        <v>300</v>
      </c>
      <c r="X124" s="15">
        <v>300</v>
      </c>
      <c r="Y124" s="15">
        <v>400</v>
      </c>
      <c r="Z124" s="4">
        <v>6045</v>
      </c>
      <c r="AA124" s="26">
        <v>24</v>
      </c>
      <c r="AB124" s="7">
        <v>0.41489999999999999</v>
      </c>
    </row>
    <row r="125" spans="1:29" x14ac:dyDescent="0.35">
      <c r="A125" s="1">
        <v>4000969</v>
      </c>
      <c r="B125" s="15">
        <v>256</v>
      </c>
      <c r="C125" s="15">
        <v>134</v>
      </c>
      <c r="D125" s="15">
        <v>184</v>
      </c>
      <c r="E125" s="15">
        <v>412</v>
      </c>
      <c r="F125" s="15">
        <v>414</v>
      </c>
      <c r="G125" s="15">
        <v>84</v>
      </c>
      <c r="H125" s="15">
        <v>10</v>
      </c>
      <c r="I125" s="15">
        <v>42</v>
      </c>
      <c r="J125" s="15">
        <v>14</v>
      </c>
      <c r="K125" s="15">
        <v>104</v>
      </c>
      <c r="L125" s="15">
        <v>186</v>
      </c>
      <c r="M125" s="15">
        <v>56</v>
      </c>
      <c r="N125" s="15">
        <v>205</v>
      </c>
      <c r="O125" s="15">
        <v>156</v>
      </c>
      <c r="P125" s="15">
        <v>56</v>
      </c>
      <c r="Q125" s="15">
        <v>175</v>
      </c>
      <c r="R125" s="15">
        <v>142</v>
      </c>
      <c r="S125" s="15">
        <v>47</v>
      </c>
      <c r="T125" s="15">
        <v>56</v>
      </c>
      <c r="U125" s="15">
        <v>75</v>
      </c>
      <c r="V125" s="15">
        <v>184</v>
      </c>
      <c r="W125" s="15">
        <v>28</v>
      </c>
      <c r="X125" s="15">
        <v>70</v>
      </c>
      <c r="Y125" s="15">
        <v>184</v>
      </c>
      <c r="Z125" s="4">
        <v>3274</v>
      </c>
      <c r="AA125" s="26">
        <v>24</v>
      </c>
      <c r="AB125" s="7">
        <v>0.78349999999999997</v>
      </c>
    </row>
    <row r="126" spans="1:29" x14ac:dyDescent="0.35">
      <c r="A126" s="1">
        <v>4000972</v>
      </c>
      <c r="B126" s="15">
        <v>90</v>
      </c>
      <c r="C126" s="15">
        <v>35</v>
      </c>
      <c r="D126" s="15">
        <v>15</v>
      </c>
      <c r="E126" s="15">
        <v>121</v>
      </c>
      <c r="F126" s="15">
        <v>35</v>
      </c>
      <c r="G126" s="15">
        <v>20</v>
      </c>
      <c r="H126" s="15">
        <v>10</v>
      </c>
      <c r="I126" s="15">
        <v>5</v>
      </c>
      <c r="J126" s="15">
        <v>10</v>
      </c>
      <c r="K126" s="15">
        <v>55</v>
      </c>
      <c r="L126" s="15">
        <v>5</v>
      </c>
      <c r="M126" s="15">
        <v>0</v>
      </c>
      <c r="N126" s="15">
        <v>25</v>
      </c>
      <c r="O126" s="15">
        <v>5</v>
      </c>
      <c r="P126" s="15">
        <v>30</v>
      </c>
      <c r="Q126" s="15">
        <v>25</v>
      </c>
      <c r="R126" s="15">
        <v>35</v>
      </c>
      <c r="S126" s="15">
        <v>5</v>
      </c>
      <c r="T126" s="15">
        <v>16</v>
      </c>
      <c r="U126" s="15">
        <v>15</v>
      </c>
      <c r="V126" s="15">
        <v>10</v>
      </c>
      <c r="W126" s="15">
        <v>20</v>
      </c>
      <c r="X126" s="15">
        <v>5</v>
      </c>
      <c r="Y126" s="15">
        <v>5</v>
      </c>
      <c r="Z126" s="4">
        <v>597</v>
      </c>
      <c r="AA126" s="26">
        <v>23</v>
      </c>
      <c r="AB126" s="7">
        <v>1.1221000000000001</v>
      </c>
    </row>
    <row r="127" spans="1:29" x14ac:dyDescent="0.35">
      <c r="A127" s="1">
        <v>4000973</v>
      </c>
      <c r="B127" s="15">
        <v>95</v>
      </c>
      <c r="C127" s="15">
        <v>50</v>
      </c>
      <c r="D127" s="15">
        <v>25</v>
      </c>
      <c r="E127" s="15">
        <v>171</v>
      </c>
      <c r="F127" s="15">
        <v>30</v>
      </c>
      <c r="G127" s="15">
        <v>30</v>
      </c>
      <c r="H127" s="15">
        <v>17</v>
      </c>
      <c r="I127" s="15">
        <v>0</v>
      </c>
      <c r="J127" s="15">
        <v>15</v>
      </c>
      <c r="K127" s="15">
        <v>10</v>
      </c>
      <c r="L127" s="15">
        <v>50</v>
      </c>
      <c r="M127" s="15">
        <v>45</v>
      </c>
      <c r="N127" s="15">
        <v>5</v>
      </c>
      <c r="O127" s="15">
        <v>55</v>
      </c>
      <c r="P127" s="15">
        <v>5</v>
      </c>
      <c r="Q127" s="15">
        <v>60</v>
      </c>
      <c r="R127" s="15">
        <v>30</v>
      </c>
      <c r="S127" s="15">
        <v>16</v>
      </c>
      <c r="T127" s="15">
        <v>15</v>
      </c>
      <c r="U127" s="15">
        <v>65</v>
      </c>
      <c r="V127" s="15">
        <v>20</v>
      </c>
      <c r="W127" s="15">
        <v>20</v>
      </c>
      <c r="X127" s="15">
        <v>9</v>
      </c>
      <c r="Y127" s="15">
        <v>5</v>
      </c>
      <c r="Z127" s="4">
        <v>843</v>
      </c>
      <c r="AA127" s="26">
        <v>23</v>
      </c>
      <c r="AB127" s="7">
        <v>1.0381</v>
      </c>
    </row>
    <row r="128" spans="1:29" x14ac:dyDescent="0.35">
      <c r="A128" s="1">
        <v>4000974</v>
      </c>
      <c r="B128" s="15">
        <v>95</v>
      </c>
      <c r="C128" s="15">
        <v>63</v>
      </c>
      <c r="D128" s="15">
        <v>70</v>
      </c>
      <c r="E128" s="15">
        <v>151</v>
      </c>
      <c r="F128" s="15">
        <v>37</v>
      </c>
      <c r="G128" s="15">
        <v>61</v>
      </c>
      <c r="H128" s="15">
        <v>112</v>
      </c>
      <c r="I128" s="15">
        <v>5</v>
      </c>
      <c r="J128" s="15">
        <v>20</v>
      </c>
      <c r="K128" s="15">
        <v>35</v>
      </c>
      <c r="L128" s="15">
        <v>100</v>
      </c>
      <c r="M128" s="15">
        <v>25</v>
      </c>
      <c r="N128" s="15">
        <v>26</v>
      </c>
      <c r="O128" s="15">
        <v>50</v>
      </c>
      <c r="P128" s="15">
        <v>65</v>
      </c>
      <c r="Q128" s="15">
        <v>90</v>
      </c>
      <c r="R128" s="15">
        <v>0</v>
      </c>
      <c r="S128" s="15">
        <v>50</v>
      </c>
      <c r="T128" s="15">
        <v>38</v>
      </c>
      <c r="U128" s="15">
        <v>40</v>
      </c>
      <c r="V128" s="15">
        <v>80</v>
      </c>
      <c r="W128" s="15">
        <v>35</v>
      </c>
      <c r="X128" s="15">
        <v>72</v>
      </c>
      <c r="Y128" s="15">
        <v>16</v>
      </c>
      <c r="Z128" s="4">
        <v>1336</v>
      </c>
      <c r="AA128" s="26">
        <v>23</v>
      </c>
      <c r="AB128" s="7">
        <v>0.63870000000000005</v>
      </c>
    </row>
    <row r="129" spans="1:28" x14ac:dyDescent="0.35">
      <c r="A129" s="1">
        <v>4000975</v>
      </c>
      <c r="B129" s="15">
        <v>120</v>
      </c>
      <c r="C129" s="15">
        <v>105</v>
      </c>
      <c r="D129" s="15">
        <v>110</v>
      </c>
      <c r="E129" s="15">
        <v>145</v>
      </c>
      <c r="F129" s="15">
        <v>38</v>
      </c>
      <c r="G129" s="15">
        <v>80</v>
      </c>
      <c r="H129" s="15">
        <v>60</v>
      </c>
      <c r="I129" s="15">
        <v>78</v>
      </c>
      <c r="J129" s="15">
        <v>112</v>
      </c>
      <c r="K129" s="15">
        <v>64</v>
      </c>
      <c r="L129" s="15">
        <v>54</v>
      </c>
      <c r="M129" s="15">
        <v>96</v>
      </c>
      <c r="N129" s="15">
        <v>25</v>
      </c>
      <c r="O129" s="15">
        <v>30</v>
      </c>
      <c r="P129" s="15">
        <v>78</v>
      </c>
      <c r="Q129" s="15">
        <v>44</v>
      </c>
      <c r="R129" s="15">
        <v>54</v>
      </c>
      <c r="S129" s="15">
        <v>148</v>
      </c>
      <c r="T129" s="15">
        <v>145</v>
      </c>
      <c r="U129" s="15">
        <v>70</v>
      </c>
      <c r="V129" s="15">
        <v>47</v>
      </c>
      <c r="W129" s="15">
        <v>93</v>
      </c>
      <c r="X129" s="15">
        <v>51</v>
      </c>
      <c r="Y129" s="15">
        <v>176</v>
      </c>
      <c r="Z129" s="4">
        <v>2023</v>
      </c>
      <c r="AA129" s="26">
        <v>24</v>
      </c>
      <c r="AB129" s="7">
        <v>0.47860000000000003</v>
      </c>
    </row>
    <row r="130" spans="1:28" x14ac:dyDescent="0.35">
      <c r="A130" s="1">
        <v>4000976</v>
      </c>
      <c r="B130" s="15">
        <v>583</v>
      </c>
      <c r="C130" s="15">
        <v>483</v>
      </c>
      <c r="D130" s="15">
        <v>433</v>
      </c>
      <c r="E130" s="15">
        <v>533</v>
      </c>
      <c r="F130" s="15">
        <v>404</v>
      </c>
      <c r="G130" s="15">
        <v>365</v>
      </c>
      <c r="H130" s="15">
        <v>207</v>
      </c>
      <c r="I130" s="15">
        <v>393</v>
      </c>
      <c r="J130" s="15">
        <v>410</v>
      </c>
      <c r="K130" s="15">
        <v>408</v>
      </c>
      <c r="L130" s="15">
        <v>480</v>
      </c>
      <c r="M130" s="15">
        <v>403</v>
      </c>
      <c r="N130" s="15">
        <v>360</v>
      </c>
      <c r="O130" s="15">
        <v>429</v>
      </c>
      <c r="P130" s="15">
        <v>469</v>
      </c>
      <c r="Q130" s="15">
        <v>348</v>
      </c>
      <c r="R130" s="15">
        <v>427</v>
      </c>
      <c r="S130" s="15">
        <v>388</v>
      </c>
      <c r="T130" s="15">
        <v>604</v>
      </c>
      <c r="U130" s="15">
        <v>412</v>
      </c>
      <c r="V130" s="15">
        <v>422</v>
      </c>
      <c r="W130" s="15">
        <v>533</v>
      </c>
      <c r="X130" s="15">
        <v>392</v>
      </c>
      <c r="Y130" s="15">
        <v>445</v>
      </c>
      <c r="Z130" s="4">
        <v>10331</v>
      </c>
      <c r="AA130" s="26">
        <v>24</v>
      </c>
      <c r="AB130" s="7">
        <v>0.18659999999999999</v>
      </c>
    </row>
    <row r="131" spans="1:28" x14ac:dyDescent="0.35">
      <c r="A131" s="1">
        <v>4000977</v>
      </c>
      <c r="B131" s="15">
        <v>546</v>
      </c>
      <c r="C131" s="15">
        <v>443</v>
      </c>
      <c r="D131" s="15">
        <v>450</v>
      </c>
      <c r="E131" s="15">
        <v>577</v>
      </c>
      <c r="F131" s="15">
        <v>411</v>
      </c>
      <c r="G131" s="15">
        <v>350</v>
      </c>
      <c r="H131" s="15">
        <v>224</v>
      </c>
      <c r="I131" s="15">
        <v>335</v>
      </c>
      <c r="J131" s="15">
        <v>360</v>
      </c>
      <c r="K131" s="15">
        <v>388</v>
      </c>
      <c r="L131" s="15">
        <v>384</v>
      </c>
      <c r="M131" s="15">
        <v>409</v>
      </c>
      <c r="N131" s="15">
        <v>379</v>
      </c>
      <c r="O131" s="15">
        <v>294</v>
      </c>
      <c r="P131" s="15">
        <v>368</v>
      </c>
      <c r="Q131" s="15">
        <v>381</v>
      </c>
      <c r="R131" s="15">
        <v>409</v>
      </c>
      <c r="S131" s="15">
        <v>380</v>
      </c>
      <c r="T131" s="15">
        <v>299</v>
      </c>
      <c r="U131" s="15">
        <v>340</v>
      </c>
      <c r="V131" s="15">
        <v>449</v>
      </c>
      <c r="W131" s="15">
        <v>446</v>
      </c>
      <c r="X131" s="15">
        <v>418</v>
      </c>
      <c r="Y131" s="15">
        <v>400</v>
      </c>
      <c r="Z131" s="4">
        <v>9440</v>
      </c>
      <c r="AA131" s="26">
        <v>24</v>
      </c>
      <c r="AB131" s="7">
        <v>0.1857</v>
      </c>
    </row>
    <row r="132" spans="1:28" x14ac:dyDescent="0.35">
      <c r="A132" s="1">
        <v>4000978</v>
      </c>
      <c r="B132" s="15">
        <v>443</v>
      </c>
      <c r="C132" s="15">
        <v>342</v>
      </c>
      <c r="D132" s="15">
        <v>370</v>
      </c>
      <c r="E132" s="15">
        <v>407</v>
      </c>
      <c r="F132" s="15">
        <v>437</v>
      </c>
      <c r="G132" s="15">
        <v>294</v>
      </c>
      <c r="H132" s="15">
        <v>264</v>
      </c>
      <c r="I132" s="15">
        <v>353</v>
      </c>
      <c r="J132" s="15">
        <v>408</v>
      </c>
      <c r="K132" s="15">
        <v>345</v>
      </c>
      <c r="L132" s="15">
        <v>415</v>
      </c>
      <c r="M132" s="15">
        <v>352</v>
      </c>
      <c r="N132" s="15">
        <v>442</v>
      </c>
      <c r="O132" s="15">
        <v>368</v>
      </c>
      <c r="P132" s="15">
        <v>472</v>
      </c>
      <c r="Q132" s="15">
        <v>398</v>
      </c>
      <c r="R132" s="15">
        <v>410</v>
      </c>
      <c r="S132" s="15">
        <v>336</v>
      </c>
      <c r="T132" s="15">
        <v>302</v>
      </c>
      <c r="U132" s="15">
        <v>390</v>
      </c>
      <c r="V132" s="15">
        <v>437</v>
      </c>
      <c r="W132" s="15">
        <v>445</v>
      </c>
      <c r="X132" s="15">
        <v>409</v>
      </c>
      <c r="Y132" s="15">
        <v>415</v>
      </c>
      <c r="Z132" s="4">
        <v>9254</v>
      </c>
      <c r="AA132" s="26">
        <v>24</v>
      </c>
      <c r="AB132" s="7">
        <v>0.13569999999999999</v>
      </c>
    </row>
    <row r="133" spans="1:28" x14ac:dyDescent="0.35">
      <c r="A133" s="1">
        <v>4000979</v>
      </c>
      <c r="B133" s="15">
        <v>17</v>
      </c>
      <c r="C133" s="15">
        <v>34</v>
      </c>
      <c r="D133" s="15">
        <v>52</v>
      </c>
      <c r="E133" s="15">
        <v>18</v>
      </c>
      <c r="F133" s="15">
        <v>16</v>
      </c>
      <c r="G133" s="15">
        <v>0</v>
      </c>
      <c r="H133" s="15">
        <v>0</v>
      </c>
      <c r="I133" s="15">
        <v>0</v>
      </c>
      <c r="J133" s="15">
        <v>12</v>
      </c>
      <c r="K133" s="15">
        <v>18</v>
      </c>
      <c r="L133" s="15">
        <v>18</v>
      </c>
      <c r="M133" s="15">
        <v>13</v>
      </c>
      <c r="N133" s="15">
        <v>12</v>
      </c>
      <c r="O133" s="15">
        <v>7</v>
      </c>
      <c r="P133" s="15">
        <v>8</v>
      </c>
      <c r="Q133" s="15">
        <v>8</v>
      </c>
      <c r="R133" s="15">
        <v>43</v>
      </c>
      <c r="S133" s="15">
        <v>36</v>
      </c>
      <c r="T133" s="15">
        <v>8</v>
      </c>
      <c r="U133" s="15">
        <v>22</v>
      </c>
      <c r="V133" s="15">
        <v>12</v>
      </c>
      <c r="W133" s="15">
        <v>18</v>
      </c>
      <c r="X133" s="15">
        <v>14</v>
      </c>
      <c r="Y133" s="15">
        <v>4</v>
      </c>
      <c r="Z133" s="4">
        <v>390</v>
      </c>
      <c r="AA133" s="26">
        <v>21</v>
      </c>
      <c r="AB133" s="7">
        <v>0.79910000000000003</v>
      </c>
    </row>
    <row r="134" spans="1:28" x14ac:dyDescent="0.35">
      <c r="A134" s="1">
        <v>4000988</v>
      </c>
      <c r="B134" s="15">
        <v>64</v>
      </c>
      <c r="C134" s="15">
        <v>92</v>
      </c>
      <c r="D134" s="15">
        <v>72</v>
      </c>
      <c r="E134" s="15">
        <v>70</v>
      </c>
      <c r="F134" s="15">
        <v>62</v>
      </c>
      <c r="G134" s="15">
        <v>38</v>
      </c>
      <c r="H134" s="15">
        <v>106</v>
      </c>
      <c r="I134" s="15">
        <v>75</v>
      </c>
      <c r="J134" s="15">
        <v>70</v>
      </c>
      <c r="K134" s="15">
        <v>116</v>
      </c>
      <c r="L134" s="15">
        <v>109</v>
      </c>
      <c r="M134" s="15">
        <v>74</v>
      </c>
      <c r="N134" s="15">
        <v>67</v>
      </c>
      <c r="O134" s="15">
        <v>122</v>
      </c>
      <c r="P134" s="15">
        <v>126</v>
      </c>
      <c r="Q134" s="15">
        <v>178</v>
      </c>
      <c r="R134" s="15">
        <v>64</v>
      </c>
      <c r="S134" s="15">
        <v>204</v>
      </c>
      <c r="T134" s="15">
        <v>92</v>
      </c>
      <c r="U134" s="15">
        <v>68</v>
      </c>
      <c r="V134" s="15">
        <v>48</v>
      </c>
      <c r="W134" s="15">
        <v>92</v>
      </c>
      <c r="X134" s="15">
        <v>98</v>
      </c>
      <c r="Y134" s="15">
        <v>136</v>
      </c>
      <c r="Z134" s="4">
        <v>2243</v>
      </c>
      <c r="AA134" s="26">
        <v>24</v>
      </c>
      <c r="AB134" s="7">
        <v>0.41139999999999999</v>
      </c>
    </row>
    <row r="135" spans="1:28" x14ac:dyDescent="0.35">
      <c r="A135" s="1">
        <v>4000989</v>
      </c>
      <c r="B135" s="15">
        <v>92</v>
      </c>
      <c r="C135" s="15">
        <v>136</v>
      </c>
      <c r="D135" s="15">
        <v>129</v>
      </c>
      <c r="E135" s="15">
        <v>201</v>
      </c>
      <c r="F135" s="15">
        <v>134</v>
      </c>
      <c r="G135" s="15">
        <v>84</v>
      </c>
      <c r="H135" s="15">
        <v>122</v>
      </c>
      <c r="I135" s="15">
        <v>112</v>
      </c>
      <c r="J135" s="15">
        <v>92</v>
      </c>
      <c r="K135" s="15">
        <v>218</v>
      </c>
      <c r="L135" s="15">
        <v>116</v>
      </c>
      <c r="M135" s="15">
        <v>100</v>
      </c>
      <c r="N135" s="15">
        <v>100</v>
      </c>
      <c r="O135" s="15">
        <v>148</v>
      </c>
      <c r="P135" s="15">
        <v>120</v>
      </c>
      <c r="Q135" s="15">
        <v>74</v>
      </c>
      <c r="R135" s="15">
        <v>124</v>
      </c>
      <c r="S135" s="15">
        <v>96</v>
      </c>
      <c r="T135" s="15">
        <v>88</v>
      </c>
      <c r="U135" s="15">
        <v>136</v>
      </c>
      <c r="V135" s="15">
        <v>132</v>
      </c>
      <c r="W135" s="15">
        <v>116</v>
      </c>
      <c r="X135" s="15">
        <v>72</v>
      </c>
      <c r="Y135" s="15">
        <v>164</v>
      </c>
      <c r="Z135" s="4">
        <v>2906</v>
      </c>
      <c r="AA135" s="26">
        <v>24</v>
      </c>
      <c r="AB135" s="7">
        <v>0.28999999999999998</v>
      </c>
    </row>
    <row r="136" spans="1:28" x14ac:dyDescent="0.35">
      <c r="A136" s="1">
        <v>4001115</v>
      </c>
      <c r="B136" s="15">
        <v>600</v>
      </c>
      <c r="C136" s="15">
        <v>600</v>
      </c>
      <c r="D136" s="15">
        <v>650</v>
      </c>
      <c r="E136" s="15">
        <v>550</v>
      </c>
      <c r="F136" s="15">
        <v>600</v>
      </c>
      <c r="G136" s="15">
        <v>550</v>
      </c>
      <c r="H136" s="15">
        <v>1050</v>
      </c>
      <c r="I136" s="15">
        <v>650</v>
      </c>
      <c r="J136" s="15">
        <v>650</v>
      </c>
      <c r="K136" s="15">
        <v>500</v>
      </c>
      <c r="L136" s="15">
        <v>600</v>
      </c>
      <c r="M136" s="15">
        <v>1050</v>
      </c>
      <c r="N136" s="15">
        <v>550</v>
      </c>
      <c r="O136" s="15">
        <v>600</v>
      </c>
      <c r="P136" s="15">
        <v>700</v>
      </c>
      <c r="Q136" s="15">
        <v>500</v>
      </c>
      <c r="R136" s="15">
        <v>550</v>
      </c>
      <c r="S136" s="15">
        <v>700</v>
      </c>
      <c r="T136" s="15">
        <v>1000</v>
      </c>
      <c r="U136" s="15">
        <v>600</v>
      </c>
      <c r="V136" s="15">
        <v>500</v>
      </c>
      <c r="W136" s="15">
        <v>750</v>
      </c>
      <c r="X136" s="15">
        <v>500</v>
      </c>
      <c r="Y136" s="15">
        <v>650</v>
      </c>
      <c r="Z136" s="4">
        <v>15650</v>
      </c>
      <c r="AA136" s="26">
        <v>24</v>
      </c>
      <c r="AB136" s="7">
        <v>0.24299999999999999</v>
      </c>
    </row>
    <row r="137" spans="1:28" x14ac:dyDescent="0.35">
      <c r="A137" s="1">
        <v>4001116</v>
      </c>
      <c r="B137" s="15">
        <v>105</v>
      </c>
      <c r="C137" s="15">
        <v>77</v>
      </c>
      <c r="D137" s="15">
        <v>66</v>
      </c>
      <c r="E137" s="15">
        <v>121</v>
      </c>
      <c r="F137" s="15">
        <v>84</v>
      </c>
      <c r="G137" s="15">
        <v>105</v>
      </c>
      <c r="H137" s="15">
        <v>92</v>
      </c>
      <c r="I137" s="15">
        <v>75</v>
      </c>
      <c r="J137" s="15">
        <v>80</v>
      </c>
      <c r="K137" s="15">
        <v>88</v>
      </c>
      <c r="L137" s="15">
        <v>111</v>
      </c>
      <c r="M137" s="15">
        <v>113</v>
      </c>
      <c r="N137" s="15">
        <v>63</v>
      </c>
      <c r="O137" s="15">
        <v>77</v>
      </c>
      <c r="P137" s="15">
        <v>148</v>
      </c>
      <c r="Q137" s="15">
        <v>135</v>
      </c>
      <c r="R137" s="15">
        <v>64</v>
      </c>
      <c r="S137" s="15">
        <v>109</v>
      </c>
      <c r="T137" s="15">
        <v>47</v>
      </c>
      <c r="U137" s="15">
        <v>115</v>
      </c>
      <c r="V137" s="15">
        <v>104</v>
      </c>
      <c r="W137" s="15">
        <v>151</v>
      </c>
      <c r="X137" s="15">
        <v>135</v>
      </c>
      <c r="Y137" s="15">
        <v>126</v>
      </c>
      <c r="Z137" s="4">
        <v>2391</v>
      </c>
      <c r="AA137" s="26">
        <v>24</v>
      </c>
      <c r="AB137" s="7">
        <v>0.2772</v>
      </c>
    </row>
    <row r="138" spans="1:28" x14ac:dyDescent="0.35">
      <c r="A138" s="1">
        <v>4001117</v>
      </c>
      <c r="B138" s="15">
        <v>25</v>
      </c>
      <c r="C138" s="15">
        <v>24</v>
      </c>
      <c r="D138" s="15">
        <v>17</v>
      </c>
      <c r="E138" s="15">
        <v>77</v>
      </c>
      <c r="F138" s="15">
        <v>24</v>
      </c>
      <c r="G138" s="15">
        <v>28</v>
      </c>
      <c r="H138" s="15">
        <v>21</v>
      </c>
      <c r="I138" s="15">
        <v>10</v>
      </c>
      <c r="J138" s="15">
        <v>5</v>
      </c>
      <c r="K138" s="15">
        <v>16</v>
      </c>
      <c r="L138" s="15">
        <v>21</v>
      </c>
      <c r="M138" s="15">
        <v>13</v>
      </c>
      <c r="N138" s="15">
        <v>19</v>
      </c>
      <c r="O138" s="15">
        <v>20</v>
      </c>
      <c r="P138" s="15">
        <v>25</v>
      </c>
      <c r="Q138" s="15">
        <v>50</v>
      </c>
      <c r="R138" s="15">
        <v>12</v>
      </c>
      <c r="S138" s="15">
        <v>15</v>
      </c>
      <c r="T138" s="15">
        <v>25</v>
      </c>
      <c r="U138" s="15">
        <v>8</v>
      </c>
      <c r="V138" s="15">
        <v>15</v>
      </c>
      <c r="W138" s="15">
        <v>34</v>
      </c>
      <c r="X138" s="15">
        <v>13</v>
      </c>
      <c r="Y138" s="15">
        <v>20</v>
      </c>
      <c r="Z138" s="4">
        <v>537</v>
      </c>
      <c r="AA138" s="26">
        <v>24</v>
      </c>
      <c r="AB138" s="7">
        <v>0.65080000000000005</v>
      </c>
    </row>
    <row r="139" spans="1:28" x14ac:dyDescent="0.35">
      <c r="A139" s="1">
        <v>4001118</v>
      </c>
      <c r="B139" s="15">
        <v>15</v>
      </c>
      <c r="C139" s="15">
        <v>24</v>
      </c>
      <c r="D139" s="15">
        <v>18</v>
      </c>
      <c r="E139" s="15">
        <v>10</v>
      </c>
      <c r="F139" s="15">
        <v>35</v>
      </c>
      <c r="G139" s="15">
        <v>10</v>
      </c>
      <c r="H139" s="15">
        <v>39</v>
      </c>
      <c r="I139" s="15">
        <v>10</v>
      </c>
      <c r="J139" s="15">
        <v>13</v>
      </c>
      <c r="K139" s="15">
        <v>11</v>
      </c>
      <c r="L139" s="15">
        <v>22</v>
      </c>
      <c r="M139" s="15">
        <v>4</v>
      </c>
      <c r="N139" s="15">
        <v>7</v>
      </c>
      <c r="O139" s="15">
        <v>20</v>
      </c>
      <c r="P139" s="15">
        <v>21</v>
      </c>
      <c r="Q139" s="15">
        <v>18</v>
      </c>
      <c r="R139" s="15">
        <v>9</v>
      </c>
      <c r="S139" s="15">
        <v>11</v>
      </c>
      <c r="T139" s="15">
        <v>12</v>
      </c>
      <c r="U139" s="15">
        <v>18</v>
      </c>
      <c r="V139" s="15">
        <v>11</v>
      </c>
      <c r="W139" s="15">
        <v>17</v>
      </c>
      <c r="X139" s="15">
        <v>5</v>
      </c>
      <c r="Y139" s="15">
        <v>15</v>
      </c>
      <c r="Z139" s="4">
        <v>375</v>
      </c>
      <c r="AA139" s="26">
        <v>24</v>
      </c>
      <c r="AB139" s="7">
        <v>0.53</v>
      </c>
    </row>
    <row r="140" spans="1:28" x14ac:dyDescent="0.35">
      <c r="A140" s="1">
        <v>4001120</v>
      </c>
      <c r="B140" s="15">
        <v>0</v>
      </c>
      <c r="C140" s="15">
        <v>0</v>
      </c>
      <c r="D140" s="15">
        <v>0</v>
      </c>
      <c r="E140" s="15">
        <v>0</v>
      </c>
      <c r="F140" s="15">
        <v>10</v>
      </c>
      <c r="G140" s="15">
        <v>10</v>
      </c>
      <c r="H140" s="15">
        <v>10</v>
      </c>
      <c r="I140" s="15">
        <v>0</v>
      </c>
      <c r="J140" s="15">
        <v>0</v>
      </c>
      <c r="K140" s="15">
        <v>0</v>
      </c>
      <c r="L140" s="15">
        <v>10</v>
      </c>
      <c r="M140" s="15">
        <v>10</v>
      </c>
      <c r="N140" s="15">
        <v>0</v>
      </c>
      <c r="O140" s="15">
        <v>10</v>
      </c>
      <c r="P140" s="15">
        <v>10</v>
      </c>
      <c r="Q140" s="15">
        <v>20</v>
      </c>
      <c r="R140" s="15">
        <v>10</v>
      </c>
      <c r="S140" s="15">
        <v>10</v>
      </c>
      <c r="T140" s="15">
        <v>10</v>
      </c>
      <c r="U140" s="15">
        <v>0</v>
      </c>
      <c r="V140" s="15">
        <v>10</v>
      </c>
      <c r="W140" s="15">
        <v>20</v>
      </c>
      <c r="X140" s="15">
        <v>10</v>
      </c>
      <c r="Y140" s="15">
        <v>20</v>
      </c>
      <c r="Z140" s="4">
        <v>180</v>
      </c>
      <c r="AA140" s="26">
        <v>15</v>
      </c>
      <c r="AB140" s="7">
        <v>0.88190000000000002</v>
      </c>
    </row>
    <row r="141" spans="1:28" x14ac:dyDescent="0.35">
      <c r="A141" s="1">
        <v>4001122</v>
      </c>
      <c r="B141" s="15">
        <v>450</v>
      </c>
      <c r="C141" s="15">
        <v>900</v>
      </c>
      <c r="D141" s="15">
        <v>950</v>
      </c>
      <c r="E141" s="15">
        <v>550</v>
      </c>
      <c r="F141" s="15">
        <v>700</v>
      </c>
      <c r="G141" s="15">
        <v>1050</v>
      </c>
      <c r="H141" s="15">
        <v>400</v>
      </c>
      <c r="I141" s="15">
        <v>900</v>
      </c>
      <c r="J141" s="15">
        <v>650</v>
      </c>
      <c r="K141" s="15">
        <v>700</v>
      </c>
      <c r="L141" s="15">
        <v>400</v>
      </c>
      <c r="M141" s="15">
        <v>700</v>
      </c>
      <c r="N141" s="15">
        <v>700</v>
      </c>
      <c r="O141" s="15">
        <v>500</v>
      </c>
      <c r="P141" s="15">
        <v>800</v>
      </c>
      <c r="Q141" s="15">
        <v>700</v>
      </c>
      <c r="R141" s="15">
        <v>550</v>
      </c>
      <c r="S141" s="15">
        <v>300</v>
      </c>
      <c r="T141" s="15">
        <v>350</v>
      </c>
      <c r="U141" s="15">
        <v>950</v>
      </c>
      <c r="V141" s="15">
        <v>750</v>
      </c>
      <c r="W141" s="15">
        <v>850</v>
      </c>
      <c r="X141" s="15">
        <v>600</v>
      </c>
      <c r="Y141" s="15">
        <v>650</v>
      </c>
      <c r="Z141" s="4">
        <v>16050</v>
      </c>
      <c r="AA141" s="26">
        <v>24</v>
      </c>
      <c r="AB141" s="7">
        <v>0.29970000000000002</v>
      </c>
    </row>
    <row r="142" spans="1:28" x14ac:dyDescent="0.35">
      <c r="A142" s="1">
        <v>4001123</v>
      </c>
      <c r="B142" s="15">
        <v>2450</v>
      </c>
      <c r="C142" s="15">
        <v>3550</v>
      </c>
      <c r="D142" s="15">
        <v>2300</v>
      </c>
      <c r="E142" s="15">
        <v>2350</v>
      </c>
      <c r="F142" s="15">
        <v>3300</v>
      </c>
      <c r="G142" s="15">
        <v>3200</v>
      </c>
      <c r="H142" s="15">
        <v>2200</v>
      </c>
      <c r="I142" s="15">
        <v>3450</v>
      </c>
      <c r="J142" s="15">
        <v>3700</v>
      </c>
      <c r="K142" s="15">
        <v>2700</v>
      </c>
      <c r="L142" s="15">
        <v>2750</v>
      </c>
      <c r="M142" s="15">
        <v>3050</v>
      </c>
      <c r="N142" s="15">
        <v>2450</v>
      </c>
      <c r="O142" s="15">
        <v>3350</v>
      </c>
      <c r="P142" s="15">
        <v>3000</v>
      </c>
      <c r="Q142" s="15">
        <v>3450</v>
      </c>
      <c r="R142" s="15">
        <v>3100</v>
      </c>
      <c r="S142" s="15">
        <v>3900</v>
      </c>
      <c r="T142" s="15">
        <v>2800</v>
      </c>
      <c r="U142" s="15">
        <v>3100</v>
      </c>
      <c r="V142" s="15">
        <v>3550</v>
      </c>
      <c r="W142" s="15">
        <v>4350</v>
      </c>
      <c r="X142" s="15">
        <v>3050</v>
      </c>
      <c r="Y142" s="15">
        <v>2800</v>
      </c>
      <c r="Z142" s="4">
        <v>73900</v>
      </c>
      <c r="AA142" s="26">
        <v>24</v>
      </c>
      <c r="AB142" s="7">
        <v>0.1709</v>
      </c>
    </row>
    <row r="143" spans="1:28" x14ac:dyDescent="0.35">
      <c r="A143" s="1">
        <v>4001124</v>
      </c>
      <c r="B143" s="15">
        <v>0</v>
      </c>
      <c r="C143" s="15">
        <v>50</v>
      </c>
      <c r="D143" s="15">
        <v>50</v>
      </c>
      <c r="E143" s="15">
        <v>0</v>
      </c>
      <c r="F143" s="15">
        <v>50</v>
      </c>
      <c r="G143" s="15">
        <v>0</v>
      </c>
      <c r="H143" s="15">
        <v>0</v>
      </c>
      <c r="I143" s="15">
        <v>100</v>
      </c>
      <c r="J143" s="15">
        <v>0</v>
      </c>
      <c r="K143" s="15">
        <v>0</v>
      </c>
      <c r="L143" s="15">
        <v>0</v>
      </c>
      <c r="M143" s="15">
        <v>0</v>
      </c>
      <c r="N143" s="15">
        <v>50</v>
      </c>
      <c r="O143" s="15">
        <v>50</v>
      </c>
      <c r="P143" s="15">
        <v>50</v>
      </c>
      <c r="Q143" s="15">
        <v>0</v>
      </c>
      <c r="R143" s="15">
        <v>200</v>
      </c>
      <c r="S143" s="15">
        <v>0</v>
      </c>
      <c r="T143" s="15">
        <v>50</v>
      </c>
      <c r="U143" s="15">
        <v>50</v>
      </c>
      <c r="V143" s="15">
        <v>0</v>
      </c>
      <c r="W143" s="15">
        <v>50</v>
      </c>
      <c r="X143" s="15">
        <v>0</v>
      </c>
      <c r="Y143" s="15">
        <v>250</v>
      </c>
      <c r="Z143" s="4">
        <v>1000</v>
      </c>
      <c r="AA143" s="26">
        <v>12</v>
      </c>
      <c r="AB143" s="7">
        <v>1.4966999999999999</v>
      </c>
    </row>
    <row r="144" spans="1:28" x14ac:dyDescent="0.35">
      <c r="A144" s="1">
        <v>4001125</v>
      </c>
      <c r="B144" s="15">
        <v>1075</v>
      </c>
      <c r="C144" s="15">
        <v>950</v>
      </c>
      <c r="D144" s="15">
        <v>1050</v>
      </c>
      <c r="E144" s="15">
        <v>825</v>
      </c>
      <c r="F144" s="15">
        <v>1000</v>
      </c>
      <c r="G144" s="15">
        <v>900</v>
      </c>
      <c r="H144" s="15">
        <v>800</v>
      </c>
      <c r="I144" s="15">
        <v>725</v>
      </c>
      <c r="J144" s="15">
        <v>1025</v>
      </c>
      <c r="K144" s="15">
        <v>825</v>
      </c>
      <c r="L144" s="15">
        <v>1075</v>
      </c>
      <c r="M144" s="15">
        <v>875</v>
      </c>
      <c r="N144" s="15">
        <v>1050</v>
      </c>
      <c r="O144" s="15">
        <v>1000</v>
      </c>
      <c r="P144" s="15">
        <v>1105</v>
      </c>
      <c r="Q144" s="15">
        <v>925</v>
      </c>
      <c r="R144" s="15">
        <v>1000</v>
      </c>
      <c r="S144" s="15">
        <v>900</v>
      </c>
      <c r="T144" s="15">
        <v>600</v>
      </c>
      <c r="U144" s="15">
        <v>925</v>
      </c>
      <c r="V144" s="15">
        <v>1150</v>
      </c>
      <c r="W144" s="15">
        <v>1000</v>
      </c>
      <c r="X144" s="15">
        <v>1025</v>
      </c>
      <c r="Y144" s="15">
        <v>1050</v>
      </c>
      <c r="Z144" s="4">
        <v>22855</v>
      </c>
      <c r="AA144" s="26">
        <v>24</v>
      </c>
      <c r="AB144" s="7">
        <v>0.13300000000000001</v>
      </c>
    </row>
    <row r="145" spans="1:29" x14ac:dyDescent="0.35">
      <c r="A145" s="1">
        <v>4001127</v>
      </c>
      <c r="B145" s="15">
        <v>1976</v>
      </c>
      <c r="C145" s="15">
        <v>740</v>
      </c>
      <c r="D145" s="15">
        <v>2072</v>
      </c>
      <c r="E145" s="15">
        <v>1052</v>
      </c>
      <c r="F145" s="15">
        <v>1073</v>
      </c>
      <c r="G145" s="15">
        <v>1417</v>
      </c>
      <c r="H145" s="15">
        <v>1624</v>
      </c>
      <c r="I145" s="15">
        <v>1054</v>
      </c>
      <c r="J145" s="15">
        <v>1510</v>
      </c>
      <c r="K145" s="15">
        <v>868</v>
      </c>
      <c r="L145" s="15">
        <v>1938</v>
      </c>
      <c r="M145" s="15">
        <v>1454</v>
      </c>
      <c r="N145" s="15">
        <v>1229</v>
      </c>
      <c r="O145" s="15">
        <v>2622</v>
      </c>
      <c r="P145" s="15">
        <v>2068</v>
      </c>
      <c r="Q145" s="15">
        <v>1231</v>
      </c>
      <c r="R145" s="15">
        <v>1739</v>
      </c>
      <c r="S145" s="15">
        <v>1426</v>
      </c>
      <c r="T145" s="15">
        <v>1368</v>
      </c>
      <c r="U145" s="15">
        <v>704</v>
      </c>
      <c r="V145" s="15">
        <v>1852</v>
      </c>
      <c r="W145" s="15">
        <v>1796</v>
      </c>
      <c r="X145" s="15">
        <v>781</v>
      </c>
      <c r="Y145" s="15">
        <v>2280</v>
      </c>
      <c r="Z145" s="4">
        <v>35874</v>
      </c>
      <c r="AA145" s="26">
        <v>24</v>
      </c>
      <c r="AB145" s="7">
        <v>0.33750000000000002</v>
      </c>
    </row>
    <row r="146" spans="1:29" x14ac:dyDescent="0.35">
      <c r="A146" s="1">
        <v>4001128</v>
      </c>
      <c r="B146" s="15">
        <v>106</v>
      </c>
      <c r="C146" s="15">
        <v>0</v>
      </c>
      <c r="D146" s="15">
        <v>692</v>
      </c>
      <c r="E146" s="15">
        <v>300</v>
      </c>
      <c r="F146" s="15">
        <v>64</v>
      </c>
      <c r="G146" s="15">
        <v>650</v>
      </c>
      <c r="H146" s="15">
        <v>850</v>
      </c>
      <c r="I146" s="15">
        <v>28</v>
      </c>
      <c r="J146" s="15">
        <v>242</v>
      </c>
      <c r="K146" s="15">
        <v>350</v>
      </c>
      <c r="L146" s="15">
        <v>264</v>
      </c>
      <c r="M146" s="15">
        <v>84</v>
      </c>
      <c r="N146" s="15">
        <v>500</v>
      </c>
      <c r="O146" s="15">
        <v>214</v>
      </c>
      <c r="P146" s="15">
        <v>1164</v>
      </c>
      <c r="Q146" s="15">
        <v>28</v>
      </c>
      <c r="R146" s="15">
        <v>50</v>
      </c>
      <c r="S146" s="15">
        <v>28</v>
      </c>
      <c r="T146" s="15">
        <v>78</v>
      </c>
      <c r="U146" s="15">
        <v>100</v>
      </c>
      <c r="V146" s="15">
        <v>78</v>
      </c>
      <c r="W146" s="15">
        <v>74</v>
      </c>
      <c r="X146" s="15">
        <v>28</v>
      </c>
      <c r="Y146" s="15">
        <v>120</v>
      </c>
      <c r="Z146" s="4">
        <v>6092</v>
      </c>
      <c r="AA146" s="26">
        <v>23</v>
      </c>
      <c r="AB146" s="7">
        <v>1.1760999999999999</v>
      </c>
    </row>
    <row r="147" spans="1:29" x14ac:dyDescent="0.35">
      <c r="A147" s="1">
        <v>4001129</v>
      </c>
      <c r="B147" s="15">
        <v>114</v>
      </c>
      <c r="C147" s="15">
        <v>14</v>
      </c>
      <c r="D147" s="15">
        <v>14</v>
      </c>
      <c r="E147" s="15">
        <v>14</v>
      </c>
      <c r="F147" s="15">
        <v>0</v>
      </c>
      <c r="G147" s="15">
        <v>84</v>
      </c>
      <c r="H147" s="15">
        <v>70</v>
      </c>
      <c r="I147" s="15">
        <v>106</v>
      </c>
      <c r="J147" s="15">
        <v>200</v>
      </c>
      <c r="K147" s="15">
        <v>50</v>
      </c>
      <c r="L147" s="15">
        <v>192</v>
      </c>
      <c r="M147" s="15">
        <v>28</v>
      </c>
      <c r="N147" s="15">
        <v>142</v>
      </c>
      <c r="O147" s="15">
        <v>28</v>
      </c>
      <c r="P147" s="15">
        <v>56</v>
      </c>
      <c r="Q147" s="15">
        <v>42</v>
      </c>
      <c r="R147" s="15">
        <v>122</v>
      </c>
      <c r="S147" s="15">
        <v>240</v>
      </c>
      <c r="T147" s="15">
        <v>120</v>
      </c>
      <c r="U147" s="15">
        <v>0</v>
      </c>
      <c r="V147" s="15">
        <v>92</v>
      </c>
      <c r="W147" s="15">
        <v>28</v>
      </c>
      <c r="X147" s="15">
        <v>86</v>
      </c>
      <c r="Y147" s="15">
        <v>50</v>
      </c>
      <c r="Z147" s="4">
        <v>1892</v>
      </c>
      <c r="AA147" s="26">
        <v>22</v>
      </c>
      <c r="AB147" s="7">
        <v>0.81740000000000002</v>
      </c>
    </row>
    <row r="148" spans="1:29" x14ac:dyDescent="0.35">
      <c r="A148" s="1">
        <v>4001133</v>
      </c>
      <c r="B148" s="15">
        <v>0</v>
      </c>
      <c r="C148" s="15">
        <v>0</v>
      </c>
      <c r="D148" s="15">
        <v>10</v>
      </c>
      <c r="E148" s="15">
        <v>10</v>
      </c>
      <c r="F148" s="15">
        <v>0</v>
      </c>
      <c r="G148" s="15">
        <v>0</v>
      </c>
      <c r="H148" s="15">
        <v>10</v>
      </c>
      <c r="I148" s="15">
        <v>10</v>
      </c>
      <c r="J148" s="15">
        <v>20</v>
      </c>
      <c r="K148" s="15">
        <v>0</v>
      </c>
      <c r="L148" s="15">
        <v>0</v>
      </c>
      <c r="M148" s="15">
        <v>0</v>
      </c>
      <c r="N148" s="15">
        <v>10</v>
      </c>
      <c r="O148" s="15">
        <v>20</v>
      </c>
      <c r="P148" s="15">
        <v>10</v>
      </c>
      <c r="Q148" s="15">
        <v>10</v>
      </c>
      <c r="R148" s="15">
        <v>20</v>
      </c>
      <c r="S148" s="15">
        <v>20</v>
      </c>
      <c r="T148" s="15">
        <v>0</v>
      </c>
      <c r="U148" s="15">
        <v>20</v>
      </c>
      <c r="V148" s="15">
        <v>0</v>
      </c>
      <c r="W148" s="15">
        <v>10</v>
      </c>
      <c r="X148" s="15">
        <v>20</v>
      </c>
      <c r="Y148" s="15">
        <v>10</v>
      </c>
      <c r="Z148" s="4">
        <v>210</v>
      </c>
      <c r="AA148" s="26">
        <v>15</v>
      </c>
      <c r="AB148" s="7">
        <v>0.8921</v>
      </c>
    </row>
    <row r="149" spans="1:29" x14ac:dyDescent="0.35">
      <c r="A149" s="1">
        <v>4001134</v>
      </c>
      <c r="B149" s="15">
        <v>0</v>
      </c>
      <c r="C149" s="15">
        <v>20</v>
      </c>
      <c r="D149" s="15">
        <v>10</v>
      </c>
      <c r="E149" s="15">
        <v>40</v>
      </c>
      <c r="F149" s="15">
        <v>10</v>
      </c>
      <c r="G149" s="15">
        <v>10</v>
      </c>
      <c r="H149" s="15">
        <v>10</v>
      </c>
      <c r="I149" s="15">
        <v>10</v>
      </c>
      <c r="J149" s="15">
        <v>40</v>
      </c>
      <c r="K149" s="15">
        <v>10</v>
      </c>
      <c r="L149" s="15">
        <v>20</v>
      </c>
      <c r="M149" s="15">
        <v>20</v>
      </c>
      <c r="N149" s="15">
        <v>20</v>
      </c>
      <c r="O149" s="15">
        <v>20</v>
      </c>
      <c r="P149" s="15">
        <v>40</v>
      </c>
      <c r="Q149" s="15">
        <v>10</v>
      </c>
      <c r="R149" s="15">
        <v>20</v>
      </c>
      <c r="S149" s="15">
        <v>20</v>
      </c>
      <c r="T149" s="15">
        <v>0</v>
      </c>
      <c r="U149" s="15">
        <v>30</v>
      </c>
      <c r="V149" s="15">
        <v>0</v>
      </c>
      <c r="W149" s="15">
        <v>10</v>
      </c>
      <c r="X149" s="15">
        <v>20</v>
      </c>
      <c r="Y149" s="15">
        <v>30</v>
      </c>
      <c r="Z149" s="4">
        <v>420</v>
      </c>
      <c r="AA149" s="26">
        <v>21</v>
      </c>
      <c r="AB149" s="7">
        <v>0.66500000000000004</v>
      </c>
    </row>
    <row r="150" spans="1:29" x14ac:dyDescent="0.35">
      <c r="A150" s="1">
        <v>4001135</v>
      </c>
      <c r="B150" s="15">
        <v>0</v>
      </c>
      <c r="C150" s="15">
        <v>20</v>
      </c>
      <c r="D150" s="15">
        <v>20</v>
      </c>
      <c r="E150" s="15">
        <v>0</v>
      </c>
      <c r="F150" s="15">
        <v>0</v>
      </c>
      <c r="G150" s="15">
        <v>10</v>
      </c>
      <c r="H150" s="15">
        <v>0</v>
      </c>
      <c r="I150" s="15">
        <v>10</v>
      </c>
      <c r="J150" s="15">
        <v>40</v>
      </c>
      <c r="K150" s="15">
        <v>0</v>
      </c>
      <c r="L150" s="15">
        <v>20</v>
      </c>
      <c r="M150" s="15">
        <v>10</v>
      </c>
      <c r="N150" s="15">
        <v>40</v>
      </c>
      <c r="O150" s="15">
        <v>10</v>
      </c>
      <c r="P150" s="15">
        <v>20</v>
      </c>
      <c r="Q150" s="15">
        <v>10</v>
      </c>
      <c r="R150" s="15">
        <v>20</v>
      </c>
      <c r="S150" s="15">
        <v>20</v>
      </c>
      <c r="T150" s="15">
        <v>0</v>
      </c>
      <c r="U150" s="15">
        <v>10</v>
      </c>
      <c r="V150" s="15">
        <v>20</v>
      </c>
      <c r="W150" s="15">
        <v>20</v>
      </c>
      <c r="X150" s="15">
        <v>30</v>
      </c>
      <c r="Y150" s="15">
        <v>30</v>
      </c>
      <c r="Z150" s="4">
        <v>360</v>
      </c>
      <c r="AA150" s="26">
        <v>18</v>
      </c>
      <c r="AB150" s="7">
        <v>0.79349999999999998</v>
      </c>
    </row>
    <row r="151" spans="1:29" x14ac:dyDescent="0.35">
      <c r="A151" s="1">
        <v>4001136</v>
      </c>
      <c r="B151" s="15">
        <v>0</v>
      </c>
      <c r="C151" s="15">
        <v>0</v>
      </c>
      <c r="D151" s="15">
        <v>20</v>
      </c>
      <c r="E151" s="15">
        <v>10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10</v>
      </c>
      <c r="L151" s="15">
        <v>20</v>
      </c>
      <c r="M151" s="15">
        <v>10</v>
      </c>
      <c r="N151" s="15">
        <v>20</v>
      </c>
      <c r="O151" s="15">
        <v>10</v>
      </c>
      <c r="P151" s="15">
        <v>20</v>
      </c>
      <c r="Q151" s="15">
        <v>20</v>
      </c>
      <c r="R151" s="15">
        <v>10</v>
      </c>
      <c r="S151" s="15">
        <v>20</v>
      </c>
      <c r="T151" s="15">
        <v>0</v>
      </c>
      <c r="U151" s="15">
        <v>10</v>
      </c>
      <c r="V151" s="15">
        <v>20</v>
      </c>
      <c r="W151" s="15">
        <v>10</v>
      </c>
      <c r="X151" s="15">
        <v>20</v>
      </c>
      <c r="Y151" s="15">
        <v>10</v>
      </c>
      <c r="Z151" s="4">
        <v>240</v>
      </c>
      <c r="AA151" s="26">
        <v>16</v>
      </c>
      <c r="AB151" s="7">
        <v>0.8165</v>
      </c>
    </row>
    <row r="152" spans="1:29" x14ac:dyDescent="0.35">
      <c r="A152" s="1">
        <v>4001137</v>
      </c>
      <c r="B152" s="15">
        <v>40</v>
      </c>
      <c r="C152" s="15">
        <v>40</v>
      </c>
      <c r="D152" s="15">
        <v>80</v>
      </c>
      <c r="E152" s="15">
        <v>40</v>
      </c>
      <c r="F152" s="15">
        <v>60</v>
      </c>
      <c r="G152" s="15">
        <v>70</v>
      </c>
      <c r="H152" s="15">
        <v>10</v>
      </c>
      <c r="I152" s="15">
        <v>20</v>
      </c>
      <c r="J152" s="15">
        <v>80</v>
      </c>
      <c r="K152" s="15">
        <v>60</v>
      </c>
      <c r="L152" s="15">
        <v>50</v>
      </c>
      <c r="M152" s="15">
        <v>70</v>
      </c>
      <c r="N152" s="15">
        <v>60</v>
      </c>
      <c r="O152" s="15">
        <v>90</v>
      </c>
      <c r="P152" s="15">
        <v>50</v>
      </c>
      <c r="Q152" s="15">
        <v>10</v>
      </c>
      <c r="R152" s="15">
        <v>70</v>
      </c>
      <c r="S152" s="15">
        <v>50</v>
      </c>
      <c r="T152" s="15">
        <v>10</v>
      </c>
      <c r="U152" s="15">
        <v>10</v>
      </c>
      <c r="V152" s="15">
        <v>80</v>
      </c>
      <c r="W152" s="15">
        <v>70</v>
      </c>
      <c r="X152" s="15">
        <v>90</v>
      </c>
      <c r="Y152" s="15">
        <v>80</v>
      </c>
      <c r="Z152" s="4">
        <v>1290</v>
      </c>
      <c r="AA152" s="26">
        <v>24</v>
      </c>
      <c r="AB152" s="7">
        <v>0.4798</v>
      </c>
    </row>
    <row r="153" spans="1:29" x14ac:dyDescent="0.35">
      <c r="A153" s="1">
        <v>4001138</v>
      </c>
      <c r="B153" s="15">
        <v>40</v>
      </c>
      <c r="C153" s="15">
        <v>40</v>
      </c>
      <c r="D153" s="15">
        <v>30</v>
      </c>
      <c r="E153" s="15">
        <v>50</v>
      </c>
      <c r="F153" s="15">
        <v>50</v>
      </c>
      <c r="G153" s="15">
        <v>70</v>
      </c>
      <c r="H153" s="15">
        <v>10</v>
      </c>
      <c r="I153" s="15">
        <v>10</v>
      </c>
      <c r="J153" s="15">
        <v>50</v>
      </c>
      <c r="K153" s="15">
        <v>40</v>
      </c>
      <c r="L153" s="15">
        <v>30</v>
      </c>
      <c r="M153" s="15">
        <v>60</v>
      </c>
      <c r="N153" s="15">
        <v>30</v>
      </c>
      <c r="O153" s="15">
        <v>70</v>
      </c>
      <c r="P153" s="15">
        <v>50</v>
      </c>
      <c r="Q153" s="15">
        <v>30</v>
      </c>
      <c r="R153" s="15">
        <v>70</v>
      </c>
      <c r="S153" s="15">
        <v>50</v>
      </c>
      <c r="T153" s="15">
        <v>0</v>
      </c>
      <c r="U153" s="15">
        <v>10</v>
      </c>
      <c r="V153" s="15">
        <v>70</v>
      </c>
      <c r="W153" s="15">
        <v>40</v>
      </c>
      <c r="X153" s="15">
        <v>60</v>
      </c>
      <c r="Y153" s="15">
        <v>60</v>
      </c>
      <c r="Z153" s="4">
        <v>1020</v>
      </c>
      <c r="AA153" s="26">
        <v>23</v>
      </c>
      <c r="AB153" s="7">
        <v>0.47670000000000001</v>
      </c>
    </row>
    <row r="154" spans="1:29" x14ac:dyDescent="0.35">
      <c r="A154" s="1">
        <v>4001160</v>
      </c>
      <c r="B154" s="15">
        <v>675</v>
      </c>
      <c r="C154" s="15">
        <v>585</v>
      </c>
      <c r="D154" s="15">
        <v>855</v>
      </c>
      <c r="E154" s="15">
        <v>540</v>
      </c>
      <c r="F154" s="15">
        <v>765</v>
      </c>
      <c r="G154" s="15">
        <v>720</v>
      </c>
      <c r="H154" s="15">
        <v>1060</v>
      </c>
      <c r="I154" s="15">
        <v>495</v>
      </c>
      <c r="J154" s="15">
        <v>1440</v>
      </c>
      <c r="K154" s="15">
        <v>315</v>
      </c>
      <c r="L154" s="15">
        <v>585</v>
      </c>
      <c r="M154" s="15">
        <v>630</v>
      </c>
      <c r="N154" s="15">
        <v>1305</v>
      </c>
      <c r="O154" s="15">
        <v>270</v>
      </c>
      <c r="P154" s="15">
        <v>990</v>
      </c>
      <c r="Q154" s="15">
        <v>765</v>
      </c>
      <c r="R154" s="15">
        <v>900</v>
      </c>
      <c r="S154" s="15">
        <v>360</v>
      </c>
      <c r="T154" s="15">
        <v>1260</v>
      </c>
      <c r="U154" s="15">
        <v>315</v>
      </c>
      <c r="V154" s="15">
        <v>810</v>
      </c>
      <c r="W154" s="15">
        <v>855</v>
      </c>
      <c r="X154" s="15">
        <v>675</v>
      </c>
      <c r="Y154" s="15">
        <v>855</v>
      </c>
      <c r="Z154" s="4">
        <v>18025</v>
      </c>
      <c r="AA154" s="26">
        <v>24</v>
      </c>
      <c r="AB154" s="7">
        <v>0.40389999999999998</v>
      </c>
    </row>
    <row r="155" spans="1:29" x14ac:dyDescent="0.35">
      <c r="A155" s="1">
        <v>4001194</v>
      </c>
      <c r="B155" s="15">
        <v>6</v>
      </c>
      <c r="C155" s="15">
        <v>19</v>
      </c>
      <c r="D155" s="15">
        <v>0</v>
      </c>
      <c r="E155" s="15">
        <v>0</v>
      </c>
      <c r="F155" s="15">
        <v>0</v>
      </c>
      <c r="G155" s="15">
        <v>0</v>
      </c>
      <c r="H155" s="15">
        <v>9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4">
        <v>34</v>
      </c>
      <c r="AA155" s="26">
        <v>3</v>
      </c>
      <c r="AB155" s="7">
        <v>2.9872999999999998</v>
      </c>
      <c r="AC155" s="1" t="s">
        <v>3230</v>
      </c>
    </row>
    <row r="156" spans="1:29" x14ac:dyDescent="0.35">
      <c r="A156" s="1">
        <v>4001207</v>
      </c>
      <c r="B156" s="15">
        <v>219</v>
      </c>
      <c r="C156" s="15">
        <v>277</v>
      </c>
      <c r="D156" s="15">
        <v>151</v>
      </c>
      <c r="E156" s="15">
        <v>268</v>
      </c>
      <c r="F156" s="15">
        <v>471</v>
      </c>
      <c r="G156" s="15">
        <v>75</v>
      </c>
      <c r="H156" s="15">
        <v>253</v>
      </c>
      <c r="I156" s="15">
        <v>129</v>
      </c>
      <c r="J156" s="15">
        <v>323</v>
      </c>
      <c r="K156" s="15">
        <v>122</v>
      </c>
      <c r="L156" s="15">
        <v>300</v>
      </c>
      <c r="M156" s="15">
        <v>197</v>
      </c>
      <c r="N156" s="15">
        <v>172</v>
      </c>
      <c r="O156" s="15">
        <v>231</v>
      </c>
      <c r="P156" s="15">
        <v>200</v>
      </c>
      <c r="Q156" s="15">
        <v>210</v>
      </c>
      <c r="R156" s="15">
        <v>176</v>
      </c>
      <c r="S156" s="15">
        <v>391</v>
      </c>
      <c r="T156" s="15">
        <v>205</v>
      </c>
      <c r="U156" s="15">
        <v>293</v>
      </c>
      <c r="V156" s="15">
        <v>243</v>
      </c>
      <c r="W156" s="15">
        <v>244</v>
      </c>
      <c r="X156" s="15">
        <v>100</v>
      </c>
      <c r="Y156" s="15">
        <v>264</v>
      </c>
      <c r="Z156" s="4">
        <v>5514</v>
      </c>
      <c r="AA156" s="26">
        <v>24</v>
      </c>
      <c r="AB156" s="7">
        <v>0.38279999999999997</v>
      </c>
    </row>
    <row r="157" spans="1:29" x14ac:dyDescent="0.35">
      <c r="A157" s="1">
        <v>4001208</v>
      </c>
      <c r="B157" s="15">
        <v>254</v>
      </c>
      <c r="C157" s="15">
        <v>363</v>
      </c>
      <c r="D157" s="15">
        <v>274</v>
      </c>
      <c r="E157" s="15">
        <v>302</v>
      </c>
      <c r="F157" s="15">
        <v>444</v>
      </c>
      <c r="G157" s="15">
        <v>189</v>
      </c>
      <c r="H157" s="15">
        <v>347</v>
      </c>
      <c r="I157" s="15">
        <v>209</v>
      </c>
      <c r="J157" s="15">
        <v>190</v>
      </c>
      <c r="K157" s="15">
        <v>252</v>
      </c>
      <c r="L157" s="15">
        <v>213</v>
      </c>
      <c r="M157" s="15">
        <v>280</v>
      </c>
      <c r="N157" s="15">
        <v>365</v>
      </c>
      <c r="O157" s="15">
        <v>346</v>
      </c>
      <c r="P157" s="15">
        <v>371</v>
      </c>
      <c r="Q157" s="15">
        <v>321</v>
      </c>
      <c r="R157" s="15">
        <v>181</v>
      </c>
      <c r="S157" s="15">
        <v>295</v>
      </c>
      <c r="T157" s="15">
        <v>247</v>
      </c>
      <c r="U157" s="15">
        <v>402</v>
      </c>
      <c r="V157" s="15">
        <v>364</v>
      </c>
      <c r="W157" s="15">
        <v>325</v>
      </c>
      <c r="X157" s="15">
        <v>221</v>
      </c>
      <c r="Y157" s="15">
        <v>358</v>
      </c>
      <c r="Z157" s="4">
        <v>7113</v>
      </c>
      <c r="AA157" s="26">
        <v>24</v>
      </c>
      <c r="AB157" s="7">
        <v>0.24440000000000001</v>
      </c>
    </row>
    <row r="158" spans="1:29" x14ac:dyDescent="0.35">
      <c r="A158" s="1">
        <v>4001211</v>
      </c>
      <c r="B158" s="15">
        <v>10040</v>
      </c>
      <c r="C158" s="15">
        <v>20540</v>
      </c>
      <c r="D158" s="15">
        <v>14280</v>
      </c>
      <c r="E158" s="15">
        <v>13660</v>
      </c>
      <c r="F158" s="15">
        <v>15120</v>
      </c>
      <c r="G158" s="15">
        <v>11760</v>
      </c>
      <c r="H158" s="15">
        <v>14560</v>
      </c>
      <c r="I158" s="15">
        <v>12040</v>
      </c>
      <c r="J158" s="15">
        <v>15680</v>
      </c>
      <c r="K158" s="15">
        <v>13300</v>
      </c>
      <c r="L158" s="15">
        <v>16660</v>
      </c>
      <c r="M158" s="15">
        <v>13440</v>
      </c>
      <c r="N158" s="15">
        <v>17640</v>
      </c>
      <c r="O158" s="15">
        <v>14980</v>
      </c>
      <c r="P158" s="15">
        <v>14140</v>
      </c>
      <c r="Q158" s="15">
        <v>10500</v>
      </c>
      <c r="R158" s="15">
        <v>13440</v>
      </c>
      <c r="S158" s="15">
        <v>9385</v>
      </c>
      <c r="T158" s="15">
        <v>14480</v>
      </c>
      <c r="U158" s="15">
        <v>13604</v>
      </c>
      <c r="V158" s="15">
        <v>12560</v>
      </c>
      <c r="W158" s="15">
        <v>13520</v>
      </c>
      <c r="X158" s="15">
        <v>9520</v>
      </c>
      <c r="Y158" s="15">
        <v>14780</v>
      </c>
      <c r="Z158" s="4">
        <v>329629</v>
      </c>
      <c r="AA158" s="26">
        <v>24</v>
      </c>
      <c r="AB158" s="7">
        <v>0.1817</v>
      </c>
    </row>
    <row r="159" spans="1:29" x14ac:dyDescent="0.35">
      <c r="A159" s="1">
        <v>4001215</v>
      </c>
      <c r="B159" s="15">
        <v>8</v>
      </c>
      <c r="C159" s="15">
        <v>6</v>
      </c>
      <c r="D159" s="15">
        <v>12</v>
      </c>
      <c r="E159" s="15">
        <v>0</v>
      </c>
      <c r="F159" s="15">
        <v>7</v>
      </c>
      <c r="G159" s="15">
        <v>0</v>
      </c>
      <c r="H159" s="15">
        <v>8</v>
      </c>
      <c r="I159" s="15">
        <v>9</v>
      </c>
      <c r="J159" s="15">
        <v>9</v>
      </c>
      <c r="K159" s="15">
        <v>0</v>
      </c>
      <c r="L159" s="15">
        <v>10</v>
      </c>
      <c r="M159" s="15">
        <v>4</v>
      </c>
      <c r="N159" s="15">
        <v>0</v>
      </c>
      <c r="O159" s="15">
        <v>4</v>
      </c>
      <c r="P159" s="15">
        <v>4</v>
      </c>
      <c r="Q159" s="15">
        <v>6</v>
      </c>
      <c r="R159" s="15">
        <v>0</v>
      </c>
      <c r="S159" s="15">
        <v>4</v>
      </c>
      <c r="T159" s="15">
        <v>5</v>
      </c>
      <c r="U159" s="15">
        <v>4</v>
      </c>
      <c r="V159" s="15">
        <v>7</v>
      </c>
      <c r="W159" s="15">
        <v>5</v>
      </c>
      <c r="X159" s="15">
        <v>6</v>
      </c>
      <c r="Y159" s="15">
        <v>28</v>
      </c>
      <c r="Z159" s="4">
        <v>146</v>
      </c>
      <c r="AA159" s="26">
        <v>19</v>
      </c>
      <c r="AB159" s="7">
        <v>0.92859999999999998</v>
      </c>
    </row>
    <row r="160" spans="1:29" x14ac:dyDescent="0.35">
      <c r="A160" s="1">
        <v>4001216</v>
      </c>
      <c r="B160" s="15">
        <v>0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120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4">
        <v>120</v>
      </c>
      <c r="AA160" s="26">
        <v>1</v>
      </c>
      <c r="AB160" s="7">
        <v>4.7957999999999998</v>
      </c>
      <c r="AC160" s="1" t="s">
        <v>3230</v>
      </c>
    </row>
    <row r="161" spans="1:28" x14ac:dyDescent="0.35">
      <c r="A161" s="1">
        <v>4001221</v>
      </c>
      <c r="B161" s="15">
        <v>570</v>
      </c>
      <c r="C161" s="15">
        <v>740</v>
      </c>
      <c r="D161" s="15">
        <v>570</v>
      </c>
      <c r="E161" s="15">
        <v>440</v>
      </c>
      <c r="F161" s="15">
        <v>740</v>
      </c>
      <c r="G161" s="15">
        <v>660</v>
      </c>
      <c r="H161" s="15">
        <v>340</v>
      </c>
      <c r="I161" s="15">
        <v>440</v>
      </c>
      <c r="J161" s="15">
        <v>560</v>
      </c>
      <c r="K161" s="15">
        <v>730</v>
      </c>
      <c r="L161" s="15">
        <v>400</v>
      </c>
      <c r="M161" s="15">
        <v>470</v>
      </c>
      <c r="N161" s="15">
        <v>530</v>
      </c>
      <c r="O161" s="15">
        <v>870</v>
      </c>
      <c r="P161" s="15">
        <v>320</v>
      </c>
      <c r="Q161" s="15">
        <v>670</v>
      </c>
      <c r="R161" s="15">
        <v>480</v>
      </c>
      <c r="S161" s="15">
        <v>740</v>
      </c>
      <c r="T161" s="15">
        <v>470</v>
      </c>
      <c r="U161" s="15">
        <v>600</v>
      </c>
      <c r="V161" s="15">
        <v>960</v>
      </c>
      <c r="W161" s="15">
        <v>500</v>
      </c>
      <c r="X161" s="15">
        <v>540</v>
      </c>
      <c r="Y161" s="15">
        <v>450</v>
      </c>
      <c r="Z161" s="4">
        <v>13790</v>
      </c>
      <c r="AA161" s="26">
        <v>24</v>
      </c>
      <c r="AB161" s="7">
        <v>0.27539999999999998</v>
      </c>
    </row>
    <row r="162" spans="1:28" x14ac:dyDescent="0.35">
      <c r="A162" s="1">
        <v>4001225</v>
      </c>
      <c r="B162" s="15">
        <v>94</v>
      </c>
      <c r="C162" s="15">
        <v>42</v>
      </c>
      <c r="D162" s="15">
        <v>184</v>
      </c>
      <c r="E162" s="15">
        <v>194</v>
      </c>
      <c r="F162" s="15">
        <v>92</v>
      </c>
      <c r="G162" s="15">
        <v>14</v>
      </c>
      <c r="H162" s="15">
        <v>28</v>
      </c>
      <c r="I162" s="15">
        <v>142</v>
      </c>
      <c r="J162" s="15">
        <v>14</v>
      </c>
      <c r="K162" s="15">
        <v>56</v>
      </c>
      <c r="L162" s="15">
        <v>214</v>
      </c>
      <c r="M162" s="15">
        <v>56</v>
      </c>
      <c r="N162" s="15">
        <v>58</v>
      </c>
      <c r="O162" s="15">
        <v>164</v>
      </c>
      <c r="P162" s="15">
        <v>100</v>
      </c>
      <c r="Q162" s="15">
        <v>128</v>
      </c>
      <c r="R162" s="15">
        <v>28</v>
      </c>
      <c r="S162" s="15">
        <v>0</v>
      </c>
      <c r="T162" s="15">
        <v>28</v>
      </c>
      <c r="U162" s="15">
        <v>14</v>
      </c>
      <c r="V162" s="15">
        <v>56</v>
      </c>
      <c r="W162" s="15">
        <v>42</v>
      </c>
      <c r="X162" s="15">
        <v>66</v>
      </c>
      <c r="Y162" s="15">
        <v>42</v>
      </c>
      <c r="Z162" s="4">
        <v>1856</v>
      </c>
      <c r="AA162" s="26">
        <v>23</v>
      </c>
      <c r="AB162" s="7">
        <v>0.7913</v>
      </c>
    </row>
    <row r="163" spans="1:28" x14ac:dyDescent="0.35">
      <c r="A163" s="1">
        <v>4001233</v>
      </c>
      <c r="B163" s="15">
        <v>1210</v>
      </c>
      <c r="C163" s="15">
        <v>975</v>
      </c>
      <c r="D163" s="15">
        <v>1125</v>
      </c>
      <c r="E163" s="15">
        <v>950</v>
      </c>
      <c r="F163" s="15">
        <v>1650</v>
      </c>
      <c r="G163" s="15">
        <v>1050</v>
      </c>
      <c r="H163" s="15">
        <v>1500</v>
      </c>
      <c r="I163" s="15">
        <v>800</v>
      </c>
      <c r="J163" s="15">
        <v>1450</v>
      </c>
      <c r="K163" s="15">
        <v>950</v>
      </c>
      <c r="L163" s="15">
        <v>1350</v>
      </c>
      <c r="M163" s="15">
        <v>1275</v>
      </c>
      <c r="N163" s="15">
        <v>1225</v>
      </c>
      <c r="O163" s="15">
        <v>1625</v>
      </c>
      <c r="P163" s="15">
        <v>1325</v>
      </c>
      <c r="Q163" s="15">
        <v>925</v>
      </c>
      <c r="R163" s="15">
        <v>1450</v>
      </c>
      <c r="S163" s="15">
        <v>1375</v>
      </c>
      <c r="T163" s="15">
        <v>700</v>
      </c>
      <c r="U163" s="15">
        <v>1000</v>
      </c>
      <c r="V163" s="15">
        <v>1575</v>
      </c>
      <c r="W163" s="15">
        <v>1350</v>
      </c>
      <c r="X163" s="15">
        <v>1000</v>
      </c>
      <c r="Y163" s="15">
        <v>1600</v>
      </c>
      <c r="Z163" s="4">
        <v>29435</v>
      </c>
      <c r="AA163" s="26">
        <v>24</v>
      </c>
      <c r="AB163" s="7">
        <v>0.22009999999999999</v>
      </c>
    </row>
    <row r="164" spans="1:28" x14ac:dyDescent="0.35">
      <c r="A164" s="1">
        <v>4001237</v>
      </c>
      <c r="B164" s="15">
        <v>1</v>
      </c>
      <c r="C164" s="15">
        <v>10</v>
      </c>
      <c r="D164" s="15">
        <v>26</v>
      </c>
      <c r="E164" s="15">
        <v>8</v>
      </c>
      <c r="F164" s="15">
        <v>12</v>
      </c>
      <c r="G164" s="15">
        <v>45</v>
      </c>
      <c r="H164" s="15">
        <v>7</v>
      </c>
      <c r="I164" s="15">
        <v>27</v>
      </c>
      <c r="J164" s="15">
        <v>7</v>
      </c>
      <c r="K164" s="15">
        <v>11</v>
      </c>
      <c r="L164" s="15">
        <v>10</v>
      </c>
      <c r="M164" s="15">
        <v>9</v>
      </c>
      <c r="N164" s="15">
        <v>15</v>
      </c>
      <c r="O164" s="15">
        <v>5</v>
      </c>
      <c r="P164" s="15">
        <v>15</v>
      </c>
      <c r="Q164" s="15">
        <v>15</v>
      </c>
      <c r="R164" s="15">
        <v>5</v>
      </c>
      <c r="S164" s="15">
        <v>10</v>
      </c>
      <c r="T164" s="15">
        <v>17</v>
      </c>
      <c r="U164" s="15">
        <v>56</v>
      </c>
      <c r="V164" s="15">
        <v>2</v>
      </c>
      <c r="W164" s="15">
        <v>21</v>
      </c>
      <c r="X164" s="15">
        <v>21</v>
      </c>
      <c r="Y164" s="15">
        <v>31</v>
      </c>
      <c r="Z164" s="4">
        <v>386</v>
      </c>
      <c r="AA164" s="26">
        <v>24</v>
      </c>
      <c r="AB164" s="7">
        <v>0.80549999999999999</v>
      </c>
    </row>
    <row r="165" spans="1:28" x14ac:dyDescent="0.35">
      <c r="A165" s="1">
        <v>4001241</v>
      </c>
      <c r="B165" s="15">
        <v>1200</v>
      </c>
      <c r="C165" s="15">
        <v>600</v>
      </c>
      <c r="D165" s="15">
        <v>700</v>
      </c>
      <c r="E165" s="15">
        <v>1000</v>
      </c>
      <c r="F165" s="15">
        <v>500</v>
      </c>
      <c r="G165" s="15">
        <v>1000</v>
      </c>
      <c r="H165" s="15">
        <v>300</v>
      </c>
      <c r="I165" s="15">
        <v>900</v>
      </c>
      <c r="J165" s="15">
        <v>700</v>
      </c>
      <c r="K165" s="15">
        <v>900</v>
      </c>
      <c r="L165" s="15">
        <v>900</v>
      </c>
      <c r="M165" s="15">
        <v>500</v>
      </c>
      <c r="N165" s="15">
        <v>1500</v>
      </c>
      <c r="O165" s="15">
        <v>1100</v>
      </c>
      <c r="P165" s="15">
        <v>1000</v>
      </c>
      <c r="Q165" s="15">
        <v>1000</v>
      </c>
      <c r="R165" s="15">
        <v>800</v>
      </c>
      <c r="S165" s="15">
        <v>400</v>
      </c>
      <c r="T165" s="15">
        <v>900</v>
      </c>
      <c r="U165" s="15">
        <v>300</v>
      </c>
      <c r="V165" s="15">
        <v>1300</v>
      </c>
      <c r="W165" s="15">
        <v>400</v>
      </c>
      <c r="X165" s="15">
        <v>800</v>
      </c>
      <c r="Y165" s="15">
        <v>700</v>
      </c>
      <c r="Z165" s="4">
        <v>19400</v>
      </c>
      <c r="AA165" s="26">
        <v>24</v>
      </c>
      <c r="AB165" s="7">
        <v>0.3795</v>
      </c>
    </row>
    <row r="166" spans="1:28" x14ac:dyDescent="0.35">
      <c r="A166" s="1">
        <v>4001257</v>
      </c>
      <c r="B166" s="15">
        <v>2135</v>
      </c>
      <c r="C166" s="15">
        <v>2365</v>
      </c>
      <c r="D166" s="15">
        <v>1870</v>
      </c>
      <c r="E166" s="15">
        <v>1850</v>
      </c>
      <c r="F166" s="15">
        <v>2105</v>
      </c>
      <c r="G166" s="15">
        <v>1910</v>
      </c>
      <c r="H166" s="15">
        <v>1425</v>
      </c>
      <c r="I166" s="15">
        <v>1780</v>
      </c>
      <c r="J166" s="15">
        <v>1807</v>
      </c>
      <c r="K166" s="15">
        <v>2144</v>
      </c>
      <c r="L166" s="15">
        <v>1994</v>
      </c>
      <c r="M166" s="15">
        <v>1860</v>
      </c>
      <c r="N166" s="15">
        <v>2005</v>
      </c>
      <c r="O166" s="15">
        <v>2005</v>
      </c>
      <c r="P166" s="15">
        <v>1960</v>
      </c>
      <c r="Q166" s="15">
        <v>1792</v>
      </c>
      <c r="R166" s="15">
        <v>1640</v>
      </c>
      <c r="S166" s="15">
        <v>1450</v>
      </c>
      <c r="T166" s="15">
        <v>1290</v>
      </c>
      <c r="U166" s="15">
        <v>1710</v>
      </c>
      <c r="V166" s="15">
        <v>1849</v>
      </c>
      <c r="W166" s="15">
        <v>1778</v>
      </c>
      <c r="X166" s="15">
        <v>1550</v>
      </c>
      <c r="Y166" s="15">
        <v>1796</v>
      </c>
      <c r="Z166" s="4">
        <v>44070</v>
      </c>
      <c r="AA166" s="26">
        <v>24</v>
      </c>
      <c r="AB166" s="7">
        <v>0.13170000000000001</v>
      </c>
    </row>
    <row r="167" spans="1:28" x14ac:dyDescent="0.35">
      <c r="A167" s="1">
        <v>4001264</v>
      </c>
      <c r="B167" s="15">
        <v>700</v>
      </c>
      <c r="C167" s="15">
        <v>950</v>
      </c>
      <c r="D167" s="15">
        <v>1100</v>
      </c>
      <c r="E167" s="15">
        <v>700</v>
      </c>
      <c r="F167" s="15">
        <v>1100</v>
      </c>
      <c r="G167" s="15">
        <v>950</v>
      </c>
      <c r="H167" s="15">
        <v>650</v>
      </c>
      <c r="I167" s="15">
        <v>1700</v>
      </c>
      <c r="J167" s="15">
        <v>1250</v>
      </c>
      <c r="K167" s="15">
        <v>800</v>
      </c>
      <c r="L167" s="15">
        <v>1050</v>
      </c>
      <c r="M167" s="15">
        <v>800</v>
      </c>
      <c r="N167" s="15">
        <v>1200</v>
      </c>
      <c r="O167" s="15">
        <v>1050</v>
      </c>
      <c r="P167" s="15">
        <v>600</v>
      </c>
      <c r="Q167" s="15">
        <v>1100</v>
      </c>
      <c r="R167" s="15">
        <v>650</v>
      </c>
      <c r="S167" s="15">
        <v>750</v>
      </c>
      <c r="T167" s="15">
        <v>600</v>
      </c>
      <c r="U167" s="15">
        <v>900</v>
      </c>
      <c r="V167" s="15">
        <v>1350</v>
      </c>
      <c r="W167" s="15">
        <v>1200</v>
      </c>
      <c r="X167" s="15">
        <v>400</v>
      </c>
      <c r="Y167" s="15">
        <v>550</v>
      </c>
      <c r="Z167" s="4">
        <v>22100</v>
      </c>
      <c r="AA167" s="26">
        <v>24</v>
      </c>
      <c r="AB167" s="7">
        <v>0.3216</v>
      </c>
    </row>
    <row r="168" spans="1:28" x14ac:dyDescent="0.35">
      <c r="A168" s="1">
        <v>4001277</v>
      </c>
      <c r="B168" s="15">
        <v>360</v>
      </c>
      <c r="C168" s="15">
        <v>570</v>
      </c>
      <c r="D168" s="15">
        <v>570</v>
      </c>
      <c r="E168" s="15">
        <v>330</v>
      </c>
      <c r="F168" s="15">
        <v>750</v>
      </c>
      <c r="G168" s="15">
        <v>390</v>
      </c>
      <c r="H168" s="15">
        <v>390</v>
      </c>
      <c r="I168" s="15">
        <v>330</v>
      </c>
      <c r="J168" s="15">
        <v>360</v>
      </c>
      <c r="K168" s="15">
        <v>510</v>
      </c>
      <c r="L168" s="15">
        <v>690</v>
      </c>
      <c r="M168" s="15">
        <v>480</v>
      </c>
      <c r="N168" s="15">
        <v>600</v>
      </c>
      <c r="O168" s="15">
        <v>570</v>
      </c>
      <c r="P168" s="15">
        <v>420</v>
      </c>
      <c r="Q168" s="15">
        <v>510</v>
      </c>
      <c r="R168" s="15">
        <v>420</v>
      </c>
      <c r="S168" s="15">
        <v>420</v>
      </c>
      <c r="T168" s="15">
        <v>360</v>
      </c>
      <c r="U168" s="15">
        <v>450</v>
      </c>
      <c r="V168" s="15">
        <v>600</v>
      </c>
      <c r="W168" s="15">
        <v>390</v>
      </c>
      <c r="X168" s="15">
        <v>360</v>
      </c>
      <c r="Y168" s="15">
        <v>510</v>
      </c>
      <c r="Z168" s="4">
        <v>11340</v>
      </c>
      <c r="AA168" s="26">
        <v>24</v>
      </c>
      <c r="AB168" s="7">
        <v>0.24060000000000001</v>
      </c>
    </row>
    <row r="169" spans="1:28" x14ac:dyDescent="0.35">
      <c r="A169" s="1">
        <v>4001278</v>
      </c>
      <c r="B169" s="15">
        <v>1080</v>
      </c>
      <c r="C169" s="15">
        <v>1200</v>
      </c>
      <c r="D169" s="15">
        <v>1140</v>
      </c>
      <c r="E169" s="15">
        <v>1830</v>
      </c>
      <c r="F169" s="15">
        <v>1560</v>
      </c>
      <c r="G169" s="15">
        <v>900</v>
      </c>
      <c r="H169" s="15">
        <v>1470</v>
      </c>
      <c r="I169" s="15">
        <v>900</v>
      </c>
      <c r="J169" s="15">
        <v>1350</v>
      </c>
      <c r="K169" s="15">
        <v>1470</v>
      </c>
      <c r="L169" s="15">
        <v>1260</v>
      </c>
      <c r="M169" s="15">
        <v>1440</v>
      </c>
      <c r="N169" s="15">
        <v>1320</v>
      </c>
      <c r="O169" s="15">
        <v>1530</v>
      </c>
      <c r="P169" s="15">
        <v>1290</v>
      </c>
      <c r="Q169" s="15">
        <v>1290</v>
      </c>
      <c r="R169" s="15">
        <v>1320</v>
      </c>
      <c r="S169" s="15">
        <v>900</v>
      </c>
      <c r="T169" s="15">
        <v>960</v>
      </c>
      <c r="U169" s="15">
        <v>1170</v>
      </c>
      <c r="V169" s="15">
        <v>1560</v>
      </c>
      <c r="W169" s="15">
        <v>1500</v>
      </c>
      <c r="X169" s="15">
        <v>1110</v>
      </c>
      <c r="Y169" s="15">
        <v>1620</v>
      </c>
      <c r="Z169" s="4">
        <v>31170</v>
      </c>
      <c r="AA169" s="26">
        <v>24</v>
      </c>
      <c r="AB169" s="7">
        <v>0.18770000000000001</v>
      </c>
    </row>
    <row r="170" spans="1:28" x14ac:dyDescent="0.35">
      <c r="A170" s="1">
        <v>4001279</v>
      </c>
      <c r="B170" s="15">
        <v>4050</v>
      </c>
      <c r="C170" s="15">
        <v>5600</v>
      </c>
      <c r="D170" s="15">
        <v>4100</v>
      </c>
      <c r="E170" s="15">
        <v>4400</v>
      </c>
      <c r="F170" s="15">
        <v>4350</v>
      </c>
      <c r="G170" s="15">
        <v>3500</v>
      </c>
      <c r="H170" s="15">
        <v>3650</v>
      </c>
      <c r="I170" s="15">
        <v>4300</v>
      </c>
      <c r="J170" s="15">
        <v>5100</v>
      </c>
      <c r="K170" s="15">
        <v>4150</v>
      </c>
      <c r="L170" s="15">
        <v>4250</v>
      </c>
      <c r="M170" s="15">
        <v>5000</v>
      </c>
      <c r="N170" s="15">
        <v>5550</v>
      </c>
      <c r="O170" s="15">
        <v>5350</v>
      </c>
      <c r="P170" s="15">
        <v>4050</v>
      </c>
      <c r="Q170" s="15">
        <v>4150</v>
      </c>
      <c r="R170" s="15">
        <v>4400</v>
      </c>
      <c r="S170" s="15">
        <v>4200</v>
      </c>
      <c r="T170" s="15">
        <v>3800</v>
      </c>
      <c r="U170" s="15">
        <v>3400</v>
      </c>
      <c r="V170" s="15">
        <v>5550</v>
      </c>
      <c r="W170" s="15">
        <v>4750</v>
      </c>
      <c r="X170" s="15">
        <v>5150</v>
      </c>
      <c r="Y170" s="15">
        <v>4600</v>
      </c>
      <c r="Z170" s="4">
        <v>107400</v>
      </c>
      <c r="AA170" s="26">
        <v>24</v>
      </c>
      <c r="AB170" s="7">
        <v>0.14199999999999999</v>
      </c>
    </row>
    <row r="171" spans="1:28" x14ac:dyDescent="0.35">
      <c r="A171" s="1">
        <v>4001282</v>
      </c>
      <c r="B171" s="15">
        <v>14700</v>
      </c>
      <c r="C171" s="15">
        <v>13400</v>
      </c>
      <c r="D171" s="15">
        <v>14360</v>
      </c>
      <c r="E171" s="15">
        <v>13800</v>
      </c>
      <c r="F171" s="15">
        <v>15600</v>
      </c>
      <c r="G171" s="15">
        <v>14100</v>
      </c>
      <c r="H171" s="15">
        <v>13500</v>
      </c>
      <c r="I171" s="15">
        <v>12200</v>
      </c>
      <c r="J171" s="15">
        <v>12500</v>
      </c>
      <c r="K171" s="15">
        <v>12700</v>
      </c>
      <c r="L171" s="15">
        <v>14300</v>
      </c>
      <c r="M171" s="15">
        <v>16100</v>
      </c>
      <c r="N171" s="15">
        <v>13300</v>
      </c>
      <c r="O171" s="15">
        <v>15300</v>
      </c>
      <c r="P171" s="15">
        <v>15500</v>
      </c>
      <c r="Q171" s="15">
        <v>12100</v>
      </c>
      <c r="R171" s="15">
        <v>12200</v>
      </c>
      <c r="S171" s="15">
        <v>13400</v>
      </c>
      <c r="T171" s="15">
        <v>9200</v>
      </c>
      <c r="U171" s="15">
        <v>11900</v>
      </c>
      <c r="V171" s="15">
        <v>15100</v>
      </c>
      <c r="W171" s="15">
        <v>14800</v>
      </c>
      <c r="X171" s="15">
        <v>13400</v>
      </c>
      <c r="Y171" s="15">
        <v>12399</v>
      </c>
      <c r="Z171" s="4">
        <v>325859</v>
      </c>
      <c r="AA171" s="26">
        <v>24</v>
      </c>
      <c r="AB171" s="7">
        <v>0.1116</v>
      </c>
    </row>
    <row r="172" spans="1:28" x14ac:dyDescent="0.35">
      <c r="A172" s="1">
        <v>4001283</v>
      </c>
      <c r="B172" s="15">
        <v>34300</v>
      </c>
      <c r="C172" s="15">
        <v>35000</v>
      </c>
      <c r="D172" s="15">
        <v>30900</v>
      </c>
      <c r="E172" s="15">
        <v>32600</v>
      </c>
      <c r="F172" s="15">
        <v>30100</v>
      </c>
      <c r="G172" s="15">
        <v>29300</v>
      </c>
      <c r="H172" s="15">
        <v>32400</v>
      </c>
      <c r="I172" s="15">
        <v>29600</v>
      </c>
      <c r="J172" s="15">
        <v>35000</v>
      </c>
      <c r="K172" s="15">
        <v>32500</v>
      </c>
      <c r="L172" s="15">
        <v>33000</v>
      </c>
      <c r="M172" s="15">
        <v>34500</v>
      </c>
      <c r="N172" s="15">
        <v>33100</v>
      </c>
      <c r="O172" s="15">
        <v>35600</v>
      </c>
      <c r="P172" s="15">
        <v>32601</v>
      </c>
      <c r="Q172" s="15">
        <v>29900</v>
      </c>
      <c r="R172" s="15">
        <v>28700</v>
      </c>
      <c r="S172" s="15">
        <v>30400</v>
      </c>
      <c r="T172" s="15">
        <v>23000</v>
      </c>
      <c r="U172" s="15">
        <v>23100</v>
      </c>
      <c r="V172" s="15">
        <v>32900</v>
      </c>
      <c r="W172" s="15">
        <v>31000</v>
      </c>
      <c r="X172" s="15">
        <v>26900</v>
      </c>
      <c r="Y172" s="15">
        <v>30200</v>
      </c>
      <c r="Z172" s="4">
        <v>746601</v>
      </c>
      <c r="AA172" s="26">
        <v>24</v>
      </c>
      <c r="AB172" s="7">
        <v>0.1045</v>
      </c>
    </row>
    <row r="173" spans="1:28" x14ac:dyDescent="0.35">
      <c r="A173" s="1">
        <v>4001285</v>
      </c>
      <c r="B173" s="15">
        <v>3516</v>
      </c>
      <c r="C173" s="15">
        <v>3456</v>
      </c>
      <c r="D173" s="15">
        <v>3276</v>
      </c>
      <c r="E173" s="15">
        <v>3456</v>
      </c>
      <c r="F173" s="15">
        <v>3228</v>
      </c>
      <c r="G173" s="15">
        <v>3108</v>
      </c>
      <c r="H173" s="15">
        <v>2748</v>
      </c>
      <c r="I173" s="15">
        <v>3528</v>
      </c>
      <c r="J173" s="15">
        <v>3444</v>
      </c>
      <c r="K173" s="15">
        <v>3732</v>
      </c>
      <c r="L173" s="15">
        <v>3504</v>
      </c>
      <c r="M173" s="15">
        <v>3792</v>
      </c>
      <c r="N173" s="15">
        <v>3252</v>
      </c>
      <c r="O173" s="15">
        <v>3624</v>
      </c>
      <c r="P173" s="15">
        <v>4080</v>
      </c>
      <c r="Q173" s="15">
        <v>3706</v>
      </c>
      <c r="R173" s="15">
        <v>3754</v>
      </c>
      <c r="S173" s="15">
        <v>2895</v>
      </c>
      <c r="T173" s="15">
        <v>3072</v>
      </c>
      <c r="U173" s="15">
        <v>3166</v>
      </c>
      <c r="V173" s="15">
        <v>3456</v>
      </c>
      <c r="W173" s="15">
        <v>3486</v>
      </c>
      <c r="X173" s="15">
        <v>3240</v>
      </c>
      <c r="Y173" s="15">
        <v>3756</v>
      </c>
      <c r="Z173" s="4">
        <v>82275</v>
      </c>
      <c r="AA173" s="26">
        <v>24</v>
      </c>
      <c r="AB173" s="7">
        <v>8.7999999999999995E-2</v>
      </c>
    </row>
    <row r="174" spans="1:28" x14ac:dyDescent="0.35">
      <c r="A174" s="1">
        <v>4001287</v>
      </c>
      <c r="B174" s="15">
        <v>10050</v>
      </c>
      <c r="C174" s="15">
        <v>10550</v>
      </c>
      <c r="D174" s="15">
        <v>8700</v>
      </c>
      <c r="E174" s="15">
        <v>10900</v>
      </c>
      <c r="F174" s="15">
        <v>11900</v>
      </c>
      <c r="G174" s="15">
        <v>10800</v>
      </c>
      <c r="H174" s="15">
        <v>9150</v>
      </c>
      <c r="I174" s="15">
        <v>11000</v>
      </c>
      <c r="J174" s="15">
        <v>11800</v>
      </c>
      <c r="K174" s="15">
        <v>11750</v>
      </c>
      <c r="L174" s="15">
        <v>12300</v>
      </c>
      <c r="M174" s="15">
        <v>11400</v>
      </c>
      <c r="N174" s="15">
        <v>9900</v>
      </c>
      <c r="O174" s="15">
        <v>12380</v>
      </c>
      <c r="P174" s="15">
        <v>10050</v>
      </c>
      <c r="Q174" s="15">
        <v>10580</v>
      </c>
      <c r="R174" s="15">
        <v>13830</v>
      </c>
      <c r="S174" s="15">
        <v>9550</v>
      </c>
      <c r="T174" s="15">
        <v>8650</v>
      </c>
      <c r="U174" s="15">
        <v>11230</v>
      </c>
      <c r="V174" s="15">
        <v>11560</v>
      </c>
      <c r="W174" s="15">
        <v>11550</v>
      </c>
      <c r="X174" s="15">
        <v>10060</v>
      </c>
      <c r="Y174" s="15">
        <v>12580</v>
      </c>
      <c r="Z174" s="4">
        <v>262220</v>
      </c>
      <c r="AA174" s="26">
        <v>24</v>
      </c>
      <c r="AB174" s="7">
        <v>0.1144</v>
      </c>
    </row>
    <row r="175" spans="1:28" x14ac:dyDescent="0.35">
      <c r="A175" s="1">
        <v>4001288</v>
      </c>
      <c r="B175" s="15">
        <v>1350</v>
      </c>
      <c r="C175" s="15">
        <v>1350</v>
      </c>
      <c r="D175" s="15">
        <v>1290</v>
      </c>
      <c r="E175" s="15">
        <v>1950</v>
      </c>
      <c r="F175" s="15">
        <v>1680</v>
      </c>
      <c r="G175" s="15">
        <v>1200</v>
      </c>
      <c r="H175" s="15">
        <v>1290</v>
      </c>
      <c r="I175" s="15">
        <v>930</v>
      </c>
      <c r="J175" s="15">
        <v>1140</v>
      </c>
      <c r="K175" s="15">
        <v>1410</v>
      </c>
      <c r="L175" s="15">
        <v>1080</v>
      </c>
      <c r="M175" s="15">
        <v>1530</v>
      </c>
      <c r="N175" s="15">
        <v>1590</v>
      </c>
      <c r="O175" s="15">
        <v>1530</v>
      </c>
      <c r="P175" s="15">
        <v>1650</v>
      </c>
      <c r="Q175" s="15">
        <v>1050</v>
      </c>
      <c r="R175" s="15">
        <v>1710</v>
      </c>
      <c r="S175" s="15">
        <v>1290</v>
      </c>
      <c r="T175" s="15">
        <v>1140</v>
      </c>
      <c r="U175" s="15">
        <v>1470</v>
      </c>
      <c r="V175" s="15">
        <v>1560</v>
      </c>
      <c r="W175" s="15">
        <v>1410</v>
      </c>
      <c r="X175" s="15">
        <v>1330</v>
      </c>
      <c r="Y175" s="15">
        <v>1470</v>
      </c>
      <c r="Z175" s="4">
        <v>33400</v>
      </c>
      <c r="AA175" s="26">
        <v>24</v>
      </c>
      <c r="AB175" s="7">
        <v>0.16789999999999999</v>
      </c>
    </row>
    <row r="176" spans="1:28" x14ac:dyDescent="0.35">
      <c r="A176" s="1">
        <v>4001289</v>
      </c>
      <c r="B176" s="15">
        <v>950</v>
      </c>
      <c r="C176" s="15">
        <v>500</v>
      </c>
      <c r="D176" s="15">
        <v>700</v>
      </c>
      <c r="E176" s="15">
        <v>800</v>
      </c>
      <c r="F176" s="15">
        <v>950</v>
      </c>
      <c r="G176" s="15">
        <v>700</v>
      </c>
      <c r="H176" s="15">
        <v>600</v>
      </c>
      <c r="I176" s="15">
        <v>600</v>
      </c>
      <c r="J176" s="15">
        <v>650</v>
      </c>
      <c r="K176" s="15">
        <v>900</v>
      </c>
      <c r="L176" s="15">
        <v>600</v>
      </c>
      <c r="M176" s="15">
        <v>600</v>
      </c>
      <c r="N176" s="15">
        <v>850</v>
      </c>
      <c r="O176" s="15">
        <v>1300</v>
      </c>
      <c r="P176" s="15">
        <v>600</v>
      </c>
      <c r="Q176" s="15">
        <v>750</v>
      </c>
      <c r="R176" s="15">
        <v>600</v>
      </c>
      <c r="S176" s="15">
        <v>900</v>
      </c>
      <c r="T176" s="15">
        <v>850</v>
      </c>
      <c r="U176" s="15">
        <v>650</v>
      </c>
      <c r="V176" s="15">
        <v>1000</v>
      </c>
      <c r="W176" s="15">
        <v>800</v>
      </c>
      <c r="X176" s="15">
        <v>600</v>
      </c>
      <c r="Y176" s="15">
        <v>650</v>
      </c>
      <c r="Z176" s="4">
        <v>18100</v>
      </c>
      <c r="AA176" s="26">
        <v>24</v>
      </c>
      <c r="AB176" s="7">
        <v>0.2374</v>
      </c>
    </row>
    <row r="177" spans="1:28" x14ac:dyDescent="0.35">
      <c r="A177" s="1">
        <v>4001290</v>
      </c>
      <c r="B177" s="15">
        <v>150</v>
      </c>
      <c r="C177" s="15">
        <v>60</v>
      </c>
      <c r="D177" s="15">
        <v>60</v>
      </c>
      <c r="E177" s="15">
        <v>30</v>
      </c>
      <c r="F177" s="15">
        <v>120</v>
      </c>
      <c r="G177" s="15">
        <v>30</v>
      </c>
      <c r="H177" s="15">
        <v>90</v>
      </c>
      <c r="I177" s="15">
        <v>90</v>
      </c>
      <c r="J177" s="15">
        <v>90</v>
      </c>
      <c r="K177" s="15">
        <v>120</v>
      </c>
      <c r="L177" s="15">
        <v>30</v>
      </c>
      <c r="M177" s="15">
        <v>90</v>
      </c>
      <c r="N177" s="15">
        <v>90</v>
      </c>
      <c r="O177" s="15">
        <v>30</v>
      </c>
      <c r="P177" s="15">
        <v>30</v>
      </c>
      <c r="Q177" s="15">
        <v>60</v>
      </c>
      <c r="R177" s="15">
        <v>60</v>
      </c>
      <c r="S177" s="15">
        <v>90</v>
      </c>
      <c r="T177" s="15">
        <v>30</v>
      </c>
      <c r="U177" s="15">
        <v>30</v>
      </c>
      <c r="V177" s="15">
        <v>30</v>
      </c>
      <c r="W177" s="15">
        <v>90</v>
      </c>
      <c r="X177" s="15">
        <v>90</v>
      </c>
      <c r="Y177" s="15">
        <v>0</v>
      </c>
      <c r="Z177" s="4">
        <v>1590</v>
      </c>
      <c r="AA177" s="26">
        <v>23</v>
      </c>
      <c r="AB177" s="7">
        <v>0.55430000000000001</v>
      </c>
    </row>
    <row r="178" spans="1:28" x14ac:dyDescent="0.35">
      <c r="A178" s="1">
        <v>4001291</v>
      </c>
      <c r="B178" s="15">
        <v>550</v>
      </c>
      <c r="C178" s="15">
        <v>400</v>
      </c>
      <c r="D178" s="15">
        <v>250</v>
      </c>
      <c r="E178" s="15">
        <v>250</v>
      </c>
      <c r="F178" s="15">
        <v>750</v>
      </c>
      <c r="G178" s="15">
        <v>450</v>
      </c>
      <c r="H178" s="15">
        <v>400</v>
      </c>
      <c r="I178" s="15">
        <v>300</v>
      </c>
      <c r="J178" s="15">
        <v>250</v>
      </c>
      <c r="K178" s="15">
        <v>350</v>
      </c>
      <c r="L178" s="15">
        <v>200</v>
      </c>
      <c r="M178" s="15">
        <v>400</v>
      </c>
      <c r="N178" s="15">
        <v>500</v>
      </c>
      <c r="O178" s="15">
        <v>600</v>
      </c>
      <c r="P178" s="15">
        <v>500</v>
      </c>
      <c r="Q178" s="15">
        <v>400</v>
      </c>
      <c r="R178" s="15">
        <v>500</v>
      </c>
      <c r="S178" s="15">
        <v>500</v>
      </c>
      <c r="T178" s="15">
        <v>400</v>
      </c>
      <c r="U178" s="15">
        <v>500</v>
      </c>
      <c r="V178" s="15">
        <v>900</v>
      </c>
      <c r="W178" s="15">
        <v>350</v>
      </c>
      <c r="X178" s="15">
        <v>350</v>
      </c>
      <c r="Y178" s="15">
        <v>550</v>
      </c>
      <c r="Z178" s="4">
        <v>10600</v>
      </c>
      <c r="AA178" s="26">
        <v>24</v>
      </c>
      <c r="AB178" s="7">
        <v>0.35599999999999998</v>
      </c>
    </row>
    <row r="179" spans="1:28" x14ac:dyDescent="0.35">
      <c r="A179" s="1">
        <v>4001293</v>
      </c>
      <c r="B179" s="15">
        <v>860</v>
      </c>
      <c r="C179" s="15">
        <v>900</v>
      </c>
      <c r="D179" s="15">
        <v>1100</v>
      </c>
      <c r="E179" s="15">
        <v>700</v>
      </c>
      <c r="F179" s="15">
        <v>1180</v>
      </c>
      <c r="G179" s="15">
        <v>900</v>
      </c>
      <c r="H179" s="15">
        <v>1060</v>
      </c>
      <c r="I179" s="15">
        <v>800</v>
      </c>
      <c r="J179" s="15">
        <v>1040</v>
      </c>
      <c r="K179" s="15">
        <v>980</v>
      </c>
      <c r="L179" s="15">
        <v>620</v>
      </c>
      <c r="M179" s="15">
        <v>940</v>
      </c>
      <c r="N179" s="15">
        <v>1020</v>
      </c>
      <c r="O179" s="15">
        <v>1100</v>
      </c>
      <c r="P179" s="15">
        <v>1320</v>
      </c>
      <c r="Q179" s="15">
        <v>1380</v>
      </c>
      <c r="R179" s="15">
        <v>940</v>
      </c>
      <c r="S179" s="15">
        <v>820</v>
      </c>
      <c r="T179" s="15">
        <v>1200</v>
      </c>
      <c r="U179" s="15">
        <v>840</v>
      </c>
      <c r="V179" s="15">
        <v>860</v>
      </c>
      <c r="W179" s="15">
        <v>860</v>
      </c>
      <c r="X179" s="15">
        <v>640</v>
      </c>
      <c r="Y179" s="15">
        <v>1040</v>
      </c>
      <c r="Z179" s="4">
        <v>23100</v>
      </c>
      <c r="AA179" s="26">
        <v>24</v>
      </c>
      <c r="AB179" s="7">
        <v>0.1968</v>
      </c>
    </row>
    <row r="180" spans="1:28" x14ac:dyDescent="0.35">
      <c r="A180" s="1">
        <v>4001295</v>
      </c>
      <c r="B180" s="15">
        <v>340</v>
      </c>
      <c r="C180" s="15">
        <v>500</v>
      </c>
      <c r="D180" s="15">
        <v>370</v>
      </c>
      <c r="E180" s="15">
        <v>420</v>
      </c>
      <c r="F180" s="15">
        <v>380</v>
      </c>
      <c r="G180" s="15">
        <v>340</v>
      </c>
      <c r="H180" s="15">
        <v>260</v>
      </c>
      <c r="I180" s="15">
        <v>420</v>
      </c>
      <c r="J180" s="15">
        <v>440</v>
      </c>
      <c r="K180" s="15">
        <v>400</v>
      </c>
      <c r="L180" s="15">
        <v>420</v>
      </c>
      <c r="M180" s="15">
        <v>400</v>
      </c>
      <c r="N180" s="15">
        <v>440</v>
      </c>
      <c r="O180" s="15">
        <v>560</v>
      </c>
      <c r="P180" s="15">
        <v>420</v>
      </c>
      <c r="Q180" s="15">
        <v>440</v>
      </c>
      <c r="R180" s="15">
        <v>440</v>
      </c>
      <c r="S180" s="15">
        <v>460</v>
      </c>
      <c r="T180" s="15">
        <v>140</v>
      </c>
      <c r="U180" s="15">
        <v>400</v>
      </c>
      <c r="V180" s="15">
        <v>580</v>
      </c>
      <c r="W180" s="15">
        <v>320</v>
      </c>
      <c r="X180" s="15">
        <v>480</v>
      </c>
      <c r="Y180" s="15">
        <v>370</v>
      </c>
      <c r="Z180" s="4">
        <v>9740</v>
      </c>
      <c r="AA180" s="26">
        <v>24</v>
      </c>
      <c r="AB180" s="7">
        <v>0.21820000000000001</v>
      </c>
    </row>
    <row r="181" spans="1:28" x14ac:dyDescent="0.35">
      <c r="A181" s="1">
        <v>4001307</v>
      </c>
      <c r="B181" s="15">
        <v>3700</v>
      </c>
      <c r="C181" s="15">
        <v>2520</v>
      </c>
      <c r="D181" s="15">
        <v>2980</v>
      </c>
      <c r="E181" s="15">
        <v>2880</v>
      </c>
      <c r="F181" s="15">
        <v>3680</v>
      </c>
      <c r="G181" s="15">
        <v>2360</v>
      </c>
      <c r="H181" s="15">
        <v>1320</v>
      </c>
      <c r="I181" s="15">
        <v>2640</v>
      </c>
      <c r="J181" s="15">
        <v>2880</v>
      </c>
      <c r="K181" s="15">
        <v>2640</v>
      </c>
      <c r="L181" s="15">
        <v>2640</v>
      </c>
      <c r="M181" s="15">
        <v>2520</v>
      </c>
      <c r="N181" s="15">
        <v>3120</v>
      </c>
      <c r="O181" s="15">
        <v>3220</v>
      </c>
      <c r="P181" s="15">
        <v>2880</v>
      </c>
      <c r="Q181" s="15">
        <v>2640</v>
      </c>
      <c r="R181" s="15">
        <v>3480</v>
      </c>
      <c r="S181" s="15">
        <v>2040</v>
      </c>
      <c r="T181" s="15">
        <v>1440</v>
      </c>
      <c r="U181" s="15">
        <v>2640</v>
      </c>
      <c r="V181" s="15">
        <v>3120</v>
      </c>
      <c r="W181" s="15">
        <v>2520</v>
      </c>
      <c r="X181" s="15">
        <v>2760</v>
      </c>
      <c r="Y181" s="15">
        <v>2760</v>
      </c>
      <c r="Z181" s="4">
        <v>65380</v>
      </c>
      <c r="AA181" s="26">
        <v>24</v>
      </c>
      <c r="AB181" s="7">
        <v>0.20549999999999999</v>
      </c>
    </row>
    <row r="182" spans="1:28" x14ac:dyDescent="0.35">
      <c r="A182" s="1">
        <v>4001310</v>
      </c>
      <c r="B182" s="15">
        <v>65</v>
      </c>
      <c r="C182" s="15">
        <v>50</v>
      </c>
      <c r="D182" s="15">
        <v>35</v>
      </c>
      <c r="E182" s="15">
        <v>25</v>
      </c>
      <c r="F182" s="15">
        <v>40</v>
      </c>
      <c r="G182" s="15">
        <v>25</v>
      </c>
      <c r="H182" s="15">
        <v>5</v>
      </c>
      <c r="I182" s="15">
        <v>15</v>
      </c>
      <c r="J182" s="15">
        <v>35</v>
      </c>
      <c r="K182" s="15">
        <v>20</v>
      </c>
      <c r="L182" s="15">
        <v>40</v>
      </c>
      <c r="M182" s="15">
        <v>25</v>
      </c>
      <c r="N182" s="15">
        <v>50</v>
      </c>
      <c r="O182" s="15">
        <v>30</v>
      </c>
      <c r="P182" s="15">
        <v>30</v>
      </c>
      <c r="Q182" s="15">
        <v>20</v>
      </c>
      <c r="R182" s="15">
        <v>30</v>
      </c>
      <c r="S182" s="15">
        <v>40</v>
      </c>
      <c r="T182" s="15">
        <v>10</v>
      </c>
      <c r="U182" s="15">
        <v>25</v>
      </c>
      <c r="V182" s="15">
        <v>40</v>
      </c>
      <c r="W182" s="15">
        <v>30</v>
      </c>
      <c r="X182" s="15">
        <v>40</v>
      </c>
      <c r="Y182" s="15">
        <v>35</v>
      </c>
      <c r="Z182" s="4">
        <v>760</v>
      </c>
      <c r="AA182" s="26">
        <v>24</v>
      </c>
      <c r="AB182" s="7">
        <v>0.41189999999999999</v>
      </c>
    </row>
    <row r="183" spans="1:28" x14ac:dyDescent="0.35">
      <c r="A183" s="1">
        <v>4001312</v>
      </c>
      <c r="B183" s="15">
        <v>328</v>
      </c>
      <c r="C183" s="15">
        <v>142</v>
      </c>
      <c r="D183" s="15">
        <v>142</v>
      </c>
      <c r="E183" s="15">
        <v>242</v>
      </c>
      <c r="F183" s="15">
        <v>170</v>
      </c>
      <c r="G183" s="15">
        <v>528</v>
      </c>
      <c r="H183" s="15">
        <v>484</v>
      </c>
      <c r="I183" s="15">
        <v>198</v>
      </c>
      <c r="J183" s="15">
        <v>556</v>
      </c>
      <c r="K183" s="15">
        <v>584</v>
      </c>
      <c r="L183" s="15">
        <v>698</v>
      </c>
      <c r="M183" s="15">
        <v>566</v>
      </c>
      <c r="N183" s="15">
        <v>642</v>
      </c>
      <c r="O183" s="15">
        <v>456</v>
      </c>
      <c r="P183" s="15">
        <v>714</v>
      </c>
      <c r="Q183" s="15">
        <v>370</v>
      </c>
      <c r="R183" s="15">
        <v>242</v>
      </c>
      <c r="S183" s="15">
        <v>812</v>
      </c>
      <c r="T183" s="15">
        <v>186</v>
      </c>
      <c r="U183" s="15">
        <v>128</v>
      </c>
      <c r="V183" s="15">
        <v>340</v>
      </c>
      <c r="W183" s="15">
        <v>513</v>
      </c>
      <c r="X183" s="15">
        <v>56</v>
      </c>
      <c r="Y183" s="15">
        <v>684</v>
      </c>
      <c r="Z183" s="4">
        <v>9781</v>
      </c>
      <c r="AA183" s="26">
        <v>24</v>
      </c>
      <c r="AB183" s="7">
        <v>0.53590000000000004</v>
      </c>
    </row>
    <row r="184" spans="1:28" x14ac:dyDescent="0.35">
      <c r="A184" s="1">
        <v>4001314</v>
      </c>
      <c r="B184" s="15">
        <v>3200</v>
      </c>
      <c r="C184" s="15">
        <v>3400</v>
      </c>
      <c r="D184" s="15">
        <v>3550</v>
      </c>
      <c r="E184" s="15">
        <v>3100</v>
      </c>
      <c r="F184" s="15">
        <v>3250</v>
      </c>
      <c r="G184" s="15">
        <v>2400</v>
      </c>
      <c r="H184" s="15">
        <v>3350</v>
      </c>
      <c r="I184" s="15">
        <v>3350</v>
      </c>
      <c r="J184" s="15">
        <v>3300</v>
      </c>
      <c r="K184" s="15">
        <v>2850</v>
      </c>
      <c r="L184" s="15">
        <v>2800</v>
      </c>
      <c r="M184" s="15">
        <v>4750</v>
      </c>
      <c r="N184" s="15">
        <v>2850</v>
      </c>
      <c r="O184" s="15">
        <v>3450</v>
      </c>
      <c r="P184" s="15">
        <v>3500</v>
      </c>
      <c r="Q184" s="15">
        <v>2700</v>
      </c>
      <c r="R184" s="15">
        <v>3450</v>
      </c>
      <c r="S184" s="15">
        <v>3300</v>
      </c>
      <c r="T184" s="15">
        <v>1700</v>
      </c>
      <c r="U184" s="15">
        <v>3850</v>
      </c>
      <c r="V184" s="15">
        <v>2450</v>
      </c>
      <c r="W184" s="15">
        <v>4000</v>
      </c>
      <c r="X184" s="15">
        <v>3400</v>
      </c>
      <c r="Y184" s="15">
        <v>2950</v>
      </c>
      <c r="Z184" s="4">
        <v>76900</v>
      </c>
      <c r="AA184" s="26">
        <v>24</v>
      </c>
      <c r="AB184" s="7">
        <v>0.18160000000000001</v>
      </c>
    </row>
    <row r="185" spans="1:28" x14ac:dyDescent="0.35">
      <c r="A185" s="1">
        <v>4001315</v>
      </c>
      <c r="B185" s="15">
        <v>645</v>
      </c>
      <c r="C185" s="15">
        <v>460</v>
      </c>
      <c r="D185" s="15">
        <v>520</v>
      </c>
      <c r="E185" s="15">
        <v>440</v>
      </c>
      <c r="F185" s="15">
        <v>403</v>
      </c>
      <c r="G185" s="15">
        <v>440</v>
      </c>
      <c r="H185" s="15">
        <v>279</v>
      </c>
      <c r="I185" s="15">
        <v>312</v>
      </c>
      <c r="J185" s="15">
        <v>422</v>
      </c>
      <c r="K185" s="15">
        <v>480</v>
      </c>
      <c r="L185" s="15">
        <v>320</v>
      </c>
      <c r="M185" s="15">
        <v>432</v>
      </c>
      <c r="N185" s="15">
        <v>595</v>
      </c>
      <c r="O185" s="15">
        <v>398</v>
      </c>
      <c r="P185" s="15">
        <v>463</v>
      </c>
      <c r="Q185" s="15">
        <v>314</v>
      </c>
      <c r="R185" s="15">
        <v>452</v>
      </c>
      <c r="S185" s="15">
        <v>369</v>
      </c>
      <c r="T185" s="15">
        <v>267</v>
      </c>
      <c r="U185" s="15">
        <v>348</v>
      </c>
      <c r="V185" s="15">
        <v>457</v>
      </c>
      <c r="W185" s="15">
        <v>460</v>
      </c>
      <c r="X185" s="15">
        <v>490</v>
      </c>
      <c r="Y185" s="15">
        <v>376</v>
      </c>
      <c r="Z185" s="4">
        <v>10142</v>
      </c>
      <c r="AA185" s="26">
        <v>24</v>
      </c>
      <c r="AB185" s="7">
        <v>0.21310000000000001</v>
      </c>
    </row>
    <row r="186" spans="1:28" x14ac:dyDescent="0.35">
      <c r="A186" s="1">
        <v>4001316</v>
      </c>
      <c r="B186" s="15">
        <v>1440</v>
      </c>
      <c r="C186" s="15">
        <v>1536</v>
      </c>
      <c r="D186" s="15">
        <v>1068</v>
      </c>
      <c r="E186" s="15">
        <v>831</v>
      </c>
      <c r="F186" s="15">
        <v>1536</v>
      </c>
      <c r="G186" s="15">
        <v>1308</v>
      </c>
      <c r="H186" s="15">
        <v>1140</v>
      </c>
      <c r="I186" s="15">
        <v>1200</v>
      </c>
      <c r="J186" s="15">
        <v>1344</v>
      </c>
      <c r="K186" s="15">
        <v>1296</v>
      </c>
      <c r="L186" s="15">
        <v>1392</v>
      </c>
      <c r="M186" s="15">
        <v>1428</v>
      </c>
      <c r="N186" s="15">
        <v>1428</v>
      </c>
      <c r="O186" s="15">
        <v>1536</v>
      </c>
      <c r="P186" s="15">
        <v>1500</v>
      </c>
      <c r="Q186" s="15">
        <v>1332</v>
      </c>
      <c r="R186" s="15">
        <v>1344</v>
      </c>
      <c r="S186" s="15">
        <v>1308</v>
      </c>
      <c r="T186" s="15">
        <v>1116</v>
      </c>
      <c r="U186" s="15">
        <v>1236</v>
      </c>
      <c r="V186" s="15">
        <v>1500</v>
      </c>
      <c r="W186" s="15">
        <v>1344</v>
      </c>
      <c r="X186" s="15">
        <v>1272</v>
      </c>
      <c r="Y186" s="15">
        <v>1344</v>
      </c>
      <c r="Z186" s="4">
        <v>31779</v>
      </c>
      <c r="AA186" s="26">
        <v>24</v>
      </c>
      <c r="AB186" s="7">
        <v>0.1244</v>
      </c>
    </row>
    <row r="187" spans="1:28" x14ac:dyDescent="0.35">
      <c r="A187" s="1">
        <v>4001318</v>
      </c>
      <c r="B187" s="15">
        <v>360</v>
      </c>
      <c r="C187" s="15">
        <v>135</v>
      </c>
      <c r="D187" s="15">
        <v>270</v>
      </c>
      <c r="E187" s="15">
        <v>315</v>
      </c>
      <c r="F187" s="15">
        <v>280</v>
      </c>
      <c r="G187" s="15">
        <v>280</v>
      </c>
      <c r="H187" s="15">
        <v>315</v>
      </c>
      <c r="I187" s="15">
        <v>180</v>
      </c>
      <c r="J187" s="15">
        <v>370</v>
      </c>
      <c r="K187" s="15">
        <v>135</v>
      </c>
      <c r="L187" s="15">
        <v>0</v>
      </c>
      <c r="M187" s="15">
        <v>90</v>
      </c>
      <c r="N187" s="15">
        <v>45</v>
      </c>
      <c r="O187" s="15">
        <v>90</v>
      </c>
      <c r="P187" s="15">
        <v>90</v>
      </c>
      <c r="Q187" s="15">
        <v>135</v>
      </c>
      <c r="R187" s="15">
        <v>45</v>
      </c>
      <c r="S187" s="15">
        <v>55</v>
      </c>
      <c r="T187" s="15">
        <v>0</v>
      </c>
      <c r="U187" s="15">
        <v>10</v>
      </c>
      <c r="V187" s="15">
        <v>45</v>
      </c>
      <c r="W187" s="15">
        <v>45</v>
      </c>
      <c r="X187" s="15">
        <v>10</v>
      </c>
      <c r="Y187" s="15">
        <v>90</v>
      </c>
      <c r="Z187" s="4">
        <v>3390</v>
      </c>
      <c r="AA187" s="26">
        <v>22</v>
      </c>
      <c r="AB187" s="7">
        <v>0.8508</v>
      </c>
    </row>
    <row r="188" spans="1:28" x14ac:dyDescent="0.35">
      <c r="A188" s="1">
        <v>4001320</v>
      </c>
      <c r="B188" s="15">
        <v>300</v>
      </c>
      <c r="C188" s="15">
        <v>250</v>
      </c>
      <c r="D188" s="15">
        <v>200</v>
      </c>
      <c r="E188" s="15">
        <v>200</v>
      </c>
      <c r="F188" s="15">
        <v>300</v>
      </c>
      <c r="G188" s="15">
        <v>250</v>
      </c>
      <c r="H188" s="15">
        <v>50</v>
      </c>
      <c r="I188" s="15">
        <v>200</v>
      </c>
      <c r="J188" s="15">
        <v>100</v>
      </c>
      <c r="K188" s="15">
        <v>200</v>
      </c>
      <c r="L188" s="15">
        <v>200</v>
      </c>
      <c r="M188" s="15">
        <v>50</v>
      </c>
      <c r="N188" s="15">
        <v>0</v>
      </c>
      <c r="O188" s="15">
        <v>250</v>
      </c>
      <c r="P188" s="15">
        <v>300</v>
      </c>
      <c r="Q188" s="15">
        <v>150</v>
      </c>
      <c r="R188" s="15">
        <v>200</v>
      </c>
      <c r="S188" s="15">
        <v>350</v>
      </c>
      <c r="T188" s="15">
        <v>150</v>
      </c>
      <c r="U188" s="15">
        <v>150</v>
      </c>
      <c r="V188" s="15">
        <v>450</v>
      </c>
      <c r="W188" s="15">
        <v>250</v>
      </c>
      <c r="X188" s="15">
        <v>50</v>
      </c>
      <c r="Y188" s="15">
        <v>350</v>
      </c>
      <c r="Z188" s="4">
        <v>4950</v>
      </c>
      <c r="AA188" s="26">
        <v>23</v>
      </c>
      <c r="AB188" s="7">
        <v>0.51570000000000005</v>
      </c>
    </row>
    <row r="189" spans="1:28" x14ac:dyDescent="0.35">
      <c r="A189" s="1">
        <v>4001324</v>
      </c>
      <c r="B189" s="15">
        <v>117</v>
      </c>
      <c r="C189" s="15">
        <v>116</v>
      </c>
      <c r="D189" s="15">
        <v>119</v>
      </c>
      <c r="E189" s="15">
        <v>104</v>
      </c>
      <c r="F189" s="15">
        <v>120</v>
      </c>
      <c r="G189" s="15">
        <v>119</v>
      </c>
      <c r="H189" s="15">
        <v>117</v>
      </c>
      <c r="I189" s="15">
        <v>90</v>
      </c>
      <c r="J189" s="15">
        <v>97</v>
      </c>
      <c r="K189" s="15">
        <v>107</v>
      </c>
      <c r="L189" s="15">
        <v>122</v>
      </c>
      <c r="M189" s="15">
        <v>112</v>
      </c>
      <c r="N189" s="15">
        <v>137</v>
      </c>
      <c r="O189" s="15">
        <v>101</v>
      </c>
      <c r="P189" s="15">
        <v>119</v>
      </c>
      <c r="Q189" s="15">
        <v>114</v>
      </c>
      <c r="R189" s="15">
        <v>122</v>
      </c>
      <c r="S189" s="15">
        <v>101</v>
      </c>
      <c r="T189" s="15">
        <v>100</v>
      </c>
      <c r="U189" s="15">
        <v>97</v>
      </c>
      <c r="V189" s="15">
        <v>118</v>
      </c>
      <c r="W189" s="15">
        <v>121</v>
      </c>
      <c r="X189" s="15">
        <v>113</v>
      </c>
      <c r="Y189" s="15">
        <v>124</v>
      </c>
      <c r="Z189" s="4">
        <v>2707</v>
      </c>
      <c r="AA189" s="26">
        <v>24</v>
      </c>
      <c r="AB189" s="7">
        <v>9.5100000000000004E-2</v>
      </c>
    </row>
    <row r="190" spans="1:28" x14ac:dyDescent="0.35">
      <c r="A190" s="1">
        <v>4001328</v>
      </c>
      <c r="B190" s="15">
        <v>280</v>
      </c>
      <c r="C190" s="15">
        <v>440</v>
      </c>
      <c r="D190" s="15">
        <v>345</v>
      </c>
      <c r="E190" s="15">
        <v>405</v>
      </c>
      <c r="F190" s="15">
        <v>195</v>
      </c>
      <c r="G190" s="15">
        <v>445</v>
      </c>
      <c r="H190" s="15">
        <v>65</v>
      </c>
      <c r="I190" s="15">
        <v>430</v>
      </c>
      <c r="J190" s="15">
        <v>325</v>
      </c>
      <c r="K190" s="15">
        <v>780</v>
      </c>
      <c r="L190" s="15">
        <v>895</v>
      </c>
      <c r="M190" s="15">
        <v>650</v>
      </c>
      <c r="N190" s="15">
        <v>390</v>
      </c>
      <c r="O190" s="15">
        <v>975</v>
      </c>
      <c r="P190" s="15">
        <v>650</v>
      </c>
      <c r="Q190" s="15">
        <v>1065</v>
      </c>
      <c r="R190" s="15">
        <v>260</v>
      </c>
      <c r="S190" s="15">
        <v>455</v>
      </c>
      <c r="T190" s="15">
        <v>195</v>
      </c>
      <c r="U190" s="15">
        <v>845</v>
      </c>
      <c r="V190" s="15">
        <v>365</v>
      </c>
      <c r="W190" s="15">
        <v>535</v>
      </c>
      <c r="X190" s="15">
        <v>495</v>
      </c>
      <c r="Y190" s="15">
        <v>325</v>
      </c>
      <c r="Z190" s="4">
        <v>11810</v>
      </c>
      <c r="AA190" s="26">
        <v>24</v>
      </c>
      <c r="AB190" s="7">
        <v>0.51849999999999996</v>
      </c>
    </row>
    <row r="191" spans="1:28" x14ac:dyDescent="0.35">
      <c r="A191" s="1">
        <v>4001331</v>
      </c>
      <c r="B191" s="15">
        <v>900</v>
      </c>
      <c r="C191" s="15">
        <v>500</v>
      </c>
      <c r="D191" s="15">
        <v>1200</v>
      </c>
      <c r="E191" s="15">
        <v>452</v>
      </c>
      <c r="F191" s="15">
        <v>600</v>
      </c>
      <c r="G191" s="15">
        <v>1000</v>
      </c>
      <c r="H191" s="15">
        <v>500</v>
      </c>
      <c r="I191" s="15">
        <v>900</v>
      </c>
      <c r="J191" s="15">
        <v>900</v>
      </c>
      <c r="K191" s="15">
        <v>850</v>
      </c>
      <c r="L191" s="15">
        <v>700</v>
      </c>
      <c r="M191" s="15">
        <v>600</v>
      </c>
      <c r="N191" s="15">
        <v>650</v>
      </c>
      <c r="O191" s="15">
        <v>1100</v>
      </c>
      <c r="P191" s="15">
        <v>650</v>
      </c>
      <c r="Q191" s="15">
        <v>1450</v>
      </c>
      <c r="R191" s="15">
        <v>500</v>
      </c>
      <c r="S191" s="15">
        <v>1000</v>
      </c>
      <c r="T191" s="15">
        <v>1000</v>
      </c>
      <c r="U191" s="15">
        <v>550</v>
      </c>
      <c r="V191" s="15">
        <v>600</v>
      </c>
      <c r="W191" s="15">
        <v>850</v>
      </c>
      <c r="X191" s="15">
        <v>600</v>
      </c>
      <c r="Y191" s="15">
        <v>800</v>
      </c>
      <c r="Z191" s="4">
        <v>18852</v>
      </c>
      <c r="AA191" s="26">
        <v>24</v>
      </c>
      <c r="AB191" s="7">
        <v>0.31730000000000003</v>
      </c>
    </row>
    <row r="192" spans="1:28" x14ac:dyDescent="0.35">
      <c r="A192" s="1">
        <v>4001334</v>
      </c>
      <c r="B192" s="15">
        <v>880</v>
      </c>
      <c r="C192" s="15">
        <v>715</v>
      </c>
      <c r="D192" s="15">
        <v>605</v>
      </c>
      <c r="E192" s="15">
        <v>510</v>
      </c>
      <c r="F192" s="15">
        <v>575</v>
      </c>
      <c r="G192" s="15">
        <v>840</v>
      </c>
      <c r="H192" s="15">
        <v>350</v>
      </c>
      <c r="I192" s="15">
        <v>360</v>
      </c>
      <c r="J192" s="15">
        <v>540</v>
      </c>
      <c r="K192" s="15">
        <v>475</v>
      </c>
      <c r="L192" s="15">
        <v>655</v>
      </c>
      <c r="M192" s="15">
        <v>600</v>
      </c>
      <c r="N192" s="15">
        <v>660</v>
      </c>
      <c r="O192" s="15">
        <v>530</v>
      </c>
      <c r="P192" s="15">
        <v>600</v>
      </c>
      <c r="Q192" s="15">
        <v>475</v>
      </c>
      <c r="R192" s="15">
        <v>570</v>
      </c>
      <c r="S192" s="15">
        <v>360</v>
      </c>
      <c r="T192" s="15">
        <v>240</v>
      </c>
      <c r="U192" s="15">
        <v>580</v>
      </c>
      <c r="V192" s="15">
        <v>420</v>
      </c>
      <c r="W192" s="15">
        <v>590</v>
      </c>
      <c r="X192" s="15">
        <v>660</v>
      </c>
      <c r="Y192" s="15">
        <v>420</v>
      </c>
      <c r="Z192" s="4">
        <v>13210</v>
      </c>
      <c r="AA192" s="26">
        <v>24</v>
      </c>
      <c r="AB192" s="7">
        <v>0.2681</v>
      </c>
    </row>
    <row r="193" spans="1:28" x14ac:dyDescent="0.35">
      <c r="A193" s="1">
        <v>4001340</v>
      </c>
      <c r="B193" s="15">
        <v>48</v>
      </c>
      <c r="C193" s="15">
        <v>42</v>
      </c>
      <c r="D193" s="15">
        <v>30</v>
      </c>
      <c r="E193" s="15">
        <v>36</v>
      </c>
      <c r="F193" s="15">
        <v>36</v>
      </c>
      <c r="G193" s="15">
        <v>42</v>
      </c>
      <c r="H193" s="15">
        <v>0</v>
      </c>
      <c r="I193" s="15">
        <v>42</v>
      </c>
      <c r="J193" s="15">
        <v>36</v>
      </c>
      <c r="K193" s="15">
        <v>30</v>
      </c>
      <c r="L193" s="15">
        <v>48</v>
      </c>
      <c r="M193" s="15">
        <v>30</v>
      </c>
      <c r="N193" s="15">
        <v>36</v>
      </c>
      <c r="O193" s="15">
        <v>42</v>
      </c>
      <c r="P193" s="15">
        <v>36</v>
      </c>
      <c r="Q193" s="15">
        <v>24</v>
      </c>
      <c r="R193" s="15">
        <v>42</v>
      </c>
      <c r="S193" s="15">
        <v>36</v>
      </c>
      <c r="T193" s="15">
        <v>0</v>
      </c>
      <c r="U193" s="15">
        <v>30</v>
      </c>
      <c r="V193" s="15">
        <v>48</v>
      </c>
      <c r="W193" s="15">
        <v>30</v>
      </c>
      <c r="X193" s="15">
        <v>36</v>
      </c>
      <c r="Y193" s="15">
        <v>24</v>
      </c>
      <c r="Z193" s="4">
        <v>804</v>
      </c>
      <c r="AA193" s="26">
        <v>22</v>
      </c>
      <c r="AB193" s="7">
        <v>0.36159999999999998</v>
      </c>
    </row>
    <row r="194" spans="1:28" x14ac:dyDescent="0.35">
      <c r="A194" s="1">
        <v>4001341</v>
      </c>
      <c r="B194" s="15">
        <v>400</v>
      </c>
      <c r="C194" s="15">
        <v>600</v>
      </c>
      <c r="D194" s="15">
        <v>100</v>
      </c>
      <c r="E194" s="15">
        <v>350</v>
      </c>
      <c r="F194" s="15">
        <v>450</v>
      </c>
      <c r="G194" s="15">
        <v>200</v>
      </c>
      <c r="H194" s="15">
        <v>450</v>
      </c>
      <c r="I194" s="15">
        <v>100</v>
      </c>
      <c r="J194" s="15">
        <v>250</v>
      </c>
      <c r="K194" s="15">
        <v>150</v>
      </c>
      <c r="L194" s="15">
        <v>450</v>
      </c>
      <c r="M194" s="15">
        <v>350</v>
      </c>
      <c r="N194" s="15">
        <v>250</v>
      </c>
      <c r="O194" s="15">
        <v>350</v>
      </c>
      <c r="P194" s="15">
        <v>450</v>
      </c>
      <c r="Q194" s="15">
        <v>100</v>
      </c>
      <c r="R194" s="15">
        <v>100</v>
      </c>
      <c r="S194" s="15">
        <v>200</v>
      </c>
      <c r="T194" s="15">
        <v>100</v>
      </c>
      <c r="U194" s="15">
        <v>150</v>
      </c>
      <c r="V194" s="15">
        <v>300</v>
      </c>
      <c r="W194" s="15">
        <v>400</v>
      </c>
      <c r="X194" s="15">
        <v>250</v>
      </c>
      <c r="Y194" s="15">
        <v>300</v>
      </c>
      <c r="Z194" s="4">
        <v>6800</v>
      </c>
      <c r="AA194" s="26">
        <v>24</v>
      </c>
      <c r="AB194" s="7">
        <v>0.49569999999999997</v>
      </c>
    </row>
    <row r="195" spans="1:28" x14ac:dyDescent="0.35">
      <c r="A195" s="1">
        <v>4001343</v>
      </c>
      <c r="B195" s="15">
        <v>83</v>
      </c>
      <c r="C195" s="15">
        <v>80</v>
      </c>
      <c r="D195" s="15">
        <v>81</v>
      </c>
      <c r="E195" s="15">
        <v>89</v>
      </c>
      <c r="F195" s="15">
        <v>83</v>
      </c>
      <c r="G195" s="15">
        <v>87</v>
      </c>
      <c r="H195" s="15">
        <v>52</v>
      </c>
      <c r="I195" s="15">
        <v>87</v>
      </c>
      <c r="J195" s="15">
        <v>79</v>
      </c>
      <c r="K195" s="15">
        <v>54</v>
      </c>
      <c r="L195" s="15">
        <v>102</v>
      </c>
      <c r="M195" s="15">
        <v>63</v>
      </c>
      <c r="N195" s="15">
        <v>74</v>
      </c>
      <c r="O195" s="15">
        <v>81</v>
      </c>
      <c r="P195" s="15">
        <v>12</v>
      </c>
      <c r="Q195" s="15">
        <v>78</v>
      </c>
      <c r="R195" s="15">
        <v>68</v>
      </c>
      <c r="S195" s="15">
        <v>72</v>
      </c>
      <c r="T195" s="15">
        <v>62</v>
      </c>
      <c r="U195" s="15">
        <v>57</v>
      </c>
      <c r="V195" s="15">
        <v>92</v>
      </c>
      <c r="W195" s="15">
        <v>84</v>
      </c>
      <c r="X195" s="15">
        <v>76</v>
      </c>
      <c r="Y195" s="15">
        <v>85</v>
      </c>
      <c r="Z195" s="4">
        <v>1781</v>
      </c>
      <c r="AA195" s="26">
        <v>24</v>
      </c>
      <c r="AB195" s="7">
        <v>0.23910000000000001</v>
      </c>
    </row>
    <row r="196" spans="1:28" x14ac:dyDescent="0.35">
      <c r="A196" s="1">
        <v>4001344</v>
      </c>
      <c r="B196" s="15">
        <v>18</v>
      </c>
      <c r="C196" s="15">
        <v>17</v>
      </c>
      <c r="D196" s="15">
        <v>20</v>
      </c>
      <c r="E196" s="15">
        <v>11</v>
      </c>
      <c r="F196" s="15">
        <v>23</v>
      </c>
      <c r="G196" s="15">
        <v>13</v>
      </c>
      <c r="H196" s="15">
        <v>28</v>
      </c>
      <c r="I196" s="15">
        <v>26</v>
      </c>
      <c r="J196" s="15">
        <v>23</v>
      </c>
      <c r="K196" s="15">
        <v>17</v>
      </c>
      <c r="L196" s="15">
        <v>19</v>
      </c>
      <c r="M196" s="15">
        <v>25</v>
      </c>
      <c r="N196" s="15">
        <v>12</v>
      </c>
      <c r="O196" s="15">
        <v>29</v>
      </c>
      <c r="P196" s="15">
        <v>16</v>
      </c>
      <c r="Q196" s="15">
        <v>23</v>
      </c>
      <c r="R196" s="15">
        <v>15</v>
      </c>
      <c r="S196" s="15">
        <v>21</v>
      </c>
      <c r="T196" s="15">
        <v>22</v>
      </c>
      <c r="U196" s="15">
        <v>16</v>
      </c>
      <c r="V196" s="15">
        <v>35</v>
      </c>
      <c r="W196" s="15">
        <v>22</v>
      </c>
      <c r="X196" s="15">
        <v>10</v>
      </c>
      <c r="Y196" s="15">
        <v>16</v>
      </c>
      <c r="Z196" s="4">
        <v>477</v>
      </c>
      <c r="AA196" s="26">
        <v>24</v>
      </c>
      <c r="AB196" s="7">
        <v>0.30059999999999998</v>
      </c>
    </row>
    <row r="197" spans="1:28" x14ac:dyDescent="0.35">
      <c r="A197" s="1">
        <v>4001345</v>
      </c>
      <c r="B197" s="15">
        <v>8</v>
      </c>
      <c r="C197" s="15">
        <v>2</v>
      </c>
      <c r="D197" s="15">
        <v>9</v>
      </c>
      <c r="E197" s="15">
        <v>8</v>
      </c>
      <c r="F197" s="15">
        <v>10</v>
      </c>
      <c r="G197" s="15">
        <v>25</v>
      </c>
      <c r="H197" s="15">
        <v>11</v>
      </c>
      <c r="I197" s="15">
        <v>4</v>
      </c>
      <c r="J197" s="15">
        <v>5</v>
      </c>
      <c r="K197" s="15">
        <v>22</v>
      </c>
      <c r="L197" s="15">
        <v>11</v>
      </c>
      <c r="M197" s="15">
        <v>6</v>
      </c>
      <c r="N197" s="15">
        <v>2</v>
      </c>
      <c r="O197" s="15">
        <v>12</v>
      </c>
      <c r="P197" s="15">
        <v>13</v>
      </c>
      <c r="Q197" s="15">
        <v>2</v>
      </c>
      <c r="R197" s="15">
        <v>2</v>
      </c>
      <c r="S197" s="15">
        <v>33</v>
      </c>
      <c r="T197" s="15">
        <v>6</v>
      </c>
      <c r="U197" s="15">
        <v>3</v>
      </c>
      <c r="V197" s="15">
        <v>1</v>
      </c>
      <c r="W197" s="15">
        <v>4</v>
      </c>
      <c r="X197" s="15">
        <v>28</v>
      </c>
      <c r="Y197" s="15">
        <v>5</v>
      </c>
      <c r="Z197" s="4">
        <v>232</v>
      </c>
      <c r="AA197" s="26">
        <v>24</v>
      </c>
      <c r="AB197" s="7">
        <v>0.89170000000000005</v>
      </c>
    </row>
    <row r="198" spans="1:28" x14ac:dyDescent="0.35">
      <c r="A198" s="1">
        <v>4001347</v>
      </c>
      <c r="B198" s="15">
        <v>0</v>
      </c>
      <c r="C198" s="15">
        <v>1</v>
      </c>
      <c r="D198" s="15">
        <v>0</v>
      </c>
      <c r="E198" s="15">
        <v>0</v>
      </c>
      <c r="F198" s="15">
        <v>2</v>
      </c>
      <c r="G198" s="15">
        <v>2</v>
      </c>
      <c r="H198" s="15">
        <v>5</v>
      </c>
      <c r="I198" s="15">
        <v>0</v>
      </c>
      <c r="J198" s="15">
        <v>7</v>
      </c>
      <c r="K198" s="15">
        <v>1</v>
      </c>
      <c r="L198" s="15">
        <v>0</v>
      </c>
      <c r="M198" s="15">
        <v>0</v>
      </c>
      <c r="N198" s="15">
        <v>0</v>
      </c>
      <c r="O198" s="15">
        <v>6</v>
      </c>
      <c r="P198" s="15">
        <v>4</v>
      </c>
      <c r="Q198" s="15">
        <v>10</v>
      </c>
      <c r="R198" s="15">
        <v>0</v>
      </c>
      <c r="S198" s="15">
        <v>1</v>
      </c>
      <c r="T198" s="15">
        <v>5</v>
      </c>
      <c r="U198" s="15">
        <v>5</v>
      </c>
      <c r="V198" s="15">
        <v>2</v>
      </c>
      <c r="W198" s="15">
        <v>0</v>
      </c>
      <c r="X198" s="15">
        <v>2</v>
      </c>
      <c r="Y198" s="15">
        <v>7</v>
      </c>
      <c r="Z198" s="4">
        <v>60</v>
      </c>
      <c r="AA198" s="26">
        <v>15</v>
      </c>
      <c r="AB198" s="7">
        <v>1.1372</v>
      </c>
    </row>
    <row r="199" spans="1:28" x14ac:dyDescent="0.35">
      <c r="A199" s="1">
        <v>4001348</v>
      </c>
      <c r="B199" s="15">
        <v>0</v>
      </c>
      <c r="C199" s="15">
        <v>10</v>
      </c>
      <c r="D199" s="15">
        <v>0</v>
      </c>
      <c r="E199" s="15">
        <v>30</v>
      </c>
      <c r="F199" s="15">
        <v>10</v>
      </c>
      <c r="G199" s="15">
        <v>10</v>
      </c>
      <c r="H199" s="15">
        <v>10</v>
      </c>
      <c r="I199" s="15">
        <v>0</v>
      </c>
      <c r="J199" s="15">
        <v>30</v>
      </c>
      <c r="K199" s="15">
        <v>0</v>
      </c>
      <c r="L199" s="15">
        <v>20</v>
      </c>
      <c r="M199" s="15">
        <v>40</v>
      </c>
      <c r="N199" s="15">
        <v>10</v>
      </c>
      <c r="O199" s="15">
        <v>0</v>
      </c>
      <c r="P199" s="15">
        <v>20</v>
      </c>
      <c r="Q199" s="15">
        <v>0</v>
      </c>
      <c r="R199" s="15">
        <v>20</v>
      </c>
      <c r="S199" s="15">
        <v>20</v>
      </c>
      <c r="T199" s="15">
        <v>20</v>
      </c>
      <c r="U199" s="15">
        <v>0</v>
      </c>
      <c r="V199" s="15">
        <v>20</v>
      </c>
      <c r="W199" s="15">
        <v>0</v>
      </c>
      <c r="X199" s="15">
        <v>0</v>
      </c>
      <c r="Y199" s="15">
        <v>0</v>
      </c>
      <c r="Z199" s="4">
        <v>270</v>
      </c>
      <c r="AA199" s="26">
        <v>14</v>
      </c>
      <c r="AB199" s="7">
        <v>1.0364</v>
      </c>
    </row>
    <row r="200" spans="1:28" x14ac:dyDescent="0.35">
      <c r="A200" s="1">
        <v>4001349</v>
      </c>
      <c r="B200" s="15">
        <v>10</v>
      </c>
      <c r="C200" s="15">
        <v>0</v>
      </c>
      <c r="D200" s="15">
        <v>10</v>
      </c>
      <c r="E200" s="15">
        <v>50</v>
      </c>
      <c r="F200" s="15">
        <v>0</v>
      </c>
      <c r="G200" s="15">
        <v>20</v>
      </c>
      <c r="H200" s="15">
        <v>10</v>
      </c>
      <c r="I200" s="15">
        <v>0</v>
      </c>
      <c r="J200" s="15">
        <v>20</v>
      </c>
      <c r="K200" s="15">
        <v>0</v>
      </c>
      <c r="L200" s="15">
        <v>40</v>
      </c>
      <c r="M200" s="15">
        <v>10</v>
      </c>
      <c r="N200" s="15">
        <v>30</v>
      </c>
      <c r="O200" s="15">
        <v>0</v>
      </c>
      <c r="P200" s="15">
        <v>20</v>
      </c>
      <c r="Q200" s="15">
        <v>10</v>
      </c>
      <c r="R200" s="15">
        <v>20</v>
      </c>
      <c r="S200" s="15">
        <v>10</v>
      </c>
      <c r="T200" s="15">
        <v>10</v>
      </c>
      <c r="U200" s="15">
        <v>0</v>
      </c>
      <c r="V200" s="15">
        <v>40</v>
      </c>
      <c r="W200" s="15">
        <v>0</v>
      </c>
      <c r="X200" s="15">
        <v>10</v>
      </c>
      <c r="Y200" s="15">
        <v>0</v>
      </c>
      <c r="Z200" s="4">
        <v>320</v>
      </c>
      <c r="AA200" s="26">
        <v>16</v>
      </c>
      <c r="AB200" s="7">
        <v>1.0532999999999999</v>
      </c>
    </row>
    <row r="201" spans="1:28" x14ac:dyDescent="0.35">
      <c r="A201" s="1">
        <v>4001350</v>
      </c>
      <c r="B201" s="15">
        <v>5600</v>
      </c>
      <c r="C201" s="15">
        <v>3800</v>
      </c>
      <c r="D201" s="15">
        <v>4000</v>
      </c>
      <c r="E201" s="15">
        <v>5000</v>
      </c>
      <c r="F201" s="15">
        <v>4000</v>
      </c>
      <c r="G201" s="15">
        <v>4900</v>
      </c>
      <c r="H201" s="15">
        <v>2600</v>
      </c>
      <c r="I201" s="15">
        <v>5000</v>
      </c>
      <c r="J201" s="15">
        <v>4400</v>
      </c>
      <c r="K201" s="15">
        <v>6400</v>
      </c>
      <c r="L201" s="15">
        <v>6400</v>
      </c>
      <c r="M201" s="15">
        <v>5300</v>
      </c>
      <c r="N201" s="15">
        <v>4100</v>
      </c>
      <c r="O201" s="15">
        <v>5500</v>
      </c>
      <c r="P201" s="15">
        <v>6100</v>
      </c>
      <c r="Q201" s="15">
        <v>6400</v>
      </c>
      <c r="R201" s="15">
        <v>5800</v>
      </c>
      <c r="S201" s="15">
        <v>4800</v>
      </c>
      <c r="T201" s="15">
        <v>3000</v>
      </c>
      <c r="U201" s="15">
        <v>6200</v>
      </c>
      <c r="V201" s="15">
        <v>3900</v>
      </c>
      <c r="W201" s="15">
        <v>7500</v>
      </c>
      <c r="X201" s="15">
        <v>5300</v>
      </c>
      <c r="Y201" s="15">
        <v>5100</v>
      </c>
      <c r="Z201" s="4">
        <v>121100</v>
      </c>
      <c r="AA201" s="26">
        <v>24</v>
      </c>
      <c r="AB201" s="7">
        <v>0.2281</v>
      </c>
    </row>
    <row r="202" spans="1:28" x14ac:dyDescent="0.35">
      <c r="A202" s="1">
        <v>4001354</v>
      </c>
      <c r="B202" s="15">
        <v>150</v>
      </c>
      <c r="C202" s="15">
        <v>400</v>
      </c>
      <c r="D202" s="15">
        <v>50</v>
      </c>
      <c r="E202" s="15">
        <v>100</v>
      </c>
      <c r="F202" s="15">
        <v>400</v>
      </c>
      <c r="G202" s="15">
        <v>250</v>
      </c>
      <c r="H202" s="15">
        <v>50</v>
      </c>
      <c r="I202" s="15">
        <v>300</v>
      </c>
      <c r="J202" s="15">
        <v>50</v>
      </c>
      <c r="K202" s="15">
        <v>200</v>
      </c>
      <c r="L202" s="15">
        <v>200</v>
      </c>
      <c r="M202" s="15">
        <v>100</v>
      </c>
      <c r="N202" s="15">
        <v>700</v>
      </c>
      <c r="O202" s="15">
        <v>150</v>
      </c>
      <c r="P202" s="15">
        <v>200</v>
      </c>
      <c r="Q202" s="15">
        <v>200</v>
      </c>
      <c r="R202" s="15">
        <v>300</v>
      </c>
      <c r="S202" s="15">
        <v>350</v>
      </c>
      <c r="T202" s="15">
        <v>300</v>
      </c>
      <c r="U202" s="15">
        <v>150</v>
      </c>
      <c r="V202" s="15">
        <v>150</v>
      </c>
      <c r="W202" s="15">
        <v>200</v>
      </c>
      <c r="X202" s="15">
        <v>300</v>
      </c>
      <c r="Y202" s="15">
        <v>100</v>
      </c>
      <c r="Z202" s="4">
        <v>5350</v>
      </c>
      <c r="AA202" s="26">
        <v>24</v>
      </c>
      <c r="AB202" s="7">
        <v>0.64090000000000003</v>
      </c>
    </row>
    <row r="203" spans="1:28" x14ac:dyDescent="0.35">
      <c r="A203" s="1">
        <v>4001359</v>
      </c>
      <c r="B203" s="15">
        <v>150</v>
      </c>
      <c r="C203" s="15">
        <v>200</v>
      </c>
      <c r="D203" s="15">
        <v>150</v>
      </c>
      <c r="E203" s="15">
        <v>300</v>
      </c>
      <c r="F203" s="15">
        <v>150</v>
      </c>
      <c r="G203" s="15">
        <v>200</v>
      </c>
      <c r="H203" s="15">
        <v>150</v>
      </c>
      <c r="I203" s="15">
        <v>100</v>
      </c>
      <c r="J203" s="15">
        <v>250</v>
      </c>
      <c r="K203" s="15">
        <v>300</v>
      </c>
      <c r="L203" s="15">
        <v>50</v>
      </c>
      <c r="M203" s="15">
        <v>50</v>
      </c>
      <c r="N203" s="15">
        <v>200</v>
      </c>
      <c r="O203" s="15">
        <v>150</v>
      </c>
      <c r="P203" s="15">
        <v>200</v>
      </c>
      <c r="Q203" s="15">
        <v>100</v>
      </c>
      <c r="R203" s="15">
        <v>100</v>
      </c>
      <c r="S203" s="15">
        <v>100</v>
      </c>
      <c r="T203" s="15">
        <v>150</v>
      </c>
      <c r="U203" s="15">
        <v>100</v>
      </c>
      <c r="V203" s="15">
        <v>100</v>
      </c>
      <c r="W203" s="15">
        <v>250</v>
      </c>
      <c r="X203" s="15">
        <v>350</v>
      </c>
      <c r="Y203" s="15">
        <v>150</v>
      </c>
      <c r="Z203" s="4">
        <v>4000</v>
      </c>
      <c r="AA203" s="26">
        <v>24</v>
      </c>
      <c r="AB203" s="7">
        <v>0.4637</v>
      </c>
    </row>
    <row r="204" spans="1:28" x14ac:dyDescent="0.35">
      <c r="A204" s="1">
        <v>4001363</v>
      </c>
      <c r="B204" s="15">
        <v>150</v>
      </c>
      <c r="C204" s="15">
        <v>50</v>
      </c>
      <c r="D204" s="15">
        <v>100</v>
      </c>
      <c r="E204" s="15">
        <v>50</v>
      </c>
      <c r="F204" s="15">
        <v>250</v>
      </c>
      <c r="G204" s="15">
        <v>50</v>
      </c>
      <c r="H204" s="15">
        <v>150</v>
      </c>
      <c r="I204" s="15">
        <v>100</v>
      </c>
      <c r="J204" s="15">
        <v>0</v>
      </c>
      <c r="K204" s="15">
        <v>200</v>
      </c>
      <c r="L204" s="15">
        <v>50</v>
      </c>
      <c r="M204" s="15">
        <v>150</v>
      </c>
      <c r="N204" s="15">
        <v>100</v>
      </c>
      <c r="O204" s="15">
        <v>150</v>
      </c>
      <c r="P204" s="15">
        <v>50</v>
      </c>
      <c r="Q204" s="15">
        <v>50</v>
      </c>
      <c r="R204" s="15">
        <v>200</v>
      </c>
      <c r="S204" s="15">
        <v>100</v>
      </c>
      <c r="T204" s="15">
        <v>200</v>
      </c>
      <c r="U204" s="15">
        <v>50</v>
      </c>
      <c r="V204" s="15">
        <v>150</v>
      </c>
      <c r="W204" s="15">
        <v>250</v>
      </c>
      <c r="X204" s="15">
        <v>300</v>
      </c>
      <c r="Y204" s="15">
        <v>50</v>
      </c>
      <c r="Z204" s="4">
        <v>2950</v>
      </c>
      <c r="AA204" s="26">
        <v>23</v>
      </c>
      <c r="AB204" s="7">
        <v>0.6321</v>
      </c>
    </row>
    <row r="205" spans="1:28" x14ac:dyDescent="0.35">
      <c r="A205" s="1">
        <v>4001364</v>
      </c>
      <c r="B205" s="15">
        <v>2750</v>
      </c>
      <c r="C205" s="15">
        <v>2700</v>
      </c>
      <c r="D205" s="15">
        <v>2350</v>
      </c>
      <c r="E205" s="15">
        <v>2650</v>
      </c>
      <c r="F205" s="15">
        <v>2400</v>
      </c>
      <c r="G205" s="15">
        <v>2850</v>
      </c>
      <c r="H205" s="15">
        <v>2400</v>
      </c>
      <c r="I205" s="15">
        <v>3100</v>
      </c>
      <c r="J205" s="15">
        <v>3350</v>
      </c>
      <c r="K205" s="15">
        <v>2350</v>
      </c>
      <c r="L205" s="15">
        <v>2200</v>
      </c>
      <c r="M205" s="15">
        <v>2050</v>
      </c>
      <c r="N205" s="15">
        <v>2050</v>
      </c>
      <c r="O205" s="15">
        <v>2500</v>
      </c>
      <c r="P205" s="15">
        <v>2520</v>
      </c>
      <c r="Q205" s="15">
        <v>2100</v>
      </c>
      <c r="R205" s="15">
        <v>1450</v>
      </c>
      <c r="S205" s="15">
        <v>3100</v>
      </c>
      <c r="T205" s="15">
        <v>2300</v>
      </c>
      <c r="U205" s="15">
        <v>1900</v>
      </c>
      <c r="V205" s="15">
        <v>2200</v>
      </c>
      <c r="W205" s="15">
        <v>2450</v>
      </c>
      <c r="X205" s="15">
        <v>1650</v>
      </c>
      <c r="Y205" s="15">
        <v>1750</v>
      </c>
      <c r="Z205" s="4">
        <v>57120</v>
      </c>
      <c r="AA205" s="26">
        <v>24</v>
      </c>
      <c r="AB205" s="7">
        <v>0.19070000000000001</v>
      </c>
    </row>
    <row r="206" spans="1:28" x14ac:dyDescent="0.35">
      <c r="A206" s="1">
        <v>4001365</v>
      </c>
      <c r="B206" s="15">
        <v>4</v>
      </c>
      <c r="C206" s="15">
        <v>32</v>
      </c>
      <c r="D206" s="15">
        <v>2</v>
      </c>
      <c r="E206" s="15">
        <v>8</v>
      </c>
      <c r="F206" s="15">
        <v>19</v>
      </c>
      <c r="G206" s="15">
        <v>46</v>
      </c>
      <c r="H206" s="15">
        <v>6</v>
      </c>
      <c r="I206" s="15">
        <v>22</v>
      </c>
      <c r="J206" s="15">
        <v>26</v>
      </c>
      <c r="K206" s="15">
        <v>6</v>
      </c>
      <c r="L206" s="15">
        <v>16</v>
      </c>
      <c r="M206" s="15">
        <v>41</v>
      </c>
      <c r="N206" s="15">
        <v>11</v>
      </c>
      <c r="O206" s="15">
        <v>9</v>
      </c>
      <c r="P206" s="15">
        <v>16</v>
      </c>
      <c r="Q206" s="15">
        <v>16</v>
      </c>
      <c r="R206" s="15">
        <v>36</v>
      </c>
      <c r="S206" s="15">
        <v>14</v>
      </c>
      <c r="T206" s="15">
        <v>22</v>
      </c>
      <c r="U206" s="15">
        <v>3</v>
      </c>
      <c r="V206" s="15">
        <v>31</v>
      </c>
      <c r="W206" s="15">
        <v>10</v>
      </c>
      <c r="X206" s="15">
        <v>34</v>
      </c>
      <c r="Y206" s="15">
        <v>22</v>
      </c>
      <c r="Z206" s="4">
        <v>452</v>
      </c>
      <c r="AA206" s="26">
        <v>24</v>
      </c>
      <c r="AB206" s="7">
        <v>0.65400000000000003</v>
      </c>
    </row>
    <row r="207" spans="1:28" x14ac:dyDescent="0.35">
      <c r="A207" s="1">
        <v>4001366</v>
      </c>
      <c r="B207" s="15">
        <v>298</v>
      </c>
      <c r="C207" s="15">
        <v>264</v>
      </c>
      <c r="D207" s="15">
        <v>184</v>
      </c>
      <c r="E207" s="15">
        <v>192</v>
      </c>
      <c r="F207" s="15">
        <v>168</v>
      </c>
      <c r="G207" s="15">
        <v>176</v>
      </c>
      <c r="H207" s="15">
        <v>144</v>
      </c>
      <c r="I207" s="15">
        <v>240</v>
      </c>
      <c r="J207" s="15">
        <v>240</v>
      </c>
      <c r="K207" s="15">
        <v>252</v>
      </c>
      <c r="L207" s="15">
        <v>232</v>
      </c>
      <c r="M207" s="15">
        <v>346</v>
      </c>
      <c r="N207" s="15">
        <v>220</v>
      </c>
      <c r="O207" s="15">
        <v>240</v>
      </c>
      <c r="P207" s="15">
        <v>210</v>
      </c>
      <c r="Q207" s="15">
        <v>240</v>
      </c>
      <c r="R207" s="15">
        <v>190</v>
      </c>
      <c r="S207" s="15">
        <v>220</v>
      </c>
      <c r="T207" s="15">
        <v>140</v>
      </c>
      <c r="U207" s="15">
        <v>170</v>
      </c>
      <c r="V207" s="15">
        <v>300</v>
      </c>
      <c r="W207" s="15">
        <v>240</v>
      </c>
      <c r="X207" s="15">
        <v>230</v>
      </c>
      <c r="Y207" s="15">
        <v>250</v>
      </c>
      <c r="Z207" s="4">
        <v>5386</v>
      </c>
      <c r="AA207" s="26">
        <v>24</v>
      </c>
      <c r="AB207" s="7">
        <v>0.216</v>
      </c>
    </row>
    <row r="208" spans="1:28" x14ac:dyDescent="0.35">
      <c r="A208" s="1">
        <v>4001367</v>
      </c>
      <c r="B208" s="15">
        <v>2334</v>
      </c>
      <c r="C208" s="15">
        <v>623</v>
      </c>
      <c r="D208" s="15">
        <v>330</v>
      </c>
      <c r="E208" s="15">
        <v>780</v>
      </c>
      <c r="F208" s="15">
        <v>696</v>
      </c>
      <c r="G208" s="15">
        <v>610</v>
      </c>
      <c r="H208" s="15">
        <v>1154</v>
      </c>
      <c r="I208" s="15">
        <v>228</v>
      </c>
      <c r="J208" s="15">
        <v>2290</v>
      </c>
      <c r="K208" s="15">
        <v>523</v>
      </c>
      <c r="L208" s="15">
        <v>359</v>
      </c>
      <c r="M208" s="15">
        <v>212</v>
      </c>
      <c r="N208" s="15">
        <v>1068</v>
      </c>
      <c r="O208" s="15">
        <v>852</v>
      </c>
      <c r="P208" s="15">
        <v>638</v>
      </c>
      <c r="Q208" s="15">
        <v>631</v>
      </c>
      <c r="R208" s="15">
        <v>389</v>
      </c>
      <c r="S208" s="15">
        <v>634</v>
      </c>
      <c r="T208" s="15">
        <v>84</v>
      </c>
      <c r="U208" s="15">
        <v>545</v>
      </c>
      <c r="V208" s="15">
        <v>496</v>
      </c>
      <c r="W208" s="15">
        <v>259</v>
      </c>
      <c r="X208" s="15">
        <v>559</v>
      </c>
      <c r="Y208" s="15">
        <v>687</v>
      </c>
      <c r="Z208" s="4">
        <v>16981</v>
      </c>
      <c r="AA208" s="26">
        <v>24</v>
      </c>
      <c r="AB208" s="7">
        <v>0.76849999999999996</v>
      </c>
    </row>
    <row r="209" spans="1:28" x14ac:dyDescent="0.35">
      <c r="A209" s="1">
        <v>4001368</v>
      </c>
      <c r="B209" s="15">
        <v>3340</v>
      </c>
      <c r="C209" s="15">
        <v>2430</v>
      </c>
      <c r="D209" s="15">
        <v>3301</v>
      </c>
      <c r="E209" s="15">
        <v>1710</v>
      </c>
      <c r="F209" s="15">
        <v>2202</v>
      </c>
      <c r="G209" s="15">
        <v>3245</v>
      </c>
      <c r="H209" s="15">
        <v>2902</v>
      </c>
      <c r="I209" s="15">
        <v>2268</v>
      </c>
      <c r="J209" s="15">
        <v>2884</v>
      </c>
      <c r="K209" s="15">
        <v>3184</v>
      </c>
      <c r="L209" s="15">
        <v>2440</v>
      </c>
      <c r="M209" s="15">
        <v>3152</v>
      </c>
      <c r="N209" s="15">
        <v>2824</v>
      </c>
      <c r="O209" s="15">
        <v>3954</v>
      </c>
      <c r="P209" s="15">
        <v>3614</v>
      </c>
      <c r="Q209" s="15">
        <v>2902</v>
      </c>
      <c r="R209" s="15">
        <v>3222</v>
      </c>
      <c r="S209" s="15">
        <v>5470</v>
      </c>
      <c r="T209" s="15">
        <v>2288</v>
      </c>
      <c r="U209" s="15">
        <v>2445</v>
      </c>
      <c r="V209" s="15">
        <v>2810</v>
      </c>
      <c r="W209" s="15">
        <v>2986</v>
      </c>
      <c r="X209" s="15">
        <v>2676</v>
      </c>
      <c r="Y209" s="15">
        <v>3099</v>
      </c>
      <c r="Z209" s="4">
        <v>71348</v>
      </c>
      <c r="AA209" s="26">
        <v>24</v>
      </c>
      <c r="AB209" s="7">
        <v>0.24030000000000001</v>
      </c>
    </row>
    <row r="210" spans="1:28" x14ac:dyDescent="0.35">
      <c r="A210" s="1">
        <v>4001369</v>
      </c>
      <c r="B210" s="15">
        <v>1805</v>
      </c>
      <c r="C210" s="15">
        <v>1582</v>
      </c>
      <c r="D210" s="15">
        <v>1794</v>
      </c>
      <c r="E210" s="15">
        <v>1643</v>
      </c>
      <c r="F210" s="15">
        <v>1594</v>
      </c>
      <c r="G210" s="15">
        <v>1740</v>
      </c>
      <c r="H210" s="15">
        <v>1422</v>
      </c>
      <c r="I210" s="15">
        <v>1444</v>
      </c>
      <c r="J210" s="15">
        <v>2080</v>
      </c>
      <c r="K210" s="15">
        <v>2002</v>
      </c>
      <c r="L210" s="15">
        <v>2106</v>
      </c>
      <c r="M210" s="15">
        <v>1912</v>
      </c>
      <c r="N210" s="15">
        <v>1881</v>
      </c>
      <c r="O210" s="15">
        <v>1882</v>
      </c>
      <c r="P210" s="15">
        <v>2182</v>
      </c>
      <c r="Q210" s="15">
        <v>1582</v>
      </c>
      <c r="R210" s="15">
        <v>2366</v>
      </c>
      <c r="S210" s="15">
        <v>2253</v>
      </c>
      <c r="T210" s="15">
        <v>1454</v>
      </c>
      <c r="U210" s="15">
        <v>1731</v>
      </c>
      <c r="V210" s="15">
        <v>2067</v>
      </c>
      <c r="W210" s="15">
        <v>1682</v>
      </c>
      <c r="X210" s="15">
        <v>1631</v>
      </c>
      <c r="Y210" s="15">
        <v>1626</v>
      </c>
      <c r="Z210" s="4">
        <v>43461</v>
      </c>
      <c r="AA210" s="26">
        <v>24</v>
      </c>
      <c r="AB210" s="7">
        <v>0.1431</v>
      </c>
    </row>
    <row r="211" spans="1:28" x14ac:dyDescent="0.35">
      <c r="A211" s="1">
        <v>4001371</v>
      </c>
      <c r="B211" s="15">
        <v>3</v>
      </c>
      <c r="C211" s="15">
        <v>4</v>
      </c>
      <c r="D211" s="15">
        <v>5</v>
      </c>
      <c r="E211" s="15">
        <v>7</v>
      </c>
      <c r="F211" s="15">
        <v>3</v>
      </c>
      <c r="G211" s="15">
        <v>6</v>
      </c>
      <c r="H211" s="15">
        <v>8</v>
      </c>
      <c r="I211" s="15">
        <v>6</v>
      </c>
      <c r="J211" s="15">
        <v>7</v>
      </c>
      <c r="K211" s="15">
        <v>7</v>
      </c>
      <c r="L211" s="15">
        <v>5</v>
      </c>
      <c r="M211" s="15">
        <v>4</v>
      </c>
      <c r="N211" s="15">
        <v>8</v>
      </c>
      <c r="O211" s="15">
        <v>5</v>
      </c>
      <c r="P211" s="15">
        <v>10</v>
      </c>
      <c r="Q211" s="15">
        <v>4</v>
      </c>
      <c r="R211" s="15">
        <v>1</v>
      </c>
      <c r="S211" s="15">
        <v>3</v>
      </c>
      <c r="T211" s="15">
        <v>5</v>
      </c>
      <c r="U211" s="15">
        <v>6</v>
      </c>
      <c r="V211" s="15">
        <v>15</v>
      </c>
      <c r="W211" s="15">
        <v>7</v>
      </c>
      <c r="X211" s="15">
        <v>5</v>
      </c>
      <c r="Y211" s="15">
        <v>3</v>
      </c>
      <c r="Z211" s="4">
        <v>137</v>
      </c>
      <c r="AA211" s="26">
        <v>24</v>
      </c>
      <c r="AB211" s="7">
        <v>0.48630000000000001</v>
      </c>
    </row>
    <row r="212" spans="1:28" x14ac:dyDescent="0.35">
      <c r="A212" s="1">
        <v>4001376</v>
      </c>
      <c r="B212" s="15">
        <v>100</v>
      </c>
      <c r="C212" s="15">
        <v>550</v>
      </c>
      <c r="D212" s="15">
        <v>700</v>
      </c>
      <c r="E212" s="15">
        <v>600</v>
      </c>
      <c r="F212" s="15">
        <v>550</v>
      </c>
      <c r="G212" s="15">
        <v>550</v>
      </c>
      <c r="H212" s="15">
        <v>600</v>
      </c>
      <c r="I212" s="15">
        <v>550</v>
      </c>
      <c r="J212" s="15">
        <v>700</v>
      </c>
      <c r="K212" s="15">
        <v>600</v>
      </c>
      <c r="L212" s="15">
        <v>600</v>
      </c>
      <c r="M212" s="15">
        <v>550</v>
      </c>
      <c r="N212" s="15">
        <v>600</v>
      </c>
      <c r="O212" s="15">
        <v>500</v>
      </c>
      <c r="P212" s="15">
        <v>550</v>
      </c>
      <c r="Q212" s="15">
        <v>500</v>
      </c>
      <c r="R212" s="15">
        <v>550</v>
      </c>
      <c r="S212" s="15">
        <v>600</v>
      </c>
      <c r="T212" s="15">
        <v>1050</v>
      </c>
      <c r="U212" s="15">
        <v>150</v>
      </c>
      <c r="V212" s="15">
        <v>600</v>
      </c>
      <c r="W212" s="15">
        <v>650</v>
      </c>
      <c r="X212" s="15">
        <v>500</v>
      </c>
      <c r="Y212" s="15">
        <v>600</v>
      </c>
      <c r="Z212" s="4">
        <v>13500</v>
      </c>
      <c r="AA212" s="26">
        <v>24</v>
      </c>
      <c r="AB212" s="7">
        <v>0.30170000000000002</v>
      </c>
    </row>
    <row r="213" spans="1:28" x14ac:dyDescent="0.35">
      <c r="A213" s="1">
        <v>4001379</v>
      </c>
      <c r="B213" s="15">
        <v>310</v>
      </c>
      <c r="C213" s="15">
        <v>210</v>
      </c>
      <c r="D213" s="15">
        <v>260</v>
      </c>
      <c r="E213" s="15">
        <v>270</v>
      </c>
      <c r="F213" s="15">
        <v>270</v>
      </c>
      <c r="G213" s="15">
        <v>190</v>
      </c>
      <c r="H213" s="15">
        <v>140</v>
      </c>
      <c r="I213" s="15">
        <v>210</v>
      </c>
      <c r="J213" s="15">
        <v>270</v>
      </c>
      <c r="K213" s="15">
        <v>130</v>
      </c>
      <c r="L213" s="15">
        <v>210</v>
      </c>
      <c r="M213" s="15">
        <v>220</v>
      </c>
      <c r="N213" s="15">
        <v>220</v>
      </c>
      <c r="O213" s="15">
        <v>240</v>
      </c>
      <c r="P213" s="15">
        <v>230</v>
      </c>
      <c r="Q213" s="15">
        <v>150</v>
      </c>
      <c r="R213" s="15">
        <v>240</v>
      </c>
      <c r="S213" s="15">
        <v>150</v>
      </c>
      <c r="T213" s="15">
        <v>110</v>
      </c>
      <c r="U213" s="15">
        <v>200</v>
      </c>
      <c r="V213" s="15">
        <v>270</v>
      </c>
      <c r="W213" s="15">
        <v>200</v>
      </c>
      <c r="X213" s="15">
        <v>260</v>
      </c>
      <c r="Y213" s="15">
        <v>250</v>
      </c>
      <c r="Z213" s="4">
        <v>5210</v>
      </c>
      <c r="AA213" s="26">
        <v>24</v>
      </c>
      <c r="AB213" s="7">
        <v>0.23280000000000001</v>
      </c>
    </row>
    <row r="214" spans="1:28" x14ac:dyDescent="0.35">
      <c r="A214" s="1">
        <v>4001380</v>
      </c>
      <c r="B214" s="15">
        <v>360</v>
      </c>
      <c r="C214" s="15">
        <v>90</v>
      </c>
      <c r="D214" s="15">
        <v>240</v>
      </c>
      <c r="E214" s="15">
        <v>310</v>
      </c>
      <c r="F214" s="15">
        <v>250</v>
      </c>
      <c r="G214" s="15">
        <v>230</v>
      </c>
      <c r="H214" s="15">
        <v>150</v>
      </c>
      <c r="I214" s="15">
        <v>110</v>
      </c>
      <c r="J214" s="15">
        <v>310</v>
      </c>
      <c r="K214" s="15">
        <v>450</v>
      </c>
      <c r="L214" s="15">
        <v>640</v>
      </c>
      <c r="M214" s="15">
        <v>90</v>
      </c>
      <c r="N214" s="15">
        <v>140</v>
      </c>
      <c r="O214" s="15">
        <v>510</v>
      </c>
      <c r="P214" s="15">
        <v>100</v>
      </c>
      <c r="Q214" s="15">
        <v>280</v>
      </c>
      <c r="R214" s="15">
        <v>370</v>
      </c>
      <c r="S214" s="15">
        <v>320</v>
      </c>
      <c r="T214" s="15">
        <v>140</v>
      </c>
      <c r="U214" s="15">
        <v>290</v>
      </c>
      <c r="V214" s="15">
        <v>160</v>
      </c>
      <c r="W214" s="15">
        <v>230</v>
      </c>
      <c r="X214" s="15">
        <v>760</v>
      </c>
      <c r="Y214" s="15">
        <v>250</v>
      </c>
      <c r="Z214" s="4">
        <v>6780</v>
      </c>
      <c r="AA214" s="26">
        <v>24</v>
      </c>
      <c r="AB214" s="7">
        <v>0.59230000000000005</v>
      </c>
    </row>
    <row r="215" spans="1:28" x14ac:dyDescent="0.35">
      <c r="A215" s="1">
        <v>4001383</v>
      </c>
      <c r="B215" s="15">
        <v>490</v>
      </c>
      <c r="C215" s="15">
        <v>500</v>
      </c>
      <c r="D215" s="15">
        <v>440</v>
      </c>
      <c r="E215" s="15">
        <v>590</v>
      </c>
      <c r="F215" s="15">
        <v>570</v>
      </c>
      <c r="G215" s="15">
        <v>390</v>
      </c>
      <c r="H215" s="15">
        <v>370</v>
      </c>
      <c r="I215" s="15">
        <v>420</v>
      </c>
      <c r="J215" s="15">
        <v>590</v>
      </c>
      <c r="K215" s="15">
        <v>450</v>
      </c>
      <c r="L215" s="15">
        <v>530</v>
      </c>
      <c r="M215" s="15">
        <v>400</v>
      </c>
      <c r="N215" s="15">
        <v>520</v>
      </c>
      <c r="O215" s="15">
        <v>420</v>
      </c>
      <c r="P215" s="15">
        <v>550</v>
      </c>
      <c r="Q215" s="15">
        <v>470</v>
      </c>
      <c r="R215" s="15">
        <v>530</v>
      </c>
      <c r="S215" s="15">
        <v>440</v>
      </c>
      <c r="T215" s="15">
        <v>360</v>
      </c>
      <c r="U215" s="15">
        <v>420</v>
      </c>
      <c r="V215" s="15">
        <v>650</v>
      </c>
      <c r="W215" s="15">
        <v>520</v>
      </c>
      <c r="X215" s="15">
        <v>540</v>
      </c>
      <c r="Y215" s="15">
        <v>460</v>
      </c>
      <c r="Z215" s="4">
        <v>11620</v>
      </c>
      <c r="AA215" s="26">
        <v>24</v>
      </c>
      <c r="AB215" s="7">
        <v>0.15459999999999999</v>
      </c>
    </row>
    <row r="216" spans="1:28" x14ac:dyDescent="0.35">
      <c r="A216" s="1">
        <v>4001384</v>
      </c>
      <c r="B216" s="15">
        <v>560</v>
      </c>
      <c r="C216" s="15">
        <v>530</v>
      </c>
      <c r="D216" s="15">
        <v>510</v>
      </c>
      <c r="E216" s="15">
        <v>520</v>
      </c>
      <c r="F216" s="15">
        <v>520</v>
      </c>
      <c r="G216" s="15">
        <v>420</v>
      </c>
      <c r="H216" s="15">
        <v>310</v>
      </c>
      <c r="I216" s="15">
        <v>460</v>
      </c>
      <c r="J216" s="15">
        <v>540</v>
      </c>
      <c r="K216" s="15">
        <v>380</v>
      </c>
      <c r="L216" s="15">
        <v>540</v>
      </c>
      <c r="M216" s="15">
        <v>410</v>
      </c>
      <c r="N216" s="15">
        <v>480</v>
      </c>
      <c r="O216" s="15">
        <v>520</v>
      </c>
      <c r="P216" s="15">
        <v>540</v>
      </c>
      <c r="Q216" s="15">
        <v>470</v>
      </c>
      <c r="R216" s="15">
        <v>550</v>
      </c>
      <c r="S216" s="15">
        <v>390</v>
      </c>
      <c r="T216" s="15">
        <v>260</v>
      </c>
      <c r="U216" s="15">
        <v>530</v>
      </c>
      <c r="V216" s="15">
        <v>520</v>
      </c>
      <c r="W216" s="15">
        <v>550</v>
      </c>
      <c r="X216" s="15">
        <v>500</v>
      </c>
      <c r="Y216" s="15">
        <v>550</v>
      </c>
      <c r="Z216" s="4">
        <v>11560</v>
      </c>
      <c r="AA216" s="26">
        <v>24</v>
      </c>
      <c r="AB216" s="7">
        <v>0.16350000000000001</v>
      </c>
    </row>
    <row r="217" spans="1:28" x14ac:dyDescent="0.35">
      <c r="A217" s="1">
        <v>4001385</v>
      </c>
      <c r="B217" s="15">
        <v>0</v>
      </c>
      <c r="C217" s="15">
        <v>30</v>
      </c>
      <c r="D217" s="15">
        <v>10</v>
      </c>
      <c r="E217" s="15">
        <v>60</v>
      </c>
      <c r="F217" s="15">
        <v>40</v>
      </c>
      <c r="G217" s="15">
        <v>40</v>
      </c>
      <c r="H217" s="15">
        <v>70</v>
      </c>
      <c r="I217" s="15">
        <v>30</v>
      </c>
      <c r="J217" s="15">
        <v>10</v>
      </c>
      <c r="K217" s="15">
        <v>10</v>
      </c>
      <c r="L217" s="15">
        <v>30</v>
      </c>
      <c r="M217" s="15">
        <v>30</v>
      </c>
      <c r="N217" s="15">
        <v>50</v>
      </c>
      <c r="O217" s="15">
        <v>10</v>
      </c>
      <c r="P217" s="15">
        <v>10</v>
      </c>
      <c r="Q217" s="15">
        <v>20</v>
      </c>
      <c r="R217" s="15">
        <v>30</v>
      </c>
      <c r="S217" s="15">
        <v>20</v>
      </c>
      <c r="T217" s="15">
        <v>20</v>
      </c>
      <c r="U217" s="15">
        <v>20</v>
      </c>
      <c r="V217" s="15">
        <v>0</v>
      </c>
      <c r="W217" s="15">
        <v>0</v>
      </c>
      <c r="X217" s="15">
        <v>10</v>
      </c>
      <c r="Y217" s="15">
        <v>20</v>
      </c>
      <c r="Z217" s="4">
        <v>570</v>
      </c>
      <c r="AA217" s="26">
        <v>21</v>
      </c>
      <c r="AB217" s="7">
        <v>0.75719999999999998</v>
      </c>
    </row>
    <row r="218" spans="1:28" x14ac:dyDescent="0.35">
      <c r="A218" s="1">
        <v>4001387</v>
      </c>
      <c r="B218" s="15">
        <v>620</v>
      </c>
      <c r="C218" s="15">
        <v>780</v>
      </c>
      <c r="D218" s="15">
        <v>580</v>
      </c>
      <c r="E218" s="15">
        <v>860</v>
      </c>
      <c r="F218" s="15">
        <v>720</v>
      </c>
      <c r="G218" s="15">
        <v>700</v>
      </c>
      <c r="H218" s="15">
        <v>480</v>
      </c>
      <c r="I218" s="15">
        <v>560</v>
      </c>
      <c r="J218" s="15">
        <v>740</v>
      </c>
      <c r="K218" s="15">
        <v>740</v>
      </c>
      <c r="L218" s="15">
        <v>540</v>
      </c>
      <c r="M218" s="15">
        <v>840</v>
      </c>
      <c r="N218" s="15">
        <v>1400</v>
      </c>
      <c r="O218" s="15">
        <v>960</v>
      </c>
      <c r="P218" s="15">
        <v>660</v>
      </c>
      <c r="Q218" s="15">
        <v>660</v>
      </c>
      <c r="R218" s="15">
        <v>580</v>
      </c>
      <c r="S218" s="15">
        <v>780</v>
      </c>
      <c r="T218" s="15">
        <v>660</v>
      </c>
      <c r="U218" s="15">
        <v>460</v>
      </c>
      <c r="V218" s="15">
        <v>880</v>
      </c>
      <c r="W218" s="15">
        <v>940</v>
      </c>
      <c r="X218" s="15">
        <v>480</v>
      </c>
      <c r="Y218" s="15">
        <v>820</v>
      </c>
      <c r="Z218" s="4">
        <v>17440</v>
      </c>
      <c r="AA218" s="26">
        <v>24</v>
      </c>
      <c r="AB218" s="7">
        <v>0.2732</v>
      </c>
    </row>
    <row r="219" spans="1:28" x14ac:dyDescent="0.35">
      <c r="A219" s="1">
        <v>4001388</v>
      </c>
      <c r="B219" s="15">
        <v>780</v>
      </c>
      <c r="C219" s="15">
        <v>780</v>
      </c>
      <c r="D219" s="15">
        <v>920</v>
      </c>
      <c r="E219" s="15">
        <v>1060</v>
      </c>
      <c r="F219" s="15">
        <v>1200</v>
      </c>
      <c r="G219" s="15">
        <v>1200</v>
      </c>
      <c r="H219" s="15">
        <v>1160</v>
      </c>
      <c r="I219" s="15">
        <v>1140</v>
      </c>
      <c r="J219" s="15">
        <v>1100</v>
      </c>
      <c r="K219" s="15">
        <v>1220</v>
      </c>
      <c r="L219" s="15">
        <v>1160</v>
      </c>
      <c r="M219" s="15">
        <v>1120</v>
      </c>
      <c r="N219" s="15">
        <v>1180</v>
      </c>
      <c r="O219" s="15">
        <v>920</v>
      </c>
      <c r="P219" s="15">
        <v>1400</v>
      </c>
      <c r="Q219" s="15">
        <v>1120</v>
      </c>
      <c r="R219" s="15">
        <v>1260</v>
      </c>
      <c r="S219" s="15">
        <v>820</v>
      </c>
      <c r="T219" s="15">
        <v>1420</v>
      </c>
      <c r="U219" s="15">
        <v>1460</v>
      </c>
      <c r="V219" s="15">
        <v>1300</v>
      </c>
      <c r="W219" s="15">
        <v>1020</v>
      </c>
      <c r="X219" s="15">
        <v>880</v>
      </c>
      <c r="Y219" s="15">
        <v>1420</v>
      </c>
      <c r="Z219" s="4">
        <v>27040</v>
      </c>
      <c r="AA219" s="26">
        <v>24</v>
      </c>
      <c r="AB219" s="7">
        <v>0.17449999999999999</v>
      </c>
    </row>
    <row r="220" spans="1:28" x14ac:dyDescent="0.35">
      <c r="A220" s="1">
        <v>4001390</v>
      </c>
      <c r="B220" s="15">
        <v>5050</v>
      </c>
      <c r="C220" s="15">
        <v>6450</v>
      </c>
      <c r="D220" s="15">
        <v>4100</v>
      </c>
      <c r="E220" s="15">
        <v>4550</v>
      </c>
      <c r="F220" s="15">
        <v>5000</v>
      </c>
      <c r="G220" s="15">
        <v>4850</v>
      </c>
      <c r="H220" s="15">
        <v>6600</v>
      </c>
      <c r="I220" s="15">
        <v>4750</v>
      </c>
      <c r="J220" s="15">
        <v>6000</v>
      </c>
      <c r="K220" s="15">
        <v>4700</v>
      </c>
      <c r="L220" s="15">
        <v>5500</v>
      </c>
      <c r="M220" s="15">
        <v>6500</v>
      </c>
      <c r="N220" s="15">
        <v>4900</v>
      </c>
      <c r="O220" s="15">
        <v>7600</v>
      </c>
      <c r="P220" s="15">
        <v>5000</v>
      </c>
      <c r="Q220" s="15">
        <v>5400</v>
      </c>
      <c r="R220" s="15">
        <v>7250</v>
      </c>
      <c r="S220" s="15">
        <v>4150</v>
      </c>
      <c r="T220" s="15">
        <v>4650</v>
      </c>
      <c r="U220" s="15">
        <v>5300</v>
      </c>
      <c r="V220" s="15">
        <v>6350</v>
      </c>
      <c r="W220" s="15">
        <v>5350</v>
      </c>
      <c r="X220" s="15">
        <v>6600</v>
      </c>
      <c r="Y220" s="15">
        <v>6600</v>
      </c>
      <c r="Z220" s="4">
        <v>133200</v>
      </c>
      <c r="AA220" s="26">
        <v>24</v>
      </c>
      <c r="AB220" s="7">
        <v>0.17280000000000001</v>
      </c>
    </row>
    <row r="221" spans="1:28" x14ac:dyDescent="0.35">
      <c r="A221" s="1">
        <v>4001396</v>
      </c>
      <c r="B221" s="15">
        <v>30</v>
      </c>
      <c r="C221" s="15">
        <v>50</v>
      </c>
      <c r="D221" s="15">
        <v>20</v>
      </c>
      <c r="E221" s="15">
        <v>50</v>
      </c>
      <c r="F221" s="15">
        <v>40</v>
      </c>
      <c r="G221" s="15">
        <v>55</v>
      </c>
      <c r="H221" s="15">
        <v>35</v>
      </c>
      <c r="I221" s="15">
        <v>40</v>
      </c>
      <c r="J221" s="15">
        <v>45</v>
      </c>
      <c r="K221" s="15">
        <v>40</v>
      </c>
      <c r="L221" s="15">
        <v>41</v>
      </c>
      <c r="M221" s="15">
        <v>35</v>
      </c>
      <c r="N221" s="15">
        <v>50</v>
      </c>
      <c r="O221" s="15">
        <v>40</v>
      </c>
      <c r="P221" s="15">
        <v>45</v>
      </c>
      <c r="Q221" s="15">
        <v>55</v>
      </c>
      <c r="R221" s="15">
        <v>60</v>
      </c>
      <c r="S221" s="15">
        <v>30</v>
      </c>
      <c r="T221" s="15">
        <v>40</v>
      </c>
      <c r="U221" s="15">
        <v>30</v>
      </c>
      <c r="V221" s="15">
        <v>30</v>
      </c>
      <c r="W221" s="15">
        <v>30</v>
      </c>
      <c r="X221" s="15">
        <v>50</v>
      </c>
      <c r="Y221" s="15">
        <v>41</v>
      </c>
      <c r="Z221" s="4">
        <v>982</v>
      </c>
      <c r="AA221" s="26">
        <v>24</v>
      </c>
      <c r="AB221" s="7">
        <v>0.23569999999999999</v>
      </c>
    </row>
    <row r="222" spans="1:28" x14ac:dyDescent="0.35">
      <c r="A222" s="1">
        <v>4001401</v>
      </c>
      <c r="B222" s="15">
        <v>920</v>
      </c>
      <c r="C222" s="15">
        <v>760</v>
      </c>
      <c r="D222" s="15">
        <v>1110</v>
      </c>
      <c r="E222" s="15">
        <v>780</v>
      </c>
      <c r="F222" s="15">
        <v>980</v>
      </c>
      <c r="G222" s="15">
        <v>1130</v>
      </c>
      <c r="H222" s="15">
        <v>690</v>
      </c>
      <c r="I222" s="15">
        <v>1120</v>
      </c>
      <c r="J222" s="15">
        <v>940</v>
      </c>
      <c r="K222" s="15">
        <v>860</v>
      </c>
      <c r="L222" s="15">
        <v>860</v>
      </c>
      <c r="M222" s="15">
        <v>1430</v>
      </c>
      <c r="N222" s="15">
        <v>920</v>
      </c>
      <c r="O222" s="15">
        <v>890</v>
      </c>
      <c r="P222" s="15">
        <v>1010</v>
      </c>
      <c r="Q222" s="15">
        <v>1000</v>
      </c>
      <c r="R222" s="15">
        <v>1070</v>
      </c>
      <c r="S222" s="15">
        <v>860</v>
      </c>
      <c r="T222" s="15">
        <v>740</v>
      </c>
      <c r="U222" s="15">
        <v>850</v>
      </c>
      <c r="V222" s="15">
        <v>880</v>
      </c>
      <c r="W222" s="15">
        <v>1010</v>
      </c>
      <c r="X222" s="15">
        <v>800</v>
      </c>
      <c r="Y222" s="15">
        <v>950</v>
      </c>
      <c r="Z222" s="4">
        <v>22560</v>
      </c>
      <c r="AA222" s="26">
        <v>24</v>
      </c>
      <c r="AB222" s="7">
        <v>0.16589999999999999</v>
      </c>
    </row>
    <row r="223" spans="1:28" x14ac:dyDescent="0.35">
      <c r="A223" s="1">
        <v>4001403</v>
      </c>
      <c r="B223" s="15">
        <v>160</v>
      </c>
      <c r="C223" s="15">
        <v>150</v>
      </c>
      <c r="D223" s="15">
        <v>410</v>
      </c>
      <c r="E223" s="15">
        <v>300</v>
      </c>
      <c r="F223" s="15">
        <v>430</v>
      </c>
      <c r="G223" s="15">
        <v>0</v>
      </c>
      <c r="H223" s="15">
        <v>380</v>
      </c>
      <c r="I223" s="15">
        <v>310</v>
      </c>
      <c r="J223" s="15">
        <v>360</v>
      </c>
      <c r="K223" s="15">
        <v>260</v>
      </c>
      <c r="L223" s="15">
        <v>150</v>
      </c>
      <c r="M223" s="15">
        <v>210</v>
      </c>
      <c r="N223" s="15">
        <v>690</v>
      </c>
      <c r="O223" s="15">
        <v>60</v>
      </c>
      <c r="P223" s="15">
        <v>330</v>
      </c>
      <c r="Q223" s="15">
        <v>560</v>
      </c>
      <c r="R223" s="15">
        <v>490</v>
      </c>
      <c r="S223" s="15">
        <v>30</v>
      </c>
      <c r="T223" s="15">
        <v>200</v>
      </c>
      <c r="U223" s="15">
        <v>600</v>
      </c>
      <c r="V223" s="15">
        <v>230</v>
      </c>
      <c r="W223" s="15">
        <v>530</v>
      </c>
      <c r="X223" s="15">
        <v>440</v>
      </c>
      <c r="Y223" s="15">
        <v>540</v>
      </c>
      <c r="Z223" s="4">
        <v>7820</v>
      </c>
      <c r="AA223" s="26">
        <v>23</v>
      </c>
      <c r="AB223" s="7">
        <v>0.56369999999999998</v>
      </c>
    </row>
    <row r="224" spans="1:28" x14ac:dyDescent="0.35">
      <c r="A224" s="1">
        <v>4001449</v>
      </c>
      <c r="B224" s="15">
        <v>0</v>
      </c>
      <c r="C224" s="15">
        <v>0</v>
      </c>
      <c r="D224" s="15">
        <v>30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10</v>
      </c>
      <c r="N224" s="15">
        <v>20</v>
      </c>
      <c r="O224" s="15">
        <v>0</v>
      </c>
      <c r="P224" s="15">
        <v>10</v>
      </c>
      <c r="Q224" s="15">
        <v>10</v>
      </c>
      <c r="R224" s="15">
        <v>20</v>
      </c>
      <c r="S224" s="15">
        <v>10</v>
      </c>
      <c r="T224" s="15">
        <v>0</v>
      </c>
      <c r="U224" s="15">
        <v>10</v>
      </c>
      <c r="V224" s="15">
        <v>10</v>
      </c>
      <c r="W224" s="15">
        <v>10</v>
      </c>
      <c r="X224" s="15">
        <v>10</v>
      </c>
      <c r="Y224" s="15">
        <v>10</v>
      </c>
      <c r="Z224" s="4">
        <v>160</v>
      </c>
      <c r="AA224" s="26">
        <v>12</v>
      </c>
      <c r="AB224" s="7">
        <v>1.1990000000000001</v>
      </c>
    </row>
    <row r="225" spans="1:29" x14ac:dyDescent="0.35">
      <c r="A225" s="1">
        <v>4001451</v>
      </c>
      <c r="B225" s="15">
        <v>23</v>
      </c>
      <c r="C225" s="15">
        <v>2</v>
      </c>
      <c r="D225" s="15">
        <v>7</v>
      </c>
      <c r="E225" s="15">
        <v>10</v>
      </c>
      <c r="F225" s="15">
        <v>8</v>
      </c>
      <c r="G225" s="15">
        <v>5</v>
      </c>
      <c r="H225" s="15">
        <v>8</v>
      </c>
      <c r="I225" s="15">
        <v>7</v>
      </c>
      <c r="J225" s="15">
        <v>5</v>
      </c>
      <c r="K225" s="15">
        <v>0</v>
      </c>
      <c r="L225" s="15">
        <v>9</v>
      </c>
      <c r="M225" s="15">
        <v>23</v>
      </c>
      <c r="N225" s="15">
        <v>5</v>
      </c>
      <c r="O225" s="15">
        <v>5</v>
      </c>
      <c r="P225" s="15">
        <v>5</v>
      </c>
      <c r="Q225" s="15">
        <v>18</v>
      </c>
      <c r="R225" s="15">
        <v>1</v>
      </c>
      <c r="S225" s="15">
        <v>5</v>
      </c>
      <c r="T225" s="15">
        <v>0</v>
      </c>
      <c r="U225" s="15">
        <v>1</v>
      </c>
      <c r="V225" s="15">
        <v>10</v>
      </c>
      <c r="W225" s="15">
        <v>12</v>
      </c>
      <c r="X225" s="15">
        <v>11</v>
      </c>
      <c r="Y225" s="15">
        <v>16</v>
      </c>
      <c r="Z225" s="4">
        <v>196</v>
      </c>
      <c r="AA225" s="26">
        <v>22</v>
      </c>
      <c r="AB225" s="7">
        <v>0.77659999999999996</v>
      </c>
    </row>
    <row r="226" spans="1:29" x14ac:dyDescent="0.35">
      <c r="A226" s="1">
        <v>4001458</v>
      </c>
      <c r="B226" s="15">
        <v>34</v>
      </c>
      <c r="C226" s="15">
        <v>60</v>
      </c>
      <c r="D226" s="15">
        <v>5</v>
      </c>
      <c r="E226" s="15">
        <v>0</v>
      </c>
      <c r="F226" s="15">
        <v>30</v>
      </c>
      <c r="G226" s="15">
        <v>0</v>
      </c>
      <c r="H226" s="15">
        <v>0</v>
      </c>
      <c r="I226" s="15">
        <v>0</v>
      </c>
      <c r="J226" s="15">
        <v>10</v>
      </c>
      <c r="K226" s="15">
        <v>5</v>
      </c>
      <c r="L226" s="15">
        <v>30</v>
      </c>
      <c r="M226" s="15">
        <v>15</v>
      </c>
      <c r="N226" s="15">
        <v>10</v>
      </c>
      <c r="O226" s="15">
        <v>10</v>
      </c>
      <c r="P226" s="15">
        <v>0</v>
      </c>
      <c r="Q226" s="15">
        <v>15</v>
      </c>
      <c r="R226" s="15">
        <v>5</v>
      </c>
      <c r="S226" s="15">
        <v>10</v>
      </c>
      <c r="T226" s="15">
        <v>10</v>
      </c>
      <c r="U226" s="15">
        <v>0</v>
      </c>
      <c r="V226" s="15">
        <v>10</v>
      </c>
      <c r="W226" s="15">
        <v>30</v>
      </c>
      <c r="X226" s="15">
        <v>0</v>
      </c>
      <c r="Y226" s="15">
        <v>5</v>
      </c>
      <c r="Z226" s="4">
        <v>294</v>
      </c>
      <c r="AA226" s="26">
        <v>17</v>
      </c>
      <c r="AB226" s="7">
        <v>1.1788000000000001</v>
      </c>
    </row>
    <row r="227" spans="1:29" x14ac:dyDescent="0.35">
      <c r="A227" s="1">
        <v>4001461</v>
      </c>
      <c r="B227" s="15">
        <v>268</v>
      </c>
      <c r="C227" s="15">
        <v>220</v>
      </c>
      <c r="D227" s="15">
        <v>222</v>
      </c>
      <c r="E227" s="15">
        <v>219</v>
      </c>
      <c r="F227" s="15">
        <v>238</v>
      </c>
      <c r="G227" s="15">
        <v>148</v>
      </c>
      <c r="H227" s="15">
        <v>281</v>
      </c>
      <c r="I227" s="15">
        <v>159</v>
      </c>
      <c r="J227" s="15">
        <v>239</v>
      </c>
      <c r="K227" s="15">
        <v>202</v>
      </c>
      <c r="L227" s="15">
        <v>226</v>
      </c>
      <c r="M227" s="15">
        <v>252</v>
      </c>
      <c r="N227" s="15">
        <v>272</v>
      </c>
      <c r="O227" s="15">
        <v>336</v>
      </c>
      <c r="P227" s="15">
        <v>308</v>
      </c>
      <c r="Q227" s="15">
        <v>258</v>
      </c>
      <c r="R227" s="15">
        <v>132</v>
      </c>
      <c r="S227" s="15">
        <v>199</v>
      </c>
      <c r="T227" s="15">
        <v>193</v>
      </c>
      <c r="U227" s="15">
        <v>188</v>
      </c>
      <c r="V227" s="15">
        <v>256</v>
      </c>
      <c r="W227" s="15">
        <v>182</v>
      </c>
      <c r="X227" s="15">
        <v>174</v>
      </c>
      <c r="Y227" s="15">
        <v>265</v>
      </c>
      <c r="Z227" s="4">
        <v>5437</v>
      </c>
      <c r="AA227" s="26">
        <v>24</v>
      </c>
      <c r="AB227" s="7">
        <v>0.21729999999999999</v>
      </c>
    </row>
    <row r="228" spans="1:29" x14ac:dyDescent="0.35">
      <c r="A228" s="1">
        <v>4001523</v>
      </c>
      <c r="B228" s="15">
        <v>1750</v>
      </c>
      <c r="C228" s="15">
        <v>500</v>
      </c>
      <c r="D228" s="15">
        <v>250</v>
      </c>
      <c r="E228" s="15">
        <v>2300</v>
      </c>
      <c r="F228" s="15">
        <v>450</v>
      </c>
      <c r="G228" s="15">
        <v>450</v>
      </c>
      <c r="H228" s="15">
        <v>3350</v>
      </c>
      <c r="I228" s="15">
        <v>1400</v>
      </c>
      <c r="J228" s="15">
        <v>300</v>
      </c>
      <c r="K228" s="15">
        <v>400</v>
      </c>
      <c r="L228" s="15">
        <v>350</v>
      </c>
      <c r="M228" s="15">
        <v>850</v>
      </c>
      <c r="N228" s="15">
        <v>1400</v>
      </c>
      <c r="O228" s="15">
        <v>1650</v>
      </c>
      <c r="P228" s="15">
        <v>850</v>
      </c>
      <c r="Q228" s="15">
        <v>1650</v>
      </c>
      <c r="R228" s="15">
        <v>325</v>
      </c>
      <c r="S228" s="15">
        <v>1450</v>
      </c>
      <c r="T228" s="15">
        <v>1050</v>
      </c>
      <c r="U228" s="15">
        <v>150</v>
      </c>
      <c r="V228" s="15">
        <v>2450</v>
      </c>
      <c r="W228" s="15">
        <v>1850</v>
      </c>
      <c r="X228" s="15">
        <v>300</v>
      </c>
      <c r="Y228" s="15">
        <v>350</v>
      </c>
      <c r="Z228" s="4">
        <v>25825</v>
      </c>
      <c r="AA228" s="26">
        <v>24</v>
      </c>
      <c r="AB228" s="7">
        <v>0.7742</v>
      </c>
    </row>
    <row r="229" spans="1:29" x14ac:dyDescent="0.35">
      <c r="A229" s="1">
        <v>4001524</v>
      </c>
      <c r="B229" s="15">
        <v>550</v>
      </c>
      <c r="C229" s="15">
        <v>1400</v>
      </c>
      <c r="D229" s="15">
        <v>700</v>
      </c>
      <c r="E229" s="15">
        <v>450</v>
      </c>
      <c r="F229" s="15">
        <v>750</v>
      </c>
      <c r="G229" s="15">
        <v>200</v>
      </c>
      <c r="H229" s="15">
        <v>1650</v>
      </c>
      <c r="I229" s="15">
        <v>900</v>
      </c>
      <c r="J229" s="15">
        <v>300</v>
      </c>
      <c r="K229" s="15">
        <v>50</v>
      </c>
      <c r="L229" s="15">
        <v>350</v>
      </c>
      <c r="M229" s="15">
        <v>550</v>
      </c>
      <c r="N229" s="15">
        <v>1850</v>
      </c>
      <c r="O229" s="15">
        <v>1350</v>
      </c>
      <c r="P229" s="15">
        <v>1050</v>
      </c>
      <c r="Q229" s="15">
        <v>600</v>
      </c>
      <c r="R229" s="15">
        <v>385</v>
      </c>
      <c r="S229" s="15">
        <v>150</v>
      </c>
      <c r="T229" s="15">
        <v>650</v>
      </c>
      <c r="U229" s="15">
        <v>250</v>
      </c>
      <c r="V229" s="15">
        <v>1200</v>
      </c>
      <c r="W229" s="15">
        <v>700</v>
      </c>
      <c r="X229" s="15">
        <v>1050</v>
      </c>
      <c r="Y229" s="15">
        <v>150</v>
      </c>
      <c r="Z229" s="4">
        <v>17235</v>
      </c>
      <c r="AA229" s="26">
        <v>24</v>
      </c>
      <c r="AB229" s="7">
        <v>0.67559999999999998</v>
      </c>
    </row>
    <row r="230" spans="1:29" x14ac:dyDescent="0.35">
      <c r="A230" s="1">
        <v>4001551</v>
      </c>
      <c r="B230" s="15">
        <v>3850</v>
      </c>
      <c r="C230" s="15">
        <v>3850</v>
      </c>
      <c r="D230" s="15">
        <v>3300</v>
      </c>
      <c r="E230" s="15">
        <v>4700</v>
      </c>
      <c r="F230" s="15">
        <v>4550</v>
      </c>
      <c r="G230" s="15">
        <v>2300</v>
      </c>
      <c r="H230" s="15">
        <v>2300</v>
      </c>
      <c r="I230" s="15">
        <v>3450</v>
      </c>
      <c r="J230" s="15">
        <v>4150</v>
      </c>
      <c r="K230" s="15">
        <v>3850</v>
      </c>
      <c r="L230" s="15">
        <v>3450</v>
      </c>
      <c r="M230" s="15">
        <v>3050</v>
      </c>
      <c r="N230" s="15">
        <v>3500</v>
      </c>
      <c r="O230" s="15">
        <v>3400</v>
      </c>
      <c r="P230" s="15">
        <v>4150</v>
      </c>
      <c r="Q230" s="15">
        <v>2900</v>
      </c>
      <c r="R230" s="15">
        <v>3600</v>
      </c>
      <c r="S230" s="15">
        <v>2800</v>
      </c>
      <c r="T230" s="15">
        <v>1950</v>
      </c>
      <c r="U230" s="15">
        <v>2650</v>
      </c>
      <c r="V230" s="15">
        <v>3950</v>
      </c>
      <c r="W230" s="15">
        <v>5150</v>
      </c>
      <c r="X230" s="15">
        <v>3150</v>
      </c>
      <c r="Y230" s="15">
        <v>3650</v>
      </c>
      <c r="Z230" s="4">
        <v>83650</v>
      </c>
      <c r="AA230" s="26">
        <v>24</v>
      </c>
      <c r="AB230" s="7">
        <v>0.21870000000000001</v>
      </c>
    </row>
    <row r="231" spans="1:29" x14ac:dyDescent="0.35">
      <c r="A231" s="1">
        <v>4001562</v>
      </c>
      <c r="B231" s="15">
        <v>77</v>
      </c>
      <c r="C231" s="15">
        <v>60</v>
      </c>
      <c r="D231" s="15">
        <v>64</v>
      </c>
      <c r="E231" s="15">
        <v>100</v>
      </c>
      <c r="F231" s="15">
        <v>99</v>
      </c>
      <c r="G231" s="15">
        <v>86</v>
      </c>
      <c r="H231" s="15">
        <v>59</v>
      </c>
      <c r="I231" s="15">
        <v>52</v>
      </c>
      <c r="J231" s="15">
        <v>82</v>
      </c>
      <c r="K231" s="15">
        <v>58</v>
      </c>
      <c r="L231" s="15">
        <v>60</v>
      </c>
      <c r="M231" s="15">
        <v>76</v>
      </c>
      <c r="N231" s="15">
        <v>56</v>
      </c>
      <c r="O231" s="15">
        <v>97</v>
      </c>
      <c r="P231" s="15">
        <v>49</v>
      </c>
      <c r="Q231" s="15">
        <v>57</v>
      </c>
      <c r="R231" s="15">
        <v>64</v>
      </c>
      <c r="S231" s="15">
        <v>81</v>
      </c>
      <c r="T231" s="15">
        <v>49</v>
      </c>
      <c r="U231" s="15">
        <v>37</v>
      </c>
      <c r="V231" s="15">
        <v>53</v>
      </c>
      <c r="W231" s="15">
        <v>52</v>
      </c>
      <c r="X231" s="15">
        <v>61</v>
      </c>
      <c r="Y231" s="15">
        <v>52</v>
      </c>
      <c r="Z231" s="4">
        <v>1581</v>
      </c>
      <c r="AA231" s="26">
        <v>24</v>
      </c>
      <c r="AB231" s="7">
        <v>0.2571</v>
      </c>
    </row>
    <row r="232" spans="1:29" x14ac:dyDescent="0.35">
      <c r="A232" s="1">
        <v>4001572</v>
      </c>
      <c r="B232" s="15">
        <v>48</v>
      </c>
      <c r="C232" s="15">
        <v>24</v>
      </c>
      <c r="D232" s="15">
        <v>48</v>
      </c>
      <c r="E232" s="15">
        <v>120</v>
      </c>
      <c r="F232" s="15">
        <v>96</v>
      </c>
      <c r="G232" s="15">
        <v>72</v>
      </c>
      <c r="H232" s="15">
        <v>120</v>
      </c>
      <c r="I232" s="15">
        <v>48</v>
      </c>
      <c r="J232" s="15">
        <v>96</v>
      </c>
      <c r="K232" s="15">
        <v>96</v>
      </c>
      <c r="L232" s="15">
        <v>96</v>
      </c>
      <c r="M232" s="15">
        <v>96</v>
      </c>
      <c r="N232" s="15">
        <v>96</v>
      </c>
      <c r="O232" s="15">
        <v>120</v>
      </c>
      <c r="P232" s="15">
        <v>96</v>
      </c>
      <c r="Q232" s="15">
        <v>48</v>
      </c>
      <c r="R232" s="15">
        <v>192</v>
      </c>
      <c r="S232" s="15">
        <v>240</v>
      </c>
      <c r="T232" s="15">
        <v>192</v>
      </c>
      <c r="U232" s="15">
        <v>96</v>
      </c>
      <c r="V232" s="15">
        <v>144</v>
      </c>
      <c r="W232" s="15">
        <v>96</v>
      </c>
      <c r="X232" s="15">
        <v>96</v>
      </c>
      <c r="Y232" s="15">
        <v>24</v>
      </c>
      <c r="Z232" s="4">
        <v>2400</v>
      </c>
      <c r="AA232" s="26">
        <v>24</v>
      </c>
      <c r="AB232" s="7">
        <v>0.51219999999999999</v>
      </c>
    </row>
    <row r="233" spans="1:29" x14ac:dyDescent="0.35">
      <c r="A233" s="1">
        <v>4001573</v>
      </c>
      <c r="B233" s="15">
        <v>42</v>
      </c>
      <c r="C233" s="15">
        <v>66</v>
      </c>
      <c r="D233" s="15">
        <v>36</v>
      </c>
      <c r="E233" s="15">
        <v>36</v>
      </c>
      <c r="F233" s="15">
        <v>36</v>
      </c>
      <c r="G233" s="15">
        <v>60</v>
      </c>
      <c r="H233" s="15">
        <v>66</v>
      </c>
      <c r="I233" s="15">
        <v>54</v>
      </c>
      <c r="J233" s="15">
        <v>84</v>
      </c>
      <c r="K233" s="15">
        <v>66</v>
      </c>
      <c r="L233" s="15">
        <v>60</v>
      </c>
      <c r="M233" s="15">
        <v>30</v>
      </c>
      <c r="N233" s="15">
        <v>48</v>
      </c>
      <c r="O233" s="15">
        <v>66</v>
      </c>
      <c r="P233" s="15">
        <v>55</v>
      </c>
      <c r="Q233" s="15">
        <v>84</v>
      </c>
      <c r="R233" s="15">
        <v>114</v>
      </c>
      <c r="S233" s="15">
        <v>84</v>
      </c>
      <c r="T233" s="15">
        <v>156</v>
      </c>
      <c r="U233" s="15">
        <v>108</v>
      </c>
      <c r="V233" s="15">
        <v>90</v>
      </c>
      <c r="W233" s="15">
        <v>120</v>
      </c>
      <c r="X233" s="15">
        <v>30</v>
      </c>
      <c r="Y233" s="15">
        <v>48</v>
      </c>
      <c r="Z233" s="4">
        <v>1639</v>
      </c>
      <c r="AA233" s="26">
        <v>24</v>
      </c>
      <c r="AB233" s="7">
        <v>0.45679999999999998</v>
      </c>
    </row>
    <row r="234" spans="1:29" x14ac:dyDescent="0.35">
      <c r="A234" s="1">
        <v>4001574</v>
      </c>
      <c r="B234" s="15">
        <v>636</v>
      </c>
      <c r="C234" s="15">
        <v>360</v>
      </c>
      <c r="D234" s="15">
        <v>432</v>
      </c>
      <c r="E234" s="15">
        <v>468</v>
      </c>
      <c r="F234" s="15">
        <v>624</v>
      </c>
      <c r="G234" s="15">
        <v>324</v>
      </c>
      <c r="H234" s="15">
        <v>396</v>
      </c>
      <c r="I234" s="15">
        <v>432</v>
      </c>
      <c r="J234" s="15">
        <v>372</v>
      </c>
      <c r="K234" s="15">
        <v>420</v>
      </c>
      <c r="L234" s="15">
        <v>372</v>
      </c>
      <c r="M234" s="15">
        <v>468</v>
      </c>
      <c r="N234" s="15">
        <v>420</v>
      </c>
      <c r="O234" s="15">
        <v>576</v>
      </c>
      <c r="P234" s="15">
        <v>600</v>
      </c>
      <c r="Q234" s="15">
        <v>348</v>
      </c>
      <c r="R234" s="15">
        <v>384</v>
      </c>
      <c r="S234" s="15">
        <v>516</v>
      </c>
      <c r="T234" s="15">
        <v>240</v>
      </c>
      <c r="U234" s="15">
        <v>492</v>
      </c>
      <c r="V234" s="15">
        <v>456</v>
      </c>
      <c r="W234" s="15">
        <v>528</v>
      </c>
      <c r="X234" s="15">
        <v>384</v>
      </c>
      <c r="Y234" s="15">
        <v>360</v>
      </c>
      <c r="Z234" s="4">
        <v>10608</v>
      </c>
      <c r="AA234" s="26">
        <v>24</v>
      </c>
      <c r="AB234" s="7">
        <v>0.22020000000000001</v>
      </c>
    </row>
    <row r="235" spans="1:29" x14ac:dyDescent="0.35">
      <c r="A235" s="1">
        <v>4001576</v>
      </c>
      <c r="B235" s="15">
        <v>5150</v>
      </c>
      <c r="C235" s="15">
        <v>6100</v>
      </c>
      <c r="D235" s="15">
        <v>4650</v>
      </c>
      <c r="E235" s="15">
        <v>4850</v>
      </c>
      <c r="F235" s="15">
        <v>7100</v>
      </c>
      <c r="G235" s="15">
        <v>4550</v>
      </c>
      <c r="H235" s="15">
        <v>5350</v>
      </c>
      <c r="I235" s="15">
        <v>6650</v>
      </c>
      <c r="J235" s="15">
        <v>5950</v>
      </c>
      <c r="K235" s="15">
        <v>6700</v>
      </c>
      <c r="L235" s="15">
        <v>5200</v>
      </c>
      <c r="M235" s="15">
        <v>6600</v>
      </c>
      <c r="N235" s="15">
        <v>6650</v>
      </c>
      <c r="O235" s="15">
        <v>6200</v>
      </c>
      <c r="P235" s="15">
        <v>4950</v>
      </c>
      <c r="Q235" s="15">
        <v>7150</v>
      </c>
      <c r="R235" s="15">
        <v>6000</v>
      </c>
      <c r="S235" s="15">
        <v>5550</v>
      </c>
      <c r="T235" s="15">
        <v>4400</v>
      </c>
      <c r="U235" s="15">
        <v>6200</v>
      </c>
      <c r="V235" s="15">
        <v>5550</v>
      </c>
      <c r="W235" s="15">
        <v>7000</v>
      </c>
      <c r="X235" s="15">
        <v>7000</v>
      </c>
      <c r="Y235" s="15">
        <v>6950</v>
      </c>
      <c r="Z235" s="4">
        <v>142450</v>
      </c>
      <c r="AA235" s="26">
        <v>24</v>
      </c>
      <c r="AB235" s="7">
        <v>0.14680000000000001</v>
      </c>
    </row>
    <row r="236" spans="1:29" x14ac:dyDescent="0.35">
      <c r="A236" s="1">
        <v>4001609</v>
      </c>
      <c r="B236" s="15">
        <v>0</v>
      </c>
      <c r="C236" s="15">
        <v>4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4">
        <v>5</v>
      </c>
      <c r="AA236" s="26">
        <v>2</v>
      </c>
      <c r="AB236" s="7">
        <v>3.9140999999999999</v>
      </c>
      <c r="AC236" s="1" t="s">
        <v>3230</v>
      </c>
    </row>
    <row r="237" spans="1:29" x14ac:dyDescent="0.35">
      <c r="A237" s="1">
        <v>4001691</v>
      </c>
      <c r="B237" s="15">
        <v>20</v>
      </c>
      <c r="C237" s="15">
        <v>10</v>
      </c>
      <c r="D237" s="15">
        <v>5</v>
      </c>
      <c r="E237" s="15">
        <v>15</v>
      </c>
      <c r="F237" s="15">
        <v>5</v>
      </c>
      <c r="G237" s="15">
        <v>25</v>
      </c>
      <c r="H237" s="15">
        <v>0</v>
      </c>
      <c r="I237" s="15">
        <v>20</v>
      </c>
      <c r="J237" s="15">
        <v>15</v>
      </c>
      <c r="K237" s="15">
        <v>15</v>
      </c>
      <c r="L237" s="15">
        <v>30</v>
      </c>
      <c r="M237" s="15">
        <v>5</v>
      </c>
      <c r="N237" s="15">
        <v>10</v>
      </c>
      <c r="O237" s="15">
        <v>15</v>
      </c>
      <c r="P237" s="15">
        <v>10</v>
      </c>
      <c r="Q237" s="15">
        <v>10</v>
      </c>
      <c r="R237" s="15">
        <v>30</v>
      </c>
      <c r="S237" s="15">
        <v>10</v>
      </c>
      <c r="T237" s="15">
        <v>5</v>
      </c>
      <c r="U237" s="15">
        <v>20</v>
      </c>
      <c r="V237" s="15">
        <v>0</v>
      </c>
      <c r="W237" s="15">
        <v>20</v>
      </c>
      <c r="X237" s="15">
        <v>15</v>
      </c>
      <c r="Y237" s="15">
        <v>0</v>
      </c>
      <c r="Z237" s="4">
        <v>310</v>
      </c>
      <c r="AA237" s="26">
        <v>21</v>
      </c>
      <c r="AB237" s="7">
        <v>0.6603</v>
      </c>
    </row>
    <row r="238" spans="1:29" x14ac:dyDescent="0.35">
      <c r="A238" s="1">
        <v>4001701</v>
      </c>
      <c r="B238" s="15">
        <v>24</v>
      </c>
      <c r="C238" s="15">
        <v>34</v>
      </c>
      <c r="D238" s="15">
        <v>26</v>
      </c>
      <c r="E238" s="15">
        <v>31</v>
      </c>
      <c r="F238" s="15">
        <v>26</v>
      </c>
      <c r="G238" s="15">
        <v>30</v>
      </c>
      <c r="H238" s="15">
        <v>12</v>
      </c>
      <c r="I238" s="15">
        <v>25</v>
      </c>
      <c r="J238" s="15">
        <v>14</v>
      </c>
      <c r="K238" s="15">
        <v>30</v>
      </c>
      <c r="L238" s="15">
        <v>27</v>
      </c>
      <c r="M238" s="15">
        <v>27</v>
      </c>
      <c r="N238" s="15">
        <v>20</v>
      </c>
      <c r="O238" s="15">
        <v>33</v>
      </c>
      <c r="P238" s="15">
        <v>26</v>
      </c>
      <c r="Q238" s="15">
        <v>31</v>
      </c>
      <c r="R238" s="15">
        <v>29</v>
      </c>
      <c r="S238" s="15">
        <v>22</v>
      </c>
      <c r="T238" s="15">
        <v>17</v>
      </c>
      <c r="U238" s="15">
        <v>25</v>
      </c>
      <c r="V238" s="15">
        <v>38</v>
      </c>
      <c r="W238" s="15">
        <v>34</v>
      </c>
      <c r="X238" s="15">
        <v>31</v>
      </c>
      <c r="Y238" s="15">
        <v>40</v>
      </c>
      <c r="Z238" s="4">
        <v>652</v>
      </c>
      <c r="AA238" s="26">
        <v>24</v>
      </c>
      <c r="AB238" s="7">
        <v>0.24709999999999999</v>
      </c>
    </row>
    <row r="239" spans="1:29" x14ac:dyDescent="0.35">
      <c r="A239" s="1">
        <v>4001754</v>
      </c>
      <c r="B239" s="15">
        <v>120</v>
      </c>
      <c r="C239" s="15">
        <v>90</v>
      </c>
      <c r="D239" s="15">
        <v>350</v>
      </c>
      <c r="E239" s="15">
        <v>120</v>
      </c>
      <c r="F239" s="15">
        <v>190</v>
      </c>
      <c r="G239" s="15">
        <v>170</v>
      </c>
      <c r="H239" s="15">
        <v>110</v>
      </c>
      <c r="I239" s="15">
        <v>130</v>
      </c>
      <c r="J239" s="15">
        <v>140</v>
      </c>
      <c r="K239" s="15">
        <v>230</v>
      </c>
      <c r="L239" s="15">
        <v>240</v>
      </c>
      <c r="M239" s="15">
        <v>60</v>
      </c>
      <c r="N239" s="15">
        <v>420</v>
      </c>
      <c r="O239" s="15">
        <v>230</v>
      </c>
      <c r="P239" s="15">
        <v>90</v>
      </c>
      <c r="Q239" s="15">
        <v>100</v>
      </c>
      <c r="R239" s="15">
        <v>150</v>
      </c>
      <c r="S239" s="15">
        <v>240</v>
      </c>
      <c r="T239" s="15">
        <v>140</v>
      </c>
      <c r="U239" s="15">
        <v>60</v>
      </c>
      <c r="V239" s="15">
        <v>350</v>
      </c>
      <c r="W239" s="15">
        <v>80</v>
      </c>
      <c r="X239" s="15">
        <v>161</v>
      </c>
      <c r="Y239" s="15">
        <v>80</v>
      </c>
      <c r="Z239" s="4">
        <v>4051</v>
      </c>
      <c r="AA239" s="26">
        <v>24</v>
      </c>
      <c r="AB239" s="7">
        <v>0.56110000000000004</v>
      </c>
    </row>
    <row r="240" spans="1:29" x14ac:dyDescent="0.35">
      <c r="A240" s="1">
        <v>4001762</v>
      </c>
      <c r="B240" s="15">
        <v>1200</v>
      </c>
      <c r="C240" s="15">
        <v>1700</v>
      </c>
      <c r="D240" s="15">
        <v>1700</v>
      </c>
      <c r="E240" s="15">
        <v>800</v>
      </c>
      <c r="F240" s="15">
        <v>1700</v>
      </c>
      <c r="G240" s="15">
        <v>1300</v>
      </c>
      <c r="H240" s="15">
        <v>600</v>
      </c>
      <c r="I240" s="15">
        <v>1400</v>
      </c>
      <c r="J240" s="15">
        <v>1100</v>
      </c>
      <c r="K240" s="15">
        <v>1200</v>
      </c>
      <c r="L240" s="15">
        <v>1400</v>
      </c>
      <c r="M240" s="15">
        <v>1400</v>
      </c>
      <c r="N240" s="15">
        <v>2000</v>
      </c>
      <c r="O240" s="15">
        <v>1700</v>
      </c>
      <c r="P240" s="15">
        <v>400</v>
      </c>
      <c r="Q240" s="15">
        <v>1700</v>
      </c>
      <c r="R240" s="15">
        <v>400</v>
      </c>
      <c r="S240" s="15">
        <v>1800</v>
      </c>
      <c r="T240" s="15">
        <v>500</v>
      </c>
      <c r="U240" s="15">
        <v>1300</v>
      </c>
      <c r="V240" s="15">
        <v>300</v>
      </c>
      <c r="W240" s="15">
        <v>1000</v>
      </c>
      <c r="X240" s="15">
        <v>1800</v>
      </c>
      <c r="Y240" s="15">
        <v>1300</v>
      </c>
      <c r="Z240" s="4">
        <v>29700</v>
      </c>
      <c r="AA240" s="26">
        <v>24</v>
      </c>
      <c r="AB240" s="7">
        <v>0.39989999999999998</v>
      </c>
    </row>
    <row r="241" spans="1:29" x14ac:dyDescent="0.35">
      <c r="A241" s="1">
        <v>4001763</v>
      </c>
      <c r="B241" s="15">
        <v>1900</v>
      </c>
      <c r="C241" s="15">
        <v>1900</v>
      </c>
      <c r="D241" s="15">
        <v>1800</v>
      </c>
      <c r="E241" s="15">
        <v>1500</v>
      </c>
      <c r="F241" s="15">
        <v>1700</v>
      </c>
      <c r="G241" s="15">
        <v>1700</v>
      </c>
      <c r="H241" s="15">
        <v>1300</v>
      </c>
      <c r="I241" s="15">
        <v>600</v>
      </c>
      <c r="J241" s="15">
        <v>1600</v>
      </c>
      <c r="K241" s="15">
        <v>1800</v>
      </c>
      <c r="L241" s="15">
        <v>1100</v>
      </c>
      <c r="M241" s="15">
        <v>1800</v>
      </c>
      <c r="N241" s="15">
        <v>2200</v>
      </c>
      <c r="O241" s="15">
        <v>2000</v>
      </c>
      <c r="P241" s="15">
        <v>1300</v>
      </c>
      <c r="Q241" s="15">
        <v>2300</v>
      </c>
      <c r="R241" s="15">
        <v>1400</v>
      </c>
      <c r="S241" s="15">
        <v>2900</v>
      </c>
      <c r="T241" s="15">
        <v>800</v>
      </c>
      <c r="U241" s="15">
        <v>1900</v>
      </c>
      <c r="V241" s="15">
        <v>1500</v>
      </c>
      <c r="W241" s="15">
        <v>1010</v>
      </c>
      <c r="X241" s="15">
        <v>2200</v>
      </c>
      <c r="Y241" s="15">
        <v>1000</v>
      </c>
      <c r="Z241" s="4">
        <v>39210</v>
      </c>
      <c r="AA241" s="26">
        <v>24</v>
      </c>
      <c r="AB241" s="7">
        <v>0.31309999999999999</v>
      </c>
    </row>
    <row r="242" spans="1:29" x14ac:dyDescent="0.35">
      <c r="A242" s="1">
        <v>4001764</v>
      </c>
      <c r="B242" s="15">
        <v>0</v>
      </c>
      <c r="C242" s="15">
        <v>300</v>
      </c>
      <c r="D242" s="15">
        <v>200</v>
      </c>
      <c r="E242" s="15">
        <v>0</v>
      </c>
      <c r="F242" s="15">
        <v>100</v>
      </c>
      <c r="G242" s="15">
        <v>200</v>
      </c>
      <c r="H242" s="15">
        <v>200</v>
      </c>
      <c r="I242" s="15">
        <v>100</v>
      </c>
      <c r="J242" s="15">
        <v>0</v>
      </c>
      <c r="K242" s="15">
        <v>0</v>
      </c>
      <c r="L242" s="15">
        <v>100</v>
      </c>
      <c r="M242" s="15">
        <v>100</v>
      </c>
      <c r="N242" s="15">
        <v>200</v>
      </c>
      <c r="O242" s="15">
        <v>0</v>
      </c>
      <c r="P242" s="15">
        <v>100</v>
      </c>
      <c r="Q242" s="15">
        <v>0</v>
      </c>
      <c r="R242" s="15">
        <v>0</v>
      </c>
      <c r="S242" s="15">
        <v>100</v>
      </c>
      <c r="T242" s="15">
        <v>0</v>
      </c>
      <c r="U242" s="15">
        <v>0</v>
      </c>
      <c r="V242" s="15">
        <v>500</v>
      </c>
      <c r="W242" s="15">
        <v>300</v>
      </c>
      <c r="X242" s="15">
        <v>100</v>
      </c>
      <c r="Y242" s="15">
        <v>100</v>
      </c>
      <c r="Z242" s="4">
        <v>2700</v>
      </c>
      <c r="AA242" s="26">
        <v>15</v>
      </c>
      <c r="AB242" s="7">
        <v>1.0981000000000001</v>
      </c>
    </row>
    <row r="243" spans="1:29" x14ac:dyDescent="0.35">
      <c r="A243" s="1">
        <v>4001809</v>
      </c>
      <c r="B243" s="15">
        <v>2000</v>
      </c>
      <c r="C243" s="15">
        <v>2700</v>
      </c>
      <c r="D243" s="15">
        <v>1400</v>
      </c>
      <c r="E243" s="15">
        <v>1800</v>
      </c>
      <c r="F243" s="15">
        <v>2200</v>
      </c>
      <c r="G243" s="15">
        <v>2700</v>
      </c>
      <c r="H243" s="15">
        <v>1500</v>
      </c>
      <c r="I243" s="15">
        <v>2100</v>
      </c>
      <c r="J243" s="15">
        <v>2600</v>
      </c>
      <c r="K243" s="15">
        <v>2800</v>
      </c>
      <c r="L243" s="15">
        <v>2300</v>
      </c>
      <c r="M243" s="15">
        <v>3000</v>
      </c>
      <c r="N243" s="15">
        <v>2200</v>
      </c>
      <c r="O243" s="15">
        <v>2300</v>
      </c>
      <c r="P243" s="15">
        <v>2900</v>
      </c>
      <c r="Q243" s="15">
        <v>2800</v>
      </c>
      <c r="R243" s="15">
        <v>1800</v>
      </c>
      <c r="S243" s="15">
        <v>2300</v>
      </c>
      <c r="T243" s="15">
        <v>2000</v>
      </c>
      <c r="U243" s="15">
        <v>1700</v>
      </c>
      <c r="V243" s="15">
        <v>1200</v>
      </c>
      <c r="W243" s="15">
        <v>2700</v>
      </c>
      <c r="X243" s="15">
        <v>700</v>
      </c>
      <c r="Y243" s="15">
        <v>1700</v>
      </c>
      <c r="Z243" s="4">
        <v>51400</v>
      </c>
      <c r="AA243" s="26">
        <v>24</v>
      </c>
      <c r="AB243" s="7">
        <v>0.26960000000000001</v>
      </c>
    </row>
    <row r="244" spans="1:29" x14ac:dyDescent="0.35">
      <c r="A244" s="1">
        <v>4001853</v>
      </c>
      <c r="B244" s="15">
        <v>41</v>
      </c>
      <c r="C244" s="15">
        <v>36</v>
      </c>
      <c r="D244" s="15">
        <v>53</v>
      </c>
      <c r="E244" s="15">
        <v>40</v>
      </c>
      <c r="F244" s="15">
        <v>51</v>
      </c>
      <c r="G244" s="15">
        <v>47</v>
      </c>
      <c r="H244" s="15">
        <v>45</v>
      </c>
      <c r="I244" s="15">
        <v>54</v>
      </c>
      <c r="J244" s="15">
        <v>51</v>
      </c>
      <c r="K244" s="15">
        <v>53</v>
      </c>
      <c r="L244" s="15">
        <v>62</v>
      </c>
      <c r="M244" s="15">
        <v>40</v>
      </c>
      <c r="N244" s="15">
        <v>41</v>
      </c>
      <c r="O244" s="15">
        <v>48</v>
      </c>
      <c r="P244" s="15">
        <v>44</v>
      </c>
      <c r="Q244" s="15">
        <v>65</v>
      </c>
      <c r="R244" s="15">
        <v>43</v>
      </c>
      <c r="S244" s="15">
        <v>62</v>
      </c>
      <c r="T244" s="15">
        <v>50</v>
      </c>
      <c r="U244" s="15">
        <v>70</v>
      </c>
      <c r="V244" s="15">
        <v>55</v>
      </c>
      <c r="W244" s="15">
        <v>46</v>
      </c>
      <c r="X244" s="15">
        <v>36</v>
      </c>
      <c r="Y244" s="15">
        <v>68</v>
      </c>
      <c r="Z244" s="4">
        <v>1201</v>
      </c>
      <c r="AA244" s="26">
        <v>24</v>
      </c>
      <c r="AB244" s="7">
        <v>0.19089999999999999</v>
      </c>
    </row>
    <row r="245" spans="1:29" x14ac:dyDescent="0.35">
      <c r="A245" s="1">
        <v>4001969</v>
      </c>
      <c r="B245" s="15">
        <v>79</v>
      </c>
      <c r="C245" s="15">
        <v>70</v>
      </c>
      <c r="D245" s="15">
        <v>70</v>
      </c>
      <c r="E245" s="15">
        <v>69</v>
      </c>
      <c r="F245" s="15">
        <v>64</v>
      </c>
      <c r="G245" s="15">
        <v>73</v>
      </c>
      <c r="H245" s="15">
        <v>52</v>
      </c>
      <c r="I245" s="15">
        <v>51</v>
      </c>
      <c r="J245" s="15">
        <v>66</v>
      </c>
      <c r="K245" s="15">
        <v>65</v>
      </c>
      <c r="L245" s="15">
        <v>53</v>
      </c>
      <c r="M245" s="15">
        <v>54</v>
      </c>
      <c r="N245" s="15">
        <v>63</v>
      </c>
      <c r="O245" s="15">
        <v>66</v>
      </c>
      <c r="P245" s="15">
        <v>74</v>
      </c>
      <c r="Q245" s="15">
        <v>67</v>
      </c>
      <c r="R245" s="15">
        <v>69</v>
      </c>
      <c r="S245" s="15">
        <v>65</v>
      </c>
      <c r="T245" s="15">
        <v>46</v>
      </c>
      <c r="U245" s="15">
        <v>63</v>
      </c>
      <c r="V245" s="15">
        <v>59</v>
      </c>
      <c r="W245" s="15">
        <v>64</v>
      </c>
      <c r="X245" s="15">
        <v>49</v>
      </c>
      <c r="Y245" s="15">
        <v>59</v>
      </c>
      <c r="Z245" s="4">
        <v>1510</v>
      </c>
      <c r="AA245" s="26">
        <v>24</v>
      </c>
      <c r="AB245" s="7">
        <v>0.13189999999999999</v>
      </c>
    </row>
    <row r="246" spans="1:29" x14ac:dyDescent="0.35">
      <c r="A246" s="1">
        <v>4002233</v>
      </c>
      <c r="B246" s="15">
        <v>675</v>
      </c>
      <c r="C246" s="15">
        <v>605</v>
      </c>
      <c r="D246" s="15">
        <v>683</v>
      </c>
      <c r="E246" s="15">
        <v>762</v>
      </c>
      <c r="F246" s="15">
        <v>750</v>
      </c>
      <c r="G246" s="15">
        <v>425</v>
      </c>
      <c r="H246" s="15">
        <v>826</v>
      </c>
      <c r="I246" s="15">
        <v>275</v>
      </c>
      <c r="J246" s="15">
        <v>304</v>
      </c>
      <c r="K246" s="15">
        <v>1023</v>
      </c>
      <c r="L246" s="15">
        <v>525</v>
      </c>
      <c r="M246" s="15">
        <v>750</v>
      </c>
      <c r="N246" s="15">
        <v>521</v>
      </c>
      <c r="O246" s="15">
        <v>800</v>
      </c>
      <c r="P246" s="15">
        <v>770</v>
      </c>
      <c r="Q246" s="15">
        <v>530</v>
      </c>
      <c r="R246" s="15">
        <v>250</v>
      </c>
      <c r="S246" s="15">
        <v>345</v>
      </c>
      <c r="T246" s="15">
        <v>230</v>
      </c>
      <c r="U246" s="15">
        <v>201</v>
      </c>
      <c r="V246" s="15">
        <v>300</v>
      </c>
      <c r="W246" s="15">
        <v>425</v>
      </c>
      <c r="X246" s="15">
        <v>628</v>
      </c>
      <c r="Y246" s="15">
        <v>275</v>
      </c>
      <c r="Z246" s="4">
        <v>12878</v>
      </c>
      <c r="AA246" s="26">
        <v>24</v>
      </c>
      <c r="AB246" s="7">
        <v>0.42320000000000002</v>
      </c>
    </row>
    <row r="247" spans="1:29" x14ac:dyDescent="0.35">
      <c r="A247" s="1">
        <v>4002277</v>
      </c>
      <c r="B247" s="15">
        <v>720</v>
      </c>
      <c r="C247" s="15">
        <v>410</v>
      </c>
      <c r="D247" s="15">
        <v>511</v>
      </c>
      <c r="E247" s="15">
        <v>380</v>
      </c>
      <c r="F247" s="15">
        <v>530</v>
      </c>
      <c r="G247" s="15">
        <v>330</v>
      </c>
      <c r="H247" s="15">
        <v>530</v>
      </c>
      <c r="I247" s="15">
        <v>530</v>
      </c>
      <c r="J247" s="15">
        <v>670</v>
      </c>
      <c r="K247" s="15">
        <v>640</v>
      </c>
      <c r="L247" s="15">
        <v>590</v>
      </c>
      <c r="M247" s="15">
        <v>560</v>
      </c>
      <c r="N247" s="15">
        <v>560</v>
      </c>
      <c r="O247" s="15">
        <v>530</v>
      </c>
      <c r="P247" s="15">
        <v>680</v>
      </c>
      <c r="Q247" s="15">
        <v>440</v>
      </c>
      <c r="R247" s="15">
        <v>435</v>
      </c>
      <c r="S247" s="15">
        <v>590</v>
      </c>
      <c r="T247" s="15">
        <v>425</v>
      </c>
      <c r="U247" s="15">
        <v>590</v>
      </c>
      <c r="V247" s="15">
        <v>680</v>
      </c>
      <c r="W247" s="15">
        <v>620</v>
      </c>
      <c r="X247" s="15">
        <v>625</v>
      </c>
      <c r="Y247" s="15">
        <v>760</v>
      </c>
      <c r="Z247" s="4">
        <v>13336</v>
      </c>
      <c r="AA247" s="26">
        <v>24</v>
      </c>
      <c r="AB247" s="7">
        <v>0.1961</v>
      </c>
    </row>
    <row r="248" spans="1:29" x14ac:dyDescent="0.35">
      <c r="A248" s="1">
        <v>4002292</v>
      </c>
      <c r="B248" s="15">
        <v>600</v>
      </c>
      <c r="C248" s="15">
        <v>150</v>
      </c>
      <c r="D248" s="15">
        <v>800</v>
      </c>
      <c r="E248" s="15">
        <v>150</v>
      </c>
      <c r="F248" s="15">
        <v>700</v>
      </c>
      <c r="G248" s="15">
        <v>750</v>
      </c>
      <c r="H248" s="15">
        <v>250</v>
      </c>
      <c r="I248" s="15">
        <v>450</v>
      </c>
      <c r="J248" s="15">
        <v>250</v>
      </c>
      <c r="K248" s="15">
        <v>250</v>
      </c>
      <c r="L248" s="15">
        <v>500</v>
      </c>
      <c r="M248" s="15">
        <v>492</v>
      </c>
      <c r="N248" s="15">
        <v>650</v>
      </c>
      <c r="O248" s="15">
        <v>392</v>
      </c>
      <c r="P248" s="15">
        <v>400</v>
      </c>
      <c r="Q248" s="15">
        <v>300</v>
      </c>
      <c r="R248" s="15">
        <v>500</v>
      </c>
      <c r="S248" s="15">
        <v>750</v>
      </c>
      <c r="T248" s="15">
        <v>171</v>
      </c>
      <c r="U248" s="15">
        <v>150</v>
      </c>
      <c r="V248" s="15">
        <v>321</v>
      </c>
      <c r="W248" s="15">
        <v>671</v>
      </c>
      <c r="X248" s="15">
        <v>434</v>
      </c>
      <c r="Y248" s="15">
        <v>142</v>
      </c>
      <c r="Z248" s="4">
        <v>10223</v>
      </c>
      <c r="AA248" s="26">
        <v>24</v>
      </c>
      <c r="AB248" s="7">
        <v>0.49740000000000001</v>
      </c>
    </row>
    <row r="249" spans="1:29" x14ac:dyDescent="0.35">
      <c r="A249" s="1">
        <v>4002298</v>
      </c>
      <c r="B249" s="15">
        <v>280</v>
      </c>
      <c r="C249" s="15">
        <v>485</v>
      </c>
      <c r="D249" s="15">
        <v>320</v>
      </c>
      <c r="E249" s="15">
        <v>361</v>
      </c>
      <c r="F249" s="15">
        <v>405</v>
      </c>
      <c r="G249" s="15">
        <v>590</v>
      </c>
      <c r="H249" s="15">
        <v>445</v>
      </c>
      <c r="I249" s="15">
        <v>335</v>
      </c>
      <c r="J249" s="15">
        <v>545</v>
      </c>
      <c r="K249" s="15">
        <v>255</v>
      </c>
      <c r="L249" s="15">
        <v>565</v>
      </c>
      <c r="M249" s="15">
        <v>325</v>
      </c>
      <c r="N249" s="15">
        <v>520</v>
      </c>
      <c r="O249" s="15">
        <v>395</v>
      </c>
      <c r="P249" s="15">
        <v>392</v>
      </c>
      <c r="Q249" s="15">
        <v>520</v>
      </c>
      <c r="R249" s="15">
        <v>540</v>
      </c>
      <c r="S249" s="15">
        <v>570</v>
      </c>
      <c r="T249" s="15">
        <v>120</v>
      </c>
      <c r="U249" s="15">
        <v>795</v>
      </c>
      <c r="V249" s="15">
        <v>370</v>
      </c>
      <c r="W249" s="15">
        <v>360</v>
      </c>
      <c r="X249" s="15">
        <v>290</v>
      </c>
      <c r="Y249" s="15">
        <v>830</v>
      </c>
      <c r="Z249" s="4">
        <v>10613</v>
      </c>
      <c r="AA249" s="26">
        <v>24</v>
      </c>
      <c r="AB249" s="7">
        <v>0.36209999999999998</v>
      </c>
    </row>
    <row r="250" spans="1:29" x14ac:dyDescent="0.35">
      <c r="A250" s="1">
        <v>4002332</v>
      </c>
      <c r="B250" s="15">
        <v>32700</v>
      </c>
      <c r="C250" s="15">
        <v>29200</v>
      </c>
      <c r="D250" s="15">
        <v>30400</v>
      </c>
      <c r="E250" s="15">
        <v>27600</v>
      </c>
      <c r="F250" s="15">
        <v>21100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4">
        <v>141000</v>
      </c>
      <c r="AA250" s="26">
        <v>5</v>
      </c>
      <c r="AB250" s="7">
        <v>1.9730000000000001</v>
      </c>
      <c r="AC250" s="1" t="s">
        <v>3230</v>
      </c>
    </row>
    <row r="251" spans="1:29" x14ac:dyDescent="0.35">
      <c r="A251" s="1">
        <v>4002333</v>
      </c>
      <c r="B251" s="15">
        <v>0</v>
      </c>
      <c r="C251" s="15">
        <v>0</v>
      </c>
      <c r="D251" s="15">
        <v>0</v>
      </c>
      <c r="E251" s="15">
        <v>0</v>
      </c>
      <c r="F251" s="15">
        <v>3500</v>
      </c>
      <c r="G251" s="15">
        <v>29900</v>
      </c>
      <c r="H251" s="15">
        <v>24400</v>
      </c>
      <c r="I251" s="15">
        <v>25800</v>
      </c>
      <c r="J251" s="15">
        <v>28400</v>
      </c>
      <c r="K251" s="15">
        <v>29800</v>
      </c>
      <c r="L251" s="15">
        <v>30600</v>
      </c>
      <c r="M251" s="15">
        <v>32200</v>
      </c>
      <c r="N251" s="15">
        <v>31800</v>
      </c>
      <c r="O251" s="15">
        <v>32400</v>
      </c>
      <c r="P251" s="15">
        <v>27100</v>
      </c>
      <c r="Q251" s="15">
        <v>35200</v>
      </c>
      <c r="R251" s="15">
        <v>29900</v>
      </c>
      <c r="S251" s="15">
        <v>23800</v>
      </c>
      <c r="T251" s="15">
        <v>25000</v>
      </c>
      <c r="U251" s="15">
        <v>25400</v>
      </c>
      <c r="V251" s="15">
        <v>32900</v>
      </c>
      <c r="W251" s="15">
        <v>30000</v>
      </c>
      <c r="X251" s="15">
        <v>27900</v>
      </c>
      <c r="Y251" s="15">
        <v>29500</v>
      </c>
      <c r="Z251" s="4">
        <v>555500</v>
      </c>
      <c r="AA251" s="26">
        <v>20</v>
      </c>
      <c r="AB251" s="7">
        <v>0.51219999999999999</v>
      </c>
    </row>
    <row r="252" spans="1:29" x14ac:dyDescent="0.35">
      <c r="A252" s="1">
        <v>4002335</v>
      </c>
      <c r="B252" s="15">
        <v>1910</v>
      </c>
      <c r="C252" s="15">
        <v>1520</v>
      </c>
      <c r="D252" s="15">
        <v>1800</v>
      </c>
      <c r="E252" s="15">
        <v>1700</v>
      </c>
      <c r="F252" s="15">
        <v>1700</v>
      </c>
      <c r="G252" s="15">
        <v>1500</v>
      </c>
      <c r="H252" s="15">
        <v>1480</v>
      </c>
      <c r="I252" s="15">
        <v>1620</v>
      </c>
      <c r="J252" s="15">
        <v>1680</v>
      </c>
      <c r="K252" s="15">
        <v>1720</v>
      </c>
      <c r="L252" s="15">
        <v>1680</v>
      </c>
      <c r="M252" s="15">
        <v>1700</v>
      </c>
      <c r="N252" s="15">
        <v>1740</v>
      </c>
      <c r="O252" s="15">
        <v>1740</v>
      </c>
      <c r="P252" s="15">
        <v>1700</v>
      </c>
      <c r="Q252" s="15">
        <v>1720</v>
      </c>
      <c r="R252" s="15">
        <v>1800</v>
      </c>
      <c r="S252" s="15">
        <v>1580</v>
      </c>
      <c r="T252" s="15">
        <v>1440</v>
      </c>
      <c r="U252" s="15">
        <v>1800</v>
      </c>
      <c r="V252" s="15">
        <v>1780</v>
      </c>
      <c r="W252" s="15">
        <v>1860</v>
      </c>
      <c r="X252" s="15">
        <v>1760</v>
      </c>
      <c r="Y252" s="15">
        <v>1740</v>
      </c>
      <c r="Z252" s="4">
        <v>40670</v>
      </c>
      <c r="AA252" s="26">
        <v>24</v>
      </c>
      <c r="AB252" s="7">
        <v>6.8599999999999994E-2</v>
      </c>
    </row>
    <row r="253" spans="1:29" x14ac:dyDescent="0.35">
      <c r="A253" s="1">
        <v>4002344</v>
      </c>
      <c r="B253" s="15">
        <v>12</v>
      </c>
      <c r="C253" s="15">
        <v>11</v>
      </c>
      <c r="D253" s="15">
        <v>17</v>
      </c>
      <c r="E253" s="15">
        <v>10</v>
      </c>
      <c r="F253" s="15">
        <v>9</v>
      </c>
      <c r="G253" s="15">
        <v>13</v>
      </c>
      <c r="H253" s="15">
        <v>10</v>
      </c>
      <c r="I253" s="15">
        <v>13</v>
      </c>
      <c r="J253" s="15">
        <v>16</v>
      </c>
      <c r="K253" s="15">
        <v>9</v>
      </c>
      <c r="L253" s="15">
        <v>10</v>
      </c>
      <c r="M253" s="15">
        <v>18</v>
      </c>
      <c r="N253" s="15">
        <v>12</v>
      </c>
      <c r="O253" s="15">
        <v>11</v>
      </c>
      <c r="P253" s="15">
        <v>9</v>
      </c>
      <c r="Q253" s="15">
        <v>18</v>
      </c>
      <c r="R253" s="15">
        <v>10</v>
      </c>
      <c r="S253" s="15">
        <v>18</v>
      </c>
      <c r="T253" s="15">
        <v>10</v>
      </c>
      <c r="U253" s="15">
        <v>26</v>
      </c>
      <c r="V253" s="15">
        <v>6</v>
      </c>
      <c r="W253" s="15">
        <v>21</v>
      </c>
      <c r="X253" s="15">
        <v>10</v>
      </c>
      <c r="Y253" s="15">
        <v>18</v>
      </c>
      <c r="Z253" s="4">
        <v>317</v>
      </c>
      <c r="AA253" s="26">
        <v>24</v>
      </c>
      <c r="AB253" s="7">
        <v>0.35170000000000001</v>
      </c>
    </row>
    <row r="254" spans="1:29" x14ac:dyDescent="0.35">
      <c r="A254" s="1">
        <v>4002345</v>
      </c>
      <c r="B254" s="15">
        <v>820</v>
      </c>
      <c r="C254" s="15">
        <v>454</v>
      </c>
      <c r="D254" s="15">
        <v>612</v>
      </c>
      <c r="E254" s="15">
        <v>585</v>
      </c>
      <c r="F254" s="15">
        <v>369</v>
      </c>
      <c r="G254" s="15">
        <v>609</v>
      </c>
      <c r="H254" s="15">
        <v>486</v>
      </c>
      <c r="I254" s="15">
        <v>554</v>
      </c>
      <c r="J254" s="15">
        <v>600</v>
      </c>
      <c r="K254" s="15">
        <v>695</v>
      </c>
      <c r="L254" s="15">
        <v>603</v>
      </c>
      <c r="M254" s="15">
        <v>488</v>
      </c>
      <c r="N254" s="15">
        <v>446</v>
      </c>
      <c r="O254" s="15">
        <v>311</v>
      </c>
      <c r="P254" s="15">
        <v>399</v>
      </c>
      <c r="Q254" s="15">
        <v>364</v>
      </c>
      <c r="R254" s="15">
        <v>370</v>
      </c>
      <c r="S254" s="15">
        <v>221</v>
      </c>
      <c r="T254" s="15">
        <v>337</v>
      </c>
      <c r="U254" s="15">
        <v>320</v>
      </c>
      <c r="V254" s="15">
        <v>326</v>
      </c>
      <c r="W254" s="15">
        <v>503</v>
      </c>
      <c r="X254" s="15">
        <v>362</v>
      </c>
      <c r="Y254" s="15">
        <v>408</v>
      </c>
      <c r="Z254" s="4">
        <v>11242</v>
      </c>
      <c r="AA254" s="26">
        <v>24</v>
      </c>
      <c r="AB254" s="7">
        <v>0.29880000000000001</v>
      </c>
    </row>
    <row r="255" spans="1:29" x14ac:dyDescent="0.35">
      <c r="A255" s="1">
        <v>4002446</v>
      </c>
      <c r="B255" s="15">
        <v>11200</v>
      </c>
      <c r="C255" s="15">
        <v>12400</v>
      </c>
      <c r="D255" s="15">
        <v>10800</v>
      </c>
      <c r="E255" s="15">
        <v>14400</v>
      </c>
      <c r="F255" s="15">
        <v>12800</v>
      </c>
      <c r="G255" s="15">
        <v>13200</v>
      </c>
      <c r="H255" s="15">
        <v>12800</v>
      </c>
      <c r="I255" s="15">
        <v>11400</v>
      </c>
      <c r="J255" s="15">
        <v>13400</v>
      </c>
      <c r="K255" s="15">
        <v>14000</v>
      </c>
      <c r="L255" s="15">
        <v>12800</v>
      </c>
      <c r="M255" s="15">
        <v>14400</v>
      </c>
      <c r="N255" s="15">
        <v>12400</v>
      </c>
      <c r="O255" s="15">
        <v>14400</v>
      </c>
      <c r="P255" s="15">
        <v>13800</v>
      </c>
      <c r="Q255" s="15">
        <v>13400</v>
      </c>
      <c r="R255" s="15">
        <v>12600</v>
      </c>
      <c r="S255" s="15">
        <v>12600</v>
      </c>
      <c r="T255" s="15">
        <v>13401</v>
      </c>
      <c r="U255" s="15">
        <v>13400</v>
      </c>
      <c r="V255" s="15">
        <v>15000</v>
      </c>
      <c r="W255" s="15">
        <v>16400</v>
      </c>
      <c r="X255" s="15">
        <v>13900</v>
      </c>
      <c r="Y255" s="15">
        <v>15040</v>
      </c>
      <c r="Z255" s="4">
        <v>319941</v>
      </c>
      <c r="AA255" s="26">
        <v>24</v>
      </c>
      <c r="AB255" s="7">
        <v>9.4299999999999995E-2</v>
      </c>
    </row>
    <row r="256" spans="1:29" x14ac:dyDescent="0.35">
      <c r="A256" s="1">
        <v>4002462</v>
      </c>
      <c r="B256" s="15">
        <v>3000</v>
      </c>
      <c r="C256" s="15">
        <v>2300</v>
      </c>
      <c r="D256" s="15">
        <v>2550</v>
      </c>
      <c r="E256" s="15">
        <v>4050</v>
      </c>
      <c r="F256" s="15">
        <v>2600</v>
      </c>
      <c r="G256" s="15">
        <v>2300</v>
      </c>
      <c r="H256" s="15">
        <v>1950</v>
      </c>
      <c r="I256" s="15">
        <v>3050</v>
      </c>
      <c r="J256" s="15">
        <v>2400</v>
      </c>
      <c r="K256" s="15">
        <v>2050</v>
      </c>
      <c r="L256" s="15">
        <v>3600</v>
      </c>
      <c r="M256" s="15">
        <v>2050</v>
      </c>
      <c r="N256" s="15">
        <v>3000</v>
      </c>
      <c r="O256" s="15">
        <v>3150</v>
      </c>
      <c r="P256" s="15">
        <v>3550</v>
      </c>
      <c r="Q256" s="15">
        <v>4000</v>
      </c>
      <c r="R256" s="15">
        <v>2850</v>
      </c>
      <c r="S256" s="15">
        <v>3400</v>
      </c>
      <c r="T256" s="15">
        <v>2150</v>
      </c>
      <c r="U256" s="15">
        <v>3050</v>
      </c>
      <c r="V256" s="15">
        <v>3800</v>
      </c>
      <c r="W256" s="15">
        <v>3300</v>
      </c>
      <c r="X256" s="15">
        <v>2400</v>
      </c>
      <c r="Y256" s="15">
        <v>2950</v>
      </c>
      <c r="Z256" s="4">
        <v>69500</v>
      </c>
      <c r="AA256" s="26">
        <v>24</v>
      </c>
      <c r="AB256" s="7">
        <v>0.21310000000000001</v>
      </c>
    </row>
    <row r="257" spans="1:28" x14ac:dyDescent="0.35">
      <c r="A257" s="1">
        <v>4002465</v>
      </c>
      <c r="B257" s="15">
        <v>1950</v>
      </c>
      <c r="C257" s="15">
        <v>2300</v>
      </c>
      <c r="D257" s="15">
        <v>1400</v>
      </c>
      <c r="E257" s="15">
        <v>2700</v>
      </c>
      <c r="F257" s="15">
        <v>1800</v>
      </c>
      <c r="G257" s="15">
        <v>2150</v>
      </c>
      <c r="H257" s="15">
        <v>1750</v>
      </c>
      <c r="I257" s="15">
        <v>2150</v>
      </c>
      <c r="J257" s="15">
        <v>1850</v>
      </c>
      <c r="K257" s="15">
        <v>2000</v>
      </c>
      <c r="L257" s="15">
        <v>1450</v>
      </c>
      <c r="M257" s="15">
        <v>1500</v>
      </c>
      <c r="N257" s="15">
        <v>1900</v>
      </c>
      <c r="O257" s="15">
        <v>1550</v>
      </c>
      <c r="P257" s="15">
        <v>1600</v>
      </c>
      <c r="Q257" s="15">
        <v>1250</v>
      </c>
      <c r="R257" s="15">
        <v>1300</v>
      </c>
      <c r="S257" s="15">
        <v>1450</v>
      </c>
      <c r="T257" s="15">
        <v>1250</v>
      </c>
      <c r="U257" s="15">
        <v>1250</v>
      </c>
      <c r="V257" s="15">
        <v>1850</v>
      </c>
      <c r="W257" s="15">
        <v>1500</v>
      </c>
      <c r="X257" s="15">
        <v>1050</v>
      </c>
      <c r="Y257" s="15">
        <v>900</v>
      </c>
      <c r="Z257" s="4">
        <v>39850</v>
      </c>
      <c r="AA257" s="26">
        <v>24</v>
      </c>
      <c r="AB257" s="7">
        <v>0.25</v>
      </c>
    </row>
    <row r="258" spans="1:28" x14ac:dyDescent="0.35">
      <c r="A258" s="1">
        <v>4002466</v>
      </c>
      <c r="B258" s="15">
        <v>5200</v>
      </c>
      <c r="C258" s="15">
        <v>5200</v>
      </c>
      <c r="D258" s="15">
        <v>4750</v>
      </c>
      <c r="E258" s="15">
        <v>5250</v>
      </c>
      <c r="F258" s="15">
        <v>4650</v>
      </c>
      <c r="G258" s="15">
        <v>4650</v>
      </c>
      <c r="H258" s="15">
        <v>3950</v>
      </c>
      <c r="I258" s="15">
        <v>4600</v>
      </c>
      <c r="J258" s="15">
        <v>5150</v>
      </c>
      <c r="K258" s="15">
        <v>4950</v>
      </c>
      <c r="L258" s="15">
        <v>4050</v>
      </c>
      <c r="M258" s="15">
        <v>4650</v>
      </c>
      <c r="N258" s="15">
        <v>5650</v>
      </c>
      <c r="O258" s="15">
        <v>5400</v>
      </c>
      <c r="P258" s="15">
        <v>5250</v>
      </c>
      <c r="Q258" s="15">
        <v>3750</v>
      </c>
      <c r="R258" s="15">
        <v>4000</v>
      </c>
      <c r="S258" s="15">
        <v>4550</v>
      </c>
      <c r="T258" s="15">
        <v>2950</v>
      </c>
      <c r="U258" s="15">
        <v>3700</v>
      </c>
      <c r="V258" s="15">
        <v>5000</v>
      </c>
      <c r="W258" s="15">
        <v>4400</v>
      </c>
      <c r="X258" s="15">
        <v>3800</v>
      </c>
      <c r="Y258" s="15">
        <v>4500</v>
      </c>
      <c r="Z258" s="4">
        <v>110000</v>
      </c>
      <c r="AA258" s="26">
        <v>24</v>
      </c>
      <c r="AB258" s="7">
        <v>0.14050000000000001</v>
      </c>
    </row>
    <row r="259" spans="1:28" x14ac:dyDescent="0.35">
      <c r="A259" s="1">
        <v>4002467</v>
      </c>
      <c r="B259" s="15">
        <v>2050</v>
      </c>
      <c r="C259" s="15">
        <v>1900</v>
      </c>
      <c r="D259" s="15">
        <v>1850</v>
      </c>
      <c r="E259" s="15">
        <v>1650</v>
      </c>
      <c r="F259" s="15">
        <v>2500</v>
      </c>
      <c r="G259" s="15">
        <v>1850</v>
      </c>
      <c r="H259" s="15">
        <v>1600</v>
      </c>
      <c r="I259" s="15">
        <v>1250</v>
      </c>
      <c r="J259" s="15">
        <v>1350</v>
      </c>
      <c r="K259" s="15">
        <v>2300</v>
      </c>
      <c r="L259" s="15">
        <v>1550</v>
      </c>
      <c r="M259" s="15">
        <v>1650</v>
      </c>
      <c r="N259" s="15">
        <v>2250</v>
      </c>
      <c r="O259" s="15">
        <v>1900</v>
      </c>
      <c r="P259" s="15">
        <v>2100</v>
      </c>
      <c r="Q259" s="15">
        <v>2150</v>
      </c>
      <c r="R259" s="15">
        <v>1650</v>
      </c>
      <c r="S259" s="15">
        <v>2150</v>
      </c>
      <c r="T259" s="15">
        <v>1350</v>
      </c>
      <c r="U259" s="15">
        <v>1900</v>
      </c>
      <c r="V259" s="15">
        <v>2400</v>
      </c>
      <c r="W259" s="15">
        <v>2150</v>
      </c>
      <c r="X259" s="15">
        <v>2850</v>
      </c>
      <c r="Y259" s="15">
        <v>2550</v>
      </c>
      <c r="Z259" s="4">
        <v>46900</v>
      </c>
      <c r="AA259" s="26">
        <v>24</v>
      </c>
      <c r="AB259" s="7">
        <v>0.2044</v>
      </c>
    </row>
    <row r="260" spans="1:28" x14ac:dyDescent="0.35">
      <c r="A260" s="1">
        <v>4002468</v>
      </c>
      <c r="B260" s="15">
        <v>1500</v>
      </c>
      <c r="C260" s="15">
        <v>750</v>
      </c>
      <c r="D260" s="15">
        <v>950</v>
      </c>
      <c r="E260" s="15">
        <v>950</v>
      </c>
      <c r="F260" s="15">
        <v>450</v>
      </c>
      <c r="G260" s="15">
        <v>1100</v>
      </c>
      <c r="H260" s="15">
        <v>500</v>
      </c>
      <c r="I260" s="15">
        <v>800</v>
      </c>
      <c r="J260" s="15">
        <v>750</v>
      </c>
      <c r="K260" s="15">
        <v>850</v>
      </c>
      <c r="L260" s="15">
        <v>750</v>
      </c>
      <c r="M260" s="15">
        <v>950</v>
      </c>
      <c r="N260" s="15">
        <v>950</v>
      </c>
      <c r="O260" s="15">
        <v>800</v>
      </c>
      <c r="P260" s="15">
        <v>1000</v>
      </c>
      <c r="Q260" s="15">
        <v>850</v>
      </c>
      <c r="R260" s="15">
        <v>850</v>
      </c>
      <c r="S260" s="15">
        <v>750</v>
      </c>
      <c r="T260" s="15">
        <v>700</v>
      </c>
      <c r="U260" s="15">
        <v>950</v>
      </c>
      <c r="V260" s="15">
        <v>1100</v>
      </c>
      <c r="W260" s="15">
        <v>900</v>
      </c>
      <c r="X260" s="15">
        <v>1000</v>
      </c>
      <c r="Y260" s="15">
        <v>900</v>
      </c>
      <c r="Z260" s="4">
        <v>21050</v>
      </c>
      <c r="AA260" s="26">
        <v>24</v>
      </c>
      <c r="AB260" s="7">
        <v>0.23039999999999999</v>
      </c>
    </row>
    <row r="261" spans="1:28" x14ac:dyDescent="0.35">
      <c r="A261" s="1">
        <v>4002472</v>
      </c>
      <c r="B261" s="15">
        <v>4268</v>
      </c>
      <c r="C261" s="15">
        <v>4128</v>
      </c>
      <c r="D261" s="15">
        <v>4056</v>
      </c>
      <c r="E261" s="15">
        <v>3912</v>
      </c>
      <c r="F261" s="15">
        <v>4008</v>
      </c>
      <c r="G261" s="15">
        <v>4344</v>
      </c>
      <c r="H261" s="15">
        <v>3840</v>
      </c>
      <c r="I261" s="15">
        <v>3480</v>
      </c>
      <c r="J261" s="15">
        <v>4032</v>
      </c>
      <c r="K261" s="15">
        <v>4248</v>
      </c>
      <c r="L261" s="15">
        <v>3984</v>
      </c>
      <c r="M261" s="15">
        <v>3504</v>
      </c>
      <c r="N261" s="15">
        <v>3768</v>
      </c>
      <c r="O261" s="15">
        <v>4584</v>
      </c>
      <c r="P261" s="15">
        <v>3408</v>
      </c>
      <c r="Q261" s="15">
        <v>4854</v>
      </c>
      <c r="R261" s="15">
        <v>3120</v>
      </c>
      <c r="S261" s="15">
        <v>3480</v>
      </c>
      <c r="T261" s="15">
        <v>2928</v>
      </c>
      <c r="U261" s="15">
        <v>2496</v>
      </c>
      <c r="V261" s="15">
        <v>4008</v>
      </c>
      <c r="W261" s="15">
        <v>3360</v>
      </c>
      <c r="X261" s="15">
        <v>3396</v>
      </c>
      <c r="Y261" s="15">
        <v>3840</v>
      </c>
      <c r="Z261" s="4">
        <v>91046</v>
      </c>
      <c r="AA261" s="26">
        <v>24</v>
      </c>
      <c r="AB261" s="7">
        <v>0.13750000000000001</v>
      </c>
    </row>
    <row r="262" spans="1:28" x14ac:dyDescent="0.35">
      <c r="A262" s="1">
        <v>4002475</v>
      </c>
      <c r="B262" s="15">
        <v>4</v>
      </c>
      <c r="C262" s="15">
        <v>15</v>
      </c>
      <c r="D262" s="15">
        <v>9</v>
      </c>
      <c r="E262" s="15">
        <v>12</v>
      </c>
      <c r="F262" s="15">
        <v>14</v>
      </c>
      <c r="G262" s="15">
        <v>33</v>
      </c>
      <c r="H262" s="15">
        <v>9</v>
      </c>
      <c r="I262" s="15">
        <v>13</v>
      </c>
      <c r="J262" s="15">
        <v>4</v>
      </c>
      <c r="K262" s="15">
        <v>11</v>
      </c>
      <c r="L262" s="15">
        <v>16</v>
      </c>
      <c r="M262" s="15">
        <v>8</v>
      </c>
      <c r="N262" s="15">
        <v>5</v>
      </c>
      <c r="O262" s="15">
        <v>17</v>
      </c>
      <c r="P262" s="15">
        <v>6</v>
      </c>
      <c r="Q262" s="15">
        <v>34</v>
      </c>
      <c r="R262" s="15">
        <v>8</v>
      </c>
      <c r="S262" s="15">
        <v>12</v>
      </c>
      <c r="T262" s="15">
        <v>9</v>
      </c>
      <c r="U262" s="15">
        <v>10</v>
      </c>
      <c r="V262" s="15">
        <v>30</v>
      </c>
      <c r="W262" s="15">
        <v>7</v>
      </c>
      <c r="X262" s="15">
        <v>11</v>
      </c>
      <c r="Y262" s="15">
        <v>22</v>
      </c>
      <c r="Z262" s="4">
        <v>319</v>
      </c>
      <c r="AA262" s="26">
        <v>24</v>
      </c>
      <c r="AB262" s="7">
        <v>0.627</v>
      </c>
    </row>
    <row r="263" spans="1:28" x14ac:dyDescent="0.35">
      <c r="A263" s="1">
        <v>4002477</v>
      </c>
      <c r="B263" s="15">
        <v>1000</v>
      </c>
      <c r="C263" s="15">
        <v>1100</v>
      </c>
      <c r="D263" s="15">
        <v>800</v>
      </c>
      <c r="E263" s="15">
        <v>950</v>
      </c>
      <c r="F263" s="15">
        <v>800</v>
      </c>
      <c r="G263" s="15">
        <v>1050</v>
      </c>
      <c r="H263" s="15">
        <v>400</v>
      </c>
      <c r="I263" s="15">
        <v>855</v>
      </c>
      <c r="J263" s="15">
        <v>750</v>
      </c>
      <c r="K263" s="15">
        <v>750</v>
      </c>
      <c r="L263" s="15">
        <v>1100</v>
      </c>
      <c r="M263" s="15">
        <v>950</v>
      </c>
      <c r="N263" s="15">
        <v>650</v>
      </c>
      <c r="O263" s="15">
        <v>750</v>
      </c>
      <c r="P263" s="15">
        <v>1200</v>
      </c>
      <c r="Q263" s="15">
        <v>400</v>
      </c>
      <c r="R263" s="15">
        <v>1235</v>
      </c>
      <c r="S263" s="15">
        <v>750</v>
      </c>
      <c r="T263" s="15">
        <v>750</v>
      </c>
      <c r="U263" s="15">
        <v>550</v>
      </c>
      <c r="V263" s="15">
        <v>950</v>
      </c>
      <c r="W263" s="15">
        <v>601</v>
      </c>
      <c r="X263" s="15">
        <v>850</v>
      </c>
      <c r="Y263" s="15">
        <v>1250</v>
      </c>
      <c r="Z263" s="4">
        <v>20441</v>
      </c>
      <c r="AA263" s="26">
        <v>24</v>
      </c>
      <c r="AB263" s="7">
        <v>0.27329999999999999</v>
      </c>
    </row>
    <row r="264" spans="1:28" x14ac:dyDescent="0.35">
      <c r="A264" s="1">
        <v>4002481</v>
      </c>
      <c r="B264" s="15">
        <v>32</v>
      </c>
      <c r="C264" s="15">
        <v>20</v>
      </c>
      <c r="D264" s="15">
        <v>40</v>
      </c>
      <c r="E264" s="15">
        <v>35</v>
      </c>
      <c r="F264" s="15">
        <v>14</v>
      </c>
      <c r="G264" s="15">
        <v>62</v>
      </c>
      <c r="H264" s="15">
        <v>65</v>
      </c>
      <c r="I264" s="15">
        <v>52</v>
      </c>
      <c r="J264" s="15">
        <v>20</v>
      </c>
      <c r="K264" s="15">
        <v>20</v>
      </c>
      <c r="L264" s="15">
        <v>17</v>
      </c>
      <c r="M264" s="15">
        <v>35</v>
      </c>
      <c r="N264" s="15">
        <v>7</v>
      </c>
      <c r="O264" s="15">
        <v>65</v>
      </c>
      <c r="P264" s="15">
        <v>15</v>
      </c>
      <c r="Q264" s="15">
        <v>40</v>
      </c>
      <c r="R264" s="15">
        <v>25</v>
      </c>
      <c r="S264" s="15">
        <v>12</v>
      </c>
      <c r="T264" s="15">
        <v>7</v>
      </c>
      <c r="U264" s="15">
        <v>35</v>
      </c>
      <c r="V264" s="15">
        <v>24</v>
      </c>
      <c r="W264" s="15">
        <v>58</v>
      </c>
      <c r="X264" s="15">
        <v>10</v>
      </c>
      <c r="Y264" s="15">
        <v>10</v>
      </c>
      <c r="Z264" s="4">
        <v>720</v>
      </c>
      <c r="AA264" s="26">
        <v>24</v>
      </c>
      <c r="AB264" s="7">
        <v>0.61670000000000003</v>
      </c>
    </row>
    <row r="265" spans="1:28" x14ac:dyDescent="0.35">
      <c r="A265" s="1">
        <v>4002482</v>
      </c>
      <c r="B265" s="15">
        <v>800</v>
      </c>
      <c r="C265" s="15">
        <v>1500</v>
      </c>
      <c r="D265" s="15">
        <v>1300</v>
      </c>
      <c r="E265" s="15">
        <v>700</v>
      </c>
      <c r="F265" s="15">
        <v>1000</v>
      </c>
      <c r="G265" s="15">
        <v>1100</v>
      </c>
      <c r="H265" s="15">
        <v>500</v>
      </c>
      <c r="I265" s="15">
        <v>700</v>
      </c>
      <c r="J265" s="15">
        <v>1600</v>
      </c>
      <c r="K265" s="15">
        <v>1000</v>
      </c>
      <c r="L265" s="15">
        <v>1600</v>
      </c>
      <c r="M265" s="15">
        <v>1100</v>
      </c>
      <c r="N265" s="15">
        <v>1000</v>
      </c>
      <c r="O265" s="15">
        <v>1500</v>
      </c>
      <c r="P265" s="15">
        <v>1100</v>
      </c>
      <c r="Q265" s="15">
        <v>803</v>
      </c>
      <c r="R265" s="15">
        <v>1000</v>
      </c>
      <c r="S265" s="15">
        <v>1500</v>
      </c>
      <c r="T265" s="15">
        <v>400</v>
      </c>
      <c r="U265" s="15">
        <v>400</v>
      </c>
      <c r="V265" s="15">
        <v>1200</v>
      </c>
      <c r="W265" s="15">
        <v>1800</v>
      </c>
      <c r="X265" s="15">
        <v>900</v>
      </c>
      <c r="Y265" s="15">
        <v>800</v>
      </c>
      <c r="Z265" s="4">
        <v>25303</v>
      </c>
      <c r="AA265" s="26">
        <v>24</v>
      </c>
      <c r="AB265" s="7">
        <v>0.36109999999999998</v>
      </c>
    </row>
    <row r="266" spans="1:28" x14ac:dyDescent="0.35">
      <c r="A266" s="1">
        <v>4002491</v>
      </c>
      <c r="B266" s="15">
        <v>190</v>
      </c>
      <c r="C266" s="15">
        <v>80</v>
      </c>
      <c r="D266" s="15">
        <v>200</v>
      </c>
      <c r="E266" s="15">
        <v>50</v>
      </c>
      <c r="F266" s="15">
        <v>130</v>
      </c>
      <c r="G266" s="15">
        <v>40</v>
      </c>
      <c r="H266" s="15">
        <v>110</v>
      </c>
      <c r="I266" s="15">
        <v>220</v>
      </c>
      <c r="J266" s="15">
        <v>360</v>
      </c>
      <c r="K266" s="15">
        <v>100</v>
      </c>
      <c r="L266" s="15">
        <v>180</v>
      </c>
      <c r="M266" s="15">
        <v>60</v>
      </c>
      <c r="N266" s="15">
        <v>235</v>
      </c>
      <c r="O266" s="15">
        <v>90</v>
      </c>
      <c r="P266" s="15">
        <v>210</v>
      </c>
      <c r="Q266" s="15">
        <v>70</v>
      </c>
      <c r="R266" s="15">
        <v>120</v>
      </c>
      <c r="S266" s="15">
        <v>130</v>
      </c>
      <c r="T266" s="15">
        <v>40</v>
      </c>
      <c r="U266" s="15">
        <v>100</v>
      </c>
      <c r="V266" s="15">
        <v>198</v>
      </c>
      <c r="W266" s="15">
        <v>230</v>
      </c>
      <c r="X266" s="15">
        <v>160</v>
      </c>
      <c r="Y266" s="15">
        <v>130</v>
      </c>
      <c r="Z266" s="4">
        <v>3433</v>
      </c>
      <c r="AA266" s="26">
        <v>24</v>
      </c>
      <c r="AB266" s="7">
        <v>0.53080000000000005</v>
      </c>
    </row>
    <row r="267" spans="1:28" x14ac:dyDescent="0.35">
      <c r="A267" s="1">
        <v>4002546</v>
      </c>
      <c r="B267" s="15">
        <v>50</v>
      </c>
      <c r="C267" s="15">
        <v>150</v>
      </c>
      <c r="D267" s="15">
        <v>350</v>
      </c>
      <c r="E267" s="15">
        <v>350</v>
      </c>
      <c r="F267" s="15">
        <v>50</v>
      </c>
      <c r="G267" s="15">
        <v>250</v>
      </c>
      <c r="H267" s="15">
        <v>500</v>
      </c>
      <c r="I267" s="15">
        <v>50</v>
      </c>
      <c r="J267" s="15">
        <v>150</v>
      </c>
      <c r="K267" s="15">
        <v>300</v>
      </c>
      <c r="L267" s="15">
        <v>250</v>
      </c>
      <c r="M267" s="15">
        <v>400</v>
      </c>
      <c r="N267" s="15">
        <v>100</v>
      </c>
      <c r="O267" s="15">
        <v>250</v>
      </c>
      <c r="P267" s="15">
        <v>500</v>
      </c>
      <c r="Q267" s="15">
        <v>350</v>
      </c>
      <c r="R267" s="15">
        <v>400</v>
      </c>
      <c r="S267" s="15">
        <v>150</v>
      </c>
      <c r="T267" s="15">
        <v>200</v>
      </c>
      <c r="U267" s="15">
        <v>700</v>
      </c>
      <c r="V267" s="15">
        <v>50</v>
      </c>
      <c r="W267" s="15">
        <v>450</v>
      </c>
      <c r="X267" s="15">
        <v>100</v>
      </c>
      <c r="Y267" s="15">
        <v>300</v>
      </c>
      <c r="Z267" s="4">
        <v>6400</v>
      </c>
      <c r="AA267" s="26">
        <v>24</v>
      </c>
      <c r="AB267" s="7">
        <v>0.63039999999999996</v>
      </c>
    </row>
    <row r="268" spans="1:28" x14ac:dyDescent="0.35">
      <c r="A268" s="1">
        <v>4002621</v>
      </c>
      <c r="B268" s="15">
        <v>37</v>
      </c>
      <c r="C268" s="15">
        <v>22</v>
      </c>
      <c r="D268" s="15">
        <v>95</v>
      </c>
      <c r="E268" s="15">
        <v>6</v>
      </c>
      <c r="F268" s="15">
        <v>72</v>
      </c>
      <c r="G268" s="15">
        <v>51</v>
      </c>
      <c r="H268" s="15">
        <v>83</v>
      </c>
      <c r="I268" s="15">
        <v>45</v>
      </c>
      <c r="J268" s="15">
        <v>45</v>
      </c>
      <c r="K268" s="15">
        <v>25</v>
      </c>
      <c r="L268" s="15">
        <v>56</v>
      </c>
      <c r="M268" s="15">
        <v>48</v>
      </c>
      <c r="N268" s="15">
        <v>23</v>
      </c>
      <c r="O268" s="15">
        <v>28</v>
      </c>
      <c r="P268" s="15">
        <v>83</v>
      </c>
      <c r="Q268" s="15">
        <v>37</v>
      </c>
      <c r="R268" s="15">
        <v>38</v>
      </c>
      <c r="S268" s="15">
        <v>79</v>
      </c>
      <c r="T268" s="15">
        <v>11</v>
      </c>
      <c r="U268" s="15">
        <v>48</v>
      </c>
      <c r="V268" s="15">
        <v>22</v>
      </c>
      <c r="W268" s="15">
        <v>57</v>
      </c>
      <c r="X268" s="15">
        <v>68</v>
      </c>
      <c r="Y268" s="15">
        <v>66</v>
      </c>
      <c r="Z268" s="4">
        <v>1145</v>
      </c>
      <c r="AA268" s="26">
        <v>24</v>
      </c>
      <c r="AB268" s="7">
        <v>0.49659999999999999</v>
      </c>
    </row>
    <row r="269" spans="1:28" x14ac:dyDescent="0.35">
      <c r="A269" s="1">
        <v>4002675</v>
      </c>
      <c r="B269" s="15">
        <v>47</v>
      </c>
      <c r="C269" s="15">
        <v>13</v>
      </c>
      <c r="D269" s="15">
        <v>49</v>
      </c>
      <c r="E269" s="15">
        <v>51</v>
      </c>
      <c r="F269" s="15">
        <v>59</v>
      </c>
      <c r="G269" s="15">
        <v>46</v>
      </c>
      <c r="H269" s="15">
        <v>16</v>
      </c>
      <c r="I269" s="15">
        <v>28</v>
      </c>
      <c r="J269" s="15">
        <v>44</v>
      </c>
      <c r="K269" s="15">
        <v>20</v>
      </c>
      <c r="L269" s="15">
        <v>29</v>
      </c>
      <c r="M269" s="15">
        <v>16</v>
      </c>
      <c r="N269" s="15">
        <v>29</v>
      </c>
      <c r="O269" s="15">
        <v>20</v>
      </c>
      <c r="P269" s="15">
        <v>29</v>
      </c>
      <c r="Q269" s="15">
        <v>22</v>
      </c>
      <c r="R269" s="15">
        <v>14</v>
      </c>
      <c r="S269" s="15">
        <v>5</v>
      </c>
      <c r="T269" s="15">
        <v>8</v>
      </c>
      <c r="U269" s="15">
        <v>23</v>
      </c>
      <c r="V269" s="15">
        <v>47</v>
      </c>
      <c r="W269" s="15">
        <v>35</v>
      </c>
      <c r="X269" s="15">
        <v>15</v>
      </c>
      <c r="Y269" s="15">
        <v>27</v>
      </c>
      <c r="Z269" s="4">
        <v>692</v>
      </c>
      <c r="AA269" s="26">
        <v>24</v>
      </c>
      <c r="AB269" s="7">
        <v>0.51370000000000005</v>
      </c>
    </row>
    <row r="270" spans="1:28" x14ac:dyDescent="0.35">
      <c r="A270" s="1">
        <v>4002677</v>
      </c>
      <c r="B270" s="15">
        <v>130</v>
      </c>
      <c r="C270" s="15">
        <v>160</v>
      </c>
      <c r="D270" s="15">
        <v>240</v>
      </c>
      <c r="E270" s="15">
        <v>150</v>
      </c>
      <c r="F270" s="15">
        <v>150</v>
      </c>
      <c r="G270" s="15">
        <v>100</v>
      </c>
      <c r="H270" s="15">
        <v>250</v>
      </c>
      <c r="I270" s="15">
        <v>140</v>
      </c>
      <c r="J270" s="15">
        <v>110</v>
      </c>
      <c r="K270" s="15">
        <v>180</v>
      </c>
      <c r="L270" s="15">
        <v>160</v>
      </c>
      <c r="M270" s="15">
        <v>140</v>
      </c>
      <c r="N270" s="15">
        <v>180</v>
      </c>
      <c r="O270" s="15">
        <v>150</v>
      </c>
      <c r="P270" s="15">
        <v>180</v>
      </c>
      <c r="Q270" s="15">
        <v>130</v>
      </c>
      <c r="R270" s="15">
        <v>70</v>
      </c>
      <c r="S270" s="15">
        <v>190</v>
      </c>
      <c r="T270" s="15">
        <v>50</v>
      </c>
      <c r="U270" s="15">
        <v>120</v>
      </c>
      <c r="V270" s="15">
        <v>220</v>
      </c>
      <c r="W270" s="15">
        <v>160</v>
      </c>
      <c r="X270" s="15">
        <v>160</v>
      </c>
      <c r="Y270" s="15">
        <v>170</v>
      </c>
      <c r="Z270" s="4">
        <v>3690</v>
      </c>
      <c r="AA270" s="26">
        <v>24</v>
      </c>
      <c r="AB270" s="7">
        <v>0.2974</v>
      </c>
    </row>
    <row r="271" spans="1:28" x14ac:dyDescent="0.35">
      <c r="A271" s="1">
        <v>4002679</v>
      </c>
      <c r="B271" s="15">
        <v>2450</v>
      </c>
      <c r="C271" s="15">
        <v>1700</v>
      </c>
      <c r="D271" s="15">
        <v>2250</v>
      </c>
      <c r="E271" s="15">
        <v>1400</v>
      </c>
      <c r="F271" s="15">
        <v>2500</v>
      </c>
      <c r="G271" s="15">
        <v>1350</v>
      </c>
      <c r="H271" s="15">
        <v>2550</v>
      </c>
      <c r="I271" s="15">
        <v>1550</v>
      </c>
      <c r="J271" s="15">
        <v>2825</v>
      </c>
      <c r="K271" s="15">
        <v>2300</v>
      </c>
      <c r="L271" s="15">
        <v>1350</v>
      </c>
      <c r="M271" s="15">
        <v>2100</v>
      </c>
      <c r="N271" s="15">
        <v>2100</v>
      </c>
      <c r="O271" s="15">
        <v>1400</v>
      </c>
      <c r="P271" s="15">
        <v>1700</v>
      </c>
      <c r="Q271" s="15">
        <v>1400</v>
      </c>
      <c r="R271" s="15">
        <v>2550</v>
      </c>
      <c r="S271" s="15">
        <v>1550</v>
      </c>
      <c r="T271" s="15">
        <v>1850</v>
      </c>
      <c r="U271" s="15">
        <v>2000</v>
      </c>
      <c r="V271" s="15">
        <v>100</v>
      </c>
      <c r="W271" s="15">
        <v>2900</v>
      </c>
      <c r="X271" s="15">
        <v>1700</v>
      </c>
      <c r="Y271" s="15">
        <v>1500</v>
      </c>
      <c r="Z271" s="4">
        <v>45075</v>
      </c>
      <c r="AA271" s="26">
        <v>24</v>
      </c>
      <c r="AB271" s="7">
        <v>0.32329999999999998</v>
      </c>
    </row>
    <row r="272" spans="1:28" x14ac:dyDescent="0.35">
      <c r="A272" s="1">
        <v>4002682</v>
      </c>
      <c r="B272" s="15">
        <v>750</v>
      </c>
      <c r="C272" s="15">
        <v>500</v>
      </c>
      <c r="D272" s="15">
        <v>550</v>
      </c>
      <c r="E272" s="15">
        <v>610</v>
      </c>
      <c r="F272" s="15">
        <v>600</v>
      </c>
      <c r="G272" s="15">
        <v>450</v>
      </c>
      <c r="H272" s="15">
        <v>300</v>
      </c>
      <c r="I272" s="15">
        <v>250</v>
      </c>
      <c r="J272" s="15">
        <v>550</v>
      </c>
      <c r="K272" s="15">
        <v>450</v>
      </c>
      <c r="L272" s="15">
        <v>600</v>
      </c>
      <c r="M272" s="15">
        <v>700</v>
      </c>
      <c r="N272" s="15">
        <v>500</v>
      </c>
      <c r="O272" s="15">
        <v>550</v>
      </c>
      <c r="P272" s="15">
        <v>650</v>
      </c>
      <c r="Q272" s="15">
        <v>550</v>
      </c>
      <c r="R272" s="15">
        <v>200</v>
      </c>
      <c r="S272" s="15">
        <v>450</v>
      </c>
      <c r="T272" s="15">
        <v>450</v>
      </c>
      <c r="U272" s="15">
        <v>400</v>
      </c>
      <c r="V272" s="15">
        <v>600</v>
      </c>
      <c r="W272" s="15">
        <v>350</v>
      </c>
      <c r="X272" s="15">
        <v>800</v>
      </c>
      <c r="Y272" s="15">
        <v>650</v>
      </c>
      <c r="Z272" s="4">
        <v>12460</v>
      </c>
      <c r="AA272" s="26">
        <v>24</v>
      </c>
      <c r="AB272" s="7">
        <v>0.28239999999999998</v>
      </c>
    </row>
    <row r="273" spans="1:28" x14ac:dyDescent="0.35">
      <c r="A273" s="1">
        <v>4002684</v>
      </c>
      <c r="B273" s="15">
        <v>180</v>
      </c>
      <c r="C273" s="15">
        <v>205</v>
      </c>
      <c r="D273" s="15">
        <v>210</v>
      </c>
      <c r="E273" s="15">
        <v>150</v>
      </c>
      <c r="F273" s="15">
        <v>240</v>
      </c>
      <c r="G273" s="15">
        <v>135</v>
      </c>
      <c r="H273" s="15">
        <v>186</v>
      </c>
      <c r="I273" s="15">
        <v>145</v>
      </c>
      <c r="J273" s="15">
        <v>205</v>
      </c>
      <c r="K273" s="15">
        <v>185</v>
      </c>
      <c r="L273" s="15">
        <v>220</v>
      </c>
      <c r="M273" s="15">
        <v>245</v>
      </c>
      <c r="N273" s="15">
        <v>235</v>
      </c>
      <c r="O273" s="15">
        <v>210</v>
      </c>
      <c r="P273" s="15">
        <v>145</v>
      </c>
      <c r="Q273" s="15">
        <v>200</v>
      </c>
      <c r="R273" s="15">
        <v>145</v>
      </c>
      <c r="S273" s="15">
        <v>145</v>
      </c>
      <c r="T273" s="15">
        <v>110</v>
      </c>
      <c r="U273" s="15">
        <v>145</v>
      </c>
      <c r="V273" s="15">
        <v>230</v>
      </c>
      <c r="W273" s="15">
        <v>210</v>
      </c>
      <c r="X273" s="15">
        <v>195</v>
      </c>
      <c r="Y273" s="15">
        <v>235</v>
      </c>
      <c r="Z273" s="4">
        <v>4511</v>
      </c>
      <c r="AA273" s="26">
        <v>24</v>
      </c>
      <c r="AB273" s="7">
        <v>0.20330000000000001</v>
      </c>
    </row>
    <row r="274" spans="1:28" x14ac:dyDescent="0.35">
      <c r="A274" s="1">
        <v>4002686</v>
      </c>
      <c r="B274" s="15">
        <v>180</v>
      </c>
      <c r="C274" s="15">
        <v>240</v>
      </c>
      <c r="D274" s="15">
        <v>120</v>
      </c>
      <c r="E274" s="15">
        <v>168</v>
      </c>
      <c r="F274" s="15">
        <v>108</v>
      </c>
      <c r="G274" s="15">
        <v>12</v>
      </c>
      <c r="H274" s="15">
        <v>24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4">
        <v>852</v>
      </c>
      <c r="AA274" s="26">
        <v>7</v>
      </c>
      <c r="AB274" s="7">
        <v>1.9479</v>
      </c>
    </row>
    <row r="275" spans="1:28" x14ac:dyDescent="0.35">
      <c r="A275" s="1">
        <v>4002688</v>
      </c>
      <c r="B275" s="15">
        <v>89</v>
      </c>
      <c r="C275" s="15">
        <v>168</v>
      </c>
      <c r="D275" s="15">
        <v>96</v>
      </c>
      <c r="E275" s="15">
        <v>120</v>
      </c>
      <c r="F275" s="15">
        <v>132</v>
      </c>
      <c r="G275" s="15">
        <v>102</v>
      </c>
      <c r="H275" s="15">
        <v>102</v>
      </c>
      <c r="I275" s="15">
        <v>138</v>
      </c>
      <c r="J275" s="15">
        <v>150</v>
      </c>
      <c r="K275" s="15">
        <v>120</v>
      </c>
      <c r="L275" s="15">
        <v>78</v>
      </c>
      <c r="M275" s="15">
        <v>90</v>
      </c>
      <c r="N275" s="15">
        <v>102</v>
      </c>
      <c r="O275" s="15">
        <v>156</v>
      </c>
      <c r="P275" s="15">
        <v>174</v>
      </c>
      <c r="Q275" s="15">
        <v>84</v>
      </c>
      <c r="R275" s="15">
        <v>58</v>
      </c>
      <c r="S275" s="15">
        <v>78</v>
      </c>
      <c r="T275" s="15">
        <v>66</v>
      </c>
      <c r="U275" s="15">
        <v>101</v>
      </c>
      <c r="V275" s="15">
        <v>82</v>
      </c>
      <c r="W275" s="15">
        <v>162</v>
      </c>
      <c r="X275" s="15">
        <v>96</v>
      </c>
      <c r="Y275" s="15">
        <v>114</v>
      </c>
      <c r="Z275" s="4">
        <v>2658</v>
      </c>
      <c r="AA275" s="26">
        <v>24</v>
      </c>
      <c r="AB275" s="7">
        <v>0.29139999999999999</v>
      </c>
    </row>
    <row r="276" spans="1:28" x14ac:dyDescent="0.35">
      <c r="A276" s="1">
        <v>4002709</v>
      </c>
      <c r="B276" s="15">
        <v>100</v>
      </c>
      <c r="C276" s="15">
        <v>100</v>
      </c>
      <c r="D276" s="15">
        <v>250</v>
      </c>
      <c r="E276" s="15">
        <v>150</v>
      </c>
      <c r="F276" s="15">
        <v>100</v>
      </c>
      <c r="G276" s="15">
        <v>100</v>
      </c>
      <c r="H276" s="15">
        <v>150</v>
      </c>
      <c r="I276" s="15">
        <v>200</v>
      </c>
      <c r="J276" s="15">
        <v>100</v>
      </c>
      <c r="K276" s="15">
        <v>150</v>
      </c>
      <c r="L276" s="15">
        <v>100</v>
      </c>
      <c r="M276" s="15">
        <v>100</v>
      </c>
      <c r="N276" s="15">
        <v>100</v>
      </c>
      <c r="O276" s="15">
        <v>100</v>
      </c>
      <c r="P276" s="15">
        <v>100</v>
      </c>
      <c r="Q276" s="15">
        <v>100</v>
      </c>
      <c r="R276" s="15">
        <v>0</v>
      </c>
      <c r="S276" s="15">
        <v>150</v>
      </c>
      <c r="T276" s="15">
        <v>150</v>
      </c>
      <c r="U276" s="15">
        <v>200</v>
      </c>
      <c r="V276" s="15">
        <v>0</v>
      </c>
      <c r="W276" s="15">
        <v>150</v>
      </c>
      <c r="X276" s="15">
        <v>50</v>
      </c>
      <c r="Y276" s="15">
        <v>0</v>
      </c>
      <c r="Z276" s="4">
        <v>2700</v>
      </c>
      <c r="AA276" s="26">
        <v>21</v>
      </c>
      <c r="AB276" s="7">
        <v>0.53290000000000004</v>
      </c>
    </row>
    <row r="277" spans="1:28" x14ac:dyDescent="0.35">
      <c r="A277" s="1">
        <v>4002737</v>
      </c>
      <c r="B277" s="15">
        <v>0</v>
      </c>
      <c r="C277" s="15">
        <v>0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20</v>
      </c>
      <c r="J277" s="15">
        <v>10</v>
      </c>
      <c r="K277" s="15">
        <v>20</v>
      </c>
      <c r="L277" s="15">
        <v>35</v>
      </c>
      <c r="M277" s="15">
        <v>30</v>
      </c>
      <c r="N277" s="15">
        <v>30</v>
      </c>
      <c r="O277" s="15">
        <v>30</v>
      </c>
      <c r="P277" s="15">
        <v>40</v>
      </c>
      <c r="Q277" s="15">
        <v>40</v>
      </c>
      <c r="R277" s="15">
        <v>10</v>
      </c>
      <c r="S277" s="15">
        <v>50</v>
      </c>
      <c r="T277" s="15">
        <v>10</v>
      </c>
      <c r="U277" s="15">
        <v>40</v>
      </c>
      <c r="V277" s="15">
        <v>40</v>
      </c>
      <c r="W277" s="15">
        <v>20</v>
      </c>
      <c r="X277" s="15">
        <v>30</v>
      </c>
      <c r="Y277" s="15">
        <v>60</v>
      </c>
      <c r="Z277" s="4">
        <v>515</v>
      </c>
      <c r="AA277" s="26">
        <v>17</v>
      </c>
      <c r="AB277" s="7">
        <v>0.8387</v>
      </c>
    </row>
    <row r="278" spans="1:28" x14ac:dyDescent="0.35">
      <c r="A278" s="1">
        <v>4002738</v>
      </c>
      <c r="B278" s="15">
        <v>0</v>
      </c>
      <c r="C278" s="15">
        <v>0</v>
      </c>
      <c r="D278" s="15">
        <v>0</v>
      </c>
      <c r="E278" s="15">
        <v>0</v>
      </c>
      <c r="F278" s="15">
        <v>0</v>
      </c>
      <c r="G278" s="15">
        <v>0</v>
      </c>
      <c r="H278" s="15">
        <v>0</v>
      </c>
      <c r="I278" s="15">
        <v>70</v>
      </c>
      <c r="J278" s="15">
        <v>130</v>
      </c>
      <c r="K278" s="15">
        <v>220</v>
      </c>
      <c r="L278" s="15">
        <v>230</v>
      </c>
      <c r="M278" s="15">
        <v>200</v>
      </c>
      <c r="N278" s="15">
        <v>210</v>
      </c>
      <c r="O278" s="15">
        <v>300</v>
      </c>
      <c r="P278" s="15">
        <v>150</v>
      </c>
      <c r="Q278" s="15">
        <v>200</v>
      </c>
      <c r="R278" s="15">
        <v>250</v>
      </c>
      <c r="S278" s="15">
        <v>200</v>
      </c>
      <c r="T278" s="15">
        <v>150</v>
      </c>
      <c r="U278" s="15">
        <v>200</v>
      </c>
      <c r="V278" s="15">
        <v>300</v>
      </c>
      <c r="W278" s="15">
        <v>150</v>
      </c>
      <c r="X278" s="15">
        <v>200</v>
      </c>
      <c r="Y278" s="15">
        <v>250</v>
      </c>
      <c r="Z278" s="4">
        <v>3410</v>
      </c>
      <c r="AA278" s="26">
        <v>17</v>
      </c>
      <c r="AB278" s="7">
        <v>0.7258</v>
      </c>
    </row>
    <row r="279" spans="1:28" x14ac:dyDescent="0.35">
      <c r="A279" s="1">
        <v>4002739</v>
      </c>
      <c r="B279" s="15">
        <v>0</v>
      </c>
      <c r="C279" s="15">
        <v>0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10</v>
      </c>
      <c r="J279" s="15">
        <v>60</v>
      </c>
      <c r="K279" s="15">
        <v>20</v>
      </c>
      <c r="L279" s="15">
        <v>20</v>
      </c>
      <c r="M279" s="15">
        <v>60</v>
      </c>
      <c r="N279" s="15">
        <v>20</v>
      </c>
      <c r="O279" s="15">
        <v>50</v>
      </c>
      <c r="P279" s="15">
        <v>40</v>
      </c>
      <c r="Q279" s="15">
        <v>40</v>
      </c>
      <c r="R279" s="15">
        <v>40</v>
      </c>
      <c r="S279" s="15">
        <v>20</v>
      </c>
      <c r="T279" s="15">
        <v>40</v>
      </c>
      <c r="U279" s="15">
        <v>40</v>
      </c>
      <c r="V279" s="15">
        <v>60</v>
      </c>
      <c r="W279" s="15">
        <v>20</v>
      </c>
      <c r="X279" s="15">
        <v>40</v>
      </c>
      <c r="Y279" s="15">
        <v>40</v>
      </c>
      <c r="Z279" s="4">
        <v>620</v>
      </c>
      <c r="AA279" s="26">
        <v>17</v>
      </c>
      <c r="AB279" s="7">
        <v>0.81289999999999996</v>
      </c>
    </row>
    <row r="280" spans="1:28" x14ac:dyDescent="0.35">
      <c r="A280" s="1">
        <v>4002740</v>
      </c>
      <c r="B280" s="15">
        <v>0</v>
      </c>
      <c r="C280" s="15">
        <v>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40</v>
      </c>
      <c r="J280" s="15">
        <v>0</v>
      </c>
      <c r="K280" s="15">
        <v>160</v>
      </c>
      <c r="L280" s="15">
        <v>40</v>
      </c>
      <c r="M280" s="15">
        <v>160</v>
      </c>
      <c r="N280" s="15">
        <v>70</v>
      </c>
      <c r="O280" s="15">
        <v>150</v>
      </c>
      <c r="P280" s="15">
        <v>30</v>
      </c>
      <c r="Q280" s="15">
        <v>140</v>
      </c>
      <c r="R280" s="15">
        <v>40</v>
      </c>
      <c r="S280" s="15">
        <v>190</v>
      </c>
      <c r="T280" s="15">
        <v>0</v>
      </c>
      <c r="U280" s="15">
        <v>50</v>
      </c>
      <c r="V280" s="15">
        <v>80</v>
      </c>
      <c r="W280" s="15">
        <v>140</v>
      </c>
      <c r="X280" s="15">
        <v>40</v>
      </c>
      <c r="Y280" s="15">
        <v>170</v>
      </c>
      <c r="Z280" s="4">
        <v>1500</v>
      </c>
      <c r="AA280" s="26">
        <v>15</v>
      </c>
      <c r="AB280" s="7">
        <v>1.0596000000000001</v>
      </c>
    </row>
    <row r="281" spans="1:28" x14ac:dyDescent="0.35">
      <c r="A281" s="1">
        <v>4002741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120</v>
      </c>
      <c r="K281" s="15">
        <v>140</v>
      </c>
      <c r="L281" s="15">
        <v>140</v>
      </c>
      <c r="M281" s="15">
        <v>60</v>
      </c>
      <c r="N281" s="15">
        <v>160</v>
      </c>
      <c r="O281" s="15">
        <v>300</v>
      </c>
      <c r="P281" s="15">
        <v>80</v>
      </c>
      <c r="Q281" s="15">
        <v>170</v>
      </c>
      <c r="R281" s="15">
        <v>140</v>
      </c>
      <c r="S281" s="15">
        <v>160</v>
      </c>
      <c r="T281" s="15">
        <v>60</v>
      </c>
      <c r="U281" s="15">
        <v>100</v>
      </c>
      <c r="V281" s="15">
        <v>230</v>
      </c>
      <c r="W281" s="15">
        <v>140</v>
      </c>
      <c r="X281" s="15">
        <v>240</v>
      </c>
      <c r="Y281" s="15">
        <v>200</v>
      </c>
      <c r="Z281" s="4">
        <v>2440</v>
      </c>
      <c r="AA281" s="26">
        <v>16</v>
      </c>
      <c r="AB281" s="7">
        <v>0.87270000000000003</v>
      </c>
    </row>
    <row r="282" spans="1:28" x14ac:dyDescent="0.35">
      <c r="A282" s="1">
        <v>4002742</v>
      </c>
      <c r="B282" s="15">
        <v>0</v>
      </c>
      <c r="C282" s="15">
        <v>0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100</v>
      </c>
      <c r="L282" s="15">
        <v>0</v>
      </c>
      <c r="M282" s="15">
        <v>240</v>
      </c>
      <c r="N282" s="15">
        <v>260</v>
      </c>
      <c r="O282" s="15">
        <v>320</v>
      </c>
      <c r="P282" s="15">
        <v>280</v>
      </c>
      <c r="Q282" s="15">
        <v>280</v>
      </c>
      <c r="R282" s="15">
        <v>240</v>
      </c>
      <c r="S282" s="15">
        <v>240</v>
      </c>
      <c r="T282" s="15">
        <v>240</v>
      </c>
      <c r="U282" s="15">
        <v>280</v>
      </c>
      <c r="V282" s="15">
        <v>320</v>
      </c>
      <c r="W282" s="15">
        <v>280</v>
      </c>
      <c r="X282" s="15">
        <v>280</v>
      </c>
      <c r="Y282" s="15">
        <v>240</v>
      </c>
      <c r="Z282" s="4">
        <v>3600</v>
      </c>
      <c r="AA282" s="26">
        <v>14</v>
      </c>
      <c r="AB282" s="7">
        <v>0.88439999999999996</v>
      </c>
    </row>
    <row r="283" spans="1:28" x14ac:dyDescent="0.35">
      <c r="A283" s="1">
        <v>4002743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20</v>
      </c>
      <c r="K283" s="15">
        <v>0</v>
      </c>
      <c r="L283" s="15">
        <v>40</v>
      </c>
      <c r="M283" s="15">
        <v>120</v>
      </c>
      <c r="N283" s="15">
        <v>80</v>
      </c>
      <c r="O283" s="15">
        <v>80</v>
      </c>
      <c r="P283" s="15">
        <v>40</v>
      </c>
      <c r="Q283" s="15">
        <v>80</v>
      </c>
      <c r="R283" s="15">
        <v>80</v>
      </c>
      <c r="S283" s="15">
        <v>80</v>
      </c>
      <c r="T283" s="15">
        <v>80</v>
      </c>
      <c r="U283" s="15">
        <v>80</v>
      </c>
      <c r="V283" s="15">
        <v>40</v>
      </c>
      <c r="W283" s="15">
        <v>80</v>
      </c>
      <c r="X283" s="15">
        <v>80</v>
      </c>
      <c r="Y283" s="15">
        <v>80</v>
      </c>
      <c r="Z283" s="4">
        <v>1060</v>
      </c>
      <c r="AA283" s="26">
        <v>15</v>
      </c>
      <c r="AB283" s="7">
        <v>0.88639999999999997</v>
      </c>
    </row>
    <row r="284" spans="1:28" x14ac:dyDescent="0.35">
      <c r="A284" s="1">
        <v>4002745</v>
      </c>
      <c r="B284" s="15">
        <v>0</v>
      </c>
      <c r="C284" s="15">
        <v>0</v>
      </c>
      <c r="D284" s="15">
        <v>0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20</v>
      </c>
      <c r="K284" s="15">
        <v>0</v>
      </c>
      <c r="L284" s="15">
        <v>0</v>
      </c>
      <c r="M284" s="15">
        <v>120</v>
      </c>
      <c r="N284" s="15">
        <v>40</v>
      </c>
      <c r="O284" s="15">
        <v>80</v>
      </c>
      <c r="P284" s="15">
        <v>80</v>
      </c>
      <c r="Q284" s="15">
        <v>80</v>
      </c>
      <c r="R284" s="15">
        <v>80</v>
      </c>
      <c r="S284" s="15">
        <v>80</v>
      </c>
      <c r="T284" s="15">
        <v>80</v>
      </c>
      <c r="U284" s="15">
        <v>40</v>
      </c>
      <c r="V284" s="15">
        <v>80</v>
      </c>
      <c r="W284" s="15">
        <v>80</v>
      </c>
      <c r="X284" s="15">
        <v>40</v>
      </c>
      <c r="Y284" s="15">
        <v>120</v>
      </c>
      <c r="Z284" s="4">
        <v>1020</v>
      </c>
      <c r="AA284" s="26">
        <v>14</v>
      </c>
      <c r="AB284" s="7">
        <v>0.98250000000000004</v>
      </c>
    </row>
    <row r="285" spans="1:28" x14ac:dyDescent="0.35">
      <c r="A285" s="1">
        <v>4002809</v>
      </c>
      <c r="B285" s="15">
        <v>62375</v>
      </c>
      <c r="C285" s="15">
        <v>64875</v>
      </c>
      <c r="D285" s="15">
        <v>68250</v>
      </c>
      <c r="E285" s="15">
        <v>58125</v>
      </c>
      <c r="F285" s="15">
        <v>69375</v>
      </c>
      <c r="G285" s="15">
        <v>53275</v>
      </c>
      <c r="H285" s="15">
        <v>53750</v>
      </c>
      <c r="I285" s="15">
        <v>57625</v>
      </c>
      <c r="J285" s="15">
        <v>63275</v>
      </c>
      <c r="K285" s="15">
        <v>61625</v>
      </c>
      <c r="L285" s="15">
        <v>58750</v>
      </c>
      <c r="M285" s="15">
        <v>64270</v>
      </c>
      <c r="N285" s="15">
        <v>60500</v>
      </c>
      <c r="O285" s="15">
        <v>64625</v>
      </c>
      <c r="P285" s="15">
        <v>60750</v>
      </c>
      <c r="Q285" s="15">
        <v>69000</v>
      </c>
      <c r="R285" s="15">
        <v>66000</v>
      </c>
      <c r="S285" s="15">
        <v>60500</v>
      </c>
      <c r="T285" s="15">
        <v>52200</v>
      </c>
      <c r="U285" s="15">
        <v>60580</v>
      </c>
      <c r="V285" s="15">
        <v>72000</v>
      </c>
      <c r="W285" s="15">
        <v>61490</v>
      </c>
      <c r="X285" s="15">
        <v>61250</v>
      </c>
      <c r="Y285" s="15">
        <v>61625</v>
      </c>
      <c r="Z285" s="4">
        <v>1486090</v>
      </c>
      <c r="AA285" s="26">
        <v>24</v>
      </c>
      <c r="AB285" s="7">
        <v>7.9000000000000001E-2</v>
      </c>
    </row>
    <row r="286" spans="1:28" x14ac:dyDescent="0.35">
      <c r="A286" s="1">
        <v>4002847</v>
      </c>
      <c r="B286" s="15">
        <v>50</v>
      </c>
      <c r="C286" s="15">
        <v>0</v>
      </c>
      <c r="D286" s="15">
        <v>30</v>
      </c>
      <c r="E286" s="15">
        <v>270</v>
      </c>
      <c r="F286" s="15">
        <v>30</v>
      </c>
      <c r="G286" s="15">
        <v>80</v>
      </c>
      <c r="H286" s="15">
        <v>1080</v>
      </c>
      <c r="I286" s="15">
        <v>176</v>
      </c>
      <c r="J286" s="15">
        <v>120</v>
      </c>
      <c r="K286" s="15">
        <v>30</v>
      </c>
      <c r="L286" s="15">
        <v>120</v>
      </c>
      <c r="M286" s="15">
        <v>90</v>
      </c>
      <c r="N286" s="15">
        <v>30</v>
      </c>
      <c r="O286" s="15">
        <v>60</v>
      </c>
      <c r="P286" s="15">
        <v>60</v>
      </c>
      <c r="Q286" s="15">
        <v>120</v>
      </c>
      <c r="R286" s="15">
        <v>60</v>
      </c>
      <c r="S286" s="15">
        <v>90</v>
      </c>
      <c r="T286" s="15">
        <v>0</v>
      </c>
      <c r="U286" s="15">
        <v>30</v>
      </c>
      <c r="V286" s="15">
        <v>120</v>
      </c>
      <c r="W286" s="15">
        <v>60</v>
      </c>
      <c r="X286" s="15">
        <v>120</v>
      </c>
      <c r="Y286" s="15">
        <v>0</v>
      </c>
      <c r="Z286" s="4">
        <v>2826</v>
      </c>
      <c r="AA286" s="26">
        <v>21</v>
      </c>
      <c r="AB286" s="7">
        <v>1.7793000000000001</v>
      </c>
    </row>
    <row r="287" spans="1:28" x14ac:dyDescent="0.35">
      <c r="A287" s="1">
        <v>4002874</v>
      </c>
      <c r="B287" s="15">
        <v>494</v>
      </c>
      <c r="C287" s="15">
        <v>1280</v>
      </c>
      <c r="D287" s="15">
        <v>1085</v>
      </c>
      <c r="E287" s="15">
        <v>845</v>
      </c>
      <c r="F287" s="15">
        <v>970</v>
      </c>
      <c r="G287" s="15">
        <v>1155</v>
      </c>
      <c r="H287" s="15">
        <v>885</v>
      </c>
      <c r="I287" s="15">
        <v>1202</v>
      </c>
      <c r="J287" s="15">
        <v>1170</v>
      </c>
      <c r="K287" s="15">
        <v>1510</v>
      </c>
      <c r="L287" s="15">
        <v>810</v>
      </c>
      <c r="M287" s="15">
        <v>1140</v>
      </c>
      <c r="N287" s="15">
        <v>1130</v>
      </c>
      <c r="O287" s="15">
        <v>771</v>
      </c>
      <c r="P287" s="15">
        <v>680</v>
      </c>
      <c r="Q287" s="15">
        <v>890</v>
      </c>
      <c r="R287" s="15">
        <v>580</v>
      </c>
      <c r="S287" s="15">
        <v>630</v>
      </c>
      <c r="T287" s="15">
        <v>250</v>
      </c>
      <c r="U287" s="15">
        <v>420</v>
      </c>
      <c r="V287" s="15">
        <v>530</v>
      </c>
      <c r="W287" s="15">
        <v>360</v>
      </c>
      <c r="X287" s="15">
        <v>810</v>
      </c>
      <c r="Y287" s="15">
        <v>505</v>
      </c>
      <c r="Z287" s="4">
        <v>20102</v>
      </c>
      <c r="AA287" s="26">
        <v>24</v>
      </c>
      <c r="AB287" s="7">
        <v>0.38250000000000001</v>
      </c>
    </row>
    <row r="288" spans="1:28" x14ac:dyDescent="0.35">
      <c r="A288" s="1">
        <v>4002898</v>
      </c>
      <c r="B288" s="15">
        <v>360</v>
      </c>
      <c r="C288" s="15">
        <v>340</v>
      </c>
      <c r="D288" s="15">
        <v>320</v>
      </c>
      <c r="E288" s="15">
        <v>400</v>
      </c>
      <c r="F288" s="15">
        <v>340</v>
      </c>
      <c r="G288" s="15">
        <v>270</v>
      </c>
      <c r="H288" s="15">
        <v>194</v>
      </c>
      <c r="I288" s="15">
        <v>260</v>
      </c>
      <c r="J288" s="15">
        <v>400</v>
      </c>
      <c r="K288" s="15">
        <v>360</v>
      </c>
      <c r="L288" s="15">
        <v>500</v>
      </c>
      <c r="M288" s="15">
        <v>320</v>
      </c>
      <c r="N288" s="15">
        <v>480</v>
      </c>
      <c r="O288" s="15">
        <v>320</v>
      </c>
      <c r="P288" s="15">
        <v>380</v>
      </c>
      <c r="Q288" s="15">
        <v>360</v>
      </c>
      <c r="R288" s="15">
        <v>400</v>
      </c>
      <c r="S288" s="15">
        <v>500</v>
      </c>
      <c r="T288" s="15">
        <v>80</v>
      </c>
      <c r="U288" s="15">
        <v>200</v>
      </c>
      <c r="V288" s="15">
        <v>480</v>
      </c>
      <c r="W288" s="15">
        <v>340</v>
      </c>
      <c r="X288" s="15">
        <v>340</v>
      </c>
      <c r="Y288" s="15">
        <v>360</v>
      </c>
      <c r="Z288" s="4">
        <v>8304</v>
      </c>
      <c r="AA288" s="26">
        <v>24</v>
      </c>
      <c r="AB288" s="7">
        <v>0.27960000000000002</v>
      </c>
    </row>
    <row r="289" spans="1:29" x14ac:dyDescent="0.35">
      <c r="A289" s="1">
        <v>4002985</v>
      </c>
      <c r="B289" s="15">
        <v>258</v>
      </c>
      <c r="C289" s="15">
        <v>183</v>
      </c>
      <c r="D289" s="15">
        <v>130</v>
      </c>
      <c r="E289" s="15">
        <v>175</v>
      </c>
      <c r="F289" s="15">
        <v>163</v>
      </c>
      <c r="G289" s="15">
        <v>125</v>
      </c>
      <c r="H289" s="15">
        <v>164</v>
      </c>
      <c r="I289" s="15">
        <v>123</v>
      </c>
      <c r="J289" s="15">
        <v>231</v>
      </c>
      <c r="K289" s="15">
        <v>152</v>
      </c>
      <c r="L289" s="15">
        <v>140</v>
      </c>
      <c r="M289" s="15">
        <v>126</v>
      </c>
      <c r="N289" s="15">
        <v>141</v>
      </c>
      <c r="O289" s="15">
        <v>158</v>
      </c>
      <c r="P289" s="15">
        <v>165</v>
      </c>
      <c r="Q289" s="15">
        <v>170</v>
      </c>
      <c r="R289" s="15">
        <v>132</v>
      </c>
      <c r="S289" s="15">
        <v>133</v>
      </c>
      <c r="T289" s="15">
        <v>136</v>
      </c>
      <c r="U289" s="15">
        <v>192</v>
      </c>
      <c r="V289" s="15">
        <v>172</v>
      </c>
      <c r="W289" s="15">
        <v>183</v>
      </c>
      <c r="X289" s="15">
        <v>207</v>
      </c>
      <c r="Y289" s="15">
        <v>184</v>
      </c>
      <c r="Z289" s="4">
        <v>3943</v>
      </c>
      <c r="AA289" s="26">
        <v>24</v>
      </c>
      <c r="AB289" s="7">
        <v>0.20469999999999999</v>
      </c>
    </row>
    <row r="290" spans="1:29" x14ac:dyDescent="0.35">
      <c r="A290" s="1">
        <v>4003002</v>
      </c>
      <c r="B290" s="15">
        <v>130</v>
      </c>
      <c r="C290" s="15">
        <v>110</v>
      </c>
      <c r="D290" s="15">
        <v>95</v>
      </c>
      <c r="E290" s="15">
        <v>45</v>
      </c>
      <c r="F290" s="15">
        <v>105</v>
      </c>
      <c r="G290" s="15">
        <v>100</v>
      </c>
      <c r="H290" s="15">
        <v>110</v>
      </c>
      <c r="I290" s="15">
        <v>115</v>
      </c>
      <c r="J290" s="15">
        <v>50</v>
      </c>
      <c r="K290" s="15">
        <v>30</v>
      </c>
      <c r="L290" s="15">
        <v>80</v>
      </c>
      <c r="M290" s="15">
        <v>75</v>
      </c>
      <c r="N290" s="15">
        <v>75</v>
      </c>
      <c r="O290" s="15">
        <v>40</v>
      </c>
      <c r="P290" s="15">
        <v>65</v>
      </c>
      <c r="Q290" s="15">
        <v>70</v>
      </c>
      <c r="R290" s="15">
        <v>30</v>
      </c>
      <c r="S290" s="15">
        <v>45</v>
      </c>
      <c r="T290" s="15">
        <v>80</v>
      </c>
      <c r="U290" s="15">
        <v>50</v>
      </c>
      <c r="V290" s="15">
        <v>70</v>
      </c>
      <c r="W290" s="15">
        <v>75</v>
      </c>
      <c r="X290" s="15">
        <v>55</v>
      </c>
      <c r="Y290" s="15">
        <v>55</v>
      </c>
      <c r="Z290" s="4">
        <v>1755</v>
      </c>
      <c r="AA290" s="26">
        <v>24</v>
      </c>
      <c r="AB290" s="7">
        <v>0.377</v>
      </c>
    </row>
    <row r="291" spans="1:29" x14ac:dyDescent="0.35">
      <c r="A291" s="1">
        <v>4003004</v>
      </c>
      <c r="B291" s="15">
        <v>25</v>
      </c>
      <c r="C291" s="15">
        <v>15</v>
      </c>
      <c r="D291" s="15">
        <v>20</v>
      </c>
      <c r="E291" s="15">
        <v>20</v>
      </c>
      <c r="F291" s="15">
        <v>40</v>
      </c>
      <c r="G291" s="15">
        <v>30</v>
      </c>
      <c r="H291" s="15">
        <v>35</v>
      </c>
      <c r="I291" s="15">
        <v>20</v>
      </c>
      <c r="J291" s="15">
        <v>30</v>
      </c>
      <c r="K291" s="15">
        <v>0</v>
      </c>
      <c r="L291" s="15">
        <v>30</v>
      </c>
      <c r="M291" s="15">
        <v>20</v>
      </c>
      <c r="N291" s="15">
        <v>30</v>
      </c>
      <c r="O291" s="15">
        <v>5</v>
      </c>
      <c r="P291" s="15">
        <v>10</v>
      </c>
      <c r="Q291" s="15">
        <v>15</v>
      </c>
      <c r="R291" s="15">
        <v>20</v>
      </c>
      <c r="S291" s="15">
        <v>0</v>
      </c>
      <c r="T291" s="15">
        <v>15</v>
      </c>
      <c r="U291" s="15">
        <v>25</v>
      </c>
      <c r="V291" s="15">
        <v>5</v>
      </c>
      <c r="W291" s="15">
        <v>40</v>
      </c>
      <c r="X291" s="15">
        <v>25</v>
      </c>
      <c r="Y291" s="15">
        <v>0</v>
      </c>
      <c r="Z291" s="4">
        <v>475</v>
      </c>
      <c r="AA291" s="26">
        <v>21</v>
      </c>
      <c r="AB291" s="7">
        <v>0.59460000000000002</v>
      </c>
    </row>
    <row r="292" spans="1:29" x14ac:dyDescent="0.35">
      <c r="A292" s="1">
        <v>4003005</v>
      </c>
      <c r="B292" s="15">
        <v>20</v>
      </c>
      <c r="C292" s="15">
        <v>5</v>
      </c>
      <c r="D292" s="15">
        <v>30</v>
      </c>
      <c r="E292" s="15">
        <v>15</v>
      </c>
      <c r="F292" s="15">
        <v>25</v>
      </c>
      <c r="G292" s="15">
        <v>25</v>
      </c>
      <c r="H292" s="15">
        <v>20</v>
      </c>
      <c r="I292" s="15">
        <v>45</v>
      </c>
      <c r="J292" s="15">
        <v>10</v>
      </c>
      <c r="K292" s="15">
        <v>10</v>
      </c>
      <c r="L292" s="15">
        <v>15</v>
      </c>
      <c r="M292" s="15">
        <v>25</v>
      </c>
      <c r="N292" s="15">
        <v>35</v>
      </c>
      <c r="O292" s="15">
        <v>45</v>
      </c>
      <c r="P292" s="15">
        <v>10</v>
      </c>
      <c r="Q292" s="15">
        <v>35</v>
      </c>
      <c r="R292" s="15">
        <v>10</v>
      </c>
      <c r="S292" s="15">
        <v>15</v>
      </c>
      <c r="T292" s="15">
        <v>35</v>
      </c>
      <c r="U292" s="15">
        <v>20</v>
      </c>
      <c r="V292" s="15">
        <v>10</v>
      </c>
      <c r="W292" s="15">
        <v>35</v>
      </c>
      <c r="X292" s="15">
        <v>25</v>
      </c>
      <c r="Y292" s="15">
        <v>20</v>
      </c>
      <c r="Z292" s="4">
        <v>540</v>
      </c>
      <c r="AA292" s="26">
        <v>24</v>
      </c>
      <c r="AB292" s="7">
        <v>0.49690000000000001</v>
      </c>
    </row>
    <row r="293" spans="1:29" x14ac:dyDescent="0.35">
      <c r="A293" s="1">
        <v>4003006</v>
      </c>
      <c r="B293" s="15">
        <v>35</v>
      </c>
      <c r="C293" s="15">
        <v>10</v>
      </c>
      <c r="D293" s="15">
        <v>25</v>
      </c>
      <c r="E293" s="15">
        <v>20</v>
      </c>
      <c r="F293" s="15">
        <v>40</v>
      </c>
      <c r="G293" s="15">
        <v>30</v>
      </c>
      <c r="H293" s="15">
        <v>25</v>
      </c>
      <c r="I293" s="15">
        <v>0</v>
      </c>
      <c r="J293" s="15">
        <v>20</v>
      </c>
      <c r="K293" s="15">
        <v>5</v>
      </c>
      <c r="L293" s="15">
        <v>15</v>
      </c>
      <c r="M293" s="15">
        <v>30</v>
      </c>
      <c r="N293" s="15">
        <v>25</v>
      </c>
      <c r="O293" s="15">
        <v>5</v>
      </c>
      <c r="P293" s="15">
        <v>20</v>
      </c>
      <c r="Q293" s="15">
        <v>15</v>
      </c>
      <c r="R293" s="15">
        <v>5</v>
      </c>
      <c r="S293" s="15">
        <v>0</v>
      </c>
      <c r="T293" s="15">
        <v>25</v>
      </c>
      <c r="U293" s="15">
        <v>5</v>
      </c>
      <c r="V293" s="15">
        <v>25</v>
      </c>
      <c r="W293" s="15">
        <v>31</v>
      </c>
      <c r="X293" s="15">
        <v>30</v>
      </c>
      <c r="Y293" s="15">
        <v>15</v>
      </c>
      <c r="Z293" s="4">
        <v>456</v>
      </c>
      <c r="AA293" s="26">
        <v>22</v>
      </c>
      <c r="AB293" s="7">
        <v>0.59060000000000001</v>
      </c>
    </row>
    <row r="294" spans="1:29" x14ac:dyDescent="0.35">
      <c r="A294" s="1">
        <v>4003008</v>
      </c>
      <c r="B294" s="15">
        <v>20</v>
      </c>
      <c r="C294" s="15">
        <v>10</v>
      </c>
      <c r="D294" s="15">
        <v>70</v>
      </c>
      <c r="E294" s="15">
        <v>10</v>
      </c>
      <c r="F294" s="15">
        <v>30</v>
      </c>
      <c r="G294" s="15">
        <v>60</v>
      </c>
      <c r="H294" s="15">
        <v>20</v>
      </c>
      <c r="I294" s="15">
        <v>40</v>
      </c>
      <c r="J294" s="15">
        <v>10</v>
      </c>
      <c r="K294" s="15">
        <v>20</v>
      </c>
      <c r="L294" s="15">
        <v>0</v>
      </c>
      <c r="M294" s="15">
        <v>20</v>
      </c>
      <c r="N294" s="15">
        <v>20</v>
      </c>
      <c r="O294" s="15">
        <v>20</v>
      </c>
      <c r="P294" s="15">
        <v>20</v>
      </c>
      <c r="Q294" s="15">
        <v>0</v>
      </c>
      <c r="R294" s="15">
        <v>10</v>
      </c>
      <c r="S294" s="15">
        <v>10</v>
      </c>
      <c r="T294" s="15">
        <v>50</v>
      </c>
      <c r="U294" s="15">
        <v>0</v>
      </c>
      <c r="V294" s="15">
        <v>10</v>
      </c>
      <c r="W294" s="15">
        <v>31</v>
      </c>
      <c r="X294" s="15">
        <v>30</v>
      </c>
      <c r="Y294" s="15">
        <v>70</v>
      </c>
      <c r="Z294" s="4">
        <v>581</v>
      </c>
      <c r="AA294" s="26">
        <v>21</v>
      </c>
      <c r="AB294" s="7">
        <v>0.82599999999999996</v>
      </c>
    </row>
    <row r="295" spans="1:29" x14ac:dyDescent="0.35">
      <c r="A295" s="1">
        <v>4003208</v>
      </c>
      <c r="B295" s="15">
        <v>120</v>
      </c>
      <c r="C295" s="15">
        <v>100</v>
      </c>
      <c r="D295" s="15">
        <v>100</v>
      </c>
      <c r="E295" s="15">
        <v>190</v>
      </c>
      <c r="F295" s="15">
        <v>120</v>
      </c>
      <c r="G295" s="15">
        <v>120</v>
      </c>
      <c r="H295" s="15">
        <v>70</v>
      </c>
      <c r="I295" s="15">
        <v>240</v>
      </c>
      <c r="J295" s="15">
        <v>30</v>
      </c>
      <c r="K295" s="15">
        <v>190</v>
      </c>
      <c r="L295" s="15">
        <v>100</v>
      </c>
      <c r="M295" s="15">
        <v>100</v>
      </c>
      <c r="N295" s="15">
        <v>240</v>
      </c>
      <c r="O295" s="15">
        <v>160</v>
      </c>
      <c r="P295" s="15">
        <v>120</v>
      </c>
      <c r="Q295" s="15">
        <v>180</v>
      </c>
      <c r="R295" s="15">
        <v>120</v>
      </c>
      <c r="S295" s="15">
        <v>230</v>
      </c>
      <c r="T295" s="15">
        <v>160</v>
      </c>
      <c r="U295" s="15">
        <v>110</v>
      </c>
      <c r="V295" s="15">
        <v>150</v>
      </c>
      <c r="W295" s="15">
        <v>160</v>
      </c>
      <c r="X295" s="15">
        <v>160</v>
      </c>
      <c r="Y295" s="15">
        <v>180</v>
      </c>
      <c r="Z295" s="4">
        <v>3450</v>
      </c>
      <c r="AA295" s="26">
        <v>24</v>
      </c>
      <c r="AB295" s="7">
        <v>0.35909999999999997</v>
      </c>
    </row>
    <row r="296" spans="1:29" x14ac:dyDescent="0.35">
      <c r="A296" s="1">
        <v>4003238</v>
      </c>
      <c r="B296" s="15">
        <v>30</v>
      </c>
      <c r="C296" s="15">
        <v>35</v>
      </c>
      <c r="D296" s="15">
        <v>40</v>
      </c>
      <c r="E296" s="15">
        <v>35</v>
      </c>
      <c r="F296" s="15">
        <v>0</v>
      </c>
      <c r="G296" s="15">
        <v>10</v>
      </c>
      <c r="H296" s="15">
        <v>10</v>
      </c>
      <c r="I296" s="15">
        <v>15</v>
      </c>
      <c r="J296" s="15">
        <v>10</v>
      </c>
      <c r="K296" s="15">
        <v>5</v>
      </c>
      <c r="L296" s="15">
        <v>5</v>
      </c>
      <c r="M296" s="15">
        <v>5</v>
      </c>
      <c r="N296" s="15">
        <v>20</v>
      </c>
      <c r="O296" s="15">
        <v>5</v>
      </c>
      <c r="P296" s="15">
        <v>15</v>
      </c>
      <c r="Q296" s="15">
        <v>15</v>
      </c>
      <c r="R296" s="15">
        <v>10</v>
      </c>
      <c r="S296" s="15">
        <v>25</v>
      </c>
      <c r="T296" s="15">
        <v>10</v>
      </c>
      <c r="U296" s="15">
        <v>10</v>
      </c>
      <c r="V296" s="15">
        <v>25</v>
      </c>
      <c r="W296" s="15">
        <v>25</v>
      </c>
      <c r="X296" s="15">
        <v>10</v>
      </c>
      <c r="Y296" s="15">
        <v>15</v>
      </c>
      <c r="Z296" s="4">
        <v>385</v>
      </c>
      <c r="AA296" s="26">
        <v>23</v>
      </c>
      <c r="AB296" s="7">
        <v>0.66720000000000002</v>
      </c>
    </row>
    <row r="297" spans="1:29" x14ac:dyDescent="0.35">
      <c r="A297" s="1">
        <v>4003241</v>
      </c>
      <c r="B297" s="15">
        <v>30</v>
      </c>
      <c r="C297" s="15">
        <v>30</v>
      </c>
      <c r="D297" s="15">
        <v>50</v>
      </c>
      <c r="E297" s="15">
        <v>0</v>
      </c>
      <c r="F297" s="15">
        <v>30</v>
      </c>
      <c r="G297" s="15">
        <v>90</v>
      </c>
      <c r="H297" s="15">
        <v>0</v>
      </c>
      <c r="I297" s="15">
        <v>45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30</v>
      </c>
      <c r="T297" s="15">
        <v>0</v>
      </c>
      <c r="U297" s="15">
        <v>0</v>
      </c>
      <c r="V297" s="15">
        <v>40</v>
      </c>
      <c r="W297" s="15">
        <v>20</v>
      </c>
      <c r="X297" s="15">
        <v>0</v>
      </c>
      <c r="Y297" s="15">
        <v>30</v>
      </c>
      <c r="Z297" s="4">
        <v>395</v>
      </c>
      <c r="AA297" s="26">
        <v>10</v>
      </c>
      <c r="AB297" s="7">
        <v>1.3935</v>
      </c>
    </row>
    <row r="298" spans="1:29" x14ac:dyDescent="0.35">
      <c r="A298" s="1">
        <v>4003346</v>
      </c>
      <c r="B298" s="15">
        <v>35</v>
      </c>
      <c r="C298" s="15">
        <v>85</v>
      </c>
      <c r="D298" s="15">
        <v>145</v>
      </c>
      <c r="E298" s="15">
        <v>60</v>
      </c>
      <c r="F298" s="15">
        <v>65</v>
      </c>
      <c r="G298" s="15">
        <v>35</v>
      </c>
      <c r="H298" s="15">
        <v>20</v>
      </c>
      <c r="I298" s="15">
        <v>30</v>
      </c>
      <c r="J298" s="15">
        <v>65</v>
      </c>
      <c r="K298" s="15">
        <v>60</v>
      </c>
      <c r="L298" s="15">
        <v>50</v>
      </c>
      <c r="M298" s="15">
        <v>70</v>
      </c>
      <c r="N298" s="15">
        <v>90</v>
      </c>
      <c r="O298" s="15">
        <v>75</v>
      </c>
      <c r="P298" s="15">
        <v>70</v>
      </c>
      <c r="Q298" s="15">
        <v>110</v>
      </c>
      <c r="R298" s="15">
        <v>64</v>
      </c>
      <c r="S298" s="15">
        <v>102</v>
      </c>
      <c r="T298" s="15">
        <v>72</v>
      </c>
      <c r="U298" s="15">
        <v>102</v>
      </c>
      <c r="V298" s="15">
        <v>156</v>
      </c>
      <c r="W298" s="15">
        <v>132</v>
      </c>
      <c r="X298" s="15">
        <v>138</v>
      </c>
      <c r="Y298" s="15">
        <v>114</v>
      </c>
      <c r="Z298" s="4">
        <v>1945</v>
      </c>
      <c r="AA298" s="26">
        <v>24</v>
      </c>
      <c r="AB298" s="7">
        <v>0.45079999999999998</v>
      </c>
    </row>
    <row r="299" spans="1:29" x14ac:dyDescent="0.35">
      <c r="A299" s="1">
        <v>4003416</v>
      </c>
      <c r="B299" s="15">
        <v>0</v>
      </c>
      <c r="C299" s="15">
        <v>12</v>
      </c>
      <c r="D299" s="15">
        <v>24</v>
      </c>
      <c r="E299" s="15">
        <v>0</v>
      </c>
      <c r="F299" s="15">
        <v>24</v>
      </c>
      <c r="G299" s="15">
        <v>72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4">
        <v>132</v>
      </c>
      <c r="AA299" s="26">
        <v>4</v>
      </c>
      <c r="AB299" s="7">
        <v>2.8151999999999999</v>
      </c>
      <c r="AC299" s="1" t="s">
        <v>3230</v>
      </c>
    </row>
    <row r="300" spans="1:29" x14ac:dyDescent="0.35">
      <c r="A300" s="1">
        <v>4003529</v>
      </c>
      <c r="B300" s="15">
        <v>1300</v>
      </c>
      <c r="C300" s="15">
        <v>2300</v>
      </c>
      <c r="D300" s="15">
        <v>1300</v>
      </c>
      <c r="E300" s="15">
        <v>800</v>
      </c>
      <c r="F300" s="15">
        <v>700</v>
      </c>
      <c r="G300" s="15">
        <v>800</v>
      </c>
      <c r="H300" s="15">
        <v>900</v>
      </c>
      <c r="I300" s="15">
        <v>800</v>
      </c>
      <c r="J300" s="15">
        <v>1300</v>
      </c>
      <c r="K300" s="15">
        <v>1800</v>
      </c>
      <c r="L300" s="15">
        <v>1000</v>
      </c>
      <c r="M300" s="15">
        <v>1000</v>
      </c>
      <c r="N300" s="15">
        <v>1000</v>
      </c>
      <c r="O300" s="15">
        <v>1500</v>
      </c>
      <c r="P300" s="15">
        <v>1300</v>
      </c>
      <c r="Q300" s="15">
        <v>1000</v>
      </c>
      <c r="R300" s="15">
        <v>1500</v>
      </c>
      <c r="S300" s="15">
        <v>1500</v>
      </c>
      <c r="T300" s="15">
        <v>500</v>
      </c>
      <c r="U300" s="15">
        <v>1700</v>
      </c>
      <c r="V300" s="15">
        <v>1000</v>
      </c>
      <c r="W300" s="15">
        <v>1500</v>
      </c>
      <c r="X300" s="15">
        <v>1300</v>
      </c>
      <c r="Y300" s="15">
        <v>1500</v>
      </c>
      <c r="Z300" s="4">
        <v>29300</v>
      </c>
      <c r="AA300" s="26">
        <v>24</v>
      </c>
      <c r="AB300" s="7">
        <v>0.32679999999999998</v>
      </c>
    </row>
    <row r="301" spans="1:29" x14ac:dyDescent="0.35">
      <c r="A301" s="1">
        <v>4003611</v>
      </c>
      <c r="B301" s="15">
        <v>500</v>
      </c>
      <c r="C301" s="15">
        <v>100</v>
      </c>
      <c r="D301" s="15">
        <v>0</v>
      </c>
      <c r="E301" s="15">
        <v>700</v>
      </c>
      <c r="F301" s="15">
        <v>100</v>
      </c>
      <c r="G301" s="15">
        <v>100</v>
      </c>
      <c r="H301" s="15">
        <v>100</v>
      </c>
      <c r="I301" s="15">
        <v>400</v>
      </c>
      <c r="J301" s="15">
        <v>200</v>
      </c>
      <c r="K301" s="15">
        <v>200</v>
      </c>
      <c r="L301" s="15">
        <v>100</v>
      </c>
      <c r="M301" s="15">
        <v>0</v>
      </c>
      <c r="N301" s="15">
        <v>700</v>
      </c>
      <c r="O301" s="15">
        <v>100</v>
      </c>
      <c r="P301" s="15">
        <v>101</v>
      </c>
      <c r="Q301" s="15">
        <v>0</v>
      </c>
      <c r="R301" s="15">
        <v>400</v>
      </c>
      <c r="S301" s="15">
        <v>100</v>
      </c>
      <c r="T301" s="15">
        <v>400</v>
      </c>
      <c r="U301" s="15">
        <v>100</v>
      </c>
      <c r="V301" s="15">
        <v>200</v>
      </c>
      <c r="W301" s="15">
        <v>100</v>
      </c>
      <c r="X301" s="15">
        <v>400</v>
      </c>
      <c r="Y301" s="15">
        <v>100</v>
      </c>
      <c r="Z301" s="4">
        <v>5201</v>
      </c>
      <c r="AA301" s="26">
        <v>21</v>
      </c>
      <c r="AB301" s="7">
        <v>0.92920000000000003</v>
      </c>
    </row>
    <row r="302" spans="1:29" x14ac:dyDescent="0.35">
      <c r="A302" s="1">
        <v>4003844</v>
      </c>
      <c r="B302" s="15">
        <v>17</v>
      </c>
      <c r="C302" s="15">
        <v>38</v>
      </c>
      <c r="D302" s="15">
        <v>17</v>
      </c>
      <c r="E302" s="15">
        <v>10</v>
      </c>
      <c r="F302" s="15">
        <v>28</v>
      </c>
      <c r="G302" s="15">
        <v>17</v>
      </c>
      <c r="H302" s="15">
        <v>10</v>
      </c>
      <c r="I302" s="15">
        <v>23</v>
      </c>
      <c r="J302" s="15">
        <v>19</v>
      </c>
      <c r="K302" s="15">
        <v>11</v>
      </c>
      <c r="L302" s="15">
        <v>29</v>
      </c>
      <c r="M302" s="15">
        <v>2</v>
      </c>
      <c r="N302" s="15">
        <v>18</v>
      </c>
      <c r="O302" s="15">
        <v>26</v>
      </c>
      <c r="P302" s="15">
        <v>33</v>
      </c>
      <c r="Q302" s="15">
        <v>11</v>
      </c>
      <c r="R302" s="15">
        <v>22</v>
      </c>
      <c r="S302" s="15">
        <v>24</v>
      </c>
      <c r="T302" s="15">
        <v>6</v>
      </c>
      <c r="U302" s="15">
        <v>17</v>
      </c>
      <c r="V302" s="15">
        <v>25</v>
      </c>
      <c r="W302" s="15">
        <v>10</v>
      </c>
      <c r="X302" s="15">
        <v>21</v>
      </c>
      <c r="Y302" s="15">
        <v>2</v>
      </c>
      <c r="Z302" s="4">
        <v>436</v>
      </c>
      <c r="AA302" s="26">
        <v>24</v>
      </c>
      <c r="AB302" s="7">
        <v>0.50190000000000001</v>
      </c>
    </row>
    <row r="303" spans="1:29" x14ac:dyDescent="0.35">
      <c r="A303" s="1">
        <v>4003857</v>
      </c>
      <c r="B303" s="15">
        <v>11750</v>
      </c>
      <c r="C303" s="15">
        <v>9700</v>
      </c>
      <c r="D303" s="15">
        <v>11600</v>
      </c>
      <c r="E303" s="15">
        <v>12150</v>
      </c>
      <c r="F303" s="15">
        <v>9350</v>
      </c>
      <c r="G303" s="15">
        <v>10850</v>
      </c>
      <c r="H303" s="15">
        <v>9500</v>
      </c>
      <c r="I303" s="15">
        <v>10000</v>
      </c>
      <c r="J303" s="15">
        <v>10050</v>
      </c>
      <c r="K303" s="15">
        <v>10000</v>
      </c>
      <c r="L303" s="15">
        <v>11250</v>
      </c>
      <c r="M303" s="15">
        <v>12250</v>
      </c>
      <c r="N303" s="15">
        <v>10350</v>
      </c>
      <c r="O303" s="15">
        <v>10000</v>
      </c>
      <c r="P303" s="15">
        <v>10300</v>
      </c>
      <c r="Q303" s="15">
        <v>10900</v>
      </c>
      <c r="R303" s="15">
        <v>10900</v>
      </c>
      <c r="S303" s="15">
        <v>10450</v>
      </c>
      <c r="T303" s="15">
        <v>9200</v>
      </c>
      <c r="U303" s="15">
        <v>9600</v>
      </c>
      <c r="V303" s="15">
        <v>9350</v>
      </c>
      <c r="W303" s="15">
        <v>13650</v>
      </c>
      <c r="X303" s="15">
        <v>9300</v>
      </c>
      <c r="Y303" s="15">
        <v>12450</v>
      </c>
      <c r="Z303" s="4">
        <v>254900</v>
      </c>
      <c r="AA303" s="26">
        <v>24</v>
      </c>
      <c r="AB303" s="7">
        <v>0.109</v>
      </c>
    </row>
    <row r="304" spans="1:29" x14ac:dyDescent="0.35">
      <c r="A304" s="1">
        <v>4003858</v>
      </c>
      <c r="B304" s="15">
        <v>12150</v>
      </c>
      <c r="C304" s="15">
        <v>10800</v>
      </c>
      <c r="D304" s="15">
        <v>11350</v>
      </c>
      <c r="E304" s="15">
        <v>12700</v>
      </c>
      <c r="F304" s="15">
        <v>11250</v>
      </c>
      <c r="G304" s="15">
        <v>12650</v>
      </c>
      <c r="H304" s="15">
        <v>11650</v>
      </c>
      <c r="I304" s="15">
        <v>10800</v>
      </c>
      <c r="J304" s="15">
        <v>10900</v>
      </c>
      <c r="K304" s="15">
        <v>13550</v>
      </c>
      <c r="L304" s="15">
        <v>12950</v>
      </c>
      <c r="M304" s="15">
        <v>13550</v>
      </c>
      <c r="N304" s="15">
        <v>13550</v>
      </c>
      <c r="O304" s="15">
        <v>12400</v>
      </c>
      <c r="P304" s="15">
        <v>12900</v>
      </c>
      <c r="Q304" s="15">
        <v>12500</v>
      </c>
      <c r="R304" s="15">
        <v>10300</v>
      </c>
      <c r="S304" s="15">
        <v>12450</v>
      </c>
      <c r="T304" s="15">
        <v>11500</v>
      </c>
      <c r="U304" s="15">
        <v>10550</v>
      </c>
      <c r="V304" s="15">
        <v>10550</v>
      </c>
      <c r="W304" s="15">
        <v>14900</v>
      </c>
      <c r="X304" s="15">
        <v>11250</v>
      </c>
      <c r="Y304" s="15">
        <v>13150</v>
      </c>
      <c r="Z304" s="4">
        <v>290300</v>
      </c>
      <c r="AA304" s="26">
        <v>24</v>
      </c>
      <c r="AB304" s="7">
        <v>9.7100000000000006E-2</v>
      </c>
    </row>
    <row r="305" spans="1:28" x14ac:dyDescent="0.35">
      <c r="A305" s="1">
        <v>4003859</v>
      </c>
      <c r="B305" s="15">
        <v>40</v>
      </c>
      <c r="C305" s="15">
        <v>20</v>
      </c>
      <c r="D305" s="15">
        <v>10</v>
      </c>
      <c r="E305" s="15">
        <v>20</v>
      </c>
      <c r="F305" s="15">
        <v>20</v>
      </c>
      <c r="G305" s="15">
        <v>20</v>
      </c>
      <c r="H305" s="15">
        <v>10</v>
      </c>
      <c r="I305" s="15">
        <v>10</v>
      </c>
      <c r="J305" s="15">
        <v>20</v>
      </c>
      <c r="K305" s="15">
        <v>20</v>
      </c>
      <c r="L305" s="15">
        <v>20</v>
      </c>
      <c r="M305" s="15">
        <v>10</v>
      </c>
      <c r="N305" s="15">
        <v>30</v>
      </c>
      <c r="O305" s="15">
        <v>20</v>
      </c>
      <c r="P305" s="15">
        <v>10</v>
      </c>
      <c r="Q305" s="15">
        <v>20</v>
      </c>
      <c r="R305" s="15">
        <v>20</v>
      </c>
      <c r="S305" s="15">
        <v>10</v>
      </c>
      <c r="T305" s="15">
        <v>10</v>
      </c>
      <c r="U305" s="15">
        <v>10</v>
      </c>
      <c r="V305" s="15">
        <v>20</v>
      </c>
      <c r="W305" s="15">
        <v>20</v>
      </c>
      <c r="X305" s="15">
        <v>20</v>
      </c>
      <c r="Y305" s="15">
        <v>20</v>
      </c>
      <c r="Z305" s="4">
        <v>430</v>
      </c>
      <c r="AA305" s="26">
        <v>24</v>
      </c>
      <c r="AB305" s="7">
        <v>0.39400000000000002</v>
      </c>
    </row>
    <row r="306" spans="1:28" x14ac:dyDescent="0.35">
      <c r="A306" s="1">
        <v>4003860</v>
      </c>
      <c r="B306" s="15">
        <v>10</v>
      </c>
      <c r="C306" s="15">
        <v>10</v>
      </c>
      <c r="D306" s="15">
        <v>30</v>
      </c>
      <c r="E306" s="15">
        <v>20</v>
      </c>
      <c r="F306" s="15">
        <v>0</v>
      </c>
      <c r="G306" s="15">
        <v>0</v>
      </c>
      <c r="H306" s="15">
        <v>10</v>
      </c>
      <c r="I306" s="15">
        <v>10</v>
      </c>
      <c r="J306" s="15">
        <v>10</v>
      </c>
      <c r="K306" s="15">
        <v>30</v>
      </c>
      <c r="L306" s="15">
        <v>20</v>
      </c>
      <c r="M306" s="15">
        <v>10</v>
      </c>
      <c r="N306" s="15">
        <v>20</v>
      </c>
      <c r="O306" s="15">
        <v>10</v>
      </c>
      <c r="P306" s="15">
        <v>10</v>
      </c>
      <c r="Q306" s="15">
        <v>20</v>
      </c>
      <c r="R306" s="15">
        <v>30</v>
      </c>
      <c r="S306" s="15">
        <v>10</v>
      </c>
      <c r="T306" s="15">
        <v>0</v>
      </c>
      <c r="U306" s="15">
        <v>20</v>
      </c>
      <c r="V306" s="15">
        <v>20</v>
      </c>
      <c r="W306" s="15">
        <v>20</v>
      </c>
      <c r="X306" s="15">
        <v>30</v>
      </c>
      <c r="Y306" s="15">
        <v>10</v>
      </c>
      <c r="Z306" s="4">
        <v>360</v>
      </c>
      <c r="AA306" s="26">
        <v>21</v>
      </c>
      <c r="AB306" s="7">
        <v>0.60860000000000003</v>
      </c>
    </row>
    <row r="307" spans="1:28" x14ac:dyDescent="0.35">
      <c r="A307" s="1">
        <v>4003864</v>
      </c>
      <c r="B307" s="15">
        <v>200</v>
      </c>
      <c r="C307" s="15">
        <v>0</v>
      </c>
      <c r="D307" s="15">
        <v>400</v>
      </c>
      <c r="E307" s="15">
        <v>0</v>
      </c>
      <c r="F307" s="15">
        <v>400</v>
      </c>
      <c r="G307" s="15">
        <v>400</v>
      </c>
      <c r="H307" s="15">
        <v>200</v>
      </c>
      <c r="I307" s="15">
        <v>400</v>
      </c>
      <c r="J307" s="15">
        <v>400</v>
      </c>
      <c r="K307" s="15">
        <v>0</v>
      </c>
      <c r="L307" s="15">
        <v>200</v>
      </c>
      <c r="M307" s="15">
        <v>400</v>
      </c>
      <c r="N307" s="15">
        <v>200</v>
      </c>
      <c r="O307" s="15">
        <v>400</v>
      </c>
      <c r="P307" s="15">
        <v>400</v>
      </c>
      <c r="Q307" s="15">
        <v>400</v>
      </c>
      <c r="R307" s="15">
        <v>0</v>
      </c>
      <c r="S307" s="15">
        <v>800</v>
      </c>
      <c r="T307" s="15">
        <v>0</v>
      </c>
      <c r="U307" s="15">
        <v>0</v>
      </c>
      <c r="V307" s="15">
        <v>200</v>
      </c>
      <c r="W307" s="15">
        <v>200</v>
      </c>
      <c r="X307" s="15">
        <v>9800</v>
      </c>
      <c r="Y307" s="15">
        <v>11200</v>
      </c>
      <c r="Z307" s="4">
        <v>26600</v>
      </c>
      <c r="AA307" s="26">
        <v>18</v>
      </c>
      <c r="AB307" s="7">
        <v>2.5672999999999999</v>
      </c>
    </row>
    <row r="308" spans="1:28" x14ac:dyDescent="0.35">
      <c r="A308" s="1">
        <v>4003887</v>
      </c>
      <c r="B308" s="15">
        <v>45000</v>
      </c>
      <c r="C308" s="15">
        <v>47500</v>
      </c>
      <c r="D308" s="15">
        <v>48000</v>
      </c>
      <c r="E308" s="15">
        <v>16000</v>
      </c>
      <c r="F308" s="15">
        <v>42000</v>
      </c>
      <c r="G308" s="15">
        <v>41000</v>
      </c>
      <c r="H308" s="15">
        <v>32000</v>
      </c>
      <c r="I308" s="15">
        <v>44000</v>
      </c>
      <c r="J308" s="15">
        <v>48000</v>
      </c>
      <c r="K308" s="15">
        <v>44000</v>
      </c>
      <c r="L308" s="15">
        <v>44000</v>
      </c>
      <c r="M308" s="15">
        <v>38000</v>
      </c>
      <c r="N308" s="15">
        <v>31500</v>
      </c>
      <c r="O308" s="15">
        <v>58000</v>
      </c>
      <c r="P308" s="15">
        <v>33000</v>
      </c>
      <c r="Q308" s="15">
        <v>39000</v>
      </c>
      <c r="R308" s="15">
        <v>36500</v>
      </c>
      <c r="S308" s="15">
        <v>49000</v>
      </c>
      <c r="T308" s="15">
        <v>28000</v>
      </c>
      <c r="U308" s="15">
        <v>28000</v>
      </c>
      <c r="V308" s="15">
        <v>42000</v>
      </c>
      <c r="W308" s="15">
        <v>42000</v>
      </c>
      <c r="X308" s="15">
        <v>45000</v>
      </c>
      <c r="Y308" s="15">
        <v>38500</v>
      </c>
      <c r="Z308" s="4">
        <v>960000</v>
      </c>
      <c r="AA308" s="26">
        <v>24</v>
      </c>
      <c r="AB308" s="7">
        <v>0.21460000000000001</v>
      </c>
    </row>
    <row r="309" spans="1:28" x14ac:dyDescent="0.35">
      <c r="A309" s="1">
        <v>4003906</v>
      </c>
      <c r="B309" s="15">
        <v>400</v>
      </c>
      <c r="C309" s="15">
        <v>200</v>
      </c>
      <c r="D309" s="15">
        <v>300</v>
      </c>
      <c r="E309" s="15">
        <v>425</v>
      </c>
      <c r="F309" s="15">
        <v>500</v>
      </c>
      <c r="G309" s="15">
        <v>250</v>
      </c>
      <c r="H309" s="15">
        <v>100</v>
      </c>
      <c r="I309" s="15">
        <v>500</v>
      </c>
      <c r="J309" s="15">
        <v>400</v>
      </c>
      <c r="K309" s="15">
        <v>300</v>
      </c>
      <c r="L309" s="15">
        <v>300</v>
      </c>
      <c r="M309" s="15">
        <v>300</v>
      </c>
      <c r="N309" s="15">
        <v>300</v>
      </c>
      <c r="O309" s="15">
        <v>300</v>
      </c>
      <c r="P309" s="15">
        <v>300</v>
      </c>
      <c r="Q309" s="15">
        <v>300</v>
      </c>
      <c r="R309" s="15">
        <v>300</v>
      </c>
      <c r="S309" s="15">
        <v>225</v>
      </c>
      <c r="T309" s="15">
        <v>300</v>
      </c>
      <c r="U309" s="15">
        <v>330</v>
      </c>
      <c r="V309" s="15">
        <v>400</v>
      </c>
      <c r="W309" s="15">
        <v>200</v>
      </c>
      <c r="X309" s="15">
        <v>400</v>
      </c>
      <c r="Y309" s="15">
        <v>200</v>
      </c>
      <c r="Z309" s="4">
        <v>7530</v>
      </c>
      <c r="AA309" s="26">
        <v>24</v>
      </c>
      <c r="AB309" s="7">
        <v>0.29820000000000002</v>
      </c>
    </row>
    <row r="310" spans="1:28" x14ac:dyDescent="0.35">
      <c r="A310" s="1">
        <v>4003911</v>
      </c>
      <c r="B310" s="15">
        <v>75</v>
      </c>
      <c r="C310" s="15">
        <v>200</v>
      </c>
      <c r="D310" s="15">
        <v>100</v>
      </c>
      <c r="E310" s="15">
        <v>150</v>
      </c>
      <c r="F310" s="15">
        <v>175</v>
      </c>
      <c r="G310" s="15">
        <v>25</v>
      </c>
      <c r="H310" s="15">
        <v>525</v>
      </c>
      <c r="I310" s="15">
        <v>150</v>
      </c>
      <c r="J310" s="15">
        <v>200</v>
      </c>
      <c r="K310" s="15">
        <v>50</v>
      </c>
      <c r="L310" s="15">
        <v>150</v>
      </c>
      <c r="M310" s="15">
        <v>25</v>
      </c>
      <c r="N310" s="15">
        <v>125</v>
      </c>
      <c r="O310" s="15">
        <v>250</v>
      </c>
      <c r="P310" s="15">
        <v>25</v>
      </c>
      <c r="Q310" s="15">
        <v>125</v>
      </c>
      <c r="R310" s="15">
        <v>100</v>
      </c>
      <c r="S310" s="15">
        <v>175</v>
      </c>
      <c r="T310" s="15">
        <v>350</v>
      </c>
      <c r="U310" s="15">
        <v>225</v>
      </c>
      <c r="V310" s="15">
        <v>125</v>
      </c>
      <c r="W310" s="15">
        <v>225</v>
      </c>
      <c r="X310" s="15">
        <v>50</v>
      </c>
      <c r="Y310" s="15">
        <v>225</v>
      </c>
      <c r="Z310" s="4">
        <v>3825</v>
      </c>
      <c r="AA310" s="26">
        <v>24</v>
      </c>
      <c r="AB310" s="7">
        <v>0.69089999999999996</v>
      </c>
    </row>
    <row r="311" spans="1:28" x14ac:dyDescent="0.35">
      <c r="A311" s="1">
        <v>4003915</v>
      </c>
      <c r="B311" s="15">
        <v>190</v>
      </c>
      <c r="C311" s="15">
        <v>210</v>
      </c>
      <c r="D311" s="15">
        <v>170</v>
      </c>
      <c r="E311" s="15">
        <v>170</v>
      </c>
      <c r="F311" s="15">
        <v>315</v>
      </c>
      <c r="G311" s="15">
        <v>175</v>
      </c>
      <c r="H311" s="15">
        <v>70</v>
      </c>
      <c r="I311" s="15">
        <v>210</v>
      </c>
      <c r="J311" s="15">
        <v>210</v>
      </c>
      <c r="K311" s="15">
        <v>245</v>
      </c>
      <c r="L311" s="15">
        <v>140</v>
      </c>
      <c r="M311" s="15">
        <v>210</v>
      </c>
      <c r="N311" s="15">
        <v>175</v>
      </c>
      <c r="O311" s="15">
        <v>205</v>
      </c>
      <c r="P311" s="15">
        <v>210</v>
      </c>
      <c r="Q311" s="15">
        <v>210</v>
      </c>
      <c r="R311" s="15">
        <v>210</v>
      </c>
      <c r="S311" s="15">
        <v>175</v>
      </c>
      <c r="T311" s="15">
        <v>140</v>
      </c>
      <c r="U311" s="15">
        <v>225</v>
      </c>
      <c r="V311" s="15">
        <v>250</v>
      </c>
      <c r="W311" s="15">
        <v>200</v>
      </c>
      <c r="X311" s="15">
        <v>275</v>
      </c>
      <c r="Y311" s="15">
        <v>175</v>
      </c>
      <c r="Z311" s="4">
        <v>4765</v>
      </c>
      <c r="AA311" s="26">
        <v>24</v>
      </c>
      <c r="AB311" s="7">
        <v>0.23710000000000001</v>
      </c>
    </row>
    <row r="312" spans="1:28" x14ac:dyDescent="0.35">
      <c r="A312" s="1">
        <v>4003916</v>
      </c>
      <c r="B312" s="15">
        <v>70</v>
      </c>
      <c r="C312" s="15">
        <v>30</v>
      </c>
      <c r="D312" s="15">
        <v>90</v>
      </c>
      <c r="E312" s="15">
        <v>20</v>
      </c>
      <c r="F312" s="15">
        <v>50</v>
      </c>
      <c r="G312" s="15">
        <v>60</v>
      </c>
      <c r="H312" s="15">
        <v>60</v>
      </c>
      <c r="I312" s="15">
        <v>70</v>
      </c>
      <c r="J312" s="15">
        <v>270</v>
      </c>
      <c r="K312" s="15">
        <v>80</v>
      </c>
      <c r="L312" s="15">
        <v>60</v>
      </c>
      <c r="M312" s="15">
        <v>40</v>
      </c>
      <c r="N312" s="15">
        <v>380</v>
      </c>
      <c r="O312" s="15">
        <v>70</v>
      </c>
      <c r="P312" s="15">
        <v>40</v>
      </c>
      <c r="Q312" s="15">
        <v>20</v>
      </c>
      <c r="R312" s="15">
        <v>180</v>
      </c>
      <c r="S312" s="15">
        <v>50</v>
      </c>
      <c r="T312" s="15">
        <v>40</v>
      </c>
      <c r="U312" s="15">
        <v>90</v>
      </c>
      <c r="V312" s="15">
        <v>130</v>
      </c>
      <c r="W312" s="15">
        <v>30</v>
      </c>
      <c r="X312" s="15">
        <v>30</v>
      </c>
      <c r="Y312" s="15">
        <v>120</v>
      </c>
      <c r="Z312" s="4">
        <v>2080</v>
      </c>
      <c r="AA312" s="26">
        <v>24</v>
      </c>
      <c r="AB312" s="7">
        <v>0.94840000000000002</v>
      </c>
    </row>
    <row r="313" spans="1:28" x14ac:dyDescent="0.35">
      <c r="A313" s="1">
        <v>4004015</v>
      </c>
      <c r="B313" s="15">
        <v>5200</v>
      </c>
      <c r="C313" s="15">
        <v>6100</v>
      </c>
      <c r="D313" s="15">
        <v>5200</v>
      </c>
      <c r="E313" s="15">
        <v>4500</v>
      </c>
      <c r="F313" s="15">
        <v>4700</v>
      </c>
      <c r="G313" s="15">
        <v>4400</v>
      </c>
      <c r="H313" s="15">
        <v>4850</v>
      </c>
      <c r="I313" s="15">
        <v>4600</v>
      </c>
      <c r="J313" s="15">
        <v>3400</v>
      </c>
      <c r="K313" s="15">
        <v>6100</v>
      </c>
      <c r="L313" s="15">
        <v>4600</v>
      </c>
      <c r="M313" s="15">
        <v>4100</v>
      </c>
      <c r="N313" s="15">
        <v>5000</v>
      </c>
      <c r="O313" s="15">
        <v>5600</v>
      </c>
      <c r="P313" s="15">
        <v>5300</v>
      </c>
      <c r="Q313" s="15">
        <v>5800</v>
      </c>
      <c r="R313" s="15">
        <v>4900</v>
      </c>
      <c r="S313" s="15">
        <v>5000</v>
      </c>
      <c r="T313" s="15">
        <v>5400</v>
      </c>
      <c r="U313" s="15">
        <v>4100</v>
      </c>
      <c r="V313" s="15">
        <v>5400</v>
      </c>
      <c r="W313" s="15">
        <v>7100</v>
      </c>
      <c r="X313" s="15">
        <v>4500</v>
      </c>
      <c r="Y313" s="15">
        <v>5800</v>
      </c>
      <c r="Z313" s="4">
        <v>121650</v>
      </c>
      <c r="AA313" s="26">
        <v>24</v>
      </c>
      <c r="AB313" s="7">
        <v>0.15240000000000001</v>
      </c>
    </row>
    <row r="314" spans="1:28" x14ac:dyDescent="0.35">
      <c r="A314" s="1">
        <v>4004037</v>
      </c>
      <c r="B314" s="15">
        <v>750</v>
      </c>
      <c r="C314" s="15">
        <v>900</v>
      </c>
      <c r="D314" s="15">
        <v>910</v>
      </c>
      <c r="E314" s="15">
        <v>1030</v>
      </c>
      <c r="F314" s="15">
        <v>1180</v>
      </c>
      <c r="G314" s="15">
        <v>900</v>
      </c>
      <c r="H314" s="15">
        <v>950</v>
      </c>
      <c r="I314" s="15">
        <v>850</v>
      </c>
      <c r="J314" s="15">
        <v>1170</v>
      </c>
      <c r="K314" s="15">
        <v>840</v>
      </c>
      <c r="L314" s="15">
        <v>900</v>
      </c>
      <c r="M314" s="15">
        <v>760</v>
      </c>
      <c r="N314" s="15">
        <v>990</v>
      </c>
      <c r="O314" s="15">
        <v>1270</v>
      </c>
      <c r="P314" s="15">
        <v>1130</v>
      </c>
      <c r="Q314" s="15">
        <v>780</v>
      </c>
      <c r="R314" s="15">
        <v>930</v>
      </c>
      <c r="S314" s="15">
        <v>770</v>
      </c>
      <c r="T314" s="15">
        <v>1010</v>
      </c>
      <c r="U314" s="15">
        <v>960</v>
      </c>
      <c r="V314" s="15">
        <v>970</v>
      </c>
      <c r="W314" s="15">
        <v>1000</v>
      </c>
      <c r="X314" s="15">
        <v>840</v>
      </c>
      <c r="Y314" s="15">
        <v>770</v>
      </c>
      <c r="Z314" s="4">
        <v>22560</v>
      </c>
      <c r="AA314" s="26">
        <v>24</v>
      </c>
      <c r="AB314" s="7">
        <v>0.14760000000000001</v>
      </c>
    </row>
    <row r="315" spans="1:28" x14ac:dyDescent="0.35">
      <c r="A315" s="1">
        <v>4004039</v>
      </c>
      <c r="B315" s="15">
        <v>2500</v>
      </c>
      <c r="C315" s="15">
        <v>2500</v>
      </c>
      <c r="D315" s="15">
        <v>1000</v>
      </c>
      <c r="E315" s="15">
        <v>2000</v>
      </c>
      <c r="F315" s="15">
        <v>2100</v>
      </c>
      <c r="G315" s="15">
        <v>1200</v>
      </c>
      <c r="H315" s="15">
        <v>1500</v>
      </c>
      <c r="I315" s="15">
        <v>900</v>
      </c>
      <c r="J315" s="15">
        <v>2400</v>
      </c>
      <c r="K315" s="15">
        <v>900</v>
      </c>
      <c r="L315" s="15">
        <v>1500</v>
      </c>
      <c r="M315" s="15">
        <v>2400</v>
      </c>
      <c r="N315" s="15">
        <v>600</v>
      </c>
      <c r="O315" s="15">
        <v>2400</v>
      </c>
      <c r="P315" s="15">
        <v>1500</v>
      </c>
      <c r="Q315" s="15">
        <v>1800</v>
      </c>
      <c r="R315" s="15">
        <v>2100</v>
      </c>
      <c r="S315" s="15">
        <v>2100</v>
      </c>
      <c r="T315" s="15">
        <v>600</v>
      </c>
      <c r="U315" s="15">
        <v>900</v>
      </c>
      <c r="V315" s="15">
        <v>2100</v>
      </c>
      <c r="W315" s="15">
        <v>2400</v>
      </c>
      <c r="X315" s="15">
        <v>1500</v>
      </c>
      <c r="Y315" s="15">
        <v>2400</v>
      </c>
      <c r="Z315" s="4">
        <v>41300</v>
      </c>
      <c r="AA315" s="26">
        <v>24</v>
      </c>
      <c r="AB315" s="7">
        <v>0.36940000000000001</v>
      </c>
    </row>
    <row r="316" spans="1:28" x14ac:dyDescent="0.35">
      <c r="A316" s="1">
        <v>4004041</v>
      </c>
      <c r="B316" s="15">
        <v>720</v>
      </c>
      <c r="C316" s="15">
        <v>965</v>
      </c>
      <c r="D316" s="15">
        <v>690</v>
      </c>
      <c r="E316" s="15">
        <v>950</v>
      </c>
      <c r="F316" s="15">
        <v>760</v>
      </c>
      <c r="G316" s="15">
        <v>730</v>
      </c>
      <c r="H316" s="15">
        <v>360</v>
      </c>
      <c r="I316" s="15">
        <v>892</v>
      </c>
      <c r="J316" s="15">
        <v>755</v>
      </c>
      <c r="K316" s="15">
        <v>580</v>
      </c>
      <c r="L316" s="15">
        <v>870</v>
      </c>
      <c r="M316" s="15">
        <v>690</v>
      </c>
      <c r="N316" s="15">
        <v>910</v>
      </c>
      <c r="O316" s="15">
        <v>760</v>
      </c>
      <c r="P316" s="15">
        <v>870</v>
      </c>
      <c r="Q316" s="15">
        <v>891</v>
      </c>
      <c r="R316" s="15">
        <v>962</v>
      </c>
      <c r="S316" s="15">
        <v>1060</v>
      </c>
      <c r="T316" s="15">
        <v>430</v>
      </c>
      <c r="U316" s="15">
        <v>745</v>
      </c>
      <c r="V316" s="15">
        <v>940</v>
      </c>
      <c r="W316" s="15">
        <v>702</v>
      </c>
      <c r="X316" s="15">
        <v>940</v>
      </c>
      <c r="Y316" s="15">
        <v>910</v>
      </c>
      <c r="Z316" s="4">
        <v>19082</v>
      </c>
      <c r="AA316" s="26">
        <v>24</v>
      </c>
      <c r="AB316" s="7">
        <v>0.2094</v>
      </c>
    </row>
    <row r="317" spans="1:28" x14ac:dyDescent="0.35">
      <c r="A317" s="1">
        <v>4004049</v>
      </c>
      <c r="B317" s="15">
        <v>600</v>
      </c>
      <c r="C317" s="15">
        <v>750</v>
      </c>
      <c r="D317" s="15">
        <v>650</v>
      </c>
      <c r="E317" s="15">
        <v>600</v>
      </c>
      <c r="F317" s="15">
        <v>350</v>
      </c>
      <c r="G317" s="15">
        <v>100</v>
      </c>
      <c r="H317" s="15">
        <v>450</v>
      </c>
      <c r="I317" s="15">
        <v>1050</v>
      </c>
      <c r="J317" s="15">
        <v>700</v>
      </c>
      <c r="K317" s="15">
        <v>1050</v>
      </c>
      <c r="L317" s="15">
        <v>300</v>
      </c>
      <c r="M317" s="15">
        <v>700</v>
      </c>
      <c r="N317" s="15">
        <v>0</v>
      </c>
      <c r="O317" s="15">
        <v>700</v>
      </c>
      <c r="P317" s="15">
        <v>850</v>
      </c>
      <c r="Q317" s="15">
        <v>400</v>
      </c>
      <c r="R317" s="15">
        <v>550</v>
      </c>
      <c r="S317" s="15">
        <v>750</v>
      </c>
      <c r="T317" s="15">
        <v>650</v>
      </c>
      <c r="U317" s="15">
        <v>500</v>
      </c>
      <c r="V317" s="15">
        <v>450</v>
      </c>
      <c r="W317" s="15">
        <v>400</v>
      </c>
      <c r="X317" s="15">
        <v>200</v>
      </c>
      <c r="Y317" s="15">
        <v>1300</v>
      </c>
      <c r="Z317" s="4">
        <v>14050</v>
      </c>
      <c r="AA317" s="26">
        <v>23</v>
      </c>
      <c r="AB317" s="7">
        <v>0.50439999999999996</v>
      </c>
    </row>
    <row r="318" spans="1:28" x14ac:dyDescent="0.35">
      <c r="A318" s="1">
        <v>4004054</v>
      </c>
      <c r="B318" s="15">
        <v>22</v>
      </c>
      <c r="C318" s="15">
        <v>44</v>
      </c>
      <c r="D318" s="15">
        <v>0</v>
      </c>
      <c r="E318" s="15">
        <v>44</v>
      </c>
      <c r="F318" s="15">
        <v>132</v>
      </c>
      <c r="G318" s="15">
        <v>157</v>
      </c>
      <c r="H318" s="15">
        <v>22</v>
      </c>
      <c r="I318" s="15">
        <v>0</v>
      </c>
      <c r="J318" s="15">
        <v>22</v>
      </c>
      <c r="K318" s="15">
        <v>44</v>
      </c>
      <c r="L318" s="15">
        <v>22</v>
      </c>
      <c r="M318" s="15">
        <v>44</v>
      </c>
      <c r="N318" s="15">
        <v>22</v>
      </c>
      <c r="O318" s="15">
        <v>88</v>
      </c>
      <c r="P318" s="15">
        <v>44</v>
      </c>
      <c r="Q318" s="15">
        <v>22</v>
      </c>
      <c r="R318" s="15">
        <v>44</v>
      </c>
      <c r="S318" s="15">
        <v>22</v>
      </c>
      <c r="T318" s="15">
        <v>0</v>
      </c>
      <c r="U318" s="15">
        <v>22</v>
      </c>
      <c r="V318" s="15">
        <v>44</v>
      </c>
      <c r="W318" s="15">
        <v>91</v>
      </c>
      <c r="X318" s="15">
        <v>44</v>
      </c>
      <c r="Y318" s="15">
        <v>22</v>
      </c>
      <c r="Z318" s="4">
        <v>1018</v>
      </c>
      <c r="AA318" s="26">
        <v>21</v>
      </c>
      <c r="AB318" s="7">
        <v>0.8972</v>
      </c>
    </row>
    <row r="319" spans="1:28" x14ac:dyDescent="0.35">
      <c r="A319" s="1">
        <v>4004070</v>
      </c>
      <c r="B319" s="15">
        <v>45</v>
      </c>
      <c r="C319" s="15">
        <v>23</v>
      </c>
      <c r="D319" s="15">
        <v>12</v>
      </c>
      <c r="E319" s="15">
        <v>40</v>
      </c>
      <c r="F319" s="15">
        <v>29</v>
      </c>
      <c r="G319" s="15">
        <v>37</v>
      </c>
      <c r="H319" s="15">
        <v>11</v>
      </c>
      <c r="I319" s="15">
        <v>40</v>
      </c>
      <c r="J319" s="15">
        <v>40</v>
      </c>
      <c r="K319" s="15">
        <v>25</v>
      </c>
      <c r="L319" s="15">
        <v>20</v>
      </c>
      <c r="M319" s="15">
        <v>60</v>
      </c>
      <c r="N319" s="15">
        <v>39</v>
      </c>
      <c r="O319" s="15">
        <v>25</v>
      </c>
      <c r="P319" s="15">
        <v>35</v>
      </c>
      <c r="Q319" s="15">
        <v>20</v>
      </c>
      <c r="R319" s="15">
        <v>20</v>
      </c>
      <c r="S319" s="15">
        <v>15</v>
      </c>
      <c r="T319" s="15">
        <v>5</v>
      </c>
      <c r="U319" s="15">
        <v>54</v>
      </c>
      <c r="V319" s="15">
        <v>37</v>
      </c>
      <c r="W319" s="15">
        <v>23</v>
      </c>
      <c r="X319" s="15">
        <v>20</v>
      </c>
      <c r="Y319" s="15">
        <v>7</v>
      </c>
      <c r="Z319" s="4">
        <v>682</v>
      </c>
      <c r="AA319" s="26">
        <v>24</v>
      </c>
      <c r="AB319" s="7">
        <v>0.4955</v>
      </c>
    </row>
    <row r="320" spans="1:28" x14ac:dyDescent="0.35">
      <c r="A320" s="1">
        <v>4004071</v>
      </c>
      <c r="B320" s="15">
        <v>77</v>
      </c>
      <c r="C320" s="15">
        <v>36</v>
      </c>
      <c r="D320" s="15">
        <v>82</v>
      </c>
      <c r="E320" s="15">
        <v>82</v>
      </c>
      <c r="F320" s="15">
        <v>47</v>
      </c>
      <c r="G320" s="15">
        <v>82</v>
      </c>
      <c r="H320" s="15">
        <v>51</v>
      </c>
      <c r="I320" s="15">
        <v>52</v>
      </c>
      <c r="J320" s="15">
        <v>78</v>
      </c>
      <c r="K320" s="15">
        <v>49</v>
      </c>
      <c r="L320" s="15">
        <v>75</v>
      </c>
      <c r="M320" s="15">
        <v>69</v>
      </c>
      <c r="N320" s="15">
        <v>57</v>
      </c>
      <c r="O320" s="15">
        <v>78</v>
      </c>
      <c r="P320" s="15">
        <v>62</v>
      </c>
      <c r="Q320" s="15">
        <v>61</v>
      </c>
      <c r="R320" s="15">
        <v>114</v>
      </c>
      <c r="S320" s="15">
        <v>53</v>
      </c>
      <c r="T320" s="15">
        <v>62</v>
      </c>
      <c r="U320" s="15">
        <v>65</v>
      </c>
      <c r="V320" s="15">
        <v>79</v>
      </c>
      <c r="W320" s="15">
        <v>83</v>
      </c>
      <c r="X320" s="15">
        <v>66</v>
      </c>
      <c r="Y320" s="15">
        <v>66</v>
      </c>
      <c r="Z320" s="4">
        <v>1626</v>
      </c>
      <c r="AA320" s="26">
        <v>24</v>
      </c>
      <c r="AB320" s="7">
        <v>0.2379</v>
      </c>
    </row>
    <row r="321" spans="1:28" x14ac:dyDescent="0.35">
      <c r="A321" s="1">
        <v>4004074</v>
      </c>
      <c r="B321" s="15">
        <v>20</v>
      </c>
      <c r="C321" s="15">
        <v>0</v>
      </c>
      <c r="D321" s="15">
        <v>10</v>
      </c>
      <c r="E321" s="15">
        <v>70</v>
      </c>
      <c r="F321" s="15">
        <v>10</v>
      </c>
      <c r="G321" s="15">
        <v>10</v>
      </c>
      <c r="H321" s="15">
        <v>40</v>
      </c>
      <c r="I321" s="15">
        <v>20</v>
      </c>
      <c r="J321" s="15">
        <v>0</v>
      </c>
      <c r="K321" s="15">
        <v>20</v>
      </c>
      <c r="L321" s="15">
        <v>20</v>
      </c>
      <c r="M321" s="15">
        <v>0</v>
      </c>
      <c r="N321" s="15">
        <v>10</v>
      </c>
      <c r="O321" s="15">
        <v>20</v>
      </c>
      <c r="P321" s="15">
        <v>0</v>
      </c>
      <c r="Q321" s="15">
        <v>90</v>
      </c>
      <c r="R321" s="15">
        <v>20</v>
      </c>
      <c r="S321" s="15">
        <v>40</v>
      </c>
      <c r="T321" s="15">
        <v>0</v>
      </c>
      <c r="U321" s="15">
        <v>0</v>
      </c>
      <c r="V321" s="15">
        <v>20</v>
      </c>
      <c r="W321" s="15">
        <v>40</v>
      </c>
      <c r="X321" s="15">
        <v>20</v>
      </c>
      <c r="Y321" s="15">
        <v>40</v>
      </c>
      <c r="Z321" s="4">
        <v>520</v>
      </c>
      <c r="AA321" s="26">
        <v>18</v>
      </c>
      <c r="AB321" s="7">
        <v>1.0205</v>
      </c>
    </row>
    <row r="322" spans="1:28" x14ac:dyDescent="0.35">
      <c r="A322" s="1">
        <v>4004098</v>
      </c>
      <c r="B322" s="15">
        <v>25</v>
      </c>
      <c r="C322" s="15">
        <v>20</v>
      </c>
      <c r="D322" s="15">
        <v>55</v>
      </c>
      <c r="E322" s="15">
        <v>30</v>
      </c>
      <c r="F322" s="15">
        <v>15</v>
      </c>
      <c r="G322" s="15">
        <v>0</v>
      </c>
      <c r="H322" s="15">
        <v>15</v>
      </c>
      <c r="I322" s="15">
        <v>0</v>
      </c>
      <c r="J322" s="15">
        <v>10</v>
      </c>
      <c r="K322" s="15">
        <v>5</v>
      </c>
      <c r="L322" s="15">
        <v>15</v>
      </c>
      <c r="M322" s="15">
        <v>5</v>
      </c>
      <c r="N322" s="15">
        <v>10</v>
      </c>
      <c r="O322" s="15">
        <v>15</v>
      </c>
      <c r="P322" s="15">
        <v>25</v>
      </c>
      <c r="Q322" s="15">
        <v>10</v>
      </c>
      <c r="R322" s="15">
        <v>15</v>
      </c>
      <c r="S322" s="15">
        <v>5</v>
      </c>
      <c r="T322" s="15">
        <v>20</v>
      </c>
      <c r="U322" s="15">
        <v>5</v>
      </c>
      <c r="V322" s="15">
        <v>20</v>
      </c>
      <c r="W322" s="15">
        <v>15</v>
      </c>
      <c r="X322" s="15">
        <v>0</v>
      </c>
      <c r="Y322" s="15">
        <v>10</v>
      </c>
      <c r="Z322" s="4">
        <v>345</v>
      </c>
      <c r="AA322" s="26">
        <v>21</v>
      </c>
      <c r="AB322" s="7">
        <v>0.8115</v>
      </c>
    </row>
    <row r="323" spans="1:28" x14ac:dyDescent="0.35">
      <c r="A323" s="1">
        <v>4004110</v>
      </c>
      <c r="B323" s="15">
        <v>2250</v>
      </c>
      <c r="C323" s="15">
        <v>2330</v>
      </c>
      <c r="D323" s="15">
        <v>1910</v>
      </c>
      <c r="E323" s="15">
        <v>1560</v>
      </c>
      <c r="F323" s="15">
        <v>1500</v>
      </c>
      <c r="G323" s="15">
        <v>1750</v>
      </c>
      <c r="H323" s="15">
        <v>1235</v>
      </c>
      <c r="I323" s="15">
        <v>1450</v>
      </c>
      <c r="J323" s="15">
        <v>1860</v>
      </c>
      <c r="K323" s="15">
        <v>1650</v>
      </c>
      <c r="L323" s="15">
        <v>1850</v>
      </c>
      <c r="M323" s="15">
        <v>2150</v>
      </c>
      <c r="N323" s="15">
        <v>1430</v>
      </c>
      <c r="O323" s="15">
        <v>2370</v>
      </c>
      <c r="P323" s="15">
        <v>1748</v>
      </c>
      <c r="Q323" s="15">
        <v>2090</v>
      </c>
      <c r="R323" s="15">
        <v>1620</v>
      </c>
      <c r="S323" s="15">
        <v>2279</v>
      </c>
      <c r="T323" s="15">
        <v>2160</v>
      </c>
      <c r="U323" s="15">
        <v>1980</v>
      </c>
      <c r="V323" s="15">
        <v>2133</v>
      </c>
      <c r="W323" s="15">
        <v>1830</v>
      </c>
      <c r="X323" s="15">
        <v>1420</v>
      </c>
      <c r="Y323" s="15">
        <v>1730</v>
      </c>
      <c r="Z323" s="4">
        <v>44285</v>
      </c>
      <c r="AA323" s="26">
        <v>24</v>
      </c>
      <c r="AB323" s="7">
        <v>0.17219999999999999</v>
      </c>
    </row>
    <row r="324" spans="1:28" x14ac:dyDescent="0.35">
      <c r="A324" s="1">
        <v>4004114</v>
      </c>
      <c r="B324" s="15">
        <v>50</v>
      </c>
      <c r="C324" s="15">
        <v>71</v>
      </c>
      <c r="D324" s="15">
        <v>90</v>
      </c>
      <c r="E324" s="15">
        <v>110</v>
      </c>
      <c r="F324" s="15">
        <v>70</v>
      </c>
      <c r="G324" s="15">
        <v>30</v>
      </c>
      <c r="H324" s="15">
        <v>105</v>
      </c>
      <c r="I324" s="15">
        <v>30</v>
      </c>
      <c r="J324" s="15">
        <v>90</v>
      </c>
      <c r="K324" s="15">
        <v>80</v>
      </c>
      <c r="L324" s="15">
        <v>30</v>
      </c>
      <c r="M324" s="15">
        <v>40</v>
      </c>
      <c r="N324" s="15">
        <v>110</v>
      </c>
      <c r="O324" s="15">
        <v>80</v>
      </c>
      <c r="P324" s="15">
        <v>140</v>
      </c>
      <c r="Q324" s="15">
        <v>200</v>
      </c>
      <c r="R324" s="15">
        <v>50</v>
      </c>
      <c r="S324" s="15">
        <v>50</v>
      </c>
      <c r="T324" s="15">
        <v>30</v>
      </c>
      <c r="U324" s="15">
        <v>20</v>
      </c>
      <c r="V324" s="15">
        <v>95</v>
      </c>
      <c r="W324" s="15">
        <v>50</v>
      </c>
      <c r="X324" s="15">
        <v>30</v>
      </c>
      <c r="Y324" s="15">
        <v>100</v>
      </c>
      <c r="Z324" s="4">
        <v>1751</v>
      </c>
      <c r="AA324" s="26">
        <v>24</v>
      </c>
      <c r="AB324" s="7">
        <v>0.57020000000000004</v>
      </c>
    </row>
    <row r="325" spans="1:28" x14ac:dyDescent="0.35">
      <c r="A325" s="1">
        <v>4004121</v>
      </c>
      <c r="B325" s="15">
        <v>70</v>
      </c>
      <c r="C325" s="15">
        <v>120</v>
      </c>
      <c r="D325" s="15">
        <v>60</v>
      </c>
      <c r="E325" s="15">
        <v>70</v>
      </c>
      <c r="F325" s="15">
        <v>60</v>
      </c>
      <c r="G325" s="15">
        <v>30</v>
      </c>
      <c r="H325" s="15">
        <v>50</v>
      </c>
      <c r="I325" s="15">
        <v>40</v>
      </c>
      <c r="J325" s="15">
        <v>30</v>
      </c>
      <c r="K325" s="15">
        <v>70</v>
      </c>
      <c r="L325" s="15">
        <v>50</v>
      </c>
      <c r="M325" s="15">
        <v>60</v>
      </c>
      <c r="N325" s="15">
        <v>60</v>
      </c>
      <c r="O325" s="15">
        <v>40</v>
      </c>
      <c r="P325" s="15">
        <v>50</v>
      </c>
      <c r="Q325" s="15">
        <v>70</v>
      </c>
      <c r="R325" s="15">
        <v>190</v>
      </c>
      <c r="S325" s="15">
        <v>70</v>
      </c>
      <c r="T325" s="15">
        <v>120</v>
      </c>
      <c r="U325" s="15">
        <v>60</v>
      </c>
      <c r="V325" s="15">
        <v>60</v>
      </c>
      <c r="W325" s="15">
        <v>200</v>
      </c>
      <c r="X325" s="15">
        <v>50</v>
      </c>
      <c r="Y325" s="15">
        <v>40</v>
      </c>
      <c r="Z325" s="4">
        <v>1720</v>
      </c>
      <c r="AA325" s="26">
        <v>24</v>
      </c>
      <c r="AB325" s="7">
        <v>0.59970000000000001</v>
      </c>
    </row>
    <row r="326" spans="1:28" x14ac:dyDescent="0.35">
      <c r="A326" s="1">
        <v>4004123</v>
      </c>
      <c r="B326" s="15">
        <v>0</v>
      </c>
      <c r="C326" s="15">
        <v>15</v>
      </c>
      <c r="D326" s="15">
        <v>0</v>
      </c>
      <c r="E326" s="15">
        <v>25</v>
      </c>
      <c r="F326" s="15">
        <v>0</v>
      </c>
      <c r="G326" s="15">
        <v>0</v>
      </c>
      <c r="H326" s="15">
        <v>25</v>
      </c>
      <c r="I326" s="15">
        <v>5</v>
      </c>
      <c r="J326" s="15">
        <v>0</v>
      </c>
      <c r="K326" s="15">
        <v>0</v>
      </c>
      <c r="L326" s="15">
        <v>0</v>
      </c>
      <c r="M326" s="15">
        <v>10</v>
      </c>
      <c r="N326" s="15">
        <v>0</v>
      </c>
      <c r="O326" s="15">
        <v>10</v>
      </c>
      <c r="P326" s="15">
        <v>20</v>
      </c>
      <c r="Q326" s="15">
        <v>10</v>
      </c>
      <c r="R326" s="15">
        <v>15</v>
      </c>
      <c r="S326" s="15">
        <v>5</v>
      </c>
      <c r="T326" s="15">
        <v>30</v>
      </c>
      <c r="U326" s="15">
        <v>10</v>
      </c>
      <c r="V326" s="15">
        <v>5</v>
      </c>
      <c r="W326" s="15">
        <v>0</v>
      </c>
      <c r="X326" s="15">
        <v>15</v>
      </c>
      <c r="Y326" s="15">
        <v>5</v>
      </c>
      <c r="Z326" s="4">
        <v>205</v>
      </c>
      <c r="AA326" s="26">
        <v>15</v>
      </c>
      <c r="AB326" s="7">
        <v>1.0617000000000001</v>
      </c>
    </row>
    <row r="327" spans="1:28" x14ac:dyDescent="0.35">
      <c r="A327" s="1">
        <v>4004124</v>
      </c>
      <c r="B327" s="15">
        <v>46</v>
      </c>
      <c r="C327" s="15">
        <v>30</v>
      </c>
      <c r="D327" s="15">
        <v>56</v>
      </c>
      <c r="E327" s="15">
        <v>46</v>
      </c>
      <c r="F327" s="15">
        <v>50</v>
      </c>
      <c r="G327" s="15">
        <v>40</v>
      </c>
      <c r="H327" s="15">
        <v>15</v>
      </c>
      <c r="I327" s="15">
        <v>65</v>
      </c>
      <c r="J327" s="15">
        <v>6</v>
      </c>
      <c r="K327" s="15">
        <v>35</v>
      </c>
      <c r="L327" s="15">
        <v>45</v>
      </c>
      <c r="M327" s="15">
        <v>40</v>
      </c>
      <c r="N327" s="15">
        <v>7</v>
      </c>
      <c r="O327" s="15">
        <v>69</v>
      </c>
      <c r="P327" s="15">
        <v>10</v>
      </c>
      <c r="Q327" s="15">
        <v>38</v>
      </c>
      <c r="R327" s="15">
        <v>30</v>
      </c>
      <c r="S327" s="15">
        <v>42</v>
      </c>
      <c r="T327" s="15">
        <v>0</v>
      </c>
      <c r="U327" s="15">
        <v>32</v>
      </c>
      <c r="V327" s="15">
        <v>45</v>
      </c>
      <c r="W327" s="15">
        <v>41</v>
      </c>
      <c r="X327" s="15">
        <v>22</v>
      </c>
      <c r="Y327" s="15">
        <v>40</v>
      </c>
      <c r="Z327" s="4">
        <v>850</v>
      </c>
      <c r="AA327" s="26">
        <v>23</v>
      </c>
      <c r="AB327" s="7">
        <v>0.49690000000000001</v>
      </c>
    </row>
    <row r="328" spans="1:28" x14ac:dyDescent="0.35">
      <c r="A328" s="1">
        <v>4004137</v>
      </c>
      <c r="B328" s="15">
        <v>512</v>
      </c>
      <c r="C328" s="15">
        <v>720</v>
      </c>
      <c r="D328" s="15">
        <v>606</v>
      </c>
      <c r="E328" s="15">
        <v>480</v>
      </c>
      <c r="F328" s="15">
        <v>440</v>
      </c>
      <c r="G328" s="15">
        <v>680</v>
      </c>
      <c r="H328" s="15">
        <v>440</v>
      </c>
      <c r="I328" s="15">
        <v>356</v>
      </c>
      <c r="J328" s="15">
        <v>556</v>
      </c>
      <c r="K328" s="15">
        <v>418</v>
      </c>
      <c r="L328" s="15">
        <v>600</v>
      </c>
      <c r="M328" s="15">
        <v>440</v>
      </c>
      <c r="N328" s="15">
        <v>680</v>
      </c>
      <c r="O328" s="15">
        <v>400</v>
      </c>
      <c r="P328" s="15">
        <v>600</v>
      </c>
      <c r="Q328" s="15">
        <v>676</v>
      </c>
      <c r="R328" s="15">
        <v>400</v>
      </c>
      <c r="S328" s="15">
        <v>600</v>
      </c>
      <c r="T328" s="15">
        <v>458</v>
      </c>
      <c r="U328" s="15">
        <v>446</v>
      </c>
      <c r="V328" s="15">
        <v>694</v>
      </c>
      <c r="W328" s="15">
        <v>596</v>
      </c>
      <c r="X328" s="15">
        <v>691</v>
      </c>
      <c r="Y328" s="15">
        <v>598</v>
      </c>
      <c r="Z328" s="4">
        <v>13087</v>
      </c>
      <c r="AA328" s="26">
        <v>24</v>
      </c>
      <c r="AB328" s="7">
        <v>0.2036</v>
      </c>
    </row>
    <row r="329" spans="1:28" x14ac:dyDescent="0.35">
      <c r="A329" s="1">
        <v>4004147</v>
      </c>
      <c r="B329" s="15">
        <v>500</v>
      </c>
      <c r="C329" s="15">
        <v>750</v>
      </c>
      <c r="D329" s="15">
        <v>700</v>
      </c>
      <c r="E329" s="15">
        <v>800</v>
      </c>
      <c r="F329" s="15">
        <v>750</v>
      </c>
      <c r="G329" s="15">
        <v>600</v>
      </c>
      <c r="H329" s="15">
        <v>600</v>
      </c>
      <c r="I329" s="15">
        <v>350</v>
      </c>
      <c r="J329" s="15">
        <v>500</v>
      </c>
      <c r="K329" s="15">
        <v>850</v>
      </c>
      <c r="L329" s="15">
        <v>650</v>
      </c>
      <c r="M329" s="15">
        <v>600</v>
      </c>
      <c r="N329" s="15">
        <v>550</v>
      </c>
      <c r="O329" s="15">
        <v>900</v>
      </c>
      <c r="P329" s="15">
        <v>900</v>
      </c>
      <c r="Q329" s="15">
        <v>550</v>
      </c>
      <c r="R329" s="15">
        <v>650</v>
      </c>
      <c r="S329" s="15">
        <v>600</v>
      </c>
      <c r="T329" s="15">
        <v>900</v>
      </c>
      <c r="U329" s="15">
        <v>200</v>
      </c>
      <c r="V329" s="15">
        <v>1000</v>
      </c>
      <c r="W329" s="15">
        <v>350</v>
      </c>
      <c r="X329" s="15">
        <v>1250</v>
      </c>
      <c r="Y329" s="15">
        <v>1105</v>
      </c>
      <c r="Z329" s="4">
        <v>16605</v>
      </c>
      <c r="AA329" s="26">
        <v>24</v>
      </c>
      <c r="AB329" s="7">
        <v>0.3463</v>
      </c>
    </row>
    <row r="330" spans="1:28" x14ac:dyDescent="0.35">
      <c r="A330" s="1">
        <v>4004150</v>
      </c>
      <c r="B330" s="15">
        <v>124</v>
      </c>
      <c r="C330" s="15">
        <v>159</v>
      </c>
      <c r="D330" s="15">
        <v>480</v>
      </c>
      <c r="E330" s="15">
        <v>130</v>
      </c>
      <c r="F330" s="15">
        <v>87</v>
      </c>
      <c r="G330" s="15">
        <v>165</v>
      </c>
      <c r="H330" s="15">
        <v>110</v>
      </c>
      <c r="I330" s="15">
        <v>253</v>
      </c>
      <c r="J330" s="15">
        <v>223</v>
      </c>
      <c r="K330" s="15">
        <v>227</v>
      </c>
      <c r="L330" s="15">
        <v>236</v>
      </c>
      <c r="M330" s="15">
        <v>800</v>
      </c>
      <c r="N330" s="15">
        <v>196</v>
      </c>
      <c r="O330" s="15">
        <v>232</v>
      </c>
      <c r="P330" s="15">
        <v>130</v>
      </c>
      <c r="Q330" s="15">
        <v>250</v>
      </c>
      <c r="R330" s="15">
        <v>258</v>
      </c>
      <c r="S330" s="15">
        <v>304</v>
      </c>
      <c r="T330" s="15">
        <v>165</v>
      </c>
      <c r="U330" s="15">
        <v>362</v>
      </c>
      <c r="V330" s="15">
        <v>370</v>
      </c>
      <c r="W330" s="15">
        <v>358</v>
      </c>
      <c r="X330" s="15">
        <v>199</v>
      </c>
      <c r="Y330" s="15">
        <v>258</v>
      </c>
      <c r="Z330" s="4">
        <v>6076</v>
      </c>
      <c r="AA330" s="26">
        <v>24</v>
      </c>
      <c r="AB330" s="7">
        <v>0.58009999999999995</v>
      </c>
    </row>
    <row r="331" spans="1:28" x14ac:dyDescent="0.35">
      <c r="A331" s="1">
        <v>4004157</v>
      </c>
      <c r="B331" s="15">
        <v>130</v>
      </c>
      <c r="C331" s="15">
        <v>100</v>
      </c>
      <c r="D331" s="15">
        <v>90</v>
      </c>
      <c r="E331" s="15">
        <v>80</v>
      </c>
      <c r="F331" s="15">
        <v>130</v>
      </c>
      <c r="G331" s="15">
        <v>85</v>
      </c>
      <c r="H331" s="15">
        <v>100</v>
      </c>
      <c r="I331" s="15">
        <v>104</v>
      </c>
      <c r="J331" s="15">
        <v>100</v>
      </c>
      <c r="K331" s="15">
        <v>140</v>
      </c>
      <c r="L331" s="15">
        <v>120</v>
      </c>
      <c r="M331" s="15">
        <v>110</v>
      </c>
      <c r="N331" s="15">
        <v>114</v>
      </c>
      <c r="O331" s="15">
        <v>138</v>
      </c>
      <c r="P331" s="15">
        <v>104</v>
      </c>
      <c r="Q331" s="15">
        <v>84</v>
      </c>
      <c r="R331" s="15">
        <v>100</v>
      </c>
      <c r="S331" s="15">
        <v>110</v>
      </c>
      <c r="T331" s="15">
        <v>80</v>
      </c>
      <c r="U331" s="15">
        <v>124</v>
      </c>
      <c r="V331" s="15">
        <v>140</v>
      </c>
      <c r="W331" s="15">
        <v>150</v>
      </c>
      <c r="X331" s="15">
        <v>112</v>
      </c>
      <c r="Y331" s="15">
        <v>130</v>
      </c>
      <c r="Z331" s="4">
        <v>2675</v>
      </c>
      <c r="AA331" s="26">
        <v>24</v>
      </c>
      <c r="AB331" s="7">
        <v>0.17960000000000001</v>
      </c>
    </row>
    <row r="332" spans="1:28" x14ac:dyDescent="0.35">
      <c r="A332" s="1">
        <v>4004166</v>
      </c>
      <c r="B332" s="15">
        <v>282</v>
      </c>
      <c r="C332" s="15">
        <v>171</v>
      </c>
      <c r="D332" s="15">
        <v>225</v>
      </c>
      <c r="E332" s="15">
        <v>345</v>
      </c>
      <c r="F332" s="15">
        <v>201</v>
      </c>
      <c r="G332" s="15">
        <v>359</v>
      </c>
      <c r="H332" s="15">
        <v>163</v>
      </c>
      <c r="I332" s="15">
        <v>300</v>
      </c>
      <c r="J332" s="15">
        <v>339</v>
      </c>
      <c r="K332" s="15">
        <v>287</v>
      </c>
      <c r="L332" s="15">
        <v>307</v>
      </c>
      <c r="M332" s="15">
        <v>252</v>
      </c>
      <c r="N332" s="15">
        <v>174</v>
      </c>
      <c r="O332" s="15">
        <v>331</v>
      </c>
      <c r="P332" s="15">
        <v>406</v>
      </c>
      <c r="Q332" s="15">
        <v>215</v>
      </c>
      <c r="R332" s="15">
        <v>244</v>
      </c>
      <c r="S332" s="15">
        <v>265</v>
      </c>
      <c r="T332" s="15">
        <v>165</v>
      </c>
      <c r="U332" s="15">
        <v>322</v>
      </c>
      <c r="V332" s="15">
        <v>214</v>
      </c>
      <c r="W332" s="15">
        <v>372</v>
      </c>
      <c r="X332" s="15">
        <v>147</v>
      </c>
      <c r="Y332" s="15">
        <v>236</v>
      </c>
      <c r="Z332" s="4">
        <v>6322</v>
      </c>
      <c r="AA332" s="26">
        <v>24</v>
      </c>
      <c r="AB332" s="7">
        <v>0.2762</v>
      </c>
    </row>
    <row r="333" spans="1:28" x14ac:dyDescent="0.35">
      <c r="A333" s="1">
        <v>4004168</v>
      </c>
      <c r="B333" s="15">
        <v>0</v>
      </c>
      <c r="C333" s="15">
        <v>0</v>
      </c>
      <c r="D333" s="15">
        <v>5</v>
      </c>
      <c r="E333" s="15">
        <v>10</v>
      </c>
      <c r="F333" s="15">
        <v>6</v>
      </c>
      <c r="G333" s="15">
        <v>0</v>
      </c>
      <c r="H333" s="15">
        <v>5</v>
      </c>
      <c r="I333" s="15">
        <v>10</v>
      </c>
      <c r="J333" s="15">
        <v>2</v>
      </c>
      <c r="K333" s="15">
        <v>10</v>
      </c>
      <c r="L333" s="15">
        <v>0</v>
      </c>
      <c r="M333" s="15">
        <v>0</v>
      </c>
      <c r="N333" s="15">
        <v>0</v>
      </c>
      <c r="O333" s="15">
        <v>4</v>
      </c>
      <c r="P333" s="15">
        <v>0</v>
      </c>
      <c r="Q333" s="15">
        <v>9</v>
      </c>
      <c r="R333" s="15">
        <v>0</v>
      </c>
      <c r="S333" s="15">
        <v>0</v>
      </c>
      <c r="T333" s="15">
        <v>0</v>
      </c>
      <c r="U333" s="15">
        <v>4</v>
      </c>
      <c r="V333" s="15">
        <v>2</v>
      </c>
      <c r="W333" s="15">
        <v>6</v>
      </c>
      <c r="X333" s="15">
        <v>4</v>
      </c>
      <c r="Y333" s="15">
        <v>2</v>
      </c>
      <c r="Z333" s="4">
        <v>79</v>
      </c>
      <c r="AA333" s="26">
        <v>14</v>
      </c>
      <c r="AB333" s="7">
        <v>1.0793999999999999</v>
      </c>
    </row>
    <row r="334" spans="1:28" x14ac:dyDescent="0.35">
      <c r="A334" s="1">
        <v>4004200</v>
      </c>
      <c r="B334" s="15">
        <v>0</v>
      </c>
      <c r="C334" s="15">
        <v>60</v>
      </c>
      <c r="D334" s="15">
        <v>60</v>
      </c>
      <c r="E334" s="15">
        <v>30</v>
      </c>
      <c r="F334" s="15">
        <v>0</v>
      </c>
      <c r="G334" s="15">
        <v>30</v>
      </c>
      <c r="H334" s="15">
        <v>60</v>
      </c>
      <c r="I334" s="15">
        <v>60</v>
      </c>
      <c r="J334" s="15">
        <v>90</v>
      </c>
      <c r="K334" s="15">
        <v>30</v>
      </c>
      <c r="L334" s="15">
        <v>0</v>
      </c>
      <c r="M334" s="15">
        <v>0</v>
      </c>
      <c r="N334" s="15">
        <v>60</v>
      </c>
      <c r="O334" s="15">
        <v>150</v>
      </c>
      <c r="P334" s="15">
        <v>150</v>
      </c>
      <c r="Q334" s="15">
        <v>90</v>
      </c>
      <c r="R334" s="15">
        <v>0</v>
      </c>
      <c r="S334" s="15">
        <v>30</v>
      </c>
      <c r="T334" s="15">
        <v>30</v>
      </c>
      <c r="U334" s="15">
        <v>60</v>
      </c>
      <c r="V334" s="15">
        <v>90</v>
      </c>
      <c r="W334" s="15">
        <v>30</v>
      </c>
      <c r="X334" s="15">
        <v>30</v>
      </c>
      <c r="Y334" s="15">
        <v>30</v>
      </c>
      <c r="Z334" s="4">
        <v>1170</v>
      </c>
      <c r="AA334" s="26">
        <v>19</v>
      </c>
      <c r="AB334" s="7">
        <v>0.84850000000000003</v>
      </c>
    </row>
    <row r="335" spans="1:28" x14ac:dyDescent="0.35">
      <c r="A335" s="1">
        <v>4004201</v>
      </c>
      <c r="B335" s="15">
        <v>30</v>
      </c>
      <c r="C335" s="15">
        <v>90</v>
      </c>
      <c r="D335" s="15">
        <v>60</v>
      </c>
      <c r="E335" s="15">
        <v>30</v>
      </c>
      <c r="F335" s="15">
        <v>90</v>
      </c>
      <c r="G335" s="15">
        <v>210</v>
      </c>
      <c r="H335" s="15">
        <v>60</v>
      </c>
      <c r="I335" s="15">
        <v>30</v>
      </c>
      <c r="J335" s="15">
        <v>120</v>
      </c>
      <c r="K335" s="15">
        <v>90</v>
      </c>
      <c r="L335" s="15">
        <v>30</v>
      </c>
      <c r="M335" s="15">
        <v>0</v>
      </c>
      <c r="N335" s="15">
        <v>0</v>
      </c>
      <c r="O335" s="15">
        <v>120</v>
      </c>
      <c r="P335" s="15">
        <v>150</v>
      </c>
      <c r="Q335" s="15">
        <v>60</v>
      </c>
      <c r="R335" s="15">
        <v>0</v>
      </c>
      <c r="S335" s="15">
        <v>60</v>
      </c>
      <c r="T335" s="15">
        <v>30</v>
      </c>
      <c r="U335" s="15">
        <v>0</v>
      </c>
      <c r="V335" s="15">
        <v>60</v>
      </c>
      <c r="W335" s="15">
        <v>120</v>
      </c>
      <c r="X335" s="15">
        <v>30</v>
      </c>
      <c r="Y335" s="15">
        <v>60</v>
      </c>
      <c r="Z335" s="4">
        <v>1530</v>
      </c>
      <c r="AA335" s="26">
        <v>20</v>
      </c>
      <c r="AB335" s="7">
        <v>0.80730000000000002</v>
      </c>
    </row>
    <row r="336" spans="1:28" x14ac:dyDescent="0.35">
      <c r="A336" s="1">
        <v>4004203</v>
      </c>
      <c r="B336" s="15">
        <v>1000</v>
      </c>
      <c r="C336" s="15">
        <v>800</v>
      </c>
      <c r="D336" s="15">
        <v>600</v>
      </c>
      <c r="E336" s="15">
        <v>800</v>
      </c>
      <c r="F336" s="15">
        <v>100</v>
      </c>
      <c r="G336" s="15">
        <v>100</v>
      </c>
      <c r="H336" s="15">
        <v>100</v>
      </c>
      <c r="I336" s="15">
        <v>700</v>
      </c>
      <c r="J336" s="15">
        <v>400</v>
      </c>
      <c r="K336" s="15">
        <v>400</v>
      </c>
      <c r="L336" s="15">
        <v>0</v>
      </c>
      <c r="M336" s="15">
        <v>0</v>
      </c>
      <c r="N336" s="15">
        <v>300</v>
      </c>
      <c r="O336" s="15">
        <v>500</v>
      </c>
      <c r="P336" s="15">
        <v>100</v>
      </c>
      <c r="Q336" s="15">
        <v>0</v>
      </c>
      <c r="R336" s="15">
        <v>100</v>
      </c>
      <c r="S336" s="15">
        <v>0</v>
      </c>
      <c r="T336" s="15">
        <v>100</v>
      </c>
      <c r="U336" s="15">
        <v>100</v>
      </c>
      <c r="V336" s="15">
        <v>1800</v>
      </c>
      <c r="W336" s="15">
        <v>300</v>
      </c>
      <c r="X336" s="15">
        <v>100</v>
      </c>
      <c r="Y336" s="15">
        <v>100</v>
      </c>
      <c r="Z336" s="4">
        <v>8500</v>
      </c>
      <c r="AA336" s="26">
        <v>20</v>
      </c>
      <c r="AB336" s="7">
        <v>1.1811</v>
      </c>
    </row>
    <row r="337" spans="1:29" x14ac:dyDescent="0.35">
      <c r="A337" s="1">
        <v>4004205</v>
      </c>
      <c r="B337" s="15">
        <v>760</v>
      </c>
      <c r="C337" s="15">
        <v>1100</v>
      </c>
      <c r="D337" s="15">
        <v>1220</v>
      </c>
      <c r="E337" s="15">
        <v>1200</v>
      </c>
      <c r="F337" s="15">
        <v>960</v>
      </c>
      <c r="G337" s="15">
        <v>760</v>
      </c>
      <c r="H337" s="15">
        <v>760</v>
      </c>
      <c r="I337" s="15">
        <v>780</v>
      </c>
      <c r="J337" s="15">
        <v>980</v>
      </c>
      <c r="K337" s="15">
        <v>1040</v>
      </c>
      <c r="L337" s="15">
        <v>1200</v>
      </c>
      <c r="M337" s="15">
        <v>1020</v>
      </c>
      <c r="N337" s="15">
        <v>1420</v>
      </c>
      <c r="O337" s="15">
        <v>1040</v>
      </c>
      <c r="P337" s="15">
        <v>1060</v>
      </c>
      <c r="Q337" s="15">
        <v>1800</v>
      </c>
      <c r="R337" s="15">
        <v>900</v>
      </c>
      <c r="S337" s="15">
        <v>900</v>
      </c>
      <c r="T337" s="15">
        <v>960</v>
      </c>
      <c r="U337" s="15">
        <v>940</v>
      </c>
      <c r="V337" s="15">
        <v>1280</v>
      </c>
      <c r="W337" s="15">
        <v>1560</v>
      </c>
      <c r="X337" s="15">
        <v>1180</v>
      </c>
      <c r="Y337" s="15">
        <v>760</v>
      </c>
      <c r="Z337" s="4">
        <v>25580</v>
      </c>
      <c r="AA337" s="26">
        <v>24</v>
      </c>
      <c r="AB337" s="7">
        <v>0.2414</v>
      </c>
    </row>
    <row r="338" spans="1:29" x14ac:dyDescent="0.35">
      <c r="A338" s="1">
        <v>4004236</v>
      </c>
      <c r="B338" s="15">
        <v>180</v>
      </c>
      <c r="C338" s="15">
        <v>140</v>
      </c>
      <c r="D338" s="15">
        <v>250</v>
      </c>
      <c r="E338" s="15">
        <v>250</v>
      </c>
      <c r="F338" s="15">
        <v>250</v>
      </c>
      <c r="G338" s="15">
        <v>250</v>
      </c>
      <c r="H338" s="15">
        <v>160</v>
      </c>
      <c r="I338" s="15">
        <v>160</v>
      </c>
      <c r="J338" s="15">
        <v>160</v>
      </c>
      <c r="K338" s="15">
        <v>180</v>
      </c>
      <c r="L338" s="15">
        <v>150</v>
      </c>
      <c r="M338" s="15">
        <v>210</v>
      </c>
      <c r="N338" s="15">
        <v>240</v>
      </c>
      <c r="O338" s="15">
        <v>240</v>
      </c>
      <c r="P338" s="15">
        <v>370</v>
      </c>
      <c r="Q338" s="15">
        <v>260</v>
      </c>
      <c r="R338" s="15">
        <v>170</v>
      </c>
      <c r="S338" s="15">
        <v>130</v>
      </c>
      <c r="T338" s="15">
        <v>230</v>
      </c>
      <c r="U338" s="15">
        <v>190</v>
      </c>
      <c r="V338" s="15">
        <v>200</v>
      </c>
      <c r="W338" s="15">
        <v>150</v>
      </c>
      <c r="X338" s="15">
        <v>140</v>
      </c>
      <c r="Y338" s="15">
        <v>110</v>
      </c>
      <c r="Z338" s="4">
        <v>4770</v>
      </c>
      <c r="AA338" s="26">
        <v>24</v>
      </c>
      <c r="AB338" s="7">
        <v>0.28770000000000001</v>
      </c>
    </row>
    <row r="339" spans="1:29" x14ac:dyDescent="0.35">
      <c r="A339" s="1">
        <v>4004237</v>
      </c>
      <c r="B339" s="15">
        <v>300</v>
      </c>
      <c r="C339" s="15">
        <v>300</v>
      </c>
      <c r="D339" s="15">
        <v>100</v>
      </c>
      <c r="E339" s="15">
        <v>200</v>
      </c>
      <c r="F339" s="15">
        <v>400</v>
      </c>
      <c r="G339" s="15">
        <v>0</v>
      </c>
      <c r="H339" s="15">
        <v>200</v>
      </c>
      <c r="I339" s="15">
        <v>100</v>
      </c>
      <c r="J339" s="15">
        <v>600</v>
      </c>
      <c r="K339" s="15">
        <v>900</v>
      </c>
      <c r="L339" s="15">
        <v>200</v>
      </c>
      <c r="M339" s="15">
        <v>200</v>
      </c>
      <c r="N339" s="15">
        <v>600</v>
      </c>
      <c r="O339" s="15">
        <v>500</v>
      </c>
      <c r="P339" s="15">
        <v>0</v>
      </c>
      <c r="Q339" s="15">
        <v>0</v>
      </c>
      <c r="R339" s="15">
        <v>200</v>
      </c>
      <c r="S339" s="15">
        <v>200</v>
      </c>
      <c r="T339" s="15">
        <v>200</v>
      </c>
      <c r="U339" s="15">
        <v>0</v>
      </c>
      <c r="V339" s="15">
        <v>900</v>
      </c>
      <c r="W339" s="15">
        <v>200</v>
      </c>
      <c r="X339" s="15">
        <v>200</v>
      </c>
      <c r="Y339" s="15">
        <v>400</v>
      </c>
      <c r="Z339" s="4">
        <v>6900</v>
      </c>
      <c r="AA339" s="26">
        <v>20</v>
      </c>
      <c r="AB339" s="7">
        <v>0.86560000000000004</v>
      </c>
    </row>
    <row r="340" spans="1:29" x14ac:dyDescent="0.35">
      <c r="A340" s="1">
        <v>4004238</v>
      </c>
      <c r="B340" s="15">
        <v>30</v>
      </c>
      <c r="C340" s="15">
        <v>30</v>
      </c>
      <c r="D340" s="15">
        <v>0</v>
      </c>
      <c r="E340" s="15">
        <v>40</v>
      </c>
      <c r="F340" s="15">
        <v>30</v>
      </c>
      <c r="G340" s="15">
        <v>80</v>
      </c>
      <c r="H340" s="15">
        <v>0</v>
      </c>
      <c r="I340" s="15">
        <v>30</v>
      </c>
      <c r="J340" s="15">
        <v>10</v>
      </c>
      <c r="K340" s="15">
        <v>10</v>
      </c>
      <c r="L340" s="15">
        <v>40</v>
      </c>
      <c r="M340" s="15">
        <v>0</v>
      </c>
      <c r="N340" s="15">
        <v>30</v>
      </c>
      <c r="O340" s="15">
        <v>40</v>
      </c>
      <c r="P340" s="15">
        <v>40</v>
      </c>
      <c r="Q340" s="15">
        <v>20</v>
      </c>
      <c r="R340" s="15">
        <v>30</v>
      </c>
      <c r="S340" s="15">
        <v>10</v>
      </c>
      <c r="T340" s="15">
        <v>20</v>
      </c>
      <c r="U340" s="15">
        <v>10</v>
      </c>
      <c r="V340" s="15">
        <v>40</v>
      </c>
      <c r="W340" s="15">
        <v>40</v>
      </c>
      <c r="X340" s="15">
        <v>10</v>
      </c>
      <c r="Y340" s="15">
        <v>0</v>
      </c>
      <c r="Z340" s="4">
        <v>590</v>
      </c>
      <c r="AA340" s="26">
        <v>20</v>
      </c>
      <c r="AB340" s="7">
        <v>0.75170000000000003</v>
      </c>
    </row>
    <row r="341" spans="1:29" x14ac:dyDescent="0.35">
      <c r="A341" s="1">
        <v>4004240</v>
      </c>
      <c r="B341" s="15">
        <v>1450</v>
      </c>
      <c r="C341" s="15">
        <v>1200</v>
      </c>
      <c r="D341" s="15">
        <v>1100</v>
      </c>
      <c r="E341" s="15">
        <v>1800</v>
      </c>
      <c r="F341" s="15">
        <v>1500</v>
      </c>
      <c r="G341" s="15">
        <v>700</v>
      </c>
      <c r="H341" s="15">
        <v>1100</v>
      </c>
      <c r="I341" s="15">
        <v>1050</v>
      </c>
      <c r="J341" s="15">
        <v>1100</v>
      </c>
      <c r="K341" s="15">
        <v>1400</v>
      </c>
      <c r="L341" s="15">
        <v>1500</v>
      </c>
      <c r="M341" s="15">
        <v>1000</v>
      </c>
      <c r="N341" s="15">
        <v>1500</v>
      </c>
      <c r="O341" s="15">
        <v>2200</v>
      </c>
      <c r="P341" s="15">
        <v>950</v>
      </c>
      <c r="Q341" s="15">
        <v>1700</v>
      </c>
      <c r="R341" s="15">
        <v>950</v>
      </c>
      <c r="S341" s="15">
        <v>2000</v>
      </c>
      <c r="T341" s="15">
        <v>500</v>
      </c>
      <c r="U341" s="15">
        <v>650</v>
      </c>
      <c r="V341" s="15">
        <v>1800</v>
      </c>
      <c r="W341" s="15">
        <v>900</v>
      </c>
      <c r="X341" s="15">
        <v>1550</v>
      </c>
      <c r="Y341" s="15">
        <v>1550</v>
      </c>
      <c r="Z341" s="4">
        <v>31150</v>
      </c>
      <c r="AA341" s="26">
        <v>24</v>
      </c>
      <c r="AB341" s="7">
        <v>0.32790000000000002</v>
      </c>
    </row>
    <row r="342" spans="1:29" x14ac:dyDescent="0.35">
      <c r="A342" s="1">
        <v>4004241</v>
      </c>
      <c r="B342" s="15">
        <v>600</v>
      </c>
      <c r="C342" s="15">
        <v>700</v>
      </c>
      <c r="D342" s="15">
        <v>800</v>
      </c>
      <c r="E342" s="15">
        <v>800</v>
      </c>
      <c r="F342" s="15">
        <v>1000</v>
      </c>
      <c r="G342" s="15">
        <v>600</v>
      </c>
      <c r="H342" s="15">
        <v>500</v>
      </c>
      <c r="I342" s="15">
        <v>400</v>
      </c>
      <c r="J342" s="15">
        <v>900</v>
      </c>
      <c r="K342" s="15">
        <v>800</v>
      </c>
      <c r="L342" s="15">
        <v>300</v>
      </c>
      <c r="M342" s="15">
        <v>700</v>
      </c>
      <c r="N342" s="15">
        <v>550</v>
      </c>
      <c r="O342" s="15">
        <v>1000</v>
      </c>
      <c r="P342" s="15">
        <v>1000</v>
      </c>
      <c r="Q342" s="15">
        <v>800</v>
      </c>
      <c r="R342" s="15">
        <v>900</v>
      </c>
      <c r="S342" s="15">
        <v>300</v>
      </c>
      <c r="T342" s="15">
        <v>1300</v>
      </c>
      <c r="U342" s="15">
        <v>300</v>
      </c>
      <c r="V342" s="15">
        <v>710</v>
      </c>
      <c r="W342" s="15">
        <v>800</v>
      </c>
      <c r="X342" s="15">
        <v>400</v>
      </c>
      <c r="Y342" s="15">
        <v>1100</v>
      </c>
      <c r="Z342" s="4">
        <v>17260</v>
      </c>
      <c r="AA342" s="26">
        <v>24</v>
      </c>
      <c r="AB342" s="7">
        <v>0.36499999999999999</v>
      </c>
    </row>
    <row r="343" spans="1:29" x14ac:dyDescent="0.35">
      <c r="A343" s="1">
        <v>4004246</v>
      </c>
      <c r="B343" s="15">
        <v>100</v>
      </c>
      <c r="C343" s="15">
        <v>0</v>
      </c>
      <c r="D343" s="15">
        <v>100</v>
      </c>
      <c r="E343" s="15">
        <v>0</v>
      </c>
      <c r="F343" s="15">
        <v>1600</v>
      </c>
      <c r="G343" s="15">
        <v>0</v>
      </c>
      <c r="H343" s="15">
        <v>0</v>
      </c>
      <c r="I343" s="15">
        <v>0</v>
      </c>
      <c r="J343" s="15">
        <v>1000</v>
      </c>
      <c r="K343" s="15">
        <v>10</v>
      </c>
      <c r="L343" s="15">
        <v>700</v>
      </c>
      <c r="M343" s="15">
        <v>100</v>
      </c>
      <c r="N343" s="15">
        <v>0</v>
      </c>
      <c r="O343" s="15">
        <v>800</v>
      </c>
      <c r="P343" s="15">
        <v>0</v>
      </c>
      <c r="Q343" s="15">
        <v>900</v>
      </c>
      <c r="R343" s="15">
        <v>2240</v>
      </c>
      <c r="S343" s="15">
        <v>110</v>
      </c>
      <c r="T343" s="15">
        <v>0</v>
      </c>
      <c r="U343" s="15">
        <v>0</v>
      </c>
      <c r="V343" s="15">
        <v>0</v>
      </c>
      <c r="W343" s="15">
        <v>30</v>
      </c>
      <c r="X343" s="15">
        <v>0</v>
      </c>
      <c r="Y343" s="15">
        <v>0</v>
      </c>
      <c r="Z343" s="4">
        <v>7690</v>
      </c>
      <c r="AA343" s="26">
        <v>12</v>
      </c>
      <c r="AB343" s="7">
        <v>1.8127</v>
      </c>
    </row>
    <row r="344" spans="1:29" x14ac:dyDescent="0.35">
      <c r="A344" s="1">
        <v>4004247</v>
      </c>
      <c r="B344" s="15">
        <v>0</v>
      </c>
      <c r="C344" s="15">
        <v>0</v>
      </c>
      <c r="D344" s="15">
        <v>0</v>
      </c>
      <c r="E344" s="15">
        <v>0</v>
      </c>
      <c r="F344" s="15">
        <v>100</v>
      </c>
      <c r="G344" s="15">
        <v>100</v>
      </c>
      <c r="H344" s="15">
        <v>800</v>
      </c>
      <c r="I344" s="15">
        <v>0</v>
      </c>
      <c r="J344" s="15">
        <v>0</v>
      </c>
      <c r="K344" s="15">
        <v>10</v>
      </c>
      <c r="L344" s="15">
        <v>0</v>
      </c>
      <c r="M344" s="15">
        <v>100</v>
      </c>
      <c r="N344" s="15">
        <v>0</v>
      </c>
      <c r="O344" s="15">
        <v>0</v>
      </c>
      <c r="P344" s="15">
        <v>0</v>
      </c>
      <c r="Q344" s="15">
        <v>0</v>
      </c>
      <c r="R344" s="15">
        <v>50</v>
      </c>
      <c r="S344" s="15">
        <v>10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4">
        <v>1170</v>
      </c>
      <c r="AA344" s="26">
        <v>7</v>
      </c>
      <c r="AB344" s="7">
        <v>3.2854000000000001</v>
      </c>
    </row>
    <row r="345" spans="1:29" x14ac:dyDescent="0.35">
      <c r="A345" s="1">
        <v>4004248</v>
      </c>
      <c r="B345" s="15">
        <v>0</v>
      </c>
      <c r="C345" s="15">
        <v>0</v>
      </c>
      <c r="D345" s="15">
        <v>0</v>
      </c>
      <c r="E345" s="15">
        <v>0</v>
      </c>
      <c r="F345" s="15">
        <v>100</v>
      </c>
      <c r="G345" s="15">
        <v>0</v>
      </c>
      <c r="H345" s="15">
        <v>0</v>
      </c>
      <c r="I345" s="15">
        <v>0</v>
      </c>
      <c r="J345" s="15">
        <v>0</v>
      </c>
      <c r="K345" s="15">
        <v>10</v>
      </c>
      <c r="L345" s="15">
        <v>0</v>
      </c>
      <c r="M345" s="15">
        <v>100</v>
      </c>
      <c r="N345" s="15">
        <v>0</v>
      </c>
      <c r="O345" s="15">
        <v>0</v>
      </c>
      <c r="P345" s="15">
        <v>0</v>
      </c>
      <c r="Q345" s="15">
        <v>0</v>
      </c>
      <c r="R345" s="15">
        <v>20</v>
      </c>
      <c r="S345" s="15">
        <v>10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4">
        <v>240</v>
      </c>
      <c r="AA345" s="26">
        <v>5</v>
      </c>
      <c r="AB345" s="7">
        <v>2.7538</v>
      </c>
      <c r="AC345" s="1" t="s">
        <v>3230</v>
      </c>
    </row>
    <row r="346" spans="1:29" x14ac:dyDescent="0.35">
      <c r="A346" s="1">
        <v>4004250</v>
      </c>
      <c r="B346" s="15">
        <v>800</v>
      </c>
      <c r="C346" s="15">
        <v>0</v>
      </c>
      <c r="D346" s="15">
        <v>800</v>
      </c>
      <c r="E346" s="15">
        <v>0</v>
      </c>
      <c r="F346" s="15">
        <v>1440</v>
      </c>
      <c r="G346" s="15">
        <v>0</v>
      </c>
      <c r="H346" s="15">
        <v>240</v>
      </c>
      <c r="I346" s="15">
        <v>880</v>
      </c>
      <c r="J346" s="15">
        <v>800</v>
      </c>
      <c r="K346" s="15">
        <v>160</v>
      </c>
      <c r="L346" s="15">
        <v>880</v>
      </c>
      <c r="M346" s="15">
        <v>960</v>
      </c>
      <c r="N346" s="15">
        <v>80</v>
      </c>
      <c r="O346" s="15">
        <v>1040</v>
      </c>
      <c r="P346" s="15">
        <v>960</v>
      </c>
      <c r="Q346" s="15">
        <v>80</v>
      </c>
      <c r="R346" s="15">
        <v>80</v>
      </c>
      <c r="S346" s="15">
        <v>961</v>
      </c>
      <c r="T346" s="15">
        <v>1040</v>
      </c>
      <c r="U346" s="15">
        <v>880</v>
      </c>
      <c r="V346" s="15">
        <v>0</v>
      </c>
      <c r="W346" s="15">
        <v>640</v>
      </c>
      <c r="X346" s="15">
        <v>880</v>
      </c>
      <c r="Y346" s="15">
        <v>880</v>
      </c>
      <c r="Z346" s="4">
        <v>14481</v>
      </c>
      <c r="AA346" s="26">
        <v>20</v>
      </c>
      <c r="AB346" s="7">
        <v>0.72319999999999995</v>
      </c>
    </row>
    <row r="347" spans="1:29" x14ac:dyDescent="0.35">
      <c r="A347" s="1">
        <v>4004259</v>
      </c>
      <c r="B347" s="15">
        <v>60</v>
      </c>
      <c r="C347" s="15">
        <v>15</v>
      </c>
      <c r="D347" s="15">
        <v>30</v>
      </c>
      <c r="E347" s="15">
        <v>15</v>
      </c>
      <c r="F347" s="15">
        <v>25</v>
      </c>
      <c r="G347" s="15">
        <v>0</v>
      </c>
      <c r="H347" s="15">
        <v>20</v>
      </c>
      <c r="I347" s="15">
        <v>0</v>
      </c>
      <c r="J347" s="15">
        <v>35</v>
      </c>
      <c r="K347" s="15">
        <v>20</v>
      </c>
      <c r="L347" s="15">
        <v>0</v>
      </c>
      <c r="M347" s="15">
        <v>25</v>
      </c>
      <c r="N347" s="15">
        <v>10</v>
      </c>
      <c r="O347" s="15">
        <v>5</v>
      </c>
      <c r="P347" s="15">
        <v>20</v>
      </c>
      <c r="Q347" s="15">
        <v>5</v>
      </c>
      <c r="R347" s="15">
        <v>10</v>
      </c>
      <c r="S347" s="15">
        <v>30</v>
      </c>
      <c r="T347" s="15">
        <v>20</v>
      </c>
      <c r="U347" s="15">
        <v>15</v>
      </c>
      <c r="V347" s="15">
        <v>25</v>
      </c>
      <c r="W347" s="15">
        <v>35</v>
      </c>
      <c r="X347" s="15">
        <v>20</v>
      </c>
      <c r="Y347" s="15">
        <v>10</v>
      </c>
      <c r="Z347" s="4">
        <v>450</v>
      </c>
      <c r="AA347" s="26">
        <v>21</v>
      </c>
      <c r="AB347" s="7">
        <v>0.71489999999999998</v>
      </c>
    </row>
    <row r="348" spans="1:29" x14ac:dyDescent="0.35">
      <c r="A348" s="1">
        <v>4004262</v>
      </c>
      <c r="B348" s="15">
        <v>40</v>
      </c>
      <c r="C348" s="15">
        <v>40</v>
      </c>
      <c r="D348" s="15">
        <v>20</v>
      </c>
      <c r="E348" s="15">
        <v>40</v>
      </c>
      <c r="F348" s="15">
        <v>40</v>
      </c>
      <c r="G348" s="15">
        <v>20</v>
      </c>
      <c r="H348" s="15">
        <v>20</v>
      </c>
      <c r="I348" s="15">
        <v>40</v>
      </c>
      <c r="J348" s="15">
        <v>40</v>
      </c>
      <c r="K348" s="15">
        <v>40</v>
      </c>
      <c r="L348" s="15">
        <v>60</v>
      </c>
      <c r="M348" s="15">
        <v>20</v>
      </c>
      <c r="N348" s="15">
        <v>100</v>
      </c>
      <c r="O348" s="15">
        <v>40</v>
      </c>
      <c r="P348" s="15">
        <v>60</v>
      </c>
      <c r="Q348" s="15">
        <v>20</v>
      </c>
      <c r="R348" s="15">
        <v>40</v>
      </c>
      <c r="S348" s="15">
        <v>40</v>
      </c>
      <c r="T348" s="15">
        <v>20</v>
      </c>
      <c r="U348" s="15">
        <v>20</v>
      </c>
      <c r="V348" s="15">
        <v>60</v>
      </c>
      <c r="W348" s="15">
        <v>40</v>
      </c>
      <c r="X348" s="15">
        <v>40</v>
      </c>
      <c r="Y348" s="15">
        <v>40</v>
      </c>
      <c r="Z348" s="4">
        <v>940</v>
      </c>
      <c r="AA348" s="26">
        <v>24</v>
      </c>
      <c r="AB348" s="7">
        <v>0.45379999999999998</v>
      </c>
    </row>
    <row r="349" spans="1:29" x14ac:dyDescent="0.35">
      <c r="A349" s="1">
        <v>4004269</v>
      </c>
      <c r="B349" s="15">
        <v>100</v>
      </c>
      <c r="C349" s="15">
        <v>0</v>
      </c>
      <c r="D349" s="15">
        <v>0</v>
      </c>
      <c r="E349" s="15">
        <v>0</v>
      </c>
      <c r="F349" s="15">
        <v>1000</v>
      </c>
      <c r="G349" s="15">
        <v>1000</v>
      </c>
      <c r="H349" s="15">
        <v>0</v>
      </c>
      <c r="I349" s="15">
        <v>0</v>
      </c>
      <c r="J349" s="15">
        <v>1200</v>
      </c>
      <c r="K349" s="15">
        <v>1000</v>
      </c>
      <c r="L349" s="15">
        <v>1000</v>
      </c>
      <c r="M349" s="15">
        <v>0</v>
      </c>
      <c r="N349" s="15">
        <v>0</v>
      </c>
      <c r="O349" s="15">
        <v>100</v>
      </c>
      <c r="P349" s="15">
        <v>100</v>
      </c>
      <c r="Q349" s="15">
        <v>0</v>
      </c>
      <c r="R349" s="15">
        <v>100</v>
      </c>
      <c r="S349" s="15">
        <v>0</v>
      </c>
      <c r="T349" s="15">
        <v>500</v>
      </c>
      <c r="U349" s="15">
        <v>0</v>
      </c>
      <c r="V349" s="15">
        <v>500</v>
      </c>
      <c r="W349" s="15">
        <v>500</v>
      </c>
      <c r="X349" s="15">
        <v>600</v>
      </c>
      <c r="Y349" s="15">
        <v>600</v>
      </c>
      <c r="Z349" s="4">
        <v>8300</v>
      </c>
      <c r="AA349" s="26">
        <v>14</v>
      </c>
      <c r="AB349" s="7">
        <v>1.1921999999999999</v>
      </c>
    </row>
    <row r="350" spans="1:29" x14ac:dyDescent="0.35">
      <c r="A350" s="1">
        <v>4004276</v>
      </c>
      <c r="B350" s="15">
        <v>3240</v>
      </c>
      <c r="C350" s="15">
        <v>2530</v>
      </c>
      <c r="D350" s="15">
        <v>3910</v>
      </c>
      <c r="E350" s="15">
        <v>2510</v>
      </c>
      <c r="F350" s="15">
        <v>3760</v>
      </c>
      <c r="G350" s="15">
        <v>2420</v>
      </c>
      <c r="H350" s="15">
        <v>3735</v>
      </c>
      <c r="I350" s="15">
        <v>2810</v>
      </c>
      <c r="J350" s="15">
        <v>3570</v>
      </c>
      <c r="K350" s="15">
        <v>3630</v>
      </c>
      <c r="L350" s="15">
        <v>3320</v>
      </c>
      <c r="M350" s="15">
        <v>3720</v>
      </c>
      <c r="N350" s="15">
        <v>3200</v>
      </c>
      <c r="O350" s="15">
        <v>3520</v>
      </c>
      <c r="P350" s="15">
        <v>3930</v>
      </c>
      <c r="Q350" s="15">
        <v>3560</v>
      </c>
      <c r="R350" s="15">
        <v>3380</v>
      </c>
      <c r="S350" s="15">
        <v>2990</v>
      </c>
      <c r="T350" s="15">
        <v>3760</v>
      </c>
      <c r="U350" s="15">
        <v>2900</v>
      </c>
      <c r="V350" s="15">
        <v>2680</v>
      </c>
      <c r="W350" s="15">
        <v>3650</v>
      </c>
      <c r="X350" s="15">
        <v>2900</v>
      </c>
      <c r="Y350" s="15">
        <v>3840</v>
      </c>
      <c r="Z350" s="4">
        <v>79465</v>
      </c>
      <c r="AA350" s="26">
        <v>24</v>
      </c>
      <c r="AB350" s="7">
        <v>0.14219999999999999</v>
      </c>
    </row>
    <row r="351" spans="1:29" x14ac:dyDescent="0.35">
      <c r="A351" s="1">
        <v>4004280</v>
      </c>
      <c r="B351" s="15">
        <v>120</v>
      </c>
      <c r="C351" s="15">
        <v>60</v>
      </c>
      <c r="D351" s="15">
        <v>180</v>
      </c>
      <c r="E351" s="15">
        <v>240</v>
      </c>
      <c r="F351" s="15">
        <v>360</v>
      </c>
      <c r="G351" s="15">
        <v>230</v>
      </c>
      <c r="H351" s="15">
        <v>60</v>
      </c>
      <c r="I351" s="15">
        <v>150</v>
      </c>
      <c r="J351" s="15">
        <v>180</v>
      </c>
      <c r="K351" s="15">
        <v>180</v>
      </c>
      <c r="L351" s="15">
        <v>210</v>
      </c>
      <c r="M351" s="15">
        <v>300</v>
      </c>
      <c r="N351" s="15">
        <v>350</v>
      </c>
      <c r="O351" s="15">
        <v>470</v>
      </c>
      <c r="P351" s="15">
        <v>110</v>
      </c>
      <c r="Q351" s="15">
        <v>150</v>
      </c>
      <c r="R351" s="15">
        <v>150</v>
      </c>
      <c r="S351" s="15">
        <v>390</v>
      </c>
      <c r="T351" s="15">
        <v>150</v>
      </c>
      <c r="U351" s="15">
        <v>60</v>
      </c>
      <c r="V351" s="15">
        <v>290</v>
      </c>
      <c r="W351" s="15">
        <v>510</v>
      </c>
      <c r="X351" s="15">
        <v>150</v>
      </c>
      <c r="Y351" s="15">
        <v>90</v>
      </c>
      <c r="Z351" s="4">
        <v>5140</v>
      </c>
      <c r="AA351" s="26">
        <v>24</v>
      </c>
      <c r="AB351" s="7">
        <v>0.57830000000000004</v>
      </c>
    </row>
    <row r="352" spans="1:29" x14ac:dyDescent="0.35">
      <c r="A352" s="1">
        <v>4004281</v>
      </c>
      <c r="B352" s="15">
        <v>50</v>
      </c>
      <c r="C352" s="15">
        <v>50</v>
      </c>
      <c r="D352" s="15">
        <v>220</v>
      </c>
      <c r="E352" s="15">
        <v>60</v>
      </c>
      <c r="F352" s="15">
        <v>70</v>
      </c>
      <c r="G352" s="15">
        <v>20</v>
      </c>
      <c r="H352" s="15">
        <v>30</v>
      </c>
      <c r="I352" s="15">
        <v>60</v>
      </c>
      <c r="J352" s="15">
        <v>60</v>
      </c>
      <c r="K352" s="15">
        <v>90</v>
      </c>
      <c r="L352" s="15">
        <v>30</v>
      </c>
      <c r="M352" s="15">
        <v>40</v>
      </c>
      <c r="N352" s="15">
        <v>10</v>
      </c>
      <c r="O352" s="15">
        <v>60</v>
      </c>
      <c r="P352" s="15">
        <v>20</v>
      </c>
      <c r="Q352" s="15">
        <v>20</v>
      </c>
      <c r="R352" s="15">
        <v>100</v>
      </c>
      <c r="S352" s="15">
        <v>80</v>
      </c>
      <c r="T352" s="15">
        <v>40</v>
      </c>
      <c r="U352" s="15">
        <v>55</v>
      </c>
      <c r="V352" s="15">
        <v>10</v>
      </c>
      <c r="W352" s="15">
        <v>60</v>
      </c>
      <c r="X352" s="15">
        <v>10</v>
      </c>
      <c r="Y352" s="15">
        <v>10</v>
      </c>
      <c r="Z352" s="4">
        <v>1255</v>
      </c>
      <c r="AA352" s="26">
        <v>24</v>
      </c>
      <c r="AB352" s="7">
        <v>0.82620000000000005</v>
      </c>
    </row>
    <row r="353" spans="1:28" x14ac:dyDescent="0.35">
      <c r="A353" s="1">
        <v>4004319</v>
      </c>
      <c r="B353" s="15">
        <v>150</v>
      </c>
      <c r="C353" s="15">
        <v>165</v>
      </c>
      <c r="D353" s="15">
        <v>210</v>
      </c>
      <c r="E353" s="15">
        <v>105</v>
      </c>
      <c r="F353" s="15">
        <v>240</v>
      </c>
      <c r="G353" s="15">
        <v>150</v>
      </c>
      <c r="H353" s="15">
        <v>225</v>
      </c>
      <c r="I353" s="15">
        <v>150</v>
      </c>
      <c r="J353" s="15">
        <v>135</v>
      </c>
      <c r="K353" s="15">
        <v>195</v>
      </c>
      <c r="L353" s="15">
        <v>255</v>
      </c>
      <c r="M353" s="15">
        <v>285</v>
      </c>
      <c r="N353" s="15">
        <v>270</v>
      </c>
      <c r="O353" s="15">
        <v>120</v>
      </c>
      <c r="P353" s="15">
        <v>210</v>
      </c>
      <c r="Q353" s="15">
        <v>165</v>
      </c>
      <c r="R353" s="15">
        <v>150</v>
      </c>
      <c r="S353" s="15">
        <v>135</v>
      </c>
      <c r="T353" s="15">
        <v>155</v>
      </c>
      <c r="U353" s="15">
        <v>210</v>
      </c>
      <c r="V353" s="15">
        <v>180</v>
      </c>
      <c r="W353" s="15">
        <v>210</v>
      </c>
      <c r="X353" s="15">
        <v>255</v>
      </c>
      <c r="Y353" s="15">
        <v>135</v>
      </c>
      <c r="Z353" s="4">
        <v>4460</v>
      </c>
      <c r="AA353" s="26">
        <v>24</v>
      </c>
      <c r="AB353" s="7">
        <v>0.26679999999999998</v>
      </c>
    </row>
    <row r="354" spans="1:28" x14ac:dyDescent="0.35">
      <c r="A354" s="1">
        <v>4004353</v>
      </c>
      <c r="B354" s="15">
        <v>235</v>
      </c>
      <c r="C354" s="15">
        <v>110</v>
      </c>
      <c r="D354" s="15">
        <v>275</v>
      </c>
      <c r="E354" s="15">
        <v>215</v>
      </c>
      <c r="F354" s="15">
        <v>225</v>
      </c>
      <c r="G354" s="15">
        <v>310</v>
      </c>
      <c r="H354" s="15">
        <v>155</v>
      </c>
      <c r="I354" s="15">
        <v>355</v>
      </c>
      <c r="J354" s="15">
        <v>125</v>
      </c>
      <c r="K354" s="15">
        <v>305</v>
      </c>
      <c r="L354" s="15">
        <v>145</v>
      </c>
      <c r="M354" s="15">
        <v>281</v>
      </c>
      <c r="N354" s="15">
        <v>155</v>
      </c>
      <c r="O354" s="15">
        <v>170</v>
      </c>
      <c r="P354" s="15">
        <v>240</v>
      </c>
      <c r="Q354" s="15">
        <v>185</v>
      </c>
      <c r="R354" s="15">
        <v>220</v>
      </c>
      <c r="S354" s="15">
        <v>205</v>
      </c>
      <c r="T354" s="15">
        <v>60</v>
      </c>
      <c r="U354" s="15">
        <v>170</v>
      </c>
      <c r="V354" s="15">
        <v>95</v>
      </c>
      <c r="W354" s="15">
        <v>261</v>
      </c>
      <c r="X354" s="15">
        <v>255</v>
      </c>
      <c r="Y354" s="15">
        <v>195</v>
      </c>
      <c r="Z354" s="4">
        <v>4947</v>
      </c>
      <c r="AA354" s="26">
        <v>24</v>
      </c>
      <c r="AB354" s="7">
        <v>0.34699999999999998</v>
      </c>
    </row>
    <row r="355" spans="1:28" x14ac:dyDescent="0.35">
      <c r="A355" s="1">
        <v>4004354</v>
      </c>
      <c r="B355" s="15">
        <v>675</v>
      </c>
      <c r="C355" s="15">
        <v>800</v>
      </c>
      <c r="D355" s="15">
        <v>755</v>
      </c>
      <c r="E355" s="15">
        <v>700</v>
      </c>
      <c r="F355" s="15">
        <v>775</v>
      </c>
      <c r="G355" s="15">
        <v>850</v>
      </c>
      <c r="H355" s="15">
        <v>450</v>
      </c>
      <c r="I355" s="15">
        <v>545</v>
      </c>
      <c r="J355" s="15">
        <v>575</v>
      </c>
      <c r="K355" s="15">
        <v>725</v>
      </c>
      <c r="L355" s="15">
        <v>625</v>
      </c>
      <c r="M355" s="15">
        <v>700</v>
      </c>
      <c r="N355" s="15">
        <v>770</v>
      </c>
      <c r="O355" s="15">
        <v>725</v>
      </c>
      <c r="P355" s="15">
        <v>850</v>
      </c>
      <c r="Q355" s="15">
        <v>650</v>
      </c>
      <c r="R355" s="15">
        <v>600</v>
      </c>
      <c r="S355" s="15">
        <v>775</v>
      </c>
      <c r="T355" s="15">
        <v>650</v>
      </c>
      <c r="U355" s="15">
        <v>457</v>
      </c>
      <c r="V355" s="15">
        <v>700</v>
      </c>
      <c r="W355" s="15">
        <v>715</v>
      </c>
      <c r="X355" s="15">
        <v>525</v>
      </c>
      <c r="Y355" s="15">
        <v>695</v>
      </c>
      <c r="Z355" s="4">
        <v>16287</v>
      </c>
      <c r="AA355" s="26">
        <v>24</v>
      </c>
      <c r="AB355" s="7">
        <v>0.1585</v>
      </c>
    </row>
    <row r="356" spans="1:28" x14ac:dyDescent="0.35">
      <c r="A356" s="1">
        <v>4004355</v>
      </c>
      <c r="B356" s="15">
        <v>200</v>
      </c>
      <c r="C356" s="15">
        <v>275</v>
      </c>
      <c r="D356" s="15">
        <v>125</v>
      </c>
      <c r="E356" s="15">
        <v>100</v>
      </c>
      <c r="F356" s="15">
        <v>100</v>
      </c>
      <c r="G356" s="15">
        <v>225</v>
      </c>
      <c r="H356" s="15">
        <v>125</v>
      </c>
      <c r="I356" s="15">
        <v>125</v>
      </c>
      <c r="J356" s="15">
        <v>150</v>
      </c>
      <c r="K356" s="15">
        <v>200</v>
      </c>
      <c r="L356" s="15">
        <v>100</v>
      </c>
      <c r="M356" s="15">
        <v>75</v>
      </c>
      <c r="N356" s="15">
        <v>325</v>
      </c>
      <c r="O356" s="15">
        <v>135</v>
      </c>
      <c r="P356" s="15">
        <v>200</v>
      </c>
      <c r="Q356" s="15">
        <v>75</v>
      </c>
      <c r="R356" s="15">
        <v>175</v>
      </c>
      <c r="S356" s="15">
        <v>125</v>
      </c>
      <c r="T356" s="15">
        <v>25</v>
      </c>
      <c r="U356" s="15">
        <v>175</v>
      </c>
      <c r="V356" s="15">
        <v>175</v>
      </c>
      <c r="W356" s="15">
        <v>225</v>
      </c>
      <c r="X356" s="15">
        <v>150</v>
      </c>
      <c r="Y356" s="15">
        <v>125</v>
      </c>
      <c r="Z356" s="4">
        <v>3710</v>
      </c>
      <c r="AA356" s="26">
        <v>24</v>
      </c>
      <c r="AB356" s="7">
        <v>0.42599999999999999</v>
      </c>
    </row>
    <row r="357" spans="1:28" x14ac:dyDescent="0.35">
      <c r="A357" s="1">
        <v>4004359</v>
      </c>
      <c r="B357" s="15">
        <v>25</v>
      </c>
      <c r="C357" s="15">
        <v>47</v>
      </c>
      <c r="D357" s="15">
        <v>64</v>
      </c>
      <c r="E357" s="15">
        <v>39</v>
      </c>
      <c r="F357" s="15">
        <v>70</v>
      </c>
      <c r="G357" s="15">
        <v>23</v>
      </c>
      <c r="H357" s="15">
        <v>36</v>
      </c>
      <c r="I357" s="15">
        <v>30</v>
      </c>
      <c r="J357" s="15">
        <v>57</v>
      </c>
      <c r="K357" s="15">
        <v>51</v>
      </c>
      <c r="L357" s="15">
        <v>32</v>
      </c>
      <c r="M357" s="15">
        <v>34</v>
      </c>
      <c r="N357" s="15">
        <v>57</v>
      </c>
      <c r="O357" s="15">
        <v>46</v>
      </c>
      <c r="P357" s="15">
        <v>45</v>
      </c>
      <c r="Q357" s="15">
        <v>9</v>
      </c>
      <c r="R357" s="15">
        <v>34</v>
      </c>
      <c r="S357" s="15">
        <v>53</v>
      </c>
      <c r="T357" s="15">
        <v>50</v>
      </c>
      <c r="U357" s="15">
        <v>63</v>
      </c>
      <c r="V357" s="15">
        <v>81</v>
      </c>
      <c r="W357" s="15">
        <v>77</v>
      </c>
      <c r="X357" s="15">
        <v>15</v>
      </c>
      <c r="Y357" s="15">
        <v>57</v>
      </c>
      <c r="Z357" s="4">
        <v>1095</v>
      </c>
      <c r="AA357" s="26">
        <v>24</v>
      </c>
      <c r="AB357" s="7">
        <v>0.40060000000000001</v>
      </c>
    </row>
    <row r="358" spans="1:28" x14ac:dyDescent="0.35">
      <c r="A358" s="1">
        <v>4004360</v>
      </c>
      <c r="B358" s="15">
        <v>2000</v>
      </c>
      <c r="C358" s="15">
        <v>750</v>
      </c>
      <c r="D358" s="15">
        <v>1000</v>
      </c>
      <c r="E358" s="15">
        <v>1000</v>
      </c>
      <c r="F358" s="15">
        <v>1500</v>
      </c>
      <c r="G358" s="15">
        <v>1500</v>
      </c>
      <c r="H358" s="15">
        <v>1000</v>
      </c>
      <c r="I358" s="15">
        <v>1250</v>
      </c>
      <c r="J358" s="15">
        <v>1250</v>
      </c>
      <c r="K358" s="15">
        <v>1500</v>
      </c>
      <c r="L358" s="15">
        <v>1000</v>
      </c>
      <c r="M358" s="15">
        <v>1000</v>
      </c>
      <c r="N358" s="15">
        <v>1500</v>
      </c>
      <c r="O358" s="15">
        <v>1000</v>
      </c>
      <c r="P358" s="15">
        <v>1500</v>
      </c>
      <c r="Q358" s="15">
        <v>1000</v>
      </c>
      <c r="R358" s="15">
        <v>750</v>
      </c>
      <c r="S358" s="15">
        <v>1300</v>
      </c>
      <c r="T358" s="15">
        <v>750</v>
      </c>
      <c r="U358" s="15">
        <v>750</v>
      </c>
      <c r="V358" s="15">
        <v>1500</v>
      </c>
      <c r="W358" s="15">
        <v>1030</v>
      </c>
      <c r="X358" s="15">
        <v>750</v>
      </c>
      <c r="Y358" s="15">
        <v>750</v>
      </c>
      <c r="Z358" s="4">
        <v>27330</v>
      </c>
      <c r="AA358" s="26">
        <v>24</v>
      </c>
      <c r="AB358" s="7">
        <v>0.29060000000000002</v>
      </c>
    </row>
    <row r="359" spans="1:28" x14ac:dyDescent="0.35">
      <c r="A359" s="1">
        <v>4004377</v>
      </c>
      <c r="B359" s="15">
        <v>89</v>
      </c>
      <c r="C359" s="15">
        <v>85</v>
      </c>
      <c r="D359" s="15">
        <v>85</v>
      </c>
      <c r="E359" s="15">
        <v>128</v>
      </c>
      <c r="F359" s="15">
        <v>95</v>
      </c>
      <c r="G359" s="15">
        <v>136</v>
      </c>
      <c r="H359" s="15">
        <v>50</v>
      </c>
      <c r="I359" s="15">
        <v>130</v>
      </c>
      <c r="J359" s="15">
        <v>115</v>
      </c>
      <c r="K359" s="15">
        <v>80</v>
      </c>
      <c r="L359" s="15">
        <v>115</v>
      </c>
      <c r="M359" s="15">
        <v>75</v>
      </c>
      <c r="N359" s="15">
        <v>135</v>
      </c>
      <c r="O359" s="15">
        <v>115</v>
      </c>
      <c r="P359" s="15">
        <v>85</v>
      </c>
      <c r="Q359" s="15">
        <v>95</v>
      </c>
      <c r="R359" s="15">
        <v>80</v>
      </c>
      <c r="S359" s="15">
        <v>130</v>
      </c>
      <c r="T359" s="15">
        <v>40</v>
      </c>
      <c r="U359" s="15">
        <v>65</v>
      </c>
      <c r="V359" s="15">
        <v>120</v>
      </c>
      <c r="W359" s="15">
        <v>85</v>
      </c>
      <c r="X359" s="15">
        <v>100</v>
      </c>
      <c r="Y359" s="15">
        <v>95</v>
      </c>
      <c r="Z359" s="4">
        <v>2328</v>
      </c>
      <c r="AA359" s="26">
        <v>24</v>
      </c>
      <c r="AB359" s="7">
        <v>0.2646</v>
      </c>
    </row>
    <row r="360" spans="1:28" x14ac:dyDescent="0.35">
      <c r="A360" s="1">
        <v>4004385</v>
      </c>
      <c r="B360" s="15">
        <v>6010</v>
      </c>
      <c r="C360" s="15">
        <v>6450</v>
      </c>
      <c r="D360" s="15">
        <v>5310</v>
      </c>
      <c r="E360" s="15">
        <v>5550</v>
      </c>
      <c r="F360" s="15">
        <v>7890</v>
      </c>
      <c r="G360" s="15">
        <v>5970</v>
      </c>
      <c r="H360" s="15">
        <v>5100</v>
      </c>
      <c r="I360" s="15">
        <v>5310</v>
      </c>
      <c r="J360" s="15">
        <v>5580</v>
      </c>
      <c r="K360" s="15">
        <v>5910</v>
      </c>
      <c r="L360" s="15">
        <v>3780</v>
      </c>
      <c r="M360" s="15">
        <v>5490</v>
      </c>
      <c r="N360" s="15">
        <v>4410</v>
      </c>
      <c r="O360" s="15">
        <v>6060</v>
      </c>
      <c r="P360" s="15">
        <v>5760</v>
      </c>
      <c r="Q360" s="15">
        <v>6570</v>
      </c>
      <c r="R360" s="15">
        <v>6690</v>
      </c>
      <c r="S360" s="15">
        <v>6330</v>
      </c>
      <c r="T360" s="15">
        <v>6750</v>
      </c>
      <c r="U360" s="15">
        <v>5730</v>
      </c>
      <c r="V360" s="15">
        <v>7160</v>
      </c>
      <c r="W360" s="15">
        <v>8290</v>
      </c>
      <c r="X360" s="15">
        <v>6780</v>
      </c>
      <c r="Y360" s="15">
        <v>6150</v>
      </c>
      <c r="Z360" s="4">
        <v>145030</v>
      </c>
      <c r="AA360" s="26">
        <v>24</v>
      </c>
      <c r="AB360" s="7">
        <v>0.16</v>
      </c>
    </row>
    <row r="361" spans="1:28" x14ac:dyDescent="0.35">
      <c r="A361" s="1">
        <v>4004397</v>
      </c>
      <c r="B361" s="15">
        <v>165</v>
      </c>
      <c r="C361" s="15">
        <v>110</v>
      </c>
      <c r="D361" s="15">
        <v>55</v>
      </c>
      <c r="E361" s="15">
        <v>110</v>
      </c>
      <c r="F361" s="15">
        <v>525</v>
      </c>
      <c r="G361" s="15">
        <v>0</v>
      </c>
      <c r="H361" s="15">
        <v>0</v>
      </c>
      <c r="I361" s="15">
        <v>0</v>
      </c>
      <c r="J361" s="15">
        <v>420</v>
      </c>
      <c r="K361" s="15">
        <v>210</v>
      </c>
      <c r="L361" s="15">
        <v>105</v>
      </c>
      <c r="M361" s="15">
        <v>0</v>
      </c>
      <c r="N361" s="15">
        <v>105</v>
      </c>
      <c r="O361" s="15">
        <v>315</v>
      </c>
      <c r="P361" s="15">
        <v>0</v>
      </c>
      <c r="Q361" s="15">
        <v>105</v>
      </c>
      <c r="R361" s="15">
        <v>0</v>
      </c>
      <c r="S361" s="15">
        <v>420</v>
      </c>
      <c r="T361" s="15">
        <v>0</v>
      </c>
      <c r="U361" s="15">
        <v>105</v>
      </c>
      <c r="V361" s="15">
        <v>105</v>
      </c>
      <c r="W361" s="15">
        <v>0</v>
      </c>
      <c r="X361" s="15">
        <v>210</v>
      </c>
      <c r="Y361" s="15">
        <v>105</v>
      </c>
      <c r="Z361" s="4">
        <v>3170</v>
      </c>
      <c r="AA361" s="26">
        <v>16</v>
      </c>
      <c r="AB361" s="7">
        <v>1.1120000000000001</v>
      </c>
    </row>
    <row r="362" spans="1:28" x14ac:dyDescent="0.35">
      <c r="A362" s="1">
        <v>4004401</v>
      </c>
      <c r="B362" s="15">
        <v>426</v>
      </c>
      <c r="C362" s="15">
        <v>270</v>
      </c>
      <c r="D362" s="15">
        <v>450</v>
      </c>
      <c r="E362" s="15">
        <v>414</v>
      </c>
      <c r="F362" s="15">
        <v>600</v>
      </c>
      <c r="G362" s="15">
        <v>606</v>
      </c>
      <c r="H362" s="15">
        <v>582</v>
      </c>
      <c r="I362" s="15">
        <v>354</v>
      </c>
      <c r="J362" s="15">
        <v>372</v>
      </c>
      <c r="K362" s="15">
        <v>413</v>
      </c>
      <c r="L362" s="15">
        <v>492</v>
      </c>
      <c r="M362" s="15">
        <v>474</v>
      </c>
      <c r="N362" s="15">
        <v>372</v>
      </c>
      <c r="O362" s="15">
        <v>606</v>
      </c>
      <c r="P362" s="15">
        <v>864</v>
      </c>
      <c r="Q362" s="15">
        <v>474</v>
      </c>
      <c r="R362" s="15">
        <v>678</v>
      </c>
      <c r="S362" s="15">
        <v>540</v>
      </c>
      <c r="T362" s="15">
        <v>756</v>
      </c>
      <c r="U362" s="15">
        <v>512</v>
      </c>
      <c r="V362" s="15">
        <v>450</v>
      </c>
      <c r="W362" s="15">
        <v>456</v>
      </c>
      <c r="X362" s="15">
        <v>552</v>
      </c>
      <c r="Y362" s="15">
        <v>591</v>
      </c>
      <c r="Z362" s="4">
        <v>12304</v>
      </c>
      <c r="AA362" s="26">
        <v>24</v>
      </c>
      <c r="AB362" s="7">
        <v>0.25609999999999999</v>
      </c>
    </row>
    <row r="363" spans="1:28" x14ac:dyDescent="0.35">
      <c r="A363" s="1">
        <v>4004408</v>
      </c>
      <c r="B363" s="15">
        <v>100</v>
      </c>
      <c r="C363" s="15">
        <v>100</v>
      </c>
      <c r="D363" s="15">
        <v>50</v>
      </c>
      <c r="E363" s="15">
        <v>75</v>
      </c>
      <c r="F363" s="15">
        <v>125</v>
      </c>
      <c r="G363" s="15">
        <v>50</v>
      </c>
      <c r="H363" s="15">
        <v>75</v>
      </c>
      <c r="I363" s="15">
        <v>75</v>
      </c>
      <c r="J363" s="15">
        <v>75</v>
      </c>
      <c r="K363" s="15">
        <v>100</v>
      </c>
      <c r="L363" s="15">
        <v>125</v>
      </c>
      <c r="M363" s="15">
        <v>50</v>
      </c>
      <c r="N363" s="15">
        <v>100</v>
      </c>
      <c r="O363" s="15">
        <v>48</v>
      </c>
      <c r="P363" s="15">
        <v>73</v>
      </c>
      <c r="Q363" s="15">
        <v>144</v>
      </c>
      <c r="R363" s="15">
        <v>144</v>
      </c>
      <c r="S363" s="15">
        <v>0</v>
      </c>
      <c r="T363" s="15">
        <v>192</v>
      </c>
      <c r="U363" s="15">
        <v>96</v>
      </c>
      <c r="V363" s="15">
        <v>25</v>
      </c>
      <c r="W363" s="15">
        <v>146</v>
      </c>
      <c r="X363" s="15">
        <v>73</v>
      </c>
      <c r="Y363" s="15">
        <v>148</v>
      </c>
      <c r="Z363" s="4">
        <v>2189</v>
      </c>
      <c r="AA363" s="26">
        <v>23</v>
      </c>
      <c r="AB363" s="7">
        <v>0.4798</v>
      </c>
    </row>
    <row r="364" spans="1:28" x14ac:dyDescent="0.35">
      <c r="A364" s="1">
        <v>4004410</v>
      </c>
      <c r="B364" s="15">
        <v>1340</v>
      </c>
      <c r="C364" s="15">
        <v>1145</v>
      </c>
      <c r="D364" s="15">
        <v>1150</v>
      </c>
      <c r="E364" s="15">
        <v>1215</v>
      </c>
      <c r="F364" s="15">
        <v>1369</v>
      </c>
      <c r="G364" s="15">
        <v>1060</v>
      </c>
      <c r="H364" s="15">
        <v>733</v>
      </c>
      <c r="I364" s="15">
        <v>1090</v>
      </c>
      <c r="J364" s="15">
        <v>1205</v>
      </c>
      <c r="K364" s="15">
        <v>1039</v>
      </c>
      <c r="L364" s="15">
        <v>1113</v>
      </c>
      <c r="M364" s="15">
        <v>1106</v>
      </c>
      <c r="N364" s="15">
        <v>1370</v>
      </c>
      <c r="O364" s="15">
        <v>1250</v>
      </c>
      <c r="P364" s="15">
        <v>1380</v>
      </c>
      <c r="Q364" s="15">
        <v>1175</v>
      </c>
      <c r="R364" s="15">
        <v>1395</v>
      </c>
      <c r="S364" s="15">
        <v>1045</v>
      </c>
      <c r="T364" s="15">
        <v>720</v>
      </c>
      <c r="U364" s="15">
        <v>1175</v>
      </c>
      <c r="V364" s="15">
        <v>1345</v>
      </c>
      <c r="W364" s="15">
        <v>1225</v>
      </c>
      <c r="X364" s="15">
        <v>1255</v>
      </c>
      <c r="Y364" s="15">
        <v>1185</v>
      </c>
      <c r="Z364" s="4">
        <v>28085</v>
      </c>
      <c r="AA364" s="26">
        <v>24</v>
      </c>
      <c r="AB364" s="7">
        <v>0.1467</v>
      </c>
    </row>
    <row r="365" spans="1:28" x14ac:dyDescent="0.35">
      <c r="A365" s="1">
        <v>4004437</v>
      </c>
      <c r="B365" s="15">
        <v>315</v>
      </c>
      <c r="C365" s="15">
        <v>220</v>
      </c>
      <c r="D365" s="15">
        <v>290</v>
      </c>
      <c r="E365" s="15">
        <v>205</v>
      </c>
      <c r="F365" s="15">
        <v>305</v>
      </c>
      <c r="G365" s="15">
        <v>245</v>
      </c>
      <c r="H365" s="15">
        <v>295</v>
      </c>
      <c r="I365" s="15">
        <v>265</v>
      </c>
      <c r="J365" s="15">
        <v>245</v>
      </c>
      <c r="K365" s="15">
        <v>320</v>
      </c>
      <c r="L365" s="15">
        <v>285</v>
      </c>
      <c r="M365" s="15">
        <v>295</v>
      </c>
      <c r="N365" s="15">
        <v>300</v>
      </c>
      <c r="O365" s="15">
        <v>325</v>
      </c>
      <c r="P365" s="15">
        <v>330</v>
      </c>
      <c r="Q365" s="15">
        <v>220</v>
      </c>
      <c r="R365" s="15">
        <v>205</v>
      </c>
      <c r="S365" s="15">
        <v>280</v>
      </c>
      <c r="T365" s="15">
        <v>250</v>
      </c>
      <c r="U365" s="15">
        <v>330</v>
      </c>
      <c r="V365" s="15">
        <v>290</v>
      </c>
      <c r="W365" s="15">
        <v>305</v>
      </c>
      <c r="X365" s="15">
        <v>315</v>
      </c>
      <c r="Y365" s="15">
        <v>400</v>
      </c>
      <c r="Z365" s="4">
        <v>6835</v>
      </c>
      <c r="AA365" s="26">
        <v>24</v>
      </c>
      <c r="AB365" s="7">
        <v>0.15909999999999999</v>
      </c>
    </row>
    <row r="366" spans="1:28" x14ac:dyDescent="0.35">
      <c r="A366" s="1">
        <v>4004438</v>
      </c>
      <c r="B366" s="15">
        <v>715</v>
      </c>
      <c r="C366" s="15">
        <v>635</v>
      </c>
      <c r="D366" s="15">
        <v>800</v>
      </c>
      <c r="E366" s="15">
        <v>790</v>
      </c>
      <c r="F366" s="15">
        <v>865</v>
      </c>
      <c r="G366" s="15">
        <v>765</v>
      </c>
      <c r="H366" s="15">
        <v>670</v>
      </c>
      <c r="I366" s="15">
        <v>640</v>
      </c>
      <c r="J366" s="15">
        <v>830</v>
      </c>
      <c r="K366" s="15">
        <v>785</v>
      </c>
      <c r="L366" s="15">
        <v>770</v>
      </c>
      <c r="M366" s="15">
        <v>750</v>
      </c>
      <c r="N366" s="15">
        <v>855</v>
      </c>
      <c r="O366" s="15">
        <v>785</v>
      </c>
      <c r="P366" s="15">
        <v>765</v>
      </c>
      <c r="Q366" s="15">
        <v>760</v>
      </c>
      <c r="R366" s="15">
        <v>765</v>
      </c>
      <c r="S366" s="15">
        <v>760</v>
      </c>
      <c r="T366" s="15">
        <v>650</v>
      </c>
      <c r="U366" s="15">
        <v>665</v>
      </c>
      <c r="V366" s="15">
        <v>920</v>
      </c>
      <c r="W366" s="15">
        <v>765</v>
      </c>
      <c r="X366" s="15">
        <v>750</v>
      </c>
      <c r="Y366" s="15">
        <v>920</v>
      </c>
      <c r="Z366" s="4">
        <v>18375</v>
      </c>
      <c r="AA366" s="26">
        <v>24</v>
      </c>
      <c r="AB366" s="7">
        <v>0.1</v>
      </c>
    </row>
    <row r="367" spans="1:28" x14ac:dyDescent="0.35">
      <c r="A367" s="1">
        <v>4004439</v>
      </c>
      <c r="B367" s="15">
        <v>350</v>
      </c>
      <c r="C367" s="15">
        <v>260</v>
      </c>
      <c r="D367" s="15">
        <v>210</v>
      </c>
      <c r="E367" s="15">
        <v>175</v>
      </c>
      <c r="F367" s="15">
        <v>125</v>
      </c>
      <c r="G367" s="15">
        <v>145</v>
      </c>
      <c r="H367" s="15">
        <v>175</v>
      </c>
      <c r="I367" s="15">
        <v>70</v>
      </c>
      <c r="J367" s="15">
        <v>175</v>
      </c>
      <c r="K367" s="15">
        <v>180</v>
      </c>
      <c r="L367" s="15">
        <v>170</v>
      </c>
      <c r="M367" s="15">
        <v>200</v>
      </c>
      <c r="N367" s="15">
        <v>170</v>
      </c>
      <c r="O367" s="15">
        <v>185</v>
      </c>
      <c r="P367" s="15">
        <v>190</v>
      </c>
      <c r="Q367" s="15">
        <v>180</v>
      </c>
      <c r="R367" s="15">
        <v>140</v>
      </c>
      <c r="S367" s="15">
        <v>145</v>
      </c>
      <c r="T367" s="15">
        <v>105</v>
      </c>
      <c r="U367" s="15">
        <v>115</v>
      </c>
      <c r="V367" s="15">
        <v>160</v>
      </c>
      <c r="W367" s="15">
        <v>150</v>
      </c>
      <c r="X367" s="15">
        <v>155</v>
      </c>
      <c r="Y367" s="15">
        <v>125</v>
      </c>
      <c r="Z367" s="4">
        <v>4055</v>
      </c>
      <c r="AA367" s="26">
        <v>24</v>
      </c>
      <c r="AB367" s="7">
        <v>0.31519999999999998</v>
      </c>
    </row>
    <row r="368" spans="1:28" x14ac:dyDescent="0.35">
      <c r="A368" s="1">
        <v>4004440</v>
      </c>
      <c r="B368" s="15">
        <v>35</v>
      </c>
      <c r="C368" s="15">
        <v>10</v>
      </c>
      <c r="D368" s="15">
        <v>60</v>
      </c>
      <c r="E368" s="15">
        <v>80</v>
      </c>
      <c r="F368" s="15">
        <v>40</v>
      </c>
      <c r="G368" s="15">
        <v>40</v>
      </c>
      <c r="H368" s="15">
        <v>55</v>
      </c>
      <c r="I368" s="15">
        <v>35</v>
      </c>
      <c r="J368" s="15">
        <v>40</v>
      </c>
      <c r="K368" s="15">
        <v>60</v>
      </c>
      <c r="L368" s="15">
        <v>20</v>
      </c>
      <c r="M368" s="15">
        <v>15</v>
      </c>
      <c r="N368" s="15">
        <v>20</v>
      </c>
      <c r="O368" s="15">
        <v>50</v>
      </c>
      <c r="P368" s="15">
        <v>70</v>
      </c>
      <c r="Q368" s="15">
        <v>30</v>
      </c>
      <c r="R368" s="15">
        <v>30</v>
      </c>
      <c r="S368" s="15">
        <v>40</v>
      </c>
      <c r="T368" s="15">
        <v>20</v>
      </c>
      <c r="U368" s="15">
        <v>50</v>
      </c>
      <c r="V368" s="15">
        <v>70</v>
      </c>
      <c r="W368" s="15">
        <v>10</v>
      </c>
      <c r="X368" s="15">
        <v>40</v>
      </c>
      <c r="Y368" s="15">
        <v>30</v>
      </c>
      <c r="Z368" s="4">
        <v>950</v>
      </c>
      <c r="AA368" s="26">
        <v>24</v>
      </c>
      <c r="AB368" s="7">
        <v>0.47810000000000002</v>
      </c>
    </row>
    <row r="369" spans="1:29" x14ac:dyDescent="0.35">
      <c r="A369" s="1">
        <v>4004441</v>
      </c>
      <c r="B369" s="15">
        <v>0</v>
      </c>
      <c r="C369" s="15">
        <v>0</v>
      </c>
      <c r="D369" s="15">
        <v>0</v>
      </c>
      <c r="E369" s="15">
        <v>10</v>
      </c>
      <c r="F369" s="15">
        <v>10</v>
      </c>
      <c r="G369" s="15">
        <v>10</v>
      </c>
      <c r="H369" s="15">
        <v>10</v>
      </c>
      <c r="I369" s="15">
        <v>10</v>
      </c>
      <c r="J369" s="15">
        <v>0</v>
      </c>
      <c r="K369" s="15">
        <v>10</v>
      </c>
      <c r="L369" s="15">
        <v>5</v>
      </c>
      <c r="M369" s="15">
        <v>0</v>
      </c>
      <c r="N369" s="15">
        <v>0</v>
      </c>
      <c r="O369" s="15">
        <v>0</v>
      </c>
      <c r="P369" s="15">
        <v>10</v>
      </c>
      <c r="Q369" s="15">
        <v>10</v>
      </c>
      <c r="R369" s="15">
        <v>0</v>
      </c>
      <c r="S369" s="15">
        <v>20</v>
      </c>
      <c r="T369" s="15">
        <v>0</v>
      </c>
      <c r="U369" s="15">
        <v>0</v>
      </c>
      <c r="V369" s="15">
        <v>0</v>
      </c>
      <c r="W369" s="15">
        <v>20</v>
      </c>
      <c r="X369" s="15">
        <v>0</v>
      </c>
      <c r="Y369" s="15">
        <v>10</v>
      </c>
      <c r="Z369" s="4">
        <v>135</v>
      </c>
      <c r="AA369" s="26">
        <v>12</v>
      </c>
      <c r="AB369" s="7">
        <v>1.1276999999999999</v>
      </c>
    </row>
    <row r="370" spans="1:29" x14ac:dyDescent="0.35">
      <c r="A370" s="1">
        <v>4004447</v>
      </c>
      <c r="B370" s="15">
        <v>250</v>
      </c>
      <c r="C370" s="15">
        <v>300</v>
      </c>
      <c r="D370" s="15">
        <v>0</v>
      </c>
      <c r="E370" s="15">
        <v>50</v>
      </c>
      <c r="F370" s="15">
        <v>300</v>
      </c>
      <c r="G370" s="15">
        <v>550</v>
      </c>
      <c r="H370" s="15">
        <v>100</v>
      </c>
      <c r="I370" s="15">
        <v>100</v>
      </c>
      <c r="J370" s="15">
        <v>0</v>
      </c>
      <c r="K370" s="15">
        <v>400</v>
      </c>
      <c r="L370" s="15">
        <v>300</v>
      </c>
      <c r="M370" s="15">
        <v>100</v>
      </c>
      <c r="N370" s="15">
        <v>0</v>
      </c>
      <c r="O370" s="15">
        <v>0</v>
      </c>
      <c r="P370" s="15">
        <v>150</v>
      </c>
      <c r="Q370" s="15">
        <v>0</v>
      </c>
      <c r="R370" s="15">
        <v>50</v>
      </c>
      <c r="S370" s="15">
        <v>500</v>
      </c>
      <c r="T370" s="15">
        <v>0</v>
      </c>
      <c r="U370" s="15">
        <v>0</v>
      </c>
      <c r="V370" s="15">
        <v>200</v>
      </c>
      <c r="W370" s="15">
        <v>200</v>
      </c>
      <c r="X370" s="15">
        <v>200</v>
      </c>
      <c r="Y370" s="15">
        <v>200</v>
      </c>
      <c r="Z370" s="4">
        <v>3950</v>
      </c>
      <c r="AA370" s="26">
        <v>17</v>
      </c>
      <c r="AB370" s="7">
        <v>0.97060000000000002</v>
      </c>
    </row>
    <row r="371" spans="1:29" x14ac:dyDescent="0.35">
      <c r="A371" s="1">
        <v>4004450</v>
      </c>
      <c r="B371" s="15">
        <v>50</v>
      </c>
      <c r="C371" s="15">
        <v>60</v>
      </c>
      <c r="D371" s="15">
        <v>40</v>
      </c>
      <c r="E371" s="15">
        <v>60</v>
      </c>
      <c r="F371" s="15">
        <v>30</v>
      </c>
      <c r="G371" s="15">
        <v>70</v>
      </c>
      <c r="H371" s="15">
        <v>10</v>
      </c>
      <c r="I371" s="15">
        <v>30</v>
      </c>
      <c r="J371" s="15">
        <v>20</v>
      </c>
      <c r="K371" s="15">
        <v>20</v>
      </c>
      <c r="L371" s="15">
        <v>30</v>
      </c>
      <c r="M371" s="15">
        <v>50</v>
      </c>
      <c r="N371" s="15">
        <v>70</v>
      </c>
      <c r="O371" s="15">
        <v>80</v>
      </c>
      <c r="P371" s="15">
        <v>30</v>
      </c>
      <c r="Q371" s="15">
        <v>50</v>
      </c>
      <c r="R371" s="15">
        <v>90</v>
      </c>
      <c r="S371" s="15">
        <v>40</v>
      </c>
      <c r="T371" s="15">
        <v>30</v>
      </c>
      <c r="U371" s="15">
        <v>10</v>
      </c>
      <c r="V371" s="15">
        <v>50</v>
      </c>
      <c r="W371" s="15">
        <v>100</v>
      </c>
      <c r="X371" s="15">
        <v>40</v>
      </c>
      <c r="Y371" s="15">
        <v>110</v>
      </c>
      <c r="Z371" s="4">
        <v>1170</v>
      </c>
      <c r="AA371" s="26">
        <v>24</v>
      </c>
      <c r="AB371" s="7">
        <v>0.54369999999999996</v>
      </c>
    </row>
    <row r="372" spans="1:29" x14ac:dyDescent="0.35">
      <c r="A372" s="1">
        <v>4004451</v>
      </c>
      <c r="B372" s="15">
        <v>15</v>
      </c>
      <c r="C372" s="15">
        <v>15</v>
      </c>
      <c r="D372" s="15">
        <v>25</v>
      </c>
      <c r="E372" s="15">
        <v>0</v>
      </c>
      <c r="F372" s="15">
        <v>25</v>
      </c>
      <c r="G372" s="15">
        <v>25</v>
      </c>
      <c r="H372" s="15">
        <v>10</v>
      </c>
      <c r="I372" s="15">
        <v>40</v>
      </c>
      <c r="J372" s="15">
        <v>30</v>
      </c>
      <c r="K372" s="15">
        <v>10</v>
      </c>
      <c r="L372" s="15">
        <v>15</v>
      </c>
      <c r="M372" s="15">
        <v>20</v>
      </c>
      <c r="N372" s="15">
        <v>20</v>
      </c>
      <c r="O372" s="15">
        <v>15</v>
      </c>
      <c r="P372" s="15">
        <v>40</v>
      </c>
      <c r="Q372" s="15">
        <v>45</v>
      </c>
      <c r="R372" s="15">
        <v>70</v>
      </c>
      <c r="S372" s="15">
        <v>25</v>
      </c>
      <c r="T372" s="15">
        <v>15</v>
      </c>
      <c r="U372" s="15">
        <v>5</v>
      </c>
      <c r="V372" s="15">
        <v>25</v>
      </c>
      <c r="W372" s="15">
        <v>15</v>
      </c>
      <c r="X372" s="15">
        <v>5</v>
      </c>
      <c r="Y372" s="15">
        <v>25</v>
      </c>
      <c r="Z372" s="4">
        <v>535</v>
      </c>
      <c r="AA372" s="26">
        <v>23</v>
      </c>
      <c r="AB372" s="7">
        <v>0.66339999999999999</v>
      </c>
    </row>
    <row r="373" spans="1:29" x14ac:dyDescent="0.35">
      <c r="A373" s="1">
        <v>4004453</v>
      </c>
      <c r="B373" s="15">
        <v>700</v>
      </c>
      <c r="C373" s="15">
        <v>300</v>
      </c>
      <c r="D373" s="15">
        <v>550</v>
      </c>
      <c r="E373" s="15">
        <v>550</v>
      </c>
      <c r="F373" s="15">
        <v>500</v>
      </c>
      <c r="G373" s="15">
        <v>350</v>
      </c>
      <c r="H373" s="15">
        <v>900</v>
      </c>
      <c r="I373" s="15">
        <v>700</v>
      </c>
      <c r="J373" s="15">
        <v>950</v>
      </c>
      <c r="K373" s="15">
        <v>550</v>
      </c>
      <c r="L373" s="15">
        <v>600</v>
      </c>
      <c r="M373" s="15">
        <v>850</v>
      </c>
      <c r="N373" s="15">
        <v>350</v>
      </c>
      <c r="O373" s="15">
        <v>850</v>
      </c>
      <c r="P373" s="15">
        <v>450</v>
      </c>
      <c r="Q373" s="15">
        <v>600</v>
      </c>
      <c r="R373" s="15">
        <v>450</v>
      </c>
      <c r="S373" s="15">
        <v>801</v>
      </c>
      <c r="T373" s="15">
        <v>700</v>
      </c>
      <c r="U373" s="15">
        <v>450</v>
      </c>
      <c r="V373" s="15">
        <v>300</v>
      </c>
      <c r="W373" s="15">
        <v>800</v>
      </c>
      <c r="X373" s="15">
        <v>600</v>
      </c>
      <c r="Y373" s="15">
        <v>1100</v>
      </c>
      <c r="Z373" s="4">
        <v>14951</v>
      </c>
      <c r="AA373" s="26">
        <v>24</v>
      </c>
      <c r="AB373" s="7">
        <v>0.33979999999999999</v>
      </c>
    </row>
    <row r="374" spans="1:29" x14ac:dyDescent="0.35">
      <c r="A374" s="1">
        <v>4004674</v>
      </c>
      <c r="B374" s="15">
        <v>80</v>
      </c>
      <c r="C374" s="15">
        <v>60</v>
      </c>
      <c r="D374" s="15">
        <v>90</v>
      </c>
      <c r="E374" s="15">
        <v>110</v>
      </c>
      <c r="F374" s="15">
        <v>80</v>
      </c>
      <c r="G374" s="15">
        <v>40</v>
      </c>
      <c r="H374" s="15">
        <v>100</v>
      </c>
      <c r="I374" s="15">
        <v>80</v>
      </c>
      <c r="J374" s="15">
        <v>50</v>
      </c>
      <c r="K374" s="15">
        <v>50</v>
      </c>
      <c r="L374" s="15">
        <v>90</v>
      </c>
      <c r="M374" s="15">
        <v>40</v>
      </c>
      <c r="N374" s="15">
        <v>210</v>
      </c>
      <c r="O374" s="15">
        <v>50</v>
      </c>
      <c r="P374" s="15">
        <v>70</v>
      </c>
      <c r="Q374" s="15">
        <v>40</v>
      </c>
      <c r="R374" s="15">
        <v>100</v>
      </c>
      <c r="S374" s="15">
        <v>80</v>
      </c>
      <c r="T374" s="15">
        <v>70</v>
      </c>
      <c r="U374" s="15">
        <v>80</v>
      </c>
      <c r="V374" s="15">
        <v>0</v>
      </c>
      <c r="W374" s="15">
        <v>60</v>
      </c>
      <c r="X374" s="15">
        <v>80</v>
      </c>
      <c r="Y374" s="15">
        <v>40</v>
      </c>
      <c r="Z374" s="4">
        <v>1750</v>
      </c>
      <c r="AA374" s="26">
        <v>23</v>
      </c>
      <c r="AB374" s="7">
        <v>0.51690000000000003</v>
      </c>
    </row>
    <row r="375" spans="1:29" x14ac:dyDescent="0.35">
      <c r="A375" s="1">
        <v>4004679</v>
      </c>
      <c r="B375" s="15">
        <v>40</v>
      </c>
      <c r="C375" s="15">
        <v>0</v>
      </c>
      <c r="D375" s="15">
        <v>20</v>
      </c>
      <c r="E375" s="15">
        <v>70</v>
      </c>
      <c r="F375" s="15">
        <v>0</v>
      </c>
      <c r="G375" s="15">
        <v>40</v>
      </c>
      <c r="H375" s="15">
        <v>20</v>
      </c>
      <c r="I375" s="15">
        <v>20</v>
      </c>
      <c r="J375" s="15">
        <v>0</v>
      </c>
      <c r="K375" s="15">
        <v>20</v>
      </c>
      <c r="L375" s="15">
        <v>20</v>
      </c>
      <c r="M375" s="15">
        <v>0</v>
      </c>
      <c r="N375" s="15">
        <v>0</v>
      </c>
      <c r="O375" s="15">
        <v>40</v>
      </c>
      <c r="P375" s="15">
        <v>0</v>
      </c>
      <c r="Q375" s="15">
        <v>0</v>
      </c>
      <c r="R375" s="15">
        <v>20</v>
      </c>
      <c r="S375" s="15">
        <v>0</v>
      </c>
      <c r="T375" s="15">
        <v>0</v>
      </c>
      <c r="U375" s="15">
        <v>20</v>
      </c>
      <c r="V375" s="15">
        <v>0</v>
      </c>
      <c r="W375" s="15">
        <v>0</v>
      </c>
      <c r="X375" s="15">
        <v>0</v>
      </c>
      <c r="Y375" s="15">
        <v>40</v>
      </c>
      <c r="Z375" s="4">
        <v>370</v>
      </c>
      <c r="AA375" s="26">
        <v>12</v>
      </c>
      <c r="AB375" s="7">
        <v>1.2132000000000001</v>
      </c>
    </row>
    <row r="376" spans="1:29" x14ac:dyDescent="0.35">
      <c r="A376" s="1">
        <v>4004700</v>
      </c>
      <c r="B376" s="15">
        <v>0</v>
      </c>
      <c r="C376" s="15">
        <v>0</v>
      </c>
      <c r="D376" s="15">
        <v>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50</v>
      </c>
      <c r="U376" s="15">
        <v>50</v>
      </c>
      <c r="V376" s="15">
        <v>150</v>
      </c>
      <c r="W376" s="15">
        <v>150</v>
      </c>
      <c r="X376" s="15">
        <v>150</v>
      </c>
      <c r="Y376" s="15">
        <v>350</v>
      </c>
      <c r="Z376" s="4">
        <v>900</v>
      </c>
      <c r="AA376" s="26">
        <v>6</v>
      </c>
      <c r="AB376" s="7">
        <v>2.1858</v>
      </c>
    </row>
    <row r="377" spans="1:29" x14ac:dyDescent="0.35">
      <c r="A377" s="1">
        <v>4004809</v>
      </c>
      <c r="B377" s="15">
        <v>270</v>
      </c>
      <c r="C377" s="15">
        <v>220</v>
      </c>
      <c r="D377" s="15">
        <v>150</v>
      </c>
      <c r="E377" s="15">
        <v>340</v>
      </c>
      <c r="F377" s="15">
        <v>300</v>
      </c>
      <c r="G377" s="15">
        <v>270</v>
      </c>
      <c r="H377" s="15">
        <v>160</v>
      </c>
      <c r="I377" s="15">
        <v>310</v>
      </c>
      <c r="J377" s="15">
        <v>360</v>
      </c>
      <c r="K377" s="15">
        <v>280</v>
      </c>
      <c r="L377" s="15">
        <v>390</v>
      </c>
      <c r="M377" s="15">
        <v>330</v>
      </c>
      <c r="N377" s="15">
        <v>280</v>
      </c>
      <c r="O377" s="15">
        <v>330</v>
      </c>
      <c r="P377" s="15">
        <v>400</v>
      </c>
      <c r="Q377" s="15">
        <v>280</v>
      </c>
      <c r="R377" s="15">
        <v>360</v>
      </c>
      <c r="S377" s="15">
        <v>240</v>
      </c>
      <c r="T377" s="15">
        <v>270</v>
      </c>
      <c r="U377" s="15">
        <v>300</v>
      </c>
      <c r="V377" s="15">
        <v>330</v>
      </c>
      <c r="W377" s="15">
        <v>450</v>
      </c>
      <c r="X377" s="15">
        <v>280</v>
      </c>
      <c r="Y377" s="15">
        <v>320</v>
      </c>
      <c r="Z377" s="4">
        <v>7220</v>
      </c>
      <c r="AA377" s="26">
        <v>24</v>
      </c>
      <c r="AB377" s="7">
        <v>0.224</v>
      </c>
    </row>
    <row r="378" spans="1:29" x14ac:dyDescent="0.35">
      <c r="A378" s="1">
        <v>4004810</v>
      </c>
      <c r="B378" s="15">
        <v>0</v>
      </c>
      <c r="C378" s="15">
        <v>0</v>
      </c>
      <c r="D378" s="15">
        <v>0</v>
      </c>
      <c r="E378" s="15">
        <v>30</v>
      </c>
      <c r="F378" s="15">
        <v>0</v>
      </c>
      <c r="G378" s="15">
        <v>20</v>
      </c>
      <c r="H378" s="15">
        <v>10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4">
        <v>60</v>
      </c>
      <c r="AA378" s="26">
        <v>3</v>
      </c>
      <c r="AB378" s="7">
        <v>2.8868</v>
      </c>
      <c r="AC378" s="1" t="s">
        <v>3230</v>
      </c>
    </row>
    <row r="379" spans="1:29" x14ac:dyDescent="0.35">
      <c r="A379" s="1">
        <v>4004825</v>
      </c>
      <c r="B379" s="15">
        <v>1400</v>
      </c>
      <c r="C379" s="15">
        <v>1500</v>
      </c>
      <c r="D379" s="15">
        <v>1400</v>
      </c>
      <c r="E379" s="15">
        <v>1500</v>
      </c>
      <c r="F379" s="15">
        <v>1900</v>
      </c>
      <c r="G379" s="15">
        <v>800</v>
      </c>
      <c r="H379" s="15">
        <v>800</v>
      </c>
      <c r="I379" s="15">
        <v>1100</v>
      </c>
      <c r="J379" s="15">
        <v>1500</v>
      </c>
      <c r="K379" s="15">
        <v>1300</v>
      </c>
      <c r="L379" s="15">
        <v>900</v>
      </c>
      <c r="M379" s="15">
        <v>1400</v>
      </c>
      <c r="N379" s="15">
        <v>1500</v>
      </c>
      <c r="O379" s="15">
        <v>2800</v>
      </c>
      <c r="P379" s="15">
        <v>2100</v>
      </c>
      <c r="Q379" s="15">
        <v>1400</v>
      </c>
      <c r="R379" s="15">
        <v>700</v>
      </c>
      <c r="S379" s="15">
        <v>1200</v>
      </c>
      <c r="T379" s="15">
        <v>1300</v>
      </c>
      <c r="U379" s="15">
        <v>1600</v>
      </c>
      <c r="V379" s="15">
        <v>1200</v>
      </c>
      <c r="W379" s="15">
        <v>1600</v>
      </c>
      <c r="X379" s="15">
        <v>1200</v>
      </c>
      <c r="Y379" s="15">
        <v>1300</v>
      </c>
      <c r="Z379" s="4">
        <v>33400</v>
      </c>
      <c r="AA379" s="26">
        <v>24</v>
      </c>
      <c r="AB379" s="7">
        <v>0.31180000000000002</v>
      </c>
    </row>
    <row r="380" spans="1:29" x14ac:dyDescent="0.35">
      <c r="A380" s="1">
        <v>4004843</v>
      </c>
      <c r="B380" s="15">
        <v>0</v>
      </c>
      <c r="C380" s="15">
        <v>30</v>
      </c>
      <c r="D380" s="15">
        <v>0</v>
      </c>
      <c r="E380" s="15">
        <v>10</v>
      </c>
      <c r="F380" s="15">
        <v>0</v>
      </c>
      <c r="G380" s="15">
        <v>0</v>
      </c>
      <c r="H380" s="15">
        <v>0</v>
      </c>
      <c r="I380" s="15">
        <v>20</v>
      </c>
      <c r="J380" s="15">
        <v>60</v>
      </c>
      <c r="K380" s="15">
        <v>0</v>
      </c>
      <c r="L380" s="15">
        <v>0</v>
      </c>
      <c r="M380" s="15">
        <v>0</v>
      </c>
      <c r="N380" s="15">
        <v>30</v>
      </c>
      <c r="O380" s="15">
        <v>10</v>
      </c>
      <c r="P380" s="15">
        <v>120</v>
      </c>
      <c r="Q380" s="15">
        <v>20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20</v>
      </c>
      <c r="Y380" s="15">
        <v>0</v>
      </c>
      <c r="Z380" s="4">
        <v>320</v>
      </c>
      <c r="AA380" s="26">
        <v>9</v>
      </c>
      <c r="AB380" s="7">
        <v>1.9922</v>
      </c>
    </row>
    <row r="381" spans="1:29" x14ac:dyDescent="0.35">
      <c r="A381" s="1">
        <v>4004889</v>
      </c>
      <c r="B381" s="15">
        <v>170</v>
      </c>
      <c r="C381" s="15">
        <v>120</v>
      </c>
      <c r="D381" s="15">
        <v>80</v>
      </c>
      <c r="E381" s="15">
        <v>180</v>
      </c>
      <c r="F381" s="15">
        <v>160</v>
      </c>
      <c r="G381" s="15">
        <v>100</v>
      </c>
      <c r="H381" s="15">
        <v>140</v>
      </c>
      <c r="I381" s="15">
        <v>100</v>
      </c>
      <c r="J381" s="15">
        <v>140</v>
      </c>
      <c r="K381" s="15">
        <v>120</v>
      </c>
      <c r="L381" s="15">
        <v>110</v>
      </c>
      <c r="M381" s="15">
        <v>170</v>
      </c>
      <c r="N381" s="15">
        <v>160</v>
      </c>
      <c r="O381" s="15">
        <v>140</v>
      </c>
      <c r="P381" s="15">
        <v>180</v>
      </c>
      <c r="Q381" s="15">
        <v>250</v>
      </c>
      <c r="R381" s="15">
        <v>160</v>
      </c>
      <c r="S381" s="15">
        <v>130</v>
      </c>
      <c r="T381" s="15">
        <v>130</v>
      </c>
      <c r="U381" s="15">
        <v>120</v>
      </c>
      <c r="V381" s="15">
        <v>160</v>
      </c>
      <c r="W381" s="15">
        <v>160</v>
      </c>
      <c r="X381" s="15">
        <v>150</v>
      </c>
      <c r="Y381" s="15">
        <v>130</v>
      </c>
      <c r="Z381" s="4">
        <v>3460</v>
      </c>
      <c r="AA381" s="26">
        <v>24</v>
      </c>
      <c r="AB381" s="7">
        <v>0.2369</v>
      </c>
    </row>
    <row r="382" spans="1:29" x14ac:dyDescent="0.35">
      <c r="A382" s="1">
        <v>4004891</v>
      </c>
      <c r="B382" s="15">
        <v>100</v>
      </c>
      <c r="C382" s="15">
        <v>80</v>
      </c>
      <c r="D382" s="15">
        <v>110</v>
      </c>
      <c r="E382" s="15">
        <v>120</v>
      </c>
      <c r="F382" s="15">
        <v>170</v>
      </c>
      <c r="G382" s="15">
        <v>110</v>
      </c>
      <c r="H382" s="15">
        <v>80</v>
      </c>
      <c r="I382" s="15">
        <v>50</v>
      </c>
      <c r="J382" s="15">
        <v>190</v>
      </c>
      <c r="K382" s="15">
        <v>160</v>
      </c>
      <c r="L382" s="15">
        <v>110</v>
      </c>
      <c r="M382" s="15">
        <v>80</v>
      </c>
      <c r="N382" s="15">
        <v>160</v>
      </c>
      <c r="O382" s="15">
        <v>100</v>
      </c>
      <c r="P382" s="15">
        <v>100</v>
      </c>
      <c r="Q382" s="15">
        <v>174</v>
      </c>
      <c r="R382" s="15">
        <v>90</v>
      </c>
      <c r="S382" s="15">
        <v>170</v>
      </c>
      <c r="T382" s="15">
        <v>90</v>
      </c>
      <c r="U382" s="15">
        <v>81</v>
      </c>
      <c r="V382" s="15">
        <v>190</v>
      </c>
      <c r="W382" s="15">
        <v>110</v>
      </c>
      <c r="X382" s="15">
        <v>170</v>
      </c>
      <c r="Y382" s="15">
        <v>140</v>
      </c>
      <c r="Z382" s="4">
        <v>2935</v>
      </c>
      <c r="AA382" s="26">
        <v>24</v>
      </c>
      <c r="AB382" s="7">
        <v>0.32669999999999999</v>
      </c>
    </row>
    <row r="383" spans="1:29" x14ac:dyDescent="0.35">
      <c r="A383" s="1">
        <v>4004920</v>
      </c>
      <c r="B383" s="15">
        <v>20</v>
      </c>
      <c r="C383" s="15">
        <v>110</v>
      </c>
      <c r="D383" s="15">
        <v>230</v>
      </c>
      <c r="E383" s="15">
        <v>140</v>
      </c>
      <c r="F383" s="15">
        <v>160</v>
      </c>
      <c r="G383" s="15">
        <v>130</v>
      </c>
      <c r="H383" s="15">
        <v>160</v>
      </c>
      <c r="I383" s="15">
        <v>100</v>
      </c>
      <c r="J383" s="15">
        <v>100</v>
      </c>
      <c r="K383" s="15">
        <v>140</v>
      </c>
      <c r="L383" s="15">
        <v>110</v>
      </c>
      <c r="M383" s="15">
        <v>140</v>
      </c>
      <c r="N383" s="15">
        <v>120</v>
      </c>
      <c r="O383" s="15">
        <v>150</v>
      </c>
      <c r="P383" s="15">
        <v>170</v>
      </c>
      <c r="Q383" s="15">
        <v>100</v>
      </c>
      <c r="R383" s="15">
        <v>150</v>
      </c>
      <c r="S383" s="15">
        <v>110</v>
      </c>
      <c r="T383" s="15">
        <v>100</v>
      </c>
      <c r="U383" s="15">
        <v>170</v>
      </c>
      <c r="V383" s="15">
        <v>110</v>
      </c>
      <c r="W383" s="15">
        <v>140</v>
      </c>
      <c r="X383" s="15">
        <v>130</v>
      </c>
      <c r="Y383" s="15">
        <v>170</v>
      </c>
      <c r="Z383" s="4">
        <v>3160</v>
      </c>
      <c r="AA383" s="26">
        <v>24</v>
      </c>
      <c r="AB383" s="7">
        <v>0.29060000000000002</v>
      </c>
    </row>
    <row r="384" spans="1:29" x14ac:dyDescent="0.35">
      <c r="A384" s="1">
        <v>4004963</v>
      </c>
      <c r="B384" s="15">
        <v>0</v>
      </c>
      <c r="C384" s="15">
        <v>0</v>
      </c>
      <c r="D384" s="15">
        <v>0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28</v>
      </c>
      <c r="T384" s="15">
        <v>0</v>
      </c>
      <c r="U384" s="15">
        <v>36</v>
      </c>
      <c r="V384" s="15">
        <v>29</v>
      </c>
      <c r="W384" s="15">
        <v>37</v>
      </c>
      <c r="X384" s="15">
        <v>174</v>
      </c>
      <c r="Y384" s="15">
        <v>117</v>
      </c>
      <c r="Z384" s="4">
        <v>421</v>
      </c>
      <c r="AA384" s="26">
        <v>6</v>
      </c>
      <c r="AB384" s="7">
        <v>2.3525</v>
      </c>
    </row>
    <row r="385" spans="1:29" x14ac:dyDescent="0.35">
      <c r="A385" s="1">
        <v>4004972</v>
      </c>
      <c r="B385" s="15">
        <v>230</v>
      </c>
      <c r="C385" s="15">
        <v>230</v>
      </c>
      <c r="D385" s="15">
        <v>230</v>
      </c>
      <c r="E385" s="15">
        <v>250</v>
      </c>
      <c r="F385" s="15">
        <v>270</v>
      </c>
      <c r="G385" s="15">
        <v>190</v>
      </c>
      <c r="H385" s="15">
        <v>110</v>
      </c>
      <c r="I385" s="15">
        <v>300</v>
      </c>
      <c r="J385" s="15">
        <v>290</v>
      </c>
      <c r="K385" s="15">
        <v>230</v>
      </c>
      <c r="L385" s="15">
        <v>260</v>
      </c>
      <c r="M385" s="15">
        <v>260</v>
      </c>
      <c r="N385" s="15">
        <v>290</v>
      </c>
      <c r="O385" s="15">
        <v>310</v>
      </c>
      <c r="P385" s="15">
        <v>240</v>
      </c>
      <c r="Q385" s="15">
        <v>230</v>
      </c>
      <c r="R385" s="15">
        <v>240</v>
      </c>
      <c r="S385" s="15">
        <v>190</v>
      </c>
      <c r="T385" s="15">
        <v>120</v>
      </c>
      <c r="U385" s="15">
        <v>260</v>
      </c>
      <c r="V385" s="15">
        <v>280</v>
      </c>
      <c r="W385" s="15">
        <v>290</v>
      </c>
      <c r="X385" s="15">
        <v>240</v>
      </c>
      <c r="Y385" s="15">
        <v>250</v>
      </c>
      <c r="Z385" s="4">
        <v>5790</v>
      </c>
      <c r="AA385" s="26">
        <v>24</v>
      </c>
      <c r="AB385" s="7">
        <v>0.2014</v>
      </c>
    </row>
    <row r="386" spans="1:29" x14ac:dyDescent="0.35">
      <c r="A386" s="1">
        <v>4004973</v>
      </c>
      <c r="B386" s="15">
        <v>120</v>
      </c>
      <c r="C386" s="15">
        <v>90</v>
      </c>
      <c r="D386" s="15">
        <v>90</v>
      </c>
      <c r="E386" s="15">
        <v>130</v>
      </c>
      <c r="F386" s="15">
        <v>90</v>
      </c>
      <c r="G386" s="15">
        <v>80</v>
      </c>
      <c r="H386" s="15">
        <v>50</v>
      </c>
      <c r="I386" s="15">
        <v>100</v>
      </c>
      <c r="J386" s="15">
        <v>140</v>
      </c>
      <c r="K386" s="15">
        <v>100</v>
      </c>
      <c r="L386" s="15">
        <v>90</v>
      </c>
      <c r="M386" s="15">
        <v>60</v>
      </c>
      <c r="N386" s="15">
        <v>140</v>
      </c>
      <c r="O386" s="15">
        <v>120</v>
      </c>
      <c r="P386" s="15">
        <v>110</v>
      </c>
      <c r="Q386" s="15">
        <v>90</v>
      </c>
      <c r="R386" s="15">
        <v>120</v>
      </c>
      <c r="S386" s="15">
        <v>70</v>
      </c>
      <c r="T386" s="15">
        <v>50</v>
      </c>
      <c r="U386" s="15">
        <v>80</v>
      </c>
      <c r="V386" s="15">
        <v>160</v>
      </c>
      <c r="W386" s="15">
        <v>120</v>
      </c>
      <c r="X386" s="15">
        <v>120</v>
      </c>
      <c r="Y386" s="15">
        <v>80</v>
      </c>
      <c r="Z386" s="4">
        <v>2400</v>
      </c>
      <c r="AA386" s="26">
        <v>24</v>
      </c>
      <c r="AB386" s="7">
        <v>0.28139999999999998</v>
      </c>
    </row>
    <row r="387" spans="1:29" x14ac:dyDescent="0.35">
      <c r="A387" s="1">
        <v>4005020</v>
      </c>
      <c r="B387" s="15">
        <v>60</v>
      </c>
      <c r="C387" s="15">
        <v>30</v>
      </c>
      <c r="D387" s="15">
        <v>40</v>
      </c>
      <c r="E387" s="15">
        <v>30</v>
      </c>
      <c r="F387" s="15">
        <v>10</v>
      </c>
      <c r="G387" s="15">
        <v>40</v>
      </c>
      <c r="H387" s="15">
        <v>10</v>
      </c>
      <c r="I387" s="15">
        <v>40</v>
      </c>
      <c r="J387" s="15">
        <v>30</v>
      </c>
      <c r="K387" s="15">
        <v>10</v>
      </c>
      <c r="L387" s="15">
        <v>20</v>
      </c>
      <c r="M387" s="15">
        <v>20</v>
      </c>
      <c r="N387" s="15">
        <v>20</v>
      </c>
      <c r="O387" s="15">
        <v>60</v>
      </c>
      <c r="P387" s="15">
        <v>20</v>
      </c>
      <c r="Q387" s="15">
        <v>10</v>
      </c>
      <c r="R387" s="15">
        <v>30</v>
      </c>
      <c r="S387" s="15">
        <v>30</v>
      </c>
      <c r="T387" s="15">
        <v>10</v>
      </c>
      <c r="U387" s="15">
        <v>40</v>
      </c>
      <c r="V387" s="15">
        <v>60</v>
      </c>
      <c r="W387" s="15">
        <v>20</v>
      </c>
      <c r="X387" s="15">
        <v>20</v>
      </c>
      <c r="Y387" s="15">
        <v>50</v>
      </c>
      <c r="Z387" s="4">
        <v>710</v>
      </c>
      <c r="AA387" s="26">
        <v>24</v>
      </c>
      <c r="AB387" s="7">
        <v>0.53869999999999996</v>
      </c>
    </row>
    <row r="388" spans="1:29" x14ac:dyDescent="0.35">
      <c r="A388" s="1">
        <v>4005032</v>
      </c>
      <c r="B388" s="15">
        <v>0</v>
      </c>
      <c r="C388" s="15">
        <v>15</v>
      </c>
      <c r="D388" s="15">
        <v>30</v>
      </c>
      <c r="E388" s="15">
        <v>5</v>
      </c>
      <c r="F388" s="15">
        <v>18</v>
      </c>
      <c r="G388" s="15">
        <v>8</v>
      </c>
      <c r="H388" s="15">
        <v>0</v>
      </c>
      <c r="I388" s="15">
        <v>50</v>
      </c>
      <c r="J388" s="15">
        <v>27</v>
      </c>
      <c r="K388" s="15">
        <v>8</v>
      </c>
      <c r="L388" s="15">
        <v>33</v>
      </c>
      <c r="M388" s="15">
        <v>41</v>
      </c>
      <c r="N388" s="15">
        <v>16</v>
      </c>
      <c r="O388" s="15">
        <v>10</v>
      </c>
      <c r="P388" s="15">
        <v>8</v>
      </c>
      <c r="Q388" s="15">
        <v>10</v>
      </c>
      <c r="R388" s="15">
        <v>16</v>
      </c>
      <c r="S388" s="15">
        <v>10</v>
      </c>
      <c r="T388" s="15">
        <v>29</v>
      </c>
      <c r="U388" s="15">
        <v>5</v>
      </c>
      <c r="V388" s="15">
        <v>0</v>
      </c>
      <c r="W388" s="15">
        <v>13</v>
      </c>
      <c r="X388" s="15">
        <v>10</v>
      </c>
      <c r="Y388" s="15">
        <v>20</v>
      </c>
      <c r="Z388" s="4">
        <v>382</v>
      </c>
      <c r="AA388" s="26">
        <v>21</v>
      </c>
      <c r="AB388" s="7">
        <v>0.80420000000000003</v>
      </c>
    </row>
    <row r="389" spans="1:29" x14ac:dyDescent="0.35">
      <c r="A389" s="1">
        <v>4005052</v>
      </c>
      <c r="B389" s="15">
        <v>0</v>
      </c>
      <c r="C389" s="15">
        <v>0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24</v>
      </c>
      <c r="W389" s="15">
        <v>0</v>
      </c>
      <c r="X389" s="15">
        <v>64</v>
      </c>
      <c r="Y389" s="15">
        <v>88</v>
      </c>
      <c r="Z389" s="4">
        <v>176</v>
      </c>
      <c r="AA389" s="26">
        <v>3</v>
      </c>
      <c r="AB389" s="7">
        <v>2.9359999999999999</v>
      </c>
      <c r="AC389" s="1" t="s">
        <v>3230</v>
      </c>
    </row>
    <row r="390" spans="1:29" x14ac:dyDescent="0.35">
      <c r="A390" s="1">
        <v>4005446</v>
      </c>
      <c r="B390" s="15">
        <v>0</v>
      </c>
      <c r="C390" s="15">
        <v>0</v>
      </c>
      <c r="D390" s="15">
        <v>0</v>
      </c>
      <c r="E390" s="15">
        <v>40</v>
      </c>
      <c r="F390" s="15">
        <v>0</v>
      </c>
      <c r="G390" s="15">
        <v>80</v>
      </c>
      <c r="H390" s="15">
        <v>40</v>
      </c>
      <c r="I390" s="15">
        <v>20</v>
      </c>
      <c r="J390" s="15">
        <v>20</v>
      </c>
      <c r="K390" s="15">
        <v>20</v>
      </c>
      <c r="L390" s="15">
        <v>60</v>
      </c>
      <c r="M390" s="15">
        <v>40</v>
      </c>
      <c r="N390" s="15">
        <v>0</v>
      </c>
      <c r="O390" s="15">
        <v>60</v>
      </c>
      <c r="P390" s="15">
        <v>0</v>
      </c>
      <c r="Q390" s="15">
        <v>60</v>
      </c>
      <c r="R390" s="15">
        <v>60</v>
      </c>
      <c r="S390" s="15">
        <v>20</v>
      </c>
      <c r="T390" s="15">
        <v>60</v>
      </c>
      <c r="U390" s="15">
        <v>20</v>
      </c>
      <c r="V390" s="15">
        <v>60</v>
      </c>
      <c r="W390" s="15">
        <v>100</v>
      </c>
      <c r="X390" s="15">
        <v>80</v>
      </c>
      <c r="Y390" s="15">
        <v>100</v>
      </c>
      <c r="Z390" s="4">
        <v>940</v>
      </c>
      <c r="AA390" s="26">
        <v>18</v>
      </c>
      <c r="AB390" s="7">
        <v>0.81379999999999997</v>
      </c>
    </row>
    <row r="391" spans="1:29" x14ac:dyDescent="0.35">
      <c r="A391" s="1">
        <v>4005449</v>
      </c>
      <c r="B391" s="15">
        <v>25</v>
      </c>
      <c r="C391" s="15">
        <v>25</v>
      </c>
      <c r="D391" s="15">
        <v>50</v>
      </c>
      <c r="E391" s="15">
        <v>25</v>
      </c>
      <c r="F391" s="15">
        <v>25</v>
      </c>
      <c r="G391" s="15">
        <v>0</v>
      </c>
      <c r="H391" s="15">
        <v>25</v>
      </c>
      <c r="I391" s="15">
        <v>0</v>
      </c>
      <c r="J391" s="15">
        <v>0</v>
      </c>
      <c r="K391" s="15">
        <v>25</v>
      </c>
      <c r="L391" s="15">
        <v>0</v>
      </c>
      <c r="M391" s="15">
        <v>0</v>
      </c>
      <c r="N391" s="15">
        <v>0</v>
      </c>
      <c r="O391" s="15">
        <v>50</v>
      </c>
      <c r="P391" s="15">
        <v>0</v>
      </c>
      <c r="Q391" s="15">
        <v>25</v>
      </c>
      <c r="R391" s="15">
        <v>0</v>
      </c>
      <c r="S391" s="15">
        <v>0</v>
      </c>
      <c r="T391" s="15">
        <v>50</v>
      </c>
      <c r="U391" s="15">
        <v>0</v>
      </c>
      <c r="V391" s="15">
        <v>50</v>
      </c>
      <c r="W391" s="15">
        <v>0</v>
      </c>
      <c r="X391" s="15">
        <v>50</v>
      </c>
      <c r="Y391" s="15">
        <v>10</v>
      </c>
      <c r="Z391" s="4">
        <v>435</v>
      </c>
      <c r="AA391" s="26">
        <v>13</v>
      </c>
      <c r="AB391" s="7">
        <v>1.0738000000000001</v>
      </c>
    </row>
    <row r="392" spans="1:29" x14ac:dyDescent="0.35">
      <c r="A392" s="1">
        <v>4005454</v>
      </c>
      <c r="B392" s="15">
        <v>0</v>
      </c>
      <c r="C392" s="15">
        <v>50</v>
      </c>
      <c r="D392" s="15">
        <v>100</v>
      </c>
      <c r="E392" s="15">
        <v>50</v>
      </c>
      <c r="F392" s="15">
        <v>50</v>
      </c>
      <c r="G392" s="15">
        <v>25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4">
        <v>275</v>
      </c>
      <c r="AA392" s="26">
        <v>5</v>
      </c>
      <c r="AB392" s="7">
        <v>2.1798999999999999</v>
      </c>
      <c r="AC392" s="1" t="s">
        <v>3230</v>
      </c>
    </row>
    <row r="393" spans="1:29" x14ac:dyDescent="0.35">
      <c r="A393" s="1">
        <v>4005503</v>
      </c>
      <c r="B393" s="15">
        <v>12460</v>
      </c>
      <c r="C393" s="15">
        <v>10260</v>
      </c>
      <c r="D393" s="15">
        <v>10580</v>
      </c>
      <c r="E393" s="15">
        <v>10110</v>
      </c>
      <c r="F393" s="15">
        <v>11160</v>
      </c>
      <c r="G393" s="15">
        <v>9360</v>
      </c>
      <c r="H393" s="15">
        <v>7600</v>
      </c>
      <c r="I393" s="15">
        <v>9770</v>
      </c>
      <c r="J393" s="15">
        <v>11575</v>
      </c>
      <c r="K393" s="15">
        <v>10200</v>
      </c>
      <c r="L393" s="15">
        <v>12090</v>
      </c>
      <c r="M393" s="15">
        <v>11280</v>
      </c>
      <c r="N393" s="15">
        <v>11830</v>
      </c>
      <c r="O393" s="15">
        <v>12330</v>
      </c>
      <c r="P393" s="15">
        <v>12190</v>
      </c>
      <c r="Q393" s="15">
        <v>11990</v>
      </c>
      <c r="R393" s="15">
        <v>12340</v>
      </c>
      <c r="S393" s="15">
        <v>10850</v>
      </c>
      <c r="T393" s="15">
        <v>8330</v>
      </c>
      <c r="U393" s="15">
        <v>10614</v>
      </c>
      <c r="V393" s="15">
        <v>13660</v>
      </c>
      <c r="W393" s="15">
        <v>10620</v>
      </c>
      <c r="X393" s="15">
        <v>11340</v>
      </c>
      <c r="Y393" s="15">
        <v>10840</v>
      </c>
      <c r="Z393" s="4">
        <v>263379</v>
      </c>
      <c r="AA393" s="26">
        <v>24</v>
      </c>
      <c r="AB393" s="7">
        <v>0.12189999999999999</v>
      </c>
    </row>
    <row r="394" spans="1:29" x14ac:dyDescent="0.35">
      <c r="A394" s="1">
        <v>4005583</v>
      </c>
      <c r="B394" s="15">
        <v>22836</v>
      </c>
      <c r="C394" s="15">
        <v>13440</v>
      </c>
      <c r="D394" s="15">
        <v>31894</v>
      </c>
      <c r="E394" s="15">
        <v>33450</v>
      </c>
      <c r="F394" s="15">
        <v>28822</v>
      </c>
      <c r="G394" s="15">
        <v>2642</v>
      </c>
      <c r="H394" s="15">
        <v>1968</v>
      </c>
      <c r="I394" s="15">
        <v>56810</v>
      </c>
      <c r="J394" s="15">
        <v>30000</v>
      </c>
      <c r="K394" s="15">
        <v>34544</v>
      </c>
      <c r="L394" s="15">
        <v>5378</v>
      </c>
      <c r="M394" s="15">
        <v>1206</v>
      </c>
      <c r="N394" s="15">
        <v>50250</v>
      </c>
      <c r="O394" s="15">
        <v>25110</v>
      </c>
      <c r="P394" s="15">
        <v>21110</v>
      </c>
      <c r="Q394" s="15">
        <v>18650</v>
      </c>
      <c r="R394" s="15">
        <v>720</v>
      </c>
      <c r="S394" s="15">
        <v>29392</v>
      </c>
      <c r="T394" s="15">
        <v>200</v>
      </c>
      <c r="U394" s="15">
        <v>36300</v>
      </c>
      <c r="V394" s="15">
        <v>34150</v>
      </c>
      <c r="W394" s="15">
        <v>18300</v>
      </c>
      <c r="X394" s="15">
        <v>39240</v>
      </c>
      <c r="Y394" s="15">
        <v>11000</v>
      </c>
      <c r="Z394" s="4">
        <v>547412</v>
      </c>
      <c r="AA394" s="26">
        <v>24</v>
      </c>
      <c r="AB394" s="7">
        <v>0.68379999999999996</v>
      </c>
    </row>
    <row r="395" spans="1:29" x14ac:dyDescent="0.35">
      <c r="A395" s="1">
        <v>4005584</v>
      </c>
      <c r="B395" s="15">
        <v>11300</v>
      </c>
      <c r="C395" s="15">
        <v>14100</v>
      </c>
      <c r="D395" s="15">
        <v>14850</v>
      </c>
      <c r="E395" s="15">
        <v>23150</v>
      </c>
      <c r="F395" s="15">
        <v>18000</v>
      </c>
      <c r="G395" s="15">
        <v>8250</v>
      </c>
      <c r="H395" s="15">
        <v>13600</v>
      </c>
      <c r="I395" s="15">
        <v>7000</v>
      </c>
      <c r="J395" s="15">
        <v>6720</v>
      </c>
      <c r="K395" s="15">
        <v>12000</v>
      </c>
      <c r="L395" s="15">
        <v>16000</v>
      </c>
      <c r="M395" s="15">
        <v>22000</v>
      </c>
      <c r="N395" s="15">
        <v>22000</v>
      </c>
      <c r="O395" s="15">
        <v>10300</v>
      </c>
      <c r="P395" s="15">
        <v>14250</v>
      </c>
      <c r="Q395" s="15">
        <v>14300</v>
      </c>
      <c r="R395" s="15">
        <v>18000</v>
      </c>
      <c r="S395" s="15">
        <v>20000</v>
      </c>
      <c r="T395" s="15">
        <v>12200</v>
      </c>
      <c r="U395" s="15">
        <v>14000</v>
      </c>
      <c r="V395" s="15">
        <v>16200</v>
      </c>
      <c r="W395" s="15">
        <v>17050</v>
      </c>
      <c r="X395" s="15">
        <v>12500</v>
      </c>
      <c r="Y395" s="15">
        <v>20290</v>
      </c>
      <c r="Z395" s="4">
        <v>358060</v>
      </c>
      <c r="AA395" s="26">
        <v>24</v>
      </c>
      <c r="AB395" s="7">
        <v>0.3009</v>
      </c>
    </row>
    <row r="396" spans="1:29" x14ac:dyDescent="0.35">
      <c r="A396" s="1">
        <v>4005783</v>
      </c>
      <c r="B396" s="15">
        <v>0</v>
      </c>
      <c r="C396" s="15">
        <v>0</v>
      </c>
      <c r="D396" s="15">
        <v>0</v>
      </c>
      <c r="E396" s="15">
        <v>20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20</v>
      </c>
      <c r="L396" s="15">
        <v>0</v>
      </c>
      <c r="M396" s="15">
        <v>0</v>
      </c>
      <c r="N396" s="15">
        <v>2</v>
      </c>
      <c r="O396" s="15">
        <v>0</v>
      </c>
      <c r="P396" s="15">
        <v>0</v>
      </c>
      <c r="Q396" s="15">
        <v>0</v>
      </c>
      <c r="R396" s="15">
        <v>0</v>
      </c>
      <c r="S396" s="15">
        <v>20</v>
      </c>
      <c r="T396" s="15">
        <v>0</v>
      </c>
      <c r="U396" s="15">
        <v>0</v>
      </c>
      <c r="V396" s="15">
        <v>0</v>
      </c>
      <c r="W396" s="15">
        <v>20</v>
      </c>
      <c r="X396" s="15">
        <v>20</v>
      </c>
      <c r="Y396" s="15">
        <v>40</v>
      </c>
      <c r="Z396" s="4">
        <v>142</v>
      </c>
      <c r="AA396" s="26">
        <v>7</v>
      </c>
      <c r="AB396" s="7">
        <v>1.8137000000000001</v>
      </c>
    </row>
    <row r="397" spans="1:29" x14ac:dyDescent="0.35">
      <c r="A397" s="1">
        <v>4005791</v>
      </c>
      <c r="B397" s="15">
        <v>5300</v>
      </c>
      <c r="C397" s="15">
        <v>4550</v>
      </c>
      <c r="D397" s="15">
        <v>5400</v>
      </c>
      <c r="E397" s="15">
        <v>3200</v>
      </c>
      <c r="F397" s="15">
        <v>3200</v>
      </c>
      <c r="G397" s="15">
        <v>4000</v>
      </c>
      <c r="H397" s="15">
        <v>4500</v>
      </c>
      <c r="I397" s="15">
        <v>1950</v>
      </c>
      <c r="J397" s="15">
        <v>2700</v>
      </c>
      <c r="K397" s="15">
        <v>4600</v>
      </c>
      <c r="L397" s="15">
        <v>7800</v>
      </c>
      <c r="M397" s="15">
        <v>7000</v>
      </c>
      <c r="N397" s="15">
        <v>3700</v>
      </c>
      <c r="O397" s="15">
        <v>3100</v>
      </c>
      <c r="P397" s="15">
        <v>4702</v>
      </c>
      <c r="Q397" s="15">
        <v>5500</v>
      </c>
      <c r="R397" s="15">
        <v>2600</v>
      </c>
      <c r="S397" s="15">
        <v>8500</v>
      </c>
      <c r="T397" s="15">
        <v>4600</v>
      </c>
      <c r="U397" s="15">
        <v>3300</v>
      </c>
      <c r="V397" s="15">
        <v>6700</v>
      </c>
      <c r="W397" s="15">
        <v>3300</v>
      </c>
      <c r="X397" s="15">
        <v>5800</v>
      </c>
      <c r="Y397" s="15">
        <v>5700</v>
      </c>
      <c r="Z397" s="4">
        <v>111702</v>
      </c>
      <c r="AA397" s="26">
        <v>24</v>
      </c>
      <c r="AB397" s="7">
        <v>0.35499999999999998</v>
      </c>
    </row>
    <row r="398" spans="1:29" x14ac:dyDescent="0.35">
      <c r="A398" s="1">
        <v>4005792</v>
      </c>
      <c r="B398" s="15">
        <v>130</v>
      </c>
      <c r="C398" s="15">
        <v>140</v>
      </c>
      <c r="D398" s="15">
        <v>160</v>
      </c>
      <c r="E398" s="15">
        <v>90</v>
      </c>
      <c r="F398" s="15">
        <v>10</v>
      </c>
      <c r="G398" s="15">
        <v>0</v>
      </c>
      <c r="H398" s="15">
        <v>40</v>
      </c>
      <c r="I398" s="15">
        <v>100</v>
      </c>
      <c r="J398" s="15">
        <v>70</v>
      </c>
      <c r="K398" s="15">
        <v>160</v>
      </c>
      <c r="L398" s="15">
        <v>100</v>
      </c>
      <c r="M398" s="15">
        <v>140</v>
      </c>
      <c r="N398" s="15">
        <v>80</v>
      </c>
      <c r="O398" s="15">
        <v>102</v>
      </c>
      <c r="P398" s="15">
        <v>60</v>
      </c>
      <c r="Q398" s="15">
        <v>100</v>
      </c>
      <c r="R398" s="15">
        <v>70</v>
      </c>
      <c r="S398" s="15">
        <v>100</v>
      </c>
      <c r="T398" s="15">
        <v>30</v>
      </c>
      <c r="U398" s="15">
        <v>70</v>
      </c>
      <c r="V398" s="15">
        <v>110</v>
      </c>
      <c r="W398" s="15">
        <v>100</v>
      </c>
      <c r="X398" s="15">
        <v>50</v>
      </c>
      <c r="Y398" s="15">
        <v>210</v>
      </c>
      <c r="Z398" s="4">
        <v>2222</v>
      </c>
      <c r="AA398" s="26">
        <v>23</v>
      </c>
      <c r="AB398" s="7">
        <v>0.52210000000000001</v>
      </c>
    </row>
    <row r="399" spans="1:29" x14ac:dyDescent="0.35">
      <c r="A399" s="1">
        <v>4005868</v>
      </c>
      <c r="B399" s="15">
        <v>360</v>
      </c>
      <c r="C399" s="15">
        <v>108</v>
      </c>
      <c r="D399" s="15">
        <v>0</v>
      </c>
      <c r="E399" s="15">
        <v>360</v>
      </c>
      <c r="F399" s="15">
        <v>252</v>
      </c>
      <c r="G399" s="15">
        <v>252</v>
      </c>
      <c r="H399" s="15">
        <v>36</v>
      </c>
      <c r="I399" s="15">
        <v>72</v>
      </c>
      <c r="J399" s="15">
        <v>252</v>
      </c>
      <c r="K399" s="15">
        <v>108</v>
      </c>
      <c r="L399" s="15">
        <v>0</v>
      </c>
      <c r="M399" s="15">
        <v>36</v>
      </c>
      <c r="N399" s="15">
        <v>180</v>
      </c>
      <c r="O399" s="15">
        <v>252</v>
      </c>
      <c r="P399" s="15">
        <v>288</v>
      </c>
      <c r="Q399" s="15">
        <v>0</v>
      </c>
      <c r="R399" s="15">
        <v>216</v>
      </c>
      <c r="S399" s="15">
        <v>0</v>
      </c>
      <c r="T399" s="15">
        <v>36</v>
      </c>
      <c r="U399" s="15">
        <v>108</v>
      </c>
      <c r="V399" s="15">
        <v>216</v>
      </c>
      <c r="W399" s="15">
        <v>144</v>
      </c>
      <c r="X399" s="15">
        <v>144</v>
      </c>
      <c r="Y399" s="15">
        <v>72</v>
      </c>
      <c r="Z399" s="4">
        <v>3492</v>
      </c>
      <c r="AA399" s="26">
        <v>20</v>
      </c>
      <c r="AB399" s="7">
        <v>0.7742</v>
      </c>
    </row>
    <row r="400" spans="1:29" x14ac:dyDescent="0.35">
      <c r="A400" s="1">
        <v>4005876</v>
      </c>
      <c r="B400" s="15">
        <v>0</v>
      </c>
      <c r="C400" s="15">
        <v>0</v>
      </c>
      <c r="D400" s="15">
        <v>0</v>
      </c>
      <c r="E400" s="15">
        <v>0</v>
      </c>
      <c r="F400" s="15">
        <v>0</v>
      </c>
      <c r="G400" s="15">
        <v>180</v>
      </c>
      <c r="H400" s="15">
        <v>108</v>
      </c>
      <c r="I400" s="15">
        <v>180</v>
      </c>
      <c r="J400" s="15">
        <v>252</v>
      </c>
      <c r="K400" s="15">
        <v>216</v>
      </c>
      <c r="L400" s="15">
        <v>216</v>
      </c>
      <c r="M400" s="15">
        <v>252</v>
      </c>
      <c r="N400" s="15">
        <v>288</v>
      </c>
      <c r="O400" s="15">
        <v>252</v>
      </c>
      <c r="P400" s="15">
        <v>324</v>
      </c>
      <c r="Q400" s="15">
        <v>180</v>
      </c>
      <c r="R400" s="15">
        <v>288</v>
      </c>
      <c r="S400" s="15">
        <v>252</v>
      </c>
      <c r="T400" s="15">
        <v>72</v>
      </c>
      <c r="U400" s="15">
        <v>288</v>
      </c>
      <c r="V400" s="15">
        <v>144</v>
      </c>
      <c r="W400" s="15">
        <v>288</v>
      </c>
      <c r="X400" s="15">
        <v>468</v>
      </c>
      <c r="Y400" s="15">
        <v>216</v>
      </c>
      <c r="Z400" s="4">
        <v>4464</v>
      </c>
      <c r="AA400" s="26">
        <v>19</v>
      </c>
      <c r="AB400" s="7">
        <v>0.6532</v>
      </c>
    </row>
    <row r="401" spans="1:29" x14ac:dyDescent="0.35">
      <c r="A401" s="1">
        <v>4005880</v>
      </c>
      <c r="B401" s="15">
        <v>180</v>
      </c>
      <c r="C401" s="15">
        <v>288</v>
      </c>
      <c r="D401" s="15">
        <v>180</v>
      </c>
      <c r="E401" s="15">
        <v>288</v>
      </c>
      <c r="F401" s="15">
        <v>180</v>
      </c>
      <c r="G401" s="15">
        <v>72</v>
      </c>
      <c r="H401" s="15">
        <v>0</v>
      </c>
      <c r="I401" s="15">
        <v>180</v>
      </c>
      <c r="J401" s="15">
        <v>144</v>
      </c>
      <c r="K401" s="15">
        <v>72</v>
      </c>
      <c r="L401" s="15">
        <v>72</v>
      </c>
      <c r="M401" s="15">
        <v>72</v>
      </c>
      <c r="N401" s="15">
        <v>108</v>
      </c>
      <c r="O401" s="15">
        <v>72</v>
      </c>
      <c r="P401" s="15">
        <v>324</v>
      </c>
      <c r="Q401" s="15">
        <v>144</v>
      </c>
      <c r="R401" s="15">
        <v>108</v>
      </c>
      <c r="S401" s="15">
        <v>144</v>
      </c>
      <c r="T401" s="15">
        <v>36</v>
      </c>
      <c r="U401" s="15">
        <v>144</v>
      </c>
      <c r="V401" s="15">
        <v>252</v>
      </c>
      <c r="W401" s="15">
        <v>72</v>
      </c>
      <c r="X401" s="15">
        <v>144</v>
      </c>
      <c r="Y401" s="15">
        <v>72</v>
      </c>
      <c r="Z401" s="4">
        <v>3348</v>
      </c>
      <c r="AA401" s="26">
        <v>23</v>
      </c>
      <c r="AB401" s="7">
        <v>0.58809999999999996</v>
      </c>
    </row>
    <row r="402" spans="1:29" x14ac:dyDescent="0.35">
      <c r="A402" s="1">
        <v>4005881</v>
      </c>
      <c r="B402" s="15">
        <v>72</v>
      </c>
      <c r="C402" s="15">
        <v>36</v>
      </c>
      <c r="D402" s="15">
        <v>288</v>
      </c>
      <c r="E402" s="15">
        <v>180</v>
      </c>
      <c r="F402" s="15">
        <v>72</v>
      </c>
      <c r="G402" s="15">
        <v>0</v>
      </c>
      <c r="H402" s="15">
        <v>108</v>
      </c>
      <c r="I402" s="15">
        <v>0</v>
      </c>
      <c r="J402" s="15">
        <v>216</v>
      </c>
      <c r="K402" s="15">
        <v>0</v>
      </c>
      <c r="L402" s="15">
        <v>36</v>
      </c>
      <c r="M402" s="15">
        <v>0</v>
      </c>
      <c r="N402" s="15">
        <v>0</v>
      </c>
      <c r="O402" s="15">
        <v>0</v>
      </c>
      <c r="P402" s="15">
        <v>0</v>
      </c>
      <c r="Q402" s="15">
        <v>36</v>
      </c>
      <c r="R402" s="15">
        <v>72</v>
      </c>
      <c r="S402" s="15">
        <v>72</v>
      </c>
      <c r="T402" s="15">
        <v>108</v>
      </c>
      <c r="U402" s="15">
        <v>72</v>
      </c>
      <c r="V402" s="15">
        <v>0</v>
      </c>
      <c r="W402" s="15">
        <v>72</v>
      </c>
      <c r="X402" s="15">
        <v>72</v>
      </c>
      <c r="Y402" s="15">
        <v>0</v>
      </c>
      <c r="Z402" s="4">
        <v>1512</v>
      </c>
      <c r="AA402" s="26">
        <v>15</v>
      </c>
      <c r="AB402" s="7">
        <v>1.1693</v>
      </c>
    </row>
    <row r="403" spans="1:29" x14ac:dyDescent="0.35">
      <c r="A403" s="1">
        <v>4005883</v>
      </c>
      <c r="B403" s="15">
        <v>0</v>
      </c>
      <c r="C403" s="15">
        <v>0</v>
      </c>
      <c r="D403" s="15">
        <v>168</v>
      </c>
      <c r="E403" s="15">
        <v>24</v>
      </c>
      <c r="F403" s="15">
        <v>96</v>
      </c>
      <c r="G403" s="15">
        <v>48</v>
      </c>
      <c r="H403" s="15">
        <v>24</v>
      </c>
      <c r="I403" s="15">
        <v>120</v>
      </c>
      <c r="J403" s="15">
        <v>0</v>
      </c>
      <c r="K403" s="15">
        <v>0</v>
      </c>
      <c r="L403" s="15">
        <v>48</v>
      </c>
      <c r="M403" s="15">
        <v>72</v>
      </c>
      <c r="N403" s="15">
        <v>24</v>
      </c>
      <c r="O403" s="15">
        <v>120</v>
      </c>
      <c r="P403" s="15">
        <v>96</v>
      </c>
      <c r="Q403" s="15">
        <v>0</v>
      </c>
      <c r="R403" s="15">
        <v>48</v>
      </c>
      <c r="S403" s="15">
        <v>72</v>
      </c>
      <c r="T403" s="15">
        <v>48</v>
      </c>
      <c r="U403" s="15">
        <v>0</v>
      </c>
      <c r="V403" s="15">
        <v>96</v>
      </c>
      <c r="W403" s="15">
        <v>24</v>
      </c>
      <c r="X403" s="15">
        <v>72</v>
      </c>
      <c r="Y403" s="15">
        <v>24</v>
      </c>
      <c r="Z403" s="4">
        <v>1224</v>
      </c>
      <c r="AA403" s="26">
        <v>18</v>
      </c>
      <c r="AB403" s="7">
        <v>0.89400000000000002</v>
      </c>
    </row>
    <row r="404" spans="1:29" x14ac:dyDescent="0.35">
      <c r="A404" s="1">
        <v>4005885</v>
      </c>
      <c r="B404" s="15">
        <v>144</v>
      </c>
      <c r="C404" s="15">
        <v>0</v>
      </c>
      <c r="D404" s="15">
        <v>108</v>
      </c>
      <c r="E404" s="15">
        <v>216</v>
      </c>
      <c r="F404" s="15">
        <v>0</v>
      </c>
      <c r="G404" s="15">
        <v>0</v>
      </c>
      <c r="H404" s="15">
        <v>144</v>
      </c>
      <c r="I404" s="15">
        <v>0</v>
      </c>
      <c r="J404" s="15">
        <v>0</v>
      </c>
      <c r="K404" s="15">
        <v>144</v>
      </c>
      <c r="L404" s="15">
        <v>0</v>
      </c>
      <c r="M404" s="15">
        <v>144</v>
      </c>
      <c r="N404" s="15">
        <v>144</v>
      </c>
      <c r="O404" s="15">
        <v>0</v>
      </c>
      <c r="P404" s="15">
        <v>180</v>
      </c>
      <c r="Q404" s="15">
        <v>0</v>
      </c>
      <c r="R404" s="15">
        <v>144</v>
      </c>
      <c r="S404" s="15">
        <v>108</v>
      </c>
      <c r="T404" s="15">
        <v>0</v>
      </c>
      <c r="U404" s="15">
        <v>0</v>
      </c>
      <c r="V404" s="15">
        <v>144</v>
      </c>
      <c r="W404" s="15">
        <v>144</v>
      </c>
      <c r="X404" s="15">
        <v>0</v>
      </c>
      <c r="Y404" s="15">
        <v>108</v>
      </c>
      <c r="Z404" s="4">
        <v>1872</v>
      </c>
      <c r="AA404" s="26">
        <v>13</v>
      </c>
      <c r="AB404" s="7">
        <v>0.9577</v>
      </c>
    </row>
    <row r="405" spans="1:29" x14ac:dyDescent="0.35">
      <c r="A405" s="1">
        <v>4005925</v>
      </c>
      <c r="B405" s="15">
        <v>0</v>
      </c>
      <c r="C405" s="15">
        <v>0</v>
      </c>
      <c r="D405" s="15">
        <v>0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48</v>
      </c>
      <c r="W405" s="15">
        <v>24</v>
      </c>
      <c r="X405" s="15">
        <v>24</v>
      </c>
      <c r="Y405" s="15">
        <v>0</v>
      </c>
      <c r="Z405" s="4">
        <v>96</v>
      </c>
      <c r="AA405" s="26">
        <v>3</v>
      </c>
      <c r="AB405" s="7">
        <v>2.8283999999999998</v>
      </c>
      <c r="AC405" s="1" t="s">
        <v>3230</v>
      </c>
    </row>
    <row r="406" spans="1:29" x14ac:dyDescent="0.35">
      <c r="A406" s="1">
        <v>4005949</v>
      </c>
      <c r="B406" s="15">
        <v>150</v>
      </c>
      <c r="C406" s="15">
        <v>150</v>
      </c>
      <c r="D406" s="15">
        <v>75</v>
      </c>
      <c r="E406" s="15">
        <v>100</v>
      </c>
      <c r="F406" s="15">
        <v>200</v>
      </c>
      <c r="G406" s="15">
        <v>125</v>
      </c>
      <c r="H406" s="15">
        <v>125</v>
      </c>
      <c r="I406" s="15">
        <v>125</v>
      </c>
      <c r="J406" s="15">
        <v>175</v>
      </c>
      <c r="K406" s="15">
        <v>150</v>
      </c>
      <c r="L406" s="15">
        <v>150</v>
      </c>
      <c r="M406" s="15">
        <v>100</v>
      </c>
      <c r="N406" s="15">
        <v>250</v>
      </c>
      <c r="O406" s="15">
        <v>125</v>
      </c>
      <c r="P406" s="15">
        <v>175</v>
      </c>
      <c r="Q406" s="15">
        <v>100</v>
      </c>
      <c r="R406" s="15">
        <v>125</v>
      </c>
      <c r="S406" s="15">
        <v>125</v>
      </c>
      <c r="T406" s="15">
        <v>125</v>
      </c>
      <c r="U406" s="15">
        <v>100</v>
      </c>
      <c r="V406" s="15">
        <v>200</v>
      </c>
      <c r="W406" s="15">
        <v>250</v>
      </c>
      <c r="X406" s="15">
        <v>150</v>
      </c>
      <c r="Y406" s="15">
        <v>200</v>
      </c>
      <c r="Z406" s="4">
        <v>3550</v>
      </c>
      <c r="AA406" s="26">
        <v>24</v>
      </c>
      <c r="AB406" s="7">
        <v>0.3044</v>
      </c>
    </row>
    <row r="407" spans="1:29" x14ac:dyDescent="0.35">
      <c r="A407" s="1">
        <v>4005955</v>
      </c>
      <c r="B407" s="15">
        <v>2450</v>
      </c>
      <c r="C407" s="15">
        <v>1250</v>
      </c>
      <c r="D407" s="15">
        <v>700</v>
      </c>
      <c r="E407" s="15">
        <v>1100</v>
      </c>
      <c r="F407" s="15">
        <v>1000</v>
      </c>
      <c r="G407" s="15">
        <v>950</v>
      </c>
      <c r="H407" s="15">
        <v>450</v>
      </c>
      <c r="I407" s="15">
        <v>750</v>
      </c>
      <c r="J407" s="15">
        <v>500</v>
      </c>
      <c r="K407" s="15">
        <v>500</v>
      </c>
      <c r="L407" s="15">
        <v>350</v>
      </c>
      <c r="M407" s="15">
        <v>400</v>
      </c>
      <c r="N407" s="15">
        <v>500</v>
      </c>
      <c r="O407" s="15">
        <v>700</v>
      </c>
      <c r="P407" s="15">
        <v>400</v>
      </c>
      <c r="Q407" s="15">
        <v>600</v>
      </c>
      <c r="R407" s="15">
        <v>950</v>
      </c>
      <c r="S407" s="15">
        <v>550</v>
      </c>
      <c r="T407" s="15">
        <v>250</v>
      </c>
      <c r="U407" s="15">
        <v>600</v>
      </c>
      <c r="V407" s="15">
        <v>700</v>
      </c>
      <c r="W407" s="15">
        <v>750</v>
      </c>
      <c r="X407" s="15">
        <v>600</v>
      </c>
      <c r="Y407" s="15">
        <v>500</v>
      </c>
      <c r="Z407" s="4">
        <v>17500</v>
      </c>
      <c r="AA407" s="26">
        <v>24</v>
      </c>
      <c r="AB407" s="7">
        <v>0.59409999999999996</v>
      </c>
    </row>
    <row r="408" spans="1:29" x14ac:dyDescent="0.35">
      <c r="A408" s="1">
        <v>4006009</v>
      </c>
      <c r="B408" s="15">
        <v>0</v>
      </c>
      <c r="C408" s="15">
        <v>0</v>
      </c>
      <c r="D408" s="15">
        <v>0</v>
      </c>
      <c r="E408" s="15">
        <v>0</v>
      </c>
      <c r="F408" s="15">
        <v>0</v>
      </c>
      <c r="G408" s="15">
        <v>0</v>
      </c>
      <c r="H408" s="15">
        <v>0</v>
      </c>
      <c r="I408" s="15">
        <v>36</v>
      </c>
      <c r="J408" s="15">
        <v>36</v>
      </c>
      <c r="K408" s="15">
        <v>108</v>
      </c>
      <c r="L408" s="15">
        <v>36</v>
      </c>
      <c r="M408" s="15">
        <v>144</v>
      </c>
      <c r="N408" s="15">
        <v>180</v>
      </c>
      <c r="O408" s="15">
        <v>72</v>
      </c>
      <c r="P408" s="15">
        <v>72</v>
      </c>
      <c r="Q408" s="15">
        <v>216</v>
      </c>
      <c r="R408" s="15">
        <v>36</v>
      </c>
      <c r="S408" s="15">
        <v>0</v>
      </c>
      <c r="T408" s="15">
        <v>0</v>
      </c>
      <c r="U408" s="15">
        <v>329</v>
      </c>
      <c r="V408" s="15">
        <v>36</v>
      </c>
      <c r="W408" s="15">
        <v>72</v>
      </c>
      <c r="X408" s="15">
        <v>252</v>
      </c>
      <c r="Y408" s="15">
        <v>72</v>
      </c>
      <c r="Z408" s="4">
        <v>1697</v>
      </c>
      <c r="AA408" s="26">
        <v>15</v>
      </c>
      <c r="AB408" s="7">
        <v>1.2598</v>
      </c>
    </row>
    <row r="409" spans="1:29" x14ac:dyDescent="0.35">
      <c r="A409" s="1">
        <v>4006012</v>
      </c>
      <c r="B409" s="15">
        <v>248</v>
      </c>
      <c r="C409" s="15">
        <v>224</v>
      </c>
      <c r="D409" s="15">
        <v>278</v>
      </c>
      <c r="E409" s="15">
        <v>308</v>
      </c>
      <c r="F409" s="15">
        <v>238</v>
      </c>
      <c r="G409" s="15">
        <v>190</v>
      </c>
      <c r="H409" s="15">
        <v>190</v>
      </c>
      <c r="I409" s="15">
        <v>202</v>
      </c>
      <c r="J409" s="15">
        <v>234</v>
      </c>
      <c r="K409" s="15">
        <v>282</v>
      </c>
      <c r="L409" s="15">
        <v>310</v>
      </c>
      <c r="M409" s="15">
        <v>228</v>
      </c>
      <c r="N409" s="15">
        <v>192</v>
      </c>
      <c r="O409" s="15">
        <v>108</v>
      </c>
      <c r="P409" s="15">
        <v>120</v>
      </c>
      <c r="Q409" s="15">
        <v>240</v>
      </c>
      <c r="R409" s="15">
        <v>240</v>
      </c>
      <c r="S409" s="15">
        <v>240</v>
      </c>
      <c r="T409" s="15">
        <v>228</v>
      </c>
      <c r="U409" s="15">
        <v>228</v>
      </c>
      <c r="V409" s="15">
        <v>324</v>
      </c>
      <c r="W409" s="15">
        <v>264</v>
      </c>
      <c r="X409" s="15">
        <v>324</v>
      </c>
      <c r="Y409" s="15">
        <v>276</v>
      </c>
      <c r="Z409" s="4">
        <v>5716</v>
      </c>
      <c r="AA409" s="26">
        <v>24</v>
      </c>
      <c r="AB409" s="7">
        <v>0.2268</v>
      </c>
    </row>
    <row r="410" spans="1:29" x14ac:dyDescent="0.35">
      <c r="A410" s="1">
        <v>4006014</v>
      </c>
      <c r="B410" s="15">
        <v>288</v>
      </c>
      <c r="C410" s="15">
        <v>252</v>
      </c>
      <c r="D410" s="15">
        <v>144</v>
      </c>
      <c r="E410" s="15">
        <v>432</v>
      </c>
      <c r="F410" s="15">
        <v>396</v>
      </c>
      <c r="G410" s="15">
        <v>252</v>
      </c>
      <c r="H410" s="15">
        <v>36</v>
      </c>
      <c r="I410" s="15">
        <v>180</v>
      </c>
      <c r="J410" s="15">
        <v>216</v>
      </c>
      <c r="K410" s="15">
        <v>144</v>
      </c>
      <c r="L410" s="15">
        <v>72</v>
      </c>
      <c r="M410" s="15">
        <v>108</v>
      </c>
      <c r="N410" s="15">
        <v>180</v>
      </c>
      <c r="O410" s="15">
        <v>432</v>
      </c>
      <c r="P410" s="15">
        <v>216</v>
      </c>
      <c r="Q410" s="15">
        <v>108</v>
      </c>
      <c r="R410" s="15">
        <v>180</v>
      </c>
      <c r="S410" s="15">
        <v>396</v>
      </c>
      <c r="T410" s="15">
        <v>432</v>
      </c>
      <c r="U410" s="15">
        <v>396</v>
      </c>
      <c r="V410" s="15">
        <v>180</v>
      </c>
      <c r="W410" s="15">
        <v>108</v>
      </c>
      <c r="X410" s="15">
        <v>72</v>
      </c>
      <c r="Y410" s="15">
        <v>360</v>
      </c>
      <c r="Z410" s="4">
        <v>5580</v>
      </c>
      <c r="AA410" s="26">
        <v>24</v>
      </c>
      <c r="AB410" s="7">
        <v>0.54369999999999996</v>
      </c>
    </row>
    <row r="411" spans="1:29" x14ac:dyDescent="0.35">
      <c r="A411" s="1">
        <v>4006023</v>
      </c>
      <c r="B411" s="15">
        <v>360</v>
      </c>
      <c r="C411" s="15">
        <v>240</v>
      </c>
      <c r="D411" s="15">
        <v>120</v>
      </c>
      <c r="E411" s="15">
        <v>252</v>
      </c>
      <c r="F411" s="15">
        <v>252</v>
      </c>
      <c r="G411" s="15">
        <v>240</v>
      </c>
      <c r="H411" s="15">
        <v>132</v>
      </c>
      <c r="I411" s="15">
        <v>204</v>
      </c>
      <c r="J411" s="15">
        <v>240</v>
      </c>
      <c r="K411" s="15">
        <v>252</v>
      </c>
      <c r="L411" s="15">
        <v>192</v>
      </c>
      <c r="M411" s="15">
        <v>240</v>
      </c>
      <c r="N411" s="15">
        <v>252</v>
      </c>
      <c r="O411" s="15">
        <v>156</v>
      </c>
      <c r="P411" s="15">
        <v>180</v>
      </c>
      <c r="Q411" s="15">
        <v>156</v>
      </c>
      <c r="R411" s="15">
        <v>372</v>
      </c>
      <c r="S411" s="15">
        <v>144</v>
      </c>
      <c r="T411" s="15">
        <v>72</v>
      </c>
      <c r="U411" s="15">
        <v>252</v>
      </c>
      <c r="V411" s="15">
        <v>372</v>
      </c>
      <c r="W411" s="15">
        <v>168</v>
      </c>
      <c r="X411" s="15">
        <v>204</v>
      </c>
      <c r="Y411" s="15">
        <v>132</v>
      </c>
      <c r="Z411" s="4">
        <v>5184</v>
      </c>
      <c r="AA411" s="26">
        <v>24</v>
      </c>
      <c r="AB411" s="7">
        <v>0.35249999999999998</v>
      </c>
    </row>
    <row r="412" spans="1:29" x14ac:dyDescent="0.35">
      <c r="A412" s="1">
        <v>4006027</v>
      </c>
      <c r="B412" s="15">
        <v>432</v>
      </c>
      <c r="C412" s="15">
        <v>576</v>
      </c>
      <c r="D412" s="15">
        <v>432</v>
      </c>
      <c r="E412" s="15">
        <v>648</v>
      </c>
      <c r="F412" s="15">
        <v>720</v>
      </c>
      <c r="G412" s="15">
        <v>576</v>
      </c>
      <c r="H412" s="15">
        <v>144</v>
      </c>
      <c r="I412" s="15">
        <v>612</v>
      </c>
      <c r="J412" s="15">
        <v>648</v>
      </c>
      <c r="K412" s="15">
        <v>612</v>
      </c>
      <c r="L412" s="15">
        <v>648</v>
      </c>
      <c r="M412" s="15">
        <v>504</v>
      </c>
      <c r="N412" s="15">
        <v>612</v>
      </c>
      <c r="O412" s="15">
        <v>360</v>
      </c>
      <c r="P412" s="15">
        <v>684</v>
      </c>
      <c r="Q412" s="15">
        <v>864</v>
      </c>
      <c r="R412" s="15">
        <v>360</v>
      </c>
      <c r="S412" s="15">
        <v>720</v>
      </c>
      <c r="T412" s="15">
        <v>216</v>
      </c>
      <c r="U412" s="15">
        <v>432</v>
      </c>
      <c r="V412" s="15">
        <v>360</v>
      </c>
      <c r="W412" s="15">
        <v>396</v>
      </c>
      <c r="X412" s="15">
        <v>792</v>
      </c>
      <c r="Y412" s="15">
        <v>396</v>
      </c>
      <c r="Z412" s="4">
        <v>12744</v>
      </c>
      <c r="AA412" s="26">
        <v>24</v>
      </c>
      <c r="AB412" s="7">
        <v>0.33110000000000001</v>
      </c>
    </row>
    <row r="413" spans="1:29" x14ac:dyDescent="0.35">
      <c r="A413" s="1">
        <v>4006037</v>
      </c>
      <c r="B413" s="15">
        <v>0</v>
      </c>
      <c r="C413" s="15">
        <v>0</v>
      </c>
      <c r="D413" s="15">
        <v>0</v>
      </c>
      <c r="E413" s="15">
        <v>36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72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4">
        <v>108</v>
      </c>
      <c r="AA413" s="26">
        <v>2</v>
      </c>
      <c r="AB413" s="7">
        <v>3.5118999999999998</v>
      </c>
      <c r="AC413" s="1" t="s">
        <v>3230</v>
      </c>
    </row>
    <row r="414" spans="1:29" x14ac:dyDescent="0.35">
      <c r="A414" s="1">
        <v>4006043</v>
      </c>
      <c r="B414" s="15">
        <v>7920</v>
      </c>
      <c r="C414" s="15">
        <v>6900</v>
      </c>
      <c r="D414" s="15">
        <v>6900</v>
      </c>
      <c r="E414" s="15">
        <v>7100</v>
      </c>
      <c r="F414" s="15">
        <v>7000</v>
      </c>
      <c r="G414" s="15">
        <v>5600</v>
      </c>
      <c r="H414" s="15">
        <v>6000</v>
      </c>
      <c r="I414" s="15">
        <v>5700</v>
      </c>
      <c r="J414" s="15">
        <v>8820</v>
      </c>
      <c r="K414" s="15">
        <v>6500</v>
      </c>
      <c r="L414" s="15">
        <v>7700</v>
      </c>
      <c r="M414" s="15">
        <v>7900</v>
      </c>
      <c r="N414" s="15">
        <v>5700</v>
      </c>
      <c r="O414" s="15">
        <v>8400</v>
      </c>
      <c r="P414" s="15">
        <v>7700</v>
      </c>
      <c r="Q414" s="15">
        <v>7700</v>
      </c>
      <c r="R414" s="15">
        <v>6900</v>
      </c>
      <c r="S414" s="15">
        <v>8900</v>
      </c>
      <c r="T414" s="15">
        <v>6000</v>
      </c>
      <c r="U414" s="15">
        <v>6700</v>
      </c>
      <c r="V414" s="15">
        <v>9900</v>
      </c>
      <c r="W414" s="15">
        <v>6800</v>
      </c>
      <c r="X414" s="15">
        <v>7300</v>
      </c>
      <c r="Y414" s="15">
        <v>7300</v>
      </c>
      <c r="Z414" s="4">
        <v>173340</v>
      </c>
      <c r="AA414" s="26">
        <v>24</v>
      </c>
      <c r="AB414" s="7">
        <v>0.14729999999999999</v>
      </c>
    </row>
    <row r="415" spans="1:29" x14ac:dyDescent="0.35">
      <c r="A415" s="1">
        <v>4006062</v>
      </c>
      <c r="B415" s="15">
        <v>36</v>
      </c>
      <c r="C415" s="15">
        <v>0</v>
      </c>
      <c r="D415" s="15">
        <v>0</v>
      </c>
      <c r="E415" s="15">
        <v>72</v>
      </c>
      <c r="F415" s="15">
        <v>36</v>
      </c>
      <c r="G415" s="15">
        <v>216</v>
      </c>
      <c r="H415" s="15">
        <v>0</v>
      </c>
      <c r="I415" s="15">
        <v>36</v>
      </c>
      <c r="J415" s="15">
        <v>108</v>
      </c>
      <c r="K415" s="15">
        <v>0</v>
      </c>
      <c r="L415" s="15">
        <v>0</v>
      </c>
      <c r="M415" s="15">
        <v>0</v>
      </c>
      <c r="N415" s="15">
        <v>0</v>
      </c>
      <c r="O415" s="15">
        <v>36</v>
      </c>
      <c r="P415" s="15">
        <v>0</v>
      </c>
      <c r="Q415" s="15">
        <v>36</v>
      </c>
      <c r="R415" s="15">
        <v>36</v>
      </c>
      <c r="S415" s="15">
        <v>0</v>
      </c>
      <c r="T415" s="15">
        <v>0</v>
      </c>
      <c r="U415" s="15">
        <v>72</v>
      </c>
      <c r="V415" s="15">
        <v>0</v>
      </c>
      <c r="W415" s="15">
        <v>36</v>
      </c>
      <c r="X415" s="15">
        <v>0</v>
      </c>
      <c r="Y415" s="15">
        <v>36</v>
      </c>
      <c r="Z415" s="4">
        <v>756</v>
      </c>
      <c r="AA415" s="26">
        <v>12</v>
      </c>
      <c r="AB415" s="7">
        <v>1.5230999999999999</v>
      </c>
    </row>
    <row r="416" spans="1:29" x14ac:dyDescent="0.35">
      <c r="A416" s="1">
        <v>4006066</v>
      </c>
      <c r="B416" s="15">
        <v>72</v>
      </c>
      <c r="C416" s="15">
        <v>72</v>
      </c>
      <c r="D416" s="15">
        <v>72</v>
      </c>
      <c r="E416" s="15">
        <v>108</v>
      </c>
      <c r="F416" s="15">
        <v>36</v>
      </c>
      <c r="G416" s="15">
        <v>36</v>
      </c>
      <c r="H416" s="15">
        <v>72</v>
      </c>
      <c r="I416" s="15">
        <v>36</v>
      </c>
      <c r="J416" s="15">
        <v>108</v>
      </c>
      <c r="K416" s="15">
        <v>72</v>
      </c>
      <c r="L416" s="15">
        <v>108</v>
      </c>
      <c r="M416" s="15">
        <v>36</v>
      </c>
      <c r="N416" s="15">
        <v>36</v>
      </c>
      <c r="O416" s="15">
        <v>72</v>
      </c>
      <c r="P416" s="15">
        <v>108</v>
      </c>
      <c r="Q416" s="15">
        <v>108</v>
      </c>
      <c r="R416" s="15">
        <v>72</v>
      </c>
      <c r="S416" s="15">
        <v>36</v>
      </c>
      <c r="T416" s="15">
        <v>36</v>
      </c>
      <c r="U416" s="15">
        <v>72</v>
      </c>
      <c r="V416" s="15">
        <v>36</v>
      </c>
      <c r="W416" s="15">
        <v>72</v>
      </c>
      <c r="X416" s="15">
        <v>144</v>
      </c>
      <c r="Y416" s="15">
        <v>144</v>
      </c>
      <c r="Z416" s="4">
        <v>1764</v>
      </c>
      <c r="AA416" s="26">
        <v>24</v>
      </c>
      <c r="AB416" s="7">
        <v>0.4577</v>
      </c>
    </row>
    <row r="417" spans="1:29" x14ac:dyDescent="0.35">
      <c r="A417" s="1">
        <v>4006072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108</v>
      </c>
      <c r="Q417" s="15">
        <v>0</v>
      </c>
      <c r="R417" s="15">
        <v>72</v>
      </c>
      <c r="S417" s="15">
        <v>108</v>
      </c>
      <c r="T417" s="15">
        <v>0</v>
      </c>
      <c r="U417" s="15">
        <v>72</v>
      </c>
      <c r="V417" s="15">
        <v>0</v>
      </c>
      <c r="W417" s="15">
        <v>0</v>
      </c>
      <c r="X417" s="15">
        <v>0</v>
      </c>
      <c r="Y417" s="15">
        <v>72</v>
      </c>
      <c r="Z417" s="4">
        <v>432</v>
      </c>
      <c r="AA417" s="26">
        <v>5</v>
      </c>
      <c r="AB417" s="7">
        <v>2</v>
      </c>
      <c r="AC417" s="1" t="s">
        <v>3230</v>
      </c>
    </row>
    <row r="418" spans="1:29" x14ac:dyDescent="0.35">
      <c r="A418" s="1">
        <v>4006088</v>
      </c>
      <c r="B418" s="15">
        <v>360</v>
      </c>
      <c r="C418" s="15">
        <v>696</v>
      </c>
      <c r="D418" s="15">
        <v>396</v>
      </c>
      <c r="E418" s="15">
        <v>540</v>
      </c>
      <c r="F418" s="15">
        <v>696</v>
      </c>
      <c r="G418" s="15">
        <v>408</v>
      </c>
      <c r="H418" s="15">
        <v>396</v>
      </c>
      <c r="I418" s="15">
        <v>648</v>
      </c>
      <c r="J418" s="15">
        <v>528</v>
      </c>
      <c r="K418" s="15">
        <v>684</v>
      </c>
      <c r="L418" s="15">
        <v>624</v>
      </c>
      <c r="M418" s="15">
        <v>768</v>
      </c>
      <c r="N418" s="15">
        <v>444</v>
      </c>
      <c r="O418" s="15">
        <v>804</v>
      </c>
      <c r="P418" s="15">
        <v>480</v>
      </c>
      <c r="Q418" s="15">
        <v>444</v>
      </c>
      <c r="R418" s="15">
        <v>408</v>
      </c>
      <c r="S418" s="15">
        <v>576</v>
      </c>
      <c r="T418" s="15">
        <v>384</v>
      </c>
      <c r="U418" s="15">
        <v>456</v>
      </c>
      <c r="V418" s="15">
        <v>528</v>
      </c>
      <c r="W418" s="15">
        <v>648</v>
      </c>
      <c r="X418" s="15">
        <v>168</v>
      </c>
      <c r="Y418" s="15">
        <v>516</v>
      </c>
      <c r="Z418" s="4">
        <v>12600</v>
      </c>
      <c r="AA418" s="26">
        <v>24</v>
      </c>
      <c r="AB418" s="7">
        <v>0.28000000000000003</v>
      </c>
    </row>
    <row r="419" spans="1:29" x14ac:dyDescent="0.35">
      <c r="A419" s="1">
        <v>4006094</v>
      </c>
      <c r="B419" s="15">
        <v>360</v>
      </c>
      <c r="C419" s="15">
        <v>468</v>
      </c>
      <c r="D419" s="15">
        <v>360</v>
      </c>
      <c r="E419" s="15">
        <v>360</v>
      </c>
      <c r="F419" s="15">
        <v>360</v>
      </c>
      <c r="G419" s="15">
        <v>288</v>
      </c>
      <c r="H419" s="15">
        <v>324</v>
      </c>
      <c r="I419" s="15">
        <v>324</v>
      </c>
      <c r="J419" s="15">
        <v>360</v>
      </c>
      <c r="K419" s="15">
        <v>396</v>
      </c>
      <c r="L419" s="15">
        <v>396</v>
      </c>
      <c r="M419" s="15">
        <v>288</v>
      </c>
      <c r="N419" s="15">
        <v>468</v>
      </c>
      <c r="O419" s="15">
        <v>432</v>
      </c>
      <c r="P419" s="15">
        <v>396</v>
      </c>
      <c r="Q419" s="15">
        <v>288</v>
      </c>
      <c r="R419" s="15">
        <v>474</v>
      </c>
      <c r="S419" s="15">
        <v>324</v>
      </c>
      <c r="T419" s="15">
        <v>216</v>
      </c>
      <c r="U419" s="15">
        <v>216</v>
      </c>
      <c r="V419" s="15">
        <v>360</v>
      </c>
      <c r="W419" s="15">
        <v>360</v>
      </c>
      <c r="X419" s="15">
        <v>468</v>
      </c>
      <c r="Y419" s="15">
        <v>360</v>
      </c>
      <c r="Z419" s="4">
        <v>8646</v>
      </c>
      <c r="AA419" s="26">
        <v>24</v>
      </c>
      <c r="AB419" s="7">
        <v>0.1946</v>
      </c>
    </row>
    <row r="420" spans="1:29" x14ac:dyDescent="0.35">
      <c r="A420" s="1">
        <v>4006098</v>
      </c>
      <c r="B420" s="15">
        <v>540</v>
      </c>
      <c r="C420" s="15">
        <v>180</v>
      </c>
      <c r="D420" s="15">
        <v>540</v>
      </c>
      <c r="E420" s="15">
        <v>360</v>
      </c>
      <c r="F420" s="15">
        <v>180</v>
      </c>
      <c r="G420" s="15">
        <v>288</v>
      </c>
      <c r="H420" s="15">
        <v>180</v>
      </c>
      <c r="I420" s="15">
        <v>468</v>
      </c>
      <c r="J420" s="15">
        <v>504</v>
      </c>
      <c r="K420" s="15">
        <v>216</v>
      </c>
      <c r="L420" s="15">
        <v>468</v>
      </c>
      <c r="M420" s="15">
        <v>216</v>
      </c>
      <c r="N420" s="15">
        <v>468</v>
      </c>
      <c r="O420" s="15">
        <v>288</v>
      </c>
      <c r="P420" s="15">
        <v>288</v>
      </c>
      <c r="Q420" s="15">
        <v>180</v>
      </c>
      <c r="R420" s="15">
        <v>396</v>
      </c>
      <c r="S420" s="15">
        <v>324</v>
      </c>
      <c r="T420" s="15">
        <v>324</v>
      </c>
      <c r="U420" s="15">
        <v>360</v>
      </c>
      <c r="V420" s="15">
        <v>396</v>
      </c>
      <c r="W420" s="15">
        <v>180</v>
      </c>
      <c r="X420" s="15">
        <v>432</v>
      </c>
      <c r="Y420" s="15">
        <v>216</v>
      </c>
      <c r="Z420" s="4">
        <v>7992</v>
      </c>
      <c r="AA420" s="26">
        <v>24</v>
      </c>
      <c r="AB420" s="7">
        <v>0.36430000000000001</v>
      </c>
    </row>
    <row r="421" spans="1:29" x14ac:dyDescent="0.35">
      <c r="A421" s="1">
        <v>4006157</v>
      </c>
      <c r="B421" s="15">
        <v>60</v>
      </c>
      <c r="C421" s="15">
        <v>100</v>
      </c>
      <c r="D421" s="15">
        <v>60</v>
      </c>
      <c r="E421" s="15">
        <v>120</v>
      </c>
      <c r="F421" s="15">
        <v>120</v>
      </c>
      <c r="G421" s="15">
        <v>140</v>
      </c>
      <c r="H421" s="15">
        <v>20</v>
      </c>
      <c r="I421" s="15">
        <v>40</v>
      </c>
      <c r="J421" s="15">
        <v>120</v>
      </c>
      <c r="K421" s="15">
        <v>180</v>
      </c>
      <c r="L421" s="15">
        <v>80</v>
      </c>
      <c r="M421" s="15">
        <v>140</v>
      </c>
      <c r="N421" s="15">
        <v>140</v>
      </c>
      <c r="O421" s="15">
        <v>125</v>
      </c>
      <c r="P421" s="15">
        <v>125</v>
      </c>
      <c r="Q421" s="15">
        <v>60</v>
      </c>
      <c r="R421" s="15">
        <v>120</v>
      </c>
      <c r="S421" s="15">
        <v>100</v>
      </c>
      <c r="T421" s="15">
        <v>20</v>
      </c>
      <c r="U421" s="15">
        <v>90</v>
      </c>
      <c r="V421" s="15">
        <v>150</v>
      </c>
      <c r="W421" s="15">
        <v>100</v>
      </c>
      <c r="X421" s="15">
        <v>70</v>
      </c>
      <c r="Y421" s="15">
        <v>50</v>
      </c>
      <c r="Z421" s="4">
        <v>2330</v>
      </c>
      <c r="AA421" s="26">
        <v>24</v>
      </c>
      <c r="AB421" s="7">
        <v>0.42799999999999999</v>
      </c>
    </row>
    <row r="422" spans="1:29" x14ac:dyDescent="0.35">
      <c r="A422" s="1">
        <v>4006159</v>
      </c>
      <c r="B422" s="15">
        <v>800</v>
      </c>
      <c r="C422" s="15">
        <v>1600</v>
      </c>
      <c r="D422" s="15">
        <v>400</v>
      </c>
      <c r="E422" s="15">
        <v>0</v>
      </c>
      <c r="F422" s="15">
        <v>1200</v>
      </c>
      <c r="G422" s="15">
        <v>400</v>
      </c>
      <c r="H422" s="15">
        <v>1200</v>
      </c>
      <c r="I422" s="15">
        <v>800</v>
      </c>
      <c r="J422" s="15">
        <v>800</v>
      </c>
      <c r="K422" s="15">
        <v>400</v>
      </c>
      <c r="L422" s="15">
        <v>2400</v>
      </c>
      <c r="M422" s="15">
        <v>800</v>
      </c>
      <c r="N422" s="15">
        <v>1600</v>
      </c>
      <c r="O422" s="15">
        <v>1600</v>
      </c>
      <c r="P422" s="15">
        <v>800</v>
      </c>
      <c r="Q422" s="15">
        <v>0</v>
      </c>
      <c r="R422" s="15">
        <v>1600</v>
      </c>
      <c r="S422" s="15">
        <v>800</v>
      </c>
      <c r="T422" s="15">
        <v>800</v>
      </c>
      <c r="U422" s="15">
        <v>0</v>
      </c>
      <c r="V422" s="15">
        <v>1600</v>
      </c>
      <c r="W422" s="15">
        <v>1600</v>
      </c>
      <c r="X422" s="15">
        <v>1600</v>
      </c>
      <c r="Y422" s="15">
        <v>1200</v>
      </c>
      <c r="Z422" s="4">
        <v>24000</v>
      </c>
      <c r="AA422" s="26">
        <v>21</v>
      </c>
      <c r="AB422" s="7">
        <v>0.61099999999999999</v>
      </c>
    </row>
    <row r="423" spans="1:29" x14ac:dyDescent="0.35">
      <c r="A423" s="1">
        <v>4006161</v>
      </c>
      <c r="B423" s="15">
        <v>1136</v>
      </c>
      <c r="C423" s="15">
        <v>1024</v>
      </c>
      <c r="D423" s="15">
        <v>1328</v>
      </c>
      <c r="E423" s="15">
        <v>1280</v>
      </c>
      <c r="F423" s="15">
        <v>1394</v>
      </c>
      <c r="G423" s="15">
        <v>1056</v>
      </c>
      <c r="H423" s="15">
        <v>1008</v>
      </c>
      <c r="I423" s="15">
        <v>1088</v>
      </c>
      <c r="J423" s="15">
        <v>1056</v>
      </c>
      <c r="K423" s="15">
        <v>1216</v>
      </c>
      <c r="L423" s="15">
        <v>1184</v>
      </c>
      <c r="M423" s="15">
        <v>864</v>
      </c>
      <c r="N423" s="15">
        <v>1120</v>
      </c>
      <c r="O423" s="15">
        <v>1536</v>
      </c>
      <c r="P423" s="15">
        <v>1104</v>
      </c>
      <c r="Q423" s="15">
        <v>1456</v>
      </c>
      <c r="R423" s="15">
        <v>1312</v>
      </c>
      <c r="S423" s="15">
        <v>1392</v>
      </c>
      <c r="T423" s="15">
        <v>912</v>
      </c>
      <c r="U423" s="15">
        <v>1120</v>
      </c>
      <c r="V423" s="15">
        <v>1600</v>
      </c>
      <c r="W423" s="15">
        <v>1104</v>
      </c>
      <c r="X423" s="15">
        <v>1392</v>
      </c>
      <c r="Y423" s="15">
        <v>1456</v>
      </c>
      <c r="Z423" s="4">
        <v>29138</v>
      </c>
      <c r="AA423" s="26">
        <v>24</v>
      </c>
      <c r="AB423" s="7">
        <v>0.1595</v>
      </c>
    </row>
    <row r="424" spans="1:29" x14ac:dyDescent="0.35">
      <c r="A424" s="1">
        <v>4006168</v>
      </c>
      <c r="B424" s="15">
        <v>75</v>
      </c>
      <c r="C424" s="15">
        <v>65</v>
      </c>
      <c r="D424" s="15">
        <v>85</v>
      </c>
      <c r="E424" s="15">
        <v>75</v>
      </c>
      <c r="F424" s="15">
        <v>90</v>
      </c>
      <c r="G424" s="15">
        <v>70</v>
      </c>
      <c r="H424" s="15">
        <v>15</v>
      </c>
      <c r="I424" s="15">
        <v>80</v>
      </c>
      <c r="J424" s="15">
        <v>50</v>
      </c>
      <c r="K424" s="15">
        <v>85</v>
      </c>
      <c r="L424" s="15">
        <v>110</v>
      </c>
      <c r="M424" s="15">
        <v>100</v>
      </c>
      <c r="N424" s="15">
        <v>65</v>
      </c>
      <c r="O424" s="15">
        <v>145</v>
      </c>
      <c r="P424" s="15">
        <v>190</v>
      </c>
      <c r="Q424" s="15">
        <v>145</v>
      </c>
      <c r="R424" s="15">
        <v>60</v>
      </c>
      <c r="S424" s="15">
        <v>80</v>
      </c>
      <c r="T424" s="15">
        <v>60</v>
      </c>
      <c r="U424" s="15">
        <v>70</v>
      </c>
      <c r="V424" s="15">
        <v>105</v>
      </c>
      <c r="W424" s="15">
        <v>100</v>
      </c>
      <c r="X424" s="15">
        <v>120</v>
      </c>
      <c r="Y424" s="15">
        <v>180</v>
      </c>
      <c r="Z424" s="4">
        <v>2220</v>
      </c>
      <c r="AA424" s="26">
        <v>24</v>
      </c>
      <c r="AB424" s="7">
        <v>0.42730000000000001</v>
      </c>
    </row>
    <row r="425" spans="1:29" x14ac:dyDescent="0.35">
      <c r="A425" s="1">
        <v>4006169</v>
      </c>
      <c r="B425" s="15">
        <v>25</v>
      </c>
      <c r="C425" s="15">
        <v>35</v>
      </c>
      <c r="D425" s="15">
        <v>50</v>
      </c>
      <c r="E425" s="15">
        <v>40</v>
      </c>
      <c r="F425" s="15">
        <v>35</v>
      </c>
      <c r="G425" s="15">
        <v>5</v>
      </c>
      <c r="H425" s="15">
        <v>60</v>
      </c>
      <c r="I425" s="15">
        <v>55</v>
      </c>
      <c r="J425" s="15">
        <v>25</v>
      </c>
      <c r="K425" s="15">
        <v>60</v>
      </c>
      <c r="L425" s="15">
        <v>35</v>
      </c>
      <c r="M425" s="15">
        <v>60</v>
      </c>
      <c r="N425" s="15">
        <v>25</v>
      </c>
      <c r="O425" s="15">
        <v>60</v>
      </c>
      <c r="P425" s="15">
        <v>15</v>
      </c>
      <c r="Q425" s="15">
        <v>30</v>
      </c>
      <c r="R425" s="15">
        <v>0</v>
      </c>
      <c r="S425" s="15">
        <v>50</v>
      </c>
      <c r="T425" s="15">
        <v>30</v>
      </c>
      <c r="U425" s="15">
        <v>40</v>
      </c>
      <c r="V425" s="15">
        <v>45</v>
      </c>
      <c r="W425" s="15">
        <v>95</v>
      </c>
      <c r="X425" s="15">
        <v>30</v>
      </c>
      <c r="Y425" s="15">
        <v>70</v>
      </c>
      <c r="Z425" s="4">
        <v>975</v>
      </c>
      <c r="AA425" s="26">
        <v>23</v>
      </c>
      <c r="AB425" s="7">
        <v>0.51400000000000001</v>
      </c>
    </row>
    <row r="426" spans="1:29" x14ac:dyDescent="0.35">
      <c r="A426" s="1">
        <v>4006170</v>
      </c>
      <c r="B426" s="15">
        <v>10</v>
      </c>
      <c r="C426" s="15">
        <v>10</v>
      </c>
      <c r="D426" s="15">
        <v>10</v>
      </c>
      <c r="E426" s="15">
        <v>60</v>
      </c>
      <c r="F426" s="15">
        <v>10</v>
      </c>
      <c r="G426" s="15">
        <v>20</v>
      </c>
      <c r="H426" s="15">
        <v>0</v>
      </c>
      <c r="I426" s="15">
        <v>10</v>
      </c>
      <c r="J426" s="15">
        <v>0</v>
      </c>
      <c r="K426" s="15">
        <v>10</v>
      </c>
      <c r="L426" s="15">
        <v>50</v>
      </c>
      <c r="M426" s="15">
        <v>10</v>
      </c>
      <c r="N426" s="15">
        <v>10</v>
      </c>
      <c r="O426" s="15">
        <v>10</v>
      </c>
      <c r="P426" s="15">
        <v>10</v>
      </c>
      <c r="Q426" s="15">
        <v>10</v>
      </c>
      <c r="R426" s="15">
        <v>30</v>
      </c>
      <c r="S426" s="15">
        <v>10</v>
      </c>
      <c r="T426" s="15">
        <v>0</v>
      </c>
      <c r="U426" s="15">
        <v>20</v>
      </c>
      <c r="V426" s="15">
        <v>0</v>
      </c>
      <c r="W426" s="15">
        <v>10</v>
      </c>
      <c r="X426" s="15">
        <v>20</v>
      </c>
      <c r="Y426" s="15">
        <v>0</v>
      </c>
      <c r="Z426" s="4">
        <v>330</v>
      </c>
      <c r="AA426" s="26">
        <v>19</v>
      </c>
      <c r="AB426" s="7">
        <v>1.0458000000000001</v>
      </c>
    </row>
    <row r="427" spans="1:29" x14ac:dyDescent="0.35">
      <c r="A427" s="1">
        <v>4006171</v>
      </c>
      <c r="B427" s="15">
        <v>0</v>
      </c>
      <c r="C427" s="15">
        <v>10</v>
      </c>
      <c r="D427" s="15">
        <v>0</v>
      </c>
      <c r="E427" s="15">
        <v>40</v>
      </c>
      <c r="F427" s="15">
        <v>0</v>
      </c>
      <c r="G427" s="15">
        <v>40</v>
      </c>
      <c r="H427" s="15">
        <v>0</v>
      </c>
      <c r="I427" s="15">
        <v>10</v>
      </c>
      <c r="J427" s="15">
        <v>20</v>
      </c>
      <c r="K427" s="15">
        <v>0</v>
      </c>
      <c r="L427" s="15">
        <v>30</v>
      </c>
      <c r="M427" s="15">
        <v>0</v>
      </c>
      <c r="N427" s="15">
        <v>0</v>
      </c>
      <c r="O427" s="15">
        <v>0</v>
      </c>
      <c r="P427" s="15">
        <v>20</v>
      </c>
      <c r="Q427" s="15">
        <v>10</v>
      </c>
      <c r="R427" s="15">
        <v>10</v>
      </c>
      <c r="S427" s="15">
        <v>40</v>
      </c>
      <c r="T427" s="15">
        <v>0</v>
      </c>
      <c r="U427" s="15">
        <v>20</v>
      </c>
      <c r="V427" s="15">
        <v>0</v>
      </c>
      <c r="W427" s="15">
        <v>0</v>
      </c>
      <c r="X427" s="15">
        <v>0</v>
      </c>
      <c r="Y427" s="15">
        <v>0</v>
      </c>
      <c r="Z427" s="4">
        <v>250</v>
      </c>
      <c r="AA427" s="26">
        <v>11</v>
      </c>
      <c r="AB427" s="7">
        <v>1.3428</v>
      </c>
    </row>
    <row r="428" spans="1:29" x14ac:dyDescent="0.35">
      <c r="A428" s="1">
        <v>4006172</v>
      </c>
      <c r="B428" s="15">
        <v>2175</v>
      </c>
      <c r="C428" s="15">
        <v>1950</v>
      </c>
      <c r="D428" s="15">
        <v>1700</v>
      </c>
      <c r="E428" s="15">
        <v>2425</v>
      </c>
      <c r="F428" s="15">
        <v>3175</v>
      </c>
      <c r="G428" s="15">
        <v>3075</v>
      </c>
      <c r="H428" s="15">
        <v>5277</v>
      </c>
      <c r="I428" s="15">
        <v>2125</v>
      </c>
      <c r="J428" s="15">
        <v>2300</v>
      </c>
      <c r="K428" s="15">
        <v>1800</v>
      </c>
      <c r="L428" s="15">
        <v>2575</v>
      </c>
      <c r="M428" s="15">
        <v>2575</v>
      </c>
      <c r="N428" s="15">
        <v>2750</v>
      </c>
      <c r="O428" s="15">
        <v>2450</v>
      </c>
      <c r="P428" s="15">
        <v>5375</v>
      </c>
      <c r="Q428" s="15">
        <v>3675</v>
      </c>
      <c r="R428" s="15">
        <v>4025</v>
      </c>
      <c r="S428" s="15">
        <v>3550</v>
      </c>
      <c r="T428" s="15">
        <v>5175</v>
      </c>
      <c r="U428" s="15">
        <v>4625</v>
      </c>
      <c r="V428" s="15">
        <v>3475</v>
      </c>
      <c r="W428" s="15">
        <v>3025</v>
      </c>
      <c r="X428" s="15">
        <v>1850</v>
      </c>
      <c r="Y428" s="15">
        <v>3225</v>
      </c>
      <c r="Z428" s="4">
        <v>74352</v>
      </c>
      <c r="AA428" s="26">
        <v>24</v>
      </c>
      <c r="AB428" s="7">
        <v>0.35260000000000002</v>
      </c>
    </row>
    <row r="429" spans="1:29" x14ac:dyDescent="0.35">
      <c r="A429" s="1">
        <v>4006174</v>
      </c>
      <c r="B429" s="15">
        <v>2500</v>
      </c>
      <c r="C429" s="15">
        <v>2100</v>
      </c>
      <c r="D429" s="15">
        <v>1800</v>
      </c>
      <c r="E429" s="15">
        <v>2200</v>
      </c>
      <c r="F429" s="15">
        <v>2300</v>
      </c>
      <c r="G429" s="15">
        <v>2300</v>
      </c>
      <c r="H429" s="15">
        <v>1700</v>
      </c>
      <c r="I429" s="15">
        <v>1400</v>
      </c>
      <c r="J429" s="15">
        <v>1400</v>
      </c>
      <c r="K429" s="15">
        <v>1900</v>
      </c>
      <c r="L429" s="15">
        <v>2100</v>
      </c>
      <c r="M429" s="15">
        <v>2020</v>
      </c>
      <c r="N429" s="15">
        <v>2200</v>
      </c>
      <c r="O429" s="15">
        <v>2600</v>
      </c>
      <c r="P429" s="15">
        <v>1600</v>
      </c>
      <c r="Q429" s="15">
        <v>2000</v>
      </c>
      <c r="R429" s="15">
        <v>1700</v>
      </c>
      <c r="S429" s="15">
        <v>1300</v>
      </c>
      <c r="T429" s="15">
        <v>1500</v>
      </c>
      <c r="U429" s="15">
        <v>2000</v>
      </c>
      <c r="V429" s="15">
        <v>2100</v>
      </c>
      <c r="W429" s="15">
        <v>2100</v>
      </c>
      <c r="X429" s="15">
        <v>1300</v>
      </c>
      <c r="Y429" s="15">
        <v>2300</v>
      </c>
      <c r="Z429" s="4">
        <v>46420</v>
      </c>
      <c r="AA429" s="26">
        <v>24</v>
      </c>
      <c r="AB429" s="7">
        <v>0.18990000000000001</v>
      </c>
    </row>
    <row r="430" spans="1:29" x14ac:dyDescent="0.35">
      <c r="A430" s="1">
        <v>4006176</v>
      </c>
      <c r="B430" s="15">
        <v>69960</v>
      </c>
      <c r="C430" s="15">
        <v>64920</v>
      </c>
      <c r="D430" s="15">
        <v>73260</v>
      </c>
      <c r="E430" s="15">
        <v>50520</v>
      </c>
      <c r="F430" s="15">
        <v>67680</v>
      </c>
      <c r="G430" s="15">
        <v>49320</v>
      </c>
      <c r="H430" s="15">
        <v>63180</v>
      </c>
      <c r="I430" s="15">
        <v>58740</v>
      </c>
      <c r="J430" s="15">
        <v>54000</v>
      </c>
      <c r="K430" s="15">
        <v>70800</v>
      </c>
      <c r="L430" s="15">
        <v>51240</v>
      </c>
      <c r="M430" s="15">
        <v>70200</v>
      </c>
      <c r="N430" s="15">
        <v>57600</v>
      </c>
      <c r="O430" s="15">
        <v>71280</v>
      </c>
      <c r="P430" s="15">
        <v>52740</v>
      </c>
      <c r="Q430" s="15">
        <v>61760</v>
      </c>
      <c r="R430" s="15">
        <v>61803</v>
      </c>
      <c r="S430" s="15">
        <v>48180</v>
      </c>
      <c r="T430" s="15">
        <v>53320</v>
      </c>
      <c r="U430" s="15">
        <v>49560</v>
      </c>
      <c r="V430" s="15">
        <v>68910</v>
      </c>
      <c r="W430" s="15">
        <v>74880</v>
      </c>
      <c r="X430" s="15">
        <v>59400</v>
      </c>
      <c r="Y430" s="15">
        <v>71640</v>
      </c>
      <c r="Z430" s="4">
        <v>1474893</v>
      </c>
      <c r="AA430" s="26">
        <v>24</v>
      </c>
      <c r="AB430" s="7">
        <v>0.1401</v>
      </c>
    </row>
    <row r="431" spans="1:29" x14ac:dyDescent="0.35">
      <c r="A431" s="1">
        <v>4006177</v>
      </c>
      <c r="B431" s="15">
        <v>90</v>
      </c>
      <c r="C431" s="15">
        <v>70</v>
      </c>
      <c r="D431" s="15">
        <v>60</v>
      </c>
      <c r="E431" s="15">
        <v>160</v>
      </c>
      <c r="F431" s="15">
        <v>170</v>
      </c>
      <c r="G431" s="15">
        <v>150</v>
      </c>
      <c r="H431" s="15">
        <v>80</v>
      </c>
      <c r="I431" s="15">
        <v>130</v>
      </c>
      <c r="J431" s="15">
        <v>160</v>
      </c>
      <c r="K431" s="15">
        <v>100</v>
      </c>
      <c r="L431" s="15">
        <v>100</v>
      </c>
      <c r="M431" s="15">
        <v>140</v>
      </c>
      <c r="N431" s="15">
        <v>180</v>
      </c>
      <c r="O431" s="15">
        <v>70</v>
      </c>
      <c r="P431" s="15">
        <v>190</v>
      </c>
      <c r="Q431" s="15">
        <v>140</v>
      </c>
      <c r="R431" s="15">
        <v>100</v>
      </c>
      <c r="S431" s="15">
        <v>120</v>
      </c>
      <c r="T431" s="15">
        <v>110</v>
      </c>
      <c r="U431" s="15">
        <v>110</v>
      </c>
      <c r="V431" s="15">
        <v>200</v>
      </c>
      <c r="W431" s="15">
        <v>180</v>
      </c>
      <c r="X431" s="15">
        <v>120</v>
      </c>
      <c r="Y431" s="15">
        <v>110</v>
      </c>
      <c r="Z431" s="4">
        <v>3040</v>
      </c>
      <c r="AA431" s="26">
        <v>24</v>
      </c>
      <c r="AB431" s="7">
        <v>0.31219999999999998</v>
      </c>
    </row>
    <row r="432" spans="1:29" x14ac:dyDescent="0.35">
      <c r="A432" s="1">
        <v>4006185</v>
      </c>
      <c r="B432" s="15">
        <v>40</v>
      </c>
      <c r="C432" s="15">
        <v>40</v>
      </c>
      <c r="D432" s="15">
        <v>40</v>
      </c>
      <c r="E432" s="15">
        <v>20</v>
      </c>
      <c r="F432" s="15">
        <v>80</v>
      </c>
      <c r="G432" s="15">
        <v>40</v>
      </c>
      <c r="H432" s="15">
        <v>40</v>
      </c>
      <c r="I432" s="15">
        <v>40</v>
      </c>
      <c r="J432" s="15">
        <v>40</v>
      </c>
      <c r="K432" s="15">
        <v>80</v>
      </c>
      <c r="L432" s="15">
        <v>80</v>
      </c>
      <c r="M432" s="15">
        <v>20</v>
      </c>
      <c r="N432" s="15">
        <v>40</v>
      </c>
      <c r="O432" s="15">
        <v>20</v>
      </c>
      <c r="P432" s="15">
        <v>40</v>
      </c>
      <c r="Q432" s="15">
        <v>100</v>
      </c>
      <c r="R432" s="15">
        <v>0</v>
      </c>
      <c r="S432" s="15">
        <v>40</v>
      </c>
      <c r="T432" s="15">
        <v>80</v>
      </c>
      <c r="U432" s="15">
        <v>40</v>
      </c>
      <c r="V432" s="15">
        <v>100</v>
      </c>
      <c r="W432" s="15">
        <v>20</v>
      </c>
      <c r="X432" s="15">
        <v>100</v>
      </c>
      <c r="Y432" s="15">
        <v>40</v>
      </c>
      <c r="Z432" s="4">
        <v>1180</v>
      </c>
      <c r="AA432" s="26">
        <v>23</v>
      </c>
      <c r="AB432" s="7">
        <v>0.56289999999999996</v>
      </c>
    </row>
    <row r="433" spans="1:28" x14ac:dyDescent="0.35">
      <c r="A433" s="1">
        <v>4006187</v>
      </c>
      <c r="B433" s="15">
        <v>30</v>
      </c>
      <c r="C433" s="15">
        <v>50</v>
      </c>
      <c r="D433" s="15">
        <v>80</v>
      </c>
      <c r="E433" s="15">
        <v>0</v>
      </c>
      <c r="F433" s="15">
        <v>20</v>
      </c>
      <c r="G433" s="15">
        <v>60</v>
      </c>
      <c r="H433" s="15">
        <v>40</v>
      </c>
      <c r="I433" s="15">
        <v>20</v>
      </c>
      <c r="J433" s="15">
        <v>0</v>
      </c>
      <c r="K433" s="15">
        <v>140</v>
      </c>
      <c r="L433" s="15">
        <v>0</v>
      </c>
      <c r="M433" s="15">
        <v>50</v>
      </c>
      <c r="N433" s="15">
        <v>40</v>
      </c>
      <c r="O433" s="15">
        <v>20</v>
      </c>
      <c r="P433" s="15">
        <v>10</v>
      </c>
      <c r="Q433" s="15">
        <v>10</v>
      </c>
      <c r="R433" s="15">
        <v>190</v>
      </c>
      <c r="S433" s="15">
        <v>60</v>
      </c>
      <c r="T433" s="15">
        <v>20</v>
      </c>
      <c r="U433" s="15">
        <v>40</v>
      </c>
      <c r="V433" s="15">
        <v>10</v>
      </c>
      <c r="W433" s="15">
        <v>30</v>
      </c>
      <c r="X433" s="15">
        <v>20</v>
      </c>
      <c r="Y433" s="15">
        <v>30</v>
      </c>
      <c r="Z433" s="4">
        <v>970</v>
      </c>
      <c r="AA433" s="26">
        <v>21</v>
      </c>
      <c r="AB433" s="7">
        <v>1.0701000000000001</v>
      </c>
    </row>
    <row r="434" spans="1:28" x14ac:dyDescent="0.35">
      <c r="A434" s="1">
        <v>4006188</v>
      </c>
      <c r="B434" s="15">
        <v>340</v>
      </c>
      <c r="C434" s="15">
        <v>330</v>
      </c>
      <c r="D434" s="15">
        <v>280</v>
      </c>
      <c r="E434" s="15">
        <v>310</v>
      </c>
      <c r="F434" s="15">
        <v>400</v>
      </c>
      <c r="G434" s="15">
        <v>220</v>
      </c>
      <c r="H434" s="15">
        <v>180</v>
      </c>
      <c r="I434" s="15">
        <v>310</v>
      </c>
      <c r="J434" s="15">
        <v>370</v>
      </c>
      <c r="K434" s="15">
        <v>290</v>
      </c>
      <c r="L434" s="15">
        <v>390</v>
      </c>
      <c r="M434" s="15">
        <v>290</v>
      </c>
      <c r="N434" s="15">
        <v>410</v>
      </c>
      <c r="O434" s="15">
        <v>320</v>
      </c>
      <c r="P434" s="15">
        <v>490</v>
      </c>
      <c r="Q434" s="15">
        <v>290</v>
      </c>
      <c r="R434" s="15">
        <v>240</v>
      </c>
      <c r="S434" s="15">
        <v>270</v>
      </c>
      <c r="T434" s="15">
        <v>210</v>
      </c>
      <c r="U434" s="15">
        <v>220</v>
      </c>
      <c r="V434" s="15">
        <v>510</v>
      </c>
      <c r="W434" s="15">
        <v>490</v>
      </c>
      <c r="X434" s="15">
        <v>480</v>
      </c>
      <c r="Y434" s="15">
        <v>430</v>
      </c>
      <c r="Z434" s="4">
        <v>8070</v>
      </c>
      <c r="AA434" s="26">
        <v>24</v>
      </c>
      <c r="AB434" s="7">
        <v>0.28000000000000003</v>
      </c>
    </row>
    <row r="435" spans="1:28" x14ac:dyDescent="0.35">
      <c r="A435" s="1">
        <v>4006193</v>
      </c>
      <c r="B435" s="15">
        <v>20</v>
      </c>
      <c r="C435" s="15">
        <v>0</v>
      </c>
      <c r="D435" s="15">
        <v>20</v>
      </c>
      <c r="E435" s="15">
        <v>20</v>
      </c>
      <c r="F435" s="15">
        <v>20</v>
      </c>
      <c r="G435" s="15">
        <v>20</v>
      </c>
      <c r="H435" s="15">
        <v>20</v>
      </c>
      <c r="I435" s="15">
        <v>20</v>
      </c>
      <c r="J435" s="15">
        <v>60</v>
      </c>
      <c r="K435" s="15">
        <v>0</v>
      </c>
      <c r="L435" s="15">
        <v>0</v>
      </c>
      <c r="M435" s="15">
        <v>20</v>
      </c>
      <c r="N435" s="15">
        <v>20</v>
      </c>
      <c r="O435" s="15">
        <v>40</v>
      </c>
      <c r="P435" s="15">
        <v>0</v>
      </c>
      <c r="Q435" s="15">
        <v>0</v>
      </c>
      <c r="R435" s="15">
        <v>0</v>
      </c>
      <c r="S435" s="15">
        <v>0</v>
      </c>
      <c r="T435" s="15">
        <v>20</v>
      </c>
      <c r="U435" s="15">
        <v>0</v>
      </c>
      <c r="V435" s="15">
        <v>20</v>
      </c>
      <c r="W435" s="15">
        <v>10</v>
      </c>
      <c r="X435" s="15">
        <v>0</v>
      </c>
      <c r="Y435" s="15">
        <v>20</v>
      </c>
      <c r="Z435" s="4">
        <v>350</v>
      </c>
      <c r="AA435" s="26">
        <v>15</v>
      </c>
      <c r="AB435" s="7">
        <v>0.98929999999999996</v>
      </c>
    </row>
    <row r="436" spans="1:28" x14ac:dyDescent="0.35">
      <c r="A436" s="1">
        <v>4006210</v>
      </c>
      <c r="B436" s="15">
        <v>147</v>
      </c>
      <c r="C436" s="15">
        <v>153</v>
      </c>
      <c r="D436" s="15">
        <v>106</v>
      </c>
      <c r="E436" s="15">
        <v>93</v>
      </c>
      <c r="F436" s="15">
        <v>200</v>
      </c>
      <c r="G436" s="15">
        <v>114</v>
      </c>
      <c r="H436" s="15">
        <v>156</v>
      </c>
      <c r="I436" s="15">
        <v>135</v>
      </c>
      <c r="J436" s="15">
        <v>209</v>
      </c>
      <c r="K436" s="15">
        <v>123</v>
      </c>
      <c r="L436" s="15">
        <v>136</v>
      </c>
      <c r="M436" s="15">
        <v>146</v>
      </c>
      <c r="N436" s="15">
        <v>140</v>
      </c>
      <c r="O436" s="15">
        <v>153</v>
      </c>
      <c r="P436" s="15">
        <v>191</v>
      </c>
      <c r="Q436" s="15">
        <v>120</v>
      </c>
      <c r="R436" s="15">
        <v>112</v>
      </c>
      <c r="S436" s="15">
        <v>153</v>
      </c>
      <c r="T436" s="15">
        <v>124</v>
      </c>
      <c r="U436" s="15">
        <v>113</v>
      </c>
      <c r="V436" s="15">
        <v>160</v>
      </c>
      <c r="W436" s="15">
        <v>123</v>
      </c>
      <c r="X436" s="15">
        <v>116</v>
      </c>
      <c r="Y436" s="15">
        <v>186</v>
      </c>
      <c r="Z436" s="4">
        <v>3409</v>
      </c>
      <c r="AA436" s="26">
        <v>24</v>
      </c>
      <c r="AB436" s="7">
        <v>0.2114</v>
      </c>
    </row>
    <row r="437" spans="1:28" x14ac:dyDescent="0.35">
      <c r="A437" s="1">
        <v>4006235</v>
      </c>
      <c r="B437" s="15">
        <v>0</v>
      </c>
      <c r="C437" s="15">
        <v>0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6</v>
      </c>
      <c r="J437" s="15">
        <v>54</v>
      </c>
      <c r="K437" s="15">
        <v>18</v>
      </c>
      <c r="L437" s="15">
        <v>36</v>
      </c>
      <c r="M437" s="15">
        <v>54</v>
      </c>
      <c r="N437" s="15">
        <v>24</v>
      </c>
      <c r="O437" s="15">
        <v>60</v>
      </c>
      <c r="P437" s="15">
        <v>48</v>
      </c>
      <c r="Q437" s="15">
        <v>66</v>
      </c>
      <c r="R437" s="15">
        <v>48</v>
      </c>
      <c r="S437" s="15">
        <v>37</v>
      </c>
      <c r="T437" s="15">
        <v>36</v>
      </c>
      <c r="U437" s="15">
        <v>43</v>
      </c>
      <c r="V437" s="15">
        <v>36</v>
      </c>
      <c r="W437" s="15">
        <v>6</v>
      </c>
      <c r="X437" s="15">
        <v>31</v>
      </c>
      <c r="Y437" s="15">
        <v>48</v>
      </c>
      <c r="Z437" s="4">
        <v>651</v>
      </c>
      <c r="AA437" s="26">
        <v>17</v>
      </c>
      <c r="AB437" s="7">
        <v>0.82709999999999995</v>
      </c>
    </row>
    <row r="438" spans="1:28" x14ac:dyDescent="0.35">
      <c r="A438" s="1">
        <v>4006236</v>
      </c>
      <c r="B438" s="15">
        <v>0</v>
      </c>
      <c r="C438" s="15">
        <v>0</v>
      </c>
      <c r="D438" s="15">
        <v>0</v>
      </c>
      <c r="E438" s="15">
        <v>0</v>
      </c>
      <c r="F438" s="15">
        <v>0</v>
      </c>
      <c r="G438" s="15">
        <v>21</v>
      </c>
      <c r="H438" s="15">
        <v>15</v>
      </c>
      <c r="I438" s="15">
        <v>66</v>
      </c>
      <c r="J438" s="15">
        <v>51</v>
      </c>
      <c r="K438" s="15">
        <v>52</v>
      </c>
      <c r="L438" s="15">
        <v>57</v>
      </c>
      <c r="M438" s="15">
        <v>58</v>
      </c>
      <c r="N438" s="15">
        <v>71</v>
      </c>
      <c r="O438" s="15">
        <v>72</v>
      </c>
      <c r="P438" s="15">
        <v>52</v>
      </c>
      <c r="Q438" s="15">
        <v>43</v>
      </c>
      <c r="R438" s="15">
        <v>78</v>
      </c>
      <c r="S438" s="15">
        <v>52</v>
      </c>
      <c r="T438" s="15">
        <v>49</v>
      </c>
      <c r="U438" s="15">
        <v>56</v>
      </c>
      <c r="V438" s="15">
        <v>56</v>
      </c>
      <c r="W438" s="15">
        <v>48</v>
      </c>
      <c r="X438" s="15">
        <v>72</v>
      </c>
      <c r="Y438" s="15">
        <v>47</v>
      </c>
      <c r="Z438" s="4">
        <v>1016</v>
      </c>
      <c r="AA438" s="26">
        <v>19</v>
      </c>
      <c r="AB438" s="7">
        <v>0.60729999999999995</v>
      </c>
    </row>
    <row r="439" spans="1:28" x14ac:dyDescent="0.35">
      <c r="A439" s="1">
        <v>4006332</v>
      </c>
      <c r="B439" s="15">
        <v>80</v>
      </c>
      <c r="C439" s="15">
        <v>140</v>
      </c>
      <c r="D439" s="15">
        <v>160</v>
      </c>
      <c r="E439" s="15">
        <v>50</v>
      </c>
      <c r="F439" s="15">
        <v>90</v>
      </c>
      <c r="G439" s="15">
        <v>60</v>
      </c>
      <c r="H439" s="15">
        <v>50</v>
      </c>
      <c r="I439" s="15">
        <v>80</v>
      </c>
      <c r="J439" s="15">
        <v>70</v>
      </c>
      <c r="K439" s="15">
        <v>130</v>
      </c>
      <c r="L439" s="15">
        <v>120</v>
      </c>
      <c r="M439" s="15">
        <v>40</v>
      </c>
      <c r="N439" s="15">
        <v>70</v>
      </c>
      <c r="O439" s="15">
        <v>130</v>
      </c>
      <c r="P439" s="15">
        <v>50</v>
      </c>
      <c r="Q439" s="15">
        <v>70</v>
      </c>
      <c r="R439" s="15">
        <v>60</v>
      </c>
      <c r="S439" s="15">
        <v>220</v>
      </c>
      <c r="T439" s="15">
        <v>60</v>
      </c>
      <c r="U439" s="15">
        <v>110</v>
      </c>
      <c r="V439" s="15">
        <v>90</v>
      </c>
      <c r="W439" s="15">
        <v>210</v>
      </c>
      <c r="X439" s="15">
        <v>140</v>
      </c>
      <c r="Y439" s="15">
        <v>230</v>
      </c>
      <c r="Z439" s="4">
        <v>2510</v>
      </c>
      <c r="AA439" s="26">
        <v>24</v>
      </c>
      <c r="AB439" s="7">
        <v>0.5222</v>
      </c>
    </row>
    <row r="440" spans="1:28" x14ac:dyDescent="0.35">
      <c r="A440" s="1">
        <v>4006333</v>
      </c>
      <c r="B440" s="15">
        <v>100</v>
      </c>
      <c r="C440" s="15">
        <v>75</v>
      </c>
      <c r="D440" s="15">
        <v>150</v>
      </c>
      <c r="E440" s="15">
        <v>120</v>
      </c>
      <c r="F440" s="15">
        <v>80</v>
      </c>
      <c r="G440" s="15">
        <v>85</v>
      </c>
      <c r="H440" s="15">
        <v>30</v>
      </c>
      <c r="I440" s="15">
        <v>140</v>
      </c>
      <c r="J440" s="15">
        <v>100</v>
      </c>
      <c r="K440" s="15">
        <v>160</v>
      </c>
      <c r="L440" s="15">
        <v>130</v>
      </c>
      <c r="M440" s="15">
        <v>120</v>
      </c>
      <c r="N440" s="15">
        <v>50</v>
      </c>
      <c r="O440" s="15">
        <v>120</v>
      </c>
      <c r="P440" s="15">
        <v>110</v>
      </c>
      <c r="Q440" s="15">
        <v>70</v>
      </c>
      <c r="R440" s="15">
        <v>145</v>
      </c>
      <c r="S440" s="15">
        <v>70</v>
      </c>
      <c r="T440" s="15">
        <v>60</v>
      </c>
      <c r="U440" s="15">
        <v>115</v>
      </c>
      <c r="V440" s="15">
        <v>190</v>
      </c>
      <c r="W440" s="15">
        <v>140</v>
      </c>
      <c r="X440" s="15">
        <v>135</v>
      </c>
      <c r="Y440" s="15">
        <v>210</v>
      </c>
      <c r="Z440" s="4">
        <v>2705</v>
      </c>
      <c r="AA440" s="26">
        <v>24</v>
      </c>
      <c r="AB440" s="7">
        <v>0.37709999999999999</v>
      </c>
    </row>
    <row r="441" spans="1:28" x14ac:dyDescent="0.35">
      <c r="A441" s="1">
        <v>4006341</v>
      </c>
      <c r="B441" s="15">
        <v>0</v>
      </c>
      <c r="C441" s="15">
        <v>0</v>
      </c>
      <c r="D441" s="15">
        <v>0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50</v>
      </c>
      <c r="P441" s="15">
        <v>50</v>
      </c>
      <c r="Q441" s="15">
        <v>100</v>
      </c>
      <c r="R441" s="15">
        <v>0</v>
      </c>
      <c r="S441" s="15">
        <v>0</v>
      </c>
      <c r="T441" s="15">
        <v>0</v>
      </c>
      <c r="U441" s="15">
        <v>300</v>
      </c>
      <c r="V441" s="15">
        <v>100</v>
      </c>
      <c r="W441" s="15">
        <v>0</v>
      </c>
      <c r="X441" s="15">
        <v>101</v>
      </c>
      <c r="Y441" s="15">
        <v>200</v>
      </c>
      <c r="Z441" s="4">
        <v>901</v>
      </c>
      <c r="AA441" s="26">
        <v>7</v>
      </c>
      <c r="AB441" s="7">
        <v>1.9708000000000001</v>
      </c>
    </row>
    <row r="442" spans="1:28" x14ac:dyDescent="0.35">
      <c r="A442" s="1">
        <v>4006367</v>
      </c>
      <c r="B442" s="15">
        <v>3750</v>
      </c>
      <c r="C442" s="15">
        <v>3750</v>
      </c>
      <c r="D442" s="15">
        <v>3250</v>
      </c>
      <c r="E442" s="15">
        <v>4100</v>
      </c>
      <c r="F442" s="15">
        <v>3000</v>
      </c>
      <c r="G442" s="15">
        <v>2800</v>
      </c>
      <c r="H442" s="15">
        <v>2900</v>
      </c>
      <c r="I442" s="15">
        <v>3000</v>
      </c>
      <c r="J442" s="15">
        <v>4000</v>
      </c>
      <c r="K442" s="15">
        <v>3300</v>
      </c>
      <c r="L442" s="15">
        <v>2800</v>
      </c>
      <c r="M442" s="15">
        <v>3100</v>
      </c>
      <c r="N442" s="15">
        <v>3900</v>
      </c>
      <c r="O442" s="15">
        <v>3000</v>
      </c>
      <c r="P442" s="15">
        <v>3300</v>
      </c>
      <c r="Q442" s="15">
        <v>3400</v>
      </c>
      <c r="R442" s="15">
        <v>3300</v>
      </c>
      <c r="S442" s="15">
        <v>3000</v>
      </c>
      <c r="T442" s="15">
        <v>2700</v>
      </c>
      <c r="U442" s="15">
        <v>2700</v>
      </c>
      <c r="V442" s="15">
        <v>3800</v>
      </c>
      <c r="W442" s="15">
        <v>3300</v>
      </c>
      <c r="X442" s="15">
        <v>3300</v>
      </c>
      <c r="Y442" s="15">
        <v>3200</v>
      </c>
      <c r="Z442" s="4">
        <v>78650</v>
      </c>
      <c r="AA442" s="26">
        <v>24</v>
      </c>
      <c r="AB442" s="7">
        <v>0.1236</v>
      </c>
    </row>
    <row r="443" spans="1:28" x14ac:dyDescent="0.35">
      <c r="A443" s="1">
        <v>4006368</v>
      </c>
      <c r="B443" s="15">
        <v>1368</v>
      </c>
      <c r="C443" s="15">
        <v>1520</v>
      </c>
      <c r="D443" s="15">
        <v>1140</v>
      </c>
      <c r="E443" s="15">
        <v>1444</v>
      </c>
      <c r="F443" s="15">
        <v>1140</v>
      </c>
      <c r="G443" s="15">
        <v>1216</v>
      </c>
      <c r="H443" s="15">
        <v>912</v>
      </c>
      <c r="I443" s="15">
        <v>1292</v>
      </c>
      <c r="J443" s="15">
        <v>1292</v>
      </c>
      <c r="K443" s="15">
        <v>1216</v>
      </c>
      <c r="L443" s="15">
        <v>1444</v>
      </c>
      <c r="M443" s="15">
        <v>1216</v>
      </c>
      <c r="N443" s="15">
        <v>1444</v>
      </c>
      <c r="O443" s="15">
        <v>1520</v>
      </c>
      <c r="P443" s="15">
        <v>1368</v>
      </c>
      <c r="Q443" s="15">
        <v>1368</v>
      </c>
      <c r="R443" s="15">
        <v>1368</v>
      </c>
      <c r="S443" s="15">
        <v>912</v>
      </c>
      <c r="T443" s="15">
        <v>760</v>
      </c>
      <c r="U443" s="15">
        <v>1216</v>
      </c>
      <c r="V443" s="15">
        <v>1520</v>
      </c>
      <c r="W443" s="15">
        <v>1140</v>
      </c>
      <c r="X443" s="15">
        <v>1292</v>
      </c>
      <c r="Y443" s="15">
        <v>1368</v>
      </c>
      <c r="Z443" s="4">
        <v>30476</v>
      </c>
      <c r="AA443" s="26">
        <v>24</v>
      </c>
      <c r="AB443" s="7">
        <v>0.15310000000000001</v>
      </c>
    </row>
    <row r="444" spans="1:28" x14ac:dyDescent="0.35">
      <c r="A444" s="1">
        <v>4006370</v>
      </c>
      <c r="B444" s="15">
        <v>6300</v>
      </c>
      <c r="C444" s="15">
        <v>7600</v>
      </c>
      <c r="D444" s="15">
        <v>4900</v>
      </c>
      <c r="E444" s="15">
        <v>6300</v>
      </c>
      <c r="F444" s="15">
        <v>6000</v>
      </c>
      <c r="G444" s="15">
        <v>6100</v>
      </c>
      <c r="H444" s="15">
        <v>3700</v>
      </c>
      <c r="I444" s="15">
        <v>6100</v>
      </c>
      <c r="J444" s="15">
        <v>8500</v>
      </c>
      <c r="K444" s="15">
        <v>6200</v>
      </c>
      <c r="L444" s="15">
        <v>6200</v>
      </c>
      <c r="M444" s="15">
        <v>7200</v>
      </c>
      <c r="N444" s="15">
        <v>7700</v>
      </c>
      <c r="O444" s="15">
        <v>7700</v>
      </c>
      <c r="P444" s="15">
        <v>4800</v>
      </c>
      <c r="Q444" s="15">
        <v>7300</v>
      </c>
      <c r="R444" s="15">
        <v>6000</v>
      </c>
      <c r="S444" s="15">
        <v>7500</v>
      </c>
      <c r="T444" s="15">
        <v>2400</v>
      </c>
      <c r="U444" s="15">
        <v>7200</v>
      </c>
      <c r="V444" s="15">
        <v>7300</v>
      </c>
      <c r="W444" s="15">
        <v>7300</v>
      </c>
      <c r="X444" s="15">
        <v>7500</v>
      </c>
      <c r="Y444" s="15">
        <v>7700</v>
      </c>
      <c r="Z444" s="4">
        <v>155500</v>
      </c>
      <c r="AA444" s="26">
        <v>24</v>
      </c>
      <c r="AB444" s="7">
        <v>0.2127</v>
      </c>
    </row>
    <row r="445" spans="1:28" x14ac:dyDescent="0.35">
      <c r="A445" s="1">
        <v>4006372</v>
      </c>
      <c r="B445" s="15">
        <v>0</v>
      </c>
      <c r="C445" s="15">
        <v>0</v>
      </c>
      <c r="D445" s="15">
        <v>0</v>
      </c>
      <c r="E445" s="15">
        <v>100</v>
      </c>
      <c r="F445" s="15">
        <v>0</v>
      </c>
      <c r="G445" s="15">
        <v>0</v>
      </c>
      <c r="H445" s="15">
        <v>0</v>
      </c>
      <c r="I445" s="15">
        <v>100</v>
      </c>
      <c r="J445" s="15">
        <v>800</v>
      </c>
      <c r="K445" s="15">
        <v>0</v>
      </c>
      <c r="L445" s="15">
        <v>0</v>
      </c>
      <c r="M445" s="15">
        <v>0</v>
      </c>
      <c r="N445" s="15">
        <v>0</v>
      </c>
      <c r="O445" s="15">
        <v>600</v>
      </c>
      <c r="P445" s="15">
        <v>0</v>
      </c>
      <c r="Q445" s="15">
        <v>100</v>
      </c>
      <c r="R445" s="15">
        <v>0</v>
      </c>
      <c r="S445" s="15">
        <v>0</v>
      </c>
      <c r="T445" s="15">
        <v>200</v>
      </c>
      <c r="U445" s="15">
        <v>0</v>
      </c>
      <c r="V445" s="15">
        <v>0</v>
      </c>
      <c r="W445" s="15">
        <v>100</v>
      </c>
      <c r="X445" s="15">
        <v>100</v>
      </c>
      <c r="Y445" s="15">
        <v>0</v>
      </c>
      <c r="Z445" s="4">
        <v>2100</v>
      </c>
      <c r="AA445" s="26">
        <v>8</v>
      </c>
      <c r="AB445" s="7">
        <v>2.2208000000000001</v>
      </c>
    </row>
    <row r="446" spans="1:28" x14ac:dyDescent="0.35">
      <c r="A446" s="1">
        <v>4006375</v>
      </c>
      <c r="B446" s="15">
        <v>800</v>
      </c>
      <c r="C446" s="15">
        <v>1900</v>
      </c>
      <c r="D446" s="15">
        <v>600</v>
      </c>
      <c r="E446" s="15">
        <v>1200</v>
      </c>
      <c r="F446" s="15">
        <v>1200</v>
      </c>
      <c r="G446" s="15">
        <v>800</v>
      </c>
      <c r="H446" s="15">
        <v>600</v>
      </c>
      <c r="I446" s="15">
        <v>700</v>
      </c>
      <c r="J446" s="15">
        <v>2000</v>
      </c>
      <c r="K446" s="15">
        <v>600</v>
      </c>
      <c r="L446" s="15">
        <v>1400</v>
      </c>
      <c r="M446" s="15">
        <v>1200</v>
      </c>
      <c r="N446" s="15">
        <v>1500</v>
      </c>
      <c r="O446" s="15">
        <v>1200</v>
      </c>
      <c r="P446" s="15">
        <v>900</v>
      </c>
      <c r="Q446" s="15">
        <v>1200</v>
      </c>
      <c r="R446" s="15">
        <v>1200</v>
      </c>
      <c r="S446" s="15">
        <v>1300</v>
      </c>
      <c r="T446" s="15">
        <v>0</v>
      </c>
      <c r="U446" s="15">
        <v>1400</v>
      </c>
      <c r="V446" s="15">
        <v>1800</v>
      </c>
      <c r="W446" s="15">
        <v>1200</v>
      </c>
      <c r="X446" s="15">
        <v>1200</v>
      </c>
      <c r="Y446" s="15">
        <v>2500</v>
      </c>
      <c r="Z446" s="4">
        <v>28400</v>
      </c>
      <c r="AA446" s="26">
        <v>23</v>
      </c>
      <c r="AB446" s="7">
        <v>0.44090000000000001</v>
      </c>
    </row>
    <row r="447" spans="1:28" x14ac:dyDescent="0.35">
      <c r="A447" s="1">
        <v>4006377</v>
      </c>
      <c r="B447" s="15">
        <v>1100</v>
      </c>
      <c r="C447" s="15">
        <v>1100</v>
      </c>
      <c r="D447" s="15">
        <v>600</v>
      </c>
      <c r="E447" s="15">
        <v>900</v>
      </c>
      <c r="F447" s="15">
        <v>300</v>
      </c>
      <c r="G447" s="15">
        <v>4300</v>
      </c>
      <c r="H447" s="15">
        <v>800</v>
      </c>
      <c r="I447" s="15">
        <v>600</v>
      </c>
      <c r="J447" s="15">
        <v>1200</v>
      </c>
      <c r="K447" s="15">
        <v>1700</v>
      </c>
      <c r="L447" s="15">
        <v>900</v>
      </c>
      <c r="M447" s="15">
        <v>1000</v>
      </c>
      <c r="N447" s="15">
        <v>1100</v>
      </c>
      <c r="O447" s="15">
        <v>1100</v>
      </c>
      <c r="P447" s="15">
        <v>900</v>
      </c>
      <c r="Q447" s="15">
        <v>900</v>
      </c>
      <c r="R447" s="15">
        <v>500</v>
      </c>
      <c r="S447" s="15">
        <v>1400</v>
      </c>
      <c r="T447" s="15">
        <v>500</v>
      </c>
      <c r="U447" s="15">
        <v>1100</v>
      </c>
      <c r="V447" s="15">
        <v>1200</v>
      </c>
      <c r="W447" s="15">
        <v>1000</v>
      </c>
      <c r="X447" s="15">
        <v>6800</v>
      </c>
      <c r="Y447" s="15">
        <v>900</v>
      </c>
      <c r="Z447" s="4">
        <v>31900</v>
      </c>
      <c r="AA447" s="26">
        <v>24</v>
      </c>
      <c r="AB447" s="7">
        <v>1.02</v>
      </c>
    </row>
    <row r="448" spans="1:28" x14ac:dyDescent="0.35">
      <c r="A448" s="1">
        <v>4006378</v>
      </c>
      <c r="B448" s="15">
        <v>300</v>
      </c>
      <c r="C448" s="15">
        <v>0</v>
      </c>
      <c r="D448" s="15">
        <v>400</v>
      </c>
      <c r="E448" s="15">
        <v>0</v>
      </c>
      <c r="F448" s="15">
        <v>100</v>
      </c>
      <c r="G448" s="15">
        <v>500</v>
      </c>
      <c r="H448" s="15">
        <v>0</v>
      </c>
      <c r="I448" s="15">
        <v>0</v>
      </c>
      <c r="J448" s="15">
        <v>200</v>
      </c>
      <c r="K448" s="15">
        <v>300</v>
      </c>
      <c r="L448" s="15">
        <v>0</v>
      </c>
      <c r="M448" s="15">
        <v>300</v>
      </c>
      <c r="N448" s="15">
        <v>500</v>
      </c>
      <c r="O448" s="15">
        <v>300</v>
      </c>
      <c r="P448" s="15">
        <v>100</v>
      </c>
      <c r="Q448" s="15">
        <v>100</v>
      </c>
      <c r="R448" s="15">
        <v>600</v>
      </c>
      <c r="S448" s="15">
        <v>200</v>
      </c>
      <c r="T448" s="15">
        <v>0</v>
      </c>
      <c r="U448" s="15">
        <v>300</v>
      </c>
      <c r="V448" s="15">
        <v>400</v>
      </c>
      <c r="W448" s="15">
        <v>0</v>
      </c>
      <c r="X448" s="15">
        <v>600</v>
      </c>
      <c r="Y448" s="15">
        <v>100</v>
      </c>
      <c r="Z448" s="4">
        <v>5300</v>
      </c>
      <c r="AA448" s="26">
        <v>17</v>
      </c>
      <c r="AB448" s="7">
        <v>0.89600000000000002</v>
      </c>
    </row>
    <row r="449" spans="1:28" x14ac:dyDescent="0.35">
      <c r="A449" s="1">
        <v>4006380</v>
      </c>
      <c r="B449" s="15">
        <v>3500</v>
      </c>
      <c r="C449" s="15">
        <v>3900</v>
      </c>
      <c r="D449" s="15">
        <v>2300</v>
      </c>
      <c r="E449" s="15">
        <v>3500</v>
      </c>
      <c r="F449" s="15">
        <v>3100</v>
      </c>
      <c r="G449" s="15">
        <v>3500</v>
      </c>
      <c r="H449" s="15">
        <v>1500</v>
      </c>
      <c r="I449" s="15">
        <v>2900</v>
      </c>
      <c r="J449" s="15">
        <v>3100</v>
      </c>
      <c r="K449" s="15">
        <v>3700</v>
      </c>
      <c r="L449" s="15">
        <v>4000</v>
      </c>
      <c r="M449" s="15">
        <v>3600</v>
      </c>
      <c r="N449" s="15">
        <v>3600</v>
      </c>
      <c r="O449" s="15">
        <v>4600</v>
      </c>
      <c r="P449" s="15">
        <v>3000</v>
      </c>
      <c r="Q449" s="15">
        <v>4100</v>
      </c>
      <c r="R449" s="15">
        <v>4400</v>
      </c>
      <c r="S449" s="15">
        <v>3800</v>
      </c>
      <c r="T449" s="15">
        <v>1900</v>
      </c>
      <c r="U449" s="15">
        <v>3300</v>
      </c>
      <c r="V449" s="15">
        <v>4800</v>
      </c>
      <c r="W449" s="15">
        <v>4100</v>
      </c>
      <c r="X449" s="15">
        <v>4400</v>
      </c>
      <c r="Y449" s="15">
        <v>4700</v>
      </c>
      <c r="Z449" s="4">
        <v>85300</v>
      </c>
      <c r="AA449" s="26">
        <v>24</v>
      </c>
      <c r="AB449" s="7">
        <v>0.23069999999999999</v>
      </c>
    </row>
    <row r="450" spans="1:28" x14ac:dyDescent="0.35">
      <c r="A450" s="1">
        <v>4006381</v>
      </c>
      <c r="B450" s="15">
        <v>1600</v>
      </c>
      <c r="C450" s="15">
        <v>200</v>
      </c>
      <c r="D450" s="15">
        <v>1600</v>
      </c>
      <c r="E450" s="15">
        <v>300</v>
      </c>
      <c r="F450" s="15">
        <v>200</v>
      </c>
      <c r="G450" s="15">
        <v>400</v>
      </c>
      <c r="H450" s="15">
        <v>1200</v>
      </c>
      <c r="I450" s="15">
        <v>300</v>
      </c>
      <c r="J450" s="15">
        <v>100</v>
      </c>
      <c r="K450" s="15">
        <v>600</v>
      </c>
      <c r="L450" s="15">
        <v>1000</v>
      </c>
      <c r="M450" s="15">
        <v>900</v>
      </c>
      <c r="N450" s="15">
        <v>900</v>
      </c>
      <c r="O450" s="15">
        <v>1400</v>
      </c>
      <c r="P450" s="15">
        <v>200</v>
      </c>
      <c r="Q450" s="15">
        <v>1200</v>
      </c>
      <c r="R450" s="15">
        <v>1100</v>
      </c>
      <c r="S450" s="15">
        <v>300</v>
      </c>
      <c r="T450" s="15">
        <v>100</v>
      </c>
      <c r="U450" s="15">
        <v>1500</v>
      </c>
      <c r="V450" s="15">
        <v>1300</v>
      </c>
      <c r="W450" s="15">
        <v>700</v>
      </c>
      <c r="X450" s="15">
        <v>1500</v>
      </c>
      <c r="Y450" s="15">
        <v>700</v>
      </c>
      <c r="Z450" s="4">
        <v>19300</v>
      </c>
      <c r="AA450" s="26">
        <v>24</v>
      </c>
      <c r="AB450" s="7">
        <v>0.64059999999999995</v>
      </c>
    </row>
    <row r="451" spans="1:28" x14ac:dyDescent="0.35">
      <c r="A451" s="1">
        <v>4006406</v>
      </c>
      <c r="B451" s="15">
        <v>4000</v>
      </c>
      <c r="C451" s="15">
        <v>4300</v>
      </c>
      <c r="D451" s="15">
        <v>4100</v>
      </c>
      <c r="E451" s="15">
        <v>3600</v>
      </c>
      <c r="F451" s="15">
        <v>3300</v>
      </c>
      <c r="G451" s="15">
        <v>3600</v>
      </c>
      <c r="H451" s="15">
        <v>3000</v>
      </c>
      <c r="I451" s="15">
        <v>4000</v>
      </c>
      <c r="J451" s="15">
        <v>4100</v>
      </c>
      <c r="K451" s="15">
        <v>4100</v>
      </c>
      <c r="L451" s="15">
        <v>4200</v>
      </c>
      <c r="M451" s="15">
        <v>4000</v>
      </c>
      <c r="N451" s="15">
        <v>5500</v>
      </c>
      <c r="O451" s="15">
        <v>7500</v>
      </c>
      <c r="P451" s="15">
        <v>4900</v>
      </c>
      <c r="Q451" s="15">
        <v>5500</v>
      </c>
      <c r="R451" s="15">
        <v>4700</v>
      </c>
      <c r="S451" s="15">
        <v>4200</v>
      </c>
      <c r="T451" s="15">
        <v>4520</v>
      </c>
      <c r="U451" s="15">
        <v>4700</v>
      </c>
      <c r="V451" s="15">
        <v>5900</v>
      </c>
      <c r="W451" s="15">
        <v>5100</v>
      </c>
      <c r="X451" s="15">
        <v>5100</v>
      </c>
      <c r="Y451" s="15">
        <v>5000</v>
      </c>
      <c r="Z451" s="4">
        <v>108920</v>
      </c>
      <c r="AA451" s="26">
        <v>24</v>
      </c>
      <c r="AB451" s="7">
        <v>0.2056</v>
      </c>
    </row>
    <row r="452" spans="1:28" x14ac:dyDescent="0.35">
      <c r="A452" s="1">
        <v>4006431</v>
      </c>
      <c r="B452" s="15">
        <v>1500</v>
      </c>
      <c r="C452" s="15">
        <v>900</v>
      </c>
      <c r="D452" s="15">
        <v>1000</v>
      </c>
      <c r="E452" s="15">
        <v>1350</v>
      </c>
      <c r="F452" s="15">
        <v>1350</v>
      </c>
      <c r="G452" s="15">
        <v>1000</v>
      </c>
      <c r="H452" s="15">
        <v>750</v>
      </c>
      <c r="I452" s="15">
        <v>1450</v>
      </c>
      <c r="J452" s="15">
        <v>1500</v>
      </c>
      <c r="K452" s="15">
        <v>1700</v>
      </c>
      <c r="L452" s="15">
        <v>1350</v>
      </c>
      <c r="M452" s="15">
        <v>2000</v>
      </c>
      <c r="N452" s="15">
        <v>1700</v>
      </c>
      <c r="O452" s="15">
        <v>1300</v>
      </c>
      <c r="P452" s="15">
        <v>1500</v>
      </c>
      <c r="Q452" s="15">
        <v>1400</v>
      </c>
      <c r="R452" s="15">
        <v>1550</v>
      </c>
      <c r="S452" s="15">
        <v>1350</v>
      </c>
      <c r="T452" s="15">
        <v>600</v>
      </c>
      <c r="U452" s="15">
        <v>1200</v>
      </c>
      <c r="V452" s="15">
        <v>1100</v>
      </c>
      <c r="W452" s="15">
        <v>1000</v>
      </c>
      <c r="X452" s="15">
        <v>1250</v>
      </c>
      <c r="Y452" s="15">
        <v>2150</v>
      </c>
      <c r="Z452" s="4">
        <v>31950</v>
      </c>
      <c r="AA452" s="26">
        <v>24</v>
      </c>
      <c r="AB452" s="7">
        <v>0.26600000000000001</v>
      </c>
    </row>
    <row r="453" spans="1:28" x14ac:dyDescent="0.35">
      <c r="A453" s="1">
        <v>4006432</v>
      </c>
      <c r="B453" s="15">
        <v>950</v>
      </c>
      <c r="C453" s="15">
        <v>600</v>
      </c>
      <c r="D453" s="15">
        <v>800</v>
      </c>
      <c r="E453" s="15">
        <v>900</v>
      </c>
      <c r="F453" s="15">
        <v>850</v>
      </c>
      <c r="G453" s="15">
        <v>650</v>
      </c>
      <c r="H453" s="15">
        <v>350</v>
      </c>
      <c r="I453" s="15">
        <v>650</v>
      </c>
      <c r="J453" s="15">
        <v>850</v>
      </c>
      <c r="K453" s="15">
        <v>750</v>
      </c>
      <c r="L453" s="15">
        <v>850</v>
      </c>
      <c r="M453" s="15">
        <v>650</v>
      </c>
      <c r="N453" s="15">
        <v>1000</v>
      </c>
      <c r="O453" s="15">
        <v>750</v>
      </c>
      <c r="P453" s="15">
        <v>550</v>
      </c>
      <c r="Q453" s="15">
        <v>750</v>
      </c>
      <c r="R453" s="15">
        <v>950</v>
      </c>
      <c r="S453" s="15">
        <v>600</v>
      </c>
      <c r="T453" s="15">
        <v>550</v>
      </c>
      <c r="U453" s="15">
        <v>900</v>
      </c>
      <c r="V453" s="15">
        <v>650</v>
      </c>
      <c r="W453" s="15">
        <v>700</v>
      </c>
      <c r="X453" s="15">
        <v>600</v>
      </c>
      <c r="Y453" s="15">
        <v>850</v>
      </c>
      <c r="Z453" s="4">
        <v>17700</v>
      </c>
      <c r="AA453" s="26">
        <v>24</v>
      </c>
      <c r="AB453" s="7">
        <v>0.21010000000000001</v>
      </c>
    </row>
    <row r="454" spans="1:28" x14ac:dyDescent="0.35">
      <c r="A454" s="1">
        <v>4006450</v>
      </c>
      <c r="B454" s="15">
        <v>90</v>
      </c>
      <c r="C454" s="15">
        <v>100</v>
      </c>
      <c r="D454" s="15">
        <v>75</v>
      </c>
      <c r="E454" s="15">
        <v>35</v>
      </c>
      <c r="F454" s="15">
        <v>135</v>
      </c>
      <c r="G454" s="15">
        <v>125</v>
      </c>
      <c r="H454" s="15">
        <v>25</v>
      </c>
      <c r="I454" s="15">
        <v>0</v>
      </c>
      <c r="J454" s="15">
        <v>175</v>
      </c>
      <c r="K454" s="15">
        <v>50</v>
      </c>
      <c r="L454" s="15">
        <v>78</v>
      </c>
      <c r="M454" s="15">
        <v>52</v>
      </c>
      <c r="N454" s="15">
        <v>106</v>
      </c>
      <c r="O454" s="15">
        <v>70</v>
      </c>
      <c r="P454" s="15">
        <v>75</v>
      </c>
      <c r="Q454" s="15">
        <v>75</v>
      </c>
      <c r="R454" s="15">
        <v>125</v>
      </c>
      <c r="S454" s="15">
        <v>50</v>
      </c>
      <c r="T454" s="15">
        <v>25</v>
      </c>
      <c r="U454" s="15">
        <v>95</v>
      </c>
      <c r="V454" s="15">
        <v>72</v>
      </c>
      <c r="W454" s="15">
        <v>0</v>
      </c>
      <c r="X454" s="15">
        <v>0</v>
      </c>
      <c r="Y454" s="15">
        <v>0</v>
      </c>
      <c r="Z454" s="4">
        <v>1633</v>
      </c>
      <c r="AA454" s="26">
        <v>20</v>
      </c>
      <c r="AB454" s="7">
        <v>0.67459999999999998</v>
      </c>
    </row>
    <row r="455" spans="1:28" x14ac:dyDescent="0.35">
      <c r="A455" s="1">
        <v>4006451</v>
      </c>
      <c r="B455" s="15">
        <v>49</v>
      </c>
      <c r="C455" s="15">
        <v>75</v>
      </c>
      <c r="D455" s="15">
        <v>30</v>
      </c>
      <c r="E455" s="15">
        <v>50</v>
      </c>
      <c r="F455" s="15">
        <v>50</v>
      </c>
      <c r="G455" s="15">
        <v>35</v>
      </c>
      <c r="H455" s="15">
        <v>0</v>
      </c>
      <c r="I455" s="15">
        <v>75</v>
      </c>
      <c r="J455" s="15">
        <v>100</v>
      </c>
      <c r="K455" s="15">
        <v>75</v>
      </c>
      <c r="L455" s="15">
        <v>50</v>
      </c>
      <c r="M455" s="15">
        <v>25</v>
      </c>
      <c r="N455" s="15">
        <v>100</v>
      </c>
      <c r="O455" s="15">
        <v>35</v>
      </c>
      <c r="P455" s="15">
        <v>50</v>
      </c>
      <c r="Q455" s="15">
        <v>50</v>
      </c>
      <c r="R455" s="15">
        <v>25</v>
      </c>
      <c r="S455" s="15">
        <v>100</v>
      </c>
      <c r="T455" s="15">
        <v>25</v>
      </c>
      <c r="U455" s="15">
        <v>75</v>
      </c>
      <c r="V455" s="15">
        <v>50</v>
      </c>
      <c r="W455" s="15">
        <v>0</v>
      </c>
      <c r="X455" s="15">
        <v>0</v>
      </c>
      <c r="Y455" s="15">
        <v>0</v>
      </c>
      <c r="Z455" s="4">
        <v>1124</v>
      </c>
      <c r="AA455" s="26">
        <v>20</v>
      </c>
      <c r="AB455" s="7">
        <v>0.65359999999999996</v>
      </c>
    </row>
    <row r="456" spans="1:28" x14ac:dyDescent="0.35">
      <c r="A456" s="1">
        <v>4006464</v>
      </c>
      <c r="B456" s="15">
        <v>12</v>
      </c>
      <c r="C456" s="15">
        <v>20</v>
      </c>
      <c r="D456" s="15">
        <v>28</v>
      </c>
      <c r="E456" s="15">
        <v>28</v>
      </c>
      <c r="F456" s="15">
        <v>20</v>
      </c>
      <c r="G456" s="15">
        <v>28</v>
      </c>
      <c r="H456" s="15">
        <v>44</v>
      </c>
      <c r="I456" s="15">
        <v>32</v>
      </c>
      <c r="J456" s="15">
        <v>40</v>
      </c>
      <c r="K456" s="15">
        <v>48</v>
      </c>
      <c r="L456" s="15">
        <v>36</v>
      </c>
      <c r="M456" s="15">
        <v>20</v>
      </c>
      <c r="N456" s="15">
        <v>36</v>
      </c>
      <c r="O456" s="15">
        <v>32</v>
      </c>
      <c r="P456" s="15">
        <v>60</v>
      </c>
      <c r="Q456" s="15">
        <v>32</v>
      </c>
      <c r="R456" s="15">
        <v>82</v>
      </c>
      <c r="S456" s="15">
        <v>41</v>
      </c>
      <c r="T456" s="15">
        <v>16</v>
      </c>
      <c r="U456" s="15">
        <v>24</v>
      </c>
      <c r="V456" s="15">
        <v>36</v>
      </c>
      <c r="W456" s="15">
        <v>56</v>
      </c>
      <c r="X456" s="15">
        <v>12</v>
      </c>
      <c r="Y456" s="15">
        <v>72</v>
      </c>
      <c r="Z456" s="4">
        <v>855</v>
      </c>
      <c r="AA456" s="26">
        <v>24</v>
      </c>
      <c r="AB456" s="7">
        <v>0.49080000000000001</v>
      </c>
    </row>
    <row r="457" spans="1:28" x14ac:dyDescent="0.35">
      <c r="A457" s="1">
        <v>4006501</v>
      </c>
      <c r="B457" s="15">
        <v>17340</v>
      </c>
      <c r="C457" s="15">
        <v>15960</v>
      </c>
      <c r="D457" s="15">
        <v>17180</v>
      </c>
      <c r="E457" s="15">
        <v>18480</v>
      </c>
      <c r="F457" s="15">
        <v>16200</v>
      </c>
      <c r="G457" s="15">
        <v>17520</v>
      </c>
      <c r="H457" s="15">
        <v>13800</v>
      </c>
      <c r="I457" s="15">
        <v>15120</v>
      </c>
      <c r="J457" s="15">
        <v>16800</v>
      </c>
      <c r="K457" s="15">
        <v>19920</v>
      </c>
      <c r="L457" s="15">
        <v>14760</v>
      </c>
      <c r="M457" s="15">
        <v>16200</v>
      </c>
      <c r="N457" s="15">
        <v>18100</v>
      </c>
      <c r="O457" s="15">
        <v>15480</v>
      </c>
      <c r="P457" s="15">
        <v>17060</v>
      </c>
      <c r="Q457" s="15">
        <v>14460</v>
      </c>
      <c r="R457" s="15">
        <v>12400</v>
      </c>
      <c r="S457" s="15">
        <v>14900</v>
      </c>
      <c r="T457" s="15">
        <v>12500</v>
      </c>
      <c r="U457" s="15">
        <v>12800</v>
      </c>
      <c r="V457" s="15">
        <v>19500</v>
      </c>
      <c r="W457" s="15">
        <v>17460</v>
      </c>
      <c r="X457" s="15">
        <v>14800</v>
      </c>
      <c r="Y457" s="15">
        <v>14300</v>
      </c>
      <c r="Z457" s="4">
        <v>383040</v>
      </c>
      <c r="AA457" s="26">
        <v>24</v>
      </c>
      <c r="AB457" s="7">
        <v>0.12690000000000001</v>
      </c>
    </row>
    <row r="458" spans="1:28" x14ac:dyDescent="0.35">
      <c r="A458" s="1">
        <v>4006502</v>
      </c>
      <c r="B458" s="15">
        <v>10</v>
      </c>
      <c r="C458" s="15">
        <v>20</v>
      </c>
      <c r="D458" s="15">
        <v>10</v>
      </c>
      <c r="E458" s="15">
        <v>10</v>
      </c>
      <c r="F458" s="15">
        <v>10</v>
      </c>
      <c r="G458" s="15">
        <v>10</v>
      </c>
      <c r="H458" s="15">
        <v>20</v>
      </c>
      <c r="I458" s="15">
        <v>10</v>
      </c>
      <c r="J458" s="15">
        <v>0</v>
      </c>
      <c r="K458" s="15">
        <v>10</v>
      </c>
      <c r="L458" s="15">
        <v>10</v>
      </c>
      <c r="M458" s="15">
        <v>20</v>
      </c>
      <c r="N458" s="15">
        <v>20</v>
      </c>
      <c r="O458" s="15">
        <v>20</v>
      </c>
      <c r="P458" s="15">
        <v>30</v>
      </c>
      <c r="Q458" s="15">
        <v>20</v>
      </c>
      <c r="R458" s="15">
        <v>20</v>
      </c>
      <c r="S458" s="15">
        <v>10</v>
      </c>
      <c r="T458" s="15">
        <v>0</v>
      </c>
      <c r="U458" s="15">
        <v>0</v>
      </c>
      <c r="V458" s="15">
        <v>0</v>
      </c>
      <c r="W458" s="15">
        <v>0</v>
      </c>
      <c r="X458" s="15">
        <v>10</v>
      </c>
      <c r="Y458" s="15">
        <v>0</v>
      </c>
      <c r="Z458" s="4">
        <v>270</v>
      </c>
      <c r="AA458" s="26">
        <v>18</v>
      </c>
      <c r="AB458" s="7">
        <v>0.73980000000000001</v>
      </c>
    </row>
    <row r="459" spans="1:28" x14ac:dyDescent="0.35">
      <c r="A459" s="1">
        <v>4006504</v>
      </c>
      <c r="B459" s="15">
        <v>8100</v>
      </c>
      <c r="C459" s="15">
        <v>8000</v>
      </c>
      <c r="D459" s="15">
        <v>8600</v>
      </c>
      <c r="E459" s="15">
        <v>7350</v>
      </c>
      <c r="F459" s="15">
        <v>8100</v>
      </c>
      <c r="G459" s="15">
        <v>6500</v>
      </c>
      <c r="H459" s="15">
        <v>8300</v>
      </c>
      <c r="I459" s="15">
        <v>8300</v>
      </c>
      <c r="J459" s="15">
        <v>6800</v>
      </c>
      <c r="K459" s="15">
        <v>8800</v>
      </c>
      <c r="L459" s="15">
        <v>7700</v>
      </c>
      <c r="M459" s="15">
        <v>8650</v>
      </c>
      <c r="N459" s="15">
        <v>8500</v>
      </c>
      <c r="O459" s="15">
        <v>8500</v>
      </c>
      <c r="P459" s="15">
        <v>7000</v>
      </c>
      <c r="Q459" s="15">
        <v>7500</v>
      </c>
      <c r="R459" s="15">
        <v>7100</v>
      </c>
      <c r="S459" s="15">
        <v>7700</v>
      </c>
      <c r="T459" s="15">
        <v>6900</v>
      </c>
      <c r="U459" s="15">
        <v>7800</v>
      </c>
      <c r="V459" s="15">
        <v>10100</v>
      </c>
      <c r="W459" s="15">
        <v>7600</v>
      </c>
      <c r="X459" s="15">
        <v>6500</v>
      </c>
      <c r="Y459" s="15">
        <v>9800</v>
      </c>
      <c r="Z459" s="4">
        <v>190200</v>
      </c>
      <c r="AA459" s="26">
        <v>24</v>
      </c>
      <c r="AB459" s="7">
        <v>0.1142</v>
      </c>
    </row>
    <row r="460" spans="1:28" x14ac:dyDescent="0.35">
      <c r="A460" s="1">
        <v>4006529</v>
      </c>
      <c r="B460" s="15">
        <v>0</v>
      </c>
      <c r="C460" s="15">
        <v>0</v>
      </c>
      <c r="D460" s="15">
        <v>20</v>
      </c>
      <c r="E460" s="15">
        <v>0</v>
      </c>
      <c r="F460" s="15">
        <v>10</v>
      </c>
      <c r="G460" s="15">
        <v>30</v>
      </c>
      <c r="H460" s="15">
        <v>0</v>
      </c>
      <c r="I460" s="15">
        <v>0</v>
      </c>
      <c r="J460" s="15">
        <v>20</v>
      </c>
      <c r="K460" s="15">
        <v>10</v>
      </c>
      <c r="L460" s="15">
        <v>0</v>
      </c>
      <c r="M460" s="15">
        <v>10</v>
      </c>
      <c r="N460" s="15">
        <v>10</v>
      </c>
      <c r="O460" s="15">
        <v>10</v>
      </c>
      <c r="P460" s="15">
        <v>10</v>
      </c>
      <c r="Q460" s="15">
        <v>10</v>
      </c>
      <c r="R460" s="15">
        <v>0</v>
      </c>
      <c r="S460" s="15">
        <v>10</v>
      </c>
      <c r="T460" s="15">
        <v>0</v>
      </c>
      <c r="U460" s="15">
        <v>10</v>
      </c>
      <c r="V460" s="15">
        <v>0</v>
      </c>
      <c r="W460" s="15">
        <v>0</v>
      </c>
      <c r="X460" s="15">
        <v>0</v>
      </c>
      <c r="Y460" s="15">
        <v>10</v>
      </c>
      <c r="Z460" s="4">
        <v>170</v>
      </c>
      <c r="AA460" s="26">
        <v>13</v>
      </c>
      <c r="AB460" s="7">
        <v>1.1145</v>
      </c>
    </row>
    <row r="461" spans="1:28" x14ac:dyDescent="0.35">
      <c r="A461" s="1">
        <v>4006543</v>
      </c>
      <c r="B461" s="15">
        <v>77380</v>
      </c>
      <c r="C461" s="15">
        <v>73080</v>
      </c>
      <c r="D461" s="15">
        <v>70380</v>
      </c>
      <c r="E461" s="15">
        <v>71540</v>
      </c>
      <c r="F461" s="15">
        <v>71160</v>
      </c>
      <c r="G461" s="15">
        <v>56400</v>
      </c>
      <c r="H461" s="15">
        <v>51440</v>
      </c>
      <c r="I461" s="15">
        <v>64300</v>
      </c>
      <c r="J461" s="15">
        <v>78220</v>
      </c>
      <c r="K461" s="15">
        <v>89040</v>
      </c>
      <c r="L461" s="15">
        <v>65640</v>
      </c>
      <c r="M461" s="15">
        <v>70682</v>
      </c>
      <c r="N461" s="15">
        <v>79380</v>
      </c>
      <c r="O461" s="15">
        <v>65760</v>
      </c>
      <c r="P461" s="15">
        <v>61800</v>
      </c>
      <c r="Q461" s="15">
        <v>60840</v>
      </c>
      <c r="R461" s="15">
        <v>72400</v>
      </c>
      <c r="S461" s="15">
        <v>56720</v>
      </c>
      <c r="T461" s="15">
        <v>39960</v>
      </c>
      <c r="U461" s="15">
        <v>54600</v>
      </c>
      <c r="V461" s="15">
        <v>81260</v>
      </c>
      <c r="W461" s="15">
        <v>80760</v>
      </c>
      <c r="X461" s="15">
        <v>63060</v>
      </c>
      <c r="Y461" s="15">
        <v>47520</v>
      </c>
      <c r="Z461" s="4">
        <v>1603322</v>
      </c>
      <c r="AA461" s="26">
        <v>24</v>
      </c>
      <c r="AB461" s="7">
        <v>0.1731</v>
      </c>
    </row>
    <row r="462" spans="1:28" x14ac:dyDescent="0.35">
      <c r="A462" s="1">
        <v>4006545</v>
      </c>
      <c r="B462" s="15">
        <v>9580</v>
      </c>
      <c r="C462" s="15">
        <v>14000</v>
      </c>
      <c r="D462" s="15">
        <v>9500</v>
      </c>
      <c r="E462" s="15">
        <v>11000</v>
      </c>
      <c r="F462" s="15">
        <v>12500</v>
      </c>
      <c r="G462" s="15">
        <v>7000</v>
      </c>
      <c r="H462" s="15">
        <v>12000</v>
      </c>
      <c r="I462" s="15">
        <v>11000</v>
      </c>
      <c r="J462" s="15">
        <v>13000</v>
      </c>
      <c r="K462" s="15">
        <v>19000</v>
      </c>
      <c r="L462" s="15">
        <v>7000</v>
      </c>
      <c r="M462" s="15">
        <v>14200</v>
      </c>
      <c r="N462" s="15">
        <v>11000</v>
      </c>
      <c r="O462" s="15">
        <v>18100</v>
      </c>
      <c r="P462" s="15">
        <v>12500</v>
      </c>
      <c r="Q462" s="15">
        <v>12000</v>
      </c>
      <c r="R462" s="15">
        <v>13000</v>
      </c>
      <c r="S462" s="15">
        <v>10000</v>
      </c>
      <c r="T462" s="15">
        <v>21400</v>
      </c>
      <c r="U462" s="15">
        <v>5900</v>
      </c>
      <c r="V462" s="15">
        <v>14500</v>
      </c>
      <c r="W462" s="15">
        <v>11100</v>
      </c>
      <c r="X462" s="15">
        <v>9300</v>
      </c>
      <c r="Y462" s="15">
        <v>9200</v>
      </c>
      <c r="Z462" s="4">
        <v>287780</v>
      </c>
      <c r="AA462" s="26">
        <v>24</v>
      </c>
      <c r="AB462" s="7">
        <v>0.3019</v>
      </c>
    </row>
    <row r="463" spans="1:28" x14ac:dyDescent="0.35">
      <c r="A463" s="1">
        <v>4006546</v>
      </c>
      <c r="B463" s="15">
        <v>192</v>
      </c>
      <c r="C463" s="15">
        <v>336</v>
      </c>
      <c r="D463" s="15">
        <v>48</v>
      </c>
      <c r="E463" s="15">
        <v>432</v>
      </c>
      <c r="F463" s="15">
        <v>0</v>
      </c>
      <c r="G463" s="15">
        <v>816</v>
      </c>
      <c r="H463" s="15">
        <v>0</v>
      </c>
      <c r="I463" s="15">
        <v>0</v>
      </c>
      <c r="J463" s="15">
        <v>290</v>
      </c>
      <c r="K463" s="15">
        <v>288</v>
      </c>
      <c r="L463" s="15">
        <v>480</v>
      </c>
      <c r="M463" s="15">
        <v>48</v>
      </c>
      <c r="N463" s="15">
        <v>0</v>
      </c>
      <c r="O463" s="15">
        <v>432</v>
      </c>
      <c r="P463" s="15">
        <v>48</v>
      </c>
      <c r="Q463" s="15">
        <v>192</v>
      </c>
      <c r="R463" s="15">
        <v>336</v>
      </c>
      <c r="S463" s="15">
        <v>96</v>
      </c>
      <c r="T463" s="15">
        <v>48</v>
      </c>
      <c r="U463" s="15">
        <v>288</v>
      </c>
      <c r="V463" s="15">
        <v>194</v>
      </c>
      <c r="W463" s="15">
        <v>48</v>
      </c>
      <c r="X463" s="15">
        <v>340</v>
      </c>
      <c r="Y463" s="15">
        <v>242</v>
      </c>
      <c r="Z463" s="4">
        <v>5194</v>
      </c>
      <c r="AA463" s="26">
        <v>20</v>
      </c>
      <c r="AB463" s="7">
        <v>0.90839999999999999</v>
      </c>
    </row>
    <row r="464" spans="1:28" x14ac:dyDescent="0.35">
      <c r="A464" s="1">
        <v>4006560</v>
      </c>
      <c r="B464" s="15">
        <v>68</v>
      </c>
      <c r="C464" s="15">
        <v>46</v>
      </c>
      <c r="D464" s="15">
        <v>74</v>
      </c>
      <c r="E464" s="15">
        <v>34</v>
      </c>
      <c r="F464" s="15">
        <v>46</v>
      </c>
      <c r="G464" s="15">
        <v>61</v>
      </c>
      <c r="H464" s="15">
        <v>57</v>
      </c>
      <c r="I464" s="15">
        <v>88</v>
      </c>
      <c r="J464" s="15">
        <v>60</v>
      </c>
      <c r="K464" s="15">
        <v>72</v>
      </c>
      <c r="L464" s="15">
        <v>63</v>
      </c>
      <c r="M464" s="15">
        <v>115</v>
      </c>
      <c r="N464" s="15">
        <v>92</v>
      </c>
      <c r="O464" s="15">
        <v>99</v>
      </c>
      <c r="P464" s="15">
        <v>70</v>
      </c>
      <c r="Q464" s="15">
        <v>85</v>
      </c>
      <c r="R464" s="15">
        <v>88</v>
      </c>
      <c r="S464" s="15">
        <v>57</v>
      </c>
      <c r="T464" s="15">
        <v>54</v>
      </c>
      <c r="U464" s="15">
        <v>69</v>
      </c>
      <c r="V464" s="15">
        <v>69</v>
      </c>
      <c r="W464" s="15">
        <v>88</v>
      </c>
      <c r="X464" s="15">
        <v>64</v>
      </c>
      <c r="Y464" s="15">
        <v>63</v>
      </c>
      <c r="Z464" s="4">
        <v>1682</v>
      </c>
      <c r="AA464" s="26">
        <v>24</v>
      </c>
      <c r="AB464" s="7">
        <v>0.25940000000000002</v>
      </c>
    </row>
    <row r="465" spans="1:29" x14ac:dyDescent="0.35">
      <c r="A465" s="1">
        <v>4006561</v>
      </c>
      <c r="B465" s="15">
        <v>160</v>
      </c>
      <c r="C465" s="15">
        <v>200</v>
      </c>
      <c r="D465" s="15">
        <v>140</v>
      </c>
      <c r="E465" s="15">
        <v>160</v>
      </c>
      <c r="F465" s="15">
        <v>140</v>
      </c>
      <c r="G465" s="15">
        <v>190</v>
      </c>
      <c r="H465" s="15">
        <v>120</v>
      </c>
      <c r="I465" s="15">
        <v>140</v>
      </c>
      <c r="J465" s="15">
        <v>160</v>
      </c>
      <c r="K465" s="15">
        <v>210</v>
      </c>
      <c r="L465" s="15">
        <v>160</v>
      </c>
      <c r="M465" s="15">
        <v>270</v>
      </c>
      <c r="N465" s="15">
        <v>150</v>
      </c>
      <c r="O465" s="15">
        <v>200</v>
      </c>
      <c r="P465" s="15">
        <v>100</v>
      </c>
      <c r="Q465" s="15">
        <v>220</v>
      </c>
      <c r="R465" s="15">
        <v>170</v>
      </c>
      <c r="S465" s="15">
        <v>150</v>
      </c>
      <c r="T465" s="15">
        <v>100</v>
      </c>
      <c r="U465" s="15">
        <v>150</v>
      </c>
      <c r="V465" s="15">
        <v>170</v>
      </c>
      <c r="W465" s="15">
        <v>180</v>
      </c>
      <c r="X465" s="15">
        <v>160</v>
      </c>
      <c r="Y465" s="15">
        <v>230</v>
      </c>
      <c r="Z465" s="4">
        <v>4030</v>
      </c>
      <c r="AA465" s="26">
        <v>24</v>
      </c>
      <c r="AB465" s="7">
        <v>0.2326</v>
      </c>
    </row>
    <row r="466" spans="1:29" x14ac:dyDescent="0.35">
      <c r="A466" s="1">
        <v>4006565</v>
      </c>
      <c r="B466" s="15">
        <v>0</v>
      </c>
      <c r="C466" s="15">
        <v>72</v>
      </c>
      <c r="D466" s="15">
        <v>36</v>
      </c>
      <c r="E466" s="15">
        <v>108</v>
      </c>
      <c r="F466" s="15">
        <v>108</v>
      </c>
      <c r="G466" s="15">
        <v>36</v>
      </c>
      <c r="H466" s="15">
        <v>216</v>
      </c>
      <c r="I466" s="15">
        <v>0</v>
      </c>
      <c r="J466" s="15">
        <v>0</v>
      </c>
      <c r="K466" s="15">
        <v>72</v>
      </c>
      <c r="L466" s="15">
        <v>72</v>
      </c>
      <c r="M466" s="15">
        <v>36</v>
      </c>
      <c r="N466" s="15">
        <v>72</v>
      </c>
      <c r="O466" s="15">
        <v>72</v>
      </c>
      <c r="P466" s="15">
        <v>120</v>
      </c>
      <c r="Q466" s="15">
        <v>36</v>
      </c>
      <c r="R466" s="15">
        <v>120</v>
      </c>
      <c r="S466" s="15">
        <v>72</v>
      </c>
      <c r="T466" s="15">
        <v>144</v>
      </c>
      <c r="U466" s="15">
        <v>72</v>
      </c>
      <c r="V466" s="15">
        <v>144</v>
      </c>
      <c r="W466" s="15">
        <v>0</v>
      </c>
      <c r="X466" s="15">
        <v>60</v>
      </c>
      <c r="Y466" s="15">
        <v>792</v>
      </c>
      <c r="Z466" s="4">
        <v>2460</v>
      </c>
      <c r="AA466" s="26">
        <v>20</v>
      </c>
      <c r="AB466" s="7">
        <v>1.4908999999999999</v>
      </c>
    </row>
    <row r="467" spans="1:29" x14ac:dyDescent="0.35">
      <c r="A467" s="1">
        <v>4006590</v>
      </c>
      <c r="B467" s="15">
        <v>325</v>
      </c>
      <c r="C467" s="15">
        <v>315</v>
      </c>
      <c r="D467" s="15">
        <v>290</v>
      </c>
      <c r="E467" s="15">
        <v>365</v>
      </c>
      <c r="F467" s="15">
        <v>280</v>
      </c>
      <c r="G467" s="15">
        <v>335</v>
      </c>
      <c r="H467" s="15">
        <v>181</v>
      </c>
      <c r="I467" s="15">
        <v>195</v>
      </c>
      <c r="J467" s="15">
        <v>331</v>
      </c>
      <c r="K467" s="15">
        <v>430</v>
      </c>
      <c r="L467" s="15">
        <v>337</v>
      </c>
      <c r="M467" s="15">
        <v>307</v>
      </c>
      <c r="N467" s="15">
        <v>423</v>
      </c>
      <c r="O467" s="15">
        <v>350</v>
      </c>
      <c r="P467" s="15">
        <v>315</v>
      </c>
      <c r="Q467" s="15">
        <v>345</v>
      </c>
      <c r="R467" s="15">
        <v>330</v>
      </c>
      <c r="S467" s="15">
        <v>398</v>
      </c>
      <c r="T467" s="15">
        <v>190</v>
      </c>
      <c r="U467" s="15">
        <v>230</v>
      </c>
      <c r="V467" s="15">
        <v>360</v>
      </c>
      <c r="W467" s="15">
        <v>455</v>
      </c>
      <c r="X467" s="15">
        <v>324</v>
      </c>
      <c r="Y467" s="15">
        <v>319</v>
      </c>
      <c r="Z467" s="4">
        <v>7730</v>
      </c>
      <c r="AA467" s="26">
        <v>24</v>
      </c>
      <c r="AB467" s="7">
        <v>0.21540000000000001</v>
      </c>
    </row>
    <row r="468" spans="1:29" x14ac:dyDescent="0.35">
      <c r="A468" s="1">
        <v>4006665</v>
      </c>
      <c r="B468" s="15">
        <v>0</v>
      </c>
      <c r="C468" s="15">
        <v>0</v>
      </c>
      <c r="D468" s="15">
        <v>0</v>
      </c>
      <c r="E468" s="15">
        <v>0</v>
      </c>
      <c r="F468" s="15">
        <v>0</v>
      </c>
      <c r="G468" s="15">
        <v>0</v>
      </c>
      <c r="H468" s="15">
        <v>0</v>
      </c>
      <c r="I468" s="15">
        <v>0</v>
      </c>
      <c r="J468" s="15">
        <v>0</v>
      </c>
      <c r="K468" s="15">
        <v>0</v>
      </c>
      <c r="L468" s="15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400</v>
      </c>
      <c r="W468" s="15">
        <v>0</v>
      </c>
      <c r="X468" s="15">
        <v>0</v>
      </c>
      <c r="Y468" s="15">
        <v>0</v>
      </c>
      <c r="Z468" s="4">
        <v>400</v>
      </c>
      <c r="AA468" s="26">
        <v>1</v>
      </c>
      <c r="AB468" s="7">
        <v>4.7957999999999998</v>
      </c>
      <c r="AC468" s="1" t="s">
        <v>3230</v>
      </c>
    </row>
    <row r="469" spans="1:29" x14ac:dyDescent="0.35">
      <c r="A469" s="1">
        <v>4006678</v>
      </c>
      <c r="B469" s="15">
        <v>36</v>
      </c>
      <c r="C469" s="15">
        <v>60</v>
      </c>
      <c r="D469" s="15">
        <v>84</v>
      </c>
      <c r="E469" s="15">
        <v>48</v>
      </c>
      <c r="F469" s="15">
        <v>0</v>
      </c>
      <c r="G469" s="15">
        <v>48</v>
      </c>
      <c r="H469" s="15">
        <v>48</v>
      </c>
      <c r="I469" s="15">
        <v>0</v>
      </c>
      <c r="J469" s="15">
        <v>12</v>
      </c>
      <c r="K469" s="15">
        <v>84</v>
      </c>
      <c r="L469" s="15">
        <v>24</v>
      </c>
      <c r="M469" s="15">
        <v>1</v>
      </c>
      <c r="N469" s="15">
        <v>12</v>
      </c>
      <c r="O469" s="15">
        <v>60</v>
      </c>
      <c r="P469" s="15">
        <v>24</v>
      </c>
      <c r="Q469" s="15">
        <v>36</v>
      </c>
      <c r="R469" s="15">
        <v>72</v>
      </c>
      <c r="S469" s="15">
        <v>24</v>
      </c>
      <c r="T469" s="15">
        <v>12</v>
      </c>
      <c r="U469" s="15">
        <v>13</v>
      </c>
      <c r="V469" s="15">
        <v>36</v>
      </c>
      <c r="W469" s="15">
        <v>48</v>
      </c>
      <c r="X469" s="15">
        <v>36</v>
      </c>
      <c r="Y469" s="15">
        <v>60</v>
      </c>
      <c r="Z469" s="4">
        <v>878</v>
      </c>
      <c r="AA469" s="26">
        <v>22</v>
      </c>
      <c r="AB469" s="7">
        <v>0.67659999999999998</v>
      </c>
    </row>
    <row r="470" spans="1:29" x14ac:dyDescent="0.35">
      <c r="A470" s="1">
        <v>4006755</v>
      </c>
      <c r="B470" s="15">
        <v>200</v>
      </c>
      <c r="C470" s="15">
        <v>100</v>
      </c>
      <c r="D470" s="15">
        <v>0</v>
      </c>
      <c r="E470" s="15">
        <v>200</v>
      </c>
      <c r="F470" s="15">
        <v>200</v>
      </c>
      <c r="G470" s="15">
        <v>200</v>
      </c>
      <c r="H470" s="15">
        <v>0</v>
      </c>
      <c r="I470" s="15">
        <v>200</v>
      </c>
      <c r="J470" s="15">
        <v>300</v>
      </c>
      <c r="K470" s="15">
        <v>100</v>
      </c>
      <c r="L470" s="15">
        <v>100</v>
      </c>
      <c r="M470" s="15">
        <v>310</v>
      </c>
      <c r="N470" s="15">
        <v>125</v>
      </c>
      <c r="O470" s="15">
        <v>100</v>
      </c>
      <c r="P470" s="15">
        <v>100</v>
      </c>
      <c r="Q470" s="15">
        <v>200</v>
      </c>
      <c r="R470" s="15">
        <v>100</v>
      </c>
      <c r="S470" s="15">
        <v>100</v>
      </c>
      <c r="T470" s="15">
        <v>100</v>
      </c>
      <c r="U470" s="15">
        <v>100</v>
      </c>
      <c r="V470" s="15">
        <v>100</v>
      </c>
      <c r="W470" s="15">
        <v>100</v>
      </c>
      <c r="X470" s="15">
        <v>0</v>
      </c>
      <c r="Y470" s="15">
        <v>300</v>
      </c>
      <c r="Z470" s="4">
        <v>3335</v>
      </c>
      <c r="AA470" s="26">
        <v>21</v>
      </c>
      <c r="AB470" s="7">
        <v>0.62029999999999996</v>
      </c>
    </row>
    <row r="471" spans="1:29" x14ac:dyDescent="0.35">
      <c r="A471" s="1">
        <v>4006758</v>
      </c>
      <c r="B471" s="15">
        <v>220</v>
      </c>
      <c r="C471" s="15">
        <v>150</v>
      </c>
      <c r="D471" s="15">
        <v>150</v>
      </c>
      <c r="E471" s="15">
        <v>100</v>
      </c>
      <c r="F471" s="15">
        <v>130</v>
      </c>
      <c r="G471" s="15">
        <v>110</v>
      </c>
      <c r="H471" s="15">
        <v>150</v>
      </c>
      <c r="I471" s="15">
        <v>100</v>
      </c>
      <c r="J471" s="15">
        <v>130</v>
      </c>
      <c r="K471" s="15">
        <v>180</v>
      </c>
      <c r="L471" s="15">
        <v>150</v>
      </c>
      <c r="M471" s="15">
        <v>300</v>
      </c>
      <c r="N471" s="15">
        <v>180</v>
      </c>
      <c r="O471" s="15">
        <v>180</v>
      </c>
      <c r="P471" s="15">
        <v>260</v>
      </c>
      <c r="Q471" s="15">
        <v>260</v>
      </c>
      <c r="R471" s="15">
        <v>210</v>
      </c>
      <c r="S471" s="15">
        <v>150</v>
      </c>
      <c r="T471" s="15">
        <v>130</v>
      </c>
      <c r="U471" s="15">
        <v>150</v>
      </c>
      <c r="V471" s="15">
        <v>250</v>
      </c>
      <c r="W471" s="15">
        <v>145</v>
      </c>
      <c r="X471" s="15">
        <v>180</v>
      </c>
      <c r="Y471" s="15">
        <v>190</v>
      </c>
      <c r="Z471" s="4">
        <v>4155</v>
      </c>
      <c r="AA471" s="26">
        <v>24</v>
      </c>
      <c r="AB471" s="7">
        <v>0.30149999999999999</v>
      </c>
    </row>
    <row r="472" spans="1:29" x14ac:dyDescent="0.35">
      <c r="A472" s="1">
        <v>4006770</v>
      </c>
      <c r="B472" s="15">
        <v>180</v>
      </c>
      <c r="C472" s="15">
        <v>244</v>
      </c>
      <c r="D472" s="15">
        <v>72</v>
      </c>
      <c r="E472" s="15">
        <v>108</v>
      </c>
      <c r="F472" s="15">
        <v>324</v>
      </c>
      <c r="G472" s="15">
        <v>72</v>
      </c>
      <c r="H472" s="15">
        <v>216</v>
      </c>
      <c r="I472" s="15">
        <v>144</v>
      </c>
      <c r="J472" s="15">
        <v>288</v>
      </c>
      <c r="K472" s="15">
        <v>144</v>
      </c>
      <c r="L472" s="15">
        <v>144</v>
      </c>
      <c r="M472" s="15">
        <v>288</v>
      </c>
      <c r="N472" s="15">
        <v>396</v>
      </c>
      <c r="O472" s="15">
        <v>180</v>
      </c>
      <c r="P472" s="15">
        <v>36</v>
      </c>
      <c r="Q472" s="15">
        <v>154</v>
      </c>
      <c r="R472" s="15">
        <v>432</v>
      </c>
      <c r="S472" s="15">
        <v>144</v>
      </c>
      <c r="T472" s="15">
        <v>540</v>
      </c>
      <c r="U472" s="15">
        <v>180</v>
      </c>
      <c r="V472" s="15">
        <v>108</v>
      </c>
      <c r="W472" s="15">
        <v>252</v>
      </c>
      <c r="X472" s="15">
        <v>180</v>
      </c>
      <c r="Y472" s="15">
        <v>216</v>
      </c>
      <c r="Z472" s="4">
        <v>5042</v>
      </c>
      <c r="AA472" s="26">
        <v>24</v>
      </c>
      <c r="AB472" s="7">
        <v>0.56179999999999997</v>
      </c>
    </row>
    <row r="473" spans="1:29" x14ac:dyDescent="0.35">
      <c r="A473" s="1">
        <v>4006771</v>
      </c>
      <c r="B473" s="15">
        <v>360</v>
      </c>
      <c r="C473" s="15">
        <v>432</v>
      </c>
      <c r="D473" s="15">
        <v>576</v>
      </c>
      <c r="E473" s="15">
        <v>396</v>
      </c>
      <c r="F473" s="15">
        <v>540</v>
      </c>
      <c r="G473" s="15">
        <v>252</v>
      </c>
      <c r="H473" s="15">
        <v>396</v>
      </c>
      <c r="I473" s="15">
        <v>576</v>
      </c>
      <c r="J473" s="15">
        <v>396</v>
      </c>
      <c r="K473" s="15">
        <v>468</v>
      </c>
      <c r="L473" s="15">
        <v>468</v>
      </c>
      <c r="M473" s="15">
        <v>864</v>
      </c>
      <c r="N473" s="15">
        <v>360</v>
      </c>
      <c r="O473" s="15">
        <v>468</v>
      </c>
      <c r="P473" s="15">
        <v>468</v>
      </c>
      <c r="Q473" s="15">
        <v>540</v>
      </c>
      <c r="R473" s="15">
        <v>648</v>
      </c>
      <c r="S473" s="15">
        <v>648</v>
      </c>
      <c r="T473" s="15">
        <v>180</v>
      </c>
      <c r="U473" s="15">
        <v>541</v>
      </c>
      <c r="V473" s="15">
        <v>900</v>
      </c>
      <c r="W473" s="15">
        <v>252</v>
      </c>
      <c r="X473" s="15">
        <v>540</v>
      </c>
      <c r="Y473" s="15">
        <v>288</v>
      </c>
      <c r="Z473" s="4">
        <v>11557</v>
      </c>
      <c r="AA473" s="26">
        <v>24</v>
      </c>
      <c r="AB473" s="7">
        <v>0.35389999999999999</v>
      </c>
    </row>
    <row r="474" spans="1:29" x14ac:dyDescent="0.35">
      <c r="A474" s="1">
        <v>4006775</v>
      </c>
      <c r="B474" s="15">
        <v>72</v>
      </c>
      <c r="C474" s="15">
        <v>216</v>
      </c>
      <c r="D474" s="15">
        <v>0</v>
      </c>
      <c r="E474" s="15">
        <v>108</v>
      </c>
      <c r="F474" s="15">
        <v>72</v>
      </c>
      <c r="G474" s="15">
        <v>72</v>
      </c>
      <c r="H474" s="15">
        <v>0</v>
      </c>
      <c r="I474" s="15">
        <v>0</v>
      </c>
      <c r="J474" s="15">
        <v>36</v>
      </c>
      <c r="K474" s="15">
        <v>36</v>
      </c>
      <c r="L474" s="15">
        <v>0</v>
      </c>
      <c r="M474" s="15">
        <v>108</v>
      </c>
      <c r="N474" s="15">
        <v>180</v>
      </c>
      <c r="O474" s="15">
        <v>144</v>
      </c>
      <c r="P474" s="15">
        <v>216</v>
      </c>
      <c r="Q474" s="15">
        <v>0</v>
      </c>
      <c r="R474" s="15">
        <v>36</v>
      </c>
      <c r="S474" s="15">
        <v>144</v>
      </c>
      <c r="T474" s="15">
        <v>0</v>
      </c>
      <c r="U474" s="15">
        <v>72</v>
      </c>
      <c r="V474" s="15">
        <v>36</v>
      </c>
      <c r="W474" s="15">
        <v>36</v>
      </c>
      <c r="X474" s="15">
        <v>72</v>
      </c>
      <c r="Y474" s="15">
        <v>36</v>
      </c>
      <c r="Z474" s="4">
        <v>1692</v>
      </c>
      <c r="AA474" s="26">
        <v>18</v>
      </c>
      <c r="AB474" s="7">
        <v>0.93789999999999996</v>
      </c>
    </row>
    <row r="475" spans="1:29" x14ac:dyDescent="0.35">
      <c r="A475" s="1">
        <v>4006778</v>
      </c>
      <c r="B475" s="15">
        <v>36</v>
      </c>
      <c r="C475" s="15">
        <v>72</v>
      </c>
      <c r="D475" s="15">
        <v>252</v>
      </c>
      <c r="E475" s="15">
        <v>468</v>
      </c>
      <c r="F475" s="15">
        <v>0</v>
      </c>
      <c r="G475" s="15">
        <v>216</v>
      </c>
      <c r="H475" s="15">
        <v>432</v>
      </c>
      <c r="I475" s="15">
        <v>0</v>
      </c>
      <c r="J475" s="15">
        <v>216</v>
      </c>
      <c r="K475" s="15">
        <v>432</v>
      </c>
      <c r="L475" s="15">
        <v>0</v>
      </c>
      <c r="M475" s="15">
        <v>0</v>
      </c>
      <c r="N475" s="15">
        <v>612</v>
      </c>
      <c r="O475" s="15">
        <v>0</v>
      </c>
      <c r="P475" s="15">
        <v>618</v>
      </c>
      <c r="Q475" s="15">
        <v>36</v>
      </c>
      <c r="R475" s="15">
        <v>432</v>
      </c>
      <c r="S475" s="15">
        <v>108</v>
      </c>
      <c r="T475" s="15">
        <v>432</v>
      </c>
      <c r="U475" s="15">
        <v>180</v>
      </c>
      <c r="V475" s="15">
        <v>216</v>
      </c>
      <c r="W475" s="15">
        <v>108</v>
      </c>
      <c r="X475" s="15">
        <v>216</v>
      </c>
      <c r="Y475" s="15">
        <v>108</v>
      </c>
      <c r="Z475" s="4">
        <v>5190</v>
      </c>
      <c r="AA475" s="26">
        <v>19</v>
      </c>
      <c r="AB475" s="7">
        <v>0.90780000000000005</v>
      </c>
    </row>
    <row r="476" spans="1:29" x14ac:dyDescent="0.35">
      <c r="A476" s="1">
        <v>4006780</v>
      </c>
      <c r="B476" s="15">
        <v>0</v>
      </c>
      <c r="C476" s="15">
        <v>48</v>
      </c>
      <c r="D476" s="15">
        <v>72</v>
      </c>
      <c r="E476" s="15">
        <v>72</v>
      </c>
      <c r="F476" s="15">
        <v>48</v>
      </c>
      <c r="G476" s="15">
        <v>84</v>
      </c>
      <c r="H476" s="15">
        <v>60</v>
      </c>
      <c r="I476" s="15">
        <v>108</v>
      </c>
      <c r="J476" s="15">
        <v>120</v>
      </c>
      <c r="K476" s="15">
        <v>96</v>
      </c>
      <c r="L476" s="15">
        <v>96</v>
      </c>
      <c r="M476" s="15">
        <v>12</v>
      </c>
      <c r="N476" s="15">
        <v>84</v>
      </c>
      <c r="O476" s="15">
        <v>60</v>
      </c>
      <c r="P476" s="15">
        <v>72</v>
      </c>
      <c r="Q476" s="15">
        <v>72</v>
      </c>
      <c r="R476" s="15">
        <v>108</v>
      </c>
      <c r="S476" s="15">
        <v>24</v>
      </c>
      <c r="T476" s="15">
        <v>48</v>
      </c>
      <c r="U476" s="15">
        <v>48</v>
      </c>
      <c r="V476" s="15">
        <v>108</v>
      </c>
      <c r="W476" s="15">
        <v>60</v>
      </c>
      <c r="X476" s="15">
        <v>36</v>
      </c>
      <c r="Y476" s="15">
        <v>60</v>
      </c>
      <c r="Z476" s="4">
        <v>1596</v>
      </c>
      <c r="AA476" s="26">
        <v>23</v>
      </c>
      <c r="AB476" s="7">
        <v>0.45700000000000002</v>
      </c>
    </row>
    <row r="477" spans="1:29" x14ac:dyDescent="0.35">
      <c r="A477" s="1">
        <v>4006795</v>
      </c>
      <c r="B477" s="15">
        <v>20</v>
      </c>
      <c r="C477" s="15">
        <v>10</v>
      </c>
      <c r="D477" s="15">
        <v>10</v>
      </c>
      <c r="E477" s="15">
        <v>30</v>
      </c>
      <c r="F477" s="15">
        <v>30</v>
      </c>
      <c r="G477" s="15">
        <v>21</v>
      </c>
      <c r="H477" s="15">
        <v>22</v>
      </c>
      <c r="I477" s="15">
        <v>10</v>
      </c>
      <c r="J477" s="15">
        <v>30</v>
      </c>
      <c r="K477" s="15">
        <v>20</v>
      </c>
      <c r="L477" s="15">
        <v>0</v>
      </c>
      <c r="M477" s="15">
        <v>0</v>
      </c>
      <c r="N477" s="15">
        <v>30</v>
      </c>
      <c r="O477" s="15">
        <v>30</v>
      </c>
      <c r="P477" s="15">
        <v>50</v>
      </c>
      <c r="Q477" s="15">
        <v>41</v>
      </c>
      <c r="R477" s="15">
        <v>20</v>
      </c>
      <c r="S477" s="15">
        <v>0</v>
      </c>
      <c r="T477" s="15">
        <v>10</v>
      </c>
      <c r="U477" s="15">
        <v>20</v>
      </c>
      <c r="V477" s="15">
        <v>42</v>
      </c>
      <c r="W477" s="15">
        <v>10</v>
      </c>
      <c r="X477" s="15">
        <v>12</v>
      </c>
      <c r="Y477" s="15">
        <v>10</v>
      </c>
      <c r="Z477" s="4">
        <v>478</v>
      </c>
      <c r="AA477" s="26">
        <v>21</v>
      </c>
      <c r="AB477" s="7">
        <v>0.66369999999999996</v>
      </c>
    </row>
    <row r="478" spans="1:29" x14ac:dyDescent="0.35">
      <c r="A478" s="1">
        <v>4007769</v>
      </c>
      <c r="B478" s="15">
        <v>0</v>
      </c>
      <c r="C478" s="15">
        <v>0</v>
      </c>
      <c r="D478" s="15">
        <v>0</v>
      </c>
      <c r="E478" s="15">
        <v>0</v>
      </c>
      <c r="F478" s="15">
        <v>0</v>
      </c>
      <c r="G478" s="15">
        <v>144</v>
      </c>
      <c r="H478" s="15">
        <v>72</v>
      </c>
      <c r="I478" s="15">
        <v>216</v>
      </c>
      <c r="J478" s="15">
        <v>144</v>
      </c>
      <c r="K478" s="15">
        <v>288</v>
      </c>
      <c r="L478" s="15">
        <v>216</v>
      </c>
      <c r="M478" s="15">
        <v>180</v>
      </c>
      <c r="N478" s="15">
        <v>288</v>
      </c>
      <c r="O478" s="15">
        <v>144</v>
      </c>
      <c r="P478" s="15">
        <v>360</v>
      </c>
      <c r="Q478" s="15">
        <v>144</v>
      </c>
      <c r="R478" s="15">
        <v>216</v>
      </c>
      <c r="S478" s="15">
        <v>252</v>
      </c>
      <c r="T478" s="15">
        <v>72</v>
      </c>
      <c r="U478" s="15">
        <v>144</v>
      </c>
      <c r="V478" s="15">
        <v>216</v>
      </c>
      <c r="W478" s="15">
        <v>144</v>
      </c>
      <c r="X478" s="15">
        <v>360</v>
      </c>
      <c r="Y478" s="15">
        <v>144</v>
      </c>
      <c r="Z478" s="4">
        <v>3744</v>
      </c>
      <c r="AA478" s="26">
        <v>19</v>
      </c>
      <c r="AB478" s="7">
        <v>0.69120000000000004</v>
      </c>
    </row>
    <row r="479" spans="1:29" x14ac:dyDescent="0.35">
      <c r="A479" s="1">
        <v>4007774</v>
      </c>
      <c r="B479" s="15">
        <v>0</v>
      </c>
      <c r="C479" s="15">
        <v>0</v>
      </c>
      <c r="D479" s="15">
        <v>0</v>
      </c>
      <c r="E479" s="15">
        <v>0</v>
      </c>
      <c r="F479" s="15">
        <v>0</v>
      </c>
      <c r="G479" s="15">
        <v>108</v>
      </c>
      <c r="H479" s="15">
        <v>36</v>
      </c>
      <c r="I479" s="15">
        <v>144</v>
      </c>
      <c r="J479" s="15">
        <v>288</v>
      </c>
      <c r="K479" s="15">
        <v>324</v>
      </c>
      <c r="L479" s="15">
        <v>180</v>
      </c>
      <c r="M479" s="15">
        <v>216</v>
      </c>
      <c r="N479" s="15">
        <v>216</v>
      </c>
      <c r="O479" s="15">
        <v>396</v>
      </c>
      <c r="P479" s="15">
        <v>216</v>
      </c>
      <c r="Q479" s="15">
        <v>252</v>
      </c>
      <c r="R479" s="15">
        <v>840</v>
      </c>
      <c r="S479" s="15">
        <v>108</v>
      </c>
      <c r="T479" s="15">
        <v>144</v>
      </c>
      <c r="U479" s="15">
        <v>144</v>
      </c>
      <c r="V479" s="15">
        <v>361</v>
      </c>
      <c r="W479" s="15">
        <v>144</v>
      </c>
      <c r="X479" s="15">
        <v>252</v>
      </c>
      <c r="Y479" s="15">
        <v>432</v>
      </c>
      <c r="Z479" s="4">
        <v>4801</v>
      </c>
      <c r="AA479" s="26">
        <v>19</v>
      </c>
      <c r="AB479" s="7">
        <v>0.92049999999999998</v>
      </c>
    </row>
    <row r="480" spans="1:29" x14ac:dyDescent="0.35">
      <c r="A480" s="1">
        <v>4007817</v>
      </c>
      <c r="B480" s="15">
        <v>0</v>
      </c>
      <c r="C480" s="15">
        <v>30</v>
      </c>
      <c r="D480" s="15">
        <v>30</v>
      </c>
      <c r="E480" s="15">
        <v>60</v>
      </c>
      <c r="F480" s="15">
        <v>30</v>
      </c>
      <c r="G480" s="15">
        <v>0</v>
      </c>
      <c r="H480" s="15">
        <v>30</v>
      </c>
      <c r="I480" s="15">
        <v>30</v>
      </c>
      <c r="J480" s="15">
        <v>30</v>
      </c>
      <c r="K480" s="15">
        <v>0</v>
      </c>
      <c r="L480" s="15">
        <v>60</v>
      </c>
      <c r="M480" s="15">
        <v>60</v>
      </c>
      <c r="N480" s="15">
        <v>30</v>
      </c>
      <c r="O480" s="15">
        <v>30</v>
      </c>
      <c r="P480" s="15">
        <v>30</v>
      </c>
      <c r="Q480" s="15">
        <v>30</v>
      </c>
      <c r="R480" s="15">
        <v>30</v>
      </c>
      <c r="S480" s="15">
        <v>60</v>
      </c>
      <c r="T480" s="15">
        <v>30</v>
      </c>
      <c r="U480" s="15">
        <v>0</v>
      </c>
      <c r="V480" s="15">
        <v>90</v>
      </c>
      <c r="W480" s="15">
        <v>60</v>
      </c>
      <c r="X480" s="15">
        <v>30</v>
      </c>
      <c r="Y480" s="15">
        <v>60</v>
      </c>
      <c r="Z480" s="4">
        <v>840</v>
      </c>
      <c r="AA480" s="26">
        <v>20</v>
      </c>
      <c r="AB480" s="7">
        <v>0.63890000000000002</v>
      </c>
    </row>
    <row r="481" spans="1:29" x14ac:dyDescent="0.35">
      <c r="A481" s="1">
        <v>4007818</v>
      </c>
      <c r="B481" s="15">
        <v>30</v>
      </c>
      <c r="C481" s="15">
        <v>0</v>
      </c>
      <c r="D481" s="15">
        <v>0</v>
      </c>
      <c r="E481" s="15">
        <v>30</v>
      </c>
      <c r="F481" s="15">
        <v>30</v>
      </c>
      <c r="G481" s="15">
        <v>0</v>
      </c>
      <c r="H481" s="15">
        <v>60</v>
      </c>
      <c r="I481" s="15">
        <v>60</v>
      </c>
      <c r="J481" s="15">
        <v>60</v>
      </c>
      <c r="K481" s="15">
        <v>30</v>
      </c>
      <c r="L481" s="15">
        <v>60</v>
      </c>
      <c r="M481" s="15">
        <v>90</v>
      </c>
      <c r="N481" s="15">
        <v>0</v>
      </c>
      <c r="O481" s="15">
        <v>60</v>
      </c>
      <c r="P481" s="15">
        <v>0</v>
      </c>
      <c r="Q481" s="15">
        <v>30</v>
      </c>
      <c r="R481" s="15">
        <v>0</v>
      </c>
      <c r="S481" s="15">
        <v>0</v>
      </c>
      <c r="T481" s="15">
        <v>30</v>
      </c>
      <c r="U481" s="15">
        <v>30</v>
      </c>
      <c r="V481" s="15">
        <v>60</v>
      </c>
      <c r="W481" s="15">
        <v>120</v>
      </c>
      <c r="X481" s="15">
        <v>90</v>
      </c>
      <c r="Y481" s="15">
        <v>30</v>
      </c>
      <c r="Z481" s="4">
        <v>900</v>
      </c>
      <c r="AA481" s="26">
        <v>17</v>
      </c>
      <c r="AB481" s="7">
        <v>0.87180000000000002</v>
      </c>
    </row>
    <row r="482" spans="1:29" x14ac:dyDescent="0.35">
      <c r="A482" s="1">
        <v>4007825</v>
      </c>
      <c r="B482" s="15">
        <v>200</v>
      </c>
      <c r="C482" s="15">
        <v>160</v>
      </c>
      <c r="D482" s="15">
        <v>175</v>
      </c>
      <c r="E482" s="15">
        <v>80</v>
      </c>
      <c r="F482" s="15">
        <v>150</v>
      </c>
      <c r="G482" s="15">
        <v>165</v>
      </c>
      <c r="H482" s="15">
        <v>90</v>
      </c>
      <c r="I482" s="15">
        <v>120</v>
      </c>
      <c r="J482" s="15">
        <v>110</v>
      </c>
      <c r="K482" s="15">
        <v>195</v>
      </c>
      <c r="L482" s="15">
        <v>266</v>
      </c>
      <c r="M482" s="15">
        <v>215</v>
      </c>
      <c r="N482" s="15">
        <v>145</v>
      </c>
      <c r="O482" s="15">
        <v>215</v>
      </c>
      <c r="P482" s="15">
        <v>193</v>
      </c>
      <c r="Q482" s="15">
        <v>105</v>
      </c>
      <c r="R482" s="15">
        <v>185</v>
      </c>
      <c r="S482" s="15">
        <v>200</v>
      </c>
      <c r="T482" s="15">
        <v>81</v>
      </c>
      <c r="U482" s="15">
        <v>165</v>
      </c>
      <c r="V482" s="15">
        <v>185</v>
      </c>
      <c r="W482" s="15">
        <v>105</v>
      </c>
      <c r="X482" s="15">
        <v>55</v>
      </c>
      <c r="Y482" s="15">
        <v>180</v>
      </c>
      <c r="Z482" s="4">
        <v>3740</v>
      </c>
      <c r="AA482" s="26">
        <v>24</v>
      </c>
      <c r="AB482" s="7">
        <v>0.32969999999999999</v>
      </c>
    </row>
    <row r="483" spans="1:29" x14ac:dyDescent="0.35">
      <c r="A483" s="1">
        <v>4007843</v>
      </c>
      <c r="B483" s="15">
        <v>5900</v>
      </c>
      <c r="C483" s="15">
        <v>4960</v>
      </c>
      <c r="D483" s="15">
        <v>4834</v>
      </c>
      <c r="E483" s="15">
        <v>5720</v>
      </c>
      <c r="F483" s="15">
        <v>4720</v>
      </c>
      <c r="G483" s="15">
        <v>3900</v>
      </c>
      <c r="H483" s="15">
        <v>2740</v>
      </c>
      <c r="I483" s="15">
        <v>4800</v>
      </c>
      <c r="J483" s="15">
        <v>5980</v>
      </c>
      <c r="K483" s="15">
        <v>4660</v>
      </c>
      <c r="L483" s="15">
        <v>4800</v>
      </c>
      <c r="M483" s="15">
        <v>4900</v>
      </c>
      <c r="N483" s="15">
        <v>4920</v>
      </c>
      <c r="O483" s="15">
        <v>6080</v>
      </c>
      <c r="P483" s="15">
        <v>4900</v>
      </c>
      <c r="Q483" s="15">
        <v>5000</v>
      </c>
      <c r="R483" s="15">
        <v>4220</v>
      </c>
      <c r="S483" s="15">
        <v>5480</v>
      </c>
      <c r="T483" s="15">
        <v>4720</v>
      </c>
      <c r="U483" s="15">
        <v>4800</v>
      </c>
      <c r="V483" s="15">
        <v>5720</v>
      </c>
      <c r="W483" s="15">
        <v>5740</v>
      </c>
      <c r="X483" s="15">
        <v>4620</v>
      </c>
      <c r="Y483" s="15">
        <v>5720</v>
      </c>
      <c r="Z483" s="4">
        <v>119834</v>
      </c>
      <c r="AA483" s="26">
        <v>24</v>
      </c>
      <c r="AB483" s="7">
        <v>0.1462</v>
      </c>
    </row>
    <row r="484" spans="1:29" x14ac:dyDescent="0.35">
      <c r="A484" s="1">
        <v>4008002</v>
      </c>
      <c r="B484" s="15">
        <v>0</v>
      </c>
      <c r="C484" s="15">
        <v>10</v>
      </c>
      <c r="D484" s="15">
        <v>0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5</v>
      </c>
      <c r="L484" s="15">
        <v>0</v>
      </c>
      <c r="M484" s="15">
        <v>0</v>
      </c>
      <c r="N484" s="15">
        <v>0</v>
      </c>
      <c r="O484" s="15">
        <v>5</v>
      </c>
      <c r="P484" s="15">
        <v>0</v>
      </c>
      <c r="Q484" s="15">
        <v>0</v>
      </c>
      <c r="R484" s="15">
        <v>0</v>
      </c>
      <c r="S484" s="15">
        <v>5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4">
        <v>25</v>
      </c>
      <c r="AA484" s="26">
        <v>4</v>
      </c>
      <c r="AB484" s="7">
        <v>2.3917000000000002</v>
      </c>
      <c r="AC484" s="1" t="s">
        <v>3230</v>
      </c>
    </row>
    <row r="485" spans="1:29" x14ac:dyDescent="0.35">
      <c r="A485" s="1">
        <v>4008010</v>
      </c>
      <c r="B485" s="15">
        <v>100</v>
      </c>
      <c r="C485" s="15">
        <v>140</v>
      </c>
      <c r="D485" s="15">
        <v>0</v>
      </c>
      <c r="E485" s="15">
        <v>40</v>
      </c>
      <c r="F485" s="15">
        <v>10</v>
      </c>
      <c r="G485" s="15">
        <v>10</v>
      </c>
      <c r="H485" s="15">
        <v>110</v>
      </c>
      <c r="I485" s="15">
        <v>10</v>
      </c>
      <c r="J485" s="15">
        <v>0</v>
      </c>
      <c r="K485" s="15">
        <v>130</v>
      </c>
      <c r="L485" s="15">
        <v>20</v>
      </c>
      <c r="M485" s="15">
        <v>0</v>
      </c>
      <c r="N485" s="15">
        <v>100</v>
      </c>
      <c r="O485" s="15">
        <v>110</v>
      </c>
      <c r="P485" s="15">
        <v>200</v>
      </c>
      <c r="Q485" s="15">
        <v>200</v>
      </c>
      <c r="R485" s="15">
        <v>0</v>
      </c>
      <c r="S485" s="15">
        <v>0</v>
      </c>
      <c r="T485" s="15">
        <v>10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4">
        <v>1190</v>
      </c>
      <c r="AA485" s="26">
        <v>14</v>
      </c>
      <c r="AB485" s="7">
        <v>1.3282</v>
      </c>
    </row>
    <row r="486" spans="1:29" x14ac:dyDescent="0.35">
      <c r="A486" s="1">
        <v>4008022</v>
      </c>
      <c r="B486" s="15">
        <v>0</v>
      </c>
      <c r="C486" s="15">
        <v>20</v>
      </c>
      <c r="D486" s="15">
        <v>20</v>
      </c>
      <c r="E486" s="15">
        <v>20</v>
      </c>
      <c r="F486" s="15">
        <v>0</v>
      </c>
      <c r="G486" s="15">
        <v>0</v>
      </c>
      <c r="H486" s="15">
        <v>20</v>
      </c>
      <c r="I486" s="15">
        <v>40</v>
      </c>
      <c r="J486" s="15">
        <v>20</v>
      </c>
      <c r="K486" s="15">
        <v>20</v>
      </c>
      <c r="L486" s="15">
        <v>0</v>
      </c>
      <c r="M486" s="15">
        <v>20</v>
      </c>
      <c r="N486" s="15">
        <v>0</v>
      </c>
      <c r="O486" s="15">
        <v>0</v>
      </c>
      <c r="P486" s="15">
        <v>0</v>
      </c>
      <c r="Q486" s="15">
        <v>20</v>
      </c>
      <c r="R486" s="15">
        <v>20</v>
      </c>
      <c r="S486" s="15">
        <v>40</v>
      </c>
      <c r="T486" s="15">
        <v>0</v>
      </c>
      <c r="U486" s="15">
        <v>0</v>
      </c>
      <c r="V486" s="15">
        <v>40</v>
      </c>
      <c r="W486" s="15">
        <v>0</v>
      </c>
      <c r="X486" s="15">
        <v>0</v>
      </c>
      <c r="Y486" s="15">
        <v>20</v>
      </c>
      <c r="Z486" s="4">
        <v>320</v>
      </c>
      <c r="AA486" s="26">
        <v>13</v>
      </c>
      <c r="AB486" s="7">
        <v>1.0307999999999999</v>
      </c>
    </row>
    <row r="487" spans="1:29" x14ac:dyDescent="0.35">
      <c r="A487" s="1">
        <v>4008023</v>
      </c>
      <c r="B487" s="15">
        <v>75</v>
      </c>
      <c r="C487" s="15">
        <v>25</v>
      </c>
      <c r="D487" s="15">
        <v>75</v>
      </c>
      <c r="E487" s="15">
        <v>0</v>
      </c>
      <c r="F487" s="15">
        <v>75</v>
      </c>
      <c r="G487" s="15">
        <v>0</v>
      </c>
      <c r="H487" s="15">
        <v>25</v>
      </c>
      <c r="I487" s="15">
        <v>0</v>
      </c>
      <c r="J487" s="15">
        <v>0</v>
      </c>
      <c r="K487" s="15">
        <v>25</v>
      </c>
      <c r="L487" s="15">
        <v>0</v>
      </c>
      <c r="M487" s="15">
        <v>0</v>
      </c>
      <c r="N487" s="15">
        <v>25</v>
      </c>
      <c r="O487" s="15">
        <v>50</v>
      </c>
      <c r="P487" s="15">
        <v>25</v>
      </c>
      <c r="Q487" s="15">
        <v>0</v>
      </c>
      <c r="R487" s="15">
        <v>25</v>
      </c>
      <c r="S487" s="15">
        <v>50</v>
      </c>
      <c r="T487" s="15">
        <v>0</v>
      </c>
      <c r="U487" s="15">
        <v>25</v>
      </c>
      <c r="V487" s="15">
        <v>50</v>
      </c>
      <c r="W487" s="15">
        <v>0</v>
      </c>
      <c r="X487" s="15">
        <v>25</v>
      </c>
      <c r="Y487" s="15">
        <v>25</v>
      </c>
      <c r="Z487" s="4">
        <v>600</v>
      </c>
      <c r="AA487" s="26">
        <v>15</v>
      </c>
      <c r="AB487" s="7">
        <v>1</v>
      </c>
    </row>
    <row r="488" spans="1:29" x14ac:dyDescent="0.35">
      <c r="A488" s="1">
        <v>4008033</v>
      </c>
      <c r="B488" s="15">
        <v>2</v>
      </c>
      <c r="C488" s="15">
        <v>3</v>
      </c>
      <c r="D488" s="15">
        <v>2</v>
      </c>
      <c r="E488" s="15">
        <v>2</v>
      </c>
      <c r="F488" s="15">
        <v>0</v>
      </c>
      <c r="G488" s="15">
        <v>10</v>
      </c>
      <c r="H488" s="15">
        <v>0</v>
      </c>
      <c r="I488" s="15">
        <v>4</v>
      </c>
      <c r="J488" s="15">
        <v>2</v>
      </c>
      <c r="K488" s="15">
        <v>2</v>
      </c>
      <c r="L488" s="15">
        <v>13</v>
      </c>
      <c r="M488" s="15">
        <v>3</v>
      </c>
      <c r="N488" s="15">
        <v>9</v>
      </c>
      <c r="O488" s="15">
        <v>4</v>
      </c>
      <c r="P488" s="15">
        <v>0</v>
      </c>
      <c r="Q488" s="15">
        <v>2</v>
      </c>
      <c r="R488" s="15">
        <v>0</v>
      </c>
      <c r="S488" s="15">
        <v>0</v>
      </c>
      <c r="T488" s="15">
        <v>1</v>
      </c>
      <c r="U488" s="15">
        <v>0</v>
      </c>
      <c r="V488" s="15">
        <v>2</v>
      </c>
      <c r="W488" s="15">
        <v>2</v>
      </c>
      <c r="X488" s="15">
        <v>0</v>
      </c>
      <c r="Y488" s="15">
        <v>2</v>
      </c>
      <c r="Z488" s="4">
        <v>65</v>
      </c>
      <c r="AA488" s="26">
        <v>17</v>
      </c>
      <c r="AB488" s="7">
        <v>1.2175</v>
      </c>
    </row>
    <row r="489" spans="1:29" x14ac:dyDescent="0.35">
      <c r="A489" s="1">
        <v>4008034</v>
      </c>
      <c r="B489" s="15">
        <v>0</v>
      </c>
      <c r="C489" s="15">
        <v>180</v>
      </c>
      <c r="D489" s="15">
        <v>60</v>
      </c>
      <c r="E489" s="15">
        <v>60</v>
      </c>
      <c r="F489" s="15">
        <v>100</v>
      </c>
      <c r="G489" s="15">
        <v>60</v>
      </c>
      <c r="H489" s="15">
        <v>40</v>
      </c>
      <c r="I489" s="15">
        <v>80</v>
      </c>
      <c r="J489" s="15">
        <v>80</v>
      </c>
      <c r="K489" s="15">
        <v>40</v>
      </c>
      <c r="L489" s="15">
        <v>40</v>
      </c>
      <c r="M489" s="15">
        <v>60</v>
      </c>
      <c r="N489" s="15">
        <v>60</v>
      </c>
      <c r="O489" s="15">
        <v>60</v>
      </c>
      <c r="P489" s="15">
        <v>80</v>
      </c>
      <c r="Q489" s="15">
        <v>80</v>
      </c>
      <c r="R489" s="15">
        <v>100</v>
      </c>
      <c r="S489" s="15">
        <v>40</v>
      </c>
      <c r="T489" s="15">
        <v>60</v>
      </c>
      <c r="U489" s="15">
        <v>40</v>
      </c>
      <c r="V489" s="15">
        <v>20</v>
      </c>
      <c r="W489" s="15">
        <v>80</v>
      </c>
      <c r="X489" s="15">
        <v>80</v>
      </c>
      <c r="Y489" s="15">
        <v>100</v>
      </c>
      <c r="Z489" s="4">
        <v>1600</v>
      </c>
      <c r="AA489" s="26">
        <v>23</v>
      </c>
      <c r="AB489" s="7">
        <v>0.50990000000000002</v>
      </c>
    </row>
    <row r="490" spans="1:29" x14ac:dyDescent="0.35">
      <c r="A490" s="1">
        <v>4008075</v>
      </c>
      <c r="B490" s="15">
        <v>0</v>
      </c>
      <c r="C490" s="15">
        <v>0</v>
      </c>
      <c r="D490" s="15">
        <v>60</v>
      </c>
      <c r="E490" s="15">
        <v>30</v>
      </c>
      <c r="F490" s="15">
        <v>0</v>
      </c>
      <c r="G490" s="15">
        <v>0</v>
      </c>
      <c r="H490" s="15">
        <v>0</v>
      </c>
      <c r="I490" s="15">
        <v>0</v>
      </c>
      <c r="J490" s="15">
        <v>0</v>
      </c>
      <c r="K490" s="15">
        <v>0</v>
      </c>
      <c r="L490" s="15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4">
        <v>90</v>
      </c>
      <c r="AA490" s="26">
        <v>2</v>
      </c>
      <c r="AB490" s="7">
        <v>3.5118999999999998</v>
      </c>
      <c r="AC490" s="1" t="s">
        <v>3230</v>
      </c>
    </row>
    <row r="491" spans="1:29" x14ac:dyDescent="0.35">
      <c r="A491" s="1">
        <v>4008076</v>
      </c>
      <c r="B491" s="15">
        <v>25</v>
      </c>
      <c r="C491" s="15">
        <v>55</v>
      </c>
      <c r="D491" s="15">
        <v>70</v>
      </c>
      <c r="E491" s="15">
        <v>55</v>
      </c>
      <c r="F491" s="15">
        <v>50</v>
      </c>
      <c r="G491" s="15">
        <v>20</v>
      </c>
      <c r="H491" s="15">
        <v>10</v>
      </c>
      <c r="I491" s="15">
        <v>80</v>
      </c>
      <c r="J491" s="15">
        <v>10</v>
      </c>
      <c r="K491" s="15">
        <v>5</v>
      </c>
      <c r="L491" s="15">
        <v>70</v>
      </c>
      <c r="M491" s="15">
        <v>0</v>
      </c>
      <c r="N491" s="15">
        <v>55</v>
      </c>
      <c r="O491" s="15">
        <v>50</v>
      </c>
      <c r="P491" s="15">
        <v>90</v>
      </c>
      <c r="Q491" s="15">
        <v>30</v>
      </c>
      <c r="R491" s="15">
        <v>10</v>
      </c>
      <c r="S491" s="15">
        <v>30</v>
      </c>
      <c r="T491" s="15">
        <v>50</v>
      </c>
      <c r="U491" s="15">
        <v>65</v>
      </c>
      <c r="V491" s="15">
        <v>80</v>
      </c>
      <c r="W491" s="15">
        <v>90</v>
      </c>
      <c r="X491" s="15">
        <v>15</v>
      </c>
      <c r="Y491" s="15">
        <v>45</v>
      </c>
      <c r="Z491" s="4">
        <v>1060</v>
      </c>
      <c r="AA491" s="26">
        <v>23</v>
      </c>
      <c r="AB491" s="7">
        <v>0.62319999999999998</v>
      </c>
    </row>
    <row r="492" spans="1:29" x14ac:dyDescent="0.35">
      <c r="A492" s="1">
        <v>4008077</v>
      </c>
      <c r="B492" s="15">
        <v>95</v>
      </c>
      <c r="C492" s="15">
        <v>0</v>
      </c>
      <c r="D492" s="15">
        <v>25</v>
      </c>
      <c r="E492" s="15">
        <v>65</v>
      </c>
      <c r="F492" s="15">
        <v>20</v>
      </c>
      <c r="G492" s="15">
        <v>20</v>
      </c>
      <c r="H492" s="15">
        <v>40</v>
      </c>
      <c r="I492" s="15">
        <v>0</v>
      </c>
      <c r="J492" s="15">
        <v>45</v>
      </c>
      <c r="K492" s="15">
        <v>5</v>
      </c>
      <c r="L492" s="15">
        <v>115</v>
      </c>
      <c r="M492" s="15">
        <v>10</v>
      </c>
      <c r="N492" s="15">
        <v>55</v>
      </c>
      <c r="O492" s="15">
        <v>0</v>
      </c>
      <c r="P492" s="15">
        <v>30</v>
      </c>
      <c r="Q492" s="15">
        <v>0</v>
      </c>
      <c r="R492" s="15">
        <v>0</v>
      </c>
      <c r="S492" s="15">
        <v>100</v>
      </c>
      <c r="T492" s="15">
        <v>5</v>
      </c>
      <c r="U492" s="15">
        <v>10</v>
      </c>
      <c r="V492" s="15">
        <v>0</v>
      </c>
      <c r="W492" s="15">
        <v>0</v>
      </c>
      <c r="X492" s="15">
        <v>5</v>
      </c>
      <c r="Y492" s="15">
        <v>15</v>
      </c>
      <c r="Z492" s="4">
        <v>660</v>
      </c>
      <c r="AA492" s="26">
        <v>17</v>
      </c>
      <c r="AB492" s="7">
        <v>1.2376</v>
      </c>
    </row>
    <row r="493" spans="1:29" x14ac:dyDescent="0.35">
      <c r="A493" s="1">
        <v>4008079</v>
      </c>
      <c r="B493" s="15">
        <v>650</v>
      </c>
      <c r="C493" s="15">
        <v>100</v>
      </c>
      <c r="D493" s="15">
        <v>500</v>
      </c>
      <c r="E493" s="15">
        <v>650</v>
      </c>
      <c r="F493" s="15">
        <v>1000</v>
      </c>
      <c r="G493" s="15">
        <v>750</v>
      </c>
      <c r="H493" s="15">
        <v>450</v>
      </c>
      <c r="I493" s="15">
        <v>600</v>
      </c>
      <c r="J493" s="15">
        <v>650</v>
      </c>
      <c r="K493" s="15">
        <v>500</v>
      </c>
      <c r="L493" s="15">
        <v>650</v>
      </c>
      <c r="M493" s="15">
        <v>600</v>
      </c>
      <c r="N493" s="15">
        <v>600</v>
      </c>
      <c r="O493" s="15">
        <v>300</v>
      </c>
      <c r="P493" s="15">
        <v>651</v>
      </c>
      <c r="Q493" s="15">
        <v>400</v>
      </c>
      <c r="R493" s="15">
        <v>600</v>
      </c>
      <c r="S493" s="15">
        <v>900</v>
      </c>
      <c r="T493" s="15">
        <v>500</v>
      </c>
      <c r="U493" s="15">
        <v>650</v>
      </c>
      <c r="V493" s="15">
        <v>1300</v>
      </c>
      <c r="W493" s="15">
        <v>200</v>
      </c>
      <c r="X493" s="15">
        <v>500</v>
      </c>
      <c r="Y493" s="15">
        <v>850</v>
      </c>
      <c r="Z493" s="4">
        <v>14551</v>
      </c>
      <c r="AA493" s="26">
        <v>24</v>
      </c>
      <c r="AB493" s="7">
        <v>0.4042</v>
      </c>
    </row>
    <row r="494" spans="1:29" x14ac:dyDescent="0.35">
      <c r="A494" s="1">
        <v>4008095</v>
      </c>
      <c r="B494" s="15">
        <v>500</v>
      </c>
      <c r="C494" s="15">
        <v>1500</v>
      </c>
      <c r="D494" s="15">
        <v>0</v>
      </c>
      <c r="E494" s="15">
        <v>1500</v>
      </c>
      <c r="F494" s="15">
        <v>500</v>
      </c>
      <c r="G494" s="15">
        <v>500</v>
      </c>
      <c r="H494" s="15">
        <v>0</v>
      </c>
      <c r="I494" s="15">
        <v>500</v>
      </c>
      <c r="J494" s="15">
        <v>0</v>
      </c>
      <c r="K494" s="15">
        <v>900</v>
      </c>
      <c r="L494" s="15">
        <v>800</v>
      </c>
      <c r="M494" s="15">
        <v>800</v>
      </c>
      <c r="N494" s="15">
        <v>800</v>
      </c>
      <c r="O494" s="15">
        <v>1300</v>
      </c>
      <c r="P494" s="15">
        <v>0</v>
      </c>
      <c r="Q494" s="15">
        <v>800</v>
      </c>
      <c r="R494" s="15">
        <v>1200</v>
      </c>
      <c r="S494" s="15">
        <v>400</v>
      </c>
      <c r="T494" s="15">
        <v>400</v>
      </c>
      <c r="U494" s="15">
        <v>900</v>
      </c>
      <c r="V494" s="15">
        <v>800</v>
      </c>
      <c r="W494" s="15">
        <v>900</v>
      </c>
      <c r="X494" s="15">
        <v>400</v>
      </c>
      <c r="Y494" s="15">
        <v>1200</v>
      </c>
      <c r="Z494" s="4">
        <v>16600</v>
      </c>
      <c r="AA494" s="26">
        <v>20</v>
      </c>
      <c r="AB494" s="7">
        <v>0.63970000000000005</v>
      </c>
    </row>
    <row r="495" spans="1:29" x14ac:dyDescent="0.35">
      <c r="A495" s="1">
        <v>4008096</v>
      </c>
      <c r="B495" s="15">
        <v>3000</v>
      </c>
      <c r="C495" s="15">
        <v>2750</v>
      </c>
      <c r="D495" s="15">
        <v>2250</v>
      </c>
      <c r="E495" s="15">
        <v>2500</v>
      </c>
      <c r="F495" s="15">
        <v>2504</v>
      </c>
      <c r="G495" s="15">
        <v>2014</v>
      </c>
      <c r="H495" s="15">
        <v>2016</v>
      </c>
      <c r="I495" s="15">
        <v>3022</v>
      </c>
      <c r="J495" s="15">
        <v>2644</v>
      </c>
      <c r="K495" s="15">
        <v>1764</v>
      </c>
      <c r="L495" s="15">
        <v>2528</v>
      </c>
      <c r="M495" s="15">
        <v>2268</v>
      </c>
      <c r="N495" s="15">
        <v>2520</v>
      </c>
      <c r="O495" s="15">
        <v>2016</v>
      </c>
      <c r="P495" s="15">
        <v>2268</v>
      </c>
      <c r="Q495" s="15">
        <v>2394</v>
      </c>
      <c r="R495" s="15">
        <v>2520</v>
      </c>
      <c r="S495" s="15">
        <v>2268</v>
      </c>
      <c r="T495" s="15">
        <v>2016</v>
      </c>
      <c r="U495" s="15">
        <v>2772</v>
      </c>
      <c r="V495" s="15">
        <v>2268</v>
      </c>
      <c r="W495" s="15">
        <v>2646</v>
      </c>
      <c r="X495" s="15">
        <v>2394</v>
      </c>
      <c r="Y495" s="15">
        <v>2268</v>
      </c>
      <c r="Z495" s="4">
        <v>57610</v>
      </c>
      <c r="AA495" s="26">
        <v>24</v>
      </c>
      <c r="AB495" s="7">
        <v>0.12889999999999999</v>
      </c>
    </row>
    <row r="496" spans="1:29" x14ac:dyDescent="0.35">
      <c r="A496" s="1">
        <v>4008099</v>
      </c>
      <c r="B496" s="15">
        <v>350</v>
      </c>
      <c r="C496" s="15">
        <v>350</v>
      </c>
      <c r="D496" s="15">
        <v>200</v>
      </c>
      <c r="E496" s="15">
        <v>350</v>
      </c>
      <c r="F496" s="15">
        <v>300</v>
      </c>
      <c r="G496" s="15">
        <v>300</v>
      </c>
      <c r="H496" s="15">
        <v>200</v>
      </c>
      <c r="I496" s="15">
        <v>200</v>
      </c>
      <c r="J496" s="15">
        <v>452</v>
      </c>
      <c r="K496" s="15">
        <v>350</v>
      </c>
      <c r="L496" s="15">
        <v>200</v>
      </c>
      <c r="M496" s="15">
        <v>400</v>
      </c>
      <c r="N496" s="15">
        <v>400</v>
      </c>
      <c r="O496" s="15">
        <v>300</v>
      </c>
      <c r="P496" s="15">
        <v>300</v>
      </c>
      <c r="Q496" s="15">
        <v>300</v>
      </c>
      <c r="R496" s="15">
        <v>300</v>
      </c>
      <c r="S496" s="15">
        <v>300</v>
      </c>
      <c r="T496" s="15">
        <v>600</v>
      </c>
      <c r="U496" s="15">
        <v>200</v>
      </c>
      <c r="V496" s="15">
        <v>300</v>
      </c>
      <c r="W496" s="15">
        <v>300</v>
      </c>
      <c r="X496" s="15">
        <v>400</v>
      </c>
      <c r="Y496" s="15">
        <v>300</v>
      </c>
      <c r="Z496" s="4">
        <v>7652</v>
      </c>
      <c r="AA496" s="26">
        <v>24</v>
      </c>
      <c r="AB496" s="7">
        <v>0.28239999999999998</v>
      </c>
    </row>
    <row r="497" spans="1:29" x14ac:dyDescent="0.35">
      <c r="A497" s="1">
        <v>4008100</v>
      </c>
      <c r="B497" s="15">
        <v>2</v>
      </c>
      <c r="C497" s="15">
        <v>5</v>
      </c>
      <c r="D497" s="15">
        <v>5</v>
      </c>
      <c r="E497" s="15">
        <v>2</v>
      </c>
      <c r="F497" s="15">
        <v>0</v>
      </c>
      <c r="G497" s="15">
        <v>0</v>
      </c>
      <c r="H497" s="15">
        <v>1</v>
      </c>
      <c r="I497" s="15">
        <v>5</v>
      </c>
      <c r="J497" s="15">
        <v>5</v>
      </c>
      <c r="K497" s="15">
        <v>2</v>
      </c>
      <c r="L497" s="15">
        <v>2</v>
      </c>
      <c r="M497" s="15">
        <v>3</v>
      </c>
      <c r="N497" s="15">
        <v>4</v>
      </c>
      <c r="O497" s="15">
        <v>0</v>
      </c>
      <c r="P497" s="15">
        <v>0</v>
      </c>
      <c r="Q497" s="15">
        <v>3</v>
      </c>
      <c r="R497" s="15">
        <v>5</v>
      </c>
      <c r="S497" s="15">
        <v>1</v>
      </c>
      <c r="T497" s="15">
        <v>3</v>
      </c>
      <c r="U497" s="15">
        <v>2</v>
      </c>
      <c r="V497" s="15">
        <v>3</v>
      </c>
      <c r="W497" s="15">
        <v>6</v>
      </c>
      <c r="X497" s="15">
        <v>3</v>
      </c>
      <c r="Y497" s="15">
        <v>2</v>
      </c>
      <c r="Z497" s="4">
        <v>64</v>
      </c>
      <c r="AA497" s="26">
        <v>20</v>
      </c>
      <c r="AB497" s="7">
        <v>0.67310000000000003</v>
      </c>
    </row>
    <row r="498" spans="1:29" x14ac:dyDescent="0.35">
      <c r="A498" s="1">
        <v>4008106</v>
      </c>
      <c r="B498" s="15">
        <v>950</v>
      </c>
      <c r="C498" s="15">
        <v>250</v>
      </c>
      <c r="D498" s="15">
        <v>400</v>
      </c>
      <c r="E498" s="15">
        <v>150</v>
      </c>
      <c r="F498" s="15">
        <v>200</v>
      </c>
      <c r="G498" s="15">
        <v>250</v>
      </c>
      <c r="H498" s="15">
        <v>300</v>
      </c>
      <c r="I498" s="15">
        <v>100</v>
      </c>
      <c r="J498" s="15">
        <v>50</v>
      </c>
      <c r="K498" s="15">
        <v>100</v>
      </c>
      <c r="L498" s="15">
        <v>100</v>
      </c>
      <c r="M498" s="15">
        <v>400</v>
      </c>
      <c r="N498" s="15">
        <v>150</v>
      </c>
      <c r="O498" s="15">
        <v>150</v>
      </c>
      <c r="P498" s="15">
        <v>450</v>
      </c>
      <c r="Q498" s="15">
        <v>200</v>
      </c>
      <c r="R498" s="15">
        <v>500</v>
      </c>
      <c r="S498" s="15">
        <v>0</v>
      </c>
      <c r="T498" s="15">
        <v>250</v>
      </c>
      <c r="U498" s="15">
        <v>100</v>
      </c>
      <c r="V498" s="15">
        <v>300</v>
      </c>
      <c r="W498" s="15">
        <v>150</v>
      </c>
      <c r="X498" s="15">
        <v>250</v>
      </c>
      <c r="Y498" s="15">
        <v>850</v>
      </c>
      <c r="Z498" s="4">
        <v>6600</v>
      </c>
      <c r="AA498" s="26">
        <v>23</v>
      </c>
      <c r="AB498" s="7">
        <v>0.82150000000000001</v>
      </c>
    </row>
    <row r="499" spans="1:29" x14ac:dyDescent="0.35">
      <c r="A499" s="1">
        <v>4008108</v>
      </c>
      <c r="B499" s="15">
        <v>215</v>
      </c>
      <c r="C499" s="15">
        <v>195</v>
      </c>
      <c r="D499" s="15">
        <v>245</v>
      </c>
      <c r="E499" s="15">
        <v>255</v>
      </c>
      <c r="F499" s="15">
        <v>165</v>
      </c>
      <c r="G499" s="15">
        <v>160</v>
      </c>
      <c r="H499" s="15">
        <v>120</v>
      </c>
      <c r="I499" s="15">
        <v>175</v>
      </c>
      <c r="J499" s="15">
        <v>220</v>
      </c>
      <c r="K499" s="15">
        <v>170</v>
      </c>
      <c r="L499" s="15">
        <v>190</v>
      </c>
      <c r="M499" s="15">
        <v>175</v>
      </c>
      <c r="N499" s="15">
        <v>235</v>
      </c>
      <c r="O499" s="15">
        <v>220</v>
      </c>
      <c r="P499" s="15">
        <v>205</v>
      </c>
      <c r="Q499" s="15">
        <v>180</v>
      </c>
      <c r="R499" s="15">
        <v>185</v>
      </c>
      <c r="S499" s="15">
        <v>175</v>
      </c>
      <c r="T499" s="15">
        <v>115</v>
      </c>
      <c r="U499" s="15">
        <v>200</v>
      </c>
      <c r="V499" s="15">
        <v>220</v>
      </c>
      <c r="W499" s="15">
        <v>220</v>
      </c>
      <c r="X499" s="15">
        <v>185</v>
      </c>
      <c r="Y499" s="15">
        <v>245</v>
      </c>
      <c r="Z499" s="4">
        <v>4670</v>
      </c>
      <c r="AA499" s="26">
        <v>24</v>
      </c>
      <c r="AB499" s="7">
        <v>0.18060000000000001</v>
      </c>
    </row>
    <row r="500" spans="1:29" x14ac:dyDescent="0.35">
      <c r="A500" s="1">
        <v>4008109</v>
      </c>
      <c r="B500" s="15">
        <v>1050</v>
      </c>
      <c r="C500" s="15">
        <v>1350</v>
      </c>
      <c r="D500" s="15">
        <v>650</v>
      </c>
      <c r="E500" s="15">
        <v>850</v>
      </c>
      <c r="F500" s="15">
        <v>1100</v>
      </c>
      <c r="G500" s="15">
        <v>1225</v>
      </c>
      <c r="H500" s="15">
        <v>550</v>
      </c>
      <c r="I500" s="15">
        <v>750</v>
      </c>
      <c r="J500" s="15">
        <v>600</v>
      </c>
      <c r="K500" s="15">
        <v>1300</v>
      </c>
      <c r="L500" s="15">
        <v>1000</v>
      </c>
      <c r="M500" s="15">
        <v>900</v>
      </c>
      <c r="N500" s="15">
        <v>1200</v>
      </c>
      <c r="O500" s="15">
        <v>950</v>
      </c>
      <c r="P500" s="15">
        <v>1050</v>
      </c>
      <c r="Q500" s="15">
        <v>1000</v>
      </c>
      <c r="R500" s="15">
        <v>900</v>
      </c>
      <c r="S500" s="15">
        <v>1200</v>
      </c>
      <c r="T500" s="15">
        <v>1150</v>
      </c>
      <c r="U500" s="15">
        <v>1200</v>
      </c>
      <c r="V500" s="15">
        <v>1500</v>
      </c>
      <c r="W500" s="15">
        <v>1600</v>
      </c>
      <c r="X500" s="15">
        <v>1100</v>
      </c>
      <c r="Y500" s="15">
        <v>1150</v>
      </c>
      <c r="Z500" s="4">
        <v>25325</v>
      </c>
      <c r="AA500" s="26">
        <v>24</v>
      </c>
      <c r="AB500" s="7">
        <v>0.24329999999999999</v>
      </c>
    </row>
    <row r="501" spans="1:29" x14ac:dyDescent="0.35">
      <c r="A501" s="1">
        <v>4008110</v>
      </c>
      <c r="B501" s="15">
        <v>50</v>
      </c>
      <c r="C501" s="15">
        <v>150</v>
      </c>
      <c r="D501" s="15">
        <v>300</v>
      </c>
      <c r="E501" s="15">
        <v>450</v>
      </c>
      <c r="F501" s="15">
        <v>300</v>
      </c>
      <c r="G501" s="15">
        <v>350</v>
      </c>
      <c r="H501" s="15">
        <v>50</v>
      </c>
      <c r="I501" s="15">
        <v>150</v>
      </c>
      <c r="J501" s="15">
        <v>250</v>
      </c>
      <c r="K501" s="15">
        <v>300</v>
      </c>
      <c r="L501" s="15">
        <v>200</v>
      </c>
      <c r="M501" s="15">
        <v>250</v>
      </c>
      <c r="N501" s="15">
        <v>350</v>
      </c>
      <c r="O501" s="15">
        <v>0</v>
      </c>
      <c r="P501" s="15">
        <v>250</v>
      </c>
      <c r="Q501" s="15">
        <v>550</v>
      </c>
      <c r="R501" s="15">
        <v>250</v>
      </c>
      <c r="S501" s="15">
        <v>200</v>
      </c>
      <c r="T501" s="15">
        <v>250</v>
      </c>
      <c r="U501" s="15">
        <v>250</v>
      </c>
      <c r="V501" s="15">
        <v>400</v>
      </c>
      <c r="W501" s="15">
        <v>150</v>
      </c>
      <c r="X501" s="15">
        <v>200</v>
      </c>
      <c r="Y501" s="15">
        <v>450</v>
      </c>
      <c r="Z501" s="4">
        <v>6100</v>
      </c>
      <c r="AA501" s="26">
        <v>23</v>
      </c>
      <c r="AB501" s="7">
        <v>0.50770000000000004</v>
      </c>
    </row>
    <row r="502" spans="1:29" x14ac:dyDescent="0.35">
      <c r="A502" s="1">
        <v>4008121</v>
      </c>
      <c r="B502" s="15">
        <v>220</v>
      </c>
      <c r="C502" s="15">
        <v>180</v>
      </c>
      <c r="D502" s="15">
        <v>170</v>
      </c>
      <c r="E502" s="15">
        <v>80</v>
      </c>
      <c r="F502" s="15">
        <v>230</v>
      </c>
      <c r="G502" s="15">
        <v>240</v>
      </c>
      <c r="H502" s="15">
        <v>20</v>
      </c>
      <c r="I502" s="15">
        <v>140</v>
      </c>
      <c r="J502" s="15">
        <v>160</v>
      </c>
      <c r="K502" s="15">
        <v>180</v>
      </c>
      <c r="L502" s="15">
        <v>150</v>
      </c>
      <c r="M502" s="15">
        <v>160</v>
      </c>
      <c r="N502" s="15">
        <v>260</v>
      </c>
      <c r="O502" s="15">
        <v>120</v>
      </c>
      <c r="P502" s="15">
        <v>80</v>
      </c>
      <c r="Q502" s="15">
        <v>130</v>
      </c>
      <c r="R502" s="15">
        <v>150</v>
      </c>
      <c r="S502" s="15">
        <v>250</v>
      </c>
      <c r="T502" s="15">
        <v>60</v>
      </c>
      <c r="U502" s="15">
        <v>110</v>
      </c>
      <c r="V502" s="15">
        <v>120</v>
      </c>
      <c r="W502" s="15">
        <v>100</v>
      </c>
      <c r="X502" s="15">
        <v>190</v>
      </c>
      <c r="Y502" s="15">
        <v>140</v>
      </c>
      <c r="Z502" s="4">
        <v>3640</v>
      </c>
      <c r="AA502" s="26">
        <v>24</v>
      </c>
      <c r="AB502" s="7">
        <v>0.39639999999999997</v>
      </c>
    </row>
    <row r="503" spans="1:29" x14ac:dyDescent="0.35">
      <c r="A503" s="1">
        <v>4008122</v>
      </c>
      <c r="B503" s="15">
        <v>70</v>
      </c>
      <c r="C503" s="15">
        <v>40</v>
      </c>
      <c r="D503" s="15">
        <v>100</v>
      </c>
      <c r="E503" s="15">
        <v>100</v>
      </c>
      <c r="F503" s="15">
        <v>80</v>
      </c>
      <c r="G503" s="15">
        <v>50</v>
      </c>
      <c r="H503" s="15">
        <v>0</v>
      </c>
      <c r="I503" s="15">
        <v>50</v>
      </c>
      <c r="J503" s="15">
        <v>40</v>
      </c>
      <c r="K503" s="15">
        <v>30</v>
      </c>
      <c r="L503" s="15">
        <v>110</v>
      </c>
      <c r="M503" s="15">
        <v>120</v>
      </c>
      <c r="N503" s="15">
        <v>110</v>
      </c>
      <c r="O503" s="15">
        <v>120</v>
      </c>
      <c r="P503" s="15">
        <v>140</v>
      </c>
      <c r="Q503" s="15">
        <v>140</v>
      </c>
      <c r="R503" s="15">
        <v>80</v>
      </c>
      <c r="S503" s="15">
        <v>50</v>
      </c>
      <c r="T503" s="15">
        <v>40</v>
      </c>
      <c r="U503" s="15">
        <v>130</v>
      </c>
      <c r="V503" s="15">
        <v>50</v>
      </c>
      <c r="W503" s="15">
        <v>130</v>
      </c>
      <c r="X503" s="15">
        <v>130</v>
      </c>
      <c r="Y503" s="15">
        <v>110</v>
      </c>
      <c r="Z503" s="4">
        <v>2020</v>
      </c>
      <c r="AA503" s="26">
        <v>23</v>
      </c>
      <c r="AB503" s="7">
        <v>0.47510000000000002</v>
      </c>
    </row>
    <row r="504" spans="1:29" x14ac:dyDescent="0.35">
      <c r="A504" s="1">
        <v>4008123</v>
      </c>
      <c r="B504" s="15">
        <v>70</v>
      </c>
      <c r="C504" s="15">
        <v>40</v>
      </c>
      <c r="D504" s="15">
        <v>100</v>
      </c>
      <c r="E504" s="15">
        <v>100</v>
      </c>
      <c r="F504" s="15">
        <v>10</v>
      </c>
      <c r="G504" s="15">
        <v>40</v>
      </c>
      <c r="H504" s="15">
        <v>30</v>
      </c>
      <c r="I504" s="15">
        <v>60</v>
      </c>
      <c r="J504" s="15">
        <v>90</v>
      </c>
      <c r="K504" s="15">
        <v>30</v>
      </c>
      <c r="L504" s="15">
        <v>40</v>
      </c>
      <c r="M504" s="15">
        <v>60</v>
      </c>
      <c r="N504" s="15">
        <v>90</v>
      </c>
      <c r="O504" s="15">
        <v>50</v>
      </c>
      <c r="P504" s="15">
        <v>60</v>
      </c>
      <c r="Q504" s="15">
        <v>50</v>
      </c>
      <c r="R504" s="15">
        <v>40</v>
      </c>
      <c r="S504" s="15">
        <v>60</v>
      </c>
      <c r="T504" s="15">
        <v>30</v>
      </c>
      <c r="U504" s="15">
        <v>50</v>
      </c>
      <c r="V504" s="15">
        <v>60</v>
      </c>
      <c r="W504" s="15">
        <v>50</v>
      </c>
      <c r="X504" s="15">
        <v>70</v>
      </c>
      <c r="Y504" s="15">
        <v>123</v>
      </c>
      <c r="Z504" s="4">
        <v>1403</v>
      </c>
      <c r="AA504" s="26">
        <v>24</v>
      </c>
      <c r="AB504" s="7">
        <v>0.44600000000000001</v>
      </c>
    </row>
    <row r="505" spans="1:29" x14ac:dyDescent="0.35">
      <c r="A505" s="1">
        <v>4008124</v>
      </c>
      <c r="B505" s="15">
        <v>0</v>
      </c>
      <c r="C505" s="15">
        <v>13</v>
      </c>
      <c r="D505" s="15">
        <v>1</v>
      </c>
      <c r="E505" s="15">
        <v>1</v>
      </c>
      <c r="F505" s="15">
        <v>3</v>
      </c>
      <c r="G505" s="15">
        <v>0</v>
      </c>
      <c r="H505" s="15">
        <v>2</v>
      </c>
      <c r="I505" s="15">
        <v>2</v>
      </c>
      <c r="J505" s="15">
        <v>2</v>
      </c>
      <c r="K505" s="15">
        <v>1</v>
      </c>
      <c r="L505" s="15">
        <v>0</v>
      </c>
      <c r="M505" s="15">
        <v>1</v>
      </c>
      <c r="N505" s="15">
        <v>0</v>
      </c>
      <c r="O505" s="15">
        <v>0</v>
      </c>
      <c r="P505" s="15">
        <v>1</v>
      </c>
      <c r="Q505" s="15">
        <v>1</v>
      </c>
      <c r="R505" s="15">
        <v>12</v>
      </c>
      <c r="S505" s="15">
        <v>2</v>
      </c>
      <c r="T505" s="15">
        <v>4</v>
      </c>
      <c r="U505" s="15">
        <v>2</v>
      </c>
      <c r="V505" s="15">
        <v>1</v>
      </c>
      <c r="W505" s="15">
        <v>1</v>
      </c>
      <c r="X505" s="15">
        <v>0</v>
      </c>
      <c r="Y505" s="15">
        <v>0</v>
      </c>
      <c r="Z505" s="4">
        <v>50</v>
      </c>
      <c r="AA505" s="26">
        <v>17</v>
      </c>
      <c r="AB505" s="7">
        <v>1.5853999999999999</v>
      </c>
    </row>
    <row r="506" spans="1:29" x14ac:dyDescent="0.35">
      <c r="A506" s="1">
        <v>4008133</v>
      </c>
      <c r="B506" s="15">
        <v>0</v>
      </c>
      <c r="C506" s="15">
        <v>0</v>
      </c>
      <c r="D506" s="15">
        <v>0</v>
      </c>
      <c r="E506" s="15">
        <v>0</v>
      </c>
      <c r="F506" s="15">
        <v>6</v>
      </c>
      <c r="G506" s="15">
        <v>0</v>
      </c>
      <c r="H506" s="15">
        <v>0</v>
      </c>
      <c r="I506" s="15">
        <v>0</v>
      </c>
      <c r="J506" s="15">
        <v>0</v>
      </c>
      <c r="K506" s="15">
        <v>0</v>
      </c>
      <c r="L506" s="15">
        <v>0</v>
      </c>
      <c r="M506" s="15">
        <v>0</v>
      </c>
      <c r="N506" s="15">
        <v>0</v>
      </c>
      <c r="O506" s="15">
        <v>6</v>
      </c>
      <c r="P506" s="15">
        <v>0</v>
      </c>
      <c r="Q506" s="15">
        <v>0</v>
      </c>
      <c r="R506" s="15">
        <v>0</v>
      </c>
      <c r="S506" s="15">
        <v>0</v>
      </c>
      <c r="T506" s="15">
        <v>6</v>
      </c>
      <c r="U506" s="15">
        <v>0</v>
      </c>
      <c r="V506" s="15">
        <v>6</v>
      </c>
      <c r="W506" s="15">
        <v>0</v>
      </c>
      <c r="X506" s="15">
        <v>0</v>
      </c>
      <c r="Y506" s="15">
        <v>0</v>
      </c>
      <c r="Z506" s="4">
        <v>24</v>
      </c>
      <c r="AA506" s="26">
        <v>4</v>
      </c>
      <c r="AB506" s="7">
        <v>2.2361</v>
      </c>
      <c r="AC506" s="1" t="s">
        <v>3230</v>
      </c>
    </row>
    <row r="507" spans="1:29" x14ac:dyDescent="0.35">
      <c r="A507" s="1">
        <v>4008142</v>
      </c>
      <c r="B507" s="15">
        <v>30</v>
      </c>
      <c r="C507" s="15">
        <v>40</v>
      </c>
      <c r="D507" s="15">
        <v>10</v>
      </c>
      <c r="E507" s="15">
        <v>30</v>
      </c>
      <c r="F507" s="15">
        <v>10</v>
      </c>
      <c r="G507" s="15">
        <v>10</v>
      </c>
      <c r="H507" s="15">
        <v>30</v>
      </c>
      <c r="I507" s="15">
        <v>30</v>
      </c>
      <c r="J507" s="15">
        <v>10</v>
      </c>
      <c r="K507" s="15">
        <v>20</v>
      </c>
      <c r="L507" s="15">
        <v>30</v>
      </c>
      <c r="M507" s="15">
        <v>60</v>
      </c>
      <c r="N507" s="15">
        <v>50</v>
      </c>
      <c r="O507" s="15">
        <v>30</v>
      </c>
      <c r="P507" s="15">
        <v>20</v>
      </c>
      <c r="Q507" s="15">
        <v>20</v>
      </c>
      <c r="R507" s="15">
        <v>50</v>
      </c>
      <c r="S507" s="15">
        <v>20</v>
      </c>
      <c r="T507" s="15">
        <v>10</v>
      </c>
      <c r="U507" s="15">
        <v>50</v>
      </c>
      <c r="V507" s="15">
        <v>30</v>
      </c>
      <c r="W507" s="15">
        <v>60</v>
      </c>
      <c r="X507" s="15">
        <v>20</v>
      </c>
      <c r="Y507" s="15">
        <v>30</v>
      </c>
      <c r="Z507" s="4">
        <v>700</v>
      </c>
      <c r="AA507" s="26">
        <v>24</v>
      </c>
      <c r="AB507" s="7">
        <v>0.52290000000000003</v>
      </c>
    </row>
    <row r="508" spans="1:29" x14ac:dyDescent="0.35">
      <c r="A508" s="1">
        <v>4008143</v>
      </c>
      <c r="B508" s="15">
        <v>0</v>
      </c>
      <c r="C508" s="15">
        <v>20</v>
      </c>
      <c r="D508" s="15">
        <v>0</v>
      </c>
      <c r="E508" s="15">
        <v>10</v>
      </c>
      <c r="F508" s="15">
        <v>0</v>
      </c>
      <c r="G508" s="15">
        <v>10</v>
      </c>
      <c r="H508" s="15">
        <v>0</v>
      </c>
      <c r="I508" s="15">
        <v>20</v>
      </c>
      <c r="J508" s="15">
        <v>10</v>
      </c>
      <c r="K508" s="15">
        <v>30</v>
      </c>
      <c r="L508" s="15">
        <v>20</v>
      </c>
      <c r="M508" s="15">
        <v>10</v>
      </c>
      <c r="N508" s="15">
        <v>30</v>
      </c>
      <c r="O508" s="15">
        <v>0</v>
      </c>
      <c r="P508" s="15">
        <v>20</v>
      </c>
      <c r="Q508" s="15">
        <v>10</v>
      </c>
      <c r="R508" s="15">
        <v>20</v>
      </c>
      <c r="S508" s="15">
        <v>0</v>
      </c>
      <c r="T508" s="15">
        <v>20</v>
      </c>
      <c r="U508" s="15">
        <v>30</v>
      </c>
      <c r="V508" s="15">
        <v>10</v>
      </c>
      <c r="W508" s="15">
        <v>50</v>
      </c>
      <c r="X508" s="15">
        <v>10</v>
      </c>
      <c r="Y508" s="15">
        <v>0</v>
      </c>
      <c r="Z508" s="4">
        <v>330</v>
      </c>
      <c r="AA508" s="26">
        <v>17</v>
      </c>
      <c r="AB508" s="7">
        <v>0.91059999999999997</v>
      </c>
    </row>
    <row r="509" spans="1:29" x14ac:dyDescent="0.35">
      <c r="A509" s="1">
        <v>4008145</v>
      </c>
      <c r="B509" s="15">
        <v>450</v>
      </c>
      <c r="C509" s="15">
        <v>450</v>
      </c>
      <c r="D509" s="15">
        <v>300</v>
      </c>
      <c r="E509" s="15">
        <v>750</v>
      </c>
      <c r="F509" s="15">
        <v>300</v>
      </c>
      <c r="G509" s="15">
        <v>1800</v>
      </c>
      <c r="H509" s="15">
        <v>0</v>
      </c>
      <c r="I509" s="15">
        <v>750</v>
      </c>
      <c r="J509" s="15">
        <v>50</v>
      </c>
      <c r="K509" s="15">
        <v>0</v>
      </c>
      <c r="L509" s="15">
        <v>600</v>
      </c>
      <c r="M509" s="15">
        <v>0</v>
      </c>
      <c r="N509" s="15">
        <v>750</v>
      </c>
      <c r="O509" s="15">
        <v>600</v>
      </c>
      <c r="P509" s="15">
        <v>300</v>
      </c>
      <c r="Q509" s="15">
        <v>450</v>
      </c>
      <c r="R509" s="15">
        <v>600</v>
      </c>
      <c r="S509" s="15">
        <v>450</v>
      </c>
      <c r="T509" s="15">
        <v>450</v>
      </c>
      <c r="U509" s="15">
        <v>600</v>
      </c>
      <c r="V509" s="15">
        <v>300</v>
      </c>
      <c r="W509" s="15">
        <v>900</v>
      </c>
      <c r="X509" s="15">
        <v>300</v>
      </c>
      <c r="Y509" s="15">
        <v>300</v>
      </c>
      <c r="Z509" s="4">
        <v>11450</v>
      </c>
      <c r="AA509" s="26">
        <v>21</v>
      </c>
      <c r="AB509" s="7">
        <v>0.77370000000000005</v>
      </c>
    </row>
    <row r="510" spans="1:29" x14ac:dyDescent="0.35">
      <c r="A510" s="1">
        <v>4008148</v>
      </c>
      <c r="B510" s="15">
        <v>5280</v>
      </c>
      <c r="C510" s="15">
        <v>5200</v>
      </c>
      <c r="D510" s="15">
        <v>5080</v>
      </c>
      <c r="E510" s="15">
        <v>6120</v>
      </c>
      <c r="F510" s="15">
        <v>6040</v>
      </c>
      <c r="G510" s="15">
        <v>5520</v>
      </c>
      <c r="H510" s="15">
        <v>3720</v>
      </c>
      <c r="I510" s="15">
        <v>4900</v>
      </c>
      <c r="J510" s="15">
        <v>7300</v>
      </c>
      <c r="K510" s="15">
        <v>6190</v>
      </c>
      <c r="L510" s="15">
        <v>7100</v>
      </c>
      <c r="M510" s="15">
        <v>5540</v>
      </c>
      <c r="N510" s="15">
        <v>6200</v>
      </c>
      <c r="O510" s="15">
        <v>6700</v>
      </c>
      <c r="P510" s="15">
        <v>6260</v>
      </c>
      <c r="Q510" s="15">
        <v>4700</v>
      </c>
      <c r="R510" s="15">
        <v>7360</v>
      </c>
      <c r="S510" s="15">
        <v>6680</v>
      </c>
      <c r="T510" s="15">
        <v>5240</v>
      </c>
      <c r="U510" s="15">
        <v>4720</v>
      </c>
      <c r="V510" s="15">
        <v>6260</v>
      </c>
      <c r="W510" s="15">
        <v>5810</v>
      </c>
      <c r="X510" s="15">
        <v>4330</v>
      </c>
      <c r="Y510" s="15">
        <v>4800</v>
      </c>
      <c r="Z510" s="4">
        <v>137050</v>
      </c>
      <c r="AA510" s="26">
        <v>24</v>
      </c>
      <c r="AB510" s="7">
        <v>0.1636</v>
      </c>
    </row>
    <row r="511" spans="1:29" x14ac:dyDescent="0.35">
      <c r="A511" s="1">
        <v>4008152</v>
      </c>
      <c r="B511" s="15">
        <v>0</v>
      </c>
      <c r="C511" s="15">
        <v>10</v>
      </c>
      <c r="D511" s="15">
        <v>10</v>
      </c>
      <c r="E511" s="15">
        <v>10</v>
      </c>
      <c r="F511" s="15">
        <v>10</v>
      </c>
      <c r="G511" s="15">
        <v>10</v>
      </c>
      <c r="H511" s="15">
        <v>0</v>
      </c>
      <c r="I511" s="15">
        <v>20</v>
      </c>
      <c r="J511" s="15">
        <v>20</v>
      </c>
      <c r="K511" s="15">
        <v>0</v>
      </c>
      <c r="L511" s="15">
        <v>10</v>
      </c>
      <c r="M511" s="15">
        <v>0</v>
      </c>
      <c r="N511" s="15">
        <v>20</v>
      </c>
      <c r="O511" s="15">
        <v>20</v>
      </c>
      <c r="P511" s="15">
        <v>0</v>
      </c>
      <c r="Q511" s="15">
        <v>20</v>
      </c>
      <c r="R511" s="15">
        <v>10</v>
      </c>
      <c r="S511" s="15">
        <v>20</v>
      </c>
      <c r="T511" s="15">
        <v>0</v>
      </c>
      <c r="U511" s="15">
        <v>0</v>
      </c>
      <c r="V511" s="15">
        <v>10</v>
      </c>
      <c r="W511" s="15">
        <v>10</v>
      </c>
      <c r="X511" s="15">
        <v>0</v>
      </c>
      <c r="Y511" s="15">
        <v>20</v>
      </c>
      <c r="Z511" s="4">
        <v>230</v>
      </c>
      <c r="AA511" s="26">
        <v>16</v>
      </c>
      <c r="AB511" s="7">
        <v>0.82379999999999998</v>
      </c>
    </row>
    <row r="512" spans="1:29" x14ac:dyDescent="0.35">
      <c r="A512" s="1">
        <v>4008157</v>
      </c>
      <c r="B512" s="15">
        <v>14</v>
      </c>
      <c r="C512" s="15">
        <v>2</v>
      </c>
      <c r="D512" s="15">
        <v>14</v>
      </c>
      <c r="E512" s="15">
        <v>10</v>
      </c>
      <c r="F512" s="15">
        <v>8</v>
      </c>
      <c r="G512" s="15">
        <v>9</v>
      </c>
      <c r="H512" s="15">
        <v>19</v>
      </c>
      <c r="I512" s="15">
        <v>10</v>
      </c>
      <c r="J512" s="15">
        <v>6</v>
      </c>
      <c r="K512" s="15">
        <v>10</v>
      </c>
      <c r="L512" s="15">
        <v>13</v>
      </c>
      <c r="M512" s="15">
        <v>8</v>
      </c>
      <c r="N512" s="15">
        <v>15</v>
      </c>
      <c r="O512" s="15">
        <v>11</v>
      </c>
      <c r="P512" s="15">
        <v>21</v>
      </c>
      <c r="Q512" s="15">
        <v>13</v>
      </c>
      <c r="R512" s="15">
        <v>2</v>
      </c>
      <c r="S512" s="15">
        <v>10</v>
      </c>
      <c r="T512" s="15">
        <v>10</v>
      </c>
      <c r="U512" s="15">
        <v>6</v>
      </c>
      <c r="V512" s="15">
        <v>7</v>
      </c>
      <c r="W512" s="15">
        <v>11</v>
      </c>
      <c r="X512" s="15">
        <v>13</v>
      </c>
      <c r="Y512" s="15">
        <v>4</v>
      </c>
      <c r="Z512" s="4">
        <v>246</v>
      </c>
      <c r="AA512" s="26">
        <v>24</v>
      </c>
      <c r="AB512" s="7">
        <v>0.44550000000000001</v>
      </c>
    </row>
    <row r="513" spans="1:29" x14ac:dyDescent="0.35">
      <c r="A513" s="1">
        <v>4008161</v>
      </c>
      <c r="B513" s="15">
        <v>1110</v>
      </c>
      <c r="C513" s="15">
        <v>805</v>
      </c>
      <c r="D513" s="15">
        <v>650</v>
      </c>
      <c r="E513" s="15">
        <v>1147</v>
      </c>
      <c r="F513" s="15">
        <v>1015</v>
      </c>
      <c r="G513" s="15">
        <v>745</v>
      </c>
      <c r="H513" s="15">
        <v>317</v>
      </c>
      <c r="I513" s="15">
        <v>997</v>
      </c>
      <c r="J513" s="15">
        <v>985</v>
      </c>
      <c r="K513" s="15">
        <v>895</v>
      </c>
      <c r="L513" s="15">
        <v>730</v>
      </c>
      <c r="M513" s="15">
        <v>700</v>
      </c>
      <c r="N513" s="15">
        <v>1165</v>
      </c>
      <c r="O513" s="15">
        <v>995</v>
      </c>
      <c r="P513" s="15">
        <v>760</v>
      </c>
      <c r="Q513" s="15">
        <v>1055</v>
      </c>
      <c r="R513" s="15">
        <v>935</v>
      </c>
      <c r="S513" s="15">
        <v>730</v>
      </c>
      <c r="T513" s="15">
        <v>445</v>
      </c>
      <c r="U513" s="15">
        <v>785</v>
      </c>
      <c r="V513" s="15">
        <v>1132</v>
      </c>
      <c r="W513" s="15">
        <v>990</v>
      </c>
      <c r="X513" s="15">
        <v>840</v>
      </c>
      <c r="Y513" s="15">
        <v>840</v>
      </c>
      <c r="Z513" s="4">
        <v>20768</v>
      </c>
      <c r="AA513" s="26">
        <v>24</v>
      </c>
      <c r="AB513" s="7">
        <v>0.24199999999999999</v>
      </c>
    </row>
    <row r="514" spans="1:29" x14ac:dyDescent="0.35">
      <c r="A514" s="1">
        <v>4008184</v>
      </c>
      <c r="B514" s="15">
        <v>295</v>
      </c>
      <c r="C514" s="15">
        <v>301</v>
      </c>
      <c r="D514" s="15">
        <v>255</v>
      </c>
      <c r="E514" s="15">
        <v>294</v>
      </c>
      <c r="F514" s="15">
        <v>389</v>
      </c>
      <c r="G514" s="15">
        <v>266</v>
      </c>
      <c r="H514" s="15">
        <v>273</v>
      </c>
      <c r="I514" s="15">
        <v>283</v>
      </c>
      <c r="J514" s="15">
        <v>222</v>
      </c>
      <c r="K514" s="15">
        <v>265</v>
      </c>
      <c r="L514" s="15">
        <v>412</v>
      </c>
      <c r="M514" s="15">
        <v>243</v>
      </c>
      <c r="N514" s="15">
        <v>319</v>
      </c>
      <c r="O514" s="15">
        <v>276</v>
      </c>
      <c r="P514" s="15">
        <v>250</v>
      </c>
      <c r="Q514" s="15">
        <v>336</v>
      </c>
      <c r="R514" s="15">
        <v>227</v>
      </c>
      <c r="S514" s="15">
        <v>294</v>
      </c>
      <c r="T514" s="15">
        <v>293</v>
      </c>
      <c r="U514" s="15">
        <v>308</v>
      </c>
      <c r="V514" s="15">
        <v>332</v>
      </c>
      <c r="W514" s="15">
        <v>321</v>
      </c>
      <c r="X514" s="15">
        <v>195</v>
      </c>
      <c r="Y514" s="15">
        <v>373</v>
      </c>
      <c r="Z514" s="4">
        <v>7022</v>
      </c>
      <c r="AA514" s="26">
        <v>24</v>
      </c>
      <c r="AB514" s="7">
        <v>0.17369999999999999</v>
      </c>
    </row>
    <row r="515" spans="1:29" x14ac:dyDescent="0.35">
      <c r="A515" s="1">
        <v>4008194</v>
      </c>
      <c r="B515" s="15">
        <v>36</v>
      </c>
      <c r="C515" s="15">
        <v>36</v>
      </c>
      <c r="D515" s="15">
        <v>36</v>
      </c>
      <c r="E515" s="15">
        <v>36</v>
      </c>
      <c r="F515" s="15">
        <v>36</v>
      </c>
      <c r="G515" s="15">
        <v>36</v>
      </c>
      <c r="H515" s="15">
        <v>24</v>
      </c>
      <c r="I515" s="15">
        <v>108</v>
      </c>
      <c r="J515" s="15">
        <v>72</v>
      </c>
      <c r="K515" s="15">
        <v>0</v>
      </c>
      <c r="L515" s="15">
        <v>60</v>
      </c>
      <c r="M515" s="15">
        <v>12</v>
      </c>
      <c r="N515" s="15">
        <v>12</v>
      </c>
      <c r="O515" s="15">
        <v>0</v>
      </c>
      <c r="P515" s="15">
        <v>24</v>
      </c>
      <c r="Q515" s="15">
        <v>12</v>
      </c>
      <c r="R515" s="15">
        <v>60</v>
      </c>
      <c r="S515" s="15">
        <v>60</v>
      </c>
      <c r="T515" s="15">
        <v>12</v>
      </c>
      <c r="U515" s="15">
        <v>48</v>
      </c>
      <c r="V515" s="15">
        <v>12</v>
      </c>
      <c r="W515" s="15">
        <v>48</v>
      </c>
      <c r="X515" s="15">
        <v>24</v>
      </c>
      <c r="Y515" s="15">
        <v>34</v>
      </c>
      <c r="Z515" s="4">
        <v>838</v>
      </c>
      <c r="AA515" s="26">
        <v>22</v>
      </c>
      <c r="AB515" s="7">
        <v>0.70089999999999997</v>
      </c>
    </row>
    <row r="516" spans="1:29" x14ac:dyDescent="0.35">
      <c r="A516" s="1">
        <v>4008197</v>
      </c>
      <c r="B516" s="15">
        <v>72</v>
      </c>
      <c r="C516" s="15">
        <v>56</v>
      </c>
      <c r="D516" s="15">
        <v>44</v>
      </c>
      <c r="E516" s="15">
        <v>100</v>
      </c>
      <c r="F516" s="15">
        <v>56</v>
      </c>
      <c r="G516" s="15">
        <v>68</v>
      </c>
      <c r="H516" s="15">
        <v>56</v>
      </c>
      <c r="I516" s="15">
        <v>112</v>
      </c>
      <c r="J516" s="15">
        <v>64</v>
      </c>
      <c r="K516" s="15">
        <v>72</v>
      </c>
      <c r="L516" s="15">
        <v>112</v>
      </c>
      <c r="M516" s="15">
        <v>72</v>
      </c>
      <c r="N516" s="15">
        <v>48</v>
      </c>
      <c r="O516" s="15">
        <v>140</v>
      </c>
      <c r="P516" s="15">
        <v>56</v>
      </c>
      <c r="Q516" s="15">
        <v>60</v>
      </c>
      <c r="R516" s="15">
        <v>92</v>
      </c>
      <c r="S516" s="15">
        <v>64</v>
      </c>
      <c r="T516" s="15">
        <v>52</v>
      </c>
      <c r="U516" s="15">
        <v>96</v>
      </c>
      <c r="V516" s="15">
        <v>80</v>
      </c>
      <c r="W516" s="15">
        <v>52</v>
      </c>
      <c r="X516" s="15">
        <v>100</v>
      </c>
      <c r="Y516" s="15">
        <v>60</v>
      </c>
      <c r="Z516" s="4">
        <v>1784</v>
      </c>
      <c r="AA516" s="26">
        <v>24</v>
      </c>
      <c r="AB516" s="7">
        <v>0.32400000000000001</v>
      </c>
    </row>
    <row r="517" spans="1:29" x14ac:dyDescent="0.35">
      <c r="A517" s="1">
        <v>4008198</v>
      </c>
      <c r="B517" s="15">
        <v>30</v>
      </c>
      <c r="C517" s="15">
        <v>36</v>
      </c>
      <c r="D517" s="15">
        <v>48</v>
      </c>
      <c r="E517" s="15">
        <v>24</v>
      </c>
      <c r="F517" s="15">
        <v>54</v>
      </c>
      <c r="G517" s="15">
        <v>78</v>
      </c>
      <c r="H517" s="15">
        <v>24</v>
      </c>
      <c r="I517" s="15">
        <v>24</v>
      </c>
      <c r="J517" s="15">
        <v>54</v>
      </c>
      <c r="K517" s="15">
        <v>42</v>
      </c>
      <c r="L517" s="15">
        <v>72</v>
      </c>
      <c r="M517" s="15">
        <v>36</v>
      </c>
      <c r="N517" s="15">
        <v>18</v>
      </c>
      <c r="O517" s="15">
        <v>42</v>
      </c>
      <c r="P517" s="15">
        <v>48</v>
      </c>
      <c r="Q517" s="15">
        <v>24</v>
      </c>
      <c r="R517" s="15">
        <v>12</v>
      </c>
      <c r="S517" s="15">
        <v>48</v>
      </c>
      <c r="T517" s="15">
        <v>18</v>
      </c>
      <c r="U517" s="15">
        <v>54</v>
      </c>
      <c r="V517" s="15">
        <v>60</v>
      </c>
      <c r="W517" s="15">
        <v>30</v>
      </c>
      <c r="X517" s="15">
        <v>66</v>
      </c>
      <c r="Y517" s="15">
        <v>30</v>
      </c>
      <c r="Z517" s="4">
        <v>972</v>
      </c>
      <c r="AA517" s="26">
        <v>24</v>
      </c>
      <c r="AB517" s="7">
        <v>0.43459999999999999</v>
      </c>
    </row>
    <row r="518" spans="1:29" x14ac:dyDescent="0.35">
      <c r="A518" s="1">
        <v>4008201</v>
      </c>
      <c r="B518" s="15">
        <v>1750</v>
      </c>
      <c r="C518" s="15">
        <v>1425</v>
      </c>
      <c r="D518" s="15">
        <v>1500</v>
      </c>
      <c r="E518" s="15">
        <v>1600</v>
      </c>
      <c r="F518" s="15">
        <v>1500</v>
      </c>
      <c r="G518" s="15">
        <v>1400</v>
      </c>
      <c r="H518" s="15">
        <v>1500</v>
      </c>
      <c r="I518" s="15">
        <v>1900</v>
      </c>
      <c r="J518" s="15">
        <v>1975</v>
      </c>
      <c r="K518" s="15">
        <v>2520</v>
      </c>
      <c r="L518" s="15">
        <v>1850</v>
      </c>
      <c r="M518" s="15">
        <v>2225</v>
      </c>
      <c r="N518" s="15">
        <v>1600</v>
      </c>
      <c r="O518" s="15">
        <v>1575</v>
      </c>
      <c r="P518" s="15">
        <v>1300</v>
      </c>
      <c r="Q518" s="15">
        <v>1400</v>
      </c>
      <c r="R518" s="15">
        <v>1600</v>
      </c>
      <c r="S518" s="15">
        <v>1179</v>
      </c>
      <c r="T518" s="15">
        <v>1225</v>
      </c>
      <c r="U518" s="15">
        <v>1400</v>
      </c>
      <c r="V518" s="15">
        <v>1725</v>
      </c>
      <c r="W518" s="15">
        <v>1850</v>
      </c>
      <c r="X518" s="15">
        <v>1480</v>
      </c>
      <c r="Y518" s="15">
        <v>2025</v>
      </c>
      <c r="Z518" s="4">
        <v>39504</v>
      </c>
      <c r="AA518" s="26">
        <v>24</v>
      </c>
      <c r="AB518" s="7">
        <v>0.19070000000000001</v>
      </c>
    </row>
    <row r="519" spans="1:29" x14ac:dyDescent="0.35">
      <c r="A519" s="1">
        <v>4008204</v>
      </c>
      <c r="B519" s="15">
        <v>0</v>
      </c>
      <c r="C519" s="15">
        <v>5</v>
      </c>
      <c r="D519" s="15">
        <v>10</v>
      </c>
      <c r="E519" s="15">
        <v>0</v>
      </c>
      <c r="F519" s="15">
        <v>0</v>
      </c>
      <c r="G519" s="15">
        <v>5</v>
      </c>
      <c r="H519" s="15">
        <v>0</v>
      </c>
      <c r="I519" s="15">
        <v>0</v>
      </c>
      <c r="J519" s="15">
        <v>0</v>
      </c>
      <c r="K519" s="15">
        <v>15</v>
      </c>
      <c r="L519" s="15">
        <v>0</v>
      </c>
      <c r="M519" s="15">
        <v>5</v>
      </c>
      <c r="N519" s="15">
        <v>0</v>
      </c>
      <c r="O519" s="15">
        <v>5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5</v>
      </c>
      <c r="V519" s="15">
        <v>0</v>
      </c>
      <c r="W519" s="15">
        <v>30</v>
      </c>
      <c r="X519" s="15">
        <v>0</v>
      </c>
      <c r="Y519" s="15">
        <v>0</v>
      </c>
      <c r="Z519" s="4">
        <v>80</v>
      </c>
      <c r="AA519" s="26">
        <v>8</v>
      </c>
      <c r="AB519" s="7">
        <v>2.0156000000000001</v>
      </c>
    </row>
    <row r="520" spans="1:29" x14ac:dyDescent="0.35">
      <c r="A520" s="1">
        <v>4008206</v>
      </c>
      <c r="B520" s="15">
        <v>25</v>
      </c>
      <c r="C520" s="15">
        <v>25</v>
      </c>
      <c r="D520" s="15">
        <v>20</v>
      </c>
      <c r="E520" s="15">
        <v>35</v>
      </c>
      <c r="F520" s="15">
        <v>5</v>
      </c>
      <c r="G520" s="15">
        <v>10</v>
      </c>
      <c r="H520" s="15">
        <v>20</v>
      </c>
      <c r="I520" s="15">
        <v>0</v>
      </c>
      <c r="J520" s="15">
        <v>10</v>
      </c>
      <c r="K520" s="15">
        <v>15</v>
      </c>
      <c r="L520" s="15">
        <v>30</v>
      </c>
      <c r="M520" s="15">
        <v>25</v>
      </c>
      <c r="N520" s="15">
        <v>0</v>
      </c>
      <c r="O520" s="15">
        <v>10</v>
      </c>
      <c r="P520" s="15">
        <v>15</v>
      </c>
      <c r="Q520" s="15">
        <v>20</v>
      </c>
      <c r="R520" s="15">
        <v>20</v>
      </c>
      <c r="S520" s="15">
        <v>10</v>
      </c>
      <c r="T520" s="15">
        <v>5</v>
      </c>
      <c r="U520" s="15">
        <v>20</v>
      </c>
      <c r="V520" s="15">
        <v>5</v>
      </c>
      <c r="W520" s="15">
        <v>5</v>
      </c>
      <c r="X520" s="15">
        <v>5</v>
      </c>
      <c r="Y520" s="15">
        <v>10</v>
      </c>
      <c r="Z520" s="4">
        <v>345</v>
      </c>
      <c r="AA520" s="26">
        <v>22</v>
      </c>
      <c r="AB520" s="7">
        <v>0.65310000000000001</v>
      </c>
    </row>
    <row r="521" spans="1:29" x14ac:dyDescent="0.35">
      <c r="A521" s="1">
        <v>4008209</v>
      </c>
      <c r="B521" s="15">
        <v>60</v>
      </c>
      <c r="C521" s="15">
        <v>30</v>
      </c>
      <c r="D521" s="15">
        <v>30</v>
      </c>
      <c r="E521" s="15">
        <v>90</v>
      </c>
      <c r="F521" s="15">
        <v>0</v>
      </c>
      <c r="G521" s="15">
        <v>0</v>
      </c>
      <c r="H521" s="15">
        <v>0</v>
      </c>
      <c r="I521" s="15">
        <v>0</v>
      </c>
      <c r="J521" s="15">
        <v>0</v>
      </c>
      <c r="K521" s="15">
        <v>0</v>
      </c>
      <c r="L521" s="15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4">
        <v>210</v>
      </c>
      <c r="AA521" s="26">
        <v>4</v>
      </c>
      <c r="AB521" s="7">
        <v>2.5192999999999999</v>
      </c>
      <c r="AC521" s="1" t="s">
        <v>3230</v>
      </c>
    </row>
    <row r="522" spans="1:29" x14ac:dyDescent="0.35">
      <c r="A522" s="1">
        <v>4008211</v>
      </c>
      <c r="B522" s="15">
        <v>0</v>
      </c>
      <c r="C522" s="15">
        <v>0</v>
      </c>
      <c r="D522" s="15">
        <v>0</v>
      </c>
      <c r="E522" s="15">
        <v>20</v>
      </c>
      <c r="F522" s="15">
        <v>0</v>
      </c>
      <c r="G522" s="15">
        <v>155</v>
      </c>
      <c r="H522" s="15">
        <v>5</v>
      </c>
      <c r="I522" s="15">
        <v>25</v>
      </c>
      <c r="J522" s="15">
        <v>20</v>
      </c>
      <c r="K522" s="15">
        <v>10</v>
      </c>
      <c r="L522" s="15">
        <v>50</v>
      </c>
      <c r="M522" s="15">
        <v>25</v>
      </c>
      <c r="N522" s="15">
        <v>30</v>
      </c>
      <c r="O522" s="15">
        <v>10</v>
      </c>
      <c r="P522" s="15">
        <v>0</v>
      </c>
      <c r="Q522" s="15">
        <v>60</v>
      </c>
      <c r="R522" s="15">
        <v>35</v>
      </c>
      <c r="S522" s="15">
        <v>45</v>
      </c>
      <c r="T522" s="15">
        <v>20</v>
      </c>
      <c r="U522" s="15">
        <v>35</v>
      </c>
      <c r="V522" s="15">
        <v>20</v>
      </c>
      <c r="W522" s="15">
        <v>15</v>
      </c>
      <c r="X522" s="15">
        <v>45</v>
      </c>
      <c r="Y522" s="15">
        <v>55</v>
      </c>
      <c r="Z522" s="4">
        <v>680</v>
      </c>
      <c r="AA522" s="26">
        <v>19</v>
      </c>
      <c r="AB522" s="7">
        <v>1.1295999999999999</v>
      </c>
    </row>
    <row r="523" spans="1:29" x14ac:dyDescent="0.35">
      <c r="A523" s="1">
        <v>4008212</v>
      </c>
      <c r="B523" s="15">
        <v>25</v>
      </c>
      <c r="C523" s="15">
        <v>50</v>
      </c>
      <c r="D523" s="15">
        <v>45</v>
      </c>
      <c r="E523" s="15">
        <v>45</v>
      </c>
      <c r="F523" s="15">
        <v>65</v>
      </c>
      <c r="G523" s="15">
        <v>20</v>
      </c>
      <c r="H523" s="15">
        <v>40</v>
      </c>
      <c r="I523" s="15">
        <v>55</v>
      </c>
      <c r="J523" s="15">
        <v>55</v>
      </c>
      <c r="K523" s="15">
        <v>70</v>
      </c>
      <c r="L523" s="15">
        <v>65</v>
      </c>
      <c r="M523" s="15">
        <v>50</v>
      </c>
      <c r="N523" s="15">
        <v>60</v>
      </c>
      <c r="O523" s="15">
        <v>50</v>
      </c>
      <c r="P523" s="15">
        <v>80</v>
      </c>
      <c r="Q523" s="15">
        <v>55</v>
      </c>
      <c r="R523" s="15">
        <v>60</v>
      </c>
      <c r="S523" s="15">
        <v>75</v>
      </c>
      <c r="T523" s="15">
        <v>30</v>
      </c>
      <c r="U523" s="15">
        <v>45</v>
      </c>
      <c r="V523" s="15">
        <v>90</v>
      </c>
      <c r="W523" s="15">
        <v>45</v>
      </c>
      <c r="X523" s="15">
        <v>80</v>
      </c>
      <c r="Y523" s="15">
        <v>85</v>
      </c>
      <c r="Z523" s="4">
        <v>1340</v>
      </c>
      <c r="AA523" s="26">
        <v>24</v>
      </c>
      <c r="AB523" s="7">
        <v>0.32050000000000001</v>
      </c>
    </row>
    <row r="524" spans="1:29" x14ac:dyDescent="0.35">
      <c r="A524" s="1">
        <v>4008213</v>
      </c>
      <c r="B524" s="15">
        <v>20</v>
      </c>
      <c r="C524" s="15">
        <v>30</v>
      </c>
      <c r="D524" s="15">
        <v>55</v>
      </c>
      <c r="E524" s="15">
        <v>20</v>
      </c>
      <c r="F524" s="15">
        <v>65</v>
      </c>
      <c r="G524" s="15">
        <v>30</v>
      </c>
      <c r="H524" s="15">
        <v>25</v>
      </c>
      <c r="I524" s="15">
        <v>45</v>
      </c>
      <c r="J524" s="15">
        <v>75</v>
      </c>
      <c r="K524" s="15">
        <v>50</v>
      </c>
      <c r="L524" s="15">
        <v>65</v>
      </c>
      <c r="M524" s="15">
        <v>40</v>
      </c>
      <c r="N524" s="15">
        <v>55</v>
      </c>
      <c r="O524" s="15">
        <v>25</v>
      </c>
      <c r="P524" s="15">
        <v>75</v>
      </c>
      <c r="Q524" s="15">
        <v>20</v>
      </c>
      <c r="R524" s="15">
        <v>50</v>
      </c>
      <c r="S524" s="15">
        <v>80</v>
      </c>
      <c r="T524" s="15">
        <v>30</v>
      </c>
      <c r="U524" s="15">
        <v>60</v>
      </c>
      <c r="V524" s="15">
        <v>95</v>
      </c>
      <c r="W524" s="15">
        <v>70</v>
      </c>
      <c r="X524" s="15">
        <v>60</v>
      </c>
      <c r="Y524" s="15">
        <v>75</v>
      </c>
      <c r="Z524" s="4">
        <v>1215</v>
      </c>
      <c r="AA524" s="26">
        <v>24</v>
      </c>
      <c r="AB524" s="7">
        <v>0.42609999999999998</v>
      </c>
    </row>
    <row r="525" spans="1:29" x14ac:dyDescent="0.35">
      <c r="A525" s="1">
        <v>4008214</v>
      </c>
      <c r="B525" s="15">
        <v>10</v>
      </c>
      <c r="C525" s="15">
        <v>0</v>
      </c>
      <c r="D525" s="15">
        <v>15</v>
      </c>
      <c r="E525" s="15">
        <v>15</v>
      </c>
      <c r="F525" s="15">
        <v>0</v>
      </c>
      <c r="G525" s="15">
        <v>5</v>
      </c>
      <c r="H525" s="15">
        <v>10</v>
      </c>
      <c r="I525" s="15">
        <v>20</v>
      </c>
      <c r="J525" s="15">
        <v>10</v>
      </c>
      <c r="K525" s="15">
        <v>20</v>
      </c>
      <c r="L525" s="15">
        <v>20</v>
      </c>
      <c r="M525" s="15">
        <v>0</v>
      </c>
      <c r="N525" s="15">
        <v>10</v>
      </c>
      <c r="O525" s="15">
        <v>0</v>
      </c>
      <c r="P525" s="15">
        <v>10</v>
      </c>
      <c r="Q525" s="15">
        <v>0</v>
      </c>
      <c r="R525" s="15">
        <v>10</v>
      </c>
      <c r="S525" s="15">
        <v>10</v>
      </c>
      <c r="T525" s="15">
        <v>20</v>
      </c>
      <c r="U525" s="15">
        <v>15</v>
      </c>
      <c r="V525" s="15">
        <v>20</v>
      </c>
      <c r="W525" s="15">
        <v>40</v>
      </c>
      <c r="X525" s="15">
        <v>50</v>
      </c>
      <c r="Y525" s="15">
        <v>20</v>
      </c>
      <c r="Z525" s="4">
        <v>330</v>
      </c>
      <c r="AA525" s="26">
        <v>19</v>
      </c>
      <c r="AB525" s="7">
        <v>0.86080000000000001</v>
      </c>
    </row>
    <row r="526" spans="1:29" x14ac:dyDescent="0.35">
      <c r="A526" s="1">
        <v>4008239</v>
      </c>
      <c r="B526" s="15">
        <v>108</v>
      </c>
      <c r="C526" s="15">
        <v>48</v>
      </c>
      <c r="D526" s="15">
        <v>96</v>
      </c>
      <c r="E526" s="15">
        <v>54</v>
      </c>
      <c r="F526" s="15">
        <v>121</v>
      </c>
      <c r="G526" s="15">
        <v>115</v>
      </c>
      <c r="H526" s="15">
        <v>210</v>
      </c>
      <c r="I526" s="15">
        <v>249</v>
      </c>
      <c r="J526" s="15">
        <v>174</v>
      </c>
      <c r="K526" s="15">
        <v>174</v>
      </c>
      <c r="L526" s="15">
        <v>172</v>
      </c>
      <c r="M526" s="15">
        <v>93</v>
      </c>
      <c r="N526" s="15">
        <v>161</v>
      </c>
      <c r="O526" s="15">
        <v>144</v>
      </c>
      <c r="P526" s="15">
        <v>158</v>
      </c>
      <c r="Q526" s="15">
        <v>264</v>
      </c>
      <c r="R526" s="15">
        <v>313</v>
      </c>
      <c r="S526" s="15">
        <v>206</v>
      </c>
      <c r="T526" s="15">
        <v>242</v>
      </c>
      <c r="U526" s="15">
        <v>366</v>
      </c>
      <c r="V526" s="15">
        <v>179</v>
      </c>
      <c r="W526" s="15">
        <v>163</v>
      </c>
      <c r="X526" s="15">
        <v>105</v>
      </c>
      <c r="Y526" s="15">
        <v>197</v>
      </c>
      <c r="Z526" s="4">
        <v>4112</v>
      </c>
      <c r="AA526" s="26">
        <v>24</v>
      </c>
      <c r="AB526" s="7">
        <v>0.441</v>
      </c>
    </row>
    <row r="527" spans="1:29" x14ac:dyDescent="0.35">
      <c r="A527" s="1">
        <v>4008247</v>
      </c>
      <c r="B527" s="15">
        <v>550</v>
      </c>
      <c r="C527" s="15">
        <v>250</v>
      </c>
      <c r="D527" s="15">
        <v>550</v>
      </c>
      <c r="E527" s="15">
        <v>1000</v>
      </c>
      <c r="F527" s="15">
        <v>500</v>
      </c>
      <c r="G527" s="15">
        <v>550</v>
      </c>
      <c r="H527" s="15">
        <v>800</v>
      </c>
      <c r="I527" s="15">
        <v>300</v>
      </c>
      <c r="J527" s="15">
        <v>850</v>
      </c>
      <c r="K527" s="15">
        <v>700</v>
      </c>
      <c r="L527" s="15">
        <v>650</v>
      </c>
      <c r="M527" s="15">
        <v>350</v>
      </c>
      <c r="N527" s="15">
        <v>400</v>
      </c>
      <c r="O527" s="15">
        <v>500</v>
      </c>
      <c r="P527" s="15">
        <v>550</v>
      </c>
      <c r="Q527" s="15">
        <v>450</v>
      </c>
      <c r="R527" s="15">
        <v>450</v>
      </c>
      <c r="S527" s="15">
        <v>950</v>
      </c>
      <c r="T527" s="15">
        <v>1300</v>
      </c>
      <c r="U527" s="15">
        <v>700</v>
      </c>
      <c r="V527" s="15">
        <v>800</v>
      </c>
      <c r="W527" s="15">
        <v>550</v>
      </c>
      <c r="X527" s="15">
        <v>400</v>
      </c>
      <c r="Y527" s="15">
        <v>1050</v>
      </c>
      <c r="Z527" s="4">
        <v>15150</v>
      </c>
      <c r="AA527" s="26">
        <v>24</v>
      </c>
      <c r="AB527" s="7">
        <v>0.40250000000000002</v>
      </c>
    </row>
    <row r="528" spans="1:29" x14ac:dyDescent="0.35">
      <c r="A528" s="1">
        <v>4008253</v>
      </c>
      <c r="B528" s="15">
        <v>0</v>
      </c>
      <c r="C528" s="15">
        <v>12</v>
      </c>
      <c r="D528" s="15">
        <v>24</v>
      </c>
      <c r="E528" s="15">
        <v>0</v>
      </c>
      <c r="F528" s="15">
        <v>12</v>
      </c>
      <c r="G528" s="15">
        <v>0</v>
      </c>
      <c r="H528" s="15">
        <v>0</v>
      </c>
      <c r="I528" s="15">
        <v>0</v>
      </c>
      <c r="J528" s="15">
        <v>12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4">
        <v>60</v>
      </c>
      <c r="AA528" s="26">
        <v>4</v>
      </c>
      <c r="AB528" s="7">
        <v>2.3917000000000002</v>
      </c>
      <c r="AC528" s="1" t="s">
        <v>3230</v>
      </c>
    </row>
    <row r="529" spans="1:29" x14ac:dyDescent="0.35">
      <c r="A529" s="1">
        <v>4008254</v>
      </c>
      <c r="B529" s="15">
        <v>20</v>
      </c>
      <c r="C529" s="15">
        <v>30</v>
      </c>
      <c r="D529" s="15">
        <v>20</v>
      </c>
      <c r="E529" s="15">
        <v>40</v>
      </c>
      <c r="F529" s="15">
        <v>10</v>
      </c>
      <c r="G529" s="15">
        <v>10</v>
      </c>
      <c r="H529" s="15">
        <v>20</v>
      </c>
      <c r="I529" s="15">
        <v>34</v>
      </c>
      <c r="J529" s="15">
        <v>40</v>
      </c>
      <c r="K529" s="15">
        <v>20</v>
      </c>
      <c r="L529" s="15">
        <v>10</v>
      </c>
      <c r="M529" s="15">
        <v>20</v>
      </c>
      <c r="N529" s="15">
        <v>10</v>
      </c>
      <c r="O529" s="15">
        <v>50</v>
      </c>
      <c r="P529" s="15">
        <v>20</v>
      </c>
      <c r="Q529" s="15">
        <v>40</v>
      </c>
      <c r="R529" s="15">
        <v>30</v>
      </c>
      <c r="S529" s="15">
        <v>10</v>
      </c>
      <c r="T529" s="15">
        <v>10</v>
      </c>
      <c r="U529" s="15">
        <v>10</v>
      </c>
      <c r="V529" s="15">
        <v>22</v>
      </c>
      <c r="W529" s="15">
        <v>27</v>
      </c>
      <c r="X529" s="15">
        <v>44</v>
      </c>
      <c r="Y529" s="15">
        <v>12</v>
      </c>
      <c r="Z529" s="4">
        <v>559</v>
      </c>
      <c r="AA529" s="26">
        <v>24</v>
      </c>
      <c r="AB529" s="7">
        <v>0.52790000000000004</v>
      </c>
    </row>
    <row r="530" spans="1:29" x14ac:dyDescent="0.35">
      <c r="A530" s="1">
        <v>4008258</v>
      </c>
      <c r="B530" s="15">
        <v>40</v>
      </c>
      <c r="C530" s="15">
        <v>80</v>
      </c>
      <c r="D530" s="15">
        <v>80</v>
      </c>
      <c r="E530" s="15">
        <v>30</v>
      </c>
      <c r="F530" s="15">
        <v>30</v>
      </c>
      <c r="G530" s="15">
        <v>30</v>
      </c>
      <c r="H530" s="15">
        <v>50</v>
      </c>
      <c r="I530" s="15">
        <v>30</v>
      </c>
      <c r="J530" s="15">
        <v>80</v>
      </c>
      <c r="K530" s="15">
        <v>0</v>
      </c>
      <c r="L530" s="15">
        <v>61</v>
      </c>
      <c r="M530" s="15">
        <v>0</v>
      </c>
      <c r="N530" s="15">
        <v>90</v>
      </c>
      <c r="O530" s="15">
        <v>45</v>
      </c>
      <c r="P530" s="15">
        <v>25</v>
      </c>
      <c r="Q530" s="15">
        <v>40</v>
      </c>
      <c r="R530" s="15">
        <v>20</v>
      </c>
      <c r="S530" s="15">
        <v>25</v>
      </c>
      <c r="T530" s="15">
        <v>70</v>
      </c>
      <c r="U530" s="15">
        <v>55</v>
      </c>
      <c r="V530" s="15">
        <v>50</v>
      </c>
      <c r="W530" s="15">
        <v>153</v>
      </c>
      <c r="X530" s="15">
        <v>30</v>
      </c>
      <c r="Y530" s="15">
        <v>20</v>
      </c>
      <c r="Z530" s="4">
        <v>1134</v>
      </c>
      <c r="AA530" s="26">
        <v>22</v>
      </c>
      <c r="AB530" s="7">
        <v>0.6905</v>
      </c>
    </row>
    <row r="531" spans="1:29" x14ac:dyDescent="0.35">
      <c r="A531" s="1">
        <v>4008259</v>
      </c>
      <c r="B531" s="15">
        <v>320</v>
      </c>
      <c r="C531" s="15">
        <v>480</v>
      </c>
      <c r="D531" s="15">
        <v>620</v>
      </c>
      <c r="E531" s="15">
        <v>725</v>
      </c>
      <c r="F531" s="15">
        <v>180</v>
      </c>
      <c r="G531" s="15">
        <v>420</v>
      </c>
      <c r="H531" s="15">
        <v>460</v>
      </c>
      <c r="I531" s="15">
        <v>600</v>
      </c>
      <c r="J531" s="15">
        <v>600</v>
      </c>
      <c r="K531" s="15">
        <v>640</v>
      </c>
      <c r="L531" s="15">
        <v>580</v>
      </c>
      <c r="M531" s="15">
        <v>380</v>
      </c>
      <c r="N531" s="15">
        <v>680</v>
      </c>
      <c r="O531" s="15">
        <v>780</v>
      </c>
      <c r="P531" s="15">
        <v>800</v>
      </c>
      <c r="Q531" s="15">
        <v>480</v>
      </c>
      <c r="R531" s="15">
        <v>400</v>
      </c>
      <c r="S531" s="15">
        <v>680</v>
      </c>
      <c r="T531" s="15">
        <v>540</v>
      </c>
      <c r="U531" s="15">
        <v>680</v>
      </c>
      <c r="V531" s="15">
        <v>440</v>
      </c>
      <c r="W531" s="15">
        <v>540</v>
      </c>
      <c r="X531" s="15">
        <v>420</v>
      </c>
      <c r="Y531" s="15">
        <v>480</v>
      </c>
      <c r="Z531" s="4">
        <v>12925</v>
      </c>
      <c r="AA531" s="26">
        <v>24</v>
      </c>
      <c r="AB531" s="7">
        <v>0.27400000000000002</v>
      </c>
    </row>
    <row r="532" spans="1:29" x14ac:dyDescent="0.35">
      <c r="A532" s="1">
        <v>4008263</v>
      </c>
      <c r="B532" s="15">
        <v>30</v>
      </c>
      <c r="C532" s="15">
        <v>60</v>
      </c>
      <c r="D532" s="15">
        <v>0</v>
      </c>
      <c r="E532" s="15">
        <v>150</v>
      </c>
      <c r="F532" s="15">
        <v>90</v>
      </c>
      <c r="G532" s="15">
        <v>0</v>
      </c>
      <c r="H532" s="15">
        <v>0</v>
      </c>
      <c r="I532" s="15">
        <v>0</v>
      </c>
      <c r="J532" s="15">
        <v>30</v>
      </c>
      <c r="K532" s="15">
        <v>0</v>
      </c>
      <c r="L532" s="15">
        <v>30</v>
      </c>
      <c r="M532" s="15">
        <v>30</v>
      </c>
      <c r="N532" s="15">
        <v>0</v>
      </c>
      <c r="O532" s="15">
        <v>60</v>
      </c>
      <c r="P532" s="15">
        <v>30</v>
      </c>
      <c r="Q532" s="15">
        <v>0</v>
      </c>
      <c r="R532" s="15">
        <v>30</v>
      </c>
      <c r="S532" s="15">
        <v>60</v>
      </c>
      <c r="T532" s="15">
        <v>0</v>
      </c>
      <c r="U532" s="15">
        <v>30</v>
      </c>
      <c r="V532" s="15">
        <v>60</v>
      </c>
      <c r="W532" s="15">
        <v>0</v>
      </c>
      <c r="X532" s="15">
        <v>0</v>
      </c>
      <c r="Y532" s="15">
        <v>30</v>
      </c>
      <c r="Z532" s="4">
        <v>720</v>
      </c>
      <c r="AA532" s="26">
        <v>14</v>
      </c>
      <c r="AB532" s="7">
        <v>1.1901999999999999</v>
      </c>
    </row>
    <row r="533" spans="1:29" x14ac:dyDescent="0.35">
      <c r="A533" s="1">
        <v>4008265</v>
      </c>
      <c r="B533" s="15">
        <v>0</v>
      </c>
      <c r="C533" s="15">
        <v>60</v>
      </c>
      <c r="D533" s="15">
        <v>0</v>
      </c>
      <c r="E533" s="15">
        <v>50</v>
      </c>
      <c r="F533" s="15">
        <v>0</v>
      </c>
      <c r="G533" s="15">
        <v>4</v>
      </c>
      <c r="H533" s="15">
        <v>4</v>
      </c>
      <c r="I533" s="15">
        <v>0</v>
      </c>
      <c r="J533" s="15">
        <v>55</v>
      </c>
      <c r="K533" s="15">
        <v>0</v>
      </c>
      <c r="L533" s="15">
        <v>50</v>
      </c>
      <c r="M533" s="15">
        <v>0</v>
      </c>
      <c r="N533" s="15">
        <v>20</v>
      </c>
      <c r="O533" s="15">
        <v>0</v>
      </c>
      <c r="P533" s="15">
        <v>50</v>
      </c>
      <c r="Q533" s="15">
        <v>100</v>
      </c>
      <c r="R533" s="15">
        <v>0</v>
      </c>
      <c r="S533" s="15">
        <v>0</v>
      </c>
      <c r="T533" s="15">
        <v>0</v>
      </c>
      <c r="U533" s="15">
        <v>0</v>
      </c>
      <c r="V533" s="15">
        <v>100</v>
      </c>
      <c r="W533" s="15">
        <v>0</v>
      </c>
      <c r="X533" s="15">
        <v>0</v>
      </c>
      <c r="Y533" s="15">
        <v>56</v>
      </c>
      <c r="Z533" s="4">
        <v>549</v>
      </c>
      <c r="AA533" s="26">
        <v>11</v>
      </c>
      <c r="AB533" s="7">
        <v>1.4147000000000001</v>
      </c>
    </row>
    <row r="534" spans="1:29" x14ac:dyDescent="0.35">
      <c r="A534" s="1">
        <v>4008266</v>
      </c>
      <c r="B534" s="15">
        <v>120</v>
      </c>
      <c r="C534" s="15">
        <v>110</v>
      </c>
      <c r="D534" s="15">
        <v>110</v>
      </c>
      <c r="E534" s="15">
        <v>70</v>
      </c>
      <c r="F534" s="15">
        <v>50</v>
      </c>
      <c r="G534" s="15">
        <v>80</v>
      </c>
      <c r="H534" s="15">
        <v>160</v>
      </c>
      <c r="I534" s="15">
        <v>102</v>
      </c>
      <c r="J534" s="15">
        <v>80</v>
      </c>
      <c r="K534" s="15">
        <v>130</v>
      </c>
      <c r="L534" s="15">
        <v>170</v>
      </c>
      <c r="M534" s="15">
        <v>110</v>
      </c>
      <c r="N534" s="15">
        <v>230</v>
      </c>
      <c r="O534" s="15">
        <v>140</v>
      </c>
      <c r="P534" s="15">
        <v>180</v>
      </c>
      <c r="Q534" s="15">
        <v>120</v>
      </c>
      <c r="R534" s="15">
        <v>100</v>
      </c>
      <c r="S534" s="15">
        <v>110</v>
      </c>
      <c r="T534" s="15">
        <v>60</v>
      </c>
      <c r="U534" s="15">
        <v>40</v>
      </c>
      <c r="V534" s="15">
        <v>160</v>
      </c>
      <c r="W534" s="15">
        <v>140</v>
      </c>
      <c r="X534" s="15">
        <v>80</v>
      </c>
      <c r="Y534" s="15">
        <v>90</v>
      </c>
      <c r="Z534" s="4">
        <v>2742</v>
      </c>
      <c r="AA534" s="26">
        <v>24</v>
      </c>
      <c r="AB534" s="7">
        <v>0.3821</v>
      </c>
    </row>
    <row r="535" spans="1:29" x14ac:dyDescent="0.35">
      <c r="A535" s="1">
        <v>4008267</v>
      </c>
      <c r="B535" s="15">
        <v>1865</v>
      </c>
      <c r="C535" s="15">
        <v>1670</v>
      </c>
      <c r="D535" s="15">
        <v>1480</v>
      </c>
      <c r="E535" s="15">
        <v>1805</v>
      </c>
      <c r="F535" s="15">
        <v>1808</v>
      </c>
      <c r="G535" s="15">
        <v>1495</v>
      </c>
      <c r="H535" s="15">
        <v>930</v>
      </c>
      <c r="I535" s="15">
        <v>1590</v>
      </c>
      <c r="J535" s="15">
        <v>1777</v>
      </c>
      <c r="K535" s="15">
        <v>1660</v>
      </c>
      <c r="L535" s="15">
        <v>1855</v>
      </c>
      <c r="M535" s="15">
        <v>1550</v>
      </c>
      <c r="N535" s="15">
        <v>1830</v>
      </c>
      <c r="O535" s="15">
        <v>1710</v>
      </c>
      <c r="P535" s="15">
        <v>1905</v>
      </c>
      <c r="Q535" s="15">
        <v>1640</v>
      </c>
      <c r="R535" s="15">
        <v>1855</v>
      </c>
      <c r="S535" s="15">
        <v>1645</v>
      </c>
      <c r="T535" s="15">
        <v>875</v>
      </c>
      <c r="U535" s="15">
        <v>1670</v>
      </c>
      <c r="V535" s="15">
        <v>2055</v>
      </c>
      <c r="W535" s="15">
        <v>1785</v>
      </c>
      <c r="X535" s="15">
        <v>1900</v>
      </c>
      <c r="Y535" s="15">
        <v>1650</v>
      </c>
      <c r="Z535" s="4">
        <v>40005</v>
      </c>
      <c r="AA535" s="26">
        <v>24</v>
      </c>
      <c r="AB535" s="7">
        <v>0.16059999999999999</v>
      </c>
    </row>
    <row r="536" spans="1:29" x14ac:dyDescent="0.35">
      <c r="A536" s="1">
        <v>4008272</v>
      </c>
      <c r="B536" s="15">
        <v>175</v>
      </c>
      <c r="C536" s="15">
        <v>125</v>
      </c>
      <c r="D536" s="15">
        <v>200</v>
      </c>
      <c r="E536" s="15">
        <v>175</v>
      </c>
      <c r="F536" s="15">
        <v>125</v>
      </c>
      <c r="G536" s="15">
        <v>100</v>
      </c>
      <c r="H536" s="15">
        <v>75</v>
      </c>
      <c r="I536" s="15">
        <v>175</v>
      </c>
      <c r="J536" s="15">
        <v>200</v>
      </c>
      <c r="K536" s="15">
        <v>125</v>
      </c>
      <c r="L536" s="15">
        <v>175</v>
      </c>
      <c r="M536" s="15">
        <v>200</v>
      </c>
      <c r="N536" s="15">
        <v>175</v>
      </c>
      <c r="O536" s="15">
        <v>175</v>
      </c>
      <c r="P536" s="15">
        <v>225</v>
      </c>
      <c r="Q536" s="15">
        <v>100</v>
      </c>
      <c r="R536" s="15">
        <v>225</v>
      </c>
      <c r="S536" s="15">
        <v>150</v>
      </c>
      <c r="T536" s="15">
        <v>75</v>
      </c>
      <c r="U536" s="15">
        <v>175</v>
      </c>
      <c r="V536" s="15">
        <v>200</v>
      </c>
      <c r="W536" s="15">
        <v>225</v>
      </c>
      <c r="X536" s="15">
        <v>225</v>
      </c>
      <c r="Y536" s="15">
        <v>100</v>
      </c>
      <c r="Z536" s="4">
        <v>3900</v>
      </c>
      <c r="AA536" s="26">
        <v>24</v>
      </c>
      <c r="AB536" s="7">
        <v>0.29120000000000001</v>
      </c>
    </row>
    <row r="537" spans="1:29" x14ac:dyDescent="0.35">
      <c r="A537" s="1">
        <v>4008274</v>
      </c>
      <c r="B537" s="15">
        <v>0</v>
      </c>
      <c r="C537" s="15">
        <v>0</v>
      </c>
      <c r="D537" s="15">
        <v>200</v>
      </c>
      <c r="E537" s="15">
        <v>0</v>
      </c>
      <c r="F537" s="15">
        <v>0</v>
      </c>
      <c r="G537" s="15">
        <v>0</v>
      </c>
      <c r="H537" s="15">
        <v>0</v>
      </c>
      <c r="I537" s="15">
        <v>0</v>
      </c>
      <c r="J537" s="15">
        <v>0</v>
      </c>
      <c r="K537" s="15">
        <v>0</v>
      </c>
      <c r="L537" s="15">
        <v>100</v>
      </c>
      <c r="M537" s="15">
        <v>0</v>
      </c>
      <c r="N537" s="15">
        <v>10</v>
      </c>
      <c r="O537" s="15">
        <v>0</v>
      </c>
      <c r="P537" s="15">
        <v>0</v>
      </c>
      <c r="Q537" s="15">
        <v>101</v>
      </c>
      <c r="R537" s="15">
        <v>0</v>
      </c>
      <c r="S537" s="15">
        <v>200</v>
      </c>
      <c r="T537" s="15">
        <v>101</v>
      </c>
      <c r="U537" s="15">
        <v>0</v>
      </c>
      <c r="V537" s="15">
        <v>20</v>
      </c>
      <c r="W537" s="15">
        <v>10</v>
      </c>
      <c r="X537" s="15">
        <v>15</v>
      </c>
      <c r="Y537" s="15">
        <v>100</v>
      </c>
      <c r="Z537" s="4">
        <v>857</v>
      </c>
      <c r="AA537" s="26">
        <v>10</v>
      </c>
      <c r="AB537" s="7">
        <v>1.7209000000000001</v>
      </c>
    </row>
    <row r="538" spans="1:29" x14ac:dyDescent="0.35">
      <c r="A538" s="1">
        <v>4008276</v>
      </c>
      <c r="B538" s="15">
        <v>32</v>
      </c>
      <c r="C538" s="15">
        <v>8</v>
      </c>
      <c r="D538" s="15">
        <v>8</v>
      </c>
      <c r="E538" s="15">
        <v>0</v>
      </c>
      <c r="F538" s="15">
        <v>16</v>
      </c>
      <c r="G538" s="15">
        <v>8</v>
      </c>
      <c r="H538" s="15">
        <v>16</v>
      </c>
      <c r="I538" s="15">
        <v>0</v>
      </c>
      <c r="J538" s="15">
        <v>0</v>
      </c>
      <c r="K538" s="15">
        <v>8</v>
      </c>
      <c r="L538" s="15">
        <v>16</v>
      </c>
      <c r="M538" s="15">
        <v>24</v>
      </c>
      <c r="N538" s="15">
        <v>8</v>
      </c>
      <c r="O538" s="15">
        <v>0</v>
      </c>
      <c r="P538" s="15">
        <v>8</v>
      </c>
      <c r="Q538" s="15">
        <v>0</v>
      </c>
      <c r="R538" s="15">
        <v>8</v>
      </c>
      <c r="S538" s="15">
        <v>32</v>
      </c>
      <c r="T538" s="15">
        <v>0</v>
      </c>
      <c r="U538" s="15">
        <v>16</v>
      </c>
      <c r="V538" s="15">
        <v>8</v>
      </c>
      <c r="W538" s="15">
        <v>24</v>
      </c>
      <c r="X538" s="15">
        <v>80</v>
      </c>
      <c r="Y538" s="15">
        <v>10</v>
      </c>
      <c r="Z538" s="4">
        <v>330</v>
      </c>
      <c r="AA538" s="26">
        <v>18</v>
      </c>
      <c r="AB538" s="7">
        <v>1.2150000000000001</v>
      </c>
    </row>
    <row r="539" spans="1:29" x14ac:dyDescent="0.35">
      <c r="A539" s="1">
        <v>4008277</v>
      </c>
      <c r="B539" s="15">
        <v>0</v>
      </c>
      <c r="C539" s="15">
        <v>0</v>
      </c>
      <c r="D539" s="15">
        <v>0</v>
      </c>
      <c r="E539" s="15">
        <v>0</v>
      </c>
      <c r="F539" s="15">
        <v>0</v>
      </c>
      <c r="G539" s="15">
        <v>0</v>
      </c>
      <c r="H539" s="15">
        <v>0</v>
      </c>
      <c r="I539" s="15">
        <v>0</v>
      </c>
      <c r="J539" s="15">
        <v>0</v>
      </c>
      <c r="K539" s="15">
        <v>0</v>
      </c>
      <c r="L539" s="15">
        <v>0</v>
      </c>
      <c r="M539" s="15">
        <v>0</v>
      </c>
      <c r="N539" s="15">
        <v>10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8</v>
      </c>
      <c r="X539" s="15">
        <v>20</v>
      </c>
      <c r="Y539" s="15">
        <v>0</v>
      </c>
      <c r="Z539" s="4">
        <v>38</v>
      </c>
      <c r="AA539" s="26">
        <v>3</v>
      </c>
      <c r="AB539" s="7">
        <v>2.8938000000000001</v>
      </c>
      <c r="AC539" s="1" t="s">
        <v>3230</v>
      </c>
    </row>
    <row r="540" spans="1:29" x14ac:dyDescent="0.35">
      <c r="A540" s="1">
        <v>4008278</v>
      </c>
      <c r="B540" s="15">
        <v>0</v>
      </c>
      <c r="C540" s="15">
        <v>0</v>
      </c>
      <c r="D540" s="15">
        <v>16</v>
      </c>
      <c r="E540" s="15">
        <v>0</v>
      </c>
      <c r="F540" s="15">
        <v>0</v>
      </c>
      <c r="G540" s="15">
        <v>0</v>
      </c>
      <c r="H540" s="15">
        <v>0</v>
      </c>
      <c r="I540" s="15">
        <v>8</v>
      </c>
      <c r="J540" s="15">
        <v>0</v>
      </c>
      <c r="K540" s="15">
        <v>8</v>
      </c>
      <c r="L540" s="15">
        <v>0</v>
      </c>
      <c r="M540" s="15">
        <v>0</v>
      </c>
      <c r="N540" s="15">
        <v>0</v>
      </c>
      <c r="O540" s="15">
        <v>8</v>
      </c>
      <c r="P540" s="15">
        <v>8</v>
      </c>
      <c r="Q540" s="15">
        <v>10</v>
      </c>
      <c r="R540" s="15">
        <v>0</v>
      </c>
      <c r="S540" s="15">
        <v>0</v>
      </c>
      <c r="T540" s="15">
        <v>0</v>
      </c>
      <c r="U540" s="15">
        <v>8</v>
      </c>
      <c r="V540" s="15">
        <v>8</v>
      </c>
      <c r="W540" s="15">
        <v>0</v>
      </c>
      <c r="X540" s="15">
        <v>24</v>
      </c>
      <c r="Y540" s="15">
        <v>0</v>
      </c>
      <c r="Z540" s="4">
        <v>98</v>
      </c>
      <c r="AA540" s="26">
        <v>9</v>
      </c>
      <c r="AB540" s="7">
        <v>1.5127999999999999</v>
      </c>
    </row>
    <row r="541" spans="1:29" x14ac:dyDescent="0.35">
      <c r="A541" s="1">
        <v>4008279</v>
      </c>
      <c r="B541" s="15">
        <v>100</v>
      </c>
      <c r="C541" s="15">
        <v>101</v>
      </c>
      <c r="D541" s="15">
        <v>104</v>
      </c>
      <c r="E541" s="15">
        <v>112</v>
      </c>
      <c r="F541" s="15">
        <v>96</v>
      </c>
      <c r="G541" s="15">
        <v>104</v>
      </c>
      <c r="H541" s="15">
        <v>160</v>
      </c>
      <c r="I541" s="15">
        <v>88</v>
      </c>
      <c r="J541" s="15">
        <v>16</v>
      </c>
      <c r="K541" s="15">
        <v>46</v>
      </c>
      <c r="L541" s="15">
        <v>96</v>
      </c>
      <c r="M541" s="15">
        <v>144</v>
      </c>
      <c r="N541" s="15">
        <v>120</v>
      </c>
      <c r="O541" s="15">
        <v>120</v>
      </c>
      <c r="P541" s="15">
        <v>88</v>
      </c>
      <c r="Q541" s="15">
        <v>104</v>
      </c>
      <c r="R541" s="15">
        <v>120</v>
      </c>
      <c r="S541" s="15">
        <v>104</v>
      </c>
      <c r="T541" s="15">
        <v>77</v>
      </c>
      <c r="U541" s="15">
        <v>116</v>
      </c>
      <c r="V541" s="15">
        <v>100</v>
      </c>
      <c r="W541" s="15">
        <v>84</v>
      </c>
      <c r="X541" s="15">
        <v>212</v>
      </c>
      <c r="Y541" s="15">
        <v>110</v>
      </c>
      <c r="Z541" s="4">
        <v>2522</v>
      </c>
      <c r="AA541" s="26">
        <v>24</v>
      </c>
      <c r="AB541" s="7">
        <v>0.33810000000000001</v>
      </c>
    </row>
    <row r="542" spans="1:29" x14ac:dyDescent="0.35">
      <c r="A542" s="1">
        <v>4008280</v>
      </c>
      <c r="B542" s="15">
        <v>0</v>
      </c>
      <c r="C542" s="15">
        <v>20</v>
      </c>
      <c r="D542" s="15">
        <v>44</v>
      </c>
      <c r="E542" s="15">
        <v>20</v>
      </c>
      <c r="F542" s="15">
        <v>21</v>
      </c>
      <c r="G542" s="15">
        <v>20</v>
      </c>
      <c r="H542" s="15">
        <v>0</v>
      </c>
      <c r="I542" s="15">
        <v>5</v>
      </c>
      <c r="J542" s="15">
        <v>20</v>
      </c>
      <c r="K542" s="15">
        <v>0</v>
      </c>
      <c r="L542" s="15">
        <v>20</v>
      </c>
      <c r="M542" s="15">
        <v>42</v>
      </c>
      <c r="N542" s="15">
        <v>0</v>
      </c>
      <c r="O542" s="15">
        <v>23</v>
      </c>
      <c r="P542" s="15">
        <v>60</v>
      </c>
      <c r="Q542" s="15">
        <v>0</v>
      </c>
      <c r="R542" s="15">
        <v>9</v>
      </c>
      <c r="S542" s="15">
        <v>65</v>
      </c>
      <c r="T542" s="15">
        <v>22</v>
      </c>
      <c r="U542" s="15">
        <v>40</v>
      </c>
      <c r="V542" s="15">
        <v>10</v>
      </c>
      <c r="W542" s="15">
        <v>20</v>
      </c>
      <c r="X542" s="15">
        <v>0</v>
      </c>
      <c r="Y542" s="15">
        <v>19</v>
      </c>
      <c r="Z542" s="4">
        <v>480</v>
      </c>
      <c r="AA542" s="26">
        <v>18</v>
      </c>
      <c r="AB542" s="7">
        <v>0.90980000000000005</v>
      </c>
    </row>
    <row r="543" spans="1:29" x14ac:dyDescent="0.35">
      <c r="A543" s="1">
        <v>4008289</v>
      </c>
      <c r="B543" s="15">
        <v>72</v>
      </c>
      <c r="C543" s="15">
        <v>252</v>
      </c>
      <c r="D543" s="15">
        <v>36</v>
      </c>
      <c r="E543" s="15">
        <v>180</v>
      </c>
      <c r="F543" s="15">
        <v>108</v>
      </c>
      <c r="G543" s="15">
        <v>144</v>
      </c>
      <c r="H543" s="15">
        <v>36</v>
      </c>
      <c r="I543" s="15">
        <v>180</v>
      </c>
      <c r="J543" s="15">
        <v>180</v>
      </c>
      <c r="K543" s="15">
        <v>144</v>
      </c>
      <c r="L543" s="15">
        <v>108</v>
      </c>
      <c r="M543" s="15">
        <v>108</v>
      </c>
      <c r="N543" s="15">
        <v>180</v>
      </c>
      <c r="O543" s="15">
        <v>216</v>
      </c>
      <c r="P543" s="15">
        <v>108</v>
      </c>
      <c r="Q543" s="15">
        <v>144</v>
      </c>
      <c r="R543" s="15">
        <v>144</v>
      </c>
      <c r="S543" s="15">
        <v>108</v>
      </c>
      <c r="T543" s="15">
        <v>144</v>
      </c>
      <c r="U543" s="15">
        <v>72</v>
      </c>
      <c r="V543" s="15">
        <v>180</v>
      </c>
      <c r="W543" s="15">
        <v>180</v>
      </c>
      <c r="X543" s="15">
        <v>72</v>
      </c>
      <c r="Y543" s="15">
        <v>324</v>
      </c>
      <c r="Z543" s="4">
        <v>3420</v>
      </c>
      <c r="AA543" s="26">
        <v>24</v>
      </c>
      <c r="AB543" s="7">
        <v>0.4582</v>
      </c>
    </row>
    <row r="544" spans="1:29" x14ac:dyDescent="0.35">
      <c r="A544" s="1">
        <v>4008291</v>
      </c>
      <c r="B544" s="15">
        <v>144</v>
      </c>
      <c r="C544" s="15">
        <v>36</v>
      </c>
      <c r="D544" s="15">
        <v>180</v>
      </c>
      <c r="E544" s="15">
        <v>108</v>
      </c>
      <c r="F544" s="15">
        <v>0</v>
      </c>
      <c r="G544" s="15">
        <v>0</v>
      </c>
      <c r="H544" s="15">
        <v>108</v>
      </c>
      <c r="I544" s="15">
        <v>252</v>
      </c>
      <c r="J544" s="15">
        <v>36</v>
      </c>
      <c r="K544" s="15">
        <v>0</v>
      </c>
      <c r="L544" s="15">
        <v>36</v>
      </c>
      <c r="M544" s="15">
        <v>0</v>
      </c>
      <c r="N544" s="15">
        <v>0</v>
      </c>
      <c r="O544" s="15">
        <v>72</v>
      </c>
      <c r="P544" s="15">
        <v>0</v>
      </c>
      <c r="Q544" s="15">
        <v>180</v>
      </c>
      <c r="R544" s="15">
        <v>180</v>
      </c>
      <c r="S544" s="15">
        <v>72</v>
      </c>
      <c r="T544" s="15">
        <v>108</v>
      </c>
      <c r="U544" s="15">
        <v>144</v>
      </c>
      <c r="V544" s="15">
        <v>180</v>
      </c>
      <c r="W544" s="15">
        <v>108</v>
      </c>
      <c r="X544" s="15">
        <v>108</v>
      </c>
      <c r="Y544" s="15">
        <v>36</v>
      </c>
      <c r="Z544" s="4">
        <v>2088</v>
      </c>
      <c r="AA544" s="26">
        <v>18</v>
      </c>
      <c r="AB544" s="7">
        <v>0.83550000000000002</v>
      </c>
    </row>
    <row r="545" spans="1:29" x14ac:dyDescent="0.35">
      <c r="A545" s="1">
        <v>4008292</v>
      </c>
      <c r="B545" s="15">
        <v>36</v>
      </c>
      <c r="C545" s="15">
        <v>252</v>
      </c>
      <c r="D545" s="15">
        <v>216</v>
      </c>
      <c r="E545" s="15">
        <v>252</v>
      </c>
      <c r="F545" s="15">
        <v>144</v>
      </c>
      <c r="G545" s="15">
        <v>180</v>
      </c>
      <c r="H545" s="15">
        <v>108</v>
      </c>
      <c r="I545" s="15">
        <v>108</v>
      </c>
      <c r="J545" s="15">
        <v>288</v>
      </c>
      <c r="K545" s="15">
        <v>180</v>
      </c>
      <c r="L545" s="15">
        <v>108</v>
      </c>
      <c r="M545" s="15">
        <v>36</v>
      </c>
      <c r="N545" s="15">
        <v>144</v>
      </c>
      <c r="O545" s="15">
        <v>360</v>
      </c>
      <c r="P545" s="15">
        <v>288</v>
      </c>
      <c r="Q545" s="15">
        <v>109</v>
      </c>
      <c r="R545" s="15">
        <v>72</v>
      </c>
      <c r="S545" s="15">
        <v>144</v>
      </c>
      <c r="T545" s="15">
        <v>396</v>
      </c>
      <c r="U545" s="15">
        <v>252</v>
      </c>
      <c r="V545" s="15">
        <v>144</v>
      </c>
      <c r="W545" s="15">
        <v>216</v>
      </c>
      <c r="X545" s="15">
        <v>72</v>
      </c>
      <c r="Y545" s="15">
        <v>180</v>
      </c>
      <c r="Z545" s="4">
        <v>4285</v>
      </c>
      <c r="AA545" s="26">
        <v>24</v>
      </c>
      <c r="AB545" s="7">
        <v>0.5252</v>
      </c>
    </row>
    <row r="546" spans="1:29" x14ac:dyDescent="0.35">
      <c r="A546" s="1">
        <v>4008295</v>
      </c>
      <c r="B546" s="15">
        <v>0</v>
      </c>
      <c r="C546" s="15">
        <v>0</v>
      </c>
      <c r="D546" s="15">
        <v>0</v>
      </c>
      <c r="E546" s="15">
        <v>0</v>
      </c>
      <c r="F546" s="15">
        <v>0</v>
      </c>
      <c r="G546" s="15">
        <v>0</v>
      </c>
      <c r="H546" s="15">
        <v>0</v>
      </c>
      <c r="I546" s="15">
        <v>0</v>
      </c>
      <c r="J546" s="15">
        <v>0</v>
      </c>
      <c r="K546" s="15">
        <v>0</v>
      </c>
      <c r="L546" s="15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200</v>
      </c>
      <c r="X546" s="15">
        <v>0</v>
      </c>
      <c r="Y546" s="15">
        <v>0</v>
      </c>
      <c r="Z546" s="4">
        <v>200</v>
      </c>
      <c r="AA546" s="26">
        <v>1</v>
      </c>
      <c r="AB546" s="7">
        <v>4.7957999999999998</v>
      </c>
      <c r="AC546" s="1" t="s">
        <v>3230</v>
      </c>
    </row>
    <row r="547" spans="1:29" x14ac:dyDescent="0.35">
      <c r="A547" s="1">
        <v>4008296</v>
      </c>
      <c r="B547" s="15">
        <v>675</v>
      </c>
      <c r="C547" s="15">
        <v>650</v>
      </c>
      <c r="D547" s="15">
        <v>700</v>
      </c>
      <c r="E547" s="15">
        <v>550</v>
      </c>
      <c r="F547" s="15">
        <v>550</v>
      </c>
      <c r="G547" s="15">
        <v>325</v>
      </c>
      <c r="H547" s="15">
        <v>100</v>
      </c>
      <c r="I547" s="15">
        <v>480</v>
      </c>
      <c r="J547" s="15">
        <v>650</v>
      </c>
      <c r="K547" s="15">
        <v>375</v>
      </c>
      <c r="L547" s="15">
        <v>625</v>
      </c>
      <c r="M547" s="15">
        <v>800</v>
      </c>
      <c r="N547" s="15">
        <v>475</v>
      </c>
      <c r="O547" s="15">
        <v>650</v>
      </c>
      <c r="P547" s="15">
        <v>425</v>
      </c>
      <c r="Q547" s="15">
        <v>525</v>
      </c>
      <c r="R547" s="15">
        <v>405</v>
      </c>
      <c r="S547" s="15">
        <v>600</v>
      </c>
      <c r="T547" s="15">
        <v>225</v>
      </c>
      <c r="U547" s="15">
        <v>375</v>
      </c>
      <c r="V547" s="15">
        <v>725</v>
      </c>
      <c r="W547" s="15">
        <v>525</v>
      </c>
      <c r="X547" s="15">
        <v>625</v>
      </c>
      <c r="Y547" s="15">
        <v>625</v>
      </c>
      <c r="Z547" s="4">
        <v>12660</v>
      </c>
      <c r="AA547" s="26">
        <v>24</v>
      </c>
      <c r="AB547" s="7">
        <v>0.30880000000000002</v>
      </c>
    </row>
    <row r="548" spans="1:29" x14ac:dyDescent="0.35">
      <c r="A548" s="1">
        <v>4008308</v>
      </c>
      <c r="B548" s="15">
        <v>30</v>
      </c>
      <c r="C548" s="15">
        <v>30</v>
      </c>
      <c r="D548" s="15">
        <v>20</v>
      </c>
      <c r="E548" s="15">
        <v>40</v>
      </c>
      <c r="F548" s="15">
        <v>10</v>
      </c>
      <c r="G548" s="15">
        <v>20</v>
      </c>
      <c r="H548" s="15">
        <v>0</v>
      </c>
      <c r="I548" s="15">
        <v>10</v>
      </c>
      <c r="J548" s="15">
        <v>40</v>
      </c>
      <c r="K548" s="15">
        <v>30</v>
      </c>
      <c r="L548" s="15">
        <v>30</v>
      </c>
      <c r="M548" s="15">
        <v>40</v>
      </c>
      <c r="N548" s="15">
        <v>35</v>
      </c>
      <c r="O548" s="15">
        <v>20</v>
      </c>
      <c r="P548" s="15">
        <v>20</v>
      </c>
      <c r="Q548" s="15">
        <v>20</v>
      </c>
      <c r="R548" s="15">
        <v>20</v>
      </c>
      <c r="S548" s="15">
        <v>10</v>
      </c>
      <c r="T548" s="15">
        <v>0</v>
      </c>
      <c r="U548" s="15">
        <v>20</v>
      </c>
      <c r="V548" s="15">
        <v>30</v>
      </c>
      <c r="W548" s="15">
        <v>10</v>
      </c>
      <c r="X548" s="15">
        <v>35</v>
      </c>
      <c r="Y548" s="15">
        <v>30</v>
      </c>
      <c r="Z548" s="4">
        <v>550</v>
      </c>
      <c r="AA548" s="26">
        <v>22</v>
      </c>
      <c r="AB548" s="7">
        <v>0.50749999999999995</v>
      </c>
    </row>
    <row r="549" spans="1:29" x14ac:dyDescent="0.35">
      <c r="A549" s="1">
        <v>4008314</v>
      </c>
      <c r="B549" s="15">
        <v>408</v>
      </c>
      <c r="C549" s="15">
        <v>255</v>
      </c>
      <c r="D549" s="15">
        <v>255</v>
      </c>
      <c r="E549" s="15">
        <v>323</v>
      </c>
      <c r="F549" s="15">
        <v>306</v>
      </c>
      <c r="G549" s="15">
        <v>204</v>
      </c>
      <c r="H549" s="15">
        <v>255</v>
      </c>
      <c r="I549" s="15">
        <v>323</v>
      </c>
      <c r="J549" s="15">
        <v>340</v>
      </c>
      <c r="K549" s="15">
        <v>323</v>
      </c>
      <c r="L549" s="15">
        <v>408</v>
      </c>
      <c r="M549" s="15">
        <v>255</v>
      </c>
      <c r="N549" s="15">
        <v>289</v>
      </c>
      <c r="O549" s="15">
        <v>357</v>
      </c>
      <c r="P549" s="15">
        <v>289</v>
      </c>
      <c r="Q549" s="15">
        <v>255</v>
      </c>
      <c r="R549" s="15">
        <v>306</v>
      </c>
      <c r="S549" s="15">
        <v>357</v>
      </c>
      <c r="T549" s="15">
        <v>204</v>
      </c>
      <c r="U549" s="15">
        <v>391</v>
      </c>
      <c r="V549" s="15">
        <v>391</v>
      </c>
      <c r="W549" s="15">
        <v>238</v>
      </c>
      <c r="X549" s="15">
        <v>323</v>
      </c>
      <c r="Y549" s="15">
        <v>289</v>
      </c>
      <c r="Z549" s="4">
        <v>7344</v>
      </c>
      <c r="AA549" s="26">
        <v>24</v>
      </c>
      <c r="AB549" s="7">
        <v>0.19109999999999999</v>
      </c>
    </row>
    <row r="550" spans="1:29" x14ac:dyDescent="0.35">
      <c r="A550" s="1">
        <v>4008327</v>
      </c>
      <c r="B550" s="15">
        <v>0</v>
      </c>
      <c r="C550" s="15">
        <v>10</v>
      </c>
      <c r="D550" s="15">
        <v>30</v>
      </c>
      <c r="E550" s="15">
        <v>10</v>
      </c>
      <c r="F550" s="15">
        <v>50</v>
      </c>
      <c r="G550" s="15">
        <v>30</v>
      </c>
      <c r="H550" s="15">
        <v>10</v>
      </c>
      <c r="I550" s="15">
        <v>20</v>
      </c>
      <c r="J550" s="15">
        <v>10</v>
      </c>
      <c r="K550" s="15">
        <v>10</v>
      </c>
      <c r="L550" s="15">
        <v>30</v>
      </c>
      <c r="M550" s="15">
        <v>30</v>
      </c>
      <c r="N550" s="15">
        <v>10</v>
      </c>
      <c r="O550" s="15">
        <v>20</v>
      </c>
      <c r="P550" s="15">
        <v>20</v>
      </c>
      <c r="Q550" s="15">
        <v>20</v>
      </c>
      <c r="R550" s="15">
        <v>30</v>
      </c>
      <c r="S550" s="15">
        <v>30</v>
      </c>
      <c r="T550" s="15">
        <v>20</v>
      </c>
      <c r="U550" s="15">
        <v>0</v>
      </c>
      <c r="V550" s="15">
        <v>10</v>
      </c>
      <c r="W550" s="15">
        <v>10</v>
      </c>
      <c r="X550" s="15">
        <v>40</v>
      </c>
      <c r="Y550" s="15">
        <v>10</v>
      </c>
      <c r="Z550" s="4">
        <v>460</v>
      </c>
      <c r="AA550" s="26">
        <v>22</v>
      </c>
      <c r="AB550" s="7">
        <v>0.63749999999999996</v>
      </c>
    </row>
    <row r="551" spans="1:29" x14ac:dyDescent="0.35">
      <c r="A551" s="1">
        <v>4008328</v>
      </c>
      <c r="B551" s="15">
        <v>33240</v>
      </c>
      <c r="C551" s="15">
        <v>36960</v>
      </c>
      <c r="D551" s="15">
        <v>31320</v>
      </c>
      <c r="E551" s="15">
        <v>29760</v>
      </c>
      <c r="F551" s="15">
        <v>34800</v>
      </c>
      <c r="G551" s="15">
        <v>21240</v>
      </c>
      <c r="H551" s="15">
        <v>22440</v>
      </c>
      <c r="I551" s="15">
        <v>29280</v>
      </c>
      <c r="J551" s="15">
        <v>27600</v>
      </c>
      <c r="K551" s="15">
        <v>38910</v>
      </c>
      <c r="L551" s="15">
        <v>27960</v>
      </c>
      <c r="M551" s="15">
        <v>28440</v>
      </c>
      <c r="N551" s="15">
        <v>28920</v>
      </c>
      <c r="O551" s="15">
        <v>26520</v>
      </c>
      <c r="P551" s="15">
        <v>30600</v>
      </c>
      <c r="Q551" s="15">
        <v>31560</v>
      </c>
      <c r="R551" s="15">
        <v>27240</v>
      </c>
      <c r="S551" s="15">
        <v>29880</v>
      </c>
      <c r="T551" s="15">
        <v>21340</v>
      </c>
      <c r="U551" s="15">
        <v>22200</v>
      </c>
      <c r="V551" s="15">
        <v>26000</v>
      </c>
      <c r="W551" s="15">
        <v>32520</v>
      </c>
      <c r="X551" s="15">
        <v>30360</v>
      </c>
      <c r="Y551" s="15">
        <v>28060</v>
      </c>
      <c r="Z551" s="4">
        <v>697150</v>
      </c>
      <c r="AA551" s="26">
        <v>24</v>
      </c>
      <c r="AB551" s="7">
        <v>0.153</v>
      </c>
    </row>
    <row r="552" spans="1:29" x14ac:dyDescent="0.35">
      <c r="A552" s="1">
        <v>4008334</v>
      </c>
      <c r="B552" s="15">
        <v>15</v>
      </c>
      <c r="C552" s="15">
        <v>0</v>
      </c>
      <c r="D552" s="15">
        <v>60</v>
      </c>
      <c r="E552" s="15">
        <v>20</v>
      </c>
      <c r="F552" s="15">
        <v>20</v>
      </c>
      <c r="G552" s="15">
        <v>0</v>
      </c>
      <c r="H552" s="15">
        <v>0</v>
      </c>
      <c r="I552" s="15">
        <v>0</v>
      </c>
      <c r="J552" s="15">
        <v>0</v>
      </c>
      <c r="K552" s="15">
        <v>150</v>
      </c>
      <c r="L552" s="15">
        <v>0</v>
      </c>
      <c r="M552" s="15">
        <v>100</v>
      </c>
      <c r="N552" s="15">
        <v>20</v>
      </c>
      <c r="O552" s="15">
        <v>0</v>
      </c>
      <c r="P552" s="15">
        <v>0</v>
      </c>
      <c r="Q552" s="15">
        <v>20</v>
      </c>
      <c r="R552" s="15">
        <v>4</v>
      </c>
      <c r="S552" s="15">
        <v>0</v>
      </c>
      <c r="T552" s="15">
        <v>0</v>
      </c>
      <c r="U552" s="15">
        <v>40</v>
      </c>
      <c r="V552" s="15">
        <v>20</v>
      </c>
      <c r="W552" s="15">
        <v>20</v>
      </c>
      <c r="X552" s="15">
        <v>20</v>
      </c>
      <c r="Y552" s="15">
        <v>0</v>
      </c>
      <c r="Z552" s="4">
        <v>509</v>
      </c>
      <c r="AA552" s="26">
        <v>13</v>
      </c>
      <c r="AB552" s="7">
        <v>1.6655</v>
      </c>
    </row>
    <row r="553" spans="1:29" x14ac:dyDescent="0.35">
      <c r="A553" s="1">
        <v>4008335</v>
      </c>
      <c r="B553" s="15">
        <v>105040</v>
      </c>
      <c r="C553" s="15">
        <v>106760</v>
      </c>
      <c r="D553" s="15">
        <v>105120</v>
      </c>
      <c r="E553" s="15">
        <v>100760</v>
      </c>
      <c r="F553" s="15">
        <v>104880</v>
      </c>
      <c r="G553" s="15">
        <v>97260</v>
      </c>
      <c r="H553" s="15">
        <v>88080</v>
      </c>
      <c r="I553" s="15">
        <v>96960</v>
      </c>
      <c r="J553" s="15">
        <v>108720</v>
      </c>
      <c r="K553" s="15">
        <v>108480</v>
      </c>
      <c r="L553" s="15">
        <v>103560</v>
      </c>
      <c r="M553" s="15">
        <v>109600</v>
      </c>
      <c r="N553" s="15">
        <v>101760</v>
      </c>
      <c r="O553" s="15">
        <v>109840</v>
      </c>
      <c r="P553" s="15">
        <v>109560</v>
      </c>
      <c r="Q553" s="15">
        <v>107680</v>
      </c>
      <c r="R553" s="15">
        <v>103020</v>
      </c>
      <c r="S553" s="15">
        <v>105140</v>
      </c>
      <c r="T553" s="15">
        <v>90580</v>
      </c>
      <c r="U553" s="15">
        <v>103140</v>
      </c>
      <c r="V553" s="15">
        <v>113920</v>
      </c>
      <c r="W553" s="15">
        <v>120900</v>
      </c>
      <c r="X553" s="15">
        <v>109760</v>
      </c>
      <c r="Y553" s="15">
        <v>107840</v>
      </c>
      <c r="Z553" s="4">
        <v>2518360</v>
      </c>
      <c r="AA553" s="26">
        <v>24</v>
      </c>
      <c r="AB553" s="7">
        <v>6.5100000000000005E-2</v>
      </c>
    </row>
    <row r="554" spans="1:29" x14ac:dyDescent="0.35">
      <c r="A554" s="1">
        <v>4008336</v>
      </c>
      <c r="B554" s="15">
        <v>56800</v>
      </c>
      <c r="C554" s="15">
        <v>63280</v>
      </c>
      <c r="D554" s="15">
        <v>53200</v>
      </c>
      <c r="E554" s="15">
        <v>53360</v>
      </c>
      <c r="F554" s="15">
        <v>56960</v>
      </c>
      <c r="G554" s="15">
        <v>56390</v>
      </c>
      <c r="H554" s="15">
        <v>44320</v>
      </c>
      <c r="I554" s="15">
        <v>52560</v>
      </c>
      <c r="J554" s="15">
        <v>56960</v>
      </c>
      <c r="K554" s="15">
        <v>61360</v>
      </c>
      <c r="L554" s="15">
        <v>58640</v>
      </c>
      <c r="M554" s="15">
        <v>51520</v>
      </c>
      <c r="N554" s="15">
        <v>59760</v>
      </c>
      <c r="O554" s="15">
        <v>60560</v>
      </c>
      <c r="P554" s="15">
        <v>52080</v>
      </c>
      <c r="Q554" s="15">
        <v>56960</v>
      </c>
      <c r="R554" s="15">
        <v>55080</v>
      </c>
      <c r="S554" s="15">
        <v>57840</v>
      </c>
      <c r="T554" s="15">
        <v>43280</v>
      </c>
      <c r="U554" s="15">
        <v>48360</v>
      </c>
      <c r="V554" s="15">
        <v>64240</v>
      </c>
      <c r="W554" s="15">
        <v>62480</v>
      </c>
      <c r="X554" s="15">
        <v>53360</v>
      </c>
      <c r="Y554" s="15">
        <v>58000</v>
      </c>
      <c r="Z554" s="4">
        <v>1337350</v>
      </c>
      <c r="AA554" s="26">
        <v>24</v>
      </c>
      <c r="AB554" s="7">
        <v>9.4799999999999995E-2</v>
      </c>
    </row>
    <row r="555" spans="1:29" x14ac:dyDescent="0.35">
      <c r="A555" s="1">
        <v>4008337</v>
      </c>
      <c r="B555" s="15">
        <v>8580</v>
      </c>
      <c r="C555" s="15">
        <v>5460</v>
      </c>
      <c r="D555" s="15">
        <v>6500</v>
      </c>
      <c r="E555" s="15">
        <v>7280</v>
      </c>
      <c r="F555" s="15">
        <v>8645</v>
      </c>
      <c r="G555" s="15">
        <v>8385</v>
      </c>
      <c r="H555" s="15">
        <v>8060</v>
      </c>
      <c r="I555" s="15">
        <v>7475</v>
      </c>
      <c r="J555" s="15">
        <v>8320</v>
      </c>
      <c r="K555" s="15">
        <v>7345</v>
      </c>
      <c r="L555" s="15">
        <v>6500</v>
      </c>
      <c r="M555" s="15">
        <v>7085</v>
      </c>
      <c r="N555" s="15">
        <v>7475</v>
      </c>
      <c r="O555" s="15">
        <v>7540</v>
      </c>
      <c r="P555" s="15">
        <v>11765</v>
      </c>
      <c r="Q555" s="15">
        <v>8450</v>
      </c>
      <c r="R555" s="15">
        <v>10400</v>
      </c>
      <c r="S555" s="15">
        <v>9815</v>
      </c>
      <c r="T555" s="15">
        <v>10855</v>
      </c>
      <c r="U555" s="15">
        <v>9035</v>
      </c>
      <c r="V555" s="15">
        <v>9750</v>
      </c>
      <c r="W555" s="15">
        <v>7540</v>
      </c>
      <c r="X555" s="15">
        <v>6110</v>
      </c>
      <c r="Y555" s="15">
        <v>9230</v>
      </c>
      <c r="Z555" s="4">
        <v>197600</v>
      </c>
      <c r="AA555" s="26">
        <v>24</v>
      </c>
      <c r="AB555" s="7">
        <v>0.1825</v>
      </c>
    </row>
    <row r="556" spans="1:29" x14ac:dyDescent="0.35">
      <c r="A556" s="1">
        <v>4008338</v>
      </c>
      <c r="B556" s="15">
        <v>40</v>
      </c>
      <c r="C556" s="15">
        <v>50</v>
      </c>
      <c r="D556" s="15">
        <v>30</v>
      </c>
      <c r="E556" s="15">
        <v>50</v>
      </c>
      <c r="F556" s="15">
        <v>30</v>
      </c>
      <c r="G556" s="15">
        <v>20</v>
      </c>
      <c r="H556" s="15">
        <v>30</v>
      </c>
      <c r="I556" s="15">
        <v>30</v>
      </c>
      <c r="J556" s="15">
        <v>40</v>
      </c>
      <c r="K556" s="15">
        <v>60</v>
      </c>
      <c r="L556" s="15">
        <v>40</v>
      </c>
      <c r="M556" s="15">
        <v>40</v>
      </c>
      <c r="N556" s="15">
        <v>60</v>
      </c>
      <c r="O556" s="15">
        <v>60</v>
      </c>
      <c r="P556" s="15">
        <v>60</v>
      </c>
      <c r="Q556" s="15">
        <v>50</v>
      </c>
      <c r="R556" s="15">
        <v>70</v>
      </c>
      <c r="S556" s="15">
        <v>40</v>
      </c>
      <c r="T556" s="15">
        <v>10</v>
      </c>
      <c r="U556" s="15">
        <v>30</v>
      </c>
      <c r="V556" s="15">
        <v>60</v>
      </c>
      <c r="W556" s="15">
        <v>40</v>
      </c>
      <c r="X556" s="15">
        <v>70</v>
      </c>
      <c r="Y556" s="15">
        <v>20</v>
      </c>
      <c r="Z556" s="4">
        <v>1030</v>
      </c>
      <c r="AA556" s="26">
        <v>24</v>
      </c>
      <c r="AB556" s="7">
        <v>0.37140000000000001</v>
      </c>
    </row>
    <row r="557" spans="1:29" x14ac:dyDescent="0.35">
      <c r="A557" s="1">
        <v>4008339</v>
      </c>
      <c r="B557" s="15">
        <v>6700</v>
      </c>
      <c r="C557" s="15">
        <v>2750</v>
      </c>
      <c r="D557" s="15">
        <v>5900</v>
      </c>
      <c r="E557" s="15">
        <v>7050</v>
      </c>
      <c r="F557" s="15">
        <v>3000</v>
      </c>
      <c r="G557" s="15">
        <v>6550</v>
      </c>
      <c r="H557" s="15">
        <v>6550</v>
      </c>
      <c r="I557" s="15">
        <v>6250</v>
      </c>
      <c r="J557" s="15">
        <v>7250</v>
      </c>
      <c r="K557" s="15">
        <v>5500</v>
      </c>
      <c r="L557" s="15">
        <v>5550</v>
      </c>
      <c r="M557" s="15">
        <v>4950</v>
      </c>
      <c r="N557" s="15">
        <v>6850</v>
      </c>
      <c r="O557" s="15">
        <v>5100</v>
      </c>
      <c r="P557" s="15">
        <v>4450</v>
      </c>
      <c r="Q557" s="15">
        <v>3450</v>
      </c>
      <c r="R557" s="15">
        <v>1500</v>
      </c>
      <c r="S557" s="15">
        <v>1300</v>
      </c>
      <c r="T557" s="15">
        <v>1900</v>
      </c>
      <c r="U557" s="15">
        <v>1300</v>
      </c>
      <c r="V557" s="15">
        <v>2400</v>
      </c>
      <c r="W557" s="15">
        <v>1300</v>
      </c>
      <c r="X557" s="15">
        <v>1050</v>
      </c>
      <c r="Y557" s="15">
        <v>2700</v>
      </c>
      <c r="Z557" s="4">
        <v>101300</v>
      </c>
      <c r="AA557" s="26">
        <v>24</v>
      </c>
      <c r="AB557" s="7">
        <v>0.50970000000000004</v>
      </c>
    </row>
    <row r="558" spans="1:29" x14ac:dyDescent="0.35">
      <c r="A558" s="1">
        <v>4008340</v>
      </c>
      <c r="B558" s="15">
        <v>34500</v>
      </c>
      <c r="C558" s="15">
        <v>36600</v>
      </c>
      <c r="D558" s="15">
        <v>33150</v>
      </c>
      <c r="E558" s="15">
        <v>36600</v>
      </c>
      <c r="F558" s="15">
        <v>36250</v>
      </c>
      <c r="G558" s="15">
        <v>38250</v>
      </c>
      <c r="H558" s="15">
        <v>31200</v>
      </c>
      <c r="I558" s="15">
        <v>36000</v>
      </c>
      <c r="J558" s="15">
        <v>39300</v>
      </c>
      <c r="K558" s="15">
        <v>35550</v>
      </c>
      <c r="L558" s="15">
        <v>34050</v>
      </c>
      <c r="M558" s="15">
        <v>32100</v>
      </c>
      <c r="N558" s="15">
        <v>37200</v>
      </c>
      <c r="O558" s="15">
        <v>37050</v>
      </c>
      <c r="P558" s="15">
        <v>39510</v>
      </c>
      <c r="Q558" s="15">
        <v>40050</v>
      </c>
      <c r="R558" s="15">
        <v>37650</v>
      </c>
      <c r="S558" s="15">
        <v>39150</v>
      </c>
      <c r="T558" s="15">
        <v>34350</v>
      </c>
      <c r="U558" s="15">
        <v>41250</v>
      </c>
      <c r="V558" s="15">
        <v>46800</v>
      </c>
      <c r="W558" s="15">
        <v>40200</v>
      </c>
      <c r="X558" s="15">
        <v>36000</v>
      </c>
      <c r="Y558" s="15">
        <v>36900</v>
      </c>
      <c r="Z558" s="4">
        <v>889660</v>
      </c>
      <c r="AA558" s="26">
        <v>24</v>
      </c>
      <c r="AB558" s="7">
        <v>8.7300000000000003E-2</v>
      </c>
    </row>
    <row r="559" spans="1:29" x14ac:dyDescent="0.35">
      <c r="A559" s="1">
        <v>4008343</v>
      </c>
      <c r="B559" s="15">
        <v>600</v>
      </c>
      <c r="C559" s="15">
        <v>450</v>
      </c>
      <c r="D559" s="15">
        <v>510</v>
      </c>
      <c r="E559" s="15">
        <v>690</v>
      </c>
      <c r="F559" s="15">
        <v>630</v>
      </c>
      <c r="G559" s="15">
        <v>330</v>
      </c>
      <c r="H559" s="15">
        <v>480</v>
      </c>
      <c r="I559" s="15">
        <v>480</v>
      </c>
      <c r="J559" s="15">
        <v>510</v>
      </c>
      <c r="K559" s="15">
        <v>600</v>
      </c>
      <c r="L559" s="15">
        <v>780</v>
      </c>
      <c r="M559" s="15">
        <v>480</v>
      </c>
      <c r="N559" s="15">
        <v>690</v>
      </c>
      <c r="O559" s="15">
        <v>780</v>
      </c>
      <c r="P559" s="15">
        <v>600</v>
      </c>
      <c r="Q559" s="15">
        <v>840</v>
      </c>
      <c r="R559" s="15">
        <v>600</v>
      </c>
      <c r="S559" s="15">
        <v>690</v>
      </c>
      <c r="T559" s="15">
        <v>630</v>
      </c>
      <c r="U559" s="15">
        <v>540</v>
      </c>
      <c r="V559" s="15">
        <v>750</v>
      </c>
      <c r="W559" s="15">
        <v>810</v>
      </c>
      <c r="X559" s="15">
        <v>390</v>
      </c>
      <c r="Y559" s="15">
        <v>540</v>
      </c>
      <c r="Z559" s="4">
        <v>14400</v>
      </c>
      <c r="AA559" s="26">
        <v>24</v>
      </c>
      <c r="AB559" s="7">
        <v>0.2208</v>
      </c>
    </row>
    <row r="560" spans="1:29" x14ac:dyDescent="0.35">
      <c r="A560" s="1">
        <v>4008345</v>
      </c>
      <c r="B560" s="15">
        <v>160</v>
      </c>
      <c r="C560" s="15">
        <v>220</v>
      </c>
      <c r="D560" s="15">
        <v>300</v>
      </c>
      <c r="E560" s="15">
        <v>260</v>
      </c>
      <c r="F560" s="15">
        <v>240</v>
      </c>
      <c r="G560" s="15">
        <v>200</v>
      </c>
      <c r="H560" s="15">
        <v>100</v>
      </c>
      <c r="I560" s="15">
        <v>100</v>
      </c>
      <c r="J560" s="15">
        <v>300</v>
      </c>
      <c r="K560" s="15">
        <v>220</v>
      </c>
      <c r="L560" s="15">
        <v>220</v>
      </c>
      <c r="M560" s="15">
        <v>280</v>
      </c>
      <c r="N560" s="15">
        <v>260</v>
      </c>
      <c r="O560" s="15">
        <v>240</v>
      </c>
      <c r="P560" s="15">
        <v>300</v>
      </c>
      <c r="Q560" s="15">
        <v>160</v>
      </c>
      <c r="R560" s="15">
        <v>240</v>
      </c>
      <c r="S560" s="15">
        <v>260</v>
      </c>
      <c r="T560" s="15">
        <v>60</v>
      </c>
      <c r="U560" s="15">
        <v>100</v>
      </c>
      <c r="V560" s="15">
        <v>180</v>
      </c>
      <c r="W560" s="15">
        <v>241</v>
      </c>
      <c r="X560" s="15">
        <v>380</v>
      </c>
      <c r="Y560" s="15">
        <v>180</v>
      </c>
      <c r="Z560" s="4">
        <v>5201</v>
      </c>
      <c r="AA560" s="26">
        <v>24</v>
      </c>
      <c r="AB560" s="7">
        <v>0.34499999999999997</v>
      </c>
    </row>
    <row r="561" spans="1:28" x14ac:dyDescent="0.35">
      <c r="A561" s="1">
        <v>4008346</v>
      </c>
      <c r="B561" s="15">
        <v>4900</v>
      </c>
      <c r="C561" s="15">
        <v>3500</v>
      </c>
      <c r="D561" s="15">
        <v>4900</v>
      </c>
      <c r="E561" s="15">
        <v>5250</v>
      </c>
      <c r="F561" s="15">
        <v>5250</v>
      </c>
      <c r="G561" s="15">
        <v>4710</v>
      </c>
      <c r="H561" s="15">
        <v>2800</v>
      </c>
      <c r="I561" s="15">
        <v>5250</v>
      </c>
      <c r="J561" s="15">
        <v>4900</v>
      </c>
      <c r="K561" s="15">
        <v>4550</v>
      </c>
      <c r="L561" s="15">
        <v>2450</v>
      </c>
      <c r="M561" s="15">
        <v>0</v>
      </c>
      <c r="N561" s="15">
        <v>4900</v>
      </c>
      <c r="O561" s="15">
        <v>5850</v>
      </c>
      <c r="P561" s="15">
        <v>3000</v>
      </c>
      <c r="Q561" s="15">
        <v>6899</v>
      </c>
      <c r="R561" s="15">
        <v>5750</v>
      </c>
      <c r="S561" s="15">
        <v>0</v>
      </c>
      <c r="T561" s="15">
        <v>3250</v>
      </c>
      <c r="U561" s="15">
        <v>1500</v>
      </c>
      <c r="V561" s="15">
        <v>5600</v>
      </c>
      <c r="W561" s="15">
        <v>6700</v>
      </c>
      <c r="X561" s="15">
        <v>4000</v>
      </c>
      <c r="Y561" s="15">
        <v>5750</v>
      </c>
      <c r="Z561" s="4">
        <v>101659</v>
      </c>
      <c r="AA561" s="26">
        <v>22</v>
      </c>
      <c r="AB561" s="7">
        <v>0.42859999999999998</v>
      </c>
    </row>
    <row r="562" spans="1:28" x14ac:dyDescent="0.35">
      <c r="A562" s="1">
        <v>4008347</v>
      </c>
      <c r="B562" s="15">
        <v>200</v>
      </c>
      <c r="C562" s="15">
        <v>0</v>
      </c>
      <c r="D562" s="15">
        <v>0</v>
      </c>
      <c r="E562" s="15">
        <v>500</v>
      </c>
      <c r="F562" s="15">
        <v>500</v>
      </c>
      <c r="G562" s="15">
        <v>500</v>
      </c>
      <c r="H562" s="15">
        <v>500</v>
      </c>
      <c r="I562" s="15">
        <v>0</v>
      </c>
      <c r="J562" s="15">
        <v>100</v>
      </c>
      <c r="K562" s="15">
        <v>100</v>
      </c>
      <c r="L562" s="15">
        <v>0</v>
      </c>
      <c r="M562" s="15">
        <v>300</v>
      </c>
      <c r="N562" s="15">
        <v>100</v>
      </c>
      <c r="O562" s="15">
        <v>0</v>
      </c>
      <c r="P562" s="15">
        <v>500</v>
      </c>
      <c r="Q562" s="15">
        <v>0</v>
      </c>
      <c r="R562" s="15">
        <v>0</v>
      </c>
      <c r="S562" s="15">
        <v>0</v>
      </c>
      <c r="T562" s="15">
        <v>500</v>
      </c>
      <c r="U562" s="15">
        <v>0</v>
      </c>
      <c r="V562" s="15">
        <v>0</v>
      </c>
      <c r="W562" s="15">
        <v>0</v>
      </c>
      <c r="X562" s="15">
        <v>100</v>
      </c>
      <c r="Y562" s="15">
        <v>0</v>
      </c>
      <c r="Z562" s="4">
        <v>3900</v>
      </c>
      <c r="AA562" s="26">
        <v>12</v>
      </c>
      <c r="AB562" s="7">
        <v>1.2786999999999999</v>
      </c>
    </row>
    <row r="563" spans="1:28" x14ac:dyDescent="0.35">
      <c r="A563" s="1">
        <v>4008354</v>
      </c>
      <c r="B563" s="15">
        <v>10</v>
      </c>
      <c r="C563" s="15">
        <v>0</v>
      </c>
      <c r="D563" s="15">
        <v>20</v>
      </c>
      <c r="E563" s="15">
        <v>0</v>
      </c>
      <c r="F563" s="15">
        <v>10</v>
      </c>
      <c r="G563" s="15">
        <v>0</v>
      </c>
      <c r="H563" s="15">
        <v>10</v>
      </c>
      <c r="I563" s="15">
        <v>0</v>
      </c>
      <c r="J563" s="15">
        <v>0</v>
      </c>
      <c r="K563" s="15">
        <v>20</v>
      </c>
      <c r="L563" s="15">
        <v>0</v>
      </c>
      <c r="M563" s="15">
        <v>10</v>
      </c>
      <c r="N563" s="15">
        <v>5</v>
      </c>
      <c r="O563" s="15">
        <v>5</v>
      </c>
      <c r="P563" s="15">
        <v>0</v>
      </c>
      <c r="Q563" s="15">
        <v>0</v>
      </c>
      <c r="R563" s="15">
        <v>10</v>
      </c>
      <c r="S563" s="15">
        <v>0</v>
      </c>
      <c r="T563" s="15">
        <v>0</v>
      </c>
      <c r="U563" s="15">
        <v>0</v>
      </c>
      <c r="V563" s="15">
        <v>0</v>
      </c>
      <c r="W563" s="15">
        <v>10</v>
      </c>
      <c r="X563" s="15">
        <v>5</v>
      </c>
      <c r="Y563" s="15">
        <v>10</v>
      </c>
      <c r="Z563" s="4">
        <v>125</v>
      </c>
      <c r="AA563" s="26">
        <v>12</v>
      </c>
      <c r="AB563" s="7">
        <v>1.1913</v>
      </c>
    </row>
    <row r="564" spans="1:28" x14ac:dyDescent="0.35">
      <c r="A564" s="1">
        <v>4008377</v>
      </c>
      <c r="B564" s="15">
        <v>0</v>
      </c>
      <c r="C564" s="15">
        <v>0</v>
      </c>
      <c r="D564" s="15">
        <v>0</v>
      </c>
      <c r="E564" s="15">
        <v>0</v>
      </c>
      <c r="F564" s="15">
        <v>12</v>
      </c>
      <c r="G564" s="15">
        <v>0</v>
      </c>
      <c r="H564" s="15">
        <v>0</v>
      </c>
      <c r="I564" s="15">
        <v>0</v>
      </c>
      <c r="J564" s="15">
        <v>0</v>
      </c>
      <c r="K564" s="15">
        <v>12</v>
      </c>
      <c r="L564" s="15">
        <v>0</v>
      </c>
      <c r="M564" s="15">
        <v>0</v>
      </c>
      <c r="N564" s="15">
        <v>12</v>
      </c>
      <c r="O564" s="15">
        <v>12</v>
      </c>
      <c r="P564" s="15">
        <v>0</v>
      </c>
      <c r="Q564" s="15">
        <v>0</v>
      </c>
      <c r="R564" s="15">
        <v>0</v>
      </c>
      <c r="S564" s="15">
        <v>0</v>
      </c>
      <c r="T564" s="15">
        <v>36</v>
      </c>
      <c r="U564" s="15">
        <v>24</v>
      </c>
      <c r="V564" s="15">
        <v>24</v>
      </c>
      <c r="W564" s="15">
        <v>0</v>
      </c>
      <c r="X564" s="15">
        <v>12</v>
      </c>
      <c r="Y564" s="15">
        <v>0</v>
      </c>
      <c r="Z564" s="4">
        <v>144</v>
      </c>
      <c r="AA564" s="26">
        <v>8</v>
      </c>
      <c r="AB564" s="7">
        <v>1.633</v>
      </c>
    </row>
    <row r="565" spans="1:28" x14ac:dyDescent="0.35">
      <c r="A565" s="1">
        <v>4008378</v>
      </c>
      <c r="B565" s="15">
        <v>72</v>
      </c>
      <c r="C565" s="15">
        <v>12</v>
      </c>
      <c r="D565" s="15">
        <v>60</v>
      </c>
      <c r="E565" s="15">
        <v>36</v>
      </c>
      <c r="F565" s="15">
        <v>0</v>
      </c>
      <c r="G565" s="15">
        <v>60</v>
      </c>
      <c r="H565" s="15">
        <v>0</v>
      </c>
      <c r="I565" s="15">
        <v>48</v>
      </c>
      <c r="J565" s="15">
        <v>24</v>
      </c>
      <c r="K565" s="15">
        <v>12</v>
      </c>
      <c r="L565" s="15">
        <v>60</v>
      </c>
      <c r="M565" s="15">
        <v>36</v>
      </c>
      <c r="N565" s="15">
        <v>36</v>
      </c>
      <c r="O565" s="15">
        <v>36</v>
      </c>
      <c r="P565" s="15">
        <v>84</v>
      </c>
      <c r="Q565" s="15">
        <v>24</v>
      </c>
      <c r="R565" s="15">
        <v>12</v>
      </c>
      <c r="S565" s="15">
        <v>24</v>
      </c>
      <c r="T565" s="15">
        <v>36</v>
      </c>
      <c r="U565" s="15">
        <v>84</v>
      </c>
      <c r="V565" s="15">
        <v>12</v>
      </c>
      <c r="W565" s="15">
        <v>36</v>
      </c>
      <c r="X565" s="15">
        <v>24</v>
      </c>
      <c r="Y565" s="15">
        <v>12</v>
      </c>
      <c r="Z565" s="4">
        <v>840</v>
      </c>
      <c r="AA565" s="26">
        <v>22</v>
      </c>
      <c r="AB565" s="7">
        <v>0.68510000000000004</v>
      </c>
    </row>
    <row r="566" spans="1:28" x14ac:dyDescent="0.35">
      <c r="A566" s="1">
        <v>4008379</v>
      </c>
      <c r="B566" s="15">
        <v>84</v>
      </c>
      <c r="C566" s="15">
        <v>120</v>
      </c>
      <c r="D566" s="15">
        <v>24</v>
      </c>
      <c r="E566" s="15">
        <v>132</v>
      </c>
      <c r="F566" s="15">
        <v>60</v>
      </c>
      <c r="G566" s="15">
        <v>192</v>
      </c>
      <c r="H566" s="15">
        <v>12</v>
      </c>
      <c r="I566" s="15">
        <v>72</v>
      </c>
      <c r="J566" s="15">
        <v>144</v>
      </c>
      <c r="K566" s="15">
        <v>84</v>
      </c>
      <c r="L566" s="15">
        <v>60</v>
      </c>
      <c r="M566" s="15">
        <v>180</v>
      </c>
      <c r="N566" s="15">
        <v>24</v>
      </c>
      <c r="O566" s="15">
        <v>72</v>
      </c>
      <c r="P566" s="15">
        <v>120</v>
      </c>
      <c r="Q566" s="15">
        <v>48</v>
      </c>
      <c r="R566" s="15">
        <v>84</v>
      </c>
      <c r="S566" s="15">
        <v>36</v>
      </c>
      <c r="T566" s="15">
        <v>120</v>
      </c>
      <c r="U566" s="15">
        <v>84</v>
      </c>
      <c r="V566" s="15">
        <v>48</v>
      </c>
      <c r="W566" s="15">
        <v>108</v>
      </c>
      <c r="X566" s="15">
        <v>60</v>
      </c>
      <c r="Y566" s="15">
        <v>48</v>
      </c>
      <c r="Z566" s="4">
        <v>2016</v>
      </c>
      <c r="AA566" s="26">
        <v>24</v>
      </c>
      <c r="AB566" s="7">
        <v>0.55330000000000001</v>
      </c>
    </row>
    <row r="567" spans="1:28" x14ac:dyDescent="0.35">
      <c r="A567" s="1">
        <v>4008380</v>
      </c>
      <c r="B567" s="15">
        <v>312</v>
      </c>
      <c r="C567" s="15">
        <v>276</v>
      </c>
      <c r="D567" s="15">
        <v>252</v>
      </c>
      <c r="E567" s="15">
        <v>336</v>
      </c>
      <c r="F567" s="15">
        <v>312</v>
      </c>
      <c r="G567" s="15">
        <v>288</v>
      </c>
      <c r="H567" s="15">
        <v>240</v>
      </c>
      <c r="I567" s="15">
        <v>288</v>
      </c>
      <c r="J567" s="15">
        <v>348</v>
      </c>
      <c r="K567" s="15">
        <v>336</v>
      </c>
      <c r="L567" s="15">
        <v>336</v>
      </c>
      <c r="M567" s="15">
        <v>324</v>
      </c>
      <c r="N567" s="15">
        <v>228</v>
      </c>
      <c r="O567" s="15">
        <v>372</v>
      </c>
      <c r="P567" s="15">
        <v>348</v>
      </c>
      <c r="Q567" s="15">
        <v>300</v>
      </c>
      <c r="R567" s="15">
        <v>264</v>
      </c>
      <c r="S567" s="15">
        <v>300</v>
      </c>
      <c r="T567" s="15">
        <v>288</v>
      </c>
      <c r="U567" s="15">
        <v>312</v>
      </c>
      <c r="V567" s="15">
        <v>192</v>
      </c>
      <c r="W567" s="15">
        <v>384</v>
      </c>
      <c r="X567" s="15">
        <v>240</v>
      </c>
      <c r="Y567" s="15">
        <v>240</v>
      </c>
      <c r="Z567" s="4">
        <v>7116</v>
      </c>
      <c r="AA567" s="26">
        <v>24</v>
      </c>
      <c r="AB567" s="7">
        <v>0.1595</v>
      </c>
    </row>
    <row r="568" spans="1:28" x14ac:dyDescent="0.35">
      <c r="A568" s="1">
        <v>4008387</v>
      </c>
      <c r="B568" s="15">
        <v>40</v>
      </c>
      <c r="C568" s="15">
        <v>30</v>
      </c>
      <c r="D568" s="15">
        <v>20</v>
      </c>
      <c r="E568" s="15">
        <v>10</v>
      </c>
      <c r="F568" s="15">
        <v>10</v>
      </c>
      <c r="G568" s="15">
        <v>10</v>
      </c>
      <c r="H568" s="15">
        <v>40</v>
      </c>
      <c r="I568" s="15">
        <v>30</v>
      </c>
      <c r="J568" s="15">
        <v>20</v>
      </c>
      <c r="K568" s="15">
        <v>50</v>
      </c>
      <c r="L568" s="15">
        <v>10</v>
      </c>
      <c r="M568" s="15">
        <v>60</v>
      </c>
      <c r="N568" s="15">
        <v>40</v>
      </c>
      <c r="O568" s="15">
        <v>65</v>
      </c>
      <c r="P568" s="15">
        <v>20</v>
      </c>
      <c r="Q568" s="15">
        <v>60</v>
      </c>
      <c r="R568" s="15">
        <v>40</v>
      </c>
      <c r="S568" s="15">
        <v>40</v>
      </c>
      <c r="T568" s="15">
        <v>40</v>
      </c>
      <c r="U568" s="15">
        <v>0</v>
      </c>
      <c r="V568" s="15">
        <v>50</v>
      </c>
      <c r="W568" s="15">
        <v>40</v>
      </c>
      <c r="X568" s="15">
        <v>50</v>
      </c>
      <c r="Y568" s="15">
        <v>20</v>
      </c>
      <c r="Z568" s="4">
        <v>795</v>
      </c>
      <c r="AA568" s="26">
        <v>23</v>
      </c>
      <c r="AB568" s="7">
        <v>0.53690000000000004</v>
      </c>
    </row>
    <row r="569" spans="1:28" x14ac:dyDescent="0.35">
      <c r="A569" s="1">
        <v>4008388</v>
      </c>
      <c r="B569" s="15">
        <v>275</v>
      </c>
      <c r="C569" s="15">
        <v>225</v>
      </c>
      <c r="D569" s="15">
        <v>525</v>
      </c>
      <c r="E569" s="15">
        <v>350</v>
      </c>
      <c r="F569" s="15">
        <v>525</v>
      </c>
      <c r="G569" s="15">
        <v>175</v>
      </c>
      <c r="H569" s="15">
        <v>300</v>
      </c>
      <c r="I569" s="15">
        <v>600</v>
      </c>
      <c r="J569" s="15">
        <v>325</v>
      </c>
      <c r="K569" s="15">
        <v>400</v>
      </c>
      <c r="L569" s="15">
        <v>450</v>
      </c>
      <c r="M569" s="15">
        <v>450</v>
      </c>
      <c r="N569" s="15">
        <v>375</v>
      </c>
      <c r="O569" s="15">
        <v>150</v>
      </c>
      <c r="P569" s="15">
        <v>525</v>
      </c>
      <c r="Q569" s="15">
        <v>475</v>
      </c>
      <c r="R569" s="15">
        <v>665</v>
      </c>
      <c r="S569" s="15">
        <v>150</v>
      </c>
      <c r="T569" s="15">
        <v>300</v>
      </c>
      <c r="U569" s="15">
        <v>625</v>
      </c>
      <c r="V569" s="15">
        <v>400</v>
      </c>
      <c r="W569" s="15">
        <v>450</v>
      </c>
      <c r="X569" s="15">
        <v>500</v>
      </c>
      <c r="Y569" s="15">
        <v>775</v>
      </c>
      <c r="Z569" s="4">
        <v>9990</v>
      </c>
      <c r="AA569" s="26">
        <v>24</v>
      </c>
      <c r="AB569" s="7">
        <v>0.38479999999999998</v>
      </c>
    </row>
    <row r="570" spans="1:28" x14ac:dyDescent="0.35">
      <c r="A570" s="1">
        <v>4008411</v>
      </c>
      <c r="B570" s="15">
        <v>76</v>
      </c>
      <c r="C570" s="15">
        <v>60</v>
      </c>
      <c r="D570" s="15">
        <v>60</v>
      </c>
      <c r="E570" s="15">
        <v>64</v>
      </c>
      <c r="F570" s="15">
        <v>68</v>
      </c>
      <c r="G570" s="15">
        <v>60</v>
      </c>
      <c r="H570" s="15">
        <v>36</v>
      </c>
      <c r="I570" s="15">
        <v>52</v>
      </c>
      <c r="J570" s="15">
        <v>60</v>
      </c>
      <c r="K570" s="15">
        <v>60</v>
      </c>
      <c r="L570" s="15">
        <v>56</v>
      </c>
      <c r="M570" s="15">
        <v>48</v>
      </c>
      <c r="N570" s="15">
        <v>68</v>
      </c>
      <c r="O570" s="15">
        <v>56</v>
      </c>
      <c r="P570" s="15">
        <v>48</v>
      </c>
      <c r="Q570" s="15">
        <v>48</v>
      </c>
      <c r="R570" s="15">
        <v>48</v>
      </c>
      <c r="S570" s="15">
        <v>36</v>
      </c>
      <c r="T570" s="15">
        <v>12</v>
      </c>
      <c r="U570" s="15">
        <v>24</v>
      </c>
      <c r="V570" s="15">
        <v>16</v>
      </c>
      <c r="W570" s="15">
        <v>24</v>
      </c>
      <c r="X570" s="15">
        <v>24</v>
      </c>
      <c r="Y570" s="15">
        <v>20</v>
      </c>
      <c r="Z570" s="4">
        <v>1124</v>
      </c>
      <c r="AA570" s="26">
        <v>24</v>
      </c>
      <c r="AB570" s="7">
        <v>0.38469999999999999</v>
      </c>
    </row>
    <row r="571" spans="1:28" x14ac:dyDescent="0.35">
      <c r="A571" s="1">
        <v>4008412</v>
      </c>
      <c r="B571" s="15">
        <v>1050</v>
      </c>
      <c r="C571" s="15">
        <v>2700</v>
      </c>
      <c r="D571" s="15">
        <v>2400</v>
      </c>
      <c r="E571" s="15">
        <v>700</v>
      </c>
      <c r="F571" s="15">
        <v>1650</v>
      </c>
      <c r="G571" s="15">
        <v>2000</v>
      </c>
      <c r="H571" s="15">
        <v>600</v>
      </c>
      <c r="I571" s="15">
        <v>1800</v>
      </c>
      <c r="J571" s="15">
        <v>2600</v>
      </c>
      <c r="K571" s="15">
        <v>1100</v>
      </c>
      <c r="L571" s="15">
        <v>2500</v>
      </c>
      <c r="M571" s="15">
        <v>3550</v>
      </c>
      <c r="N571" s="15">
        <v>1500</v>
      </c>
      <c r="O571" s="15">
        <v>950</v>
      </c>
      <c r="P571" s="15">
        <v>3450</v>
      </c>
      <c r="Q571" s="15">
        <v>1150</v>
      </c>
      <c r="R571" s="15">
        <v>1900</v>
      </c>
      <c r="S571" s="15">
        <v>1800</v>
      </c>
      <c r="T571" s="15">
        <v>1100</v>
      </c>
      <c r="U571" s="15">
        <v>2200</v>
      </c>
      <c r="V571" s="15">
        <v>950</v>
      </c>
      <c r="W571" s="15">
        <v>1500</v>
      </c>
      <c r="X571" s="15">
        <v>1250</v>
      </c>
      <c r="Y571" s="15">
        <v>2300</v>
      </c>
      <c r="Z571" s="4">
        <v>42700</v>
      </c>
      <c r="AA571" s="26">
        <v>24</v>
      </c>
      <c r="AB571" s="7">
        <v>0.44579999999999997</v>
      </c>
    </row>
    <row r="572" spans="1:28" x14ac:dyDescent="0.35">
      <c r="A572" s="1">
        <v>4008413</v>
      </c>
      <c r="B572" s="15">
        <v>250</v>
      </c>
      <c r="C572" s="15">
        <v>250</v>
      </c>
      <c r="D572" s="15">
        <v>170</v>
      </c>
      <c r="E572" s="15">
        <v>310</v>
      </c>
      <c r="F572" s="15">
        <v>160</v>
      </c>
      <c r="G572" s="15">
        <v>270</v>
      </c>
      <c r="H572" s="15">
        <v>280</v>
      </c>
      <c r="I572" s="15">
        <v>210</v>
      </c>
      <c r="J572" s="15">
        <v>300</v>
      </c>
      <c r="K572" s="15">
        <v>290</v>
      </c>
      <c r="L572" s="15">
        <v>230</v>
      </c>
      <c r="M572" s="15">
        <v>290</v>
      </c>
      <c r="N572" s="15">
        <v>280</v>
      </c>
      <c r="O572" s="15">
        <v>260</v>
      </c>
      <c r="P572" s="15">
        <v>200</v>
      </c>
      <c r="Q572" s="15">
        <v>260</v>
      </c>
      <c r="R572" s="15">
        <v>250</v>
      </c>
      <c r="S572" s="15">
        <v>130</v>
      </c>
      <c r="T572" s="15">
        <v>280</v>
      </c>
      <c r="U572" s="15">
        <v>200</v>
      </c>
      <c r="V572" s="15">
        <v>260</v>
      </c>
      <c r="W572" s="15">
        <v>190</v>
      </c>
      <c r="X572" s="15">
        <v>260</v>
      </c>
      <c r="Y572" s="15">
        <v>280</v>
      </c>
      <c r="Z572" s="4">
        <v>5860</v>
      </c>
      <c r="AA572" s="26">
        <v>24</v>
      </c>
      <c r="AB572" s="7">
        <v>0.1913</v>
      </c>
    </row>
    <row r="573" spans="1:28" x14ac:dyDescent="0.35">
      <c r="A573" s="1">
        <v>4008419</v>
      </c>
      <c r="B573" s="15">
        <v>314</v>
      </c>
      <c r="C573" s="15">
        <v>371</v>
      </c>
      <c r="D573" s="15">
        <v>328</v>
      </c>
      <c r="E573" s="15">
        <v>353</v>
      </c>
      <c r="F573" s="15">
        <v>263</v>
      </c>
      <c r="G573" s="15">
        <v>368</v>
      </c>
      <c r="H573" s="15">
        <v>182</v>
      </c>
      <c r="I573" s="15">
        <v>258</v>
      </c>
      <c r="J573" s="15">
        <v>236</v>
      </c>
      <c r="K573" s="15">
        <v>320</v>
      </c>
      <c r="L573" s="15">
        <v>366</v>
      </c>
      <c r="M573" s="15">
        <v>306</v>
      </c>
      <c r="N573" s="15">
        <v>332</v>
      </c>
      <c r="O573" s="15">
        <v>388</v>
      </c>
      <c r="P573" s="15">
        <v>344</v>
      </c>
      <c r="Q573" s="15">
        <v>288</v>
      </c>
      <c r="R573" s="15">
        <v>270</v>
      </c>
      <c r="S573" s="15">
        <v>226</v>
      </c>
      <c r="T573" s="15">
        <v>216</v>
      </c>
      <c r="U573" s="15">
        <v>298</v>
      </c>
      <c r="V573" s="15">
        <v>282</v>
      </c>
      <c r="W573" s="15">
        <v>270</v>
      </c>
      <c r="X573" s="15">
        <v>356</v>
      </c>
      <c r="Y573" s="15">
        <v>366</v>
      </c>
      <c r="Z573" s="4">
        <v>7301</v>
      </c>
      <c r="AA573" s="26">
        <v>24</v>
      </c>
      <c r="AB573" s="7">
        <v>0.18</v>
      </c>
    </row>
    <row r="574" spans="1:28" x14ac:dyDescent="0.35">
      <c r="A574" s="1">
        <v>4008431</v>
      </c>
      <c r="B574" s="15">
        <v>0</v>
      </c>
      <c r="C574" s="15">
        <v>0</v>
      </c>
      <c r="D574" s="15">
        <v>40</v>
      </c>
      <c r="E574" s="15">
        <v>0</v>
      </c>
      <c r="F574" s="15">
        <v>260</v>
      </c>
      <c r="G574" s="15">
        <v>0</v>
      </c>
      <c r="H574" s="15">
        <v>0</v>
      </c>
      <c r="I574" s="15">
        <v>20</v>
      </c>
      <c r="J574" s="15">
        <v>0</v>
      </c>
      <c r="K574" s="15">
        <v>10</v>
      </c>
      <c r="L574" s="15">
        <v>0</v>
      </c>
      <c r="M574" s="15">
        <v>80</v>
      </c>
      <c r="N574" s="15">
        <v>20</v>
      </c>
      <c r="O574" s="15">
        <v>0</v>
      </c>
      <c r="P574" s="15">
        <v>20</v>
      </c>
      <c r="Q574" s="15">
        <v>0</v>
      </c>
      <c r="R574" s="15">
        <v>104</v>
      </c>
      <c r="S574" s="15">
        <v>0</v>
      </c>
      <c r="T574" s="15">
        <v>0</v>
      </c>
      <c r="U574" s="15">
        <v>0</v>
      </c>
      <c r="V574" s="15">
        <v>40</v>
      </c>
      <c r="W574" s="15">
        <v>0</v>
      </c>
      <c r="X574" s="15">
        <v>40</v>
      </c>
      <c r="Y574" s="15">
        <v>0</v>
      </c>
      <c r="Z574" s="4">
        <v>634</v>
      </c>
      <c r="AA574" s="26">
        <v>10</v>
      </c>
      <c r="AB574" s="7">
        <v>2.1044</v>
      </c>
    </row>
    <row r="575" spans="1:28" x14ac:dyDescent="0.35">
      <c r="A575" s="1">
        <v>4008436</v>
      </c>
      <c r="B575" s="15">
        <v>538</v>
      </c>
      <c r="C575" s="15">
        <v>408</v>
      </c>
      <c r="D575" s="15">
        <v>171</v>
      </c>
      <c r="E575" s="15">
        <v>651</v>
      </c>
      <c r="F575" s="15">
        <v>465</v>
      </c>
      <c r="G575" s="15">
        <v>351</v>
      </c>
      <c r="H575" s="15">
        <v>435</v>
      </c>
      <c r="I575" s="15">
        <v>693</v>
      </c>
      <c r="J575" s="15">
        <v>378</v>
      </c>
      <c r="K575" s="15">
        <v>513</v>
      </c>
      <c r="L575" s="15">
        <v>582</v>
      </c>
      <c r="M575" s="15">
        <v>343</v>
      </c>
      <c r="N575" s="15">
        <v>579</v>
      </c>
      <c r="O575" s="15">
        <v>711</v>
      </c>
      <c r="P575" s="15">
        <v>632</v>
      </c>
      <c r="Q575" s="15">
        <v>693</v>
      </c>
      <c r="R575" s="15">
        <v>355</v>
      </c>
      <c r="S575" s="15">
        <v>545</v>
      </c>
      <c r="T575" s="15">
        <v>340</v>
      </c>
      <c r="U575" s="15">
        <v>493</v>
      </c>
      <c r="V575" s="15">
        <v>341</v>
      </c>
      <c r="W575" s="15">
        <v>714</v>
      </c>
      <c r="X575" s="15">
        <v>508</v>
      </c>
      <c r="Y575" s="15">
        <v>846</v>
      </c>
      <c r="Z575" s="4">
        <v>12285</v>
      </c>
      <c r="AA575" s="26">
        <v>24</v>
      </c>
      <c r="AB575" s="7">
        <v>0.30730000000000002</v>
      </c>
    </row>
    <row r="576" spans="1:28" x14ac:dyDescent="0.35">
      <c r="A576" s="1">
        <v>4008438</v>
      </c>
      <c r="B576" s="15">
        <v>6000</v>
      </c>
      <c r="C576" s="15">
        <v>5000</v>
      </c>
      <c r="D576" s="15">
        <v>5200</v>
      </c>
      <c r="E576" s="15">
        <v>4800</v>
      </c>
      <c r="F576" s="15">
        <v>5000</v>
      </c>
      <c r="G576" s="15">
        <v>5200</v>
      </c>
      <c r="H576" s="15">
        <v>2600</v>
      </c>
      <c r="I576" s="15">
        <v>5000</v>
      </c>
      <c r="J576" s="15">
        <v>5700</v>
      </c>
      <c r="K576" s="15">
        <v>5400</v>
      </c>
      <c r="L576" s="15">
        <v>6200</v>
      </c>
      <c r="M576" s="15">
        <v>4400</v>
      </c>
      <c r="N576" s="15">
        <v>6200</v>
      </c>
      <c r="O576" s="15">
        <v>5200</v>
      </c>
      <c r="P576" s="15">
        <v>5000</v>
      </c>
      <c r="Q576" s="15">
        <v>5000</v>
      </c>
      <c r="R576" s="15">
        <v>5400</v>
      </c>
      <c r="S576" s="15">
        <v>5000</v>
      </c>
      <c r="T576" s="15">
        <v>3000</v>
      </c>
      <c r="U576" s="15">
        <v>5000</v>
      </c>
      <c r="V576" s="15">
        <v>6600</v>
      </c>
      <c r="W576" s="15">
        <v>5000</v>
      </c>
      <c r="X576" s="15">
        <v>5600</v>
      </c>
      <c r="Y576" s="15">
        <v>5600</v>
      </c>
      <c r="Z576" s="4">
        <v>123100</v>
      </c>
      <c r="AA576" s="26">
        <v>24</v>
      </c>
      <c r="AB576" s="7">
        <v>0.1681</v>
      </c>
    </row>
    <row r="577" spans="1:28" x14ac:dyDescent="0.35">
      <c r="A577" s="1">
        <v>4008439</v>
      </c>
      <c r="B577" s="15">
        <v>1000</v>
      </c>
      <c r="C577" s="15">
        <v>1200</v>
      </c>
      <c r="D577" s="15">
        <v>400</v>
      </c>
      <c r="E577" s="15">
        <v>1600</v>
      </c>
      <c r="F577" s="15">
        <v>1000</v>
      </c>
      <c r="G577" s="15">
        <v>400</v>
      </c>
      <c r="H577" s="15">
        <v>1000</v>
      </c>
      <c r="I577" s="15">
        <v>800</v>
      </c>
      <c r="J577" s="15">
        <v>1200</v>
      </c>
      <c r="K577" s="15">
        <v>800</v>
      </c>
      <c r="L577" s="15">
        <v>1200</v>
      </c>
      <c r="M577" s="15">
        <v>1000</v>
      </c>
      <c r="N577" s="15">
        <v>800</v>
      </c>
      <c r="O577" s="15">
        <v>800</v>
      </c>
      <c r="P577" s="15">
        <v>800</v>
      </c>
      <c r="Q577" s="15">
        <v>800</v>
      </c>
      <c r="R577" s="15">
        <v>600</v>
      </c>
      <c r="S577" s="15">
        <v>1200</v>
      </c>
      <c r="T577" s="15">
        <v>400</v>
      </c>
      <c r="U577" s="15">
        <v>1200</v>
      </c>
      <c r="V577" s="15">
        <v>400</v>
      </c>
      <c r="W577" s="15">
        <v>1200</v>
      </c>
      <c r="X577" s="15">
        <v>1000</v>
      </c>
      <c r="Y577" s="15">
        <v>400</v>
      </c>
      <c r="Z577" s="4">
        <v>21200</v>
      </c>
      <c r="AA577" s="26">
        <v>24</v>
      </c>
      <c r="AB577" s="7">
        <v>0.3634</v>
      </c>
    </row>
    <row r="578" spans="1:28" x14ac:dyDescent="0.35">
      <c r="A578" s="1">
        <v>4008441</v>
      </c>
      <c r="B578" s="15">
        <v>100</v>
      </c>
      <c r="C578" s="15">
        <v>50</v>
      </c>
      <c r="D578" s="15">
        <v>70</v>
      </c>
      <c r="E578" s="15">
        <v>100</v>
      </c>
      <c r="F578" s="15">
        <v>50</v>
      </c>
      <c r="G578" s="15">
        <v>150</v>
      </c>
      <c r="H578" s="15">
        <v>50</v>
      </c>
      <c r="I578" s="15">
        <v>50</v>
      </c>
      <c r="J578" s="15">
        <v>50</v>
      </c>
      <c r="K578" s="15">
        <v>50</v>
      </c>
      <c r="L578" s="15">
        <v>100</v>
      </c>
      <c r="M578" s="15">
        <v>50</v>
      </c>
      <c r="N578" s="15">
        <v>270</v>
      </c>
      <c r="O578" s="15">
        <v>110</v>
      </c>
      <c r="P578" s="15">
        <v>50</v>
      </c>
      <c r="Q578" s="15">
        <v>60</v>
      </c>
      <c r="R578" s="15">
        <v>50</v>
      </c>
      <c r="S578" s="15">
        <v>160</v>
      </c>
      <c r="T578" s="15">
        <v>60</v>
      </c>
      <c r="U578" s="15">
        <v>50</v>
      </c>
      <c r="V578" s="15">
        <v>50</v>
      </c>
      <c r="W578" s="15">
        <v>50</v>
      </c>
      <c r="X578" s="15">
        <v>100</v>
      </c>
      <c r="Y578" s="15">
        <v>100</v>
      </c>
      <c r="Z578" s="4">
        <v>1980</v>
      </c>
      <c r="AA578" s="26">
        <v>24</v>
      </c>
      <c r="AB578" s="7">
        <v>0.61529999999999996</v>
      </c>
    </row>
    <row r="579" spans="1:28" x14ac:dyDescent="0.35">
      <c r="A579" s="1">
        <v>4008446</v>
      </c>
      <c r="B579" s="15">
        <v>26</v>
      </c>
      <c r="C579" s="15">
        <v>22</v>
      </c>
      <c r="D579" s="15">
        <v>26</v>
      </c>
      <c r="E579" s="15">
        <v>20</v>
      </c>
      <c r="F579" s="15">
        <v>10</v>
      </c>
      <c r="G579" s="15">
        <v>10</v>
      </c>
      <c r="H579" s="15">
        <v>0</v>
      </c>
      <c r="I579" s="15">
        <v>16</v>
      </c>
      <c r="J579" s="15">
        <v>10</v>
      </c>
      <c r="K579" s="15">
        <v>0</v>
      </c>
      <c r="L579" s="15">
        <v>0</v>
      </c>
      <c r="M579" s="15">
        <v>10</v>
      </c>
      <c r="N579" s="15">
        <v>0</v>
      </c>
      <c r="O579" s="15">
        <v>0</v>
      </c>
      <c r="P579" s="15">
        <v>6</v>
      </c>
      <c r="Q579" s="15">
        <v>0</v>
      </c>
      <c r="R579" s="15">
        <v>0</v>
      </c>
      <c r="S579" s="15">
        <v>0</v>
      </c>
      <c r="T579" s="15">
        <v>6</v>
      </c>
      <c r="U579" s="15">
        <v>0</v>
      </c>
      <c r="V579" s="15">
        <v>0</v>
      </c>
      <c r="W579" s="15">
        <v>6</v>
      </c>
      <c r="X579" s="15">
        <v>0</v>
      </c>
      <c r="Y579" s="15">
        <v>0</v>
      </c>
      <c r="Z579" s="4">
        <v>168</v>
      </c>
      <c r="AA579" s="26">
        <v>12</v>
      </c>
      <c r="AB579" s="7">
        <v>1.2454000000000001</v>
      </c>
    </row>
    <row r="580" spans="1:28" x14ac:dyDescent="0.35">
      <c r="A580" s="1">
        <v>4008447</v>
      </c>
      <c r="B580" s="15">
        <v>144</v>
      </c>
      <c r="C580" s="15">
        <v>108</v>
      </c>
      <c r="D580" s="15">
        <v>324</v>
      </c>
      <c r="E580" s="15">
        <v>288</v>
      </c>
      <c r="F580" s="15">
        <v>72</v>
      </c>
      <c r="G580" s="15">
        <v>396</v>
      </c>
      <c r="H580" s="15">
        <v>216</v>
      </c>
      <c r="I580" s="15">
        <v>396</v>
      </c>
      <c r="J580" s="15">
        <v>216</v>
      </c>
      <c r="K580" s="15">
        <v>180</v>
      </c>
      <c r="L580" s="15">
        <v>216</v>
      </c>
      <c r="M580" s="15">
        <v>72</v>
      </c>
      <c r="N580" s="15">
        <v>180</v>
      </c>
      <c r="O580" s="15">
        <v>216</v>
      </c>
      <c r="P580" s="15">
        <v>180</v>
      </c>
      <c r="Q580" s="15">
        <v>180</v>
      </c>
      <c r="R580" s="15">
        <v>108</v>
      </c>
      <c r="S580" s="15">
        <v>144</v>
      </c>
      <c r="T580" s="15">
        <v>180</v>
      </c>
      <c r="U580" s="15">
        <v>144</v>
      </c>
      <c r="V580" s="15">
        <v>36</v>
      </c>
      <c r="W580" s="15">
        <v>216</v>
      </c>
      <c r="X580" s="15">
        <v>36</v>
      </c>
      <c r="Y580" s="15">
        <v>252</v>
      </c>
      <c r="Z580" s="4">
        <v>4500</v>
      </c>
      <c r="AA580" s="26">
        <v>24</v>
      </c>
      <c r="AB580" s="7">
        <v>0.50490000000000002</v>
      </c>
    </row>
    <row r="581" spans="1:28" x14ac:dyDescent="0.35">
      <c r="A581" s="1">
        <v>4008448</v>
      </c>
      <c r="B581" s="15">
        <v>252</v>
      </c>
      <c r="C581" s="15">
        <v>396</v>
      </c>
      <c r="D581" s="15">
        <v>396</v>
      </c>
      <c r="E581" s="15">
        <v>180</v>
      </c>
      <c r="F581" s="15">
        <v>360</v>
      </c>
      <c r="G581" s="15">
        <v>216</v>
      </c>
      <c r="H581" s="15">
        <v>324</v>
      </c>
      <c r="I581" s="15">
        <v>180</v>
      </c>
      <c r="J581" s="15">
        <v>360</v>
      </c>
      <c r="K581" s="15">
        <v>504</v>
      </c>
      <c r="L581" s="15">
        <v>216</v>
      </c>
      <c r="M581" s="15">
        <v>180</v>
      </c>
      <c r="N581" s="15">
        <v>540</v>
      </c>
      <c r="O581" s="15">
        <v>216</v>
      </c>
      <c r="P581" s="15">
        <v>396</v>
      </c>
      <c r="Q581" s="15">
        <v>288</v>
      </c>
      <c r="R581" s="15">
        <v>504</v>
      </c>
      <c r="S581" s="15">
        <v>288</v>
      </c>
      <c r="T581" s="15">
        <v>288</v>
      </c>
      <c r="U581" s="15">
        <v>252</v>
      </c>
      <c r="V581" s="15">
        <v>468</v>
      </c>
      <c r="W581" s="15">
        <v>360</v>
      </c>
      <c r="X581" s="15">
        <v>72</v>
      </c>
      <c r="Y581" s="15">
        <v>540</v>
      </c>
      <c r="Z581" s="4">
        <v>7776</v>
      </c>
      <c r="AA581" s="26">
        <v>24</v>
      </c>
      <c r="AB581" s="7">
        <v>0.38490000000000002</v>
      </c>
    </row>
    <row r="582" spans="1:28" x14ac:dyDescent="0.35">
      <c r="A582" s="1">
        <v>4008449</v>
      </c>
      <c r="B582" s="15">
        <v>0</v>
      </c>
      <c r="C582" s="15">
        <v>36</v>
      </c>
      <c r="D582" s="15">
        <v>36</v>
      </c>
      <c r="E582" s="15">
        <v>108</v>
      </c>
      <c r="F582" s="15">
        <v>0</v>
      </c>
      <c r="G582" s="15">
        <v>36</v>
      </c>
      <c r="H582" s="15">
        <v>0</v>
      </c>
      <c r="I582" s="15">
        <v>0</v>
      </c>
      <c r="J582" s="15">
        <v>0</v>
      </c>
      <c r="K582" s="15">
        <v>0</v>
      </c>
      <c r="L582" s="15">
        <v>108</v>
      </c>
      <c r="M582" s="15">
        <v>36</v>
      </c>
      <c r="N582" s="15">
        <v>36</v>
      </c>
      <c r="O582" s="15">
        <v>36</v>
      </c>
      <c r="P582" s="15">
        <v>0</v>
      </c>
      <c r="Q582" s="15">
        <v>36</v>
      </c>
      <c r="R582" s="15">
        <v>0</v>
      </c>
      <c r="S582" s="15">
        <v>0</v>
      </c>
      <c r="T582" s="15">
        <v>0</v>
      </c>
      <c r="U582" s="15">
        <v>72</v>
      </c>
      <c r="V582" s="15">
        <v>72</v>
      </c>
      <c r="W582" s="15">
        <v>36</v>
      </c>
      <c r="X582" s="15">
        <v>0</v>
      </c>
      <c r="Y582" s="15">
        <v>0</v>
      </c>
      <c r="Z582" s="4">
        <v>648</v>
      </c>
      <c r="AA582" s="26">
        <v>12</v>
      </c>
      <c r="AB582" s="7">
        <v>1.2323</v>
      </c>
    </row>
    <row r="583" spans="1:28" x14ac:dyDescent="0.35">
      <c r="A583" s="1">
        <v>4008451</v>
      </c>
      <c r="B583" s="15">
        <v>72</v>
      </c>
      <c r="C583" s="15">
        <v>144</v>
      </c>
      <c r="D583" s="15">
        <v>36</v>
      </c>
      <c r="E583" s="15">
        <v>216</v>
      </c>
      <c r="F583" s="15">
        <v>144</v>
      </c>
      <c r="G583" s="15">
        <v>72</v>
      </c>
      <c r="H583" s="15">
        <v>0</v>
      </c>
      <c r="I583" s="15">
        <v>36</v>
      </c>
      <c r="J583" s="15">
        <v>72</v>
      </c>
      <c r="K583" s="15">
        <v>144</v>
      </c>
      <c r="L583" s="15">
        <v>108</v>
      </c>
      <c r="M583" s="15">
        <v>72</v>
      </c>
      <c r="N583" s="15">
        <v>108</v>
      </c>
      <c r="O583" s="15">
        <v>0</v>
      </c>
      <c r="P583" s="15">
        <v>144</v>
      </c>
      <c r="Q583" s="15">
        <v>36</v>
      </c>
      <c r="R583" s="15">
        <v>108</v>
      </c>
      <c r="S583" s="15">
        <v>72</v>
      </c>
      <c r="T583" s="15">
        <v>0</v>
      </c>
      <c r="U583" s="15">
        <v>144</v>
      </c>
      <c r="V583" s="15">
        <v>72</v>
      </c>
      <c r="W583" s="15">
        <v>108</v>
      </c>
      <c r="X583" s="15">
        <v>36</v>
      </c>
      <c r="Y583" s="15">
        <v>0</v>
      </c>
      <c r="Z583" s="4">
        <v>1944</v>
      </c>
      <c r="AA583" s="26">
        <v>20</v>
      </c>
      <c r="AB583" s="7">
        <v>0.69389999999999996</v>
      </c>
    </row>
    <row r="584" spans="1:28" x14ac:dyDescent="0.35">
      <c r="A584" s="1">
        <v>4008453</v>
      </c>
      <c r="B584" s="15">
        <v>36</v>
      </c>
      <c r="C584" s="15">
        <v>72</v>
      </c>
      <c r="D584" s="15">
        <v>108</v>
      </c>
      <c r="E584" s="15">
        <v>252</v>
      </c>
      <c r="F584" s="15">
        <v>216</v>
      </c>
      <c r="G584" s="15">
        <v>72</v>
      </c>
      <c r="H584" s="15">
        <v>72</v>
      </c>
      <c r="I584" s="15">
        <v>144</v>
      </c>
      <c r="J584" s="15">
        <v>108</v>
      </c>
      <c r="K584" s="15">
        <v>180</v>
      </c>
      <c r="L584" s="15">
        <v>36</v>
      </c>
      <c r="M584" s="15">
        <v>72</v>
      </c>
      <c r="N584" s="15">
        <v>252</v>
      </c>
      <c r="O584" s="15">
        <v>360</v>
      </c>
      <c r="P584" s="15">
        <v>0</v>
      </c>
      <c r="Q584" s="15">
        <v>180</v>
      </c>
      <c r="R584" s="15">
        <v>72</v>
      </c>
      <c r="S584" s="15">
        <v>252</v>
      </c>
      <c r="T584" s="15">
        <v>72</v>
      </c>
      <c r="U584" s="15">
        <v>216</v>
      </c>
      <c r="V584" s="15">
        <v>216</v>
      </c>
      <c r="W584" s="15">
        <v>144</v>
      </c>
      <c r="X584" s="15">
        <v>0</v>
      </c>
      <c r="Y584" s="15">
        <v>360</v>
      </c>
      <c r="Z584" s="4">
        <v>3492</v>
      </c>
      <c r="AA584" s="26">
        <v>22</v>
      </c>
      <c r="AB584" s="7">
        <v>0.69430000000000003</v>
      </c>
    </row>
    <row r="585" spans="1:28" x14ac:dyDescent="0.35">
      <c r="A585" s="1">
        <v>4008454</v>
      </c>
      <c r="B585" s="15">
        <v>216</v>
      </c>
      <c r="C585" s="15">
        <v>144</v>
      </c>
      <c r="D585" s="15">
        <v>288</v>
      </c>
      <c r="E585" s="15">
        <v>252</v>
      </c>
      <c r="F585" s="15">
        <v>144</v>
      </c>
      <c r="G585" s="15">
        <v>72</v>
      </c>
      <c r="H585" s="15">
        <v>144</v>
      </c>
      <c r="I585" s="15">
        <v>144</v>
      </c>
      <c r="J585" s="15">
        <v>324</v>
      </c>
      <c r="K585" s="15">
        <v>252</v>
      </c>
      <c r="L585" s="15">
        <v>216</v>
      </c>
      <c r="M585" s="15">
        <v>72</v>
      </c>
      <c r="N585" s="15">
        <v>540</v>
      </c>
      <c r="O585" s="15">
        <v>72</v>
      </c>
      <c r="P585" s="15">
        <v>216</v>
      </c>
      <c r="Q585" s="15">
        <v>72</v>
      </c>
      <c r="R585" s="15">
        <v>288</v>
      </c>
      <c r="S585" s="15">
        <v>288</v>
      </c>
      <c r="T585" s="15">
        <v>72</v>
      </c>
      <c r="U585" s="15">
        <v>216</v>
      </c>
      <c r="V585" s="15">
        <v>72</v>
      </c>
      <c r="W585" s="15">
        <v>36</v>
      </c>
      <c r="X585" s="15">
        <v>360</v>
      </c>
      <c r="Y585" s="15">
        <v>0</v>
      </c>
      <c r="Z585" s="4">
        <v>4500</v>
      </c>
      <c r="AA585" s="26">
        <v>23</v>
      </c>
      <c r="AB585" s="7">
        <v>0.65339999999999998</v>
      </c>
    </row>
    <row r="586" spans="1:28" x14ac:dyDescent="0.35">
      <c r="A586" s="1">
        <v>4008455</v>
      </c>
      <c r="B586" s="15">
        <v>0</v>
      </c>
      <c r="C586" s="15">
        <v>144</v>
      </c>
      <c r="D586" s="15">
        <v>144</v>
      </c>
      <c r="E586" s="15">
        <v>36</v>
      </c>
      <c r="F586" s="15">
        <v>0</v>
      </c>
      <c r="G586" s="15">
        <v>216</v>
      </c>
      <c r="H586" s="15">
        <v>144</v>
      </c>
      <c r="I586" s="15">
        <v>0</v>
      </c>
      <c r="J586" s="15">
        <v>0</v>
      </c>
      <c r="K586" s="15">
        <v>252</v>
      </c>
      <c r="L586" s="15">
        <v>0</v>
      </c>
      <c r="M586" s="15">
        <v>108</v>
      </c>
      <c r="N586" s="15">
        <v>216</v>
      </c>
      <c r="O586" s="15">
        <v>144</v>
      </c>
      <c r="P586" s="15">
        <v>0</v>
      </c>
      <c r="Q586" s="15">
        <v>0</v>
      </c>
      <c r="R586" s="15">
        <v>144</v>
      </c>
      <c r="S586" s="15">
        <v>144</v>
      </c>
      <c r="T586" s="15">
        <v>144</v>
      </c>
      <c r="U586" s="15">
        <v>0</v>
      </c>
      <c r="V586" s="15">
        <v>144</v>
      </c>
      <c r="W586" s="15">
        <v>144</v>
      </c>
      <c r="X586" s="15">
        <v>144</v>
      </c>
      <c r="Y586" s="15">
        <v>0</v>
      </c>
      <c r="Z586" s="4">
        <v>2268</v>
      </c>
      <c r="AA586" s="26">
        <v>15</v>
      </c>
      <c r="AB586" s="7">
        <v>0.87160000000000004</v>
      </c>
    </row>
    <row r="587" spans="1:28" x14ac:dyDescent="0.35">
      <c r="A587" s="1">
        <v>4008456</v>
      </c>
      <c r="B587" s="15">
        <v>0</v>
      </c>
      <c r="C587" s="15">
        <v>72</v>
      </c>
      <c r="D587" s="15">
        <v>0</v>
      </c>
      <c r="E587" s="15">
        <v>180</v>
      </c>
      <c r="F587" s="15">
        <v>72</v>
      </c>
      <c r="G587" s="15">
        <v>0</v>
      </c>
      <c r="H587" s="15">
        <v>0</v>
      </c>
      <c r="I587" s="15">
        <v>36</v>
      </c>
      <c r="J587" s="15">
        <v>0</v>
      </c>
      <c r="K587" s="15">
        <v>36</v>
      </c>
      <c r="L587" s="15">
        <v>0</v>
      </c>
      <c r="M587" s="15">
        <v>0</v>
      </c>
      <c r="N587" s="15">
        <v>0</v>
      </c>
      <c r="O587" s="15">
        <v>0</v>
      </c>
      <c r="P587" s="15">
        <v>36</v>
      </c>
      <c r="Q587" s="15">
        <v>0</v>
      </c>
      <c r="R587" s="15">
        <v>0</v>
      </c>
      <c r="S587" s="15">
        <v>180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4">
        <v>612</v>
      </c>
      <c r="AA587" s="26">
        <v>7</v>
      </c>
      <c r="AB587" s="7">
        <v>2.0164</v>
      </c>
    </row>
    <row r="588" spans="1:28" x14ac:dyDescent="0.35">
      <c r="A588" s="1">
        <v>4008457</v>
      </c>
      <c r="B588" s="15">
        <v>252</v>
      </c>
      <c r="C588" s="15">
        <v>108</v>
      </c>
      <c r="D588" s="15">
        <v>180</v>
      </c>
      <c r="E588" s="15">
        <v>144</v>
      </c>
      <c r="F588" s="15">
        <v>0</v>
      </c>
      <c r="G588" s="15">
        <v>36</v>
      </c>
      <c r="H588" s="15">
        <v>36</v>
      </c>
      <c r="I588" s="15">
        <v>108</v>
      </c>
      <c r="J588" s="15">
        <v>108</v>
      </c>
      <c r="K588" s="15">
        <v>0</v>
      </c>
      <c r="L588" s="15">
        <v>108</v>
      </c>
      <c r="M588" s="15">
        <v>0</v>
      </c>
      <c r="N588" s="15">
        <v>180</v>
      </c>
      <c r="O588" s="15">
        <v>324</v>
      </c>
      <c r="P588" s="15">
        <v>72</v>
      </c>
      <c r="Q588" s="15">
        <v>0</v>
      </c>
      <c r="R588" s="15">
        <v>108</v>
      </c>
      <c r="S588" s="15">
        <v>72</v>
      </c>
      <c r="T588" s="15">
        <v>0</v>
      </c>
      <c r="U588" s="15">
        <v>180</v>
      </c>
      <c r="V588" s="15">
        <v>72</v>
      </c>
      <c r="W588" s="15">
        <v>72</v>
      </c>
      <c r="X588" s="15">
        <v>108</v>
      </c>
      <c r="Y588" s="15">
        <v>252</v>
      </c>
      <c r="Z588" s="4">
        <v>2520</v>
      </c>
      <c r="AA588" s="26">
        <v>19</v>
      </c>
      <c r="AB588" s="7">
        <v>0.8216</v>
      </c>
    </row>
    <row r="589" spans="1:28" x14ac:dyDescent="0.35">
      <c r="A589" s="1">
        <v>4008458</v>
      </c>
      <c r="B589" s="15">
        <v>0</v>
      </c>
      <c r="C589" s="15">
        <v>0</v>
      </c>
      <c r="D589" s="15">
        <v>0</v>
      </c>
      <c r="E589" s="15">
        <v>0</v>
      </c>
      <c r="F589" s="15">
        <v>0</v>
      </c>
      <c r="G589" s="15">
        <v>60</v>
      </c>
      <c r="H589" s="15">
        <v>108</v>
      </c>
      <c r="I589" s="15">
        <v>96</v>
      </c>
      <c r="J589" s="15">
        <v>132</v>
      </c>
      <c r="K589" s="15">
        <v>156</v>
      </c>
      <c r="L589" s="15">
        <v>108</v>
      </c>
      <c r="M589" s="15">
        <v>60</v>
      </c>
      <c r="N589" s="15">
        <v>192</v>
      </c>
      <c r="O589" s="15">
        <v>120</v>
      </c>
      <c r="P589" s="15">
        <v>108</v>
      </c>
      <c r="Q589" s="15">
        <v>108</v>
      </c>
      <c r="R589" s="15">
        <v>108</v>
      </c>
      <c r="S589" s="15">
        <v>120</v>
      </c>
      <c r="T589" s="15">
        <v>96</v>
      </c>
      <c r="U589" s="15">
        <v>96</v>
      </c>
      <c r="V589" s="15">
        <v>96</v>
      </c>
      <c r="W589" s="15">
        <v>144</v>
      </c>
      <c r="X589" s="15">
        <v>132</v>
      </c>
      <c r="Y589" s="15">
        <v>144</v>
      </c>
      <c r="Z589" s="4">
        <v>2184</v>
      </c>
      <c r="AA589" s="26">
        <v>19</v>
      </c>
      <c r="AB589" s="7">
        <v>0.59330000000000005</v>
      </c>
    </row>
    <row r="590" spans="1:28" x14ac:dyDescent="0.35">
      <c r="A590" s="1">
        <v>4008460</v>
      </c>
      <c r="B590" s="15">
        <v>0</v>
      </c>
      <c r="C590" s="15">
        <v>72</v>
      </c>
      <c r="D590" s="15">
        <v>0</v>
      </c>
      <c r="E590" s="15">
        <v>108</v>
      </c>
      <c r="F590" s="15">
        <v>36</v>
      </c>
      <c r="G590" s="15">
        <v>0</v>
      </c>
      <c r="H590" s="15">
        <v>0</v>
      </c>
      <c r="I590" s="15">
        <v>108</v>
      </c>
      <c r="J590" s="15">
        <v>0</v>
      </c>
      <c r="K590" s="15">
        <v>36</v>
      </c>
      <c r="L590" s="15">
        <v>0</v>
      </c>
      <c r="M590" s="15">
        <v>36</v>
      </c>
      <c r="N590" s="15">
        <v>72</v>
      </c>
      <c r="O590" s="15">
        <v>0</v>
      </c>
      <c r="P590" s="15">
        <v>72</v>
      </c>
      <c r="Q590" s="15">
        <v>108</v>
      </c>
      <c r="R590" s="15">
        <v>144</v>
      </c>
      <c r="S590" s="15">
        <v>0</v>
      </c>
      <c r="T590" s="15">
        <v>0</v>
      </c>
      <c r="U590" s="15">
        <v>36</v>
      </c>
      <c r="V590" s="15">
        <v>0</v>
      </c>
      <c r="W590" s="15">
        <v>216</v>
      </c>
      <c r="X590" s="15">
        <v>144</v>
      </c>
      <c r="Y590" s="15">
        <v>0</v>
      </c>
      <c r="Z590" s="4">
        <v>1188</v>
      </c>
      <c r="AA590" s="26">
        <v>13</v>
      </c>
      <c r="AB590" s="7">
        <v>1.2025999999999999</v>
      </c>
    </row>
    <row r="591" spans="1:28" x14ac:dyDescent="0.35">
      <c r="A591" s="1">
        <v>4008461</v>
      </c>
      <c r="B591" s="15">
        <v>0</v>
      </c>
      <c r="C591" s="15">
        <v>0</v>
      </c>
      <c r="D591" s="15">
        <v>0</v>
      </c>
      <c r="E591" s="15">
        <v>0</v>
      </c>
      <c r="F591" s="15">
        <v>36</v>
      </c>
      <c r="G591" s="15">
        <v>180</v>
      </c>
      <c r="H591" s="15">
        <v>0</v>
      </c>
      <c r="I591" s="15">
        <v>0</v>
      </c>
      <c r="J591" s="15">
        <v>0</v>
      </c>
      <c r="K591" s="15">
        <v>36</v>
      </c>
      <c r="L591" s="15">
        <v>0</v>
      </c>
      <c r="M591" s="15">
        <v>0</v>
      </c>
      <c r="N591" s="15">
        <v>72</v>
      </c>
      <c r="O591" s="15">
        <v>72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72</v>
      </c>
      <c r="Y591" s="15">
        <v>36</v>
      </c>
      <c r="Z591" s="4">
        <v>504</v>
      </c>
      <c r="AA591" s="26">
        <v>7</v>
      </c>
      <c r="AB591" s="7">
        <v>1.9742999999999999</v>
      </c>
    </row>
    <row r="592" spans="1:28" x14ac:dyDescent="0.35">
      <c r="A592" s="1">
        <v>4008462</v>
      </c>
      <c r="B592" s="15">
        <v>288</v>
      </c>
      <c r="C592" s="15">
        <v>396</v>
      </c>
      <c r="D592" s="15">
        <v>432</v>
      </c>
      <c r="E592" s="15">
        <v>576</v>
      </c>
      <c r="F592" s="15">
        <v>288</v>
      </c>
      <c r="G592" s="15">
        <v>360</v>
      </c>
      <c r="H592" s="15">
        <v>144</v>
      </c>
      <c r="I592" s="15">
        <v>432</v>
      </c>
      <c r="J592" s="15">
        <v>396</v>
      </c>
      <c r="K592" s="15">
        <v>540</v>
      </c>
      <c r="L592" s="15">
        <v>360</v>
      </c>
      <c r="M592" s="15">
        <v>216</v>
      </c>
      <c r="N592" s="15">
        <v>432</v>
      </c>
      <c r="O592" s="15">
        <v>432</v>
      </c>
      <c r="P592" s="15">
        <v>324</v>
      </c>
      <c r="Q592" s="15">
        <v>325</v>
      </c>
      <c r="R592" s="15">
        <v>432</v>
      </c>
      <c r="S592" s="15">
        <v>288</v>
      </c>
      <c r="T592" s="15">
        <v>0</v>
      </c>
      <c r="U592" s="15">
        <v>540</v>
      </c>
      <c r="V592" s="15">
        <v>469</v>
      </c>
      <c r="W592" s="15">
        <v>360</v>
      </c>
      <c r="X592" s="15">
        <v>432</v>
      </c>
      <c r="Y592" s="15">
        <v>396</v>
      </c>
      <c r="Z592" s="4">
        <v>8858</v>
      </c>
      <c r="AA592" s="26">
        <v>23</v>
      </c>
      <c r="AB592" s="7">
        <v>0.33710000000000001</v>
      </c>
    </row>
    <row r="593" spans="1:29" x14ac:dyDescent="0.35">
      <c r="A593" s="1">
        <v>4008463</v>
      </c>
      <c r="B593" s="15">
        <v>12</v>
      </c>
      <c r="C593" s="15">
        <v>0</v>
      </c>
      <c r="D593" s="15">
        <v>36</v>
      </c>
      <c r="E593" s="15">
        <v>72</v>
      </c>
      <c r="F593" s="15">
        <v>36</v>
      </c>
      <c r="G593" s="15">
        <v>36</v>
      </c>
      <c r="H593" s="15">
        <v>0</v>
      </c>
      <c r="I593" s="15">
        <v>0</v>
      </c>
      <c r="J593" s="15">
        <v>72</v>
      </c>
      <c r="K593" s="15">
        <v>36</v>
      </c>
      <c r="L593" s="15">
        <v>0</v>
      </c>
      <c r="M593" s="15">
        <v>72</v>
      </c>
      <c r="N593" s="15">
        <v>36</v>
      </c>
      <c r="O593" s="15">
        <v>36</v>
      </c>
      <c r="P593" s="15">
        <v>36</v>
      </c>
      <c r="Q593" s="15">
        <v>72</v>
      </c>
      <c r="R593" s="15">
        <v>132</v>
      </c>
      <c r="S593" s="15">
        <v>36</v>
      </c>
      <c r="T593" s="15">
        <v>36</v>
      </c>
      <c r="U593" s="15">
        <v>0</v>
      </c>
      <c r="V593" s="15">
        <v>0</v>
      </c>
      <c r="W593" s="15">
        <v>72</v>
      </c>
      <c r="X593" s="15">
        <v>0</v>
      </c>
      <c r="Y593" s="15">
        <v>52</v>
      </c>
      <c r="Z593" s="4">
        <v>880</v>
      </c>
      <c r="AA593" s="26">
        <v>17</v>
      </c>
      <c r="AB593" s="7">
        <v>0.89049999999999996</v>
      </c>
    </row>
    <row r="594" spans="1:29" x14ac:dyDescent="0.35">
      <c r="A594" s="1">
        <v>4008464</v>
      </c>
      <c r="B594" s="15">
        <v>0</v>
      </c>
      <c r="C594" s="15">
        <v>12</v>
      </c>
      <c r="D594" s="15">
        <v>36</v>
      </c>
      <c r="E594" s="15">
        <v>12</v>
      </c>
      <c r="F594" s="15">
        <v>48</v>
      </c>
      <c r="G594" s="15">
        <v>48</v>
      </c>
      <c r="H594" s="15">
        <v>12</v>
      </c>
      <c r="I594" s="15">
        <v>0</v>
      </c>
      <c r="J594" s="15">
        <v>0</v>
      </c>
      <c r="K594" s="15">
        <v>12</v>
      </c>
      <c r="L594" s="15">
        <v>12</v>
      </c>
      <c r="M594" s="15">
        <v>12</v>
      </c>
      <c r="N594" s="15">
        <v>96</v>
      </c>
      <c r="O594" s="15">
        <v>0</v>
      </c>
      <c r="P594" s="15">
        <v>12</v>
      </c>
      <c r="Q594" s="15">
        <v>24</v>
      </c>
      <c r="R594" s="15">
        <v>24</v>
      </c>
      <c r="S594" s="15">
        <v>24</v>
      </c>
      <c r="T594" s="15">
        <v>72</v>
      </c>
      <c r="U594" s="15">
        <v>0</v>
      </c>
      <c r="V594" s="15">
        <v>0</v>
      </c>
      <c r="W594" s="15">
        <v>24</v>
      </c>
      <c r="X594" s="15">
        <v>36</v>
      </c>
      <c r="Y594" s="15">
        <v>0</v>
      </c>
      <c r="Z594" s="4">
        <v>516</v>
      </c>
      <c r="AA594" s="26">
        <v>17</v>
      </c>
      <c r="AB594" s="7">
        <v>1.1160000000000001</v>
      </c>
    </row>
    <row r="595" spans="1:29" x14ac:dyDescent="0.35">
      <c r="A595" s="1">
        <v>4008465</v>
      </c>
      <c r="B595" s="15">
        <v>4450</v>
      </c>
      <c r="C595" s="15">
        <v>6600</v>
      </c>
      <c r="D595" s="15">
        <v>4400</v>
      </c>
      <c r="E595" s="15">
        <v>1250</v>
      </c>
      <c r="F595" s="15">
        <v>2000</v>
      </c>
      <c r="G595" s="15">
        <v>2300</v>
      </c>
      <c r="H595" s="15">
        <v>4350</v>
      </c>
      <c r="I595" s="15">
        <v>2900</v>
      </c>
      <c r="J595" s="15">
        <v>4950</v>
      </c>
      <c r="K595" s="15">
        <v>6850</v>
      </c>
      <c r="L595" s="15">
        <v>4350</v>
      </c>
      <c r="M595" s="15">
        <v>8450</v>
      </c>
      <c r="N595" s="15">
        <v>5350</v>
      </c>
      <c r="O595" s="15">
        <v>6850</v>
      </c>
      <c r="P595" s="15">
        <v>4250</v>
      </c>
      <c r="Q595" s="15">
        <v>5350</v>
      </c>
      <c r="R595" s="15">
        <v>5900</v>
      </c>
      <c r="S595" s="15">
        <v>6800</v>
      </c>
      <c r="T595" s="15">
        <v>6000</v>
      </c>
      <c r="U595" s="15">
        <v>5950</v>
      </c>
      <c r="V595" s="15">
        <v>5400</v>
      </c>
      <c r="W595" s="15">
        <v>7750</v>
      </c>
      <c r="X595" s="15">
        <v>5250</v>
      </c>
      <c r="Y595" s="15">
        <v>7450</v>
      </c>
      <c r="Z595" s="4">
        <v>125150</v>
      </c>
      <c r="AA595" s="26">
        <v>24</v>
      </c>
      <c r="AB595" s="7">
        <v>0.34350000000000003</v>
      </c>
    </row>
    <row r="596" spans="1:29" x14ac:dyDescent="0.35">
      <c r="A596" s="1">
        <v>4008466</v>
      </c>
      <c r="B596" s="15">
        <v>17750</v>
      </c>
      <c r="C596" s="15">
        <v>12400</v>
      </c>
      <c r="D596" s="15">
        <v>14750</v>
      </c>
      <c r="E596" s="15">
        <v>15650</v>
      </c>
      <c r="F596" s="15">
        <v>14600</v>
      </c>
      <c r="G596" s="15">
        <v>17150</v>
      </c>
      <c r="H596" s="15">
        <v>13550</v>
      </c>
      <c r="I596" s="15">
        <v>12400</v>
      </c>
      <c r="J596" s="15">
        <v>12650</v>
      </c>
      <c r="K596" s="15">
        <v>17000</v>
      </c>
      <c r="L596" s="15">
        <v>15200</v>
      </c>
      <c r="M596" s="15">
        <v>19250</v>
      </c>
      <c r="N596" s="15">
        <v>13100</v>
      </c>
      <c r="O596" s="15">
        <v>11000</v>
      </c>
      <c r="P596" s="15">
        <v>17400</v>
      </c>
      <c r="Q596" s="15">
        <v>11900</v>
      </c>
      <c r="R596" s="15">
        <v>13350</v>
      </c>
      <c r="S596" s="15">
        <v>14550</v>
      </c>
      <c r="T596" s="15">
        <v>11400</v>
      </c>
      <c r="U596" s="15">
        <v>9500</v>
      </c>
      <c r="V596" s="15">
        <v>14100</v>
      </c>
      <c r="W596" s="15">
        <v>15450</v>
      </c>
      <c r="X596" s="15">
        <v>11550</v>
      </c>
      <c r="Y596" s="15">
        <v>13850</v>
      </c>
      <c r="Z596" s="4">
        <v>339500</v>
      </c>
      <c r="AA596" s="26">
        <v>24</v>
      </c>
      <c r="AB596" s="7">
        <v>0.16700000000000001</v>
      </c>
    </row>
    <row r="597" spans="1:29" x14ac:dyDescent="0.35">
      <c r="A597" s="1">
        <v>4008471</v>
      </c>
      <c r="B597" s="15">
        <v>0</v>
      </c>
      <c r="C597" s="15">
        <v>0</v>
      </c>
      <c r="D597" s="15">
        <v>0</v>
      </c>
      <c r="E597" s="15">
        <v>20</v>
      </c>
      <c r="F597" s="15">
        <v>0</v>
      </c>
      <c r="G597" s="15">
        <v>0</v>
      </c>
      <c r="H597" s="15">
        <v>30</v>
      </c>
      <c r="I597" s="15">
        <v>10</v>
      </c>
      <c r="J597" s="15">
        <v>20</v>
      </c>
      <c r="K597" s="15">
        <v>0</v>
      </c>
      <c r="L597" s="15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20</v>
      </c>
      <c r="R597" s="15">
        <v>20</v>
      </c>
      <c r="S597" s="15">
        <v>0</v>
      </c>
      <c r="T597" s="15">
        <v>0</v>
      </c>
      <c r="U597" s="15">
        <v>20</v>
      </c>
      <c r="V597" s="15">
        <v>20</v>
      </c>
      <c r="W597" s="15">
        <v>10</v>
      </c>
      <c r="X597" s="15">
        <v>0</v>
      </c>
      <c r="Y597" s="15">
        <v>20</v>
      </c>
      <c r="Z597" s="4">
        <v>190</v>
      </c>
      <c r="AA597" s="26">
        <v>10</v>
      </c>
      <c r="AB597" s="7">
        <v>1.2621</v>
      </c>
    </row>
    <row r="598" spans="1:29" x14ac:dyDescent="0.35">
      <c r="A598" s="1">
        <v>4008473</v>
      </c>
      <c r="B598" s="15">
        <v>10</v>
      </c>
      <c r="C598" s="15">
        <v>0</v>
      </c>
      <c r="D598" s="15">
        <v>30</v>
      </c>
      <c r="E598" s="15">
        <v>50</v>
      </c>
      <c r="F598" s="15">
        <v>20</v>
      </c>
      <c r="G598" s="15">
        <v>20</v>
      </c>
      <c r="H598" s="15">
        <v>30</v>
      </c>
      <c r="I598" s="15">
        <v>30</v>
      </c>
      <c r="J598" s="15">
        <v>40</v>
      </c>
      <c r="K598" s="15">
        <v>20</v>
      </c>
      <c r="L598" s="15">
        <v>20</v>
      </c>
      <c r="M598" s="15">
        <v>0</v>
      </c>
      <c r="N598" s="15">
        <v>10</v>
      </c>
      <c r="O598" s="15">
        <v>50</v>
      </c>
      <c r="P598" s="15">
        <v>40</v>
      </c>
      <c r="Q598" s="15">
        <v>10</v>
      </c>
      <c r="R598" s="15">
        <v>0</v>
      </c>
      <c r="S598" s="15">
        <v>0</v>
      </c>
      <c r="T598" s="15">
        <v>20</v>
      </c>
      <c r="U598" s="15">
        <v>20</v>
      </c>
      <c r="V598" s="15">
        <v>20</v>
      </c>
      <c r="W598" s="15">
        <v>10</v>
      </c>
      <c r="X598" s="15">
        <v>20</v>
      </c>
      <c r="Y598" s="15">
        <v>0</v>
      </c>
      <c r="Z598" s="4">
        <v>470</v>
      </c>
      <c r="AA598" s="26">
        <v>19</v>
      </c>
      <c r="AB598" s="7">
        <v>0.75849999999999995</v>
      </c>
    </row>
    <row r="599" spans="1:29" x14ac:dyDescent="0.35">
      <c r="A599" s="1">
        <v>4008474</v>
      </c>
      <c r="B599" s="15">
        <v>20</v>
      </c>
      <c r="C599" s="15">
        <v>20</v>
      </c>
      <c r="D599" s="15">
        <v>30</v>
      </c>
      <c r="E599" s="15">
        <v>20</v>
      </c>
      <c r="F599" s="15">
        <v>20</v>
      </c>
      <c r="G599" s="15">
        <v>10</v>
      </c>
      <c r="H599" s="15">
        <v>0</v>
      </c>
      <c r="I599" s="15">
        <v>10</v>
      </c>
      <c r="J599" s="15">
        <v>20</v>
      </c>
      <c r="K599" s="15">
        <v>10</v>
      </c>
      <c r="L599" s="15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4">
        <v>160</v>
      </c>
      <c r="AA599" s="26">
        <v>9</v>
      </c>
      <c r="AB599" s="7">
        <v>1.4141999999999999</v>
      </c>
    </row>
    <row r="600" spans="1:29" x14ac:dyDescent="0.35">
      <c r="A600" s="1">
        <v>4008475</v>
      </c>
      <c r="B600" s="15">
        <v>0</v>
      </c>
      <c r="C600" s="15">
        <v>0</v>
      </c>
      <c r="D600" s="15">
        <v>40</v>
      </c>
      <c r="E600" s="15">
        <v>0</v>
      </c>
      <c r="F600" s="15">
        <v>0</v>
      </c>
      <c r="G600" s="15">
        <v>0</v>
      </c>
      <c r="H600" s="15">
        <v>0</v>
      </c>
      <c r="I600" s="15">
        <v>10</v>
      </c>
      <c r="J600" s="15">
        <v>0</v>
      </c>
      <c r="K600" s="15">
        <v>10</v>
      </c>
      <c r="L600" s="15">
        <v>0</v>
      </c>
      <c r="M600" s="15">
        <v>0</v>
      </c>
      <c r="N600" s="15">
        <v>0</v>
      </c>
      <c r="O600" s="15">
        <v>40</v>
      </c>
      <c r="P600" s="15">
        <v>10</v>
      </c>
      <c r="Q600" s="15">
        <v>0</v>
      </c>
      <c r="R600" s="15">
        <v>0</v>
      </c>
      <c r="S600" s="15">
        <v>0</v>
      </c>
      <c r="T600" s="15">
        <v>0</v>
      </c>
      <c r="U600" s="15">
        <v>10</v>
      </c>
      <c r="V600" s="15">
        <v>0</v>
      </c>
      <c r="W600" s="15">
        <v>0</v>
      </c>
      <c r="X600" s="15">
        <v>0</v>
      </c>
      <c r="Y600" s="15">
        <v>0</v>
      </c>
      <c r="Z600" s="4">
        <v>120</v>
      </c>
      <c r="AA600" s="26">
        <v>6</v>
      </c>
      <c r="AB600" s="7">
        <v>2.2361</v>
      </c>
    </row>
    <row r="601" spans="1:29" x14ac:dyDescent="0.35">
      <c r="A601" s="1">
        <v>4008476</v>
      </c>
      <c r="B601" s="15">
        <v>0</v>
      </c>
      <c r="C601" s="15">
        <v>30</v>
      </c>
      <c r="D601" s="15">
        <v>60</v>
      </c>
      <c r="E601" s="15">
        <v>0</v>
      </c>
      <c r="F601" s="15">
        <v>60</v>
      </c>
      <c r="G601" s="15">
        <v>0</v>
      </c>
      <c r="H601" s="15">
        <v>0</v>
      </c>
      <c r="I601" s="15">
        <v>0</v>
      </c>
      <c r="J601" s="15">
        <v>0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v>60</v>
      </c>
      <c r="Q601" s="15">
        <v>0</v>
      </c>
      <c r="R601" s="15">
        <v>30</v>
      </c>
      <c r="S601" s="15">
        <v>30</v>
      </c>
      <c r="T601" s="15">
        <v>0</v>
      </c>
      <c r="U601" s="15">
        <v>0</v>
      </c>
      <c r="V601" s="15">
        <v>0</v>
      </c>
      <c r="W601" s="15">
        <v>60</v>
      </c>
      <c r="X601" s="15">
        <v>0</v>
      </c>
      <c r="Y601" s="15">
        <v>0</v>
      </c>
      <c r="Z601" s="4">
        <v>330</v>
      </c>
      <c r="AA601" s="26">
        <v>7</v>
      </c>
      <c r="AB601" s="7">
        <v>1.6638999999999999</v>
      </c>
    </row>
    <row r="602" spans="1:29" x14ac:dyDescent="0.35">
      <c r="A602" s="1">
        <v>4008481</v>
      </c>
      <c r="B602" s="15">
        <v>0</v>
      </c>
      <c r="C602" s="15">
        <v>0</v>
      </c>
      <c r="D602" s="15">
        <v>108</v>
      </c>
      <c r="E602" s="15">
        <v>36</v>
      </c>
      <c r="F602" s="15">
        <v>0</v>
      </c>
      <c r="G602" s="15">
        <v>12</v>
      </c>
      <c r="H602" s="15">
        <v>12</v>
      </c>
      <c r="I602" s="15">
        <v>0</v>
      </c>
      <c r="J602" s="15">
        <v>84</v>
      </c>
      <c r="K602" s="15">
        <v>0</v>
      </c>
      <c r="L602" s="15">
        <v>0</v>
      </c>
      <c r="M602" s="15">
        <v>36</v>
      </c>
      <c r="N602" s="15">
        <v>36</v>
      </c>
      <c r="O602" s="15">
        <v>0</v>
      </c>
      <c r="P602" s="15">
        <v>0</v>
      </c>
      <c r="Q602" s="15">
        <v>0</v>
      </c>
      <c r="R602" s="15">
        <v>36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4">
        <v>360</v>
      </c>
      <c r="AA602" s="26">
        <v>8</v>
      </c>
      <c r="AB602" s="7">
        <v>1.8654999999999999</v>
      </c>
    </row>
    <row r="603" spans="1:29" x14ac:dyDescent="0.35">
      <c r="A603" s="1">
        <v>4008490</v>
      </c>
      <c r="B603" s="15">
        <v>40</v>
      </c>
      <c r="C603" s="15">
        <v>10</v>
      </c>
      <c r="D603" s="15">
        <v>50</v>
      </c>
      <c r="E603" s="15">
        <v>20</v>
      </c>
      <c r="F603" s="15">
        <v>20</v>
      </c>
      <c r="G603" s="15">
        <v>70</v>
      </c>
      <c r="H603" s="15">
        <v>0</v>
      </c>
      <c r="I603" s="15">
        <v>20</v>
      </c>
      <c r="J603" s="15">
        <v>30</v>
      </c>
      <c r="K603" s="15">
        <v>20</v>
      </c>
      <c r="L603" s="15">
        <v>40</v>
      </c>
      <c r="M603" s="15">
        <v>30</v>
      </c>
      <c r="N603" s="15">
        <v>20</v>
      </c>
      <c r="O603" s="15">
        <v>40</v>
      </c>
      <c r="P603" s="15">
        <v>20</v>
      </c>
      <c r="Q603" s="15">
        <v>20</v>
      </c>
      <c r="R603" s="15">
        <v>10</v>
      </c>
      <c r="S603" s="15">
        <v>20</v>
      </c>
      <c r="T603" s="15">
        <v>20</v>
      </c>
      <c r="U603" s="15">
        <v>40</v>
      </c>
      <c r="V603" s="15">
        <v>10</v>
      </c>
      <c r="W603" s="15">
        <v>30</v>
      </c>
      <c r="X603" s="15">
        <v>20</v>
      </c>
      <c r="Y603" s="15">
        <v>10</v>
      </c>
      <c r="Z603" s="4">
        <v>610</v>
      </c>
      <c r="AA603" s="26">
        <v>23</v>
      </c>
      <c r="AB603" s="7">
        <v>0.58989999999999998</v>
      </c>
    </row>
    <row r="604" spans="1:29" x14ac:dyDescent="0.35">
      <c r="A604" s="1">
        <v>4008506</v>
      </c>
      <c r="B604" s="15">
        <v>0</v>
      </c>
      <c r="C604" s="15">
        <v>0</v>
      </c>
      <c r="D604" s="15">
        <v>0</v>
      </c>
      <c r="E604" s="15">
        <v>0</v>
      </c>
      <c r="F604" s="15">
        <v>600</v>
      </c>
      <c r="G604" s="15">
        <v>700</v>
      </c>
      <c r="H604" s="15">
        <v>900</v>
      </c>
      <c r="I604" s="15">
        <v>0</v>
      </c>
      <c r="J604" s="15">
        <v>200</v>
      </c>
      <c r="K604" s="15">
        <v>450</v>
      </c>
      <c r="L604" s="15">
        <v>400</v>
      </c>
      <c r="M604" s="15">
        <v>1650</v>
      </c>
      <c r="N604" s="15">
        <v>1250</v>
      </c>
      <c r="O604" s="15">
        <v>950</v>
      </c>
      <c r="P604" s="15">
        <v>800</v>
      </c>
      <c r="Q604" s="15">
        <v>1400</v>
      </c>
      <c r="R604" s="15">
        <v>600</v>
      </c>
      <c r="S604" s="15">
        <v>1200</v>
      </c>
      <c r="T604" s="15">
        <v>950</v>
      </c>
      <c r="U604" s="15">
        <v>1100</v>
      </c>
      <c r="V604" s="15">
        <v>1200</v>
      </c>
      <c r="W604" s="15">
        <v>1400</v>
      </c>
      <c r="X604" s="15">
        <v>1100</v>
      </c>
      <c r="Y604" s="15">
        <v>1100</v>
      </c>
      <c r="Z604" s="4">
        <v>17950</v>
      </c>
      <c r="AA604" s="26">
        <v>19</v>
      </c>
      <c r="AB604" s="7">
        <v>0.67720000000000002</v>
      </c>
    </row>
    <row r="605" spans="1:29" x14ac:dyDescent="0.35">
      <c r="A605" s="1">
        <v>4008507</v>
      </c>
      <c r="B605" s="15">
        <v>0</v>
      </c>
      <c r="C605" s="15">
        <v>450</v>
      </c>
      <c r="D605" s="15">
        <v>850</v>
      </c>
      <c r="E605" s="15">
        <v>400</v>
      </c>
      <c r="F605" s="15">
        <v>900</v>
      </c>
      <c r="G605" s="15">
        <v>600</v>
      </c>
      <c r="H605" s="15">
        <v>650</v>
      </c>
      <c r="I605" s="15">
        <v>550</v>
      </c>
      <c r="J605" s="15">
        <v>900</v>
      </c>
      <c r="K605" s="15">
        <v>950</v>
      </c>
      <c r="L605" s="15">
        <v>1000</v>
      </c>
      <c r="M605" s="15">
        <v>1250</v>
      </c>
      <c r="N605" s="15">
        <v>1450</v>
      </c>
      <c r="O605" s="15">
        <v>1000</v>
      </c>
      <c r="P605" s="15">
        <v>1350</v>
      </c>
      <c r="Q605" s="15">
        <v>1100</v>
      </c>
      <c r="R605" s="15">
        <v>1000</v>
      </c>
      <c r="S605" s="15">
        <v>900</v>
      </c>
      <c r="T605" s="15">
        <v>1000</v>
      </c>
      <c r="U605" s="15">
        <v>600</v>
      </c>
      <c r="V605" s="15">
        <v>1300</v>
      </c>
      <c r="W605" s="15">
        <v>800</v>
      </c>
      <c r="X605" s="15">
        <v>1350</v>
      </c>
      <c r="Y605" s="15">
        <v>900</v>
      </c>
      <c r="Z605" s="4">
        <v>21250</v>
      </c>
      <c r="AA605" s="26">
        <v>23</v>
      </c>
      <c r="AB605" s="7">
        <v>0.37930000000000003</v>
      </c>
    </row>
    <row r="606" spans="1:29" x14ac:dyDescent="0.35">
      <c r="A606" s="1">
        <v>4008508</v>
      </c>
      <c r="B606" s="15">
        <v>100</v>
      </c>
      <c r="C606" s="15">
        <v>650</v>
      </c>
      <c r="D606" s="15">
        <v>100</v>
      </c>
      <c r="E606" s="15">
        <v>550</v>
      </c>
      <c r="F606" s="15">
        <v>350</v>
      </c>
      <c r="G606" s="15">
        <v>650</v>
      </c>
      <c r="H606" s="15">
        <v>1050</v>
      </c>
      <c r="I606" s="15">
        <v>650</v>
      </c>
      <c r="J606" s="15">
        <v>1000</v>
      </c>
      <c r="K606" s="15">
        <v>650</v>
      </c>
      <c r="L606" s="15">
        <v>850</v>
      </c>
      <c r="M606" s="15">
        <v>950</v>
      </c>
      <c r="N606" s="15">
        <v>950</v>
      </c>
      <c r="O606" s="15">
        <v>1100</v>
      </c>
      <c r="P606" s="15">
        <v>1550</v>
      </c>
      <c r="Q606" s="15">
        <v>1200</v>
      </c>
      <c r="R606" s="15">
        <v>750</v>
      </c>
      <c r="S606" s="15">
        <v>1350</v>
      </c>
      <c r="T606" s="15">
        <v>1450</v>
      </c>
      <c r="U606" s="15">
        <v>1150</v>
      </c>
      <c r="V606" s="15">
        <v>1200</v>
      </c>
      <c r="W606" s="15">
        <v>950</v>
      </c>
      <c r="X606" s="15">
        <v>800</v>
      </c>
      <c r="Y606" s="15">
        <v>950</v>
      </c>
      <c r="Z606" s="4">
        <v>20950</v>
      </c>
      <c r="AA606" s="26">
        <v>24</v>
      </c>
      <c r="AB606" s="7">
        <v>0.4199</v>
      </c>
    </row>
    <row r="607" spans="1:29" x14ac:dyDescent="0.35">
      <c r="A607" s="1">
        <v>4008511</v>
      </c>
      <c r="B607" s="15">
        <v>0</v>
      </c>
      <c r="C607" s="15">
        <v>0</v>
      </c>
      <c r="D607" s="15">
        <v>0</v>
      </c>
      <c r="E607" s="15">
        <v>0</v>
      </c>
      <c r="F607" s="15">
        <v>0</v>
      </c>
      <c r="G607" s="15">
        <v>0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8</v>
      </c>
      <c r="T607" s="15">
        <v>0</v>
      </c>
      <c r="U607" s="15">
        <v>0</v>
      </c>
      <c r="V607" s="15">
        <v>16</v>
      </c>
      <c r="W607" s="15">
        <v>8</v>
      </c>
      <c r="X607" s="15">
        <v>62</v>
      </c>
      <c r="Y607" s="15">
        <v>12</v>
      </c>
      <c r="Z607" s="4">
        <v>106</v>
      </c>
      <c r="AA607" s="26">
        <v>5</v>
      </c>
      <c r="AB607" s="7">
        <v>2.8877000000000002</v>
      </c>
      <c r="AC607" s="1" t="s">
        <v>3230</v>
      </c>
    </row>
    <row r="608" spans="1:29" x14ac:dyDescent="0.35">
      <c r="A608" s="1">
        <v>4008530</v>
      </c>
      <c r="B608" s="15">
        <v>0</v>
      </c>
      <c r="C608" s="15">
        <v>0</v>
      </c>
      <c r="D608" s="15">
        <v>300</v>
      </c>
      <c r="E608" s="15">
        <v>50</v>
      </c>
      <c r="F608" s="15">
        <v>0</v>
      </c>
      <c r="G608" s="15">
        <v>250</v>
      </c>
      <c r="H608" s="15">
        <v>150</v>
      </c>
      <c r="I608" s="15">
        <v>201</v>
      </c>
      <c r="J608" s="15">
        <v>339</v>
      </c>
      <c r="K608" s="15">
        <v>440</v>
      </c>
      <c r="L608" s="15">
        <v>380</v>
      </c>
      <c r="M608" s="15">
        <v>520</v>
      </c>
      <c r="N608" s="15">
        <v>390</v>
      </c>
      <c r="O608" s="15">
        <v>750</v>
      </c>
      <c r="P608" s="15">
        <v>370</v>
      </c>
      <c r="Q608" s="15">
        <v>760</v>
      </c>
      <c r="R608" s="15">
        <v>330</v>
      </c>
      <c r="S608" s="15">
        <v>330</v>
      </c>
      <c r="T608" s="15">
        <v>200</v>
      </c>
      <c r="U608" s="15">
        <v>330</v>
      </c>
      <c r="V608" s="15">
        <v>360</v>
      </c>
      <c r="W608" s="15">
        <v>572</v>
      </c>
      <c r="X608" s="15">
        <v>338</v>
      </c>
      <c r="Y608" s="15">
        <v>271</v>
      </c>
      <c r="Z608" s="4">
        <v>7631</v>
      </c>
      <c r="AA608" s="26">
        <v>21</v>
      </c>
      <c r="AB608" s="7">
        <v>0.62739999999999996</v>
      </c>
    </row>
    <row r="609" spans="1:29" x14ac:dyDescent="0.35">
      <c r="A609" s="1">
        <v>4008559</v>
      </c>
      <c r="B609" s="15">
        <v>0</v>
      </c>
      <c r="C609" s="15">
        <v>0</v>
      </c>
      <c r="D609" s="15">
        <v>0</v>
      </c>
      <c r="E609" s="15">
        <v>50</v>
      </c>
      <c r="F609" s="15">
        <v>0</v>
      </c>
      <c r="G609" s="15">
        <v>0</v>
      </c>
      <c r="H609" s="15">
        <v>0</v>
      </c>
      <c r="I609" s="15">
        <v>25</v>
      </c>
      <c r="J609" s="15">
        <v>0</v>
      </c>
      <c r="K609" s="15">
        <v>100</v>
      </c>
      <c r="L609" s="15">
        <v>173</v>
      </c>
      <c r="M609" s="15">
        <v>52</v>
      </c>
      <c r="N609" s="15">
        <v>0</v>
      </c>
      <c r="O609" s="15">
        <v>0</v>
      </c>
      <c r="P609" s="15">
        <v>50</v>
      </c>
      <c r="Q609" s="15">
        <v>50</v>
      </c>
      <c r="R609" s="15">
        <v>75</v>
      </c>
      <c r="S609" s="15">
        <v>50</v>
      </c>
      <c r="T609" s="15">
        <v>50</v>
      </c>
      <c r="U609" s="15">
        <v>0</v>
      </c>
      <c r="V609" s="15">
        <v>100</v>
      </c>
      <c r="W609" s="15">
        <v>0</v>
      </c>
      <c r="X609" s="15">
        <v>75</v>
      </c>
      <c r="Y609" s="15">
        <v>75</v>
      </c>
      <c r="Z609" s="4">
        <v>925</v>
      </c>
      <c r="AA609" s="26">
        <v>13</v>
      </c>
      <c r="AB609" s="7">
        <v>1.1479999999999999</v>
      </c>
    </row>
    <row r="610" spans="1:29" x14ac:dyDescent="0.35">
      <c r="A610" s="1">
        <v>4008583</v>
      </c>
      <c r="B610" s="15">
        <v>0</v>
      </c>
      <c r="C610" s="15">
        <v>0</v>
      </c>
      <c r="D610" s="15">
        <v>0</v>
      </c>
      <c r="E610" s="15">
        <v>0</v>
      </c>
      <c r="F610" s="15">
        <v>0</v>
      </c>
      <c r="G610" s="15">
        <v>4</v>
      </c>
      <c r="H610" s="15">
        <v>9</v>
      </c>
      <c r="I610" s="15">
        <v>6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13</v>
      </c>
      <c r="R610" s="15">
        <v>0</v>
      </c>
      <c r="S610" s="15">
        <v>3</v>
      </c>
      <c r="T610" s="15">
        <v>6</v>
      </c>
      <c r="U610" s="15">
        <v>9</v>
      </c>
      <c r="V610" s="15">
        <v>0</v>
      </c>
      <c r="W610" s="15">
        <v>0</v>
      </c>
      <c r="X610" s="15">
        <v>0</v>
      </c>
      <c r="Y610" s="15">
        <v>0</v>
      </c>
      <c r="Z610" s="4">
        <v>50</v>
      </c>
      <c r="AA610" s="26">
        <v>7</v>
      </c>
      <c r="AB610" s="7">
        <v>1.7632000000000001</v>
      </c>
    </row>
    <row r="611" spans="1:29" x14ac:dyDescent="0.35">
      <c r="A611" s="1">
        <v>4008589</v>
      </c>
      <c r="B611" s="15">
        <v>0</v>
      </c>
      <c r="C611" s="15">
        <v>5</v>
      </c>
      <c r="D611" s="15">
        <v>15</v>
      </c>
      <c r="E611" s="15">
        <v>10</v>
      </c>
      <c r="F611" s="15">
        <v>10</v>
      </c>
      <c r="G611" s="15">
        <v>45</v>
      </c>
      <c r="H611" s="15">
        <v>0</v>
      </c>
      <c r="I611" s="15">
        <v>0</v>
      </c>
      <c r="J611" s="15">
        <v>5</v>
      </c>
      <c r="K611" s="15">
        <v>0</v>
      </c>
      <c r="L611" s="15">
        <v>0</v>
      </c>
      <c r="M611" s="15">
        <v>0</v>
      </c>
      <c r="N611" s="15">
        <v>25</v>
      </c>
      <c r="O611" s="15">
        <v>15</v>
      </c>
      <c r="P611" s="15">
        <v>5</v>
      </c>
      <c r="Q611" s="15">
        <v>25</v>
      </c>
      <c r="R611" s="15">
        <v>0</v>
      </c>
      <c r="S611" s="15">
        <v>15</v>
      </c>
      <c r="T611" s="15">
        <v>30</v>
      </c>
      <c r="U611" s="15">
        <v>0</v>
      </c>
      <c r="V611" s="15">
        <v>65</v>
      </c>
      <c r="W611" s="15">
        <v>20</v>
      </c>
      <c r="X611" s="15">
        <v>35</v>
      </c>
      <c r="Y611" s="15">
        <v>30</v>
      </c>
      <c r="Z611" s="4">
        <v>355</v>
      </c>
      <c r="AA611" s="26">
        <v>16</v>
      </c>
      <c r="AB611" s="7">
        <v>1.1231</v>
      </c>
    </row>
    <row r="612" spans="1:29" x14ac:dyDescent="0.35">
      <c r="A612" s="1">
        <v>4008609</v>
      </c>
      <c r="B612" s="15">
        <v>0</v>
      </c>
      <c r="C612" s="15">
        <v>72</v>
      </c>
      <c r="D612" s="15">
        <v>0</v>
      </c>
      <c r="E612" s="15">
        <v>216</v>
      </c>
      <c r="F612" s="15">
        <v>36</v>
      </c>
      <c r="G612" s="15">
        <v>0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24</v>
      </c>
      <c r="O612" s="15">
        <v>0</v>
      </c>
      <c r="P612" s="15">
        <v>0</v>
      </c>
      <c r="Q612" s="15">
        <v>0</v>
      </c>
      <c r="R612" s="15">
        <v>0</v>
      </c>
      <c r="S612" s="15">
        <v>0</v>
      </c>
      <c r="T612" s="15">
        <v>24</v>
      </c>
      <c r="U612" s="15">
        <v>0</v>
      </c>
      <c r="V612" s="15">
        <v>0</v>
      </c>
      <c r="W612" s="15">
        <v>0</v>
      </c>
      <c r="X612" s="15">
        <v>0</v>
      </c>
      <c r="Y612" s="15">
        <v>120</v>
      </c>
      <c r="Z612" s="4">
        <v>492</v>
      </c>
      <c r="AA612" s="26">
        <v>6</v>
      </c>
      <c r="AB612" s="7">
        <v>2.4104000000000001</v>
      </c>
    </row>
    <row r="613" spans="1:29" x14ac:dyDescent="0.35">
      <c r="A613" s="1">
        <v>4008615</v>
      </c>
      <c r="B613" s="15">
        <v>20</v>
      </c>
      <c r="C613" s="15">
        <v>0</v>
      </c>
      <c r="D613" s="15">
        <v>0</v>
      </c>
      <c r="E613" s="15">
        <v>0</v>
      </c>
      <c r="F613" s="15">
        <v>0</v>
      </c>
      <c r="G613" s="15">
        <v>0</v>
      </c>
      <c r="H613" s="15">
        <v>0</v>
      </c>
      <c r="I613" s="15">
        <v>0</v>
      </c>
      <c r="J613" s="15">
        <v>0</v>
      </c>
      <c r="K613" s="15">
        <v>0</v>
      </c>
      <c r="L613" s="15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4">
        <v>20</v>
      </c>
      <c r="AA613" s="26">
        <v>1</v>
      </c>
      <c r="AB613" s="7">
        <v>4.7957999999999998</v>
      </c>
      <c r="AC613" s="1" t="s">
        <v>3230</v>
      </c>
    </row>
    <row r="614" spans="1:29" x14ac:dyDescent="0.35">
      <c r="A614" s="1">
        <v>4009078</v>
      </c>
      <c r="B614" s="15">
        <v>2075</v>
      </c>
      <c r="C614" s="15">
        <v>1675</v>
      </c>
      <c r="D614" s="15">
        <v>1655</v>
      </c>
      <c r="E614" s="15">
        <v>1925</v>
      </c>
      <c r="F614" s="15">
        <v>1950</v>
      </c>
      <c r="G614" s="15">
        <v>1675</v>
      </c>
      <c r="H614" s="15">
        <v>1000</v>
      </c>
      <c r="I614" s="15">
        <v>1600</v>
      </c>
      <c r="J614" s="15">
        <v>1975</v>
      </c>
      <c r="K614" s="15">
        <v>1725</v>
      </c>
      <c r="L614" s="15">
        <v>1900</v>
      </c>
      <c r="M614" s="15">
        <v>1650</v>
      </c>
      <c r="N614" s="15">
        <v>1825</v>
      </c>
      <c r="O614" s="15">
        <v>2780</v>
      </c>
      <c r="P614" s="15">
        <v>2125</v>
      </c>
      <c r="Q614" s="15">
        <v>1530</v>
      </c>
      <c r="R614" s="15">
        <v>2135</v>
      </c>
      <c r="S614" s="15">
        <v>1400</v>
      </c>
      <c r="T614" s="15">
        <v>975</v>
      </c>
      <c r="U614" s="15">
        <v>1615</v>
      </c>
      <c r="V614" s="15">
        <v>2055</v>
      </c>
      <c r="W614" s="15">
        <v>2095</v>
      </c>
      <c r="X614" s="15">
        <v>1770</v>
      </c>
      <c r="Y614" s="15">
        <v>1780</v>
      </c>
      <c r="Z614" s="4">
        <v>42890</v>
      </c>
      <c r="AA614" s="26">
        <v>24</v>
      </c>
      <c r="AB614" s="7">
        <v>0.20399999999999999</v>
      </c>
    </row>
    <row r="615" spans="1:29" x14ac:dyDescent="0.35">
      <c r="A615" s="1">
        <v>4009081</v>
      </c>
      <c r="B615" s="15">
        <v>120</v>
      </c>
      <c r="C615" s="15">
        <v>260</v>
      </c>
      <c r="D615" s="15">
        <v>200</v>
      </c>
      <c r="E615" s="15">
        <v>160</v>
      </c>
      <c r="F615" s="15">
        <v>100</v>
      </c>
      <c r="G615" s="15">
        <v>320</v>
      </c>
      <c r="H615" s="15">
        <v>100</v>
      </c>
      <c r="I615" s="15">
        <v>200</v>
      </c>
      <c r="J615" s="15">
        <v>200</v>
      </c>
      <c r="K615" s="15">
        <v>160</v>
      </c>
      <c r="L615" s="15">
        <v>200</v>
      </c>
      <c r="M615" s="15">
        <v>240</v>
      </c>
      <c r="N615" s="15">
        <v>340</v>
      </c>
      <c r="O615" s="15">
        <v>20</v>
      </c>
      <c r="P615" s="15">
        <v>140</v>
      </c>
      <c r="Q615" s="15">
        <v>180</v>
      </c>
      <c r="R615" s="15">
        <v>103</v>
      </c>
      <c r="S615" s="15">
        <v>220</v>
      </c>
      <c r="T615" s="15">
        <v>43</v>
      </c>
      <c r="U615" s="15">
        <v>120</v>
      </c>
      <c r="V615" s="15">
        <v>120</v>
      </c>
      <c r="W615" s="15">
        <v>140</v>
      </c>
      <c r="X615" s="15">
        <v>240</v>
      </c>
      <c r="Y615" s="15">
        <v>100</v>
      </c>
      <c r="Z615" s="4">
        <v>4026</v>
      </c>
      <c r="AA615" s="26">
        <v>24</v>
      </c>
      <c r="AB615" s="7">
        <v>0.4597</v>
      </c>
    </row>
    <row r="616" spans="1:29" x14ac:dyDescent="0.35">
      <c r="A616" s="1">
        <v>4009084</v>
      </c>
      <c r="B616" s="15">
        <v>1430</v>
      </c>
      <c r="C616" s="15">
        <v>1260</v>
      </c>
      <c r="D616" s="15">
        <v>1240</v>
      </c>
      <c r="E616" s="15">
        <v>1365</v>
      </c>
      <c r="F616" s="15">
        <v>1470</v>
      </c>
      <c r="G616" s="15">
        <v>1270</v>
      </c>
      <c r="H616" s="15">
        <v>560</v>
      </c>
      <c r="I616" s="15">
        <v>1355</v>
      </c>
      <c r="J616" s="15">
        <v>1500</v>
      </c>
      <c r="K616" s="15">
        <v>1690</v>
      </c>
      <c r="L616" s="15">
        <v>1490</v>
      </c>
      <c r="M616" s="15">
        <v>1500</v>
      </c>
      <c r="N616" s="15">
        <v>1730</v>
      </c>
      <c r="O616" s="15">
        <v>1660</v>
      </c>
      <c r="P616" s="15">
        <v>1820</v>
      </c>
      <c r="Q616" s="15">
        <v>1410</v>
      </c>
      <c r="R616" s="15">
        <v>1660</v>
      </c>
      <c r="S616" s="15">
        <v>1490</v>
      </c>
      <c r="T616" s="15">
        <v>890</v>
      </c>
      <c r="U616" s="15">
        <v>1510</v>
      </c>
      <c r="V616" s="15">
        <v>1610</v>
      </c>
      <c r="W616" s="15">
        <v>1570</v>
      </c>
      <c r="X616" s="15">
        <v>1850</v>
      </c>
      <c r="Y616" s="15">
        <v>1524</v>
      </c>
      <c r="Z616" s="4">
        <v>34854</v>
      </c>
      <c r="AA616" s="26">
        <v>24</v>
      </c>
      <c r="AB616" s="7">
        <v>0.18940000000000001</v>
      </c>
    </row>
    <row r="617" spans="1:29" x14ac:dyDescent="0.35">
      <c r="A617" s="1">
        <v>4009089</v>
      </c>
      <c r="B617" s="15">
        <v>0</v>
      </c>
      <c r="C617" s="15">
        <v>5</v>
      </c>
      <c r="D617" s="15">
        <v>0</v>
      </c>
      <c r="E617" s="15">
        <v>0</v>
      </c>
      <c r="F617" s="15">
        <v>0</v>
      </c>
      <c r="G617" s="15">
        <v>0</v>
      </c>
      <c r="H617" s="15">
        <v>0</v>
      </c>
      <c r="I617" s="15">
        <v>10</v>
      </c>
      <c r="J617" s="15">
        <v>0</v>
      </c>
      <c r="K617" s="15">
        <v>0</v>
      </c>
      <c r="L617" s="15">
        <v>5</v>
      </c>
      <c r="M617" s="15">
        <v>0</v>
      </c>
      <c r="N617" s="15">
        <v>0</v>
      </c>
      <c r="O617" s="15">
        <v>5</v>
      </c>
      <c r="P617" s="15">
        <v>10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4">
        <v>35</v>
      </c>
      <c r="AA617" s="26">
        <v>5</v>
      </c>
      <c r="AB617" s="7">
        <v>2.0947</v>
      </c>
      <c r="AC617" s="1" t="s">
        <v>3230</v>
      </c>
    </row>
    <row r="618" spans="1:29" x14ac:dyDescent="0.35">
      <c r="A618" s="1">
        <v>4009092</v>
      </c>
      <c r="B618" s="15">
        <v>85</v>
      </c>
      <c r="C618" s="15">
        <v>80</v>
      </c>
      <c r="D618" s="15">
        <v>115</v>
      </c>
      <c r="E618" s="15">
        <v>90</v>
      </c>
      <c r="F618" s="15">
        <v>100</v>
      </c>
      <c r="G618" s="15">
        <v>80</v>
      </c>
      <c r="H618" s="15">
        <v>60</v>
      </c>
      <c r="I618" s="15">
        <v>100</v>
      </c>
      <c r="J618" s="15">
        <v>120</v>
      </c>
      <c r="K618" s="15">
        <v>85</v>
      </c>
      <c r="L618" s="15">
        <v>135</v>
      </c>
      <c r="M618" s="15">
        <v>40</v>
      </c>
      <c r="N618" s="15">
        <v>125</v>
      </c>
      <c r="O618" s="15">
        <v>105</v>
      </c>
      <c r="P618" s="15">
        <v>115</v>
      </c>
      <c r="Q618" s="15">
        <v>110</v>
      </c>
      <c r="R618" s="15">
        <v>105</v>
      </c>
      <c r="S618" s="15">
        <v>95</v>
      </c>
      <c r="T618" s="15">
        <v>70</v>
      </c>
      <c r="U618" s="15">
        <v>85</v>
      </c>
      <c r="V618" s="15">
        <v>120</v>
      </c>
      <c r="W618" s="15">
        <v>110</v>
      </c>
      <c r="X618" s="15">
        <v>115</v>
      </c>
      <c r="Y618" s="15">
        <v>95</v>
      </c>
      <c r="Z618" s="4">
        <v>2340</v>
      </c>
      <c r="AA618" s="26">
        <v>24</v>
      </c>
      <c r="AB618" s="7">
        <v>0.22109999999999999</v>
      </c>
    </row>
    <row r="619" spans="1:29" x14ac:dyDescent="0.35">
      <c r="A619" s="1">
        <v>4009221</v>
      </c>
      <c r="B619" s="15">
        <v>25</v>
      </c>
      <c r="C619" s="15">
        <v>40</v>
      </c>
      <c r="D619" s="15">
        <v>50</v>
      </c>
      <c r="E619" s="15">
        <v>55</v>
      </c>
      <c r="F619" s="15">
        <v>55</v>
      </c>
      <c r="G619" s="15">
        <v>25</v>
      </c>
      <c r="H619" s="15">
        <v>35</v>
      </c>
      <c r="I619" s="15">
        <v>35</v>
      </c>
      <c r="J619" s="15">
        <v>40</v>
      </c>
      <c r="K619" s="15">
        <v>40</v>
      </c>
      <c r="L619" s="15">
        <v>40</v>
      </c>
      <c r="M619" s="15">
        <v>40</v>
      </c>
      <c r="N619" s="15">
        <v>40</v>
      </c>
      <c r="O619" s="15">
        <v>65</v>
      </c>
      <c r="P619" s="15">
        <v>45</v>
      </c>
      <c r="Q619" s="15">
        <v>45</v>
      </c>
      <c r="R619" s="15">
        <v>45</v>
      </c>
      <c r="S619" s="15">
        <v>35</v>
      </c>
      <c r="T619" s="15">
        <v>35</v>
      </c>
      <c r="U619" s="15">
        <v>40</v>
      </c>
      <c r="V619" s="15">
        <v>50</v>
      </c>
      <c r="W619" s="15">
        <v>35</v>
      </c>
      <c r="X619" s="15">
        <v>55</v>
      </c>
      <c r="Y619" s="15">
        <v>40</v>
      </c>
      <c r="Z619" s="4">
        <v>1010</v>
      </c>
      <c r="AA619" s="26">
        <v>24</v>
      </c>
      <c r="AB619" s="7">
        <v>0.21940000000000001</v>
      </c>
    </row>
    <row r="620" spans="1:29" x14ac:dyDescent="0.35">
      <c r="A620" s="1">
        <v>4009223</v>
      </c>
      <c r="B620" s="15">
        <v>35</v>
      </c>
      <c r="C620" s="15">
        <v>25</v>
      </c>
      <c r="D620" s="15">
        <v>20</v>
      </c>
      <c r="E620" s="15">
        <v>10</v>
      </c>
      <c r="F620" s="15">
        <v>30</v>
      </c>
      <c r="G620" s="15">
        <v>10</v>
      </c>
      <c r="H620" s="15">
        <v>25</v>
      </c>
      <c r="I620" s="15">
        <v>5</v>
      </c>
      <c r="J620" s="15">
        <v>25</v>
      </c>
      <c r="K620" s="15">
        <v>30</v>
      </c>
      <c r="L620" s="15">
        <v>20</v>
      </c>
      <c r="M620" s="15">
        <v>40</v>
      </c>
      <c r="N620" s="15">
        <v>20</v>
      </c>
      <c r="O620" s="15">
        <v>25</v>
      </c>
      <c r="P620" s="15">
        <v>35</v>
      </c>
      <c r="Q620" s="15">
        <v>20</v>
      </c>
      <c r="R620" s="15">
        <v>20</v>
      </c>
      <c r="S620" s="15">
        <v>10</v>
      </c>
      <c r="T620" s="15">
        <v>20</v>
      </c>
      <c r="U620" s="15">
        <v>25</v>
      </c>
      <c r="V620" s="15">
        <v>37</v>
      </c>
      <c r="W620" s="15">
        <v>12</v>
      </c>
      <c r="X620" s="15">
        <v>30</v>
      </c>
      <c r="Y620" s="15">
        <v>5</v>
      </c>
      <c r="Z620" s="4">
        <v>534</v>
      </c>
      <c r="AA620" s="26">
        <v>24</v>
      </c>
      <c r="AB620" s="7">
        <v>0.43580000000000002</v>
      </c>
    </row>
    <row r="621" spans="1:29" x14ac:dyDescent="0.35">
      <c r="A621" s="1">
        <v>4009225</v>
      </c>
      <c r="B621" s="15">
        <v>0</v>
      </c>
      <c r="C621" s="15">
        <v>0</v>
      </c>
      <c r="D621" s="15">
        <v>0</v>
      </c>
      <c r="E621" s="15">
        <v>0</v>
      </c>
      <c r="F621" s="15">
        <v>5</v>
      </c>
      <c r="G621" s="15">
        <v>0</v>
      </c>
      <c r="H621" s="15">
        <v>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  <c r="N621" s="15">
        <v>0</v>
      </c>
      <c r="O621" s="15">
        <v>0</v>
      </c>
      <c r="P621" s="15">
        <v>20</v>
      </c>
      <c r="Q621" s="15">
        <v>10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5</v>
      </c>
      <c r="X621" s="15">
        <v>0</v>
      </c>
      <c r="Y621" s="15">
        <v>0</v>
      </c>
      <c r="Z621" s="4">
        <v>40</v>
      </c>
      <c r="AA621" s="26">
        <v>4</v>
      </c>
      <c r="AB621" s="7">
        <v>2.6926000000000001</v>
      </c>
      <c r="AC621" s="1" t="s">
        <v>3230</v>
      </c>
    </row>
    <row r="622" spans="1:29" x14ac:dyDescent="0.35">
      <c r="A622" s="1">
        <v>4009250</v>
      </c>
      <c r="B622" s="15">
        <v>156</v>
      </c>
      <c r="C622" s="15">
        <v>150</v>
      </c>
      <c r="D622" s="15">
        <v>156</v>
      </c>
      <c r="E622" s="15">
        <v>180</v>
      </c>
      <c r="F622" s="15">
        <v>132</v>
      </c>
      <c r="G622" s="15">
        <v>144</v>
      </c>
      <c r="H622" s="15">
        <v>72</v>
      </c>
      <c r="I622" s="15">
        <v>132</v>
      </c>
      <c r="J622" s="15">
        <v>180</v>
      </c>
      <c r="K622" s="15">
        <v>84</v>
      </c>
      <c r="L622" s="15">
        <v>108</v>
      </c>
      <c r="M622" s="15">
        <v>192</v>
      </c>
      <c r="N622" s="15">
        <v>144</v>
      </c>
      <c r="O622" s="15">
        <v>192</v>
      </c>
      <c r="P622" s="15">
        <v>144</v>
      </c>
      <c r="Q622" s="15">
        <v>120</v>
      </c>
      <c r="R622" s="15">
        <v>168</v>
      </c>
      <c r="S622" s="15">
        <v>144</v>
      </c>
      <c r="T622" s="15">
        <v>84</v>
      </c>
      <c r="U622" s="15">
        <v>132</v>
      </c>
      <c r="V622" s="15">
        <v>144</v>
      </c>
      <c r="W622" s="15">
        <v>132</v>
      </c>
      <c r="X622" s="15">
        <v>192</v>
      </c>
      <c r="Y622" s="15">
        <v>144</v>
      </c>
      <c r="Z622" s="4">
        <v>3426</v>
      </c>
      <c r="AA622" s="26">
        <v>24</v>
      </c>
      <c r="AB622" s="7">
        <v>0.22700000000000001</v>
      </c>
    </row>
    <row r="623" spans="1:29" x14ac:dyDescent="0.35">
      <c r="A623" s="1">
        <v>4009251</v>
      </c>
      <c r="B623" s="15">
        <v>0</v>
      </c>
      <c r="C623" s="15">
        <v>0</v>
      </c>
      <c r="D623" s="15">
        <v>0</v>
      </c>
      <c r="E623" s="15">
        <v>0</v>
      </c>
      <c r="F623" s="15">
        <v>0</v>
      </c>
      <c r="G623" s="15">
        <v>40</v>
      </c>
      <c r="H623" s="15">
        <v>0</v>
      </c>
      <c r="I623" s="15">
        <v>0</v>
      </c>
      <c r="J623" s="15">
        <v>40</v>
      </c>
      <c r="K623" s="15">
        <v>0</v>
      </c>
      <c r="L623" s="15">
        <v>60</v>
      </c>
      <c r="M623" s="15">
        <v>40</v>
      </c>
      <c r="N623" s="15">
        <v>0</v>
      </c>
      <c r="O623" s="15">
        <v>60</v>
      </c>
      <c r="P623" s="15">
        <v>0</v>
      </c>
      <c r="Q623" s="15">
        <v>20</v>
      </c>
      <c r="R623" s="15">
        <v>0</v>
      </c>
      <c r="S623" s="15">
        <v>20</v>
      </c>
      <c r="T623" s="15">
        <v>20</v>
      </c>
      <c r="U623" s="15">
        <v>0</v>
      </c>
      <c r="V623" s="15">
        <v>0</v>
      </c>
      <c r="W623" s="15">
        <v>0</v>
      </c>
      <c r="X623" s="15">
        <v>40</v>
      </c>
      <c r="Y623" s="15">
        <v>20</v>
      </c>
      <c r="Z623" s="4">
        <v>360</v>
      </c>
      <c r="AA623" s="26">
        <v>10</v>
      </c>
      <c r="AB623" s="7">
        <v>1.3472</v>
      </c>
    </row>
    <row r="624" spans="1:29" x14ac:dyDescent="0.35">
      <c r="A624" s="1">
        <v>4009254</v>
      </c>
      <c r="B624" s="15">
        <v>80</v>
      </c>
      <c r="C624" s="15">
        <v>50</v>
      </c>
      <c r="D624" s="15">
        <v>80</v>
      </c>
      <c r="E624" s="15">
        <v>20</v>
      </c>
      <c r="F624" s="15">
        <v>50</v>
      </c>
      <c r="G624" s="15">
        <v>100</v>
      </c>
      <c r="H624" s="15">
        <v>120</v>
      </c>
      <c r="I624" s="15">
        <v>60</v>
      </c>
      <c r="J624" s="15">
        <v>40</v>
      </c>
      <c r="K624" s="15">
        <v>60</v>
      </c>
      <c r="L624" s="15">
        <v>30</v>
      </c>
      <c r="M624" s="15">
        <v>60</v>
      </c>
      <c r="N624" s="15">
        <v>50</v>
      </c>
      <c r="O624" s="15">
        <v>50</v>
      </c>
      <c r="P624" s="15">
        <v>80</v>
      </c>
      <c r="Q624" s="15">
        <v>60</v>
      </c>
      <c r="R624" s="15">
        <v>32</v>
      </c>
      <c r="S624" s="15">
        <v>40</v>
      </c>
      <c r="T624" s="15">
        <v>30</v>
      </c>
      <c r="U624" s="15">
        <v>100</v>
      </c>
      <c r="V624" s="15">
        <v>40</v>
      </c>
      <c r="W624" s="15">
        <v>40</v>
      </c>
      <c r="X624" s="15">
        <v>110</v>
      </c>
      <c r="Y624" s="15">
        <v>30</v>
      </c>
      <c r="Z624" s="4">
        <v>1412</v>
      </c>
      <c r="AA624" s="26">
        <v>24</v>
      </c>
      <c r="AB624" s="7">
        <v>0.45960000000000001</v>
      </c>
    </row>
    <row r="625" spans="1:28" x14ac:dyDescent="0.35">
      <c r="A625" s="1">
        <v>4009256</v>
      </c>
      <c r="B625" s="15">
        <v>138</v>
      </c>
      <c r="C625" s="15">
        <v>150</v>
      </c>
      <c r="D625" s="15">
        <v>132</v>
      </c>
      <c r="E625" s="15">
        <v>192</v>
      </c>
      <c r="F625" s="15">
        <v>198</v>
      </c>
      <c r="G625" s="15">
        <v>168</v>
      </c>
      <c r="H625" s="15">
        <v>162</v>
      </c>
      <c r="I625" s="15">
        <v>150</v>
      </c>
      <c r="J625" s="15">
        <v>222</v>
      </c>
      <c r="K625" s="15">
        <v>168</v>
      </c>
      <c r="L625" s="15">
        <v>174</v>
      </c>
      <c r="M625" s="15">
        <v>174</v>
      </c>
      <c r="N625" s="15">
        <v>198</v>
      </c>
      <c r="O625" s="15">
        <v>186</v>
      </c>
      <c r="P625" s="15">
        <v>210</v>
      </c>
      <c r="Q625" s="15">
        <v>156</v>
      </c>
      <c r="R625" s="15">
        <v>198</v>
      </c>
      <c r="S625" s="15">
        <v>180</v>
      </c>
      <c r="T625" s="15">
        <v>102</v>
      </c>
      <c r="U625" s="15">
        <v>198</v>
      </c>
      <c r="V625" s="15">
        <v>222</v>
      </c>
      <c r="W625" s="15">
        <v>186</v>
      </c>
      <c r="X625" s="15">
        <v>252</v>
      </c>
      <c r="Y625" s="15">
        <v>192</v>
      </c>
      <c r="Z625" s="4">
        <v>4308</v>
      </c>
      <c r="AA625" s="26">
        <v>24</v>
      </c>
      <c r="AB625" s="7">
        <v>0.1779</v>
      </c>
    </row>
    <row r="626" spans="1:28" x14ac:dyDescent="0.35">
      <c r="A626" s="1">
        <v>4009257</v>
      </c>
      <c r="B626" s="15">
        <v>144</v>
      </c>
      <c r="C626" s="15">
        <v>144</v>
      </c>
      <c r="D626" s="15">
        <v>150</v>
      </c>
      <c r="E626" s="15">
        <v>144</v>
      </c>
      <c r="F626" s="15">
        <v>168</v>
      </c>
      <c r="G626" s="15">
        <v>174</v>
      </c>
      <c r="H626" s="15">
        <v>114</v>
      </c>
      <c r="I626" s="15">
        <v>132</v>
      </c>
      <c r="J626" s="15">
        <v>186</v>
      </c>
      <c r="K626" s="15">
        <v>168</v>
      </c>
      <c r="L626" s="15">
        <v>108</v>
      </c>
      <c r="M626" s="15">
        <v>204</v>
      </c>
      <c r="N626" s="15">
        <v>192</v>
      </c>
      <c r="O626" s="15">
        <v>144</v>
      </c>
      <c r="P626" s="15">
        <v>186</v>
      </c>
      <c r="Q626" s="15">
        <v>126</v>
      </c>
      <c r="R626" s="15">
        <v>174</v>
      </c>
      <c r="S626" s="15">
        <v>162</v>
      </c>
      <c r="T626" s="15">
        <v>114</v>
      </c>
      <c r="U626" s="15">
        <v>192</v>
      </c>
      <c r="V626" s="15">
        <v>168</v>
      </c>
      <c r="W626" s="15">
        <v>228</v>
      </c>
      <c r="X626" s="15">
        <v>240</v>
      </c>
      <c r="Y626" s="15">
        <v>162</v>
      </c>
      <c r="Z626" s="4">
        <v>3924</v>
      </c>
      <c r="AA626" s="26">
        <v>24</v>
      </c>
      <c r="AB626" s="7">
        <v>0.20380000000000001</v>
      </c>
    </row>
    <row r="627" spans="1:28" x14ac:dyDescent="0.35">
      <c r="A627" s="1">
        <v>4009261</v>
      </c>
      <c r="B627" s="15">
        <v>96</v>
      </c>
      <c r="C627" s="15">
        <v>132</v>
      </c>
      <c r="D627" s="15">
        <v>132</v>
      </c>
      <c r="E627" s="15">
        <v>120</v>
      </c>
      <c r="F627" s="15">
        <v>156</v>
      </c>
      <c r="G627" s="15">
        <v>72</v>
      </c>
      <c r="H627" s="15">
        <v>108</v>
      </c>
      <c r="I627" s="15">
        <v>120</v>
      </c>
      <c r="J627" s="15">
        <v>180</v>
      </c>
      <c r="K627" s="15">
        <v>192</v>
      </c>
      <c r="L627" s="15">
        <v>84</v>
      </c>
      <c r="M627" s="15">
        <v>216</v>
      </c>
      <c r="N627" s="15">
        <v>132</v>
      </c>
      <c r="O627" s="15">
        <v>84</v>
      </c>
      <c r="P627" s="15">
        <v>192</v>
      </c>
      <c r="Q627" s="15">
        <v>120</v>
      </c>
      <c r="R627" s="15">
        <v>204</v>
      </c>
      <c r="S627" s="15">
        <v>120</v>
      </c>
      <c r="T627" s="15">
        <v>132</v>
      </c>
      <c r="U627" s="15">
        <v>228</v>
      </c>
      <c r="V627" s="15">
        <v>132</v>
      </c>
      <c r="W627" s="15">
        <v>168</v>
      </c>
      <c r="X627" s="15">
        <v>180</v>
      </c>
      <c r="Y627" s="15">
        <v>216</v>
      </c>
      <c r="Z627" s="4">
        <v>3516</v>
      </c>
      <c r="AA627" s="26">
        <v>24</v>
      </c>
      <c r="AB627" s="7">
        <v>0.30459999999999998</v>
      </c>
    </row>
    <row r="628" spans="1:28" x14ac:dyDescent="0.35">
      <c r="A628" s="1">
        <v>4009476</v>
      </c>
      <c r="B628" s="15">
        <v>120</v>
      </c>
      <c r="C628" s="15">
        <v>144</v>
      </c>
      <c r="D628" s="15">
        <v>120</v>
      </c>
      <c r="E628" s="15">
        <v>126</v>
      </c>
      <c r="F628" s="15">
        <v>126</v>
      </c>
      <c r="G628" s="15">
        <v>24</v>
      </c>
      <c r="H628" s="15">
        <v>96</v>
      </c>
      <c r="I628" s="15">
        <v>108</v>
      </c>
      <c r="J628" s="15">
        <v>120</v>
      </c>
      <c r="K628" s="15">
        <v>120</v>
      </c>
      <c r="L628" s="15">
        <v>132</v>
      </c>
      <c r="M628" s="15">
        <v>114</v>
      </c>
      <c r="N628" s="15">
        <v>126</v>
      </c>
      <c r="O628" s="15">
        <v>114</v>
      </c>
      <c r="P628" s="15">
        <v>120</v>
      </c>
      <c r="Q628" s="15">
        <v>126</v>
      </c>
      <c r="R628" s="15">
        <v>108</v>
      </c>
      <c r="S628" s="15">
        <v>99</v>
      </c>
      <c r="T628" s="15">
        <v>54</v>
      </c>
      <c r="U628" s="15">
        <v>48</v>
      </c>
      <c r="V628" s="15">
        <v>54</v>
      </c>
      <c r="W628" s="15">
        <v>96</v>
      </c>
      <c r="X628" s="15">
        <v>72</v>
      </c>
      <c r="Y628" s="15">
        <v>78</v>
      </c>
      <c r="Z628" s="4">
        <v>2445</v>
      </c>
      <c r="AA628" s="26">
        <v>24</v>
      </c>
      <c r="AB628" s="7">
        <v>0.29799999999999999</v>
      </c>
    </row>
    <row r="629" spans="1:28" x14ac:dyDescent="0.35">
      <c r="A629" s="1">
        <v>4009745</v>
      </c>
      <c r="B629" s="15">
        <v>80</v>
      </c>
      <c r="C629" s="15">
        <v>120</v>
      </c>
      <c r="D629" s="15">
        <v>120</v>
      </c>
      <c r="E629" s="15">
        <v>200</v>
      </c>
      <c r="F629" s="15">
        <v>160</v>
      </c>
      <c r="G629" s="15">
        <v>200</v>
      </c>
      <c r="H629" s="15">
        <v>120</v>
      </c>
      <c r="I629" s="15">
        <v>200</v>
      </c>
      <c r="J629" s="15">
        <v>140</v>
      </c>
      <c r="K629" s="15">
        <v>160</v>
      </c>
      <c r="L629" s="15">
        <v>240</v>
      </c>
      <c r="M629" s="15">
        <v>120</v>
      </c>
      <c r="N629" s="15">
        <v>180</v>
      </c>
      <c r="O629" s="15">
        <v>280</v>
      </c>
      <c r="P629" s="15">
        <v>100</v>
      </c>
      <c r="Q629" s="15">
        <v>220</v>
      </c>
      <c r="R629" s="15">
        <v>180</v>
      </c>
      <c r="S629" s="15">
        <v>280</v>
      </c>
      <c r="T629" s="15">
        <v>200</v>
      </c>
      <c r="U629" s="15">
        <v>160</v>
      </c>
      <c r="V629" s="15">
        <v>340</v>
      </c>
      <c r="W629" s="15">
        <v>240</v>
      </c>
      <c r="X629" s="15">
        <v>220</v>
      </c>
      <c r="Y629" s="15">
        <v>240</v>
      </c>
      <c r="Z629" s="4">
        <v>4500</v>
      </c>
      <c r="AA629" s="26">
        <v>24</v>
      </c>
      <c r="AB629" s="7">
        <v>0.33279999999999998</v>
      </c>
    </row>
    <row r="630" spans="1:28" x14ac:dyDescent="0.35">
      <c r="A630" s="1">
        <v>4009895</v>
      </c>
      <c r="B630" s="15">
        <v>25</v>
      </c>
      <c r="C630" s="15">
        <v>0</v>
      </c>
      <c r="D630" s="15">
        <v>0</v>
      </c>
      <c r="E630" s="15">
        <v>0</v>
      </c>
      <c r="F630" s="15">
        <v>50</v>
      </c>
      <c r="G630" s="15">
        <v>0</v>
      </c>
      <c r="H630" s="15">
        <v>50</v>
      </c>
      <c r="I630" s="15">
        <v>0</v>
      </c>
      <c r="J630" s="15">
        <v>0</v>
      </c>
      <c r="K630" s="15">
        <v>100</v>
      </c>
      <c r="L630" s="15">
        <v>0</v>
      </c>
      <c r="M630" s="15">
        <v>0</v>
      </c>
      <c r="N630" s="15">
        <v>0</v>
      </c>
      <c r="O630" s="15">
        <v>10</v>
      </c>
      <c r="P630" s="15">
        <v>0</v>
      </c>
      <c r="Q630" s="15">
        <v>0</v>
      </c>
      <c r="R630" s="15">
        <v>75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4">
        <v>310</v>
      </c>
      <c r="AA630" s="26">
        <v>6</v>
      </c>
      <c r="AB630" s="7">
        <v>2.0813000000000001</v>
      </c>
    </row>
    <row r="631" spans="1:28" x14ac:dyDescent="0.35">
      <c r="A631" s="1">
        <v>4009896</v>
      </c>
      <c r="B631" s="15">
        <v>0</v>
      </c>
      <c r="C631" s="15">
        <v>0</v>
      </c>
      <c r="D631" s="15">
        <v>25</v>
      </c>
      <c r="E631" s="15">
        <v>25</v>
      </c>
      <c r="F631" s="15">
        <v>0</v>
      </c>
      <c r="G631" s="15">
        <v>25</v>
      </c>
      <c r="H631" s="15">
        <v>10</v>
      </c>
      <c r="I631" s="15">
        <v>0</v>
      </c>
      <c r="J631" s="15">
        <v>0</v>
      </c>
      <c r="K631" s="15">
        <v>0</v>
      </c>
      <c r="L631" s="15">
        <v>0</v>
      </c>
      <c r="M631" s="15">
        <v>25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25</v>
      </c>
      <c r="V631" s="15">
        <v>0</v>
      </c>
      <c r="W631" s="15">
        <v>0</v>
      </c>
      <c r="X631" s="15">
        <v>0</v>
      </c>
      <c r="Y631" s="15">
        <v>0</v>
      </c>
      <c r="Z631" s="4">
        <v>135</v>
      </c>
      <c r="AA631" s="26">
        <v>6</v>
      </c>
      <c r="AB631" s="7">
        <v>1.8019000000000001</v>
      </c>
    </row>
    <row r="632" spans="1:28" x14ac:dyDescent="0.35">
      <c r="A632" s="1">
        <v>4009898</v>
      </c>
      <c r="B632" s="15">
        <v>0</v>
      </c>
      <c r="C632" s="15">
        <v>50</v>
      </c>
      <c r="D632" s="15">
        <v>50</v>
      </c>
      <c r="E632" s="15">
        <v>50</v>
      </c>
      <c r="F632" s="15">
        <v>25</v>
      </c>
      <c r="G632" s="15">
        <v>75</v>
      </c>
      <c r="H632" s="15">
        <v>25</v>
      </c>
      <c r="I632" s="15">
        <v>0</v>
      </c>
      <c r="J632" s="15">
        <v>75</v>
      </c>
      <c r="K632" s="15">
        <v>50</v>
      </c>
      <c r="L632" s="15">
        <v>50</v>
      </c>
      <c r="M632" s="15">
        <v>50</v>
      </c>
      <c r="N632" s="15">
        <v>0</v>
      </c>
      <c r="O632" s="15">
        <v>75</v>
      </c>
      <c r="P632" s="15">
        <v>0</v>
      </c>
      <c r="Q632" s="15">
        <v>50</v>
      </c>
      <c r="R632" s="15">
        <v>75</v>
      </c>
      <c r="S632" s="15">
        <v>50</v>
      </c>
      <c r="T632" s="15">
        <v>100</v>
      </c>
      <c r="U632" s="15">
        <v>50</v>
      </c>
      <c r="V632" s="15">
        <v>50</v>
      </c>
      <c r="W632" s="15">
        <v>50</v>
      </c>
      <c r="X632" s="15">
        <v>75</v>
      </c>
      <c r="Y632" s="15">
        <v>50</v>
      </c>
      <c r="Z632" s="4">
        <v>1125</v>
      </c>
      <c r="AA632" s="26">
        <v>20</v>
      </c>
      <c r="AB632" s="7">
        <v>0.56169999999999998</v>
      </c>
    </row>
    <row r="633" spans="1:28" x14ac:dyDescent="0.35">
      <c r="A633" s="1">
        <v>4009899</v>
      </c>
      <c r="B633" s="15">
        <v>200</v>
      </c>
      <c r="C633" s="15">
        <v>150</v>
      </c>
      <c r="D633" s="15">
        <v>225</v>
      </c>
      <c r="E633" s="15">
        <v>101</v>
      </c>
      <c r="F633" s="15">
        <v>185</v>
      </c>
      <c r="G633" s="15">
        <v>125</v>
      </c>
      <c r="H633" s="15">
        <v>200</v>
      </c>
      <c r="I633" s="15">
        <v>125</v>
      </c>
      <c r="J633" s="15">
        <v>125</v>
      </c>
      <c r="K633" s="15">
        <v>155</v>
      </c>
      <c r="L633" s="15">
        <v>175</v>
      </c>
      <c r="M633" s="15">
        <v>225</v>
      </c>
      <c r="N633" s="15">
        <v>225</v>
      </c>
      <c r="O633" s="15">
        <v>200</v>
      </c>
      <c r="P633" s="15">
        <v>175</v>
      </c>
      <c r="Q633" s="15">
        <v>150</v>
      </c>
      <c r="R633" s="15">
        <v>175</v>
      </c>
      <c r="S633" s="15">
        <v>175</v>
      </c>
      <c r="T633" s="15">
        <v>100</v>
      </c>
      <c r="U633" s="15">
        <v>160</v>
      </c>
      <c r="V633" s="15">
        <v>225</v>
      </c>
      <c r="W633" s="15">
        <v>250</v>
      </c>
      <c r="X633" s="15">
        <v>225</v>
      </c>
      <c r="Y633" s="15">
        <v>175</v>
      </c>
      <c r="Z633" s="4">
        <v>4226</v>
      </c>
      <c r="AA633" s="26">
        <v>24</v>
      </c>
      <c r="AB633" s="7">
        <v>0.2334</v>
      </c>
    </row>
    <row r="634" spans="1:28" x14ac:dyDescent="0.35">
      <c r="A634" s="1">
        <v>4009909</v>
      </c>
      <c r="B634" s="15">
        <v>312</v>
      </c>
      <c r="C634" s="15">
        <v>120</v>
      </c>
      <c r="D634" s="15">
        <v>192</v>
      </c>
      <c r="E634" s="15">
        <v>216</v>
      </c>
      <c r="F634" s="15">
        <v>240</v>
      </c>
      <c r="G634" s="15">
        <v>480</v>
      </c>
      <c r="H634" s="15">
        <v>312</v>
      </c>
      <c r="I634" s="15">
        <v>48</v>
      </c>
      <c r="J634" s="15">
        <v>240</v>
      </c>
      <c r="K634" s="15">
        <v>144</v>
      </c>
      <c r="L634" s="15">
        <v>384</v>
      </c>
      <c r="M634" s="15">
        <v>240</v>
      </c>
      <c r="N634" s="15">
        <v>96</v>
      </c>
      <c r="O634" s="15">
        <v>264</v>
      </c>
      <c r="P634" s="15">
        <v>288</v>
      </c>
      <c r="Q634" s="15">
        <v>216</v>
      </c>
      <c r="R634" s="15">
        <v>144</v>
      </c>
      <c r="S634" s="15">
        <v>313</v>
      </c>
      <c r="T634" s="15">
        <v>96</v>
      </c>
      <c r="U634" s="15">
        <v>288</v>
      </c>
      <c r="V634" s="15">
        <v>240</v>
      </c>
      <c r="W634" s="15">
        <v>288</v>
      </c>
      <c r="X634" s="15">
        <v>335</v>
      </c>
      <c r="Y634" s="15">
        <v>192</v>
      </c>
      <c r="Z634" s="4">
        <v>5688</v>
      </c>
      <c r="AA634" s="26">
        <v>24</v>
      </c>
      <c r="AB634" s="7">
        <v>0.41060000000000002</v>
      </c>
    </row>
    <row r="635" spans="1:28" x14ac:dyDescent="0.35">
      <c r="A635" s="1">
        <v>4009910</v>
      </c>
      <c r="B635" s="15">
        <v>0</v>
      </c>
      <c r="C635" s="15">
        <v>125</v>
      </c>
      <c r="D635" s="15">
        <v>50</v>
      </c>
      <c r="E635" s="15">
        <v>25</v>
      </c>
      <c r="F635" s="15">
        <v>25</v>
      </c>
      <c r="G635" s="15">
        <v>50</v>
      </c>
      <c r="H635" s="15">
        <v>25</v>
      </c>
      <c r="I635" s="15">
        <v>125</v>
      </c>
      <c r="J635" s="15">
        <v>100</v>
      </c>
      <c r="K635" s="15">
        <v>25</v>
      </c>
      <c r="L635" s="15">
        <v>125</v>
      </c>
      <c r="M635" s="15">
        <v>100</v>
      </c>
      <c r="N635" s="15">
        <v>75</v>
      </c>
      <c r="O635" s="15">
        <v>150</v>
      </c>
      <c r="P635" s="15">
        <v>50</v>
      </c>
      <c r="Q635" s="15">
        <v>100</v>
      </c>
      <c r="R635" s="15">
        <v>75</v>
      </c>
      <c r="S635" s="15">
        <v>0</v>
      </c>
      <c r="T635" s="15">
        <v>100</v>
      </c>
      <c r="U635" s="15">
        <v>0</v>
      </c>
      <c r="V635" s="15">
        <v>125</v>
      </c>
      <c r="W635" s="15">
        <v>75</v>
      </c>
      <c r="X635" s="15">
        <v>100</v>
      </c>
      <c r="Y635" s="15">
        <v>100</v>
      </c>
      <c r="Z635" s="4">
        <v>1725</v>
      </c>
      <c r="AA635" s="26">
        <v>21</v>
      </c>
      <c r="AB635" s="7">
        <v>0.62150000000000005</v>
      </c>
    </row>
    <row r="636" spans="1:28" x14ac:dyDescent="0.35">
      <c r="A636" s="1">
        <v>4009911</v>
      </c>
      <c r="B636" s="15">
        <v>0</v>
      </c>
      <c r="C636" s="15">
        <v>125</v>
      </c>
      <c r="D636" s="15">
        <v>75</v>
      </c>
      <c r="E636" s="15">
        <v>25</v>
      </c>
      <c r="F636" s="15">
        <v>50</v>
      </c>
      <c r="G636" s="15">
        <v>100</v>
      </c>
      <c r="H636" s="15">
        <v>25</v>
      </c>
      <c r="I636" s="15">
        <v>100</v>
      </c>
      <c r="J636" s="15">
        <v>0</v>
      </c>
      <c r="K636" s="15">
        <v>100</v>
      </c>
      <c r="L636" s="15">
        <v>75</v>
      </c>
      <c r="M636" s="15">
        <v>175</v>
      </c>
      <c r="N636" s="15">
        <v>75</v>
      </c>
      <c r="O636" s="15">
        <v>50</v>
      </c>
      <c r="P636" s="15">
        <v>75</v>
      </c>
      <c r="Q636" s="15">
        <v>100</v>
      </c>
      <c r="R636" s="15">
        <v>0</v>
      </c>
      <c r="S636" s="15">
        <v>25</v>
      </c>
      <c r="T636" s="15">
        <v>50</v>
      </c>
      <c r="U636" s="15">
        <v>50</v>
      </c>
      <c r="V636" s="15">
        <v>100</v>
      </c>
      <c r="W636" s="15">
        <v>100</v>
      </c>
      <c r="X636" s="15">
        <v>100</v>
      </c>
      <c r="Y636" s="15">
        <v>75</v>
      </c>
      <c r="Z636" s="4">
        <v>1650</v>
      </c>
      <c r="AA636" s="26">
        <v>21</v>
      </c>
      <c r="AB636" s="7">
        <v>0.61429999999999996</v>
      </c>
    </row>
    <row r="637" spans="1:28" x14ac:dyDescent="0.35">
      <c r="A637" s="1">
        <v>4009912</v>
      </c>
      <c r="B637" s="15">
        <v>100</v>
      </c>
      <c r="C637" s="15">
        <v>50</v>
      </c>
      <c r="D637" s="15">
        <v>200</v>
      </c>
      <c r="E637" s="15">
        <v>300</v>
      </c>
      <c r="F637" s="15">
        <v>50</v>
      </c>
      <c r="G637" s="15">
        <v>250</v>
      </c>
      <c r="H637" s="15">
        <v>100</v>
      </c>
      <c r="I637" s="15">
        <v>300</v>
      </c>
      <c r="J637" s="15">
        <v>50</v>
      </c>
      <c r="K637" s="15">
        <v>150</v>
      </c>
      <c r="L637" s="15">
        <v>200</v>
      </c>
      <c r="M637" s="15">
        <v>300</v>
      </c>
      <c r="N637" s="15">
        <v>100</v>
      </c>
      <c r="O637" s="15">
        <v>0</v>
      </c>
      <c r="P637" s="15">
        <v>100</v>
      </c>
      <c r="Q637" s="15">
        <v>150</v>
      </c>
      <c r="R637" s="15">
        <v>50</v>
      </c>
      <c r="S637" s="15">
        <v>100</v>
      </c>
      <c r="T637" s="15">
        <v>150</v>
      </c>
      <c r="U637" s="15">
        <v>200</v>
      </c>
      <c r="V637" s="15">
        <v>150</v>
      </c>
      <c r="W637" s="15">
        <v>150</v>
      </c>
      <c r="X637" s="15">
        <v>100</v>
      </c>
      <c r="Y637" s="15">
        <v>450</v>
      </c>
      <c r="Z637" s="4">
        <v>3750</v>
      </c>
      <c r="AA637" s="26">
        <v>23</v>
      </c>
      <c r="AB637" s="7">
        <v>0.6552</v>
      </c>
    </row>
    <row r="638" spans="1:28" x14ac:dyDescent="0.35">
      <c r="A638" s="1">
        <v>4009913</v>
      </c>
      <c r="B638" s="15">
        <v>150</v>
      </c>
      <c r="C638" s="15">
        <v>100</v>
      </c>
      <c r="D638" s="15">
        <v>250</v>
      </c>
      <c r="E638" s="15">
        <v>100</v>
      </c>
      <c r="F638" s="15">
        <v>100</v>
      </c>
      <c r="G638" s="15">
        <v>300</v>
      </c>
      <c r="H638" s="15">
        <v>100</v>
      </c>
      <c r="I638" s="15">
        <v>200</v>
      </c>
      <c r="J638" s="15">
        <v>100</v>
      </c>
      <c r="K638" s="15">
        <v>200</v>
      </c>
      <c r="L638" s="15">
        <v>150</v>
      </c>
      <c r="M638" s="15">
        <v>250</v>
      </c>
      <c r="N638" s="15">
        <v>50</v>
      </c>
      <c r="O638" s="15">
        <v>150</v>
      </c>
      <c r="P638" s="15">
        <v>100</v>
      </c>
      <c r="Q638" s="15">
        <v>200</v>
      </c>
      <c r="R638" s="15">
        <v>50</v>
      </c>
      <c r="S638" s="15">
        <v>100</v>
      </c>
      <c r="T638" s="15">
        <v>150</v>
      </c>
      <c r="U638" s="15">
        <v>100</v>
      </c>
      <c r="V638" s="15">
        <v>150</v>
      </c>
      <c r="W638" s="15">
        <v>100</v>
      </c>
      <c r="X638" s="15">
        <v>150</v>
      </c>
      <c r="Y638" s="15">
        <v>350</v>
      </c>
      <c r="Z638" s="4">
        <v>3650</v>
      </c>
      <c r="AA638" s="26">
        <v>24</v>
      </c>
      <c r="AB638" s="7">
        <v>0.4884</v>
      </c>
    </row>
    <row r="639" spans="1:28" x14ac:dyDescent="0.35">
      <c r="A639" s="1">
        <v>4015482</v>
      </c>
      <c r="B639" s="15">
        <v>150</v>
      </c>
      <c r="C639" s="15">
        <v>175</v>
      </c>
      <c r="D639" s="15">
        <v>200</v>
      </c>
      <c r="E639" s="15">
        <v>150</v>
      </c>
      <c r="F639" s="15">
        <v>300</v>
      </c>
      <c r="G639" s="15">
        <v>225</v>
      </c>
      <c r="H639" s="15">
        <v>200</v>
      </c>
      <c r="I639" s="15">
        <v>125</v>
      </c>
      <c r="J639" s="15">
        <v>150</v>
      </c>
      <c r="K639" s="15">
        <v>75</v>
      </c>
      <c r="L639" s="15">
        <v>200</v>
      </c>
      <c r="M639" s="15">
        <v>125</v>
      </c>
      <c r="N639" s="15">
        <v>75</v>
      </c>
      <c r="O639" s="15">
        <v>150</v>
      </c>
      <c r="P639" s="15">
        <v>175</v>
      </c>
      <c r="Q639" s="15">
        <v>150</v>
      </c>
      <c r="R639" s="15">
        <v>175</v>
      </c>
      <c r="S639" s="15">
        <v>275</v>
      </c>
      <c r="T639" s="15">
        <v>100</v>
      </c>
      <c r="U639" s="15">
        <v>150</v>
      </c>
      <c r="V639" s="15">
        <v>175</v>
      </c>
      <c r="W639" s="15">
        <v>125</v>
      </c>
      <c r="X639" s="15">
        <v>200</v>
      </c>
      <c r="Y639" s="15">
        <v>125</v>
      </c>
      <c r="Z639" s="4">
        <v>3950</v>
      </c>
      <c r="AA639" s="26">
        <v>24</v>
      </c>
      <c r="AB639" s="7">
        <v>0.32200000000000001</v>
      </c>
    </row>
    <row r="640" spans="1:28" x14ac:dyDescent="0.35">
      <c r="A640" s="1">
        <v>4015483</v>
      </c>
      <c r="B640" s="15">
        <v>225</v>
      </c>
      <c r="C640" s="15">
        <v>325</v>
      </c>
      <c r="D640" s="15">
        <v>425</v>
      </c>
      <c r="E640" s="15">
        <v>200</v>
      </c>
      <c r="F640" s="15">
        <v>250</v>
      </c>
      <c r="G640" s="15">
        <v>250</v>
      </c>
      <c r="H640" s="15">
        <v>375</v>
      </c>
      <c r="I640" s="15">
        <v>150</v>
      </c>
      <c r="J640" s="15">
        <v>175</v>
      </c>
      <c r="K640" s="15">
        <v>250</v>
      </c>
      <c r="L640" s="15">
        <v>400</v>
      </c>
      <c r="M640" s="15">
        <v>295</v>
      </c>
      <c r="N640" s="15">
        <v>225</v>
      </c>
      <c r="O640" s="15">
        <v>350</v>
      </c>
      <c r="P640" s="15">
        <v>325</v>
      </c>
      <c r="Q640" s="15">
        <v>250</v>
      </c>
      <c r="R640" s="15">
        <v>245</v>
      </c>
      <c r="S640" s="15">
        <v>375</v>
      </c>
      <c r="T640" s="15">
        <v>275</v>
      </c>
      <c r="U640" s="15">
        <v>275</v>
      </c>
      <c r="V640" s="15">
        <v>225</v>
      </c>
      <c r="W640" s="15">
        <v>225</v>
      </c>
      <c r="X640" s="15">
        <v>200</v>
      </c>
      <c r="Y640" s="15">
        <v>250</v>
      </c>
      <c r="Z640" s="4">
        <v>6540</v>
      </c>
      <c r="AA640" s="26">
        <v>24</v>
      </c>
      <c r="AB640" s="7">
        <v>0.25940000000000002</v>
      </c>
    </row>
    <row r="641" spans="1:29" x14ac:dyDescent="0.35">
      <c r="A641" s="1">
        <v>4024878</v>
      </c>
      <c r="B641" s="15">
        <v>451</v>
      </c>
      <c r="C641" s="15">
        <v>359</v>
      </c>
      <c r="D641" s="15">
        <v>165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4">
        <v>975</v>
      </c>
      <c r="AA641" s="26">
        <v>3</v>
      </c>
      <c r="AB641" s="7">
        <v>2.8418999999999999</v>
      </c>
      <c r="AC641" s="1" t="s">
        <v>3230</v>
      </c>
    </row>
    <row r="642" spans="1:29" x14ac:dyDescent="0.35">
      <c r="A642" s="1">
        <v>4030760</v>
      </c>
      <c r="B642" s="15">
        <v>0</v>
      </c>
      <c r="C642" s="15">
        <v>0</v>
      </c>
      <c r="D642" s="15">
        <v>0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0</v>
      </c>
      <c r="U642" s="15">
        <v>36</v>
      </c>
      <c r="V642" s="15">
        <v>36</v>
      </c>
      <c r="W642" s="15">
        <v>0</v>
      </c>
      <c r="X642" s="15">
        <v>0</v>
      </c>
      <c r="Y642" s="15">
        <v>0</v>
      </c>
      <c r="Z642" s="4">
        <v>72</v>
      </c>
      <c r="AA642" s="26">
        <v>2</v>
      </c>
      <c r="AB642" s="7">
        <v>3.3166000000000002</v>
      </c>
      <c r="AC642" s="1" t="s">
        <v>3230</v>
      </c>
    </row>
    <row r="643" spans="1:29" x14ac:dyDescent="0.35">
      <c r="A643" s="1">
        <v>4032343</v>
      </c>
      <c r="B643" s="15">
        <v>10</v>
      </c>
      <c r="C643" s="15">
        <v>20</v>
      </c>
      <c r="D643" s="15">
        <v>10</v>
      </c>
      <c r="E643" s="15">
        <v>20</v>
      </c>
      <c r="F643" s="15">
        <v>30</v>
      </c>
      <c r="G643" s="15">
        <v>30</v>
      </c>
      <c r="H643" s="15">
        <v>10</v>
      </c>
      <c r="I643" s="15">
        <v>10</v>
      </c>
      <c r="J643" s="15">
        <v>20</v>
      </c>
      <c r="K643" s="15">
        <v>0</v>
      </c>
      <c r="L643" s="15">
        <v>30</v>
      </c>
      <c r="M643" s="15">
        <v>80</v>
      </c>
      <c r="N643" s="15">
        <v>10</v>
      </c>
      <c r="O643" s="15">
        <v>40</v>
      </c>
      <c r="P643" s="15">
        <v>80</v>
      </c>
      <c r="Q643" s="15">
        <v>50</v>
      </c>
      <c r="R643" s="15">
        <v>60</v>
      </c>
      <c r="S643" s="15">
        <v>40</v>
      </c>
      <c r="T643" s="15">
        <v>40</v>
      </c>
      <c r="U643" s="15">
        <v>50</v>
      </c>
      <c r="V643" s="15">
        <v>40</v>
      </c>
      <c r="W643" s="15">
        <v>60</v>
      </c>
      <c r="X643" s="15">
        <v>60</v>
      </c>
      <c r="Y643" s="15">
        <v>30</v>
      </c>
      <c r="Z643" s="4">
        <v>830</v>
      </c>
      <c r="AA643" s="26">
        <v>23</v>
      </c>
      <c r="AB643" s="7">
        <v>0.63560000000000005</v>
      </c>
    </row>
    <row r="644" spans="1:29" x14ac:dyDescent="0.35">
      <c r="A644" s="1">
        <v>4032344</v>
      </c>
      <c r="B644" s="15">
        <v>8</v>
      </c>
      <c r="C644" s="15">
        <v>8</v>
      </c>
      <c r="D644" s="15">
        <v>0</v>
      </c>
      <c r="E644" s="15">
        <v>25</v>
      </c>
      <c r="F644" s="15">
        <v>5</v>
      </c>
      <c r="G644" s="15">
        <v>15</v>
      </c>
      <c r="H644" s="15">
        <v>0</v>
      </c>
      <c r="I644" s="15">
        <v>10</v>
      </c>
      <c r="J644" s="15">
        <v>10</v>
      </c>
      <c r="K644" s="15">
        <v>5</v>
      </c>
      <c r="L644" s="15">
        <v>15</v>
      </c>
      <c r="M644" s="15">
        <v>16</v>
      </c>
      <c r="N644" s="15">
        <v>0</v>
      </c>
      <c r="O644" s="15">
        <v>0</v>
      </c>
      <c r="P644" s="15">
        <v>20</v>
      </c>
      <c r="Q644" s="15">
        <v>0</v>
      </c>
      <c r="R644" s="15">
        <v>5</v>
      </c>
      <c r="S644" s="15">
        <v>10</v>
      </c>
      <c r="T644" s="15">
        <v>5</v>
      </c>
      <c r="U644" s="15">
        <v>0</v>
      </c>
      <c r="V644" s="15">
        <v>17</v>
      </c>
      <c r="W644" s="15">
        <v>5</v>
      </c>
      <c r="X644" s="15">
        <v>10</v>
      </c>
      <c r="Y644" s="15">
        <v>0</v>
      </c>
      <c r="Z644" s="4">
        <v>189</v>
      </c>
      <c r="AA644" s="26">
        <v>17</v>
      </c>
      <c r="AB644" s="7">
        <v>0.8921</v>
      </c>
    </row>
    <row r="645" spans="1:29" x14ac:dyDescent="0.35">
      <c r="A645" s="1">
        <v>4033645</v>
      </c>
      <c r="B645" s="15">
        <v>0</v>
      </c>
      <c r="C645" s="15">
        <v>0</v>
      </c>
      <c r="D645" s="15">
        <v>0</v>
      </c>
      <c r="E645" s="15">
        <v>0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15">
        <v>0</v>
      </c>
      <c r="M645" s="15">
        <v>12</v>
      </c>
      <c r="N645" s="15">
        <v>60</v>
      </c>
      <c r="O645" s="15">
        <v>12</v>
      </c>
      <c r="P645" s="15">
        <v>0</v>
      </c>
      <c r="Q645" s="15">
        <v>24</v>
      </c>
      <c r="R645" s="15">
        <v>0</v>
      </c>
      <c r="S645" s="15">
        <v>24</v>
      </c>
      <c r="T645" s="15">
        <v>6</v>
      </c>
      <c r="U645" s="15">
        <v>0</v>
      </c>
      <c r="V645" s="15">
        <v>0</v>
      </c>
      <c r="W645" s="15">
        <v>12</v>
      </c>
      <c r="X645" s="15">
        <v>24</v>
      </c>
      <c r="Y645" s="15">
        <v>0</v>
      </c>
      <c r="Z645" s="4">
        <v>174</v>
      </c>
      <c r="AA645" s="26">
        <v>8</v>
      </c>
      <c r="AB645" s="7">
        <v>1.8958999999999999</v>
      </c>
    </row>
    <row r="646" spans="1:29" x14ac:dyDescent="0.35">
      <c r="A646" s="1">
        <v>4033646</v>
      </c>
      <c r="B646" s="15">
        <v>0</v>
      </c>
      <c r="C646" s="15">
        <v>0</v>
      </c>
      <c r="D646" s="15">
        <v>0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54</v>
      </c>
      <c r="K646" s="15">
        <v>6</v>
      </c>
      <c r="L646" s="15">
        <v>48</v>
      </c>
      <c r="M646" s="15">
        <v>42</v>
      </c>
      <c r="N646" s="15">
        <v>24</v>
      </c>
      <c r="O646" s="15">
        <v>36</v>
      </c>
      <c r="P646" s="15">
        <v>42</v>
      </c>
      <c r="Q646" s="15">
        <v>18</v>
      </c>
      <c r="R646" s="15">
        <v>66</v>
      </c>
      <c r="S646" s="15">
        <v>48</v>
      </c>
      <c r="T646" s="15">
        <v>6</v>
      </c>
      <c r="U646" s="15">
        <v>30</v>
      </c>
      <c r="V646" s="15">
        <v>42</v>
      </c>
      <c r="W646" s="15">
        <v>36</v>
      </c>
      <c r="X646" s="15">
        <v>66</v>
      </c>
      <c r="Y646" s="15">
        <v>30</v>
      </c>
      <c r="Z646" s="4">
        <v>594</v>
      </c>
      <c r="AA646" s="26">
        <v>16</v>
      </c>
      <c r="AB646" s="7">
        <v>0.91059999999999997</v>
      </c>
    </row>
    <row r="647" spans="1:29" x14ac:dyDescent="0.35">
      <c r="A647" s="1">
        <v>4033674</v>
      </c>
      <c r="B647" s="15">
        <v>30</v>
      </c>
      <c r="C647" s="15">
        <v>18</v>
      </c>
      <c r="D647" s="15">
        <v>30</v>
      </c>
      <c r="E647" s="15">
        <v>42</v>
      </c>
      <c r="F647" s="15">
        <v>84</v>
      </c>
      <c r="G647" s="15">
        <v>66</v>
      </c>
      <c r="H647" s="15">
        <v>161</v>
      </c>
      <c r="I647" s="15">
        <v>120</v>
      </c>
      <c r="J647" s="15">
        <v>30</v>
      </c>
      <c r="K647" s="15">
        <v>60</v>
      </c>
      <c r="L647" s="15">
        <v>90</v>
      </c>
      <c r="M647" s="15">
        <v>60</v>
      </c>
      <c r="N647" s="15">
        <v>60</v>
      </c>
      <c r="O647" s="15">
        <v>210</v>
      </c>
      <c r="P647" s="15">
        <v>324</v>
      </c>
      <c r="Q647" s="15">
        <v>150</v>
      </c>
      <c r="R647" s="15">
        <v>60</v>
      </c>
      <c r="S647" s="15">
        <v>150</v>
      </c>
      <c r="T647" s="15">
        <v>270</v>
      </c>
      <c r="U647" s="15">
        <v>210</v>
      </c>
      <c r="V647" s="15">
        <v>246</v>
      </c>
      <c r="W647" s="15">
        <v>90</v>
      </c>
      <c r="X647" s="15">
        <v>60</v>
      </c>
      <c r="Y647" s="15">
        <v>120</v>
      </c>
      <c r="Z647" s="4">
        <v>2741</v>
      </c>
      <c r="AA647" s="26">
        <v>24</v>
      </c>
      <c r="AB647" s="7">
        <v>0.72309999999999997</v>
      </c>
    </row>
    <row r="648" spans="1:29" x14ac:dyDescent="0.35">
      <c r="A648" s="1">
        <v>4033704</v>
      </c>
      <c r="B648" s="15">
        <v>1</v>
      </c>
      <c r="C648" s="15">
        <v>0</v>
      </c>
      <c r="D648" s="15">
        <v>0</v>
      </c>
      <c r="E648" s="15">
        <v>1</v>
      </c>
      <c r="F648" s="15">
        <v>9</v>
      </c>
      <c r="G648" s="15">
        <v>6</v>
      </c>
      <c r="H648" s="15">
        <v>8</v>
      </c>
      <c r="I648" s="15">
        <v>16</v>
      </c>
      <c r="J648" s="15">
        <v>16</v>
      </c>
      <c r="K648" s="15">
        <v>14</v>
      </c>
      <c r="L648" s="15">
        <v>9</v>
      </c>
      <c r="M648" s="15">
        <v>26</v>
      </c>
      <c r="N648" s="15">
        <v>16</v>
      </c>
      <c r="O648" s="15">
        <v>21</v>
      </c>
      <c r="P648" s="15">
        <v>15</v>
      </c>
      <c r="Q648" s="15">
        <v>23</v>
      </c>
      <c r="R648" s="15">
        <v>14</v>
      </c>
      <c r="S648" s="15">
        <v>22</v>
      </c>
      <c r="T648" s="15">
        <v>11</v>
      </c>
      <c r="U648" s="15">
        <v>11</v>
      </c>
      <c r="V648" s="15">
        <v>17</v>
      </c>
      <c r="W648" s="15">
        <v>14</v>
      </c>
      <c r="X648" s="15">
        <v>23</v>
      </c>
      <c r="Y648" s="15">
        <v>9</v>
      </c>
      <c r="Z648" s="4">
        <v>302</v>
      </c>
      <c r="AA648" s="26">
        <v>22</v>
      </c>
      <c r="AB648" s="7">
        <v>0.58840000000000003</v>
      </c>
    </row>
    <row r="649" spans="1:29" x14ac:dyDescent="0.35">
      <c r="A649" s="1">
        <v>4033706</v>
      </c>
      <c r="B649" s="15">
        <v>25</v>
      </c>
      <c r="C649" s="15">
        <v>4</v>
      </c>
      <c r="D649" s="15">
        <v>20</v>
      </c>
      <c r="E649" s="15">
        <v>6511</v>
      </c>
      <c r="F649" s="15">
        <v>20</v>
      </c>
      <c r="G649" s="15">
        <v>31</v>
      </c>
      <c r="H649" s="15">
        <v>23</v>
      </c>
      <c r="I649" s="15">
        <v>27</v>
      </c>
      <c r="J649" s="15">
        <v>36</v>
      </c>
      <c r="K649" s="15">
        <v>21</v>
      </c>
      <c r="L649" s="15">
        <v>34</v>
      </c>
      <c r="M649" s="15">
        <v>46</v>
      </c>
      <c r="N649" s="15">
        <v>40</v>
      </c>
      <c r="O649" s="15">
        <v>50</v>
      </c>
      <c r="P649" s="15">
        <v>45</v>
      </c>
      <c r="Q649" s="15">
        <v>49</v>
      </c>
      <c r="R649" s="15">
        <v>40</v>
      </c>
      <c r="S649" s="15">
        <v>46</v>
      </c>
      <c r="T649" s="15">
        <v>31</v>
      </c>
      <c r="U649" s="15">
        <v>42</v>
      </c>
      <c r="V649" s="15">
        <v>56</v>
      </c>
      <c r="W649" s="15">
        <v>45</v>
      </c>
      <c r="X649" s="15">
        <v>44</v>
      </c>
      <c r="Y649" s="15">
        <v>60</v>
      </c>
      <c r="Z649" s="4">
        <v>7346</v>
      </c>
      <c r="AA649" s="26">
        <v>24</v>
      </c>
      <c r="AB649" s="7">
        <v>4.2271999999999998</v>
      </c>
    </row>
    <row r="650" spans="1:29" x14ac:dyDescent="0.35">
      <c r="A650" s="1">
        <v>4035929</v>
      </c>
      <c r="B650" s="15">
        <v>5</v>
      </c>
      <c r="C650" s="15">
        <v>15</v>
      </c>
      <c r="D650" s="15">
        <v>15</v>
      </c>
      <c r="E650" s="15">
        <v>0</v>
      </c>
      <c r="F650" s="15">
        <v>10</v>
      </c>
      <c r="G650" s="15">
        <v>30</v>
      </c>
      <c r="H650" s="15">
        <v>5</v>
      </c>
      <c r="I650" s="15">
        <v>0</v>
      </c>
      <c r="J650" s="15">
        <v>5</v>
      </c>
      <c r="K650" s="15">
        <v>0</v>
      </c>
      <c r="L650" s="15">
        <v>5</v>
      </c>
      <c r="M650" s="15">
        <v>15</v>
      </c>
      <c r="N650" s="15">
        <v>0</v>
      </c>
      <c r="O650" s="15">
        <v>35</v>
      </c>
      <c r="P650" s="15">
        <v>15</v>
      </c>
      <c r="Q650" s="15">
        <v>15</v>
      </c>
      <c r="R650" s="15">
        <v>0</v>
      </c>
      <c r="S650" s="15">
        <v>5</v>
      </c>
      <c r="T650" s="15">
        <v>10</v>
      </c>
      <c r="U650" s="15">
        <v>5</v>
      </c>
      <c r="V650" s="15">
        <v>10</v>
      </c>
      <c r="W650" s="15">
        <v>15</v>
      </c>
      <c r="X650" s="15">
        <v>10</v>
      </c>
      <c r="Y650" s="15">
        <v>5</v>
      </c>
      <c r="Z650" s="4">
        <v>230</v>
      </c>
      <c r="AA650" s="26">
        <v>19</v>
      </c>
      <c r="AB650" s="7">
        <v>0.91510000000000002</v>
      </c>
    </row>
    <row r="651" spans="1:29" x14ac:dyDescent="0.35">
      <c r="A651" s="1">
        <v>4035930</v>
      </c>
      <c r="B651" s="15">
        <v>15</v>
      </c>
      <c r="C651" s="15">
        <v>25</v>
      </c>
      <c r="D651" s="15">
        <v>35</v>
      </c>
      <c r="E651" s="15">
        <v>15</v>
      </c>
      <c r="F651" s="15">
        <v>70</v>
      </c>
      <c r="G651" s="15">
        <v>40</v>
      </c>
      <c r="H651" s="15">
        <v>45</v>
      </c>
      <c r="I651" s="15">
        <v>20</v>
      </c>
      <c r="J651" s="15">
        <v>20</v>
      </c>
      <c r="K651" s="15">
        <v>45</v>
      </c>
      <c r="L651" s="15">
        <v>40</v>
      </c>
      <c r="M651" s="15">
        <v>80</v>
      </c>
      <c r="N651" s="15">
        <v>20</v>
      </c>
      <c r="O651" s="15">
        <v>40</v>
      </c>
      <c r="P651" s="15">
        <v>50</v>
      </c>
      <c r="Q651" s="15">
        <v>65</v>
      </c>
      <c r="R651" s="15">
        <v>45</v>
      </c>
      <c r="S651" s="15">
        <v>25</v>
      </c>
      <c r="T651" s="15">
        <v>45</v>
      </c>
      <c r="U651" s="15">
        <v>35</v>
      </c>
      <c r="V651" s="15">
        <v>15</v>
      </c>
      <c r="W651" s="15">
        <v>90</v>
      </c>
      <c r="X651" s="15">
        <v>15</v>
      </c>
      <c r="Y651" s="15">
        <v>39</v>
      </c>
      <c r="Z651" s="4">
        <v>934</v>
      </c>
      <c r="AA651" s="26">
        <v>24</v>
      </c>
      <c r="AB651" s="7">
        <v>0.52449999999999997</v>
      </c>
    </row>
    <row r="652" spans="1:29" x14ac:dyDescent="0.35">
      <c r="A652" s="1">
        <v>4035931</v>
      </c>
      <c r="B652" s="15">
        <v>5</v>
      </c>
      <c r="C652" s="15">
        <v>10</v>
      </c>
      <c r="D652" s="15">
        <v>50</v>
      </c>
      <c r="E652" s="15">
        <v>10</v>
      </c>
      <c r="F652" s="15">
        <v>65</v>
      </c>
      <c r="G652" s="15">
        <v>20</v>
      </c>
      <c r="H652" s="15">
        <v>15</v>
      </c>
      <c r="I652" s="15">
        <v>10</v>
      </c>
      <c r="J652" s="15">
        <v>25</v>
      </c>
      <c r="K652" s="15">
        <v>25</v>
      </c>
      <c r="L652" s="15">
        <v>30</v>
      </c>
      <c r="M652" s="15">
        <v>60</v>
      </c>
      <c r="N652" s="15">
        <v>25</v>
      </c>
      <c r="O652" s="15">
        <v>35</v>
      </c>
      <c r="P652" s="15">
        <v>15</v>
      </c>
      <c r="Q652" s="15">
        <v>40</v>
      </c>
      <c r="R652" s="15">
        <v>20</v>
      </c>
      <c r="S652" s="15">
        <v>10</v>
      </c>
      <c r="T652" s="15">
        <v>25</v>
      </c>
      <c r="U652" s="15">
        <v>20</v>
      </c>
      <c r="V652" s="15">
        <v>25</v>
      </c>
      <c r="W652" s="15">
        <v>30</v>
      </c>
      <c r="X652" s="15">
        <v>5</v>
      </c>
      <c r="Y652" s="15">
        <v>41</v>
      </c>
      <c r="Z652" s="4">
        <v>616</v>
      </c>
      <c r="AA652" s="26">
        <v>24</v>
      </c>
      <c r="AB652" s="7">
        <v>0.61839999999999995</v>
      </c>
    </row>
    <row r="653" spans="1:29" x14ac:dyDescent="0.35">
      <c r="A653" s="1">
        <v>4035935</v>
      </c>
      <c r="B653" s="15">
        <v>0</v>
      </c>
      <c r="C653" s="15">
        <v>0</v>
      </c>
      <c r="D653" s="15">
        <v>0</v>
      </c>
      <c r="E653" s="15">
        <v>0</v>
      </c>
      <c r="F653" s="15">
        <v>0</v>
      </c>
      <c r="G653" s="15">
        <v>0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50</v>
      </c>
      <c r="S653" s="15">
        <v>0</v>
      </c>
      <c r="T653" s="15">
        <v>0</v>
      </c>
      <c r="U653" s="15">
        <v>0</v>
      </c>
      <c r="V653" s="15">
        <v>50</v>
      </c>
      <c r="W653" s="15">
        <v>0</v>
      </c>
      <c r="X653" s="15">
        <v>50</v>
      </c>
      <c r="Y653" s="15">
        <v>10</v>
      </c>
      <c r="Z653" s="4">
        <v>160</v>
      </c>
      <c r="AA653" s="26">
        <v>4</v>
      </c>
      <c r="AB653" s="7">
        <v>2.4748999999999999</v>
      </c>
      <c r="AC653" s="1" t="s">
        <v>3230</v>
      </c>
    </row>
    <row r="654" spans="1:29" x14ac:dyDescent="0.35">
      <c r="A654" s="1">
        <v>4035953</v>
      </c>
      <c r="B654" s="15">
        <v>0</v>
      </c>
      <c r="C654" s="15">
        <v>4</v>
      </c>
      <c r="D654" s="15">
        <v>6</v>
      </c>
      <c r="E654" s="15">
        <v>5</v>
      </c>
      <c r="F654" s="15">
        <v>5</v>
      </c>
      <c r="G654" s="15">
        <v>5</v>
      </c>
      <c r="H654" s="15">
        <v>0</v>
      </c>
      <c r="I654" s="15">
        <v>16</v>
      </c>
      <c r="J654" s="15">
        <v>10</v>
      </c>
      <c r="K654" s="15">
        <v>15</v>
      </c>
      <c r="L654" s="15">
        <v>5</v>
      </c>
      <c r="M654" s="15">
        <v>10</v>
      </c>
      <c r="N654" s="15">
        <v>0</v>
      </c>
      <c r="O654" s="15">
        <v>5</v>
      </c>
      <c r="P654" s="15">
        <v>0</v>
      </c>
      <c r="Q654" s="15">
        <v>5</v>
      </c>
      <c r="R654" s="15">
        <v>0</v>
      </c>
      <c r="S654" s="15">
        <v>0</v>
      </c>
      <c r="T654" s="15">
        <v>5</v>
      </c>
      <c r="U654" s="15">
        <v>5</v>
      </c>
      <c r="V654" s="15">
        <v>10</v>
      </c>
      <c r="W654" s="15">
        <v>0</v>
      </c>
      <c r="X654" s="15">
        <v>0</v>
      </c>
      <c r="Y654" s="15">
        <v>15</v>
      </c>
      <c r="Z654" s="4">
        <v>126</v>
      </c>
      <c r="AA654" s="26">
        <v>16</v>
      </c>
      <c r="AB654" s="7">
        <v>0.9496</v>
      </c>
    </row>
    <row r="655" spans="1:29" x14ac:dyDescent="0.35">
      <c r="A655" s="1">
        <v>4035954</v>
      </c>
      <c r="B655" s="15">
        <v>0</v>
      </c>
      <c r="C655" s="15">
        <v>125</v>
      </c>
      <c r="D655" s="15">
        <v>75</v>
      </c>
      <c r="E655" s="15">
        <v>80</v>
      </c>
      <c r="F655" s="15">
        <v>65</v>
      </c>
      <c r="G655" s="15">
        <v>80</v>
      </c>
      <c r="H655" s="15">
        <v>50</v>
      </c>
      <c r="I655" s="15">
        <v>60</v>
      </c>
      <c r="J655" s="15">
        <v>100</v>
      </c>
      <c r="K655" s="15">
        <v>50</v>
      </c>
      <c r="L655" s="15">
        <v>75</v>
      </c>
      <c r="M655" s="15">
        <v>60</v>
      </c>
      <c r="N655" s="15">
        <v>80</v>
      </c>
      <c r="O655" s="15">
        <v>100</v>
      </c>
      <c r="P655" s="15">
        <v>75</v>
      </c>
      <c r="Q655" s="15">
        <v>80</v>
      </c>
      <c r="R655" s="15">
        <v>80</v>
      </c>
      <c r="S655" s="15">
        <v>80</v>
      </c>
      <c r="T655" s="15">
        <v>60</v>
      </c>
      <c r="U655" s="15">
        <v>80</v>
      </c>
      <c r="V655" s="15">
        <v>100</v>
      </c>
      <c r="W655" s="15">
        <v>80</v>
      </c>
      <c r="X655" s="15">
        <v>60</v>
      </c>
      <c r="Y655" s="15">
        <v>120</v>
      </c>
      <c r="Z655" s="4">
        <v>1815</v>
      </c>
      <c r="AA655" s="26">
        <v>23</v>
      </c>
      <c r="AB655" s="7">
        <v>0.3246</v>
      </c>
    </row>
    <row r="656" spans="1:29" x14ac:dyDescent="0.35">
      <c r="A656" s="1">
        <v>4035956</v>
      </c>
      <c r="B656" s="15">
        <v>10</v>
      </c>
      <c r="C656" s="15">
        <v>0</v>
      </c>
      <c r="D656" s="15">
        <v>34</v>
      </c>
      <c r="E656" s="15">
        <v>1</v>
      </c>
      <c r="F656" s="15">
        <v>20</v>
      </c>
      <c r="G656" s="15">
        <v>40</v>
      </c>
      <c r="H656" s="15">
        <v>25</v>
      </c>
      <c r="I656" s="15">
        <v>26</v>
      </c>
      <c r="J656" s="15">
        <v>32</v>
      </c>
      <c r="K656" s="15">
        <v>25</v>
      </c>
      <c r="L656" s="15">
        <v>16</v>
      </c>
      <c r="M656" s="15">
        <v>20</v>
      </c>
      <c r="N656" s="15">
        <v>30</v>
      </c>
      <c r="O656" s="15">
        <v>30</v>
      </c>
      <c r="P656" s="15">
        <v>30</v>
      </c>
      <c r="Q656" s="15">
        <v>30</v>
      </c>
      <c r="R656" s="15">
        <v>30</v>
      </c>
      <c r="S656" s="15">
        <v>20</v>
      </c>
      <c r="T656" s="15">
        <v>10</v>
      </c>
      <c r="U656" s="15">
        <v>10</v>
      </c>
      <c r="V656" s="15">
        <v>30</v>
      </c>
      <c r="W656" s="15">
        <v>10</v>
      </c>
      <c r="X656" s="15">
        <v>20</v>
      </c>
      <c r="Y656" s="15">
        <v>30</v>
      </c>
      <c r="Z656" s="4">
        <v>529</v>
      </c>
      <c r="AA656" s="26">
        <v>23</v>
      </c>
      <c r="AB656" s="7">
        <v>0.47249999999999998</v>
      </c>
    </row>
    <row r="657" spans="1:29" x14ac:dyDescent="0.35">
      <c r="A657" s="1">
        <v>4035957</v>
      </c>
      <c r="B657" s="15">
        <v>10</v>
      </c>
      <c r="C657" s="15">
        <v>20</v>
      </c>
      <c r="D657" s="15">
        <v>20</v>
      </c>
      <c r="E657" s="15">
        <v>50</v>
      </c>
      <c r="F657" s="15">
        <v>40</v>
      </c>
      <c r="G657" s="15">
        <v>50</v>
      </c>
      <c r="H657" s="15">
        <v>30</v>
      </c>
      <c r="I657" s="15">
        <v>36</v>
      </c>
      <c r="J657" s="15">
        <v>50</v>
      </c>
      <c r="K657" s="15">
        <v>26</v>
      </c>
      <c r="L657" s="15">
        <v>42</v>
      </c>
      <c r="M657" s="15">
        <v>42</v>
      </c>
      <c r="N657" s="15">
        <v>30</v>
      </c>
      <c r="O657" s="15">
        <v>36</v>
      </c>
      <c r="P657" s="15">
        <v>35</v>
      </c>
      <c r="Q657" s="15">
        <v>30</v>
      </c>
      <c r="R657" s="15">
        <v>51</v>
      </c>
      <c r="S657" s="15">
        <v>40</v>
      </c>
      <c r="T657" s="15">
        <v>40</v>
      </c>
      <c r="U657" s="15">
        <v>50</v>
      </c>
      <c r="V657" s="15">
        <v>40</v>
      </c>
      <c r="W657" s="15">
        <v>40</v>
      </c>
      <c r="X657" s="15">
        <v>40</v>
      </c>
      <c r="Y657" s="15">
        <v>10</v>
      </c>
      <c r="Z657" s="4">
        <v>858</v>
      </c>
      <c r="AA657" s="26">
        <v>24</v>
      </c>
      <c r="AB657" s="7">
        <v>0.32540000000000002</v>
      </c>
    </row>
    <row r="658" spans="1:29" x14ac:dyDescent="0.35">
      <c r="A658" s="1">
        <v>4035958</v>
      </c>
      <c r="B658" s="15">
        <v>0</v>
      </c>
      <c r="C658" s="15">
        <v>4</v>
      </c>
      <c r="D658" s="15">
        <v>6</v>
      </c>
      <c r="E658" s="15">
        <v>14</v>
      </c>
      <c r="F658" s="15">
        <v>4</v>
      </c>
      <c r="G658" s="15">
        <v>22</v>
      </c>
      <c r="H658" s="15">
        <v>0</v>
      </c>
      <c r="I658" s="15">
        <v>0</v>
      </c>
      <c r="J658" s="15">
        <v>0</v>
      </c>
      <c r="K658" s="15">
        <v>10</v>
      </c>
      <c r="L658" s="15">
        <v>10</v>
      </c>
      <c r="M658" s="15">
        <v>20</v>
      </c>
      <c r="N658" s="15">
        <v>0</v>
      </c>
      <c r="O658" s="15">
        <v>10</v>
      </c>
      <c r="P658" s="15">
        <v>0</v>
      </c>
      <c r="Q658" s="15">
        <v>10</v>
      </c>
      <c r="R658" s="15">
        <v>0</v>
      </c>
      <c r="S658" s="15">
        <v>0</v>
      </c>
      <c r="T658" s="15">
        <v>0</v>
      </c>
      <c r="U658" s="15">
        <v>0</v>
      </c>
      <c r="V658" s="15">
        <v>10</v>
      </c>
      <c r="W658" s="15">
        <v>0</v>
      </c>
      <c r="X658" s="15">
        <v>0</v>
      </c>
      <c r="Y658" s="15">
        <v>30</v>
      </c>
      <c r="Z658" s="4">
        <v>150</v>
      </c>
      <c r="AA658" s="26">
        <v>12</v>
      </c>
      <c r="AB658" s="7">
        <v>1.3107</v>
      </c>
    </row>
    <row r="659" spans="1:29" x14ac:dyDescent="0.35">
      <c r="A659" s="1">
        <v>4035959</v>
      </c>
      <c r="B659" s="15">
        <v>0</v>
      </c>
      <c r="C659" s="15">
        <v>16</v>
      </c>
      <c r="D659" s="15">
        <v>6</v>
      </c>
      <c r="E659" s="15">
        <v>24</v>
      </c>
      <c r="F659" s="15">
        <v>0</v>
      </c>
      <c r="G659" s="15">
        <v>19</v>
      </c>
      <c r="H659" s="15">
        <v>0</v>
      </c>
      <c r="I659" s="15">
        <v>8</v>
      </c>
      <c r="J659" s="15">
        <v>24</v>
      </c>
      <c r="K659" s="15">
        <v>8</v>
      </c>
      <c r="L659" s="15">
        <v>16</v>
      </c>
      <c r="M659" s="15">
        <v>8</v>
      </c>
      <c r="N659" s="15">
        <v>20</v>
      </c>
      <c r="O659" s="15">
        <v>16</v>
      </c>
      <c r="P659" s="15">
        <v>0</v>
      </c>
      <c r="Q659" s="15">
        <v>16</v>
      </c>
      <c r="R659" s="15">
        <v>16</v>
      </c>
      <c r="S659" s="15">
        <v>16</v>
      </c>
      <c r="T659" s="15">
        <v>24</v>
      </c>
      <c r="U659" s="15">
        <v>8</v>
      </c>
      <c r="V659" s="15">
        <v>16</v>
      </c>
      <c r="W659" s="15">
        <v>24</v>
      </c>
      <c r="X659" s="15">
        <v>24</v>
      </c>
      <c r="Y659" s="15">
        <v>11</v>
      </c>
      <c r="Z659" s="4">
        <v>320</v>
      </c>
      <c r="AA659" s="26">
        <v>20</v>
      </c>
      <c r="AB659" s="7">
        <v>0.60840000000000005</v>
      </c>
    </row>
    <row r="660" spans="1:29" x14ac:dyDescent="0.35">
      <c r="A660" s="1">
        <v>4035960</v>
      </c>
      <c r="B660" s="15">
        <v>0</v>
      </c>
      <c r="C660" s="15">
        <v>0</v>
      </c>
      <c r="D660" s="15">
        <v>10</v>
      </c>
      <c r="E660" s="15">
        <v>20</v>
      </c>
      <c r="F660" s="15">
        <v>5</v>
      </c>
      <c r="G660" s="15">
        <v>20</v>
      </c>
      <c r="H660" s="15">
        <v>0</v>
      </c>
      <c r="I660" s="15">
        <v>20</v>
      </c>
      <c r="J660" s="15">
        <v>0</v>
      </c>
      <c r="K660" s="15">
        <v>25</v>
      </c>
      <c r="L660" s="15">
        <v>0</v>
      </c>
      <c r="M660" s="15">
        <v>10</v>
      </c>
      <c r="N660" s="15">
        <v>20</v>
      </c>
      <c r="O660" s="15">
        <v>35</v>
      </c>
      <c r="P660" s="15">
        <v>0</v>
      </c>
      <c r="Q660" s="15">
        <v>0</v>
      </c>
      <c r="R660" s="15">
        <v>10</v>
      </c>
      <c r="S660" s="15">
        <v>20</v>
      </c>
      <c r="T660" s="15">
        <v>0</v>
      </c>
      <c r="U660" s="15">
        <v>20</v>
      </c>
      <c r="V660" s="15">
        <v>20</v>
      </c>
      <c r="W660" s="15">
        <v>10</v>
      </c>
      <c r="X660" s="15">
        <v>20</v>
      </c>
      <c r="Y660" s="15">
        <v>0</v>
      </c>
      <c r="Z660" s="4">
        <v>265</v>
      </c>
      <c r="AA660" s="26">
        <v>15</v>
      </c>
      <c r="AB660" s="7">
        <v>0.93330000000000002</v>
      </c>
    </row>
    <row r="661" spans="1:29" x14ac:dyDescent="0.35">
      <c r="A661" s="1">
        <v>4035963</v>
      </c>
      <c r="B661" s="15">
        <v>30</v>
      </c>
      <c r="C661" s="15">
        <v>110</v>
      </c>
      <c r="D661" s="15">
        <v>90</v>
      </c>
      <c r="E661" s="15">
        <v>40</v>
      </c>
      <c r="F661" s="15">
        <v>180</v>
      </c>
      <c r="G661" s="15">
        <v>70</v>
      </c>
      <c r="H661" s="15">
        <v>30</v>
      </c>
      <c r="I661" s="15">
        <v>60</v>
      </c>
      <c r="J661" s="15">
        <v>30</v>
      </c>
      <c r="K661" s="15">
        <v>90</v>
      </c>
      <c r="L661" s="15">
        <v>100</v>
      </c>
      <c r="M661" s="15">
        <v>80</v>
      </c>
      <c r="N661" s="15">
        <v>110</v>
      </c>
      <c r="O661" s="15">
        <v>100</v>
      </c>
      <c r="P661" s="15">
        <v>60</v>
      </c>
      <c r="Q661" s="15">
        <v>80</v>
      </c>
      <c r="R661" s="15">
        <v>70</v>
      </c>
      <c r="S661" s="15">
        <v>80</v>
      </c>
      <c r="T661" s="15">
        <v>50</v>
      </c>
      <c r="U661" s="15">
        <v>70</v>
      </c>
      <c r="V661" s="15">
        <v>70</v>
      </c>
      <c r="W661" s="15">
        <v>80</v>
      </c>
      <c r="X661" s="15">
        <v>80</v>
      </c>
      <c r="Y661" s="15">
        <v>50</v>
      </c>
      <c r="Z661" s="4">
        <v>1810</v>
      </c>
      <c r="AA661" s="26">
        <v>24</v>
      </c>
      <c r="AB661" s="7">
        <v>0.42280000000000001</v>
      </c>
    </row>
    <row r="662" spans="1:29" x14ac:dyDescent="0.35">
      <c r="A662" s="1">
        <v>4035971</v>
      </c>
      <c r="B662" s="15">
        <v>80</v>
      </c>
      <c r="C662" s="15">
        <v>50</v>
      </c>
      <c r="D662" s="15">
        <v>80</v>
      </c>
      <c r="E662" s="15">
        <v>220</v>
      </c>
      <c r="F662" s="15">
        <v>160</v>
      </c>
      <c r="G662" s="15">
        <v>240</v>
      </c>
      <c r="H662" s="15">
        <v>110</v>
      </c>
      <c r="I662" s="15">
        <v>140</v>
      </c>
      <c r="J662" s="15">
        <v>230</v>
      </c>
      <c r="K662" s="15">
        <v>220</v>
      </c>
      <c r="L662" s="15">
        <v>170</v>
      </c>
      <c r="M662" s="15">
        <v>305</v>
      </c>
      <c r="N662" s="15">
        <v>180</v>
      </c>
      <c r="O662" s="15">
        <v>220</v>
      </c>
      <c r="P662" s="15">
        <v>230</v>
      </c>
      <c r="Q662" s="15">
        <v>160</v>
      </c>
      <c r="R662" s="15">
        <v>160</v>
      </c>
      <c r="S662" s="15">
        <v>200</v>
      </c>
      <c r="T662" s="15">
        <v>160</v>
      </c>
      <c r="U662" s="15">
        <v>160</v>
      </c>
      <c r="V662" s="15">
        <v>240</v>
      </c>
      <c r="W662" s="15">
        <v>200</v>
      </c>
      <c r="X662" s="15">
        <v>160</v>
      </c>
      <c r="Y662" s="15">
        <v>200</v>
      </c>
      <c r="Z662" s="4">
        <v>4275</v>
      </c>
      <c r="AA662" s="26">
        <v>24</v>
      </c>
      <c r="AB662" s="7">
        <v>0.32340000000000002</v>
      </c>
    </row>
    <row r="663" spans="1:29" x14ac:dyDescent="0.35">
      <c r="A663" s="1">
        <v>4035972</v>
      </c>
      <c r="B663" s="15">
        <v>0</v>
      </c>
      <c r="C663" s="15">
        <v>0</v>
      </c>
      <c r="D663" s="15">
        <v>0</v>
      </c>
      <c r="E663" s="15">
        <v>0</v>
      </c>
      <c r="F663" s="15">
        <v>5</v>
      </c>
      <c r="G663" s="15">
        <v>60</v>
      </c>
      <c r="H663" s="15">
        <v>45</v>
      </c>
      <c r="I663" s="15">
        <v>40</v>
      </c>
      <c r="J663" s="15">
        <v>111</v>
      </c>
      <c r="K663" s="15">
        <v>55</v>
      </c>
      <c r="L663" s="15">
        <v>75</v>
      </c>
      <c r="M663" s="15">
        <v>120</v>
      </c>
      <c r="N663" s="15">
        <v>30</v>
      </c>
      <c r="O663" s="15">
        <v>120</v>
      </c>
      <c r="P663" s="15">
        <v>120</v>
      </c>
      <c r="Q663" s="15">
        <v>90</v>
      </c>
      <c r="R663" s="15">
        <v>90</v>
      </c>
      <c r="S663" s="15">
        <v>90</v>
      </c>
      <c r="T663" s="15">
        <v>60</v>
      </c>
      <c r="U663" s="15">
        <v>75</v>
      </c>
      <c r="V663" s="15">
        <v>135</v>
      </c>
      <c r="W663" s="15">
        <v>90</v>
      </c>
      <c r="X663" s="15">
        <v>105</v>
      </c>
      <c r="Y663" s="15">
        <v>105</v>
      </c>
      <c r="Z663" s="4">
        <v>1621</v>
      </c>
      <c r="AA663" s="26">
        <v>20</v>
      </c>
      <c r="AB663" s="7">
        <v>0.63919999999999999</v>
      </c>
    </row>
    <row r="664" spans="1:29" x14ac:dyDescent="0.35">
      <c r="A664" s="1">
        <v>4035973</v>
      </c>
      <c r="B664" s="15">
        <v>0</v>
      </c>
      <c r="C664" s="15">
        <v>200</v>
      </c>
      <c r="D664" s="15">
        <v>120</v>
      </c>
      <c r="E664" s="15">
        <v>120</v>
      </c>
      <c r="F664" s="15">
        <v>120</v>
      </c>
      <c r="G664" s="15">
        <v>160</v>
      </c>
      <c r="H664" s="15">
        <v>90</v>
      </c>
      <c r="I664" s="15">
        <v>120</v>
      </c>
      <c r="J664" s="15">
        <v>140</v>
      </c>
      <c r="K664" s="15">
        <v>140</v>
      </c>
      <c r="L664" s="15">
        <v>120</v>
      </c>
      <c r="M664" s="15">
        <v>90</v>
      </c>
      <c r="N664" s="15">
        <v>135</v>
      </c>
      <c r="O664" s="15">
        <v>200</v>
      </c>
      <c r="P664" s="15">
        <v>120</v>
      </c>
      <c r="Q664" s="15">
        <v>57</v>
      </c>
      <c r="R664" s="15">
        <v>80</v>
      </c>
      <c r="S664" s="15">
        <v>160</v>
      </c>
      <c r="T664" s="15">
        <v>120</v>
      </c>
      <c r="U664" s="15">
        <v>160</v>
      </c>
      <c r="V664" s="15">
        <v>120</v>
      </c>
      <c r="W664" s="15">
        <v>160</v>
      </c>
      <c r="X664" s="15">
        <v>80</v>
      </c>
      <c r="Y664" s="15">
        <v>120</v>
      </c>
      <c r="Z664" s="4">
        <v>2932</v>
      </c>
      <c r="AA664" s="26">
        <v>23</v>
      </c>
      <c r="AB664" s="7">
        <v>0.34839999999999999</v>
      </c>
    </row>
    <row r="665" spans="1:29" x14ac:dyDescent="0.35">
      <c r="A665" s="1">
        <v>4035974</v>
      </c>
      <c r="B665" s="15">
        <v>0</v>
      </c>
      <c r="C665" s="15">
        <v>3</v>
      </c>
      <c r="D665" s="15">
        <v>2</v>
      </c>
      <c r="E665" s="15">
        <v>4</v>
      </c>
      <c r="F665" s="15">
        <v>2</v>
      </c>
      <c r="G665" s="15">
        <v>5</v>
      </c>
      <c r="H665" s="15">
        <v>2</v>
      </c>
      <c r="I665" s="15">
        <v>4</v>
      </c>
      <c r="J665" s="15">
        <v>5</v>
      </c>
      <c r="K665" s="15">
        <v>3</v>
      </c>
      <c r="L665" s="15">
        <v>3</v>
      </c>
      <c r="M665" s="15">
        <v>5</v>
      </c>
      <c r="N665" s="15">
        <v>3</v>
      </c>
      <c r="O665" s="15">
        <v>6</v>
      </c>
      <c r="P665" s="15">
        <v>3</v>
      </c>
      <c r="Q665" s="15">
        <v>4</v>
      </c>
      <c r="R665" s="15">
        <v>5</v>
      </c>
      <c r="S665" s="15">
        <v>6</v>
      </c>
      <c r="T665" s="15">
        <v>3</v>
      </c>
      <c r="U665" s="15">
        <v>4</v>
      </c>
      <c r="V665" s="15">
        <v>5</v>
      </c>
      <c r="W665" s="15">
        <v>3</v>
      </c>
      <c r="X665" s="15">
        <v>4</v>
      </c>
      <c r="Y665" s="15">
        <v>6</v>
      </c>
      <c r="Z665" s="4">
        <v>90</v>
      </c>
      <c r="AA665" s="26">
        <v>23</v>
      </c>
      <c r="AB665" s="7">
        <v>0.38679999999999998</v>
      </c>
    </row>
    <row r="666" spans="1:29" x14ac:dyDescent="0.35">
      <c r="A666" s="1">
        <v>4036481</v>
      </c>
      <c r="B666" s="15">
        <v>0</v>
      </c>
      <c r="C666" s="15">
        <v>0</v>
      </c>
      <c r="D666" s="15">
        <v>0</v>
      </c>
      <c r="E666" s="15">
        <v>80</v>
      </c>
      <c r="F666" s="15">
        <v>120</v>
      </c>
      <c r="G666" s="15">
        <v>155</v>
      </c>
      <c r="H666" s="15">
        <v>80</v>
      </c>
      <c r="I666" s="15">
        <v>110</v>
      </c>
      <c r="J666" s="15">
        <v>210</v>
      </c>
      <c r="K666" s="15">
        <v>150</v>
      </c>
      <c r="L666" s="15">
        <v>120</v>
      </c>
      <c r="M666" s="15">
        <v>80</v>
      </c>
      <c r="N666" s="15">
        <v>120</v>
      </c>
      <c r="O666" s="15">
        <v>180</v>
      </c>
      <c r="P666" s="15">
        <v>110</v>
      </c>
      <c r="Q666" s="15">
        <v>120</v>
      </c>
      <c r="R666" s="15">
        <v>160</v>
      </c>
      <c r="S666" s="15">
        <v>160</v>
      </c>
      <c r="T666" s="15">
        <v>80</v>
      </c>
      <c r="U666" s="15">
        <v>160</v>
      </c>
      <c r="V666" s="15">
        <v>160</v>
      </c>
      <c r="W666" s="15">
        <v>160</v>
      </c>
      <c r="X666" s="15">
        <v>120</v>
      </c>
      <c r="Y666" s="15">
        <v>200</v>
      </c>
      <c r="Z666" s="4">
        <v>2835</v>
      </c>
      <c r="AA666" s="26">
        <v>21</v>
      </c>
      <c r="AB666" s="7">
        <v>0.4824</v>
      </c>
    </row>
    <row r="667" spans="1:29" x14ac:dyDescent="0.35">
      <c r="A667" s="1">
        <v>4036668</v>
      </c>
      <c r="B667" s="15">
        <v>0</v>
      </c>
      <c r="C667" s="15">
        <v>0</v>
      </c>
      <c r="D667" s="15">
        <v>0</v>
      </c>
      <c r="E667" s="15">
        <v>72</v>
      </c>
      <c r="F667" s="15">
        <v>72</v>
      </c>
      <c r="G667" s="15">
        <v>0</v>
      </c>
      <c r="H667" s="15">
        <v>36</v>
      </c>
      <c r="I667" s="15">
        <v>0</v>
      </c>
      <c r="J667" s="15">
        <v>72</v>
      </c>
      <c r="K667" s="15">
        <v>36</v>
      </c>
      <c r="L667" s="15">
        <v>0</v>
      </c>
      <c r="M667" s="15">
        <v>144</v>
      </c>
      <c r="N667" s="15">
        <v>72</v>
      </c>
      <c r="O667" s="15">
        <v>0</v>
      </c>
      <c r="P667" s="15">
        <v>72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72</v>
      </c>
      <c r="X667" s="15">
        <v>0</v>
      </c>
      <c r="Y667" s="15">
        <v>0</v>
      </c>
      <c r="Z667" s="4">
        <v>648</v>
      </c>
      <c r="AA667" s="26">
        <v>9</v>
      </c>
      <c r="AB667" s="7">
        <v>1.4530000000000001</v>
      </c>
    </row>
    <row r="668" spans="1:29" x14ac:dyDescent="0.35">
      <c r="A668" s="1">
        <v>4036669</v>
      </c>
      <c r="B668" s="15">
        <v>0</v>
      </c>
      <c r="C668" s="15">
        <v>0</v>
      </c>
      <c r="D668" s="15">
        <v>0</v>
      </c>
      <c r="E668" s="15">
        <v>0</v>
      </c>
      <c r="F668" s="15">
        <v>0</v>
      </c>
      <c r="G668" s="15">
        <v>72</v>
      </c>
      <c r="H668" s="15">
        <v>360</v>
      </c>
      <c r="I668" s="15">
        <v>216</v>
      </c>
      <c r="J668" s="15">
        <v>216</v>
      </c>
      <c r="K668" s="15">
        <v>288</v>
      </c>
      <c r="L668" s="15">
        <v>324</v>
      </c>
      <c r="M668" s="15">
        <v>108</v>
      </c>
      <c r="N668" s="15">
        <v>288</v>
      </c>
      <c r="O668" s="15">
        <v>216</v>
      </c>
      <c r="P668" s="15">
        <v>180</v>
      </c>
      <c r="Q668" s="15">
        <v>360</v>
      </c>
      <c r="R668" s="15">
        <v>216</v>
      </c>
      <c r="S668" s="15">
        <v>180</v>
      </c>
      <c r="T668" s="15">
        <v>144</v>
      </c>
      <c r="U668" s="15">
        <v>216</v>
      </c>
      <c r="V668" s="15">
        <v>216</v>
      </c>
      <c r="W668" s="15">
        <v>216</v>
      </c>
      <c r="X668" s="15">
        <v>288</v>
      </c>
      <c r="Y668" s="15">
        <v>360</v>
      </c>
      <c r="Z668" s="4">
        <v>4464</v>
      </c>
      <c r="AA668" s="26">
        <v>19</v>
      </c>
      <c r="AB668" s="7">
        <v>0.6411</v>
      </c>
    </row>
    <row r="669" spans="1:29" x14ac:dyDescent="0.35">
      <c r="A669" s="1">
        <v>4036670</v>
      </c>
      <c r="B669" s="15">
        <v>0</v>
      </c>
      <c r="C669" s="15">
        <v>0</v>
      </c>
      <c r="D669" s="15">
        <v>0</v>
      </c>
      <c r="E669" s="15">
        <v>0</v>
      </c>
      <c r="F669" s="15">
        <v>0</v>
      </c>
      <c r="G669" s="15">
        <v>0</v>
      </c>
      <c r="H669" s="15">
        <v>0</v>
      </c>
      <c r="I669" s="15">
        <v>0</v>
      </c>
      <c r="J669" s="15">
        <v>0</v>
      </c>
      <c r="K669" s="15">
        <v>0</v>
      </c>
      <c r="L669" s="15">
        <v>0</v>
      </c>
      <c r="M669" s="15">
        <v>0</v>
      </c>
      <c r="N669" s="15">
        <v>0</v>
      </c>
      <c r="O669" s="15">
        <v>144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72</v>
      </c>
      <c r="Y669" s="15">
        <v>0</v>
      </c>
      <c r="Z669" s="4">
        <v>216</v>
      </c>
      <c r="AA669" s="26">
        <v>2</v>
      </c>
      <c r="AB669" s="7">
        <v>3.5118999999999998</v>
      </c>
      <c r="AC669" s="1" t="s">
        <v>3230</v>
      </c>
    </row>
    <row r="670" spans="1:29" x14ac:dyDescent="0.35">
      <c r="A670" s="1">
        <v>4036671</v>
      </c>
      <c r="B670" s="15">
        <v>0</v>
      </c>
      <c r="C670" s="15">
        <v>0</v>
      </c>
      <c r="D670" s="15">
        <v>0</v>
      </c>
      <c r="E670" s="15">
        <v>0</v>
      </c>
      <c r="F670" s="15">
        <v>0</v>
      </c>
      <c r="G670" s="15">
        <v>0</v>
      </c>
      <c r="H670" s="15">
        <v>0</v>
      </c>
      <c r="I670" s="15">
        <v>36</v>
      </c>
      <c r="J670" s="15">
        <v>288</v>
      </c>
      <c r="K670" s="15">
        <v>36</v>
      </c>
      <c r="L670" s="15">
        <v>216</v>
      </c>
      <c r="M670" s="15">
        <v>288</v>
      </c>
      <c r="N670" s="15">
        <v>72</v>
      </c>
      <c r="O670" s="15">
        <v>144</v>
      </c>
      <c r="P670" s="15">
        <v>360</v>
      </c>
      <c r="Q670" s="15">
        <v>180</v>
      </c>
      <c r="R670" s="15">
        <v>396</v>
      </c>
      <c r="S670" s="15">
        <v>72</v>
      </c>
      <c r="T670" s="15">
        <v>0</v>
      </c>
      <c r="U670" s="15">
        <v>180</v>
      </c>
      <c r="V670" s="15">
        <v>396</v>
      </c>
      <c r="W670" s="15">
        <v>144</v>
      </c>
      <c r="X670" s="15">
        <v>72</v>
      </c>
      <c r="Y670" s="15">
        <v>180</v>
      </c>
      <c r="Z670" s="4">
        <v>3060</v>
      </c>
      <c r="AA670" s="26">
        <v>16</v>
      </c>
      <c r="AB670" s="7">
        <v>1.0406</v>
      </c>
    </row>
    <row r="671" spans="1:29" x14ac:dyDescent="0.35">
      <c r="A671" s="1">
        <v>4036672</v>
      </c>
      <c r="B671" s="15">
        <v>0</v>
      </c>
      <c r="C671" s="15">
        <v>0</v>
      </c>
      <c r="D671" s="15">
        <v>0</v>
      </c>
      <c r="E671" s="15">
        <v>0</v>
      </c>
      <c r="F671" s="15">
        <v>0</v>
      </c>
      <c r="G671" s="15">
        <v>0</v>
      </c>
      <c r="H671" s="15">
        <v>0</v>
      </c>
      <c r="I671" s="15">
        <v>0</v>
      </c>
      <c r="J671" s="15">
        <v>0</v>
      </c>
      <c r="K671" s="15">
        <v>0</v>
      </c>
      <c r="L671" s="15">
        <v>0</v>
      </c>
      <c r="M671" s="15">
        <v>0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72</v>
      </c>
      <c r="T671" s="15">
        <v>0</v>
      </c>
      <c r="U671" s="15">
        <v>180</v>
      </c>
      <c r="V671" s="15">
        <v>144</v>
      </c>
      <c r="W671" s="15">
        <v>252</v>
      </c>
      <c r="X671" s="15">
        <v>72</v>
      </c>
      <c r="Y671" s="15">
        <v>72</v>
      </c>
      <c r="Z671" s="4">
        <v>792</v>
      </c>
      <c r="AA671" s="26">
        <v>6</v>
      </c>
      <c r="AB671" s="7">
        <v>2.0144000000000002</v>
      </c>
    </row>
    <row r="672" spans="1:29" x14ac:dyDescent="0.35">
      <c r="A672" s="1">
        <v>4036673</v>
      </c>
      <c r="B672" s="15">
        <v>0</v>
      </c>
      <c r="C672" s="15">
        <v>0</v>
      </c>
      <c r="D672" s="15">
        <v>0</v>
      </c>
      <c r="E672" s="15">
        <v>0</v>
      </c>
      <c r="F672" s="15">
        <v>0</v>
      </c>
      <c r="G672" s="15">
        <v>0</v>
      </c>
      <c r="H672" s="15">
        <v>0</v>
      </c>
      <c r="I672" s="15">
        <v>0</v>
      </c>
      <c r="J672" s="15">
        <v>0</v>
      </c>
      <c r="K672" s="15">
        <v>108</v>
      </c>
      <c r="L672" s="15">
        <v>0</v>
      </c>
      <c r="M672" s="15">
        <v>72</v>
      </c>
      <c r="N672" s="15">
        <v>72</v>
      </c>
      <c r="O672" s="15">
        <v>72</v>
      </c>
      <c r="P672" s="15">
        <v>0</v>
      </c>
      <c r="Q672" s="15">
        <v>0</v>
      </c>
      <c r="R672" s="15">
        <v>108</v>
      </c>
      <c r="S672" s="15">
        <v>0</v>
      </c>
      <c r="T672" s="15">
        <v>0</v>
      </c>
      <c r="U672" s="15">
        <v>0</v>
      </c>
      <c r="V672" s="15">
        <v>0</v>
      </c>
      <c r="W672" s="15">
        <v>72</v>
      </c>
      <c r="X672" s="15">
        <v>0</v>
      </c>
      <c r="Y672" s="15">
        <v>0</v>
      </c>
      <c r="Z672" s="4">
        <v>504</v>
      </c>
      <c r="AA672" s="26">
        <v>6</v>
      </c>
      <c r="AB672" s="7">
        <v>1.7786</v>
      </c>
    </row>
    <row r="673" spans="1:29" x14ac:dyDescent="0.35">
      <c r="A673" s="1">
        <v>4036674</v>
      </c>
      <c r="B673" s="15">
        <v>0</v>
      </c>
      <c r="C673" s="15">
        <v>0</v>
      </c>
      <c r="D673" s="15">
        <v>0</v>
      </c>
      <c r="E673" s="15">
        <v>0</v>
      </c>
      <c r="F673" s="15">
        <v>0</v>
      </c>
      <c r="G673" s="15">
        <v>0</v>
      </c>
      <c r="H673" s="15">
        <v>36</v>
      </c>
      <c r="I673" s="15">
        <v>36</v>
      </c>
      <c r="J673" s="15">
        <v>30</v>
      </c>
      <c r="K673" s="15">
        <v>96</v>
      </c>
      <c r="L673" s="15">
        <v>78</v>
      </c>
      <c r="M673" s="15">
        <v>66</v>
      </c>
      <c r="N673" s="15">
        <v>72</v>
      </c>
      <c r="O673" s="15">
        <v>72</v>
      </c>
      <c r="P673" s="15">
        <v>66</v>
      </c>
      <c r="Q673" s="15">
        <v>78</v>
      </c>
      <c r="R673" s="15">
        <v>54</v>
      </c>
      <c r="S673" s="15">
        <v>36</v>
      </c>
      <c r="T673" s="15">
        <v>84</v>
      </c>
      <c r="U673" s="15">
        <v>48</v>
      </c>
      <c r="V673" s="15">
        <v>30</v>
      </c>
      <c r="W673" s="15">
        <v>60</v>
      </c>
      <c r="X673" s="15">
        <v>78</v>
      </c>
      <c r="Y673" s="15">
        <v>78</v>
      </c>
      <c r="Z673" s="4">
        <v>1098</v>
      </c>
      <c r="AA673" s="26">
        <v>18</v>
      </c>
      <c r="AB673" s="7">
        <v>0.69069999999999998</v>
      </c>
    </row>
    <row r="674" spans="1:29" x14ac:dyDescent="0.35">
      <c r="A674" s="1">
        <v>4036675</v>
      </c>
      <c r="B674" s="15">
        <v>0</v>
      </c>
      <c r="C674" s="15">
        <v>0</v>
      </c>
      <c r="D674" s="15">
        <v>0</v>
      </c>
      <c r="E674" s="15">
        <v>0</v>
      </c>
      <c r="F674" s="15">
        <v>0</v>
      </c>
      <c r="G674" s="15">
        <v>0</v>
      </c>
      <c r="H674" s="15">
        <v>0</v>
      </c>
      <c r="I674" s="15">
        <v>0</v>
      </c>
      <c r="J674" s="15">
        <v>0</v>
      </c>
      <c r="K674" s="15">
        <v>0</v>
      </c>
      <c r="L674" s="15">
        <v>0</v>
      </c>
      <c r="M674" s="15">
        <v>60</v>
      </c>
      <c r="N674" s="15">
        <v>132</v>
      </c>
      <c r="O674" s="15">
        <v>84</v>
      </c>
      <c r="P674" s="15">
        <v>24</v>
      </c>
      <c r="Q674" s="15">
        <v>96</v>
      </c>
      <c r="R674" s="15">
        <v>120</v>
      </c>
      <c r="S674" s="15">
        <v>6</v>
      </c>
      <c r="T674" s="15">
        <v>60</v>
      </c>
      <c r="U674" s="15">
        <v>114</v>
      </c>
      <c r="V674" s="15">
        <v>48</v>
      </c>
      <c r="W674" s="15">
        <v>72</v>
      </c>
      <c r="X674" s="15">
        <v>78</v>
      </c>
      <c r="Y674" s="15">
        <v>72</v>
      </c>
      <c r="Z674" s="4">
        <v>966</v>
      </c>
      <c r="AA674" s="26">
        <v>13</v>
      </c>
      <c r="AB674" s="7">
        <v>1.1201000000000001</v>
      </c>
    </row>
    <row r="675" spans="1:29" x14ac:dyDescent="0.35">
      <c r="A675" s="1">
        <v>4036677</v>
      </c>
      <c r="B675" s="15">
        <v>0</v>
      </c>
      <c r="C675" s="15">
        <v>0</v>
      </c>
      <c r="D675" s="15">
        <v>0</v>
      </c>
      <c r="E675" s="15">
        <v>0</v>
      </c>
      <c r="F675" s="15">
        <v>0</v>
      </c>
      <c r="G675" s="15">
        <v>0</v>
      </c>
      <c r="H675" s="15">
        <v>0</v>
      </c>
      <c r="I675" s="15">
        <v>0</v>
      </c>
      <c r="J675" s="15">
        <v>0</v>
      </c>
      <c r="K675" s="15">
        <v>0</v>
      </c>
      <c r="L675" s="15">
        <v>0</v>
      </c>
      <c r="M675" s="15">
        <v>18</v>
      </c>
      <c r="N675" s="15">
        <v>96</v>
      </c>
      <c r="O675" s="15">
        <v>42</v>
      </c>
      <c r="P675" s="15">
        <v>54</v>
      </c>
      <c r="Q675" s="15">
        <v>42</v>
      </c>
      <c r="R675" s="15">
        <v>60</v>
      </c>
      <c r="S675" s="15">
        <v>66</v>
      </c>
      <c r="T675" s="15">
        <v>66</v>
      </c>
      <c r="U675" s="15">
        <v>48</v>
      </c>
      <c r="V675" s="15">
        <v>60</v>
      </c>
      <c r="W675" s="15">
        <v>60</v>
      </c>
      <c r="X675" s="15">
        <v>60</v>
      </c>
      <c r="Y675" s="15">
        <v>42</v>
      </c>
      <c r="Z675" s="4">
        <v>714</v>
      </c>
      <c r="AA675" s="26">
        <v>13</v>
      </c>
      <c r="AB675" s="7">
        <v>1.0159</v>
      </c>
    </row>
    <row r="676" spans="1:29" x14ac:dyDescent="0.35">
      <c r="A676" s="1">
        <v>4036744</v>
      </c>
      <c r="B676" s="15">
        <v>0</v>
      </c>
      <c r="C676" s="15">
        <v>0</v>
      </c>
      <c r="D676" s="15">
        <v>0</v>
      </c>
      <c r="E676" s="15">
        <v>160</v>
      </c>
      <c r="F676" s="15">
        <v>60</v>
      </c>
      <c r="G676" s="15">
        <v>660</v>
      </c>
      <c r="H676" s="15">
        <v>130</v>
      </c>
      <c r="I676" s="15">
        <v>420</v>
      </c>
      <c r="J676" s="15">
        <v>160</v>
      </c>
      <c r="K676" s="15">
        <v>200</v>
      </c>
      <c r="L676" s="15">
        <v>140</v>
      </c>
      <c r="M676" s="15">
        <v>160</v>
      </c>
      <c r="N676" s="15">
        <v>180</v>
      </c>
      <c r="O676" s="15">
        <v>260</v>
      </c>
      <c r="P676" s="15">
        <v>200</v>
      </c>
      <c r="Q676" s="15">
        <v>200</v>
      </c>
      <c r="R676" s="15">
        <v>180</v>
      </c>
      <c r="S676" s="15">
        <v>160</v>
      </c>
      <c r="T676" s="15">
        <v>282</v>
      </c>
      <c r="U676" s="15">
        <v>220</v>
      </c>
      <c r="V676" s="15">
        <v>260</v>
      </c>
      <c r="W676" s="15">
        <v>420</v>
      </c>
      <c r="X676" s="15">
        <v>480</v>
      </c>
      <c r="Y676" s="15">
        <v>380</v>
      </c>
      <c r="Z676" s="4">
        <v>5312</v>
      </c>
      <c r="AA676" s="26">
        <v>21</v>
      </c>
      <c r="AB676" s="7">
        <v>0.70109999999999995</v>
      </c>
    </row>
    <row r="677" spans="1:29" x14ac:dyDescent="0.35">
      <c r="A677" s="1">
        <v>4036755</v>
      </c>
      <c r="B677" s="15">
        <v>0</v>
      </c>
      <c r="C677" s="15">
        <v>0</v>
      </c>
      <c r="D677" s="15">
        <v>0</v>
      </c>
      <c r="E677" s="15">
        <v>0</v>
      </c>
      <c r="F677" s="15">
        <v>0</v>
      </c>
      <c r="G677" s="15">
        <v>0</v>
      </c>
      <c r="H677" s="15">
        <v>36</v>
      </c>
      <c r="I677" s="15">
        <v>36</v>
      </c>
      <c r="J677" s="15">
        <v>36</v>
      </c>
      <c r="K677" s="15">
        <v>180</v>
      </c>
      <c r="L677" s="15">
        <v>72</v>
      </c>
      <c r="M677" s="15">
        <v>108</v>
      </c>
      <c r="N677" s="15">
        <v>144</v>
      </c>
      <c r="O677" s="15">
        <v>108</v>
      </c>
      <c r="P677" s="15">
        <v>36</v>
      </c>
      <c r="Q677" s="15">
        <v>72</v>
      </c>
      <c r="R677" s="15">
        <v>144</v>
      </c>
      <c r="S677" s="15">
        <v>36</v>
      </c>
      <c r="T677" s="15">
        <v>216</v>
      </c>
      <c r="U677" s="15">
        <v>72</v>
      </c>
      <c r="V677" s="15">
        <v>72</v>
      </c>
      <c r="W677" s="15">
        <v>108</v>
      </c>
      <c r="X677" s="15">
        <v>36</v>
      </c>
      <c r="Y677" s="15">
        <v>72</v>
      </c>
      <c r="Z677" s="4">
        <v>1584</v>
      </c>
      <c r="AA677" s="26">
        <v>18</v>
      </c>
      <c r="AB677" s="7">
        <v>0.9</v>
      </c>
    </row>
    <row r="678" spans="1:29" x14ac:dyDescent="0.35">
      <c r="A678" s="1">
        <v>4036757</v>
      </c>
      <c r="B678" s="15">
        <v>0</v>
      </c>
      <c r="C678" s="15">
        <v>0</v>
      </c>
      <c r="D678" s="15">
        <v>0</v>
      </c>
      <c r="E678" s="15">
        <v>0</v>
      </c>
      <c r="F678" s="15">
        <v>0</v>
      </c>
      <c r="G678" s="15">
        <v>72</v>
      </c>
      <c r="H678" s="15">
        <v>0</v>
      </c>
      <c r="I678" s="15">
        <v>36</v>
      </c>
      <c r="J678" s="15">
        <v>216</v>
      </c>
      <c r="K678" s="15">
        <v>108</v>
      </c>
      <c r="L678" s="15">
        <v>36</v>
      </c>
      <c r="M678" s="15">
        <v>108</v>
      </c>
      <c r="N678" s="15">
        <v>108</v>
      </c>
      <c r="O678" s="15">
        <v>36</v>
      </c>
      <c r="P678" s="15">
        <v>180</v>
      </c>
      <c r="Q678" s="15">
        <v>180</v>
      </c>
      <c r="R678" s="15">
        <v>72</v>
      </c>
      <c r="S678" s="15">
        <v>108</v>
      </c>
      <c r="T678" s="15">
        <v>36</v>
      </c>
      <c r="U678" s="15">
        <v>0</v>
      </c>
      <c r="V678" s="15">
        <v>144</v>
      </c>
      <c r="W678" s="15">
        <v>72</v>
      </c>
      <c r="X678" s="15">
        <v>144</v>
      </c>
      <c r="Y678" s="15">
        <v>36</v>
      </c>
      <c r="Z678" s="4">
        <v>1692</v>
      </c>
      <c r="AA678" s="26">
        <v>17</v>
      </c>
      <c r="AB678" s="7">
        <v>0.92620000000000002</v>
      </c>
    </row>
    <row r="679" spans="1:29" x14ac:dyDescent="0.35">
      <c r="A679" s="1">
        <v>4036758</v>
      </c>
      <c r="B679" s="15">
        <v>0</v>
      </c>
      <c r="C679" s="15">
        <v>0</v>
      </c>
      <c r="D679" s="15">
        <v>0</v>
      </c>
      <c r="E679" s="15">
        <v>0</v>
      </c>
      <c r="F679" s="15">
        <v>0</v>
      </c>
      <c r="G679" s="15">
        <v>0</v>
      </c>
      <c r="H679" s="15">
        <v>0</v>
      </c>
      <c r="I679" s="15">
        <v>0</v>
      </c>
      <c r="J679" s="15">
        <v>72</v>
      </c>
      <c r="K679" s="15">
        <v>108</v>
      </c>
      <c r="L679" s="15">
        <v>108</v>
      </c>
      <c r="M679" s="15">
        <v>72</v>
      </c>
      <c r="N679" s="15">
        <v>36</v>
      </c>
      <c r="O679" s="15">
        <v>72</v>
      </c>
      <c r="P679" s="15">
        <v>144</v>
      </c>
      <c r="Q679" s="15">
        <v>36</v>
      </c>
      <c r="R679" s="15">
        <v>108</v>
      </c>
      <c r="S679" s="15">
        <v>36</v>
      </c>
      <c r="T679" s="15">
        <v>36</v>
      </c>
      <c r="U679" s="15">
        <v>36</v>
      </c>
      <c r="V679" s="15">
        <v>108</v>
      </c>
      <c r="W679" s="15">
        <v>36</v>
      </c>
      <c r="X679" s="15">
        <v>72</v>
      </c>
      <c r="Y679" s="15">
        <v>72</v>
      </c>
      <c r="Z679" s="4">
        <v>1152</v>
      </c>
      <c r="AA679" s="26">
        <v>16</v>
      </c>
      <c r="AB679" s="7">
        <v>0.91</v>
      </c>
    </row>
    <row r="680" spans="1:29" x14ac:dyDescent="0.35">
      <c r="A680" s="1">
        <v>4036771</v>
      </c>
      <c r="B680" s="15">
        <v>0</v>
      </c>
      <c r="C680" s="15">
        <v>0</v>
      </c>
      <c r="D680" s="15">
        <v>0</v>
      </c>
      <c r="E680" s="15">
        <v>0</v>
      </c>
      <c r="F680" s="15">
        <v>0</v>
      </c>
      <c r="G680" s="15">
        <v>0</v>
      </c>
      <c r="H680" s="15">
        <v>0</v>
      </c>
      <c r="I680" s="15">
        <v>0</v>
      </c>
      <c r="J680" s="15">
        <v>0</v>
      </c>
      <c r="K680" s="15">
        <v>0</v>
      </c>
      <c r="L680" s="15">
        <v>0</v>
      </c>
      <c r="M680" s="15">
        <v>48</v>
      </c>
      <c r="N680" s="15">
        <v>0</v>
      </c>
      <c r="O680" s="15">
        <v>0</v>
      </c>
      <c r="P680" s="15">
        <v>0</v>
      </c>
      <c r="Q680" s="15">
        <v>0</v>
      </c>
      <c r="R680" s="15">
        <v>12</v>
      </c>
      <c r="S680" s="15">
        <v>0</v>
      </c>
      <c r="T680" s="15">
        <v>0</v>
      </c>
      <c r="U680" s="15">
        <v>0</v>
      </c>
      <c r="V680" s="15">
        <v>0</v>
      </c>
      <c r="W680" s="15">
        <v>12</v>
      </c>
      <c r="X680" s="15">
        <v>48</v>
      </c>
      <c r="Y680" s="15">
        <v>0</v>
      </c>
      <c r="Z680" s="4">
        <v>120</v>
      </c>
      <c r="AA680" s="26">
        <v>4</v>
      </c>
      <c r="AB680" s="7">
        <v>2.6758000000000002</v>
      </c>
      <c r="AC680" s="1" t="s">
        <v>3230</v>
      </c>
    </row>
    <row r="681" spans="1:29" x14ac:dyDescent="0.35">
      <c r="A681" s="1">
        <v>4036772</v>
      </c>
      <c r="B681" s="15">
        <v>0</v>
      </c>
      <c r="C681" s="15">
        <v>0</v>
      </c>
      <c r="D681" s="15">
        <v>0</v>
      </c>
      <c r="E681" s="15">
        <v>0</v>
      </c>
      <c r="F681" s="15">
        <v>0</v>
      </c>
      <c r="G681" s="15">
        <v>0</v>
      </c>
      <c r="H681" s="15">
        <v>60</v>
      </c>
      <c r="I681" s="15">
        <v>96</v>
      </c>
      <c r="J681" s="15">
        <v>96</v>
      </c>
      <c r="K681" s="15">
        <v>84</v>
      </c>
      <c r="L681" s="15">
        <v>120</v>
      </c>
      <c r="M681" s="15">
        <v>108</v>
      </c>
      <c r="N681" s="15">
        <v>120</v>
      </c>
      <c r="O681" s="15">
        <v>72</v>
      </c>
      <c r="P681" s="15">
        <v>84</v>
      </c>
      <c r="Q681" s="15">
        <v>72</v>
      </c>
      <c r="R681" s="15">
        <v>132</v>
      </c>
      <c r="S681" s="15">
        <v>96</v>
      </c>
      <c r="T681" s="15">
        <v>72</v>
      </c>
      <c r="U681" s="15">
        <v>84</v>
      </c>
      <c r="V681" s="15">
        <v>108</v>
      </c>
      <c r="W681" s="15">
        <v>96</v>
      </c>
      <c r="X681" s="15">
        <v>168</v>
      </c>
      <c r="Y681" s="15">
        <v>96</v>
      </c>
      <c r="Z681" s="4">
        <v>1764</v>
      </c>
      <c r="AA681" s="26">
        <v>18</v>
      </c>
      <c r="AB681" s="7">
        <v>0.64849999999999997</v>
      </c>
    </row>
    <row r="682" spans="1:29" x14ac:dyDescent="0.35">
      <c r="A682" s="1">
        <v>4036777</v>
      </c>
      <c r="B682" s="15">
        <v>0</v>
      </c>
      <c r="C682" s="15">
        <v>0</v>
      </c>
      <c r="D682" s="15">
        <v>0</v>
      </c>
      <c r="E682" s="15">
        <v>0</v>
      </c>
      <c r="F682" s="15">
        <v>0</v>
      </c>
      <c r="G682" s="15">
        <v>0</v>
      </c>
      <c r="H682" s="15">
        <v>0</v>
      </c>
      <c r="I682" s="15">
        <v>0</v>
      </c>
      <c r="J682" s="15">
        <v>0</v>
      </c>
      <c r="K682" s="15">
        <v>0</v>
      </c>
      <c r="L682" s="15">
        <v>0</v>
      </c>
      <c r="M682" s="15">
        <v>180</v>
      </c>
      <c r="N682" s="15">
        <v>468</v>
      </c>
      <c r="O682" s="15">
        <v>72</v>
      </c>
      <c r="P682" s="15">
        <v>72</v>
      </c>
      <c r="Q682" s="15">
        <v>180</v>
      </c>
      <c r="R682" s="15">
        <v>288</v>
      </c>
      <c r="S682" s="15">
        <v>144</v>
      </c>
      <c r="T682" s="15">
        <v>36</v>
      </c>
      <c r="U682" s="15">
        <v>72</v>
      </c>
      <c r="V682" s="15">
        <v>108</v>
      </c>
      <c r="W682" s="15">
        <v>108</v>
      </c>
      <c r="X682" s="15">
        <v>180</v>
      </c>
      <c r="Y682" s="15">
        <v>252</v>
      </c>
      <c r="Z682" s="4">
        <v>2160</v>
      </c>
      <c r="AA682" s="26">
        <v>13</v>
      </c>
      <c r="AB682" s="7">
        <v>1.3012999999999999</v>
      </c>
    </row>
    <row r="683" spans="1:29" x14ac:dyDescent="0.35">
      <c r="A683" s="1">
        <v>4036778</v>
      </c>
      <c r="B683" s="15">
        <v>0</v>
      </c>
      <c r="C683" s="15">
        <v>0</v>
      </c>
      <c r="D683" s="15">
        <v>0</v>
      </c>
      <c r="E683" s="15">
        <v>0</v>
      </c>
      <c r="F683" s="15">
        <v>0</v>
      </c>
      <c r="G683" s="15">
        <v>0</v>
      </c>
      <c r="H683" s="15">
        <v>288</v>
      </c>
      <c r="I683" s="15">
        <v>180</v>
      </c>
      <c r="J683" s="15">
        <v>252</v>
      </c>
      <c r="K683" s="15">
        <v>360</v>
      </c>
      <c r="L683" s="15">
        <v>576</v>
      </c>
      <c r="M683" s="15">
        <v>180</v>
      </c>
      <c r="N683" s="15">
        <v>612</v>
      </c>
      <c r="O683" s="15">
        <v>504</v>
      </c>
      <c r="P683" s="15">
        <v>144</v>
      </c>
      <c r="Q683" s="15">
        <v>684</v>
      </c>
      <c r="R683" s="15">
        <v>180</v>
      </c>
      <c r="S683" s="15">
        <v>720</v>
      </c>
      <c r="T683" s="15">
        <v>252</v>
      </c>
      <c r="U683" s="15">
        <v>360</v>
      </c>
      <c r="V683" s="15">
        <v>612</v>
      </c>
      <c r="W683" s="15">
        <v>288</v>
      </c>
      <c r="X683" s="15">
        <v>324</v>
      </c>
      <c r="Y683" s="15">
        <v>576</v>
      </c>
      <c r="Z683" s="4">
        <v>7092</v>
      </c>
      <c r="AA683" s="26">
        <v>18</v>
      </c>
      <c r="AB683" s="7">
        <v>0.79730000000000001</v>
      </c>
    </row>
    <row r="684" spans="1:29" x14ac:dyDescent="0.35">
      <c r="A684" s="1">
        <v>4036779</v>
      </c>
      <c r="B684" s="15">
        <v>0</v>
      </c>
      <c r="C684" s="15">
        <v>0</v>
      </c>
      <c r="D684" s="15">
        <v>0</v>
      </c>
      <c r="E684" s="15">
        <v>0</v>
      </c>
      <c r="F684" s="15">
        <v>0</v>
      </c>
      <c r="G684" s="15">
        <v>0</v>
      </c>
      <c r="H684" s="15">
        <v>0</v>
      </c>
      <c r="I684" s="15">
        <v>0</v>
      </c>
      <c r="J684" s="15">
        <v>0</v>
      </c>
      <c r="K684" s="15">
        <v>0</v>
      </c>
      <c r="L684" s="15">
        <v>0</v>
      </c>
      <c r="M684" s="15">
        <v>108</v>
      </c>
      <c r="N684" s="15">
        <v>180</v>
      </c>
      <c r="O684" s="15">
        <v>0</v>
      </c>
      <c r="P684" s="15">
        <v>72</v>
      </c>
      <c r="Q684" s="15">
        <v>72</v>
      </c>
      <c r="R684" s="15">
        <v>72</v>
      </c>
      <c r="S684" s="15">
        <v>72</v>
      </c>
      <c r="T684" s="15">
        <v>0</v>
      </c>
      <c r="U684" s="15">
        <v>72</v>
      </c>
      <c r="V684" s="15">
        <v>0</v>
      </c>
      <c r="W684" s="15">
        <v>36</v>
      </c>
      <c r="X684" s="15">
        <v>36</v>
      </c>
      <c r="Y684" s="15">
        <v>36</v>
      </c>
      <c r="Z684" s="4">
        <v>756</v>
      </c>
      <c r="AA684" s="26">
        <v>10</v>
      </c>
      <c r="AB684" s="7">
        <v>1.4498</v>
      </c>
    </row>
    <row r="685" spans="1:29" x14ac:dyDescent="0.35">
      <c r="A685" s="1">
        <v>4036780</v>
      </c>
      <c r="B685" s="15">
        <v>0</v>
      </c>
      <c r="C685" s="15">
        <v>0</v>
      </c>
      <c r="D685" s="15">
        <v>0</v>
      </c>
      <c r="E685" s="15">
        <v>0</v>
      </c>
      <c r="F685" s="15">
        <v>0</v>
      </c>
      <c r="G685" s="15">
        <v>0</v>
      </c>
      <c r="H685" s="15">
        <v>72</v>
      </c>
      <c r="I685" s="15">
        <v>216</v>
      </c>
      <c r="J685" s="15">
        <v>252</v>
      </c>
      <c r="K685" s="15">
        <v>540</v>
      </c>
      <c r="L685" s="15">
        <v>324</v>
      </c>
      <c r="M685" s="15">
        <v>396</v>
      </c>
      <c r="N685" s="15">
        <v>720</v>
      </c>
      <c r="O685" s="15">
        <v>648</v>
      </c>
      <c r="P685" s="15">
        <v>288</v>
      </c>
      <c r="Q685" s="15">
        <v>540</v>
      </c>
      <c r="R685" s="15">
        <v>756</v>
      </c>
      <c r="S685" s="15">
        <v>360</v>
      </c>
      <c r="T685" s="15">
        <v>108</v>
      </c>
      <c r="U685" s="15">
        <v>288</v>
      </c>
      <c r="V685" s="15">
        <v>756</v>
      </c>
      <c r="W685" s="15">
        <v>576</v>
      </c>
      <c r="X685" s="15">
        <v>324</v>
      </c>
      <c r="Y685" s="15">
        <v>833</v>
      </c>
      <c r="Z685" s="4">
        <v>7997</v>
      </c>
      <c r="AA685" s="26">
        <v>18</v>
      </c>
      <c r="AB685" s="7">
        <v>0.82530000000000003</v>
      </c>
    </row>
    <row r="686" spans="1:29" x14ac:dyDescent="0.35">
      <c r="A686" s="1">
        <v>4038552</v>
      </c>
      <c r="B686" s="15">
        <v>0</v>
      </c>
      <c r="C686" s="15">
        <v>0</v>
      </c>
      <c r="D686" s="15">
        <v>0</v>
      </c>
      <c r="E686" s="15">
        <v>0</v>
      </c>
      <c r="F686" s="15">
        <v>0</v>
      </c>
      <c r="G686" s="15">
        <v>0</v>
      </c>
      <c r="H686" s="15">
        <v>0</v>
      </c>
      <c r="I686" s="15">
        <v>0</v>
      </c>
      <c r="J686" s="15">
        <v>0</v>
      </c>
      <c r="K686" s="15">
        <v>0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5</v>
      </c>
      <c r="S686" s="15">
        <v>1</v>
      </c>
      <c r="T686" s="15">
        <v>0</v>
      </c>
      <c r="U686" s="15">
        <v>4</v>
      </c>
      <c r="V686" s="15">
        <v>3</v>
      </c>
      <c r="W686" s="15">
        <v>7</v>
      </c>
      <c r="X686" s="15">
        <v>5</v>
      </c>
      <c r="Y686" s="15">
        <v>3</v>
      </c>
      <c r="Z686" s="4">
        <v>28</v>
      </c>
      <c r="AA686" s="26">
        <v>7</v>
      </c>
      <c r="AB686" s="7">
        <v>1.7613000000000001</v>
      </c>
    </row>
    <row r="687" spans="1:29" x14ac:dyDescent="0.35">
      <c r="A687" s="1">
        <v>4038553</v>
      </c>
      <c r="B687" s="15">
        <v>0</v>
      </c>
      <c r="C687" s="15">
        <v>0</v>
      </c>
      <c r="D687" s="15">
        <v>0</v>
      </c>
      <c r="E687" s="15">
        <v>0</v>
      </c>
      <c r="F687" s="15">
        <v>0</v>
      </c>
      <c r="G687" s="15">
        <v>0</v>
      </c>
      <c r="H687" s="15">
        <v>0</v>
      </c>
      <c r="I687" s="15">
        <v>0</v>
      </c>
      <c r="J687" s="15">
        <v>0</v>
      </c>
      <c r="K687" s="15">
        <v>0</v>
      </c>
      <c r="L687" s="15">
        <v>40</v>
      </c>
      <c r="M687" s="15">
        <v>40</v>
      </c>
      <c r="N687" s="15">
        <v>60</v>
      </c>
      <c r="O687" s="15">
        <v>60</v>
      </c>
      <c r="P687" s="15">
        <v>20</v>
      </c>
      <c r="Q687" s="15">
        <v>60</v>
      </c>
      <c r="R687" s="15">
        <v>40</v>
      </c>
      <c r="S687" s="15">
        <v>0</v>
      </c>
      <c r="T687" s="15">
        <v>40</v>
      </c>
      <c r="U687" s="15">
        <v>60</v>
      </c>
      <c r="V687" s="15">
        <v>20</v>
      </c>
      <c r="W687" s="15">
        <v>60</v>
      </c>
      <c r="X687" s="15">
        <v>20</v>
      </c>
      <c r="Y687" s="15">
        <v>40</v>
      </c>
      <c r="Z687" s="4">
        <v>560</v>
      </c>
      <c r="AA687" s="26">
        <v>13</v>
      </c>
      <c r="AB687" s="7">
        <v>1.04</v>
      </c>
    </row>
    <row r="688" spans="1:29" x14ac:dyDescent="0.35">
      <c r="A688" s="1">
        <v>4038555</v>
      </c>
      <c r="B688" s="15">
        <v>0</v>
      </c>
      <c r="C688" s="15">
        <v>0</v>
      </c>
      <c r="D688" s="15">
        <v>0</v>
      </c>
      <c r="E688" s="15">
        <v>0</v>
      </c>
      <c r="F688" s="15">
        <v>0</v>
      </c>
      <c r="G688" s="15">
        <v>0</v>
      </c>
      <c r="H688" s="15">
        <v>0</v>
      </c>
      <c r="I688" s="15">
        <v>0</v>
      </c>
      <c r="J688" s="15">
        <v>20</v>
      </c>
      <c r="K688" s="15">
        <v>100</v>
      </c>
      <c r="L688" s="15">
        <v>20</v>
      </c>
      <c r="M688" s="15">
        <v>0</v>
      </c>
      <c r="N688" s="15">
        <v>40</v>
      </c>
      <c r="O688" s="15">
        <v>20</v>
      </c>
      <c r="P688" s="15">
        <v>40</v>
      </c>
      <c r="Q688" s="15">
        <v>60</v>
      </c>
      <c r="R688" s="15">
        <v>20</v>
      </c>
      <c r="S688" s="15">
        <v>60</v>
      </c>
      <c r="T688" s="15">
        <v>20</v>
      </c>
      <c r="U688" s="15">
        <v>20</v>
      </c>
      <c r="V688" s="15">
        <v>20</v>
      </c>
      <c r="W688" s="15">
        <v>80</v>
      </c>
      <c r="X688" s="15">
        <v>40</v>
      </c>
      <c r="Y688" s="15">
        <v>0</v>
      </c>
      <c r="Z688" s="4">
        <v>560</v>
      </c>
      <c r="AA688" s="26">
        <v>14</v>
      </c>
      <c r="AB688" s="7">
        <v>1.1779999999999999</v>
      </c>
    </row>
    <row r="689" spans="1:29" x14ac:dyDescent="0.35">
      <c r="A689" s="1">
        <v>4038558</v>
      </c>
      <c r="B689" s="15">
        <v>0</v>
      </c>
      <c r="C689" s="15">
        <v>0</v>
      </c>
      <c r="D689" s="15">
        <v>0</v>
      </c>
      <c r="E689" s="15">
        <v>0</v>
      </c>
      <c r="F689" s="15">
        <v>0</v>
      </c>
      <c r="G689" s="15">
        <v>0</v>
      </c>
      <c r="H689" s="15">
        <v>0</v>
      </c>
      <c r="I689" s="15">
        <v>30</v>
      </c>
      <c r="J689" s="15">
        <v>30</v>
      </c>
      <c r="K689" s="15">
        <v>45</v>
      </c>
      <c r="L689" s="15">
        <v>55</v>
      </c>
      <c r="M689" s="15">
        <v>45</v>
      </c>
      <c r="N689" s="15">
        <v>70</v>
      </c>
      <c r="O689" s="15">
        <v>45</v>
      </c>
      <c r="P689" s="15">
        <v>55</v>
      </c>
      <c r="Q689" s="15">
        <v>55</v>
      </c>
      <c r="R689" s="15">
        <v>65</v>
      </c>
      <c r="S689" s="15">
        <v>40</v>
      </c>
      <c r="T689" s="15">
        <v>40</v>
      </c>
      <c r="U689" s="15">
        <v>45</v>
      </c>
      <c r="V689" s="15">
        <v>55</v>
      </c>
      <c r="W689" s="15">
        <v>65</v>
      </c>
      <c r="X689" s="15">
        <v>60</v>
      </c>
      <c r="Y689" s="15">
        <v>50</v>
      </c>
      <c r="Z689" s="4">
        <v>850</v>
      </c>
      <c r="AA689" s="26">
        <v>17</v>
      </c>
      <c r="AB689" s="7">
        <v>0.69510000000000005</v>
      </c>
    </row>
    <row r="690" spans="1:29" x14ac:dyDescent="0.35">
      <c r="A690" s="1">
        <v>4038559</v>
      </c>
      <c r="B690" s="15">
        <v>0</v>
      </c>
      <c r="C690" s="15">
        <v>0</v>
      </c>
      <c r="D690" s="15">
        <v>0</v>
      </c>
      <c r="E690" s="15">
        <v>0</v>
      </c>
      <c r="F690" s="15">
        <v>0</v>
      </c>
      <c r="G690" s="15">
        <v>0</v>
      </c>
      <c r="H690" s="15">
        <v>0</v>
      </c>
      <c r="I690" s="15">
        <v>48</v>
      </c>
      <c r="J690" s="15">
        <v>0</v>
      </c>
      <c r="K690" s="15">
        <v>0</v>
      </c>
      <c r="L690" s="15">
        <v>24</v>
      </c>
      <c r="M690" s="15">
        <v>12</v>
      </c>
      <c r="N690" s="15">
        <v>0</v>
      </c>
      <c r="O690" s="15">
        <v>48</v>
      </c>
      <c r="P690" s="15">
        <v>24</v>
      </c>
      <c r="Q690" s="15">
        <v>0</v>
      </c>
      <c r="R690" s="15">
        <v>24</v>
      </c>
      <c r="S690" s="15">
        <v>0</v>
      </c>
      <c r="T690" s="15">
        <v>24</v>
      </c>
      <c r="U690" s="15">
        <v>24</v>
      </c>
      <c r="V690" s="15">
        <v>24</v>
      </c>
      <c r="W690" s="15">
        <v>12</v>
      </c>
      <c r="X690" s="15">
        <v>36</v>
      </c>
      <c r="Y690" s="15">
        <v>36</v>
      </c>
      <c r="Z690" s="4">
        <v>336</v>
      </c>
      <c r="AA690" s="26">
        <v>12</v>
      </c>
      <c r="AB690" s="7">
        <v>1.1517999999999999</v>
      </c>
    </row>
    <row r="691" spans="1:29" x14ac:dyDescent="0.35">
      <c r="A691" s="1">
        <v>4038560</v>
      </c>
      <c r="B691" s="15">
        <v>0</v>
      </c>
      <c r="C691" s="15">
        <v>0</v>
      </c>
      <c r="D691" s="15">
        <v>0</v>
      </c>
      <c r="E691" s="15">
        <v>0</v>
      </c>
      <c r="F691" s="15">
        <v>0</v>
      </c>
      <c r="G691" s="15">
        <v>96</v>
      </c>
      <c r="H691" s="15">
        <v>132</v>
      </c>
      <c r="I691" s="15">
        <v>72</v>
      </c>
      <c r="J691" s="15">
        <v>96</v>
      </c>
      <c r="K691" s="15">
        <v>132</v>
      </c>
      <c r="L691" s="15">
        <v>120</v>
      </c>
      <c r="M691" s="15">
        <v>108</v>
      </c>
      <c r="N691" s="15">
        <v>132</v>
      </c>
      <c r="O691" s="15">
        <v>96</v>
      </c>
      <c r="P691" s="15">
        <v>120</v>
      </c>
      <c r="Q691" s="15">
        <v>108</v>
      </c>
      <c r="R691" s="15">
        <v>120</v>
      </c>
      <c r="S691" s="15">
        <v>72</v>
      </c>
      <c r="T691" s="15">
        <v>72</v>
      </c>
      <c r="U691" s="15">
        <v>108</v>
      </c>
      <c r="V691" s="15">
        <v>108</v>
      </c>
      <c r="W691" s="15">
        <v>96</v>
      </c>
      <c r="X691" s="15">
        <v>120</v>
      </c>
      <c r="Y691" s="15">
        <v>132</v>
      </c>
      <c r="Z691" s="4">
        <v>2040</v>
      </c>
      <c r="AA691" s="26">
        <v>19</v>
      </c>
      <c r="AB691" s="7">
        <v>0.55269999999999997</v>
      </c>
    </row>
    <row r="692" spans="1:29" x14ac:dyDescent="0.35">
      <c r="A692" s="1">
        <v>4038564</v>
      </c>
      <c r="B692" s="15">
        <v>0</v>
      </c>
      <c r="C692" s="15">
        <v>0</v>
      </c>
      <c r="D692" s="15">
        <v>0</v>
      </c>
      <c r="E692" s="15">
        <v>0</v>
      </c>
      <c r="F692" s="15">
        <v>0</v>
      </c>
      <c r="G692" s="15">
        <v>40</v>
      </c>
      <c r="H692" s="15">
        <v>0</v>
      </c>
      <c r="I692" s="15">
        <v>40</v>
      </c>
      <c r="J692" s="15">
        <v>30</v>
      </c>
      <c r="K692" s="15">
        <v>40</v>
      </c>
      <c r="L692" s="15">
        <v>40</v>
      </c>
      <c r="M692" s="15">
        <v>40</v>
      </c>
      <c r="N692" s="15">
        <v>30</v>
      </c>
      <c r="O692" s="15">
        <v>40</v>
      </c>
      <c r="P692" s="15">
        <v>50</v>
      </c>
      <c r="Q692" s="15">
        <v>30</v>
      </c>
      <c r="R692" s="15">
        <v>30</v>
      </c>
      <c r="S692" s="15">
        <v>30</v>
      </c>
      <c r="T692" s="15">
        <v>20</v>
      </c>
      <c r="U692" s="15">
        <v>40</v>
      </c>
      <c r="V692" s="15">
        <v>40</v>
      </c>
      <c r="W692" s="15">
        <v>30</v>
      </c>
      <c r="X692" s="15">
        <v>30</v>
      </c>
      <c r="Y692" s="15">
        <v>40</v>
      </c>
      <c r="Z692" s="4">
        <v>640</v>
      </c>
      <c r="AA692" s="26">
        <v>18</v>
      </c>
      <c r="AB692" s="7">
        <v>0.61870000000000003</v>
      </c>
    </row>
    <row r="693" spans="1:29" x14ac:dyDescent="0.35">
      <c r="A693" s="1">
        <v>4038567</v>
      </c>
      <c r="B693" s="15">
        <v>0</v>
      </c>
      <c r="C693" s="15">
        <v>0</v>
      </c>
      <c r="D693" s="15">
        <v>0</v>
      </c>
      <c r="E693" s="15">
        <v>0</v>
      </c>
      <c r="F693" s="15">
        <v>0</v>
      </c>
      <c r="G693" s="15">
        <v>0</v>
      </c>
      <c r="H693" s="15">
        <v>0</v>
      </c>
      <c r="I693" s="15">
        <v>0</v>
      </c>
      <c r="J693" s="15">
        <v>0</v>
      </c>
      <c r="K693" s="15">
        <v>0</v>
      </c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1</v>
      </c>
      <c r="U693" s="15">
        <v>10</v>
      </c>
      <c r="V693" s="15">
        <v>31</v>
      </c>
      <c r="W693" s="15">
        <v>30</v>
      </c>
      <c r="X693" s="15">
        <v>30</v>
      </c>
      <c r="Y693" s="15">
        <v>30</v>
      </c>
      <c r="Z693" s="4">
        <v>132</v>
      </c>
      <c r="AA693" s="26">
        <v>6</v>
      </c>
      <c r="AB693" s="7">
        <v>2.0449000000000002</v>
      </c>
    </row>
    <row r="694" spans="1:29" x14ac:dyDescent="0.35">
      <c r="A694" s="1">
        <v>4038571</v>
      </c>
      <c r="B694" s="15">
        <v>0</v>
      </c>
      <c r="C694" s="15">
        <v>0</v>
      </c>
      <c r="D694" s="15">
        <v>0</v>
      </c>
      <c r="E694" s="15">
        <v>0</v>
      </c>
      <c r="F694" s="15">
        <v>0</v>
      </c>
      <c r="G694" s="15">
        <v>0</v>
      </c>
      <c r="H694" s="15">
        <v>0</v>
      </c>
      <c r="I694" s="15">
        <v>0</v>
      </c>
      <c r="J694" s="15">
        <v>0</v>
      </c>
      <c r="K694" s="15">
        <v>6</v>
      </c>
      <c r="L694" s="15">
        <v>42</v>
      </c>
      <c r="M694" s="15">
        <v>24</v>
      </c>
      <c r="N694" s="15">
        <v>24</v>
      </c>
      <c r="O694" s="15">
        <v>30</v>
      </c>
      <c r="P694" s="15">
        <v>24</v>
      </c>
      <c r="Q694" s="15">
        <v>30</v>
      </c>
      <c r="R694" s="15">
        <v>48</v>
      </c>
      <c r="S694" s="15">
        <v>24</v>
      </c>
      <c r="T694" s="15">
        <v>18</v>
      </c>
      <c r="U694" s="15">
        <v>30</v>
      </c>
      <c r="V694" s="15">
        <v>0</v>
      </c>
      <c r="W694" s="15">
        <v>30</v>
      </c>
      <c r="X694" s="15">
        <v>36</v>
      </c>
      <c r="Y694" s="15">
        <v>12</v>
      </c>
      <c r="Z694" s="4">
        <v>378</v>
      </c>
      <c r="AA694" s="26">
        <v>14</v>
      </c>
      <c r="AB694" s="7">
        <v>0.98860000000000003</v>
      </c>
    </row>
    <row r="695" spans="1:29" x14ac:dyDescent="0.35">
      <c r="A695" s="1">
        <v>4038574</v>
      </c>
      <c r="B695" s="15">
        <v>0</v>
      </c>
      <c r="C695" s="15">
        <v>0</v>
      </c>
      <c r="D695" s="15">
        <v>0</v>
      </c>
      <c r="E695" s="15">
        <v>0</v>
      </c>
      <c r="F695" s="15">
        <v>0</v>
      </c>
      <c r="G695" s="15">
        <v>0</v>
      </c>
      <c r="H695" s="15">
        <v>0</v>
      </c>
      <c r="I695" s="15">
        <v>0</v>
      </c>
      <c r="J695" s="15">
        <v>0</v>
      </c>
      <c r="K695" s="15">
        <v>0</v>
      </c>
      <c r="L695" s="15">
        <v>0</v>
      </c>
      <c r="M695" s="15">
        <v>0</v>
      </c>
      <c r="N695" s="15">
        <v>0</v>
      </c>
      <c r="O695" s="15">
        <v>10</v>
      </c>
      <c r="P695" s="15">
        <v>10</v>
      </c>
      <c r="Q695" s="15">
        <v>20</v>
      </c>
      <c r="R695" s="15">
        <v>50</v>
      </c>
      <c r="S695" s="15">
        <v>20</v>
      </c>
      <c r="T695" s="15">
        <v>0</v>
      </c>
      <c r="U695" s="15">
        <v>40</v>
      </c>
      <c r="V695" s="15">
        <v>30</v>
      </c>
      <c r="W695" s="15">
        <v>30</v>
      </c>
      <c r="X695" s="15">
        <v>40</v>
      </c>
      <c r="Y695" s="15">
        <v>40</v>
      </c>
      <c r="Z695" s="4">
        <v>290</v>
      </c>
      <c r="AA695" s="26">
        <v>10</v>
      </c>
      <c r="AB695" s="7">
        <v>1.3720000000000001</v>
      </c>
    </row>
    <row r="696" spans="1:29" x14ac:dyDescent="0.35">
      <c r="A696" s="1">
        <v>4038582</v>
      </c>
      <c r="B696" s="15">
        <v>0</v>
      </c>
      <c r="C696" s="15">
        <v>0</v>
      </c>
      <c r="D696" s="15">
        <v>0</v>
      </c>
      <c r="E696" s="15">
        <v>0</v>
      </c>
      <c r="F696" s="15">
        <v>0</v>
      </c>
      <c r="G696" s="15">
        <v>0</v>
      </c>
      <c r="H696" s="15">
        <v>0</v>
      </c>
      <c r="I696" s="15">
        <v>0</v>
      </c>
      <c r="J696" s="15">
        <v>0</v>
      </c>
      <c r="K696" s="15">
        <v>0</v>
      </c>
      <c r="L696" s="15">
        <v>30</v>
      </c>
      <c r="M696" s="15">
        <v>30</v>
      </c>
      <c r="N696" s="15">
        <v>30</v>
      </c>
      <c r="O696" s="15">
        <v>50</v>
      </c>
      <c r="P696" s="15">
        <v>20</v>
      </c>
      <c r="Q696" s="15">
        <v>10</v>
      </c>
      <c r="R696" s="15">
        <v>50</v>
      </c>
      <c r="S696" s="15">
        <v>10</v>
      </c>
      <c r="T696" s="15">
        <v>10</v>
      </c>
      <c r="U696" s="15">
        <v>20</v>
      </c>
      <c r="V696" s="15">
        <v>30</v>
      </c>
      <c r="W696" s="15">
        <v>30</v>
      </c>
      <c r="X696" s="15">
        <v>40</v>
      </c>
      <c r="Y696" s="15">
        <v>30</v>
      </c>
      <c r="Z696" s="4">
        <v>390</v>
      </c>
      <c r="AA696" s="26">
        <v>14</v>
      </c>
      <c r="AB696" s="7">
        <v>1.0329999999999999</v>
      </c>
    </row>
    <row r="697" spans="1:29" x14ac:dyDescent="0.35">
      <c r="A697" s="1">
        <v>4038586</v>
      </c>
      <c r="B697" s="15">
        <v>0</v>
      </c>
      <c r="C697" s="15">
        <v>0</v>
      </c>
      <c r="D697" s="15">
        <v>0</v>
      </c>
      <c r="E697" s="15">
        <v>0</v>
      </c>
      <c r="F697" s="15">
        <v>0</v>
      </c>
      <c r="G697" s="15">
        <v>0</v>
      </c>
      <c r="H697" s="15">
        <v>0</v>
      </c>
      <c r="I697" s="15">
        <v>0</v>
      </c>
      <c r="J697" s="15">
        <v>10</v>
      </c>
      <c r="K697" s="15">
        <v>30</v>
      </c>
      <c r="L697" s="15">
        <v>30</v>
      </c>
      <c r="M697" s="15">
        <v>20</v>
      </c>
      <c r="N697" s="15">
        <v>30</v>
      </c>
      <c r="O697" s="15">
        <v>30</v>
      </c>
      <c r="P697" s="15">
        <v>20</v>
      </c>
      <c r="Q697" s="15">
        <v>30</v>
      </c>
      <c r="R697" s="15">
        <v>30</v>
      </c>
      <c r="S697" s="15">
        <v>20</v>
      </c>
      <c r="T697" s="15">
        <v>30</v>
      </c>
      <c r="U697" s="15">
        <v>20</v>
      </c>
      <c r="V697" s="15">
        <v>20</v>
      </c>
      <c r="W697" s="15">
        <v>30</v>
      </c>
      <c r="X697" s="15">
        <v>40</v>
      </c>
      <c r="Y697" s="15">
        <v>20</v>
      </c>
      <c r="Z697" s="4">
        <v>410</v>
      </c>
      <c r="AA697" s="26">
        <v>16</v>
      </c>
      <c r="AB697" s="7">
        <v>0.78320000000000001</v>
      </c>
    </row>
    <row r="698" spans="1:29" x14ac:dyDescent="0.35">
      <c r="A698" s="1">
        <v>4038643</v>
      </c>
      <c r="B698" s="15">
        <v>0</v>
      </c>
      <c r="C698" s="15">
        <v>0</v>
      </c>
      <c r="D698" s="15">
        <v>0</v>
      </c>
      <c r="E698" s="15">
        <v>0</v>
      </c>
      <c r="F698" s="15">
        <v>0</v>
      </c>
      <c r="G698" s="15">
        <v>0</v>
      </c>
      <c r="H698" s="15">
        <v>0</v>
      </c>
      <c r="I698" s="15">
        <v>0</v>
      </c>
      <c r="J698" s="15">
        <v>0</v>
      </c>
      <c r="K698" s="15">
        <v>0</v>
      </c>
      <c r="L698" s="15">
        <v>0</v>
      </c>
      <c r="M698" s="15">
        <v>100</v>
      </c>
      <c r="N698" s="15">
        <v>0</v>
      </c>
      <c r="O698" s="15">
        <v>0</v>
      </c>
      <c r="P698" s="15">
        <v>0</v>
      </c>
      <c r="Q698" s="15">
        <v>150</v>
      </c>
      <c r="R698" s="15">
        <v>100</v>
      </c>
      <c r="S698" s="15">
        <v>100</v>
      </c>
      <c r="T698" s="15">
        <v>0</v>
      </c>
      <c r="U698" s="15">
        <v>100</v>
      </c>
      <c r="V698" s="15">
        <v>100</v>
      </c>
      <c r="W698" s="15">
        <v>0</v>
      </c>
      <c r="X698" s="15">
        <v>50</v>
      </c>
      <c r="Y698" s="15">
        <v>0</v>
      </c>
      <c r="Z698" s="4">
        <v>700</v>
      </c>
      <c r="AA698" s="26">
        <v>7</v>
      </c>
      <c r="AB698" s="7">
        <v>1.6351</v>
      </c>
    </row>
    <row r="699" spans="1:29" x14ac:dyDescent="0.35">
      <c r="A699" s="1">
        <v>4038735</v>
      </c>
      <c r="B699" s="15">
        <v>0</v>
      </c>
      <c r="C699" s="15">
        <v>0</v>
      </c>
      <c r="D699" s="15">
        <v>0</v>
      </c>
      <c r="E699" s="15">
        <v>0</v>
      </c>
      <c r="F699" s="15">
        <v>0</v>
      </c>
      <c r="G699" s="15">
        <v>0</v>
      </c>
      <c r="H699" s="15">
        <v>0</v>
      </c>
      <c r="I699" s="15">
        <v>0</v>
      </c>
      <c r="J699" s="15">
        <v>0</v>
      </c>
      <c r="K699" s="15">
        <v>0</v>
      </c>
      <c r="L699" s="15">
        <v>0</v>
      </c>
      <c r="M699" s="15">
        <v>10</v>
      </c>
      <c r="N699" s="15">
        <v>0</v>
      </c>
      <c r="O699" s="15">
        <v>20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4">
        <v>30</v>
      </c>
      <c r="AA699" s="26">
        <v>2</v>
      </c>
      <c r="AB699" s="7">
        <v>3.5118999999999998</v>
      </c>
      <c r="AC699" s="1" t="s">
        <v>3230</v>
      </c>
    </row>
    <row r="700" spans="1:29" x14ac:dyDescent="0.35">
      <c r="A700" s="1">
        <v>4038736</v>
      </c>
      <c r="B700" s="15">
        <v>0</v>
      </c>
      <c r="C700" s="15">
        <v>0</v>
      </c>
      <c r="D700" s="15">
        <v>0</v>
      </c>
      <c r="E700" s="15">
        <v>0</v>
      </c>
      <c r="F700" s="15">
        <v>0</v>
      </c>
      <c r="G700" s="15">
        <v>0</v>
      </c>
      <c r="H700" s="15">
        <v>0</v>
      </c>
      <c r="I700" s="15">
        <v>0</v>
      </c>
      <c r="J700" s="15">
        <v>0</v>
      </c>
      <c r="K700" s="15">
        <v>0</v>
      </c>
      <c r="L700" s="15">
        <v>0</v>
      </c>
      <c r="M700" s="15">
        <v>10</v>
      </c>
      <c r="N700" s="15">
        <v>20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20</v>
      </c>
      <c r="V700" s="15">
        <v>0</v>
      </c>
      <c r="W700" s="15">
        <v>0</v>
      </c>
      <c r="X700" s="15">
        <v>0</v>
      </c>
      <c r="Y700" s="15">
        <v>0</v>
      </c>
      <c r="Z700" s="4">
        <v>50</v>
      </c>
      <c r="AA700" s="26">
        <v>3</v>
      </c>
      <c r="AB700" s="7">
        <v>2.7641</v>
      </c>
      <c r="AC700" s="1" t="s">
        <v>3230</v>
      </c>
    </row>
    <row r="701" spans="1:29" x14ac:dyDescent="0.35">
      <c r="A701" s="1">
        <v>4038737</v>
      </c>
      <c r="B701" s="15">
        <v>0</v>
      </c>
      <c r="C701" s="15">
        <v>0</v>
      </c>
      <c r="D701" s="15">
        <v>0</v>
      </c>
      <c r="E701" s="15">
        <v>0</v>
      </c>
      <c r="F701" s="15">
        <v>0</v>
      </c>
      <c r="G701" s="15">
        <v>0</v>
      </c>
      <c r="H701" s="15">
        <v>0</v>
      </c>
      <c r="I701" s="15">
        <v>0</v>
      </c>
      <c r="J701" s="15">
        <v>0</v>
      </c>
      <c r="K701" s="15">
        <v>50</v>
      </c>
      <c r="L701" s="15">
        <v>0</v>
      </c>
      <c r="M701" s="15">
        <v>20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50</v>
      </c>
      <c r="V701" s="15">
        <v>0</v>
      </c>
      <c r="W701" s="15">
        <v>0</v>
      </c>
      <c r="X701" s="15">
        <v>0</v>
      </c>
      <c r="Y701" s="15">
        <v>0</v>
      </c>
      <c r="Z701" s="4">
        <v>120</v>
      </c>
      <c r="AA701" s="26">
        <v>3</v>
      </c>
      <c r="AB701" s="7">
        <v>2.8283999999999998</v>
      </c>
      <c r="AC701" s="1" t="s">
        <v>3230</v>
      </c>
    </row>
    <row r="702" spans="1:29" x14ac:dyDescent="0.35">
      <c r="A702" s="1">
        <v>4038742</v>
      </c>
      <c r="B702" s="15">
        <v>0</v>
      </c>
      <c r="C702" s="15">
        <v>0</v>
      </c>
      <c r="D702" s="15">
        <v>0</v>
      </c>
      <c r="E702" s="15">
        <v>0</v>
      </c>
      <c r="F702" s="15">
        <v>0</v>
      </c>
      <c r="G702" s="15">
        <v>0</v>
      </c>
      <c r="H702" s="15">
        <v>0</v>
      </c>
      <c r="I702" s="15">
        <v>1</v>
      </c>
      <c r="J702" s="15">
        <v>20</v>
      </c>
      <c r="K702" s="15">
        <v>30</v>
      </c>
      <c r="L702" s="15">
        <v>40</v>
      </c>
      <c r="M702" s="15">
        <v>10</v>
      </c>
      <c r="N702" s="15">
        <v>10</v>
      </c>
      <c r="O702" s="15">
        <v>0</v>
      </c>
      <c r="P702" s="15">
        <v>0</v>
      </c>
      <c r="Q702" s="15">
        <v>0</v>
      </c>
      <c r="R702" s="15">
        <v>0</v>
      </c>
      <c r="S702" s="15">
        <v>10</v>
      </c>
      <c r="T702" s="15">
        <v>20</v>
      </c>
      <c r="U702" s="15">
        <v>20</v>
      </c>
      <c r="V702" s="15">
        <v>30</v>
      </c>
      <c r="W702" s="15">
        <v>20</v>
      </c>
      <c r="X702" s="15">
        <v>30</v>
      </c>
      <c r="Y702" s="15">
        <v>50</v>
      </c>
      <c r="Z702" s="4">
        <v>291</v>
      </c>
      <c r="AA702" s="26">
        <v>13</v>
      </c>
      <c r="AB702" s="7">
        <v>1.2108000000000001</v>
      </c>
    </row>
    <row r="703" spans="1:29" x14ac:dyDescent="0.35">
      <c r="A703" s="1">
        <v>4038743</v>
      </c>
      <c r="B703" s="15">
        <v>0</v>
      </c>
      <c r="C703" s="15">
        <v>0</v>
      </c>
      <c r="D703" s="15">
        <v>0</v>
      </c>
      <c r="E703" s="15">
        <v>0</v>
      </c>
      <c r="F703" s="15">
        <v>0</v>
      </c>
      <c r="G703" s="15">
        <v>0</v>
      </c>
      <c r="H703" s="15">
        <v>0</v>
      </c>
      <c r="I703" s="15">
        <v>1</v>
      </c>
      <c r="J703" s="15">
        <v>10</v>
      </c>
      <c r="K703" s="15">
        <v>20</v>
      </c>
      <c r="L703" s="15">
        <v>20</v>
      </c>
      <c r="M703" s="15">
        <v>0</v>
      </c>
      <c r="N703" s="15">
        <v>10</v>
      </c>
      <c r="O703" s="15">
        <v>20</v>
      </c>
      <c r="P703" s="15">
        <v>10</v>
      </c>
      <c r="Q703" s="15">
        <v>0</v>
      </c>
      <c r="R703" s="15">
        <v>0</v>
      </c>
      <c r="S703" s="15">
        <v>40</v>
      </c>
      <c r="T703" s="15">
        <v>20</v>
      </c>
      <c r="U703" s="15">
        <v>0</v>
      </c>
      <c r="V703" s="15">
        <v>10</v>
      </c>
      <c r="W703" s="15">
        <v>10</v>
      </c>
      <c r="X703" s="15">
        <v>20</v>
      </c>
      <c r="Y703" s="15">
        <v>10</v>
      </c>
      <c r="Z703" s="4">
        <v>201</v>
      </c>
      <c r="AA703" s="26">
        <v>13</v>
      </c>
      <c r="AB703" s="7">
        <v>1.2229000000000001</v>
      </c>
    </row>
    <row r="704" spans="1:29" x14ac:dyDescent="0.35">
      <c r="A704" s="1">
        <v>4043184</v>
      </c>
      <c r="B704" s="15">
        <v>0</v>
      </c>
      <c r="C704" s="15">
        <v>0</v>
      </c>
      <c r="D704" s="15">
        <v>0</v>
      </c>
      <c r="E704" s="15">
        <v>0</v>
      </c>
      <c r="F704" s="15">
        <v>0</v>
      </c>
      <c r="G704" s="15">
        <v>0</v>
      </c>
      <c r="H704" s="15">
        <v>0</v>
      </c>
      <c r="I704" s="15">
        <v>0</v>
      </c>
      <c r="J704" s="15">
        <v>0</v>
      </c>
      <c r="K704" s="15">
        <v>0</v>
      </c>
      <c r="L704" s="15">
        <v>0</v>
      </c>
      <c r="M704" s="15">
        <v>0</v>
      </c>
      <c r="N704" s="15">
        <v>10</v>
      </c>
      <c r="O704" s="15">
        <v>0</v>
      </c>
      <c r="P704" s="15">
        <v>20</v>
      </c>
      <c r="Q704" s="15">
        <v>10</v>
      </c>
      <c r="R704" s="15">
        <v>20</v>
      </c>
      <c r="S704" s="15">
        <v>30</v>
      </c>
      <c r="T704" s="15">
        <v>35</v>
      </c>
      <c r="U704" s="15">
        <v>30</v>
      </c>
      <c r="V704" s="15">
        <v>10</v>
      </c>
      <c r="W704" s="15">
        <v>20</v>
      </c>
      <c r="X704" s="15">
        <v>40</v>
      </c>
      <c r="Y704" s="15">
        <v>40</v>
      </c>
      <c r="Z704" s="4">
        <v>265</v>
      </c>
      <c r="AA704" s="26">
        <v>11</v>
      </c>
      <c r="AB704" s="7">
        <v>1.2806999999999999</v>
      </c>
    </row>
    <row r="705" spans="1:29" x14ac:dyDescent="0.35">
      <c r="A705" s="1">
        <v>4044449</v>
      </c>
      <c r="B705" s="15">
        <v>0</v>
      </c>
      <c r="C705" s="15">
        <v>0</v>
      </c>
      <c r="D705" s="15">
        <v>0</v>
      </c>
      <c r="E705" s="15">
        <v>0</v>
      </c>
      <c r="F705" s="15">
        <v>0</v>
      </c>
      <c r="G705" s="15">
        <v>0</v>
      </c>
      <c r="H705" s="15">
        <v>0</v>
      </c>
      <c r="I705" s="15">
        <v>0</v>
      </c>
      <c r="J705" s="15">
        <v>0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12</v>
      </c>
      <c r="Z705" s="4">
        <v>12</v>
      </c>
      <c r="AA705" s="26">
        <v>1</v>
      </c>
      <c r="AB705" s="7">
        <v>4.7957999999999998</v>
      </c>
      <c r="AC705" s="1" t="s">
        <v>3230</v>
      </c>
    </row>
    <row r="706" spans="1:29" x14ac:dyDescent="0.35">
      <c r="A706" s="1">
        <v>4044453</v>
      </c>
      <c r="B706" s="15">
        <v>0</v>
      </c>
      <c r="C706" s="15">
        <v>0</v>
      </c>
      <c r="D706" s="15">
        <v>0</v>
      </c>
      <c r="E706" s="15">
        <v>0</v>
      </c>
      <c r="F706" s="15">
        <v>0</v>
      </c>
      <c r="G706" s="15">
        <v>0</v>
      </c>
      <c r="H706" s="15">
        <v>0</v>
      </c>
      <c r="I706" s="15">
        <v>0</v>
      </c>
      <c r="J706" s="15">
        <v>0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200</v>
      </c>
      <c r="U706" s="15">
        <v>0</v>
      </c>
      <c r="V706" s="15">
        <v>600</v>
      </c>
      <c r="W706" s="15">
        <v>0</v>
      </c>
      <c r="X706" s="15">
        <v>0</v>
      </c>
      <c r="Y706" s="15">
        <v>200</v>
      </c>
      <c r="Z706" s="4">
        <v>1000</v>
      </c>
      <c r="AA706" s="26">
        <v>3</v>
      </c>
      <c r="AB706" s="7">
        <v>3.0918999999999999</v>
      </c>
      <c r="AC706" s="1" t="s">
        <v>3230</v>
      </c>
    </row>
    <row r="707" spans="1:29" x14ac:dyDescent="0.35">
      <c r="A707" s="1">
        <v>4044460</v>
      </c>
      <c r="B707" s="15">
        <v>0</v>
      </c>
      <c r="C707" s="15">
        <v>0</v>
      </c>
      <c r="D707" s="15">
        <v>0</v>
      </c>
      <c r="E707" s="15">
        <v>0</v>
      </c>
      <c r="F707" s="15">
        <v>0</v>
      </c>
      <c r="G707" s="15">
        <v>0</v>
      </c>
      <c r="H707" s="15">
        <v>0</v>
      </c>
      <c r="I707" s="15">
        <v>0</v>
      </c>
      <c r="J707" s="15">
        <v>0</v>
      </c>
      <c r="K707" s="15">
        <v>0</v>
      </c>
      <c r="L707" s="15">
        <v>0</v>
      </c>
      <c r="M707" s="15">
        <v>0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90</v>
      </c>
      <c r="W707" s="15">
        <v>180</v>
      </c>
      <c r="X707" s="15">
        <v>180</v>
      </c>
      <c r="Y707" s="15">
        <v>90</v>
      </c>
      <c r="Z707" s="4">
        <v>540</v>
      </c>
      <c r="AA707" s="26">
        <v>4</v>
      </c>
      <c r="AB707" s="7">
        <v>2.3805000000000001</v>
      </c>
      <c r="AC707" s="1" t="s">
        <v>3230</v>
      </c>
    </row>
    <row r="708" spans="1:29" x14ac:dyDescent="0.35">
      <c r="A708" s="1">
        <v>4044461</v>
      </c>
      <c r="B708" s="15">
        <v>0</v>
      </c>
      <c r="C708" s="15">
        <v>0</v>
      </c>
      <c r="D708" s="15">
        <v>0</v>
      </c>
      <c r="E708" s="15">
        <v>0</v>
      </c>
      <c r="F708" s="15">
        <v>0</v>
      </c>
      <c r="G708" s="15">
        <v>0</v>
      </c>
      <c r="H708" s="15">
        <v>0</v>
      </c>
      <c r="I708" s="15">
        <v>0</v>
      </c>
      <c r="J708" s="15">
        <v>0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60</v>
      </c>
      <c r="Y708" s="15">
        <v>36</v>
      </c>
      <c r="Z708" s="4">
        <v>96</v>
      </c>
      <c r="AA708" s="26">
        <v>2</v>
      </c>
      <c r="AB708" s="7">
        <v>3.4278</v>
      </c>
      <c r="AC708" s="1" t="s">
        <v>3230</v>
      </c>
    </row>
    <row r="709" spans="1:29" x14ac:dyDescent="0.35">
      <c r="A709" s="1">
        <v>4044462</v>
      </c>
      <c r="B709" s="15">
        <v>0</v>
      </c>
      <c r="C709" s="15">
        <v>0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  <c r="I709" s="15">
        <v>0</v>
      </c>
      <c r="J709" s="15">
        <v>0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42</v>
      </c>
      <c r="W709" s="15">
        <v>20</v>
      </c>
      <c r="X709" s="15">
        <v>60</v>
      </c>
      <c r="Y709" s="15">
        <v>30</v>
      </c>
      <c r="Z709" s="4">
        <v>152</v>
      </c>
      <c r="AA709" s="26">
        <v>4</v>
      </c>
      <c r="AB709" s="7">
        <v>2.4336000000000002</v>
      </c>
      <c r="AC709" s="1" t="s">
        <v>3230</v>
      </c>
    </row>
    <row r="710" spans="1:29" x14ac:dyDescent="0.35">
      <c r="A710" s="1">
        <v>4044466</v>
      </c>
      <c r="B710" s="15">
        <v>0</v>
      </c>
      <c r="C710" s="15">
        <v>0</v>
      </c>
      <c r="D710" s="15">
        <v>0</v>
      </c>
      <c r="E710" s="15">
        <v>0</v>
      </c>
      <c r="F710" s="15">
        <v>0</v>
      </c>
      <c r="G710" s="15">
        <v>0</v>
      </c>
      <c r="H710" s="15">
        <v>0</v>
      </c>
      <c r="I710" s="15">
        <v>0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5</v>
      </c>
      <c r="T710" s="15">
        <v>36</v>
      </c>
      <c r="U710" s="15">
        <v>15</v>
      </c>
      <c r="V710" s="15">
        <v>43</v>
      </c>
      <c r="W710" s="15">
        <v>22</v>
      </c>
      <c r="X710" s="15">
        <v>25</v>
      </c>
      <c r="Y710" s="15">
        <v>27</v>
      </c>
      <c r="Z710" s="4">
        <v>173</v>
      </c>
      <c r="AA710" s="26">
        <v>7</v>
      </c>
      <c r="AB710" s="7">
        <v>1.7878000000000001</v>
      </c>
    </row>
    <row r="711" spans="1:29" x14ac:dyDescent="0.35">
      <c r="A711" s="1">
        <v>4044863</v>
      </c>
      <c r="B711" s="15">
        <v>0</v>
      </c>
      <c r="C711" s="15">
        <v>0</v>
      </c>
      <c r="D711" s="15">
        <v>0</v>
      </c>
      <c r="E711" s="15">
        <v>0</v>
      </c>
      <c r="F711" s="15">
        <v>0</v>
      </c>
      <c r="G711" s="15">
        <v>0</v>
      </c>
      <c r="H711" s="15">
        <v>0</v>
      </c>
      <c r="I711" s="15">
        <v>0</v>
      </c>
      <c r="J711" s="15">
        <v>0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40</v>
      </c>
      <c r="X711" s="15">
        <v>50</v>
      </c>
      <c r="Y711" s="15">
        <v>40</v>
      </c>
      <c r="Z711" s="4">
        <v>130</v>
      </c>
      <c r="AA711" s="26">
        <v>3</v>
      </c>
      <c r="AB711" s="7">
        <v>2.6636000000000002</v>
      </c>
      <c r="AC711" s="1" t="s">
        <v>3230</v>
      </c>
    </row>
    <row r="712" spans="1:29" x14ac:dyDescent="0.35">
      <c r="A712" s="1">
        <v>4044864</v>
      </c>
      <c r="B712" s="15">
        <v>0</v>
      </c>
      <c r="C712" s="15">
        <v>0</v>
      </c>
      <c r="D712" s="15">
        <v>0</v>
      </c>
      <c r="E712" s="15">
        <v>0</v>
      </c>
      <c r="F712" s="15">
        <v>0</v>
      </c>
      <c r="G712" s="15">
        <v>0</v>
      </c>
      <c r="H712" s="15">
        <v>0</v>
      </c>
      <c r="I712" s="15">
        <v>0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20</v>
      </c>
      <c r="W712" s="15">
        <v>80</v>
      </c>
      <c r="X712" s="15">
        <v>100</v>
      </c>
      <c r="Y712" s="15">
        <v>100</v>
      </c>
      <c r="Z712" s="4">
        <v>300</v>
      </c>
      <c r="AA712" s="26">
        <v>4</v>
      </c>
      <c r="AB712" s="7">
        <v>2.4792000000000001</v>
      </c>
      <c r="AC712" s="1" t="s">
        <v>3230</v>
      </c>
    </row>
    <row r="713" spans="1:29" x14ac:dyDescent="0.35">
      <c r="A713" s="1">
        <v>4045014</v>
      </c>
      <c r="B713" s="15">
        <v>0</v>
      </c>
      <c r="C713" s="15">
        <v>0</v>
      </c>
      <c r="D713" s="15">
        <v>0</v>
      </c>
      <c r="E713" s="15">
        <v>0</v>
      </c>
      <c r="F713" s="15">
        <v>0</v>
      </c>
      <c r="G713" s="15">
        <v>0</v>
      </c>
      <c r="H713" s="15">
        <v>0</v>
      </c>
      <c r="I713" s="15">
        <v>0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180</v>
      </c>
      <c r="W713" s="15">
        <v>50</v>
      </c>
      <c r="X713" s="15">
        <v>100</v>
      </c>
      <c r="Y713" s="15">
        <v>150</v>
      </c>
      <c r="Z713" s="4">
        <v>480</v>
      </c>
      <c r="AA713" s="26">
        <v>4</v>
      </c>
      <c r="AB713" s="7">
        <v>2.4537</v>
      </c>
      <c r="AC713" s="1" t="s">
        <v>3230</v>
      </c>
    </row>
    <row r="714" spans="1:29" x14ac:dyDescent="0.35">
      <c r="A714" s="1">
        <v>4045020</v>
      </c>
      <c r="B714" s="15">
        <v>0</v>
      </c>
      <c r="C714" s="15">
        <v>0</v>
      </c>
      <c r="D714" s="15">
        <v>0</v>
      </c>
      <c r="E714" s="15">
        <v>0</v>
      </c>
      <c r="F714" s="15">
        <v>0</v>
      </c>
      <c r="G714" s="15">
        <v>0</v>
      </c>
      <c r="H714" s="15">
        <v>0</v>
      </c>
      <c r="I714" s="15">
        <v>0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  <c r="U714" s="15">
        <v>100</v>
      </c>
      <c r="V714" s="15">
        <v>0</v>
      </c>
      <c r="W714" s="15">
        <v>200</v>
      </c>
      <c r="X714" s="15">
        <v>700</v>
      </c>
      <c r="Y714" s="15">
        <v>1300</v>
      </c>
      <c r="Z714" s="4">
        <v>2300</v>
      </c>
      <c r="AA714" s="26">
        <v>4</v>
      </c>
      <c r="AB714" s="7">
        <v>3.0194999999999999</v>
      </c>
      <c r="AC714" s="1" t="s">
        <v>3230</v>
      </c>
    </row>
    <row r="715" spans="1:29" x14ac:dyDescent="0.35">
      <c r="A715" s="1">
        <v>4045025</v>
      </c>
      <c r="B715" s="15">
        <v>0</v>
      </c>
      <c r="C715" s="15">
        <v>0</v>
      </c>
      <c r="D715" s="15">
        <v>0</v>
      </c>
      <c r="E715" s="15">
        <v>0</v>
      </c>
      <c r="F715" s="15">
        <v>0</v>
      </c>
      <c r="G715" s="15">
        <v>0</v>
      </c>
      <c r="H715" s="15">
        <v>0</v>
      </c>
      <c r="I715" s="15">
        <v>0</v>
      </c>
      <c r="J715" s="15">
        <v>0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5</v>
      </c>
      <c r="T715" s="15">
        <v>5</v>
      </c>
      <c r="U715" s="15">
        <v>25</v>
      </c>
      <c r="V715" s="15">
        <v>25</v>
      </c>
      <c r="W715" s="15">
        <v>30</v>
      </c>
      <c r="X715" s="15">
        <v>25</v>
      </c>
      <c r="Y715" s="15">
        <v>15</v>
      </c>
      <c r="Z715" s="4">
        <v>130</v>
      </c>
      <c r="AA715" s="26">
        <v>7</v>
      </c>
      <c r="AB715" s="7">
        <v>1.8251999999999999</v>
      </c>
    </row>
    <row r="716" spans="1:29" x14ac:dyDescent="0.35">
      <c r="A716" s="1">
        <v>4045026</v>
      </c>
      <c r="B716" s="15">
        <v>0</v>
      </c>
      <c r="C716" s="15">
        <v>0</v>
      </c>
      <c r="D716" s="15">
        <v>0</v>
      </c>
      <c r="E716" s="15">
        <v>0</v>
      </c>
      <c r="F716" s="15">
        <v>0</v>
      </c>
      <c r="G716" s="15">
        <v>0</v>
      </c>
      <c r="H716" s="15">
        <v>0</v>
      </c>
      <c r="I716" s="15">
        <v>0</v>
      </c>
      <c r="J716" s="15">
        <v>0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10</v>
      </c>
      <c r="T716" s="15">
        <v>0</v>
      </c>
      <c r="U716" s="15">
        <v>15</v>
      </c>
      <c r="V716" s="15">
        <v>15</v>
      </c>
      <c r="W716" s="15">
        <v>15</v>
      </c>
      <c r="X716" s="15">
        <v>0</v>
      </c>
      <c r="Y716" s="15">
        <v>30</v>
      </c>
      <c r="Z716" s="4">
        <v>85</v>
      </c>
      <c r="AA716" s="26">
        <v>5</v>
      </c>
      <c r="AB716" s="7">
        <v>2.1364000000000001</v>
      </c>
      <c r="AC716" s="1" t="s">
        <v>3230</v>
      </c>
    </row>
    <row r="717" spans="1:29" x14ac:dyDescent="0.35">
      <c r="A717" s="1">
        <v>4045033</v>
      </c>
      <c r="B717" s="15">
        <v>0</v>
      </c>
      <c r="C717" s="15">
        <v>0</v>
      </c>
      <c r="D717" s="15">
        <v>0</v>
      </c>
      <c r="E717" s="15">
        <v>0</v>
      </c>
      <c r="F717" s="15">
        <v>0</v>
      </c>
      <c r="G717" s="15">
        <v>0</v>
      </c>
      <c r="H717" s="15">
        <v>0</v>
      </c>
      <c r="I717" s="15">
        <v>0</v>
      </c>
      <c r="J717" s="15">
        <v>0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2</v>
      </c>
      <c r="W717" s="15">
        <v>0</v>
      </c>
      <c r="X717" s="15">
        <v>5</v>
      </c>
      <c r="Y717" s="15">
        <v>3</v>
      </c>
      <c r="Z717" s="4">
        <v>10</v>
      </c>
      <c r="AA717" s="26">
        <v>3</v>
      </c>
      <c r="AB717" s="7">
        <v>2.8496000000000001</v>
      </c>
      <c r="AC717" s="1" t="s">
        <v>3230</v>
      </c>
    </row>
    <row r="718" spans="1:29" x14ac:dyDescent="0.35">
      <c r="A718" s="1">
        <v>4045034</v>
      </c>
      <c r="B718" s="15">
        <v>0</v>
      </c>
      <c r="C718" s="15">
        <v>0</v>
      </c>
      <c r="D718" s="15">
        <v>0</v>
      </c>
      <c r="E718" s="15">
        <v>0</v>
      </c>
      <c r="F718" s="15">
        <v>0</v>
      </c>
      <c r="G718" s="15">
        <v>0</v>
      </c>
      <c r="H718" s="15">
        <v>0</v>
      </c>
      <c r="I718" s="15">
        <v>0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2</v>
      </c>
      <c r="Z718" s="4">
        <v>2</v>
      </c>
      <c r="AA718" s="26">
        <v>1</v>
      </c>
      <c r="AB718" s="7">
        <v>4.7957999999999998</v>
      </c>
      <c r="AC718" s="1" t="s">
        <v>3230</v>
      </c>
    </row>
    <row r="719" spans="1:29" x14ac:dyDescent="0.35">
      <c r="A719" s="1">
        <v>4045038</v>
      </c>
      <c r="B719" s="15">
        <v>0</v>
      </c>
      <c r="C719" s="15">
        <v>0</v>
      </c>
      <c r="D719" s="15">
        <v>0</v>
      </c>
      <c r="E719" s="15">
        <v>0</v>
      </c>
      <c r="F719" s="15">
        <v>0</v>
      </c>
      <c r="G719" s="15">
        <v>0</v>
      </c>
      <c r="H719" s="15">
        <v>0</v>
      </c>
      <c r="I719" s="15">
        <v>0</v>
      </c>
      <c r="J719" s="15">
        <v>0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3</v>
      </c>
      <c r="Z719" s="4">
        <v>3</v>
      </c>
      <c r="AA719" s="26">
        <v>1</v>
      </c>
      <c r="AB719" s="7">
        <v>4.7957999999999998</v>
      </c>
      <c r="AC719" s="1" t="s">
        <v>3230</v>
      </c>
    </row>
    <row r="720" spans="1:29" x14ac:dyDescent="0.35">
      <c r="A720" s="1">
        <v>4045042</v>
      </c>
      <c r="B720" s="15">
        <v>0</v>
      </c>
      <c r="C720" s="15">
        <v>0</v>
      </c>
      <c r="D720" s="15">
        <v>0</v>
      </c>
      <c r="E720" s="15">
        <v>0</v>
      </c>
      <c r="F720" s="15">
        <v>0</v>
      </c>
      <c r="G720" s="15">
        <v>0</v>
      </c>
      <c r="H720" s="15">
        <v>0</v>
      </c>
      <c r="I720" s="15">
        <v>0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1</v>
      </c>
      <c r="V720" s="15">
        <v>1</v>
      </c>
      <c r="W720" s="15">
        <v>0</v>
      </c>
      <c r="X720" s="15">
        <v>0</v>
      </c>
      <c r="Y720" s="15">
        <v>1</v>
      </c>
      <c r="Z720" s="4">
        <v>3</v>
      </c>
      <c r="AA720" s="26">
        <v>3</v>
      </c>
      <c r="AB720" s="7">
        <v>2.6457999999999999</v>
      </c>
      <c r="AC720" s="1" t="s">
        <v>3230</v>
      </c>
    </row>
    <row r="721" spans="1:29" x14ac:dyDescent="0.35">
      <c r="A721" s="1">
        <v>4045068</v>
      </c>
      <c r="B721" s="15">
        <v>0</v>
      </c>
      <c r="C721" s="15">
        <v>0</v>
      </c>
      <c r="D721" s="15">
        <v>0</v>
      </c>
      <c r="E721" s="15">
        <v>0</v>
      </c>
      <c r="F721" s="15">
        <v>0</v>
      </c>
      <c r="G721" s="15">
        <v>0</v>
      </c>
      <c r="H721" s="15">
        <v>0</v>
      </c>
      <c r="I721" s="15">
        <v>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200</v>
      </c>
      <c r="W721" s="15">
        <v>180</v>
      </c>
      <c r="X721" s="15">
        <v>300</v>
      </c>
      <c r="Y721" s="15">
        <v>60</v>
      </c>
      <c r="Z721" s="4">
        <v>740</v>
      </c>
      <c r="AA721" s="26">
        <v>4</v>
      </c>
      <c r="AB721" s="7">
        <v>2.5051000000000001</v>
      </c>
      <c r="AC721" s="1" t="s">
        <v>3230</v>
      </c>
    </row>
    <row r="722" spans="1:29" x14ac:dyDescent="0.35">
      <c r="A722" s="1">
        <v>4045081</v>
      </c>
      <c r="B722" s="15">
        <v>0</v>
      </c>
      <c r="C722" s="15">
        <v>0</v>
      </c>
      <c r="D722" s="15">
        <v>0</v>
      </c>
      <c r="E722" s="15">
        <v>0</v>
      </c>
      <c r="F722" s="15">
        <v>0</v>
      </c>
      <c r="G722" s="15">
        <v>0</v>
      </c>
      <c r="H722" s="15">
        <v>0</v>
      </c>
      <c r="I722" s="15">
        <v>0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70</v>
      </c>
      <c r="U722" s="15">
        <v>20</v>
      </c>
      <c r="V722" s="15">
        <v>20</v>
      </c>
      <c r="W722" s="15">
        <v>20</v>
      </c>
      <c r="X722" s="15">
        <v>80</v>
      </c>
      <c r="Y722" s="15">
        <v>50</v>
      </c>
      <c r="Z722" s="4">
        <v>260</v>
      </c>
      <c r="AA722" s="26">
        <v>6</v>
      </c>
      <c r="AB722" s="7">
        <v>2.0798000000000001</v>
      </c>
    </row>
    <row r="723" spans="1:29" x14ac:dyDescent="0.35">
      <c r="A723" s="1">
        <v>4045333</v>
      </c>
      <c r="B723" s="15">
        <v>0</v>
      </c>
      <c r="C723" s="15">
        <v>0</v>
      </c>
      <c r="D723" s="15">
        <v>0</v>
      </c>
      <c r="E723" s="15">
        <v>0</v>
      </c>
      <c r="F723" s="15">
        <v>0</v>
      </c>
      <c r="G723" s="15">
        <v>0</v>
      </c>
      <c r="H723" s="15">
        <v>0</v>
      </c>
      <c r="I723" s="15">
        <v>0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11</v>
      </c>
      <c r="Z723" s="4">
        <v>11</v>
      </c>
      <c r="AA723" s="26">
        <v>1</v>
      </c>
      <c r="AB723" s="7">
        <v>4.7957999999999998</v>
      </c>
      <c r="AC723" s="1" t="s">
        <v>3230</v>
      </c>
    </row>
    <row r="724" spans="1:29" x14ac:dyDescent="0.35">
      <c r="A724" s="1">
        <v>4045334</v>
      </c>
      <c r="B724" s="15">
        <v>0</v>
      </c>
      <c r="C724" s="15">
        <v>0</v>
      </c>
      <c r="D724" s="15">
        <v>0</v>
      </c>
      <c r="E724" s="15">
        <v>0</v>
      </c>
      <c r="F724" s="15">
        <v>0</v>
      </c>
      <c r="G724" s="15">
        <v>0</v>
      </c>
      <c r="H724" s="15">
        <v>0</v>
      </c>
      <c r="I724" s="15">
        <v>0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4</v>
      </c>
      <c r="Z724" s="4">
        <v>4</v>
      </c>
      <c r="AA724" s="26">
        <v>1</v>
      </c>
      <c r="AB724" s="7">
        <v>4.7957999999999998</v>
      </c>
      <c r="AC724" s="1" t="s">
        <v>3230</v>
      </c>
    </row>
    <row r="725" spans="1:29" x14ac:dyDescent="0.35">
      <c r="A725" s="1">
        <v>4045335</v>
      </c>
      <c r="B725" s="15">
        <v>0</v>
      </c>
      <c r="C725" s="15">
        <v>0</v>
      </c>
      <c r="D725" s="15">
        <v>0</v>
      </c>
      <c r="E725" s="15">
        <v>0</v>
      </c>
      <c r="F725" s="15">
        <v>0</v>
      </c>
      <c r="G725" s="15">
        <v>0</v>
      </c>
      <c r="H725" s="15">
        <v>0</v>
      </c>
      <c r="I725" s="15">
        <v>0</v>
      </c>
      <c r="J725" s="15">
        <v>0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5</v>
      </c>
      <c r="X725" s="15">
        <v>0</v>
      </c>
      <c r="Y725" s="15">
        <v>5</v>
      </c>
      <c r="Z725" s="4">
        <v>10</v>
      </c>
      <c r="AA725" s="26">
        <v>2</v>
      </c>
      <c r="AB725" s="7">
        <v>3.3166000000000002</v>
      </c>
      <c r="AC725" s="1" t="s">
        <v>3230</v>
      </c>
    </row>
    <row r="726" spans="1:29" x14ac:dyDescent="0.35">
      <c r="A726" s="1">
        <v>4045337</v>
      </c>
      <c r="B726" s="15">
        <v>0</v>
      </c>
      <c r="C726" s="15">
        <v>0</v>
      </c>
      <c r="D726" s="15">
        <v>0</v>
      </c>
      <c r="E726" s="15">
        <v>0</v>
      </c>
      <c r="F726" s="15">
        <v>0</v>
      </c>
      <c r="G726" s="15">
        <v>0</v>
      </c>
      <c r="H726" s="15">
        <v>0</v>
      </c>
      <c r="I726" s="15">
        <v>0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5</v>
      </c>
      <c r="W726" s="15">
        <v>5</v>
      </c>
      <c r="X726" s="15">
        <v>5</v>
      </c>
      <c r="Y726" s="15">
        <v>10</v>
      </c>
      <c r="Z726" s="4">
        <v>25</v>
      </c>
      <c r="AA726" s="26">
        <v>4</v>
      </c>
      <c r="AB726" s="7">
        <v>2.3917000000000002</v>
      </c>
      <c r="AC726" s="1" t="s">
        <v>3230</v>
      </c>
    </row>
    <row r="727" spans="1:29" x14ac:dyDescent="0.35">
      <c r="A727" s="1">
        <v>4045338</v>
      </c>
      <c r="B727" s="15">
        <v>0</v>
      </c>
      <c r="C727" s="15">
        <v>0</v>
      </c>
      <c r="D727" s="15">
        <v>0</v>
      </c>
      <c r="E727" s="15">
        <v>0</v>
      </c>
      <c r="F727" s="15">
        <v>0</v>
      </c>
      <c r="G727" s="15">
        <v>0</v>
      </c>
      <c r="H727" s="15">
        <v>0</v>
      </c>
      <c r="I727" s="15">
        <v>0</v>
      </c>
      <c r="J727" s="15">
        <v>0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5</v>
      </c>
      <c r="V727" s="15">
        <v>0</v>
      </c>
      <c r="W727" s="15">
        <v>5</v>
      </c>
      <c r="X727" s="15">
        <v>10</v>
      </c>
      <c r="Y727" s="15">
        <v>10</v>
      </c>
      <c r="Z727" s="4">
        <v>30</v>
      </c>
      <c r="AA727" s="26">
        <v>4</v>
      </c>
      <c r="AB727" s="7">
        <v>2.3805000000000001</v>
      </c>
      <c r="AC727" s="1" t="s">
        <v>3230</v>
      </c>
    </row>
    <row r="728" spans="1:29" x14ac:dyDescent="0.35">
      <c r="A728" s="1">
        <v>4045339</v>
      </c>
      <c r="B728" s="15">
        <v>0</v>
      </c>
      <c r="C728" s="15">
        <v>0</v>
      </c>
      <c r="D728" s="15">
        <v>0</v>
      </c>
      <c r="E728" s="15">
        <v>0</v>
      </c>
      <c r="F728" s="15">
        <v>0</v>
      </c>
      <c r="G728" s="15">
        <v>0</v>
      </c>
      <c r="H728" s="15">
        <v>0</v>
      </c>
      <c r="I728" s="15">
        <v>0</v>
      </c>
      <c r="J728" s="15">
        <v>0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  <c r="U728" s="15">
        <v>5</v>
      </c>
      <c r="V728" s="15">
        <v>0</v>
      </c>
      <c r="W728" s="15">
        <v>5</v>
      </c>
      <c r="X728" s="15">
        <v>10</v>
      </c>
      <c r="Y728" s="15">
        <v>10</v>
      </c>
      <c r="Z728" s="4">
        <v>30</v>
      </c>
      <c r="AA728" s="26">
        <v>4</v>
      </c>
      <c r="AB728" s="7">
        <v>2.3805000000000001</v>
      </c>
      <c r="AC728" s="1" t="s">
        <v>3230</v>
      </c>
    </row>
    <row r="729" spans="1:29" x14ac:dyDescent="0.35">
      <c r="A729" s="1">
        <v>4045370</v>
      </c>
      <c r="B729" s="15">
        <v>0</v>
      </c>
      <c r="C729" s="15">
        <v>0</v>
      </c>
      <c r="D729" s="15">
        <v>0</v>
      </c>
      <c r="E729" s="15">
        <v>0</v>
      </c>
      <c r="F729" s="15">
        <v>0</v>
      </c>
      <c r="G729" s="15">
        <v>0</v>
      </c>
      <c r="H729" s="15">
        <v>0</v>
      </c>
      <c r="I729" s="15">
        <v>0</v>
      </c>
      <c r="J729" s="15">
        <v>0</v>
      </c>
      <c r="K729" s="15">
        <v>0</v>
      </c>
      <c r="L729" s="15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0</v>
      </c>
      <c r="Y729" s="15">
        <v>4</v>
      </c>
      <c r="Z729" s="4">
        <v>4</v>
      </c>
      <c r="AA729" s="26">
        <v>1</v>
      </c>
      <c r="AB729" s="7">
        <v>4.7957999999999998</v>
      </c>
      <c r="AC729" s="1" t="s">
        <v>3230</v>
      </c>
    </row>
    <row r="730" spans="1:29" x14ac:dyDescent="0.35">
      <c r="A730" s="1">
        <v>4046091</v>
      </c>
      <c r="B730" s="15">
        <v>0</v>
      </c>
      <c r="C730" s="15">
        <v>0</v>
      </c>
      <c r="D730" s="15">
        <v>0</v>
      </c>
      <c r="E730" s="15">
        <v>0</v>
      </c>
      <c r="F730" s="15">
        <v>0</v>
      </c>
      <c r="G730" s="15">
        <v>0</v>
      </c>
      <c r="H730" s="15">
        <v>0</v>
      </c>
      <c r="I730" s="15">
        <v>0</v>
      </c>
      <c r="J730" s="15">
        <v>0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1</v>
      </c>
      <c r="W730" s="15">
        <v>0</v>
      </c>
      <c r="X730" s="15">
        <v>0</v>
      </c>
      <c r="Y730" s="15">
        <v>0</v>
      </c>
      <c r="Z730" s="4">
        <v>1</v>
      </c>
      <c r="AA730" s="26">
        <v>1</v>
      </c>
      <c r="AB730" s="7">
        <v>4.7957999999999998</v>
      </c>
      <c r="AC730" s="1" t="s">
        <v>3230</v>
      </c>
    </row>
    <row r="731" spans="1:29" x14ac:dyDescent="0.35">
      <c r="A731" s="1">
        <v>4046093</v>
      </c>
      <c r="B731" s="15">
        <v>0</v>
      </c>
      <c r="C731" s="15">
        <v>0</v>
      </c>
      <c r="D731" s="15">
        <v>0</v>
      </c>
      <c r="E731" s="15">
        <v>0</v>
      </c>
      <c r="F731" s="15">
        <v>0</v>
      </c>
      <c r="G731" s="15">
        <v>0</v>
      </c>
      <c r="H731" s="15">
        <v>0</v>
      </c>
      <c r="I731" s="15">
        <v>0</v>
      </c>
      <c r="J731" s="15">
        <v>0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3</v>
      </c>
      <c r="Z731" s="4">
        <v>3</v>
      </c>
      <c r="AA731" s="26">
        <v>1</v>
      </c>
      <c r="AB731" s="7">
        <v>4.7957999999999998</v>
      </c>
      <c r="AC731" s="1" t="s">
        <v>3230</v>
      </c>
    </row>
    <row r="732" spans="1:29" x14ac:dyDescent="0.35">
      <c r="A732" s="1">
        <v>4048468</v>
      </c>
      <c r="B732" s="15">
        <v>0</v>
      </c>
      <c r="C732" s="15">
        <v>0</v>
      </c>
      <c r="D732" s="15">
        <v>0</v>
      </c>
      <c r="E732" s="15">
        <v>0</v>
      </c>
      <c r="F732" s="15">
        <v>0</v>
      </c>
      <c r="G732" s="15">
        <v>0</v>
      </c>
      <c r="H732" s="15">
        <v>0</v>
      </c>
      <c r="I732" s="15">
        <v>0</v>
      </c>
      <c r="J732" s="15">
        <v>0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12</v>
      </c>
      <c r="Y732" s="15">
        <v>12</v>
      </c>
      <c r="Z732" s="4">
        <v>24</v>
      </c>
      <c r="AA732" s="26">
        <v>2</v>
      </c>
      <c r="AB732" s="7">
        <v>3.3166000000000002</v>
      </c>
      <c r="AC732" s="1" t="s">
        <v>3230</v>
      </c>
    </row>
  </sheetData>
  <autoFilter ref="A10:AC10" xr:uid="{CF89F283-2070-49B2-AFED-A166D3175670}"/>
  <mergeCells count="1">
    <mergeCell ref="A1:AC1"/>
  </mergeCells>
  <conditionalFormatting sqref="A11:AC732">
    <cfRule type="expression" dxfId="10" priority="3">
      <formula>MOD(ROW(),2)=1</formula>
    </cfRule>
  </conditionalFormatting>
  <conditionalFormatting sqref="AC11:AC732">
    <cfRule type="containsText" dxfId="9" priority="1" operator="containsText" text="NY_ARTIKKEL">
      <formula>NOT(ISERROR(SEARCH("NY_ARTIKKEL",AC11)))</formula>
    </cfRule>
    <cfRule type="containsText" dxfId="8" priority="2" operator="containsText" text="INAKTIV">
      <formula>NOT(ISERROR(SEARCH("INAKTIV",AC11)))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5EC2-39BA-4383-BBA0-FFDDCF52C301}">
  <dimension ref="A1:B13164"/>
  <sheetViews>
    <sheetView showGridLines="0" workbookViewId="0">
      <pane ySplit="10" topLeftCell="A11" activePane="bottomLeft" state="frozen"/>
      <selection pane="bottomLeft" activeCell="H33" sqref="H33"/>
    </sheetView>
  </sheetViews>
  <sheetFormatPr baseColWidth="10" defaultColWidth="8.90625" defaultRowHeight="14.5" x14ac:dyDescent="0.35"/>
  <cols>
    <col min="1" max="1" width="23" style="1" bestFit="1" customWidth="1"/>
    <col min="2" max="2" width="19.453125" style="1" customWidth="1"/>
    <col min="3" max="4" width="21" style="1" bestFit="1" customWidth="1"/>
    <col min="5" max="5" width="16" style="1" bestFit="1" customWidth="1"/>
    <col min="6" max="6" width="7" style="1" bestFit="1" customWidth="1"/>
    <col min="7" max="7" width="14" style="1" bestFit="1" customWidth="1"/>
    <col min="8" max="8" width="13" style="1" bestFit="1" customWidth="1"/>
    <col min="9" max="9" width="20" style="1" bestFit="1" customWidth="1"/>
    <col min="10" max="10" width="19" style="1" bestFit="1" customWidth="1"/>
    <col min="11" max="11" width="15" style="1" bestFit="1" customWidth="1"/>
    <col min="12" max="12" width="11" style="1" bestFit="1" customWidth="1"/>
    <col min="13" max="13" width="10" style="1" bestFit="1" customWidth="1"/>
    <col min="14" max="14" width="16" style="1" bestFit="1" customWidth="1"/>
    <col min="15" max="15" width="8" style="1" bestFit="1" customWidth="1"/>
    <col min="16" max="16" width="21" style="1" bestFit="1" customWidth="1"/>
    <col min="17" max="17" width="15" style="1" bestFit="1" customWidth="1"/>
    <col min="18" max="18" width="7" style="1" bestFit="1" customWidth="1"/>
    <col min="19" max="19" width="11" style="1" bestFit="1" customWidth="1"/>
    <col min="20" max="20" width="13" style="1" bestFit="1" customWidth="1"/>
    <col min="21" max="21" width="12" style="1" bestFit="1" customWidth="1"/>
    <col min="22" max="22" width="18" style="1" bestFit="1" customWidth="1"/>
    <col min="23" max="23" width="10" style="1" bestFit="1" customWidth="1"/>
    <col min="24" max="24" width="18" style="1" bestFit="1" customWidth="1"/>
    <col min="25" max="25" width="20" style="1" bestFit="1" customWidth="1"/>
    <col min="26" max="26" width="7" style="1" bestFit="1" customWidth="1"/>
    <col min="27" max="27" width="20" style="1" bestFit="1" customWidth="1"/>
    <col min="28" max="28" width="16" style="1" bestFit="1" customWidth="1"/>
    <col min="29" max="29" width="21" style="1" bestFit="1" customWidth="1"/>
    <col min="30" max="30" width="18" style="1" bestFit="1" customWidth="1"/>
    <col min="31" max="31" width="20" style="1" bestFit="1" customWidth="1"/>
    <col min="32" max="32" width="16" style="1" bestFit="1" customWidth="1"/>
    <col min="33" max="33" width="18" style="1" bestFit="1" customWidth="1"/>
    <col min="34" max="34" width="21" style="1" bestFit="1" customWidth="1"/>
    <col min="35" max="35" width="14" style="1" bestFit="1" customWidth="1"/>
    <col min="36" max="36" width="21" style="1" bestFit="1" customWidth="1"/>
    <col min="37" max="37" width="16" style="1" bestFit="1" customWidth="1"/>
    <col min="38" max="38" width="13" style="1" bestFit="1" customWidth="1"/>
    <col min="39" max="39" width="26" style="1" bestFit="1" customWidth="1"/>
    <col min="40" max="40" width="21" style="1" bestFit="1" customWidth="1"/>
    <col min="41" max="41" width="16" style="1" bestFit="1" customWidth="1"/>
    <col min="42" max="42" width="17" style="1" bestFit="1" customWidth="1"/>
    <col min="43" max="43" width="7" style="1" bestFit="1" customWidth="1"/>
    <col min="44" max="44" width="21" style="1" bestFit="1" customWidth="1"/>
    <col min="45" max="45" width="29" style="1" bestFit="1" customWidth="1"/>
    <col min="46" max="46" width="19" style="1" bestFit="1" customWidth="1"/>
    <col min="47" max="47" width="14" style="1" bestFit="1" customWidth="1"/>
    <col min="48" max="16384" width="8.90625" style="1"/>
  </cols>
  <sheetData>
    <row r="1" spans="1:2" ht="18.5" x14ac:dyDescent="0.35">
      <c r="A1" s="63" t="s">
        <v>3369</v>
      </c>
      <c r="B1" s="63"/>
    </row>
    <row r="3" spans="1:2" x14ac:dyDescent="0.35">
      <c r="A3" s="10" t="s">
        <v>3370</v>
      </c>
      <c r="B3" s="16">
        <f>COUNTA(A11:A13164)</f>
        <v>13154</v>
      </c>
    </row>
    <row r="4" spans="1:2" x14ac:dyDescent="0.35">
      <c r="A4" s="11" t="s">
        <v>3371</v>
      </c>
      <c r="B4" s="17">
        <f>COUNTA(A11:A13164)</f>
        <v>13154</v>
      </c>
    </row>
    <row r="5" spans="1:2" x14ac:dyDescent="0.35">
      <c r="A5" s="11" t="s">
        <v>3372</v>
      </c>
      <c r="B5" s="27">
        <f>MIN(A11:A13164)</f>
        <v>4500145151</v>
      </c>
    </row>
    <row r="6" spans="1:2" x14ac:dyDescent="0.35">
      <c r="A6" s="11" t="s">
        <v>3373</v>
      </c>
      <c r="B6" s="27">
        <f>MAX(A11:A13164)</f>
        <v>4500245516</v>
      </c>
    </row>
    <row r="7" spans="1:2" x14ac:dyDescent="0.35">
      <c r="A7" s="11" t="s">
        <v>3374</v>
      </c>
      <c r="B7" s="24">
        <f>B6-B5+1</f>
        <v>100366</v>
      </c>
    </row>
    <row r="8" spans="1:2" x14ac:dyDescent="0.35">
      <c r="A8" s="12" t="s">
        <v>3375</v>
      </c>
      <c r="B8" s="19" t="s">
        <v>32</v>
      </c>
    </row>
    <row r="10" spans="1:2" x14ac:dyDescent="0.35">
      <c r="A10" s="14" t="s">
        <v>3231</v>
      </c>
    </row>
    <row r="11" spans="1:2" x14ac:dyDescent="0.35">
      <c r="A11" s="4">
        <v>4500145151</v>
      </c>
    </row>
    <row r="12" spans="1:2" x14ac:dyDescent="0.35">
      <c r="A12" s="4">
        <v>4500145156</v>
      </c>
    </row>
    <row r="13" spans="1:2" x14ac:dyDescent="0.35">
      <c r="A13" s="4">
        <v>4500145159</v>
      </c>
    </row>
    <row r="14" spans="1:2" x14ac:dyDescent="0.35">
      <c r="A14" s="4">
        <v>4500145163</v>
      </c>
    </row>
    <row r="15" spans="1:2" x14ac:dyDescent="0.35">
      <c r="A15" s="4">
        <v>4500145167</v>
      </c>
    </row>
    <row r="16" spans="1:2" x14ac:dyDescent="0.35">
      <c r="A16" s="4">
        <v>4500145171</v>
      </c>
    </row>
    <row r="17" spans="1:1" x14ac:dyDescent="0.35">
      <c r="A17" s="4">
        <v>4500145175</v>
      </c>
    </row>
    <row r="18" spans="1:1" x14ac:dyDescent="0.35">
      <c r="A18" s="4">
        <v>4500145178</v>
      </c>
    </row>
    <row r="19" spans="1:1" x14ac:dyDescent="0.35">
      <c r="A19" s="4">
        <v>4500145182</v>
      </c>
    </row>
    <row r="20" spans="1:1" x14ac:dyDescent="0.35">
      <c r="A20" s="4">
        <v>4500145187</v>
      </c>
    </row>
    <row r="21" spans="1:1" x14ac:dyDescent="0.35">
      <c r="A21" s="4">
        <v>4500145191</v>
      </c>
    </row>
    <row r="22" spans="1:1" x14ac:dyDescent="0.35">
      <c r="A22" s="4">
        <v>4500145197</v>
      </c>
    </row>
    <row r="23" spans="1:1" x14ac:dyDescent="0.35">
      <c r="A23" s="4">
        <v>4500145204</v>
      </c>
    </row>
    <row r="24" spans="1:1" x14ac:dyDescent="0.35">
      <c r="A24" s="4">
        <v>4500145206</v>
      </c>
    </row>
    <row r="25" spans="1:1" x14ac:dyDescent="0.35">
      <c r="A25" s="4">
        <v>4500145209</v>
      </c>
    </row>
    <row r="26" spans="1:1" x14ac:dyDescent="0.35">
      <c r="A26" s="4">
        <v>4500145213</v>
      </c>
    </row>
    <row r="27" spans="1:1" x14ac:dyDescent="0.35">
      <c r="A27" s="4">
        <v>4500145216</v>
      </c>
    </row>
    <row r="28" spans="1:1" x14ac:dyDescent="0.35">
      <c r="A28" s="4">
        <v>4500145218</v>
      </c>
    </row>
    <row r="29" spans="1:1" x14ac:dyDescent="0.35">
      <c r="A29" s="4">
        <v>4500145220</v>
      </c>
    </row>
    <row r="30" spans="1:1" x14ac:dyDescent="0.35">
      <c r="A30" s="4">
        <v>4500145221</v>
      </c>
    </row>
    <row r="31" spans="1:1" x14ac:dyDescent="0.35">
      <c r="A31" s="4">
        <v>4500145223</v>
      </c>
    </row>
    <row r="32" spans="1:1" x14ac:dyDescent="0.35">
      <c r="A32" s="4">
        <v>4500145225</v>
      </c>
    </row>
    <row r="33" spans="1:1" x14ac:dyDescent="0.35">
      <c r="A33" s="4">
        <v>4500145226</v>
      </c>
    </row>
    <row r="34" spans="1:1" x14ac:dyDescent="0.35">
      <c r="A34" s="4">
        <v>4500145228</v>
      </c>
    </row>
    <row r="35" spans="1:1" x14ac:dyDescent="0.35">
      <c r="A35" s="4">
        <v>4500145230</v>
      </c>
    </row>
    <row r="36" spans="1:1" x14ac:dyDescent="0.35">
      <c r="A36" s="4">
        <v>4500145232</v>
      </c>
    </row>
    <row r="37" spans="1:1" x14ac:dyDescent="0.35">
      <c r="A37" s="4">
        <v>4500145285</v>
      </c>
    </row>
    <row r="38" spans="1:1" x14ac:dyDescent="0.35">
      <c r="A38" s="4">
        <v>4500145288</v>
      </c>
    </row>
    <row r="39" spans="1:1" x14ac:dyDescent="0.35">
      <c r="A39" s="4">
        <v>4500145296</v>
      </c>
    </row>
    <row r="40" spans="1:1" x14ac:dyDescent="0.35">
      <c r="A40" s="4">
        <v>4500145300</v>
      </c>
    </row>
    <row r="41" spans="1:1" x14ac:dyDescent="0.35">
      <c r="A41" s="4">
        <v>4500145306</v>
      </c>
    </row>
    <row r="42" spans="1:1" x14ac:dyDescent="0.35">
      <c r="A42" s="4">
        <v>4500145308</v>
      </c>
    </row>
    <row r="43" spans="1:1" x14ac:dyDescent="0.35">
      <c r="A43" s="4">
        <v>4500145311</v>
      </c>
    </row>
    <row r="44" spans="1:1" x14ac:dyDescent="0.35">
      <c r="A44" s="4">
        <v>4500145316</v>
      </c>
    </row>
    <row r="45" spans="1:1" x14ac:dyDescent="0.35">
      <c r="A45" s="4">
        <v>4500145319</v>
      </c>
    </row>
    <row r="46" spans="1:1" x14ac:dyDescent="0.35">
      <c r="A46" s="4">
        <v>4500145321</v>
      </c>
    </row>
    <row r="47" spans="1:1" x14ac:dyDescent="0.35">
      <c r="A47" s="4">
        <v>4500145328</v>
      </c>
    </row>
    <row r="48" spans="1:1" x14ac:dyDescent="0.35">
      <c r="A48" s="4">
        <v>4500145337</v>
      </c>
    </row>
    <row r="49" spans="1:1" x14ac:dyDescent="0.35">
      <c r="A49" s="4">
        <v>4500145339</v>
      </c>
    </row>
    <row r="50" spans="1:1" x14ac:dyDescent="0.35">
      <c r="A50" s="4">
        <v>4500145342</v>
      </c>
    </row>
    <row r="51" spans="1:1" x14ac:dyDescent="0.35">
      <c r="A51" s="4">
        <v>4500145346</v>
      </c>
    </row>
    <row r="52" spans="1:1" x14ac:dyDescent="0.35">
      <c r="A52" s="4">
        <v>4500145355</v>
      </c>
    </row>
    <row r="53" spans="1:1" x14ac:dyDescent="0.35">
      <c r="A53" s="4">
        <v>4500145363</v>
      </c>
    </row>
    <row r="54" spans="1:1" x14ac:dyDescent="0.35">
      <c r="A54" s="4">
        <v>4500145369</v>
      </c>
    </row>
    <row r="55" spans="1:1" x14ac:dyDescent="0.35">
      <c r="A55" s="4">
        <v>4500145372</v>
      </c>
    </row>
    <row r="56" spans="1:1" x14ac:dyDescent="0.35">
      <c r="A56" s="4">
        <v>4500145377</v>
      </c>
    </row>
    <row r="57" spans="1:1" x14ac:dyDescent="0.35">
      <c r="A57" s="4">
        <v>4500145379</v>
      </c>
    </row>
    <row r="58" spans="1:1" x14ac:dyDescent="0.35">
      <c r="A58" s="4">
        <v>4500145382</v>
      </c>
    </row>
    <row r="59" spans="1:1" x14ac:dyDescent="0.35">
      <c r="A59" s="4">
        <v>4500145384</v>
      </c>
    </row>
    <row r="60" spans="1:1" x14ac:dyDescent="0.35">
      <c r="A60" s="4">
        <v>4500145393</v>
      </c>
    </row>
    <row r="61" spans="1:1" x14ac:dyDescent="0.35">
      <c r="A61" s="4">
        <v>4500145398</v>
      </c>
    </row>
    <row r="62" spans="1:1" x14ac:dyDescent="0.35">
      <c r="A62" s="4">
        <v>4500145474</v>
      </c>
    </row>
    <row r="63" spans="1:1" x14ac:dyDescent="0.35">
      <c r="A63" s="4">
        <v>4500145498</v>
      </c>
    </row>
    <row r="64" spans="1:1" x14ac:dyDescent="0.35">
      <c r="A64" s="4">
        <v>4500145504</v>
      </c>
    </row>
    <row r="65" spans="1:1" x14ac:dyDescent="0.35">
      <c r="A65" s="4">
        <v>4500145510</v>
      </c>
    </row>
    <row r="66" spans="1:1" x14ac:dyDescent="0.35">
      <c r="A66" s="4">
        <v>4500145513</v>
      </c>
    </row>
    <row r="67" spans="1:1" x14ac:dyDescent="0.35">
      <c r="A67" s="4">
        <v>4500145519</v>
      </c>
    </row>
    <row r="68" spans="1:1" x14ac:dyDescent="0.35">
      <c r="A68" s="4">
        <v>4500145525</v>
      </c>
    </row>
    <row r="69" spans="1:1" x14ac:dyDescent="0.35">
      <c r="A69" s="4">
        <v>4500145530</v>
      </c>
    </row>
    <row r="70" spans="1:1" x14ac:dyDescent="0.35">
      <c r="A70" s="4">
        <v>4500145534</v>
      </c>
    </row>
    <row r="71" spans="1:1" x14ac:dyDescent="0.35">
      <c r="A71" s="4">
        <v>4500145542</v>
      </c>
    </row>
    <row r="72" spans="1:1" x14ac:dyDescent="0.35">
      <c r="A72" s="4">
        <v>4500145545</v>
      </c>
    </row>
    <row r="73" spans="1:1" x14ac:dyDescent="0.35">
      <c r="A73" s="4">
        <v>4500145558</v>
      </c>
    </row>
    <row r="74" spans="1:1" x14ac:dyDescent="0.35">
      <c r="A74" s="4">
        <v>4500145561</v>
      </c>
    </row>
    <row r="75" spans="1:1" x14ac:dyDescent="0.35">
      <c r="A75" s="4">
        <v>4500145566</v>
      </c>
    </row>
    <row r="76" spans="1:1" x14ac:dyDescent="0.35">
      <c r="A76" s="4">
        <v>4500145572</v>
      </c>
    </row>
    <row r="77" spans="1:1" x14ac:dyDescent="0.35">
      <c r="A77" s="4">
        <v>4500145576</v>
      </c>
    </row>
    <row r="78" spans="1:1" x14ac:dyDescent="0.35">
      <c r="A78" s="4">
        <v>4500145581</v>
      </c>
    </row>
    <row r="79" spans="1:1" x14ac:dyDescent="0.35">
      <c r="A79" s="4">
        <v>4500145585</v>
      </c>
    </row>
    <row r="80" spans="1:1" x14ac:dyDescent="0.35">
      <c r="A80" s="4">
        <v>4500145589</v>
      </c>
    </row>
    <row r="81" spans="1:1" x14ac:dyDescent="0.35">
      <c r="A81" s="4">
        <v>4500145591</v>
      </c>
    </row>
    <row r="82" spans="1:1" x14ac:dyDescent="0.35">
      <c r="A82" s="4">
        <v>4500145593</v>
      </c>
    </row>
    <row r="83" spans="1:1" x14ac:dyDescent="0.35">
      <c r="A83" s="4">
        <v>4500145596</v>
      </c>
    </row>
    <row r="84" spans="1:1" x14ac:dyDescent="0.35">
      <c r="A84" s="4">
        <v>4500145597</v>
      </c>
    </row>
    <row r="85" spans="1:1" x14ac:dyDescent="0.35">
      <c r="A85" s="4">
        <v>4500145601</v>
      </c>
    </row>
    <row r="86" spans="1:1" x14ac:dyDescent="0.35">
      <c r="A86" s="4">
        <v>4500145609</v>
      </c>
    </row>
    <row r="87" spans="1:1" x14ac:dyDescent="0.35">
      <c r="A87" s="4">
        <v>4500145611</v>
      </c>
    </row>
    <row r="88" spans="1:1" x14ac:dyDescent="0.35">
      <c r="A88" s="4">
        <v>4500145612</v>
      </c>
    </row>
    <row r="89" spans="1:1" x14ac:dyDescent="0.35">
      <c r="A89" s="4">
        <v>4500145613</v>
      </c>
    </row>
    <row r="90" spans="1:1" x14ac:dyDescent="0.35">
      <c r="A90" s="4">
        <v>4500145628</v>
      </c>
    </row>
    <row r="91" spans="1:1" x14ac:dyDescent="0.35">
      <c r="A91" s="4">
        <v>4500145690</v>
      </c>
    </row>
    <row r="92" spans="1:1" x14ac:dyDescent="0.35">
      <c r="A92" s="4">
        <v>4500145704</v>
      </c>
    </row>
    <row r="93" spans="1:1" x14ac:dyDescent="0.35">
      <c r="A93" s="4">
        <v>4500145709</v>
      </c>
    </row>
    <row r="94" spans="1:1" x14ac:dyDescent="0.35">
      <c r="A94" s="4">
        <v>4500145711</v>
      </c>
    </row>
    <row r="95" spans="1:1" x14ac:dyDescent="0.35">
      <c r="A95" s="4">
        <v>4500145724</v>
      </c>
    </row>
    <row r="96" spans="1:1" x14ac:dyDescent="0.35">
      <c r="A96" s="4">
        <v>4500145729</v>
      </c>
    </row>
    <row r="97" spans="1:1" x14ac:dyDescent="0.35">
      <c r="A97" s="4">
        <v>4500145733</v>
      </c>
    </row>
    <row r="98" spans="1:1" x14ac:dyDescent="0.35">
      <c r="A98" s="4">
        <v>4500145736</v>
      </c>
    </row>
    <row r="99" spans="1:1" x14ac:dyDescent="0.35">
      <c r="A99" s="4">
        <v>4500145750</v>
      </c>
    </row>
    <row r="100" spans="1:1" x14ac:dyDescent="0.35">
      <c r="A100" s="4">
        <v>4500145754</v>
      </c>
    </row>
    <row r="101" spans="1:1" x14ac:dyDescent="0.35">
      <c r="A101" s="4">
        <v>4500145757</v>
      </c>
    </row>
    <row r="102" spans="1:1" x14ac:dyDescent="0.35">
      <c r="A102" s="4">
        <v>4500145768</v>
      </c>
    </row>
    <row r="103" spans="1:1" x14ac:dyDescent="0.35">
      <c r="A103" s="4">
        <v>4500145773</v>
      </c>
    </row>
    <row r="104" spans="1:1" x14ac:dyDescent="0.35">
      <c r="A104" s="4">
        <v>4500145779</v>
      </c>
    </row>
    <row r="105" spans="1:1" x14ac:dyDescent="0.35">
      <c r="A105" s="4">
        <v>4500145784</v>
      </c>
    </row>
    <row r="106" spans="1:1" x14ac:dyDescent="0.35">
      <c r="A106" s="4">
        <v>4500145789</v>
      </c>
    </row>
    <row r="107" spans="1:1" x14ac:dyDescent="0.35">
      <c r="A107" s="4">
        <v>4500145798</v>
      </c>
    </row>
    <row r="108" spans="1:1" x14ac:dyDescent="0.35">
      <c r="A108" s="4">
        <v>4500145800</v>
      </c>
    </row>
    <row r="109" spans="1:1" x14ac:dyDescent="0.35">
      <c r="A109" s="4">
        <v>4500145802</v>
      </c>
    </row>
    <row r="110" spans="1:1" x14ac:dyDescent="0.35">
      <c r="A110" s="4">
        <v>4500145804</v>
      </c>
    </row>
    <row r="111" spans="1:1" x14ac:dyDescent="0.35">
      <c r="A111" s="4">
        <v>4500145805</v>
      </c>
    </row>
    <row r="112" spans="1:1" x14ac:dyDescent="0.35">
      <c r="A112" s="4">
        <v>4500145807</v>
      </c>
    </row>
    <row r="113" spans="1:1" x14ac:dyDescent="0.35">
      <c r="A113" s="4">
        <v>4500145808</v>
      </c>
    </row>
    <row r="114" spans="1:1" x14ac:dyDescent="0.35">
      <c r="A114" s="4">
        <v>4500145809</v>
      </c>
    </row>
    <row r="115" spans="1:1" x14ac:dyDescent="0.35">
      <c r="A115" s="4">
        <v>4500145810</v>
      </c>
    </row>
    <row r="116" spans="1:1" x14ac:dyDescent="0.35">
      <c r="A116" s="4">
        <v>4500145811</v>
      </c>
    </row>
    <row r="117" spans="1:1" x14ac:dyDescent="0.35">
      <c r="A117" s="4">
        <v>4500145813</v>
      </c>
    </row>
    <row r="118" spans="1:1" x14ac:dyDescent="0.35">
      <c r="A118" s="4">
        <v>4500145868</v>
      </c>
    </row>
    <row r="119" spans="1:1" x14ac:dyDescent="0.35">
      <c r="A119" s="4">
        <v>4500145873</v>
      </c>
    </row>
    <row r="120" spans="1:1" x14ac:dyDescent="0.35">
      <c r="A120" s="4">
        <v>4500145879</v>
      </c>
    </row>
    <row r="121" spans="1:1" x14ac:dyDescent="0.35">
      <c r="A121" s="4">
        <v>4500145884</v>
      </c>
    </row>
    <row r="122" spans="1:1" x14ac:dyDescent="0.35">
      <c r="A122" s="4">
        <v>4500145886</v>
      </c>
    </row>
    <row r="123" spans="1:1" x14ac:dyDescent="0.35">
      <c r="A123" s="4">
        <v>4500145897</v>
      </c>
    </row>
    <row r="124" spans="1:1" x14ac:dyDescent="0.35">
      <c r="A124" s="4">
        <v>4500145900</v>
      </c>
    </row>
    <row r="125" spans="1:1" x14ac:dyDescent="0.35">
      <c r="A125" s="4">
        <v>4500145914</v>
      </c>
    </row>
    <row r="126" spans="1:1" x14ac:dyDescent="0.35">
      <c r="A126" s="4">
        <v>4500145922</v>
      </c>
    </row>
    <row r="127" spans="1:1" x14ac:dyDescent="0.35">
      <c r="A127" s="4">
        <v>4500145930</v>
      </c>
    </row>
    <row r="128" spans="1:1" x14ac:dyDescent="0.35">
      <c r="A128" s="4">
        <v>4500145961</v>
      </c>
    </row>
    <row r="129" spans="1:1" x14ac:dyDescent="0.35">
      <c r="A129" s="4">
        <v>4500145966</v>
      </c>
    </row>
    <row r="130" spans="1:1" x14ac:dyDescent="0.35">
      <c r="A130" s="4">
        <v>4500145968</v>
      </c>
    </row>
    <row r="131" spans="1:1" x14ac:dyDescent="0.35">
      <c r="A131" s="4">
        <v>4500145972</v>
      </c>
    </row>
    <row r="132" spans="1:1" x14ac:dyDescent="0.35">
      <c r="A132" s="4">
        <v>4500145979</v>
      </c>
    </row>
    <row r="133" spans="1:1" x14ac:dyDescent="0.35">
      <c r="A133" s="4">
        <v>4500145981</v>
      </c>
    </row>
    <row r="134" spans="1:1" x14ac:dyDescent="0.35">
      <c r="A134" s="4">
        <v>4500145983</v>
      </c>
    </row>
    <row r="135" spans="1:1" x14ac:dyDescent="0.35">
      <c r="A135" s="4">
        <v>4500145987</v>
      </c>
    </row>
    <row r="136" spans="1:1" x14ac:dyDescent="0.35">
      <c r="A136" s="4">
        <v>4500145991</v>
      </c>
    </row>
    <row r="137" spans="1:1" x14ac:dyDescent="0.35">
      <c r="A137" s="4">
        <v>4500145993</v>
      </c>
    </row>
    <row r="138" spans="1:1" x14ac:dyDescent="0.35">
      <c r="A138" s="4">
        <v>4500145995</v>
      </c>
    </row>
    <row r="139" spans="1:1" x14ac:dyDescent="0.35">
      <c r="A139" s="4">
        <v>4500145998</v>
      </c>
    </row>
    <row r="140" spans="1:1" x14ac:dyDescent="0.35">
      <c r="A140" s="4">
        <v>4500146000</v>
      </c>
    </row>
    <row r="141" spans="1:1" x14ac:dyDescent="0.35">
      <c r="A141" s="4">
        <v>4500146002</v>
      </c>
    </row>
    <row r="142" spans="1:1" x14ac:dyDescent="0.35">
      <c r="A142" s="4">
        <v>4500146004</v>
      </c>
    </row>
    <row r="143" spans="1:1" x14ac:dyDescent="0.35">
      <c r="A143" s="4">
        <v>4500146007</v>
      </c>
    </row>
    <row r="144" spans="1:1" x14ac:dyDescent="0.35">
      <c r="A144" s="4">
        <v>4500146011</v>
      </c>
    </row>
    <row r="145" spans="1:1" x14ac:dyDescent="0.35">
      <c r="A145" s="4">
        <v>4500146013</v>
      </c>
    </row>
    <row r="146" spans="1:1" x14ac:dyDescent="0.35">
      <c r="A146" s="4">
        <v>4500146015</v>
      </c>
    </row>
    <row r="147" spans="1:1" x14ac:dyDescent="0.35">
      <c r="A147" s="4">
        <v>4500146018</v>
      </c>
    </row>
    <row r="148" spans="1:1" x14ac:dyDescent="0.35">
      <c r="A148" s="4">
        <v>4500146020</v>
      </c>
    </row>
    <row r="149" spans="1:1" x14ac:dyDescent="0.35">
      <c r="A149" s="4">
        <v>4500146023</v>
      </c>
    </row>
    <row r="150" spans="1:1" x14ac:dyDescent="0.35">
      <c r="A150" s="4">
        <v>4500146024</v>
      </c>
    </row>
    <row r="151" spans="1:1" x14ac:dyDescent="0.35">
      <c r="A151" s="4">
        <v>4500146025</v>
      </c>
    </row>
    <row r="152" spans="1:1" x14ac:dyDescent="0.35">
      <c r="A152" s="4">
        <v>4500146026</v>
      </c>
    </row>
    <row r="153" spans="1:1" x14ac:dyDescent="0.35">
      <c r="A153" s="4">
        <v>4500146089</v>
      </c>
    </row>
    <row r="154" spans="1:1" x14ac:dyDescent="0.35">
      <c r="A154" s="4">
        <v>4500146104</v>
      </c>
    </row>
    <row r="155" spans="1:1" x14ac:dyDescent="0.35">
      <c r="A155" s="4">
        <v>4500146120</v>
      </c>
    </row>
    <row r="156" spans="1:1" x14ac:dyDescent="0.35">
      <c r="A156" s="4">
        <v>4500146126</v>
      </c>
    </row>
    <row r="157" spans="1:1" x14ac:dyDescent="0.35">
      <c r="A157" s="4">
        <v>4500146131</v>
      </c>
    </row>
    <row r="158" spans="1:1" x14ac:dyDescent="0.35">
      <c r="A158" s="4">
        <v>4500146134</v>
      </c>
    </row>
    <row r="159" spans="1:1" x14ac:dyDescent="0.35">
      <c r="A159" s="4">
        <v>4500146142</v>
      </c>
    </row>
    <row r="160" spans="1:1" x14ac:dyDescent="0.35">
      <c r="A160" s="4">
        <v>4500146144</v>
      </c>
    </row>
    <row r="161" spans="1:1" x14ac:dyDescent="0.35">
      <c r="A161" s="4">
        <v>4500146161</v>
      </c>
    </row>
    <row r="162" spans="1:1" x14ac:dyDescent="0.35">
      <c r="A162" s="4">
        <v>4500146166</v>
      </c>
    </row>
    <row r="163" spans="1:1" x14ac:dyDescent="0.35">
      <c r="A163" s="4">
        <v>4500146174</v>
      </c>
    </row>
    <row r="164" spans="1:1" x14ac:dyDescent="0.35">
      <c r="A164" s="4">
        <v>4500146179</v>
      </c>
    </row>
    <row r="165" spans="1:1" x14ac:dyDescent="0.35">
      <c r="A165" s="4">
        <v>4500146181</v>
      </c>
    </row>
    <row r="166" spans="1:1" x14ac:dyDescent="0.35">
      <c r="A166" s="4">
        <v>4500146188</v>
      </c>
    </row>
    <row r="167" spans="1:1" x14ac:dyDescent="0.35">
      <c r="A167" s="4">
        <v>4500146196</v>
      </c>
    </row>
    <row r="168" spans="1:1" x14ac:dyDescent="0.35">
      <c r="A168" s="4">
        <v>4500146201</v>
      </c>
    </row>
    <row r="169" spans="1:1" x14ac:dyDescent="0.35">
      <c r="A169" s="4">
        <v>4500146209</v>
      </c>
    </row>
    <row r="170" spans="1:1" x14ac:dyDescent="0.35">
      <c r="A170" s="4">
        <v>4500146211</v>
      </c>
    </row>
    <row r="171" spans="1:1" x14ac:dyDescent="0.35">
      <c r="A171" s="4">
        <v>4500146213</v>
      </c>
    </row>
    <row r="172" spans="1:1" x14ac:dyDescent="0.35">
      <c r="A172" s="4">
        <v>4500146214</v>
      </c>
    </row>
    <row r="173" spans="1:1" x14ac:dyDescent="0.35">
      <c r="A173" s="4">
        <v>4500146216</v>
      </c>
    </row>
    <row r="174" spans="1:1" x14ac:dyDescent="0.35">
      <c r="A174" s="4">
        <v>4500146218</v>
      </c>
    </row>
    <row r="175" spans="1:1" x14ac:dyDescent="0.35">
      <c r="A175" s="4">
        <v>4500146220</v>
      </c>
    </row>
    <row r="176" spans="1:1" x14ac:dyDescent="0.35">
      <c r="A176" s="4">
        <v>4500146295</v>
      </c>
    </row>
    <row r="177" spans="1:1" x14ac:dyDescent="0.35">
      <c r="A177" s="4">
        <v>4500146305</v>
      </c>
    </row>
    <row r="178" spans="1:1" x14ac:dyDescent="0.35">
      <c r="A178" s="4">
        <v>4500146307</v>
      </c>
    </row>
    <row r="179" spans="1:1" x14ac:dyDescent="0.35">
      <c r="A179" s="4">
        <v>4500146309</v>
      </c>
    </row>
    <row r="180" spans="1:1" x14ac:dyDescent="0.35">
      <c r="A180" s="4">
        <v>4500146313</v>
      </c>
    </row>
    <row r="181" spans="1:1" x14ac:dyDescent="0.35">
      <c r="A181" s="4">
        <v>4500146318</v>
      </c>
    </row>
    <row r="182" spans="1:1" x14ac:dyDescent="0.35">
      <c r="A182" s="4">
        <v>4500146323</v>
      </c>
    </row>
    <row r="183" spans="1:1" x14ac:dyDescent="0.35">
      <c r="A183" s="4">
        <v>4500146326</v>
      </c>
    </row>
    <row r="184" spans="1:1" x14ac:dyDescent="0.35">
      <c r="A184" s="4">
        <v>4500146330</v>
      </c>
    </row>
    <row r="185" spans="1:1" x14ac:dyDescent="0.35">
      <c r="A185" s="4">
        <v>4500146339</v>
      </c>
    </row>
    <row r="186" spans="1:1" x14ac:dyDescent="0.35">
      <c r="A186" s="4">
        <v>4500146347</v>
      </c>
    </row>
    <row r="187" spans="1:1" x14ac:dyDescent="0.35">
      <c r="A187" s="4">
        <v>4500146354</v>
      </c>
    </row>
    <row r="188" spans="1:1" x14ac:dyDescent="0.35">
      <c r="A188" s="4">
        <v>4500146359</v>
      </c>
    </row>
    <row r="189" spans="1:1" x14ac:dyDescent="0.35">
      <c r="A189" s="4">
        <v>4500146366</v>
      </c>
    </row>
    <row r="190" spans="1:1" x14ac:dyDescent="0.35">
      <c r="A190" s="4">
        <v>4500146372</v>
      </c>
    </row>
    <row r="191" spans="1:1" x14ac:dyDescent="0.35">
      <c r="A191" s="4">
        <v>4500146375</v>
      </c>
    </row>
    <row r="192" spans="1:1" x14ac:dyDescent="0.35">
      <c r="A192" s="4">
        <v>4500146382</v>
      </c>
    </row>
    <row r="193" spans="1:1" x14ac:dyDescent="0.35">
      <c r="A193" s="4">
        <v>4500146386</v>
      </c>
    </row>
    <row r="194" spans="1:1" x14ac:dyDescent="0.35">
      <c r="A194" s="4">
        <v>4500146391</v>
      </c>
    </row>
    <row r="195" spans="1:1" x14ac:dyDescent="0.35">
      <c r="A195" s="4">
        <v>4500146393</v>
      </c>
    </row>
    <row r="196" spans="1:1" x14ac:dyDescent="0.35">
      <c r="A196" s="4">
        <v>4500146396</v>
      </c>
    </row>
    <row r="197" spans="1:1" x14ac:dyDescent="0.35">
      <c r="A197" s="4">
        <v>4500146400</v>
      </c>
    </row>
    <row r="198" spans="1:1" x14ac:dyDescent="0.35">
      <c r="A198" s="4">
        <v>4500146405</v>
      </c>
    </row>
    <row r="199" spans="1:1" x14ac:dyDescent="0.35">
      <c r="A199" s="4">
        <v>4500146408</v>
      </c>
    </row>
    <row r="200" spans="1:1" x14ac:dyDescent="0.35">
      <c r="A200" s="4">
        <v>4500146410</v>
      </c>
    </row>
    <row r="201" spans="1:1" x14ac:dyDescent="0.35">
      <c r="A201" s="4">
        <v>4500146413</v>
      </c>
    </row>
    <row r="202" spans="1:1" x14ac:dyDescent="0.35">
      <c r="A202" s="4">
        <v>4500146416</v>
      </c>
    </row>
    <row r="203" spans="1:1" x14ac:dyDescent="0.35">
      <c r="A203" s="4">
        <v>4500146418</v>
      </c>
    </row>
    <row r="204" spans="1:1" x14ac:dyDescent="0.35">
      <c r="A204" s="4">
        <v>4500146420</v>
      </c>
    </row>
    <row r="205" spans="1:1" x14ac:dyDescent="0.35">
      <c r="A205" s="4">
        <v>4500146422</v>
      </c>
    </row>
    <row r="206" spans="1:1" x14ac:dyDescent="0.35">
      <c r="A206" s="4">
        <v>4500146425</v>
      </c>
    </row>
    <row r="207" spans="1:1" x14ac:dyDescent="0.35">
      <c r="A207" s="4">
        <v>4500146426</v>
      </c>
    </row>
    <row r="208" spans="1:1" x14ac:dyDescent="0.35">
      <c r="A208" s="4">
        <v>4500146435</v>
      </c>
    </row>
    <row r="209" spans="1:1" x14ac:dyDescent="0.35">
      <c r="A209" s="4">
        <v>4500146440</v>
      </c>
    </row>
    <row r="210" spans="1:1" x14ac:dyDescent="0.35">
      <c r="A210" s="4">
        <v>4500146441</v>
      </c>
    </row>
    <row r="211" spans="1:1" x14ac:dyDescent="0.35">
      <c r="A211" s="4">
        <v>4500146442</v>
      </c>
    </row>
    <row r="212" spans="1:1" x14ac:dyDescent="0.35">
      <c r="A212" s="4">
        <v>4500146443</v>
      </c>
    </row>
    <row r="213" spans="1:1" x14ac:dyDescent="0.35">
      <c r="A213" s="4">
        <v>4500146444</v>
      </c>
    </row>
    <row r="214" spans="1:1" x14ac:dyDescent="0.35">
      <c r="A214" s="4">
        <v>4500146492</v>
      </c>
    </row>
    <row r="215" spans="1:1" x14ac:dyDescent="0.35">
      <c r="A215" s="4">
        <v>4500146499</v>
      </c>
    </row>
    <row r="216" spans="1:1" x14ac:dyDescent="0.35">
      <c r="A216" s="4">
        <v>4500146509</v>
      </c>
    </row>
    <row r="217" spans="1:1" x14ac:dyDescent="0.35">
      <c r="A217" s="4">
        <v>4500146516</v>
      </c>
    </row>
    <row r="218" spans="1:1" x14ac:dyDescent="0.35">
      <c r="A218" s="4">
        <v>4500146526</v>
      </c>
    </row>
    <row r="219" spans="1:1" x14ac:dyDescent="0.35">
      <c r="A219" s="4">
        <v>4500146531</v>
      </c>
    </row>
    <row r="220" spans="1:1" x14ac:dyDescent="0.35">
      <c r="A220" s="4">
        <v>4500146534</v>
      </c>
    </row>
    <row r="221" spans="1:1" x14ac:dyDescent="0.35">
      <c r="A221" s="4">
        <v>4500146541</v>
      </c>
    </row>
    <row r="222" spans="1:1" x14ac:dyDescent="0.35">
      <c r="A222" s="4">
        <v>4500146544</v>
      </c>
    </row>
    <row r="223" spans="1:1" x14ac:dyDescent="0.35">
      <c r="A223" s="4">
        <v>4500146549</v>
      </c>
    </row>
    <row r="224" spans="1:1" x14ac:dyDescent="0.35">
      <c r="A224" s="4">
        <v>4500146551</v>
      </c>
    </row>
    <row r="225" spans="1:1" x14ac:dyDescent="0.35">
      <c r="A225" s="4">
        <v>4500146570</v>
      </c>
    </row>
    <row r="226" spans="1:1" x14ac:dyDescent="0.35">
      <c r="A226" s="4">
        <v>4500146574</v>
      </c>
    </row>
    <row r="227" spans="1:1" x14ac:dyDescent="0.35">
      <c r="A227" s="4">
        <v>4500146578</v>
      </c>
    </row>
    <row r="228" spans="1:1" x14ac:dyDescent="0.35">
      <c r="A228" s="4">
        <v>4500146581</v>
      </c>
    </row>
    <row r="229" spans="1:1" x14ac:dyDescent="0.35">
      <c r="A229" s="4">
        <v>4500146584</v>
      </c>
    </row>
    <row r="230" spans="1:1" x14ac:dyDescent="0.35">
      <c r="A230" s="4">
        <v>4500146586</v>
      </c>
    </row>
    <row r="231" spans="1:1" x14ac:dyDescent="0.35">
      <c r="A231" s="4">
        <v>4500146590</v>
      </c>
    </row>
    <row r="232" spans="1:1" x14ac:dyDescent="0.35">
      <c r="A232" s="4">
        <v>4500146595</v>
      </c>
    </row>
    <row r="233" spans="1:1" x14ac:dyDescent="0.35">
      <c r="A233" s="4">
        <v>4500146599</v>
      </c>
    </row>
    <row r="234" spans="1:1" x14ac:dyDescent="0.35">
      <c r="A234" s="4">
        <v>4500146601</v>
      </c>
    </row>
    <row r="235" spans="1:1" x14ac:dyDescent="0.35">
      <c r="A235" s="4">
        <v>4500146604</v>
      </c>
    </row>
    <row r="236" spans="1:1" x14ac:dyDescent="0.35">
      <c r="A236" s="4">
        <v>4500146609</v>
      </c>
    </row>
    <row r="237" spans="1:1" x14ac:dyDescent="0.35">
      <c r="A237" s="4">
        <v>4500146612</v>
      </c>
    </row>
    <row r="238" spans="1:1" x14ac:dyDescent="0.35">
      <c r="A238" s="4">
        <v>4500146613</v>
      </c>
    </row>
    <row r="239" spans="1:1" x14ac:dyDescent="0.35">
      <c r="A239" s="4">
        <v>4500146614</v>
      </c>
    </row>
    <row r="240" spans="1:1" x14ac:dyDescent="0.35">
      <c r="A240" s="4">
        <v>4500146615</v>
      </c>
    </row>
    <row r="241" spans="1:1" x14ac:dyDescent="0.35">
      <c r="A241" s="4">
        <v>4500146680</v>
      </c>
    </row>
    <row r="242" spans="1:1" x14ac:dyDescent="0.35">
      <c r="A242" s="4">
        <v>4500146689</v>
      </c>
    </row>
    <row r="243" spans="1:1" x14ac:dyDescent="0.35">
      <c r="A243" s="4">
        <v>4500146697</v>
      </c>
    </row>
    <row r="244" spans="1:1" x14ac:dyDescent="0.35">
      <c r="A244" s="4">
        <v>4500146702</v>
      </c>
    </row>
    <row r="245" spans="1:1" x14ac:dyDescent="0.35">
      <c r="A245" s="4">
        <v>4500146712</v>
      </c>
    </row>
    <row r="246" spans="1:1" x14ac:dyDescent="0.35">
      <c r="A246" s="4">
        <v>4500146725</v>
      </c>
    </row>
    <row r="247" spans="1:1" x14ac:dyDescent="0.35">
      <c r="A247" s="4">
        <v>4500146727</v>
      </c>
    </row>
    <row r="248" spans="1:1" x14ac:dyDescent="0.35">
      <c r="A248" s="4">
        <v>4500146733</v>
      </c>
    </row>
    <row r="249" spans="1:1" x14ac:dyDescent="0.35">
      <c r="A249" s="4">
        <v>4500146750</v>
      </c>
    </row>
    <row r="250" spans="1:1" x14ac:dyDescent="0.35">
      <c r="A250" s="4">
        <v>4500146758</v>
      </c>
    </row>
    <row r="251" spans="1:1" x14ac:dyDescent="0.35">
      <c r="A251" s="4">
        <v>4500146766</v>
      </c>
    </row>
    <row r="252" spans="1:1" x14ac:dyDescent="0.35">
      <c r="A252" s="4">
        <v>4500146770</v>
      </c>
    </row>
    <row r="253" spans="1:1" x14ac:dyDescent="0.35">
      <c r="A253" s="4">
        <v>4500146782</v>
      </c>
    </row>
    <row r="254" spans="1:1" x14ac:dyDescent="0.35">
      <c r="A254" s="4">
        <v>4500146785</v>
      </c>
    </row>
    <row r="255" spans="1:1" x14ac:dyDescent="0.35">
      <c r="A255" s="4">
        <v>4500146789</v>
      </c>
    </row>
    <row r="256" spans="1:1" x14ac:dyDescent="0.35">
      <c r="A256" s="4">
        <v>4500146793</v>
      </c>
    </row>
    <row r="257" spans="1:1" x14ac:dyDescent="0.35">
      <c r="A257" s="4">
        <v>4500146797</v>
      </c>
    </row>
    <row r="258" spans="1:1" x14ac:dyDescent="0.35">
      <c r="A258" s="4">
        <v>4500146801</v>
      </c>
    </row>
    <row r="259" spans="1:1" x14ac:dyDescent="0.35">
      <c r="A259" s="4">
        <v>4500146804</v>
      </c>
    </row>
    <row r="260" spans="1:1" x14ac:dyDescent="0.35">
      <c r="A260" s="4">
        <v>4500146805</v>
      </c>
    </row>
    <row r="261" spans="1:1" x14ac:dyDescent="0.35">
      <c r="A261" s="4">
        <v>4500146809</v>
      </c>
    </row>
    <row r="262" spans="1:1" x14ac:dyDescent="0.35">
      <c r="A262" s="4">
        <v>4500146812</v>
      </c>
    </row>
    <row r="263" spans="1:1" x14ac:dyDescent="0.35">
      <c r="A263" s="4">
        <v>4500146814</v>
      </c>
    </row>
    <row r="264" spans="1:1" x14ac:dyDescent="0.35">
      <c r="A264" s="4">
        <v>4500146815</v>
      </c>
    </row>
    <row r="265" spans="1:1" x14ac:dyDescent="0.35">
      <c r="A265" s="4">
        <v>4500146818</v>
      </c>
    </row>
    <row r="266" spans="1:1" x14ac:dyDescent="0.35">
      <c r="A266" s="4">
        <v>4500146821</v>
      </c>
    </row>
    <row r="267" spans="1:1" x14ac:dyDescent="0.35">
      <c r="A267" s="4">
        <v>4500146825</v>
      </c>
    </row>
    <row r="268" spans="1:1" x14ac:dyDescent="0.35">
      <c r="A268" s="4">
        <v>4500146882</v>
      </c>
    </row>
    <row r="269" spans="1:1" x14ac:dyDescent="0.35">
      <c r="A269" s="4">
        <v>4500146883</v>
      </c>
    </row>
    <row r="270" spans="1:1" x14ac:dyDescent="0.35">
      <c r="A270" s="4">
        <v>4500146889</v>
      </c>
    </row>
    <row r="271" spans="1:1" x14ac:dyDescent="0.35">
      <c r="A271" s="4">
        <v>4500146893</v>
      </c>
    </row>
    <row r="272" spans="1:1" x14ac:dyDescent="0.35">
      <c r="A272" s="4">
        <v>4500146899</v>
      </c>
    </row>
    <row r="273" spans="1:1" x14ac:dyDescent="0.35">
      <c r="A273" s="4">
        <v>4500146903</v>
      </c>
    </row>
    <row r="274" spans="1:1" x14ac:dyDescent="0.35">
      <c r="A274" s="4">
        <v>4500146907</v>
      </c>
    </row>
    <row r="275" spans="1:1" x14ac:dyDescent="0.35">
      <c r="A275" s="4">
        <v>4500146909</v>
      </c>
    </row>
    <row r="276" spans="1:1" x14ac:dyDescent="0.35">
      <c r="A276" s="4">
        <v>4500146916</v>
      </c>
    </row>
    <row r="277" spans="1:1" x14ac:dyDescent="0.35">
      <c r="A277" s="4">
        <v>4500146921</v>
      </c>
    </row>
    <row r="278" spans="1:1" x14ac:dyDescent="0.35">
      <c r="A278" s="4">
        <v>4500146925</v>
      </c>
    </row>
    <row r="279" spans="1:1" x14ac:dyDescent="0.35">
      <c r="A279" s="4">
        <v>4500146934</v>
      </c>
    </row>
    <row r="280" spans="1:1" x14ac:dyDescent="0.35">
      <c r="A280" s="4">
        <v>4500146937</v>
      </c>
    </row>
    <row r="281" spans="1:1" x14ac:dyDescent="0.35">
      <c r="A281" s="4">
        <v>4500146944</v>
      </c>
    </row>
    <row r="282" spans="1:1" x14ac:dyDescent="0.35">
      <c r="A282" s="4">
        <v>4500146948</v>
      </c>
    </row>
    <row r="283" spans="1:1" x14ac:dyDescent="0.35">
      <c r="A283" s="4">
        <v>4500146951</v>
      </c>
    </row>
    <row r="284" spans="1:1" x14ac:dyDescent="0.35">
      <c r="A284" s="4">
        <v>4500146958</v>
      </c>
    </row>
    <row r="285" spans="1:1" x14ac:dyDescent="0.35">
      <c r="A285" s="4">
        <v>4500146962</v>
      </c>
    </row>
    <row r="286" spans="1:1" x14ac:dyDescent="0.35">
      <c r="A286" s="4">
        <v>4500146968</v>
      </c>
    </row>
    <row r="287" spans="1:1" x14ac:dyDescent="0.35">
      <c r="A287" s="4">
        <v>4500146971</v>
      </c>
    </row>
    <row r="288" spans="1:1" x14ac:dyDescent="0.35">
      <c r="A288" s="4">
        <v>4500146974</v>
      </c>
    </row>
    <row r="289" spans="1:1" x14ac:dyDescent="0.35">
      <c r="A289" s="4">
        <v>4500146977</v>
      </c>
    </row>
    <row r="290" spans="1:1" x14ac:dyDescent="0.35">
      <c r="A290" s="4">
        <v>4500146980</v>
      </c>
    </row>
    <row r="291" spans="1:1" x14ac:dyDescent="0.35">
      <c r="A291" s="4">
        <v>4500146983</v>
      </c>
    </row>
    <row r="292" spans="1:1" x14ac:dyDescent="0.35">
      <c r="A292" s="4">
        <v>4500146986</v>
      </c>
    </row>
    <row r="293" spans="1:1" x14ac:dyDescent="0.35">
      <c r="A293" s="4">
        <v>4500146987</v>
      </c>
    </row>
    <row r="294" spans="1:1" x14ac:dyDescent="0.35">
      <c r="A294" s="4">
        <v>4500146989</v>
      </c>
    </row>
    <row r="295" spans="1:1" x14ac:dyDescent="0.35">
      <c r="A295" s="4">
        <v>4500147012</v>
      </c>
    </row>
    <row r="296" spans="1:1" x14ac:dyDescent="0.35">
      <c r="A296" s="4">
        <v>4500147014</v>
      </c>
    </row>
    <row r="297" spans="1:1" x14ac:dyDescent="0.35">
      <c r="A297" s="4">
        <v>4500147064</v>
      </c>
    </row>
    <row r="298" spans="1:1" x14ac:dyDescent="0.35">
      <c r="A298" s="4">
        <v>4500147069</v>
      </c>
    </row>
    <row r="299" spans="1:1" x14ac:dyDescent="0.35">
      <c r="A299" s="4">
        <v>4500147076</v>
      </c>
    </row>
    <row r="300" spans="1:1" x14ac:dyDescent="0.35">
      <c r="A300" s="4">
        <v>4500147079</v>
      </c>
    </row>
    <row r="301" spans="1:1" x14ac:dyDescent="0.35">
      <c r="A301" s="4">
        <v>4500147083</v>
      </c>
    </row>
    <row r="302" spans="1:1" x14ac:dyDescent="0.35">
      <c r="A302" s="4">
        <v>4500147087</v>
      </c>
    </row>
    <row r="303" spans="1:1" x14ac:dyDescent="0.35">
      <c r="A303" s="4">
        <v>4500147092</v>
      </c>
    </row>
    <row r="304" spans="1:1" x14ac:dyDescent="0.35">
      <c r="A304" s="4">
        <v>4500147104</v>
      </c>
    </row>
    <row r="305" spans="1:1" x14ac:dyDescent="0.35">
      <c r="A305" s="4">
        <v>4500147107</v>
      </c>
    </row>
    <row r="306" spans="1:1" x14ac:dyDescent="0.35">
      <c r="A306" s="4">
        <v>4500147116</v>
      </c>
    </row>
    <row r="307" spans="1:1" x14ac:dyDescent="0.35">
      <c r="A307" s="4">
        <v>4500147118</v>
      </c>
    </row>
    <row r="308" spans="1:1" x14ac:dyDescent="0.35">
      <c r="A308" s="4">
        <v>4500147125</v>
      </c>
    </row>
    <row r="309" spans="1:1" x14ac:dyDescent="0.35">
      <c r="A309" s="4">
        <v>4500147128</v>
      </c>
    </row>
    <row r="310" spans="1:1" x14ac:dyDescent="0.35">
      <c r="A310" s="4">
        <v>4500147134</v>
      </c>
    </row>
    <row r="311" spans="1:1" x14ac:dyDescent="0.35">
      <c r="A311" s="4">
        <v>4500147142</v>
      </c>
    </row>
    <row r="312" spans="1:1" x14ac:dyDescent="0.35">
      <c r="A312" s="4">
        <v>4500147147</v>
      </c>
    </row>
    <row r="313" spans="1:1" x14ac:dyDescent="0.35">
      <c r="A313" s="4">
        <v>4500147149</v>
      </c>
    </row>
    <row r="314" spans="1:1" x14ac:dyDescent="0.35">
      <c r="A314" s="4">
        <v>4500147155</v>
      </c>
    </row>
    <row r="315" spans="1:1" x14ac:dyDescent="0.35">
      <c r="A315" s="4">
        <v>4500147160</v>
      </c>
    </row>
    <row r="316" spans="1:1" x14ac:dyDescent="0.35">
      <c r="A316" s="4">
        <v>4500147164</v>
      </c>
    </row>
    <row r="317" spans="1:1" x14ac:dyDescent="0.35">
      <c r="A317" s="4">
        <v>4500147168</v>
      </c>
    </row>
    <row r="318" spans="1:1" x14ac:dyDescent="0.35">
      <c r="A318" s="4">
        <v>4500147171</v>
      </c>
    </row>
    <row r="319" spans="1:1" x14ac:dyDescent="0.35">
      <c r="A319" s="4">
        <v>4500147174</v>
      </c>
    </row>
    <row r="320" spans="1:1" x14ac:dyDescent="0.35">
      <c r="A320" s="4">
        <v>4500147176</v>
      </c>
    </row>
    <row r="321" spans="1:1" x14ac:dyDescent="0.35">
      <c r="A321" s="4">
        <v>4500147189</v>
      </c>
    </row>
    <row r="322" spans="1:1" x14ac:dyDescent="0.35">
      <c r="A322" s="4">
        <v>4500147193</v>
      </c>
    </row>
    <row r="323" spans="1:1" x14ac:dyDescent="0.35">
      <c r="A323" s="4">
        <v>4500147195</v>
      </c>
    </row>
    <row r="324" spans="1:1" x14ac:dyDescent="0.35">
      <c r="A324" s="4">
        <v>4500147200</v>
      </c>
    </row>
    <row r="325" spans="1:1" x14ac:dyDescent="0.35">
      <c r="A325" s="4">
        <v>4500147229</v>
      </c>
    </row>
    <row r="326" spans="1:1" x14ac:dyDescent="0.35">
      <c r="A326" s="4">
        <v>4500147255</v>
      </c>
    </row>
    <row r="327" spans="1:1" x14ac:dyDescent="0.35">
      <c r="A327" s="4">
        <v>4500147259</v>
      </c>
    </row>
    <row r="328" spans="1:1" x14ac:dyDescent="0.35">
      <c r="A328" s="4">
        <v>4500147265</v>
      </c>
    </row>
    <row r="329" spans="1:1" x14ac:dyDescent="0.35">
      <c r="A329" s="4">
        <v>4500147270</v>
      </c>
    </row>
    <row r="330" spans="1:1" x14ac:dyDescent="0.35">
      <c r="A330" s="4">
        <v>4500147275</v>
      </c>
    </row>
    <row r="331" spans="1:1" x14ac:dyDescent="0.35">
      <c r="A331" s="4">
        <v>4500147280</v>
      </c>
    </row>
    <row r="332" spans="1:1" x14ac:dyDescent="0.35">
      <c r="A332" s="4">
        <v>4500147287</v>
      </c>
    </row>
    <row r="333" spans="1:1" x14ac:dyDescent="0.35">
      <c r="A333" s="4">
        <v>4500147292</v>
      </c>
    </row>
    <row r="334" spans="1:1" x14ac:dyDescent="0.35">
      <c r="A334" s="4">
        <v>4500147300</v>
      </c>
    </row>
    <row r="335" spans="1:1" x14ac:dyDescent="0.35">
      <c r="A335" s="4">
        <v>4500147303</v>
      </c>
    </row>
    <row r="336" spans="1:1" x14ac:dyDescent="0.35">
      <c r="A336" s="4">
        <v>4500147307</v>
      </c>
    </row>
    <row r="337" spans="1:1" x14ac:dyDescent="0.35">
      <c r="A337" s="4">
        <v>4500147310</v>
      </c>
    </row>
    <row r="338" spans="1:1" x14ac:dyDescent="0.35">
      <c r="A338" s="4">
        <v>4500147311</v>
      </c>
    </row>
    <row r="339" spans="1:1" x14ac:dyDescent="0.35">
      <c r="A339" s="4">
        <v>4500147316</v>
      </c>
    </row>
    <row r="340" spans="1:1" x14ac:dyDescent="0.35">
      <c r="A340" s="4">
        <v>4500147321</v>
      </c>
    </row>
    <row r="341" spans="1:1" x14ac:dyDescent="0.35">
      <c r="A341" s="4">
        <v>4500147327</v>
      </c>
    </row>
    <row r="342" spans="1:1" x14ac:dyDescent="0.35">
      <c r="A342" s="4">
        <v>4500147330</v>
      </c>
    </row>
    <row r="343" spans="1:1" x14ac:dyDescent="0.35">
      <c r="A343" s="4">
        <v>4500147334</v>
      </c>
    </row>
    <row r="344" spans="1:1" x14ac:dyDescent="0.35">
      <c r="A344" s="4">
        <v>4500147337</v>
      </c>
    </row>
    <row r="345" spans="1:1" x14ac:dyDescent="0.35">
      <c r="A345" s="4">
        <v>4500147343</v>
      </c>
    </row>
    <row r="346" spans="1:1" x14ac:dyDescent="0.35">
      <c r="A346" s="4">
        <v>4500147346</v>
      </c>
    </row>
    <row r="347" spans="1:1" x14ac:dyDescent="0.35">
      <c r="A347" s="4">
        <v>4500147349</v>
      </c>
    </row>
    <row r="348" spans="1:1" x14ac:dyDescent="0.35">
      <c r="A348" s="4">
        <v>4500147352</v>
      </c>
    </row>
    <row r="349" spans="1:1" x14ac:dyDescent="0.35">
      <c r="A349" s="4">
        <v>4500147354</v>
      </c>
    </row>
    <row r="350" spans="1:1" x14ac:dyDescent="0.35">
      <c r="A350" s="4">
        <v>4500147356</v>
      </c>
    </row>
    <row r="351" spans="1:1" x14ac:dyDescent="0.35">
      <c r="A351" s="4">
        <v>4500147358</v>
      </c>
    </row>
    <row r="352" spans="1:1" x14ac:dyDescent="0.35">
      <c r="A352" s="4">
        <v>4500147361</v>
      </c>
    </row>
    <row r="353" spans="1:1" x14ac:dyDescent="0.35">
      <c r="A353" s="4">
        <v>4500147362</v>
      </c>
    </row>
    <row r="354" spans="1:1" x14ac:dyDescent="0.35">
      <c r="A354" s="4">
        <v>4500147363</v>
      </c>
    </row>
    <row r="355" spans="1:1" x14ac:dyDescent="0.35">
      <c r="A355" s="4">
        <v>4500147365</v>
      </c>
    </row>
    <row r="356" spans="1:1" x14ac:dyDescent="0.35">
      <c r="A356" s="4">
        <v>4500147366</v>
      </c>
    </row>
    <row r="357" spans="1:1" x14ac:dyDescent="0.35">
      <c r="A357" s="4">
        <v>4500147368</v>
      </c>
    </row>
    <row r="358" spans="1:1" x14ac:dyDescent="0.35">
      <c r="A358" s="4">
        <v>4500147370</v>
      </c>
    </row>
    <row r="359" spans="1:1" x14ac:dyDescent="0.35">
      <c r="A359" s="4">
        <v>4500147372</v>
      </c>
    </row>
    <row r="360" spans="1:1" x14ac:dyDescent="0.35">
      <c r="A360" s="4">
        <v>4500147374</v>
      </c>
    </row>
    <row r="361" spans="1:1" x14ac:dyDescent="0.35">
      <c r="A361" s="4">
        <v>4500147375</v>
      </c>
    </row>
    <row r="362" spans="1:1" x14ac:dyDescent="0.35">
      <c r="A362" s="4">
        <v>4500147377</v>
      </c>
    </row>
    <row r="363" spans="1:1" x14ac:dyDescent="0.35">
      <c r="A363" s="4">
        <v>4500147379</v>
      </c>
    </row>
    <row r="364" spans="1:1" x14ac:dyDescent="0.35">
      <c r="A364" s="4">
        <v>4500147389</v>
      </c>
    </row>
    <row r="365" spans="1:1" x14ac:dyDescent="0.35">
      <c r="A365" s="4">
        <v>4500147391</v>
      </c>
    </row>
    <row r="366" spans="1:1" x14ac:dyDescent="0.35">
      <c r="A366" s="4">
        <v>4500147396</v>
      </c>
    </row>
    <row r="367" spans="1:1" x14ac:dyDescent="0.35">
      <c r="A367" s="4">
        <v>4500147436</v>
      </c>
    </row>
    <row r="368" spans="1:1" x14ac:dyDescent="0.35">
      <c r="A368" s="4">
        <v>4500147438</v>
      </c>
    </row>
    <row r="369" spans="1:1" x14ac:dyDescent="0.35">
      <c r="A369" s="4">
        <v>4500147442</v>
      </c>
    </row>
    <row r="370" spans="1:1" x14ac:dyDescent="0.35">
      <c r="A370" s="4">
        <v>4500147446</v>
      </c>
    </row>
    <row r="371" spans="1:1" x14ac:dyDescent="0.35">
      <c r="A371" s="4">
        <v>4500147450</v>
      </c>
    </row>
    <row r="372" spans="1:1" x14ac:dyDescent="0.35">
      <c r="A372" s="4">
        <v>4500147454</v>
      </c>
    </row>
    <row r="373" spans="1:1" x14ac:dyDescent="0.35">
      <c r="A373" s="4">
        <v>4500147463</v>
      </c>
    </row>
    <row r="374" spans="1:1" x14ac:dyDescent="0.35">
      <c r="A374" s="4">
        <v>4500147469</v>
      </c>
    </row>
    <row r="375" spans="1:1" x14ac:dyDescent="0.35">
      <c r="A375" s="4">
        <v>4500147474</v>
      </c>
    </row>
    <row r="376" spans="1:1" x14ac:dyDescent="0.35">
      <c r="A376" s="4">
        <v>4500147477</v>
      </c>
    </row>
    <row r="377" spans="1:1" x14ac:dyDescent="0.35">
      <c r="A377" s="4">
        <v>4500147487</v>
      </c>
    </row>
    <row r="378" spans="1:1" x14ac:dyDescent="0.35">
      <c r="A378" s="4">
        <v>4500147491</v>
      </c>
    </row>
    <row r="379" spans="1:1" x14ac:dyDescent="0.35">
      <c r="A379" s="4">
        <v>4500147494</v>
      </c>
    </row>
    <row r="380" spans="1:1" x14ac:dyDescent="0.35">
      <c r="A380" s="4">
        <v>4500147498</v>
      </c>
    </row>
    <row r="381" spans="1:1" x14ac:dyDescent="0.35">
      <c r="A381" s="4">
        <v>4500147505</v>
      </c>
    </row>
    <row r="382" spans="1:1" x14ac:dyDescent="0.35">
      <c r="A382" s="4">
        <v>4500147508</v>
      </c>
    </row>
    <row r="383" spans="1:1" x14ac:dyDescent="0.35">
      <c r="A383" s="4">
        <v>4500147511</v>
      </c>
    </row>
    <row r="384" spans="1:1" x14ac:dyDescent="0.35">
      <c r="A384" s="4">
        <v>4500147516</v>
      </c>
    </row>
    <row r="385" spans="1:1" x14ac:dyDescent="0.35">
      <c r="A385" s="4">
        <v>4500147520</v>
      </c>
    </row>
    <row r="386" spans="1:1" x14ac:dyDescent="0.35">
      <c r="A386" s="4">
        <v>4500147532</v>
      </c>
    </row>
    <row r="387" spans="1:1" x14ac:dyDescent="0.35">
      <c r="A387" s="4">
        <v>4500147536</v>
      </c>
    </row>
    <row r="388" spans="1:1" x14ac:dyDescent="0.35">
      <c r="A388" s="4">
        <v>4500147577</v>
      </c>
    </row>
    <row r="389" spans="1:1" x14ac:dyDescent="0.35">
      <c r="A389" s="4">
        <v>4500147640</v>
      </c>
    </row>
    <row r="390" spans="1:1" x14ac:dyDescent="0.35">
      <c r="A390" s="4">
        <v>4500147655</v>
      </c>
    </row>
    <row r="391" spans="1:1" x14ac:dyDescent="0.35">
      <c r="A391" s="4">
        <v>4500147658</v>
      </c>
    </row>
    <row r="392" spans="1:1" x14ac:dyDescent="0.35">
      <c r="A392" s="4">
        <v>4500147664</v>
      </c>
    </row>
    <row r="393" spans="1:1" x14ac:dyDescent="0.35">
      <c r="A393" s="4">
        <v>4500147667</v>
      </c>
    </row>
    <row r="394" spans="1:1" x14ac:dyDescent="0.35">
      <c r="A394" s="4">
        <v>4500147670</v>
      </c>
    </row>
    <row r="395" spans="1:1" x14ac:dyDescent="0.35">
      <c r="A395" s="4">
        <v>4500147684</v>
      </c>
    </row>
    <row r="396" spans="1:1" x14ac:dyDescent="0.35">
      <c r="A396" s="4">
        <v>4500147686</v>
      </c>
    </row>
    <row r="397" spans="1:1" x14ac:dyDescent="0.35">
      <c r="A397" s="4">
        <v>4500147690</v>
      </c>
    </row>
    <row r="398" spans="1:1" x14ac:dyDescent="0.35">
      <c r="A398" s="4">
        <v>4500147695</v>
      </c>
    </row>
    <row r="399" spans="1:1" x14ac:dyDescent="0.35">
      <c r="A399" s="4">
        <v>4500147706</v>
      </c>
    </row>
    <row r="400" spans="1:1" x14ac:dyDescent="0.35">
      <c r="A400" s="4">
        <v>4500147715</v>
      </c>
    </row>
    <row r="401" spans="1:1" x14ac:dyDescent="0.35">
      <c r="A401" s="4">
        <v>4500147721</v>
      </c>
    </row>
    <row r="402" spans="1:1" x14ac:dyDescent="0.35">
      <c r="A402" s="4">
        <v>4500147724</v>
      </c>
    </row>
    <row r="403" spans="1:1" x14ac:dyDescent="0.35">
      <c r="A403" s="4">
        <v>4500147728</v>
      </c>
    </row>
    <row r="404" spans="1:1" x14ac:dyDescent="0.35">
      <c r="A404" s="4">
        <v>4500147738</v>
      </c>
    </row>
    <row r="405" spans="1:1" x14ac:dyDescent="0.35">
      <c r="A405" s="4">
        <v>4500147739</v>
      </c>
    </row>
    <row r="406" spans="1:1" x14ac:dyDescent="0.35">
      <c r="A406" s="4">
        <v>4500147740</v>
      </c>
    </row>
    <row r="407" spans="1:1" x14ac:dyDescent="0.35">
      <c r="A407" s="4">
        <v>4500147742</v>
      </c>
    </row>
    <row r="408" spans="1:1" x14ac:dyDescent="0.35">
      <c r="A408" s="4">
        <v>4500147743</v>
      </c>
    </row>
    <row r="409" spans="1:1" x14ac:dyDescent="0.35">
      <c r="A409" s="4">
        <v>4500147744</v>
      </c>
    </row>
    <row r="410" spans="1:1" x14ac:dyDescent="0.35">
      <c r="A410" s="4">
        <v>4500147745</v>
      </c>
    </row>
    <row r="411" spans="1:1" x14ac:dyDescent="0.35">
      <c r="A411" s="4">
        <v>4500147753</v>
      </c>
    </row>
    <row r="412" spans="1:1" x14ac:dyDescent="0.35">
      <c r="A412" s="4">
        <v>4500147815</v>
      </c>
    </row>
    <row r="413" spans="1:1" x14ac:dyDescent="0.35">
      <c r="A413" s="4">
        <v>4500147817</v>
      </c>
    </row>
    <row r="414" spans="1:1" x14ac:dyDescent="0.35">
      <c r="A414" s="4">
        <v>4500147829</v>
      </c>
    </row>
    <row r="415" spans="1:1" x14ac:dyDescent="0.35">
      <c r="A415" s="4">
        <v>4500147836</v>
      </c>
    </row>
    <row r="416" spans="1:1" x14ac:dyDescent="0.35">
      <c r="A416" s="4">
        <v>4500147844</v>
      </c>
    </row>
    <row r="417" spans="1:1" x14ac:dyDescent="0.35">
      <c r="A417" s="4">
        <v>4500147846</v>
      </c>
    </row>
    <row r="418" spans="1:1" x14ac:dyDescent="0.35">
      <c r="A418" s="4">
        <v>4500147852</v>
      </c>
    </row>
    <row r="419" spans="1:1" x14ac:dyDescent="0.35">
      <c r="A419" s="4">
        <v>4500147857</v>
      </c>
    </row>
    <row r="420" spans="1:1" x14ac:dyDescent="0.35">
      <c r="A420" s="4">
        <v>4500147862</v>
      </c>
    </row>
    <row r="421" spans="1:1" x14ac:dyDescent="0.35">
      <c r="A421" s="4">
        <v>4500147865</v>
      </c>
    </row>
    <row r="422" spans="1:1" x14ac:dyDescent="0.35">
      <c r="A422" s="4">
        <v>4500147870</v>
      </c>
    </row>
    <row r="423" spans="1:1" x14ac:dyDescent="0.35">
      <c r="A423" s="4">
        <v>4500147875</v>
      </c>
    </row>
    <row r="424" spans="1:1" x14ac:dyDescent="0.35">
      <c r="A424" s="4">
        <v>4500147879</v>
      </c>
    </row>
    <row r="425" spans="1:1" x14ac:dyDescent="0.35">
      <c r="A425" s="4">
        <v>4500147882</v>
      </c>
    </row>
    <row r="426" spans="1:1" x14ac:dyDescent="0.35">
      <c r="A426" s="4">
        <v>4500147903</v>
      </c>
    </row>
    <row r="427" spans="1:1" x14ac:dyDescent="0.35">
      <c r="A427" s="4">
        <v>4500147910</v>
      </c>
    </row>
    <row r="428" spans="1:1" x14ac:dyDescent="0.35">
      <c r="A428" s="4">
        <v>4500147913</v>
      </c>
    </row>
    <row r="429" spans="1:1" x14ac:dyDescent="0.35">
      <c r="A429" s="4">
        <v>4500147918</v>
      </c>
    </row>
    <row r="430" spans="1:1" x14ac:dyDescent="0.35">
      <c r="A430" s="4">
        <v>4500147921</v>
      </c>
    </row>
    <row r="431" spans="1:1" x14ac:dyDescent="0.35">
      <c r="A431" s="4">
        <v>4500147923</v>
      </c>
    </row>
    <row r="432" spans="1:1" x14ac:dyDescent="0.35">
      <c r="A432" s="4">
        <v>4500147925</v>
      </c>
    </row>
    <row r="433" spans="1:1" x14ac:dyDescent="0.35">
      <c r="A433" s="4">
        <v>4500147926</v>
      </c>
    </row>
    <row r="434" spans="1:1" x14ac:dyDescent="0.35">
      <c r="A434" s="4">
        <v>4500147927</v>
      </c>
    </row>
    <row r="435" spans="1:1" x14ac:dyDescent="0.35">
      <c r="A435" s="4">
        <v>4500147928</v>
      </c>
    </row>
    <row r="436" spans="1:1" x14ac:dyDescent="0.35">
      <c r="A436" s="4">
        <v>4500147929</v>
      </c>
    </row>
    <row r="437" spans="1:1" x14ac:dyDescent="0.35">
      <c r="A437" s="4">
        <v>4500147930</v>
      </c>
    </row>
    <row r="438" spans="1:1" x14ac:dyDescent="0.35">
      <c r="A438" s="4">
        <v>4500147932</v>
      </c>
    </row>
    <row r="439" spans="1:1" x14ac:dyDescent="0.35">
      <c r="A439" s="4">
        <v>4500147933</v>
      </c>
    </row>
    <row r="440" spans="1:1" x14ac:dyDescent="0.35">
      <c r="A440" s="4">
        <v>4500147936</v>
      </c>
    </row>
    <row r="441" spans="1:1" x14ac:dyDescent="0.35">
      <c r="A441" s="4">
        <v>4500147938</v>
      </c>
    </row>
    <row r="442" spans="1:1" x14ac:dyDescent="0.35">
      <c r="A442" s="4">
        <v>4500148001</v>
      </c>
    </row>
    <row r="443" spans="1:1" x14ac:dyDescent="0.35">
      <c r="A443" s="4">
        <v>4500148008</v>
      </c>
    </row>
    <row r="444" spans="1:1" x14ac:dyDescent="0.35">
      <c r="A444" s="4">
        <v>4500148011</v>
      </c>
    </row>
    <row r="445" spans="1:1" x14ac:dyDescent="0.35">
      <c r="A445" s="4">
        <v>4500148015</v>
      </c>
    </row>
    <row r="446" spans="1:1" x14ac:dyDescent="0.35">
      <c r="A446" s="4">
        <v>4500148020</v>
      </c>
    </row>
    <row r="447" spans="1:1" x14ac:dyDescent="0.35">
      <c r="A447" s="4">
        <v>4500148025</v>
      </c>
    </row>
    <row r="448" spans="1:1" x14ac:dyDescent="0.35">
      <c r="A448" s="4">
        <v>4500148029</v>
      </c>
    </row>
    <row r="449" spans="1:1" x14ac:dyDescent="0.35">
      <c r="A449" s="4">
        <v>4500148033</v>
      </c>
    </row>
    <row r="450" spans="1:1" x14ac:dyDescent="0.35">
      <c r="A450" s="4">
        <v>4500148037</v>
      </c>
    </row>
    <row r="451" spans="1:1" x14ac:dyDescent="0.35">
      <c r="A451" s="4">
        <v>4500148041</v>
      </c>
    </row>
    <row r="452" spans="1:1" x14ac:dyDescent="0.35">
      <c r="A452" s="4">
        <v>4500148045</v>
      </c>
    </row>
    <row r="453" spans="1:1" x14ac:dyDescent="0.35">
      <c r="A453" s="4">
        <v>4500148049</v>
      </c>
    </row>
    <row r="454" spans="1:1" x14ac:dyDescent="0.35">
      <c r="A454" s="4">
        <v>4500148053</v>
      </c>
    </row>
    <row r="455" spans="1:1" x14ac:dyDescent="0.35">
      <c r="A455" s="4">
        <v>4500148060</v>
      </c>
    </row>
    <row r="456" spans="1:1" x14ac:dyDescent="0.35">
      <c r="A456" s="4">
        <v>4500148069</v>
      </c>
    </row>
    <row r="457" spans="1:1" x14ac:dyDescent="0.35">
      <c r="A457" s="4">
        <v>4500148075</v>
      </c>
    </row>
    <row r="458" spans="1:1" x14ac:dyDescent="0.35">
      <c r="A458" s="4">
        <v>4500148081</v>
      </c>
    </row>
    <row r="459" spans="1:1" x14ac:dyDescent="0.35">
      <c r="A459" s="4">
        <v>4500148083</v>
      </c>
    </row>
    <row r="460" spans="1:1" x14ac:dyDescent="0.35">
      <c r="A460" s="4">
        <v>4500148085</v>
      </c>
    </row>
    <row r="461" spans="1:1" x14ac:dyDescent="0.35">
      <c r="A461" s="4">
        <v>4500148089</v>
      </c>
    </row>
    <row r="462" spans="1:1" x14ac:dyDescent="0.35">
      <c r="A462" s="4">
        <v>4500148091</v>
      </c>
    </row>
    <row r="463" spans="1:1" x14ac:dyDescent="0.35">
      <c r="A463" s="4">
        <v>4500148098</v>
      </c>
    </row>
    <row r="464" spans="1:1" x14ac:dyDescent="0.35">
      <c r="A464" s="4">
        <v>4500148101</v>
      </c>
    </row>
    <row r="465" spans="1:1" x14ac:dyDescent="0.35">
      <c r="A465" s="4">
        <v>4500148104</v>
      </c>
    </row>
    <row r="466" spans="1:1" x14ac:dyDescent="0.35">
      <c r="A466" s="4">
        <v>4500148107</v>
      </c>
    </row>
    <row r="467" spans="1:1" x14ac:dyDescent="0.35">
      <c r="A467" s="4">
        <v>4500148111</v>
      </c>
    </row>
    <row r="468" spans="1:1" x14ac:dyDescent="0.35">
      <c r="A468" s="4">
        <v>4500148114</v>
      </c>
    </row>
    <row r="469" spans="1:1" x14ac:dyDescent="0.35">
      <c r="A469" s="4">
        <v>4500148117</v>
      </c>
    </row>
    <row r="470" spans="1:1" x14ac:dyDescent="0.35">
      <c r="A470" s="4">
        <v>4500148121</v>
      </c>
    </row>
    <row r="471" spans="1:1" x14ac:dyDescent="0.35">
      <c r="A471" s="4">
        <v>4500148142</v>
      </c>
    </row>
    <row r="472" spans="1:1" x14ac:dyDescent="0.35">
      <c r="A472" s="4">
        <v>4500148196</v>
      </c>
    </row>
    <row r="473" spans="1:1" x14ac:dyDescent="0.35">
      <c r="A473" s="4">
        <v>4500148203</v>
      </c>
    </row>
    <row r="474" spans="1:1" x14ac:dyDescent="0.35">
      <c r="A474" s="4">
        <v>4500148213</v>
      </c>
    </row>
    <row r="475" spans="1:1" x14ac:dyDescent="0.35">
      <c r="A475" s="4">
        <v>4500148218</v>
      </c>
    </row>
    <row r="476" spans="1:1" x14ac:dyDescent="0.35">
      <c r="A476" s="4">
        <v>4500148223</v>
      </c>
    </row>
    <row r="477" spans="1:1" x14ac:dyDescent="0.35">
      <c r="A477" s="4">
        <v>4500148228</v>
      </c>
    </row>
    <row r="478" spans="1:1" x14ac:dyDescent="0.35">
      <c r="A478" s="4">
        <v>4500148231</v>
      </c>
    </row>
    <row r="479" spans="1:1" x14ac:dyDescent="0.35">
      <c r="A479" s="4">
        <v>4500148234</v>
      </c>
    </row>
    <row r="480" spans="1:1" x14ac:dyDescent="0.35">
      <c r="A480" s="4">
        <v>4500148237</v>
      </c>
    </row>
    <row r="481" spans="1:1" x14ac:dyDescent="0.35">
      <c r="A481" s="4">
        <v>4500148240</v>
      </c>
    </row>
    <row r="482" spans="1:1" x14ac:dyDescent="0.35">
      <c r="A482" s="4">
        <v>4500148244</v>
      </c>
    </row>
    <row r="483" spans="1:1" x14ac:dyDescent="0.35">
      <c r="A483" s="4">
        <v>4500148247</v>
      </c>
    </row>
    <row r="484" spans="1:1" x14ac:dyDescent="0.35">
      <c r="A484" s="4">
        <v>4500148252</v>
      </c>
    </row>
    <row r="485" spans="1:1" x14ac:dyDescent="0.35">
      <c r="A485" s="4">
        <v>4500148257</v>
      </c>
    </row>
    <row r="486" spans="1:1" x14ac:dyDescent="0.35">
      <c r="A486" s="4">
        <v>4500148261</v>
      </c>
    </row>
    <row r="487" spans="1:1" x14ac:dyDescent="0.35">
      <c r="A487" s="4">
        <v>4500148266</v>
      </c>
    </row>
    <row r="488" spans="1:1" x14ac:dyDescent="0.35">
      <c r="A488" s="4">
        <v>4500148269</v>
      </c>
    </row>
    <row r="489" spans="1:1" x14ac:dyDescent="0.35">
      <c r="A489" s="4">
        <v>4500148275</v>
      </c>
    </row>
    <row r="490" spans="1:1" x14ac:dyDescent="0.35">
      <c r="A490" s="4">
        <v>4500148282</v>
      </c>
    </row>
    <row r="491" spans="1:1" x14ac:dyDescent="0.35">
      <c r="A491" s="4">
        <v>4500148286</v>
      </c>
    </row>
    <row r="492" spans="1:1" x14ac:dyDescent="0.35">
      <c r="A492" s="4">
        <v>4500148289</v>
      </c>
    </row>
    <row r="493" spans="1:1" x14ac:dyDescent="0.35">
      <c r="A493" s="4">
        <v>4500148294</v>
      </c>
    </row>
    <row r="494" spans="1:1" x14ac:dyDescent="0.35">
      <c r="A494" s="4">
        <v>4500148296</v>
      </c>
    </row>
    <row r="495" spans="1:1" x14ac:dyDescent="0.35">
      <c r="A495" s="4">
        <v>4500148299</v>
      </c>
    </row>
    <row r="496" spans="1:1" x14ac:dyDescent="0.35">
      <c r="A496" s="4">
        <v>4500148305</v>
      </c>
    </row>
    <row r="497" spans="1:1" x14ac:dyDescent="0.35">
      <c r="A497" s="4">
        <v>4500148307</v>
      </c>
    </row>
    <row r="498" spans="1:1" x14ac:dyDescent="0.35">
      <c r="A498" s="4">
        <v>4500148308</v>
      </c>
    </row>
    <row r="499" spans="1:1" x14ac:dyDescent="0.35">
      <c r="A499" s="4">
        <v>4500148311</v>
      </c>
    </row>
    <row r="500" spans="1:1" x14ac:dyDescent="0.35">
      <c r="A500" s="4">
        <v>4500148313</v>
      </c>
    </row>
    <row r="501" spans="1:1" x14ac:dyDescent="0.35">
      <c r="A501" s="4">
        <v>4500148315</v>
      </c>
    </row>
    <row r="502" spans="1:1" x14ac:dyDescent="0.35">
      <c r="A502" s="4">
        <v>4500148317</v>
      </c>
    </row>
    <row r="503" spans="1:1" x14ac:dyDescent="0.35">
      <c r="A503" s="4">
        <v>4500148319</v>
      </c>
    </row>
    <row r="504" spans="1:1" x14ac:dyDescent="0.35">
      <c r="A504" s="4">
        <v>4500148322</v>
      </c>
    </row>
    <row r="505" spans="1:1" x14ac:dyDescent="0.35">
      <c r="A505" s="4">
        <v>4500148324</v>
      </c>
    </row>
    <row r="506" spans="1:1" x14ac:dyDescent="0.35">
      <c r="A506" s="4">
        <v>4500148326</v>
      </c>
    </row>
    <row r="507" spans="1:1" x14ac:dyDescent="0.35">
      <c r="A507" s="4">
        <v>4500148328</v>
      </c>
    </row>
    <row r="508" spans="1:1" x14ac:dyDescent="0.35">
      <c r="A508" s="4">
        <v>4500148330</v>
      </c>
    </row>
    <row r="509" spans="1:1" x14ac:dyDescent="0.35">
      <c r="A509" s="4">
        <v>4500148332</v>
      </c>
    </row>
    <row r="510" spans="1:1" x14ac:dyDescent="0.35">
      <c r="A510" s="4">
        <v>4500148333</v>
      </c>
    </row>
    <row r="511" spans="1:1" x14ac:dyDescent="0.35">
      <c r="A511" s="4">
        <v>4500148398</v>
      </c>
    </row>
    <row r="512" spans="1:1" x14ac:dyDescent="0.35">
      <c r="A512" s="4">
        <v>4500148409</v>
      </c>
    </row>
    <row r="513" spans="1:1" x14ac:dyDescent="0.35">
      <c r="A513" s="4">
        <v>4500148416</v>
      </c>
    </row>
    <row r="514" spans="1:1" x14ac:dyDescent="0.35">
      <c r="A514" s="4">
        <v>4500148426</v>
      </c>
    </row>
    <row r="515" spans="1:1" x14ac:dyDescent="0.35">
      <c r="A515" s="4">
        <v>4500148429</v>
      </c>
    </row>
    <row r="516" spans="1:1" x14ac:dyDescent="0.35">
      <c r="A516" s="4">
        <v>4500148432</v>
      </c>
    </row>
    <row r="517" spans="1:1" x14ac:dyDescent="0.35">
      <c r="A517" s="4">
        <v>4500148436</v>
      </c>
    </row>
    <row r="518" spans="1:1" x14ac:dyDescent="0.35">
      <c r="A518" s="4">
        <v>4500148449</v>
      </c>
    </row>
    <row r="519" spans="1:1" x14ac:dyDescent="0.35">
      <c r="A519" s="4">
        <v>4500148453</v>
      </c>
    </row>
    <row r="520" spans="1:1" x14ac:dyDescent="0.35">
      <c r="A520" s="4">
        <v>4500148465</v>
      </c>
    </row>
    <row r="521" spans="1:1" x14ac:dyDescent="0.35">
      <c r="A521" s="4">
        <v>4500148468</v>
      </c>
    </row>
    <row r="522" spans="1:1" x14ac:dyDescent="0.35">
      <c r="A522" s="4">
        <v>4500148476</v>
      </c>
    </row>
    <row r="523" spans="1:1" x14ac:dyDescent="0.35">
      <c r="A523" s="4">
        <v>4500148487</v>
      </c>
    </row>
    <row r="524" spans="1:1" x14ac:dyDescent="0.35">
      <c r="A524" s="4">
        <v>4500148490</v>
      </c>
    </row>
    <row r="525" spans="1:1" x14ac:dyDescent="0.35">
      <c r="A525" s="4">
        <v>4500148497</v>
      </c>
    </row>
    <row r="526" spans="1:1" x14ac:dyDescent="0.35">
      <c r="A526" s="4">
        <v>4500148500</v>
      </c>
    </row>
    <row r="527" spans="1:1" x14ac:dyDescent="0.35">
      <c r="A527" s="4">
        <v>4500148515</v>
      </c>
    </row>
    <row r="528" spans="1:1" x14ac:dyDescent="0.35">
      <c r="A528" s="4">
        <v>4500148517</v>
      </c>
    </row>
    <row r="529" spans="1:1" x14ac:dyDescent="0.35">
      <c r="A529" s="4">
        <v>4500148519</v>
      </c>
    </row>
    <row r="530" spans="1:1" x14ac:dyDescent="0.35">
      <c r="A530" s="4">
        <v>4500148521</v>
      </c>
    </row>
    <row r="531" spans="1:1" x14ac:dyDescent="0.35">
      <c r="A531" s="4">
        <v>4500148523</v>
      </c>
    </row>
    <row r="532" spans="1:1" x14ac:dyDescent="0.35">
      <c r="A532" s="4">
        <v>4500148525</v>
      </c>
    </row>
    <row r="533" spans="1:1" x14ac:dyDescent="0.35">
      <c r="A533" s="4">
        <v>4500148527</v>
      </c>
    </row>
    <row r="534" spans="1:1" x14ac:dyDescent="0.35">
      <c r="A534" s="4">
        <v>4500148533</v>
      </c>
    </row>
    <row r="535" spans="1:1" x14ac:dyDescent="0.35">
      <c r="A535" s="4">
        <v>4500148574</v>
      </c>
    </row>
    <row r="536" spans="1:1" x14ac:dyDescent="0.35">
      <c r="A536" s="4">
        <v>4500148601</v>
      </c>
    </row>
    <row r="537" spans="1:1" x14ac:dyDescent="0.35">
      <c r="A537" s="4">
        <v>4500148605</v>
      </c>
    </row>
    <row r="538" spans="1:1" x14ac:dyDescent="0.35">
      <c r="A538" s="4">
        <v>4500148613</v>
      </c>
    </row>
    <row r="539" spans="1:1" x14ac:dyDescent="0.35">
      <c r="A539" s="4">
        <v>4500148620</v>
      </c>
    </row>
    <row r="540" spans="1:1" x14ac:dyDescent="0.35">
      <c r="A540" s="4">
        <v>4500148623</v>
      </c>
    </row>
    <row r="541" spans="1:1" x14ac:dyDescent="0.35">
      <c r="A541" s="4">
        <v>4500148625</v>
      </c>
    </row>
    <row r="542" spans="1:1" x14ac:dyDescent="0.35">
      <c r="A542" s="4">
        <v>4500148640</v>
      </c>
    </row>
    <row r="543" spans="1:1" x14ac:dyDescent="0.35">
      <c r="A543" s="4">
        <v>4500148645</v>
      </c>
    </row>
    <row r="544" spans="1:1" x14ac:dyDescent="0.35">
      <c r="A544" s="4">
        <v>4500148653</v>
      </c>
    </row>
    <row r="545" spans="1:1" x14ac:dyDescent="0.35">
      <c r="A545" s="4">
        <v>4500148655</v>
      </c>
    </row>
    <row r="546" spans="1:1" x14ac:dyDescent="0.35">
      <c r="A546" s="4">
        <v>4500148657</v>
      </c>
    </row>
    <row r="547" spans="1:1" x14ac:dyDescent="0.35">
      <c r="A547" s="4">
        <v>4500148661</v>
      </c>
    </row>
    <row r="548" spans="1:1" x14ac:dyDescent="0.35">
      <c r="A548" s="4">
        <v>4500148664</v>
      </c>
    </row>
    <row r="549" spans="1:1" x14ac:dyDescent="0.35">
      <c r="A549" s="4">
        <v>4500148670</v>
      </c>
    </row>
    <row r="550" spans="1:1" x14ac:dyDescent="0.35">
      <c r="A550" s="4">
        <v>4500148673</v>
      </c>
    </row>
    <row r="551" spans="1:1" x14ac:dyDescent="0.35">
      <c r="A551" s="4">
        <v>4500148674</v>
      </c>
    </row>
    <row r="552" spans="1:1" x14ac:dyDescent="0.35">
      <c r="A552" s="4">
        <v>4500148678</v>
      </c>
    </row>
    <row r="553" spans="1:1" x14ac:dyDescent="0.35">
      <c r="A553" s="4">
        <v>4500148684</v>
      </c>
    </row>
    <row r="554" spans="1:1" x14ac:dyDescent="0.35">
      <c r="A554" s="4">
        <v>4500148686</v>
      </c>
    </row>
    <row r="555" spans="1:1" x14ac:dyDescent="0.35">
      <c r="A555" s="4">
        <v>4500148688</v>
      </c>
    </row>
    <row r="556" spans="1:1" x14ac:dyDescent="0.35">
      <c r="A556" s="4">
        <v>4500148692</v>
      </c>
    </row>
    <row r="557" spans="1:1" x14ac:dyDescent="0.35">
      <c r="A557" s="4">
        <v>4500148694</v>
      </c>
    </row>
    <row r="558" spans="1:1" x14ac:dyDescent="0.35">
      <c r="A558" s="4">
        <v>4500148697</v>
      </c>
    </row>
    <row r="559" spans="1:1" x14ac:dyDescent="0.35">
      <c r="A559" s="4">
        <v>4500148702</v>
      </c>
    </row>
    <row r="560" spans="1:1" x14ac:dyDescent="0.35">
      <c r="A560" s="4">
        <v>4500148706</v>
      </c>
    </row>
    <row r="561" spans="1:1" x14ac:dyDescent="0.35">
      <c r="A561" s="4">
        <v>4500148715</v>
      </c>
    </row>
    <row r="562" spans="1:1" x14ac:dyDescent="0.35">
      <c r="A562" s="4">
        <v>4500148721</v>
      </c>
    </row>
    <row r="563" spans="1:1" x14ac:dyDescent="0.35">
      <c r="A563" s="4">
        <v>4500148723</v>
      </c>
    </row>
    <row r="564" spans="1:1" x14ac:dyDescent="0.35">
      <c r="A564" s="4">
        <v>4500148787</v>
      </c>
    </row>
    <row r="565" spans="1:1" x14ac:dyDescent="0.35">
      <c r="A565" s="4">
        <v>4500148792</v>
      </c>
    </row>
    <row r="566" spans="1:1" x14ac:dyDescent="0.35">
      <c r="A566" s="4">
        <v>4500148797</v>
      </c>
    </row>
    <row r="567" spans="1:1" x14ac:dyDescent="0.35">
      <c r="A567" s="4">
        <v>4500148801</v>
      </c>
    </row>
    <row r="568" spans="1:1" x14ac:dyDescent="0.35">
      <c r="A568" s="4">
        <v>4500148802</v>
      </c>
    </row>
    <row r="569" spans="1:1" x14ac:dyDescent="0.35">
      <c r="A569" s="4">
        <v>4500148806</v>
      </c>
    </row>
    <row r="570" spans="1:1" x14ac:dyDescent="0.35">
      <c r="A570" s="4">
        <v>4500148811</v>
      </c>
    </row>
    <row r="571" spans="1:1" x14ac:dyDescent="0.35">
      <c r="A571" s="4">
        <v>4500148818</v>
      </c>
    </row>
    <row r="572" spans="1:1" x14ac:dyDescent="0.35">
      <c r="A572" s="4">
        <v>4500148820</v>
      </c>
    </row>
    <row r="573" spans="1:1" x14ac:dyDescent="0.35">
      <c r="A573" s="4">
        <v>4500148829</v>
      </c>
    </row>
    <row r="574" spans="1:1" x14ac:dyDescent="0.35">
      <c r="A574" s="4">
        <v>4500148835</v>
      </c>
    </row>
    <row r="575" spans="1:1" x14ac:dyDescent="0.35">
      <c r="A575" s="4">
        <v>4500148839</v>
      </c>
    </row>
    <row r="576" spans="1:1" x14ac:dyDescent="0.35">
      <c r="A576" s="4">
        <v>4500148848</v>
      </c>
    </row>
    <row r="577" spans="1:1" x14ac:dyDescent="0.35">
      <c r="A577" s="4">
        <v>4500148852</v>
      </c>
    </row>
    <row r="578" spans="1:1" x14ac:dyDescent="0.35">
      <c r="A578" s="4">
        <v>4500148874</v>
      </c>
    </row>
    <row r="579" spans="1:1" x14ac:dyDescent="0.35">
      <c r="A579" s="4">
        <v>4500148879</v>
      </c>
    </row>
    <row r="580" spans="1:1" x14ac:dyDescent="0.35">
      <c r="A580" s="4">
        <v>4500148882</v>
      </c>
    </row>
    <row r="581" spans="1:1" x14ac:dyDescent="0.35">
      <c r="A581" s="4">
        <v>4500148886</v>
      </c>
    </row>
    <row r="582" spans="1:1" x14ac:dyDescent="0.35">
      <c r="A582" s="4">
        <v>4500148889</v>
      </c>
    </row>
    <row r="583" spans="1:1" x14ac:dyDescent="0.35">
      <c r="A583" s="4">
        <v>4500148892</v>
      </c>
    </row>
    <row r="584" spans="1:1" x14ac:dyDescent="0.35">
      <c r="A584" s="4">
        <v>4500148896</v>
      </c>
    </row>
    <row r="585" spans="1:1" x14ac:dyDescent="0.35">
      <c r="A585" s="4">
        <v>4500148899</v>
      </c>
    </row>
    <row r="586" spans="1:1" x14ac:dyDescent="0.35">
      <c r="A586" s="4">
        <v>4500148900</v>
      </c>
    </row>
    <row r="587" spans="1:1" x14ac:dyDescent="0.35">
      <c r="A587" s="4">
        <v>4500148903</v>
      </c>
    </row>
    <row r="588" spans="1:1" x14ac:dyDescent="0.35">
      <c r="A588" s="4">
        <v>4500148906</v>
      </c>
    </row>
    <row r="589" spans="1:1" x14ac:dyDescent="0.35">
      <c r="A589" s="4">
        <v>4500148908</v>
      </c>
    </row>
    <row r="590" spans="1:1" x14ac:dyDescent="0.35">
      <c r="A590" s="4">
        <v>4500148911</v>
      </c>
    </row>
    <row r="591" spans="1:1" x14ac:dyDescent="0.35">
      <c r="A591" s="4">
        <v>4500148913</v>
      </c>
    </row>
    <row r="592" spans="1:1" x14ac:dyDescent="0.35">
      <c r="A592" s="4">
        <v>4500148915</v>
      </c>
    </row>
    <row r="593" spans="1:1" x14ac:dyDescent="0.35">
      <c r="A593" s="4">
        <v>4500148918</v>
      </c>
    </row>
    <row r="594" spans="1:1" x14ac:dyDescent="0.35">
      <c r="A594" s="4">
        <v>4500148919</v>
      </c>
    </row>
    <row r="595" spans="1:1" x14ac:dyDescent="0.35">
      <c r="A595" s="4">
        <v>4500148932</v>
      </c>
    </row>
    <row r="596" spans="1:1" x14ac:dyDescent="0.35">
      <c r="A596" s="4">
        <v>4500148996</v>
      </c>
    </row>
    <row r="597" spans="1:1" x14ac:dyDescent="0.35">
      <c r="A597" s="4">
        <v>4500149002</v>
      </c>
    </row>
    <row r="598" spans="1:1" x14ac:dyDescent="0.35">
      <c r="A598" s="4">
        <v>4500149006</v>
      </c>
    </row>
    <row r="599" spans="1:1" x14ac:dyDescent="0.35">
      <c r="A599" s="4">
        <v>4500149008</v>
      </c>
    </row>
    <row r="600" spans="1:1" x14ac:dyDescent="0.35">
      <c r="A600" s="4">
        <v>4500149014</v>
      </c>
    </row>
    <row r="601" spans="1:1" x14ac:dyDescent="0.35">
      <c r="A601" s="4">
        <v>4500149018</v>
      </c>
    </row>
    <row r="602" spans="1:1" x14ac:dyDescent="0.35">
      <c r="A602" s="4">
        <v>4500149024</v>
      </c>
    </row>
    <row r="603" spans="1:1" x14ac:dyDescent="0.35">
      <c r="A603" s="4">
        <v>4500149025</v>
      </c>
    </row>
    <row r="604" spans="1:1" x14ac:dyDescent="0.35">
      <c r="A604" s="4">
        <v>4500149029</v>
      </c>
    </row>
    <row r="605" spans="1:1" x14ac:dyDescent="0.35">
      <c r="A605" s="4">
        <v>4500149033</v>
      </c>
    </row>
    <row r="606" spans="1:1" x14ac:dyDescent="0.35">
      <c r="A606" s="4">
        <v>4500149038</v>
      </c>
    </row>
    <row r="607" spans="1:1" x14ac:dyDescent="0.35">
      <c r="A607" s="4">
        <v>4500149045</v>
      </c>
    </row>
    <row r="608" spans="1:1" x14ac:dyDescent="0.35">
      <c r="A608" s="4">
        <v>4500149049</v>
      </c>
    </row>
    <row r="609" spans="1:1" x14ac:dyDescent="0.35">
      <c r="A609" s="4">
        <v>4500149061</v>
      </c>
    </row>
    <row r="610" spans="1:1" x14ac:dyDescent="0.35">
      <c r="A610" s="4">
        <v>4500149064</v>
      </c>
    </row>
    <row r="611" spans="1:1" x14ac:dyDescent="0.35">
      <c r="A611" s="4">
        <v>4500149067</v>
      </c>
    </row>
    <row r="612" spans="1:1" x14ac:dyDescent="0.35">
      <c r="A612" s="4">
        <v>4500149070</v>
      </c>
    </row>
    <row r="613" spans="1:1" x14ac:dyDescent="0.35">
      <c r="A613" s="4">
        <v>4500149072</v>
      </c>
    </row>
    <row r="614" spans="1:1" x14ac:dyDescent="0.35">
      <c r="A614" s="4">
        <v>4500149075</v>
      </c>
    </row>
    <row r="615" spans="1:1" x14ac:dyDescent="0.35">
      <c r="A615" s="4">
        <v>4500149079</v>
      </c>
    </row>
    <row r="616" spans="1:1" x14ac:dyDescent="0.35">
      <c r="A616" s="4">
        <v>4500149083</v>
      </c>
    </row>
    <row r="617" spans="1:1" x14ac:dyDescent="0.35">
      <c r="A617" s="4">
        <v>4500149085</v>
      </c>
    </row>
    <row r="618" spans="1:1" x14ac:dyDescent="0.35">
      <c r="A618" s="4">
        <v>4500149091</v>
      </c>
    </row>
    <row r="619" spans="1:1" x14ac:dyDescent="0.35">
      <c r="A619" s="4">
        <v>4500149093</v>
      </c>
    </row>
    <row r="620" spans="1:1" x14ac:dyDescent="0.35">
      <c r="A620" s="4">
        <v>4500149095</v>
      </c>
    </row>
    <row r="621" spans="1:1" x14ac:dyDescent="0.35">
      <c r="A621" s="4">
        <v>4500149100</v>
      </c>
    </row>
    <row r="622" spans="1:1" x14ac:dyDescent="0.35">
      <c r="A622" s="4">
        <v>4500149102</v>
      </c>
    </row>
    <row r="623" spans="1:1" x14ac:dyDescent="0.35">
      <c r="A623" s="4">
        <v>4500149103</v>
      </c>
    </row>
    <row r="624" spans="1:1" x14ac:dyDescent="0.35">
      <c r="A624" s="4">
        <v>4500149105</v>
      </c>
    </row>
    <row r="625" spans="1:1" x14ac:dyDescent="0.35">
      <c r="A625" s="4">
        <v>4500149130</v>
      </c>
    </row>
    <row r="626" spans="1:1" x14ac:dyDescent="0.35">
      <c r="A626" s="4">
        <v>4500149160</v>
      </c>
    </row>
    <row r="627" spans="1:1" x14ac:dyDescent="0.35">
      <c r="A627" s="4">
        <v>4500149180</v>
      </c>
    </row>
    <row r="628" spans="1:1" x14ac:dyDescent="0.35">
      <c r="A628" s="4">
        <v>4500149186</v>
      </c>
    </row>
    <row r="629" spans="1:1" x14ac:dyDescent="0.35">
      <c r="A629" s="4">
        <v>4500149195</v>
      </c>
    </row>
    <row r="630" spans="1:1" x14ac:dyDescent="0.35">
      <c r="A630" s="4">
        <v>4500149200</v>
      </c>
    </row>
    <row r="631" spans="1:1" x14ac:dyDescent="0.35">
      <c r="A631" s="4">
        <v>4500149207</v>
      </c>
    </row>
    <row r="632" spans="1:1" x14ac:dyDescent="0.35">
      <c r="A632" s="4">
        <v>4500149210</v>
      </c>
    </row>
    <row r="633" spans="1:1" x14ac:dyDescent="0.35">
      <c r="A633" s="4">
        <v>4500149214</v>
      </c>
    </row>
    <row r="634" spans="1:1" x14ac:dyDescent="0.35">
      <c r="A634" s="4">
        <v>4500149218</v>
      </c>
    </row>
    <row r="635" spans="1:1" x14ac:dyDescent="0.35">
      <c r="A635" s="4">
        <v>4500149221</v>
      </c>
    </row>
    <row r="636" spans="1:1" x14ac:dyDescent="0.35">
      <c r="A636" s="4">
        <v>4500149222</v>
      </c>
    </row>
    <row r="637" spans="1:1" x14ac:dyDescent="0.35">
      <c r="A637" s="4">
        <v>4500149225</v>
      </c>
    </row>
    <row r="638" spans="1:1" x14ac:dyDescent="0.35">
      <c r="A638" s="4">
        <v>4500149229</v>
      </c>
    </row>
    <row r="639" spans="1:1" x14ac:dyDescent="0.35">
      <c r="A639" s="4">
        <v>4500149233</v>
      </c>
    </row>
    <row r="640" spans="1:1" x14ac:dyDescent="0.35">
      <c r="A640" s="4">
        <v>4500149235</v>
      </c>
    </row>
    <row r="641" spans="1:1" x14ac:dyDescent="0.35">
      <c r="A641" s="4">
        <v>4500149240</v>
      </c>
    </row>
    <row r="642" spans="1:1" x14ac:dyDescent="0.35">
      <c r="A642" s="4">
        <v>4500149249</v>
      </c>
    </row>
    <row r="643" spans="1:1" x14ac:dyDescent="0.35">
      <c r="A643" s="4">
        <v>4500149253</v>
      </c>
    </row>
    <row r="644" spans="1:1" x14ac:dyDescent="0.35">
      <c r="A644" s="4">
        <v>4500149257</v>
      </c>
    </row>
    <row r="645" spans="1:1" x14ac:dyDescent="0.35">
      <c r="A645" s="4">
        <v>4500149260</v>
      </c>
    </row>
    <row r="646" spans="1:1" x14ac:dyDescent="0.35">
      <c r="A646" s="4">
        <v>4500149264</v>
      </c>
    </row>
    <row r="647" spans="1:1" x14ac:dyDescent="0.35">
      <c r="A647" s="4">
        <v>4500149267</v>
      </c>
    </row>
    <row r="648" spans="1:1" x14ac:dyDescent="0.35">
      <c r="A648" s="4">
        <v>4500149271</v>
      </c>
    </row>
    <row r="649" spans="1:1" x14ac:dyDescent="0.35">
      <c r="A649" s="4">
        <v>4500149277</v>
      </c>
    </row>
    <row r="650" spans="1:1" x14ac:dyDescent="0.35">
      <c r="A650" s="4">
        <v>4500149281</v>
      </c>
    </row>
    <row r="651" spans="1:1" x14ac:dyDescent="0.35">
      <c r="A651" s="4">
        <v>4500149284</v>
      </c>
    </row>
    <row r="652" spans="1:1" x14ac:dyDescent="0.35">
      <c r="A652" s="4">
        <v>4500149290</v>
      </c>
    </row>
    <row r="653" spans="1:1" x14ac:dyDescent="0.35">
      <c r="A653" s="4">
        <v>4500149294</v>
      </c>
    </row>
    <row r="654" spans="1:1" x14ac:dyDescent="0.35">
      <c r="A654" s="4">
        <v>4500149297</v>
      </c>
    </row>
    <row r="655" spans="1:1" x14ac:dyDescent="0.35">
      <c r="A655" s="4">
        <v>4500149303</v>
      </c>
    </row>
    <row r="656" spans="1:1" x14ac:dyDescent="0.35">
      <c r="A656" s="4">
        <v>4500149304</v>
      </c>
    </row>
    <row r="657" spans="1:1" x14ac:dyDescent="0.35">
      <c r="A657" s="4">
        <v>4500149306</v>
      </c>
    </row>
    <row r="658" spans="1:1" x14ac:dyDescent="0.35">
      <c r="A658" s="4">
        <v>4500149313</v>
      </c>
    </row>
    <row r="659" spans="1:1" x14ac:dyDescent="0.35">
      <c r="A659" s="4">
        <v>4500149316</v>
      </c>
    </row>
    <row r="660" spans="1:1" x14ac:dyDescent="0.35">
      <c r="A660" s="4">
        <v>4500149318</v>
      </c>
    </row>
    <row r="661" spans="1:1" x14ac:dyDescent="0.35">
      <c r="A661" s="4">
        <v>4500149375</v>
      </c>
    </row>
    <row r="662" spans="1:1" x14ac:dyDescent="0.35">
      <c r="A662" s="4">
        <v>4500149380</v>
      </c>
    </row>
    <row r="663" spans="1:1" x14ac:dyDescent="0.35">
      <c r="A663" s="4">
        <v>4500149384</v>
      </c>
    </row>
    <row r="664" spans="1:1" x14ac:dyDescent="0.35">
      <c r="A664" s="4">
        <v>4500149393</v>
      </c>
    </row>
    <row r="665" spans="1:1" x14ac:dyDescent="0.35">
      <c r="A665" s="4">
        <v>4500149402</v>
      </c>
    </row>
    <row r="666" spans="1:1" x14ac:dyDescent="0.35">
      <c r="A666" s="4">
        <v>4500149405</v>
      </c>
    </row>
    <row r="667" spans="1:1" x14ac:dyDescent="0.35">
      <c r="A667" s="4">
        <v>4500149412</v>
      </c>
    </row>
    <row r="668" spans="1:1" x14ac:dyDescent="0.35">
      <c r="A668" s="4">
        <v>4500149416</v>
      </c>
    </row>
    <row r="669" spans="1:1" x14ac:dyDescent="0.35">
      <c r="A669" s="4">
        <v>4500149424</v>
      </c>
    </row>
    <row r="670" spans="1:1" x14ac:dyDescent="0.35">
      <c r="A670" s="4">
        <v>4500149428</v>
      </c>
    </row>
    <row r="671" spans="1:1" x14ac:dyDescent="0.35">
      <c r="A671" s="4">
        <v>4500149433</v>
      </c>
    </row>
    <row r="672" spans="1:1" x14ac:dyDescent="0.35">
      <c r="A672" s="4">
        <v>4500149441</v>
      </c>
    </row>
    <row r="673" spans="1:1" x14ac:dyDescent="0.35">
      <c r="A673" s="4">
        <v>4500149451</v>
      </c>
    </row>
    <row r="674" spans="1:1" x14ac:dyDescent="0.35">
      <c r="A674" s="4">
        <v>4500149455</v>
      </c>
    </row>
    <row r="675" spans="1:1" x14ac:dyDescent="0.35">
      <c r="A675" s="4">
        <v>4500149458</v>
      </c>
    </row>
    <row r="676" spans="1:1" x14ac:dyDescent="0.35">
      <c r="A676" s="4">
        <v>4500149461</v>
      </c>
    </row>
    <row r="677" spans="1:1" x14ac:dyDescent="0.35">
      <c r="A677" s="4">
        <v>4500149464</v>
      </c>
    </row>
    <row r="678" spans="1:1" x14ac:dyDescent="0.35">
      <c r="A678" s="4">
        <v>4500149466</v>
      </c>
    </row>
    <row r="679" spans="1:1" x14ac:dyDescent="0.35">
      <c r="A679" s="4">
        <v>4500149469</v>
      </c>
    </row>
    <row r="680" spans="1:1" x14ac:dyDescent="0.35">
      <c r="A680" s="4">
        <v>4500149472</v>
      </c>
    </row>
    <row r="681" spans="1:1" x14ac:dyDescent="0.35">
      <c r="A681" s="4">
        <v>4500149475</v>
      </c>
    </row>
    <row r="682" spans="1:1" x14ac:dyDescent="0.35">
      <c r="A682" s="4">
        <v>4500149481</v>
      </c>
    </row>
    <row r="683" spans="1:1" x14ac:dyDescent="0.35">
      <c r="A683" s="4">
        <v>4500149487</v>
      </c>
    </row>
    <row r="684" spans="1:1" x14ac:dyDescent="0.35">
      <c r="A684" s="4">
        <v>4500149489</v>
      </c>
    </row>
    <row r="685" spans="1:1" x14ac:dyDescent="0.35">
      <c r="A685" s="4">
        <v>4500149493</v>
      </c>
    </row>
    <row r="686" spans="1:1" x14ac:dyDescent="0.35">
      <c r="A686" s="4">
        <v>4500149495</v>
      </c>
    </row>
    <row r="687" spans="1:1" x14ac:dyDescent="0.35">
      <c r="A687" s="4">
        <v>4500149496</v>
      </c>
    </row>
    <row r="688" spans="1:1" x14ac:dyDescent="0.35">
      <c r="A688" s="4">
        <v>4500149497</v>
      </c>
    </row>
    <row r="689" spans="1:1" x14ac:dyDescent="0.35">
      <c r="A689" s="4">
        <v>4500149500</v>
      </c>
    </row>
    <row r="690" spans="1:1" x14ac:dyDescent="0.35">
      <c r="A690" s="4">
        <v>4500149510</v>
      </c>
    </row>
    <row r="691" spans="1:1" x14ac:dyDescent="0.35">
      <c r="A691" s="4">
        <v>4500149572</v>
      </c>
    </row>
    <row r="692" spans="1:1" x14ac:dyDescent="0.35">
      <c r="A692" s="4">
        <v>4500149577</v>
      </c>
    </row>
    <row r="693" spans="1:1" x14ac:dyDescent="0.35">
      <c r="A693" s="4">
        <v>4500149589</v>
      </c>
    </row>
    <row r="694" spans="1:1" x14ac:dyDescent="0.35">
      <c r="A694" s="4">
        <v>4500149595</v>
      </c>
    </row>
    <row r="695" spans="1:1" x14ac:dyDescent="0.35">
      <c r="A695" s="4">
        <v>4500149598</v>
      </c>
    </row>
    <row r="696" spans="1:1" x14ac:dyDescent="0.35">
      <c r="A696" s="4">
        <v>4500149604</v>
      </c>
    </row>
    <row r="697" spans="1:1" x14ac:dyDescent="0.35">
      <c r="A697" s="4">
        <v>4500149615</v>
      </c>
    </row>
    <row r="698" spans="1:1" x14ac:dyDescent="0.35">
      <c r="A698" s="4">
        <v>4500149620</v>
      </c>
    </row>
    <row r="699" spans="1:1" x14ac:dyDescent="0.35">
      <c r="A699" s="4">
        <v>4500149624</v>
      </c>
    </row>
    <row r="700" spans="1:1" x14ac:dyDescent="0.35">
      <c r="A700" s="4">
        <v>4500149628</v>
      </c>
    </row>
    <row r="701" spans="1:1" x14ac:dyDescent="0.35">
      <c r="A701" s="4">
        <v>4500149637</v>
      </c>
    </row>
    <row r="702" spans="1:1" x14ac:dyDescent="0.35">
      <c r="A702" s="4">
        <v>4500149645</v>
      </c>
    </row>
    <row r="703" spans="1:1" x14ac:dyDescent="0.35">
      <c r="A703" s="4">
        <v>4500149650</v>
      </c>
    </row>
    <row r="704" spans="1:1" x14ac:dyDescent="0.35">
      <c r="A704" s="4">
        <v>4500149654</v>
      </c>
    </row>
    <row r="705" spans="1:1" x14ac:dyDescent="0.35">
      <c r="A705" s="4">
        <v>4500149658</v>
      </c>
    </row>
    <row r="706" spans="1:1" x14ac:dyDescent="0.35">
      <c r="A706" s="4">
        <v>4500149660</v>
      </c>
    </row>
    <row r="707" spans="1:1" x14ac:dyDescent="0.35">
      <c r="A707" s="4">
        <v>4500149662</v>
      </c>
    </row>
    <row r="708" spans="1:1" x14ac:dyDescent="0.35">
      <c r="A708" s="4">
        <v>4500149673</v>
      </c>
    </row>
    <row r="709" spans="1:1" x14ac:dyDescent="0.35">
      <c r="A709" s="4">
        <v>4500149677</v>
      </c>
    </row>
    <row r="710" spans="1:1" x14ac:dyDescent="0.35">
      <c r="A710" s="4">
        <v>4500149679</v>
      </c>
    </row>
    <row r="711" spans="1:1" x14ac:dyDescent="0.35">
      <c r="A711" s="4">
        <v>4500149681</v>
      </c>
    </row>
    <row r="712" spans="1:1" x14ac:dyDescent="0.35">
      <c r="A712" s="4">
        <v>4500149686</v>
      </c>
    </row>
    <row r="713" spans="1:1" x14ac:dyDescent="0.35">
      <c r="A713" s="4">
        <v>4500149687</v>
      </c>
    </row>
    <row r="714" spans="1:1" x14ac:dyDescent="0.35">
      <c r="A714" s="4">
        <v>4500149690</v>
      </c>
    </row>
    <row r="715" spans="1:1" x14ac:dyDescent="0.35">
      <c r="A715" s="4">
        <v>4500149721</v>
      </c>
    </row>
    <row r="716" spans="1:1" x14ac:dyDescent="0.35">
      <c r="A716" s="4">
        <v>4500149752</v>
      </c>
    </row>
    <row r="717" spans="1:1" x14ac:dyDescent="0.35">
      <c r="A717" s="4">
        <v>4500149762</v>
      </c>
    </row>
    <row r="718" spans="1:1" x14ac:dyDescent="0.35">
      <c r="A718" s="4">
        <v>4500149769</v>
      </c>
    </row>
    <row r="719" spans="1:1" x14ac:dyDescent="0.35">
      <c r="A719" s="4">
        <v>4500149774</v>
      </c>
    </row>
    <row r="720" spans="1:1" x14ac:dyDescent="0.35">
      <c r="A720" s="4">
        <v>4500149778</v>
      </c>
    </row>
    <row r="721" spans="1:1" x14ac:dyDescent="0.35">
      <c r="A721" s="4">
        <v>4500149786</v>
      </c>
    </row>
    <row r="722" spans="1:1" x14ac:dyDescent="0.35">
      <c r="A722" s="4">
        <v>4500149791</v>
      </c>
    </row>
    <row r="723" spans="1:1" x14ac:dyDescent="0.35">
      <c r="A723" s="4">
        <v>4500149796</v>
      </c>
    </row>
    <row r="724" spans="1:1" x14ac:dyDescent="0.35">
      <c r="A724" s="4">
        <v>4500149798</v>
      </c>
    </row>
    <row r="725" spans="1:1" x14ac:dyDescent="0.35">
      <c r="A725" s="4">
        <v>4500149804</v>
      </c>
    </row>
    <row r="726" spans="1:1" x14ac:dyDescent="0.35">
      <c r="A726" s="4">
        <v>4500149806</v>
      </c>
    </row>
    <row r="727" spans="1:1" x14ac:dyDescent="0.35">
      <c r="A727" s="4">
        <v>4500149810</v>
      </c>
    </row>
    <row r="728" spans="1:1" x14ac:dyDescent="0.35">
      <c r="A728" s="4">
        <v>4500149817</v>
      </c>
    </row>
    <row r="729" spans="1:1" x14ac:dyDescent="0.35">
      <c r="A729" s="4">
        <v>4500149821</v>
      </c>
    </row>
    <row r="730" spans="1:1" x14ac:dyDescent="0.35">
      <c r="A730" s="4">
        <v>4500149825</v>
      </c>
    </row>
    <row r="731" spans="1:1" x14ac:dyDescent="0.35">
      <c r="A731" s="4">
        <v>4500149828</v>
      </c>
    </row>
    <row r="732" spans="1:1" x14ac:dyDescent="0.35">
      <c r="A732" s="4">
        <v>4500149832</v>
      </c>
    </row>
    <row r="733" spans="1:1" x14ac:dyDescent="0.35">
      <c r="A733" s="4">
        <v>4500149837</v>
      </c>
    </row>
    <row r="734" spans="1:1" x14ac:dyDescent="0.35">
      <c r="A734" s="4">
        <v>4500149842</v>
      </c>
    </row>
    <row r="735" spans="1:1" x14ac:dyDescent="0.35">
      <c r="A735" s="4">
        <v>4500149847</v>
      </c>
    </row>
    <row r="736" spans="1:1" x14ac:dyDescent="0.35">
      <c r="A736" s="4">
        <v>4500149850</v>
      </c>
    </row>
    <row r="737" spans="1:1" x14ac:dyDescent="0.35">
      <c r="A737" s="4">
        <v>4500149860</v>
      </c>
    </row>
    <row r="738" spans="1:1" x14ac:dyDescent="0.35">
      <c r="A738" s="4">
        <v>4500149865</v>
      </c>
    </row>
    <row r="739" spans="1:1" x14ac:dyDescent="0.35">
      <c r="A739" s="4">
        <v>4500149867</v>
      </c>
    </row>
    <row r="740" spans="1:1" x14ac:dyDescent="0.35">
      <c r="A740" s="4">
        <v>4500149869</v>
      </c>
    </row>
    <row r="741" spans="1:1" x14ac:dyDescent="0.35">
      <c r="A741" s="4">
        <v>4500149871</v>
      </c>
    </row>
    <row r="742" spans="1:1" x14ac:dyDescent="0.35">
      <c r="A742" s="4">
        <v>4500149873</v>
      </c>
    </row>
    <row r="743" spans="1:1" x14ac:dyDescent="0.35">
      <c r="A743" s="4">
        <v>4500149874</v>
      </c>
    </row>
    <row r="744" spans="1:1" x14ac:dyDescent="0.35">
      <c r="A744" s="4">
        <v>4500149876</v>
      </c>
    </row>
    <row r="745" spans="1:1" x14ac:dyDescent="0.35">
      <c r="A745" s="4">
        <v>4500149878</v>
      </c>
    </row>
    <row r="746" spans="1:1" x14ac:dyDescent="0.35">
      <c r="A746" s="4">
        <v>4500149880</v>
      </c>
    </row>
    <row r="747" spans="1:1" x14ac:dyDescent="0.35">
      <c r="A747" s="4">
        <v>4500149882</v>
      </c>
    </row>
    <row r="748" spans="1:1" x14ac:dyDescent="0.35">
      <c r="A748" s="4">
        <v>4500149884</v>
      </c>
    </row>
    <row r="749" spans="1:1" x14ac:dyDescent="0.35">
      <c r="A749" s="4">
        <v>4500149886</v>
      </c>
    </row>
    <row r="750" spans="1:1" x14ac:dyDescent="0.35">
      <c r="A750" s="4">
        <v>4500149888</v>
      </c>
    </row>
    <row r="751" spans="1:1" x14ac:dyDescent="0.35">
      <c r="A751" s="4">
        <v>4500149890</v>
      </c>
    </row>
    <row r="752" spans="1:1" x14ac:dyDescent="0.35">
      <c r="A752" s="4">
        <v>4500149892</v>
      </c>
    </row>
    <row r="753" spans="1:1" x14ac:dyDescent="0.35">
      <c r="A753" s="4">
        <v>4500149894</v>
      </c>
    </row>
    <row r="754" spans="1:1" x14ac:dyDescent="0.35">
      <c r="A754" s="4">
        <v>4500149965</v>
      </c>
    </row>
    <row r="755" spans="1:1" x14ac:dyDescent="0.35">
      <c r="A755" s="4">
        <v>4500149975</v>
      </c>
    </row>
    <row r="756" spans="1:1" x14ac:dyDescent="0.35">
      <c r="A756" s="4">
        <v>4500149979</v>
      </c>
    </row>
    <row r="757" spans="1:1" x14ac:dyDescent="0.35">
      <c r="A757" s="4">
        <v>4500149983</v>
      </c>
    </row>
    <row r="758" spans="1:1" x14ac:dyDescent="0.35">
      <c r="A758" s="4">
        <v>4500149992</v>
      </c>
    </row>
    <row r="759" spans="1:1" x14ac:dyDescent="0.35">
      <c r="A759" s="4">
        <v>4500149996</v>
      </c>
    </row>
    <row r="760" spans="1:1" x14ac:dyDescent="0.35">
      <c r="A760" s="4">
        <v>4500150008</v>
      </c>
    </row>
    <row r="761" spans="1:1" x14ac:dyDescent="0.35">
      <c r="A761" s="4">
        <v>4500150011</v>
      </c>
    </row>
    <row r="762" spans="1:1" x14ac:dyDescent="0.35">
      <c r="A762" s="4">
        <v>4500150017</v>
      </c>
    </row>
    <row r="763" spans="1:1" x14ac:dyDescent="0.35">
      <c r="A763" s="4">
        <v>4500150021</v>
      </c>
    </row>
    <row r="764" spans="1:1" x14ac:dyDescent="0.35">
      <c r="A764" s="4">
        <v>4500150026</v>
      </c>
    </row>
    <row r="765" spans="1:1" x14ac:dyDescent="0.35">
      <c r="A765" s="4">
        <v>4500150030</v>
      </c>
    </row>
    <row r="766" spans="1:1" x14ac:dyDescent="0.35">
      <c r="A766" s="4">
        <v>4500150037</v>
      </c>
    </row>
    <row r="767" spans="1:1" x14ac:dyDescent="0.35">
      <c r="A767" s="4">
        <v>4500150039</v>
      </c>
    </row>
    <row r="768" spans="1:1" x14ac:dyDescent="0.35">
      <c r="A768" s="4">
        <v>4500150047</v>
      </c>
    </row>
    <row r="769" spans="1:1" x14ac:dyDescent="0.35">
      <c r="A769" s="4">
        <v>4500150051</v>
      </c>
    </row>
    <row r="770" spans="1:1" x14ac:dyDescent="0.35">
      <c r="A770" s="4">
        <v>4500150065</v>
      </c>
    </row>
    <row r="771" spans="1:1" x14ac:dyDescent="0.35">
      <c r="A771" s="4">
        <v>4500150068</v>
      </c>
    </row>
    <row r="772" spans="1:1" x14ac:dyDescent="0.35">
      <c r="A772" s="4">
        <v>4500150074</v>
      </c>
    </row>
    <row r="773" spans="1:1" x14ac:dyDescent="0.35">
      <c r="A773" s="4">
        <v>4500150076</v>
      </c>
    </row>
    <row r="774" spans="1:1" x14ac:dyDescent="0.35">
      <c r="A774" s="4">
        <v>4500150079</v>
      </c>
    </row>
    <row r="775" spans="1:1" x14ac:dyDescent="0.35">
      <c r="A775" s="4">
        <v>4500150081</v>
      </c>
    </row>
    <row r="776" spans="1:1" x14ac:dyDescent="0.35">
      <c r="A776" s="4">
        <v>4500150115</v>
      </c>
    </row>
    <row r="777" spans="1:1" x14ac:dyDescent="0.35">
      <c r="A777" s="4">
        <v>4500150117</v>
      </c>
    </row>
    <row r="778" spans="1:1" x14ac:dyDescent="0.35">
      <c r="A778" s="4">
        <v>4500150120</v>
      </c>
    </row>
    <row r="779" spans="1:1" x14ac:dyDescent="0.35">
      <c r="A779" s="4">
        <v>4500150125</v>
      </c>
    </row>
    <row r="780" spans="1:1" x14ac:dyDescent="0.35">
      <c r="A780" s="4">
        <v>4500150126</v>
      </c>
    </row>
    <row r="781" spans="1:1" x14ac:dyDescent="0.35">
      <c r="A781" s="4">
        <v>4500150160</v>
      </c>
    </row>
    <row r="782" spans="1:1" x14ac:dyDescent="0.35">
      <c r="A782" s="4">
        <v>4500150163</v>
      </c>
    </row>
    <row r="783" spans="1:1" x14ac:dyDescent="0.35">
      <c r="A783" s="4">
        <v>4500150177</v>
      </c>
    </row>
    <row r="784" spans="1:1" x14ac:dyDescent="0.35">
      <c r="A784" s="4">
        <v>4500150182</v>
      </c>
    </row>
    <row r="785" spans="1:1" x14ac:dyDescent="0.35">
      <c r="A785" s="4">
        <v>4500150187</v>
      </c>
    </row>
    <row r="786" spans="1:1" x14ac:dyDescent="0.35">
      <c r="A786" s="4">
        <v>4500150192</v>
      </c>
    </row>
    <row r="787" spans="1:1" x14ac:dyDescent="0.35">
      <c r="A787" s="4">
        <v>4500150200</v>
      </c>
    </row>
    <row r="788" spans="1:1" x14ac:dyDescent="0.35">
      <c r="A788" s="4">
        <v>4500150206</v>
      </c>
    </row>
    <row r="789" spans="1:1" x14ac:dyDescent="0.35">
      <c r="A789" s="4">
        <v>4500150211</v>
      </c>
    </row>
    <row r="790" spans="1:1" x14ac:dyDescent="0.35">
      <c r="A790" s="4">
        <v>4500150215</v>
      </c>
    </row>
    <row r="791" spans="1:1" x14ac:dyDescent="0.35">
      <c r="A791" s="4">
        <v>4500150219</v>
      </c>
    </row>
    <row r="792" spans="1:1" x14ac:dyDescent="0.35">
      <c r="A792" s="4">
        <v>4500150223</v>
      </c>
    </row>
    <row r="793" spans="1:1" x14ac:dyDescent="0.35">
      <c r="A793" s="4">
        <v>4500150227</v>
      </c>
    </row>
    <row r="794" spans="1:1" x14ac:dyDescent="0.35">
      <c r="A794" s="4">
        <v>4500150231</v>
      </c>
    </row>
    <row r="795" spans="1:1" x14ac:dyDescent="0.35">
      <c r="A795" s="4">
        <v>4500150234</v>
      </c>
    </row>
    <row r="796" spans="1:1" x14ac:dyDescent="0.35">
      <c r="A796" s="4">
        <v>4500150239</v>
      </c>
    </row>
    <row r="797" spans="1:1" x14ac:dyDescent="0.35">
      <c r="A797" s="4">
        <v>4500150246</v>
      </c>
    </row>
    <row r="798" spans="1:1" x14ac:dyDescent="0.35">
      <c r="A798" s="4">
        <v>4500150249</v>
      </c>
    </row>
    <row r="799" spans="1:1" x14ac:dyDescent="0.35">
      <c r="A799" s="4">
        <v>4500150256</v>
      </c>
    </row>
    <row r="800" spans="1:1" x14ac:dyDescent="0.35">
      <c r="A800" s="4">
        <v>4500150259</v>
      </c>
    </row>
    <row r="801" spans="1:1" x14ac:dyDescent="0.35">
      <c r="A801" s="4">
        <v>4500150262</v>
      </c>
    </row>
    <row r="802" spans="1:1" x14ac:dyDescent="0.35">
      <c r="A802" s="4">
        <v>4500150264</v>
      </c>
    </row>
    <row r="803" spans="1:1" x14ac:dyDescent="0.35">
      <c r="A803" s="4">
        <v>4500150270</v>
      </c>
    </row>
    <row r="804" spans="1:1" x14ac:dyDescent="0.35">
      <c r="A804" s="4">
        <v>4500150274</v>
      </c>
    </row>
    <row r="805" spans="1:1" x14ac:dyDescent="0.35">
      <c r="A805" s="4">
        <v>4500150277</v>
      </c>
    </row>
    <row r="806" spans="1:1" x14ac:dyDescent="0.35">
      <c r="A806" s="4">
        <v>4500150281</v>
      </c>
    </row>
    <row r="807" spans="1:1" x14ac:dyDescent="0.35">
      <c r="A807" s="4">
        <v>4500150286</v>
      </c>
    </row>
    <row r="808" spans="1:1" x14ac:dyDescent="0.35">
      <c r="A808" s="4">
        <v>4500150289</v>
      </c>
    </row>
    <row r="809" spans="1:1" x14ac:dyDescent="0.35">
      <c r="A809" s="4">
        <v>4500150291</v>
      </c>
    </row>
    <row r="810" spans="1:1" x14ac:dyDescent="0.35">
      <c r="A810" s="4">
        <v>4500150295</v>
      </c>
    </row>
    <row r="811" spans="1:1" x14ac:dyDescent="0.35">
      <c r="A811" s="4">
        <v>4500150298</v>
      </c>
    </row>
    <row r="812" spans="1:1" x14ac:dyDescent="0.35">
      <c r="A812" s="4">
        <v>4500150301</v>
      </c>
    </row>
    <row r="813" spans="1:1" x14ac:dyDescent="0.35">
      <c r="A813" s="4">
        <v>4500150304</v>
      </c>
    </row>
    <row r="814" spans="1:1" x14ac:dyDescent="0.35">
      <c r="A814" s="4">
        <v>4500150306</v>
      </c>
    </row>
    <row r="815" spans="1:1" x14ac:dyDescent="0.35">
      <c r="A815" s="4">
        <v>4500150317</v>
      </c>
    </row>
    <row r="816" spans="1:1" x14ac:dyDescent="0.35">
      <c r="A816" s="4">
        <v>4500150357</v>
      </c>
    </row>
    <row r="817" spans="1:1" x14ac:dyDescent="0.35">
      <c r="A817" s="4">
        <v>4500150385</v>
      </c>
    </row>
    <row r="818" spans="1:1" x14ac:dyDescent="0.35">
      <c r="A818" s="4">
        <v>4500150388</v>
      </c>
    </row>
    <row r="819" spans="1:1" x14ac:dyDescent="0.35">
      <c r="A819" s="4">
        <v>4500150398</v>
      </c>
    </row>
    <row r="820" spans="1:1" x14ac:dyDescent="0.35">
      <c r="A820" s="4">
        <v>4500150402</v>
      </c>
    </row>
    <row r="821" spans="1:1" x14ac:dyDescent="0.35">
      <c r="A821" s="4">
        <v>4500150408</v>
      </c>
    </row>
    <row r="822" spans="1:1" x14ac:dyDescent="0.35">
      <c r="A822" s="4">
        <v>4500150411</v>
      </c>
    </row>
    <row r="823" spans="1:1" x14ac:dyDescent="0.35">
      <c r="A823" s="4">
        <v>4500150415</v>
      </c>
    </row>
    <row r="824" spans="1:1" x14ac:dyDescent="0.35">
      <c r="A824" s="4">
        <v>4500150420</v>
      </c>
    </row>
    <row r="825" spans="1:1" x14ac:dyDescent="0.35">
      <c r="A825" s="4">
        <v>4500150423</v>
      </c>
    </row>
    <row r="826" spans="1:1" x14ac:dyDescent="0.35">
      <c r="A826" s="4">
        <v>4500150427</v>
      </c>
    </row>
    <row r="827" spans="1:1" x14ac:dyDescent="0.35">
      <c r="A827" s="4">
        <v>4500150430</v>
      </c>
    </row>
    <row r="828" spans="1:1" x14ac:dyDescent="0.35">
      <c r="A828" s="4">
        <v>4500150435</v>
      </c>
    </row>
    <row r="829" spans="1:1" x14ac:dyDescent="0.35">
      <c r="A829" s="4">
        <v>4500150440</v>
      </c>
    </row>
    <row r="830" spans="1:1" x14ac:dyDescent="0.35">
      <c r="A830" s="4">
        <v>4500150445</v>
      </c>
    </row>
    <row r="831" spans="1:1" x14ac:dyDescent="0.35">
      <c r="A831" s="4">
        <v>4500150449</v>
      </c>
    </row>
    <row r="832" spans="1:1" x14ac:dyDescent="0.35">
      <c r="A832" s="4">
        <v>4500150451</v>
      </c>
    </row>
    <row r="833" spans="1:1" x14ac:dyDescent="0.35">
      <c r="A833" s="4">
        <v>4500150457</v>
      </c>
    </row>
    <row r="834" spans="1:1" x14ac:dyDescent="0.35">
      <c r="A834" s="4">
        <v>4500150467</v>
      </c>
    </row>
    <row r="835" spans="1:1" x14ac:dyDescent="0.35">
      <c r="A835" s="4">
        <v>4500150484</v>
      </c>
    </row>
    <row r="836" spans="1:1" x14ac:dyDescent="0.35">
      <c r="A836" s="4">
        <v>4500150497</v>
      </c>
    </row>
    <row r="837" spans="1:1" x14ac:dyDescent="0.35">
      <c r="A837" s="4">
        <v>4500150501</v>
      </c>
    </row>
    <row r="838" spans="1:1" x14ac:dyDescent="0.35">
      <c r="A838" s="4">
        <v>4500150502</v>
      </c>
    </row>
    <row r="839" spans="1:1" x14ac:dyDescent="0.35">
      <c r="A839" s="4">
        <v>4500150509</v>
      </c>
    </row>
    <row r="840" spans="1:1" x14ac:dyDescent="0.35">
      <c r="A840" s="4">
        <v>4500150513</v>
      </c>
    </row>
    <row r="841" spans="1:1" x14ac:dyDescent="0.35">
      <c r="A841" s="4">
        <v>4500150517</v>
      </c>
    </row>
    <row r="842" spans="1:1" x14ac:dyDescent="0.35">
      <c r="A842" s="4">
        <v>4500150569</v>
      </c>
    </row>
    <row r="843" spans="1:1" x14ac:dyDescent="0.35">
      <c r="A843" s="4">
        <v>4500150592</v>
      </c>
    </row>
    <row r="844" spans="1:1" x14ac:dyDescent="0.35">
      <c r="A844" s="4">
        <v>4500150597</v>
      </c>
    </row>
    <row r="845" spans="1:1" x14ac:dyDescent="0.35">
      <c r="A845" s="4">
        <v>4500150600</v>
      </c>
    </row>
    <row r="846" spans="1:1" x14ac:dyDescent="0.35">
      <c r="A846" s="4">
        <v>4500150611</v>
      </c>
    </row>
    <row r="847" spans="1:1" x14ac:dyDescent="0.35">
      <c r="A847" s="4">
        <v>4500150617</v>
      </c>
    </row>
    <row r="848" spans="1:1" x14ac:dyDescent="0.35">
      <c r="A848" s="4">
        <v>4500150621</v>
      </c>
    </row>
    <row r="849" spans="1:1" x14ac:dyDescent="0.35">
      <c r="A849" s="4">
        <v>4500150626</v>
      </c>
    </row>
    <row r="850" spans="1:1" x14ac:dyDescent="0.35">
      <c r="A850" s="4">
        <v>4500150629</v>
      </c>
    </row>
    <row r="851" spans="1:1" x14ac:dyDescent="0.35">
      <c r="A851" s="4">
        <v>4500150633</v>
      </c>
    </row>
    <row r="852" spans="1:1" x14ac:dyDescent="0.35">
      <c r="A852" s="4">
        <v>4500150637</v>
      </c>
    </row>
    <row r="853" spans="1:1" x14ac:dyDescent="0.35">
      <c r="A853" s="4">
        <v>4500150641</v>
      </c>
    </row>
    <row r="854" spans="1:1" x14ac:dyDescent="0.35">
      <c r="A854" s="4">
        <v>4500150652</v>
      </c>
    </row>
    <row r="855" spans="1:1" x14ac:dyDescent="0.35">
      <c r="A855" s="4">
        <v>4500150659</v>
      </c>
    </row>
    <row r="856" spans="1:1" x14ac:dyDescent="0.35">
      <c r="A856" s="4">
        <v>4500150671</v>
      </c>
    </row>
    <row r="857" spans="1:1" x14ac:dyDescent="0.35">
      <c r="A857" s="4">
        <v>4500150674</v>
      </c>
    </row>
    <row r="858" spans="1:1" x14ac:dyDescent="0.35">
      <c r="A858" s="4">
        <v>4500150675</v>
      </c>
    </row>
    <row r="859" spans="1:1" x14ac:dyDescent="0.35">
      <c r="A859" s="4">
        <v>4500150676</v>
      </c>
    </row>
    <row r="860" spans="1:1" x14ac:dyDescent="0.35">
      <c r="A860" s="4">
        <v>4500150678</v>
      </c>
    </row>
    <row r="861" spans="1:1" x14ac:dyDescent="0.35">
      <c r="A861" s="4">
        <v>4500150679</v>
      </c>
    </row>
    <row r="862" spans="1:1" x14ac:dyDescent="0.35">
      <c r="A862" s="4">
        <v>4500150681</v>
      </c>
    </row>
    <row r="863" spans="1:1" x14ac:dyDescent="0.35">
      <c r="A863" s="4">
        <v>4500150685</v>
      </c>
    </row>
    <row r="864" spans="1:1" x14ac:dyDescent="0.35">
      <c r="A864" s="4">
        <v>4500150686</v>
      </c>
    </row>
    <row r="865" spans="1:1" x14ac:dyDescent="0.35">
      <c r="A865" s="4">
        <v>4500150687</v>
      </c>
    </row>
    <row r="866" spans="1:1" x14ac:dyDescent="0.35">
      <c r="A866" s="4">
        <v>4500150689</v>
      </c>
    </row>
    <row r="867" spans="1:1" x14ac:dyDescent="0.35">
      <c r="A867" s="4">
        <v>4500150690</v>
      </c>
    </row>
    <row r="868" spans="1:1" x14ac:dyDescent="0.35">
      <c r="A868" s="4">
        <v>4500150692</v>
      </c>
    </row>
    <row r="869" spans="1:1" x14ac:dyDescent="0.35">
      <c r="A869" s="4">
        <v>4500150693</v>
      </c>
    </row>
    <row r="870" spans="1:1" x14ac:dyDescent="0.35">
      <c r="A870" s="4">
        <v>4500150694</v>
      </c>
    </row>
    <row r="871" spans="1:1" x14ac:dyDescent="0.35">
      <c r="A871" s="4">
        <v>4500150696</v>
      </c>
    </row>
    <row r="872" spans="1:1" x14ac:dyDescent="0.35">
      <c r="A872" s="4">
        <v>4500150699</v>
      </c>
    </row>
    <row r="873" spans="1:1" x14ac:dyDescent="0.35">
      <c r="A873" s="4">
        <v>4500150747</v>
      </c>
    </row>
    <row r="874" spans="1:1" x14ac:dyDescent="0.35">
      <c r="A874" s="4">
        <v>4500150748</v>
      </c>
    </row>
    <row r="875" spans="1:1" x14ac:dyDescent="0.35">
      <c r="A875" s="4">
        <v>4500150749</v>
      </c>
    </row>
    <row r="876" spans="1:1" x14ac:dyDescent="0.35">
      <c r="A876" s="4">
        <v>4500150750</v>
      </c>
    </row>
    <row r="877" spans="1:1" x14ac:dyDescent="0.35">
      <c r="A877" s="4">
        <v>4500150751</v>
      </c>
    </row>
    <row r="878" spans="1:1" x14ac:dyDescent="0.35">
      <c r="A878" s="4">
        <v>4500150753</v>
      </c>
    </row>
    <row r="879" spans="1:1" x14ac:dyDescent="0.35">
      <c r="A879" s="4">
        <v>4500150754</v>
      </c>
    </row>
    <row r="880" spans="1:1" x14ac:dyDescent="0.35">
      <c r="A880" s="4">
        <v>4500150755</v>
      </c>
    </row>
    <row r="881" spans="1:1" x14ac:dyDescent="0.35">
      <c r="A881" s="4">
        <v>4500150756</v>
      </c>
    </row>
    <row r="882" spans="1:1" x14ac:dyDescent="0.35">
      <c r="A882" s="4">
        <v>4500150757</v>
      </c>
    </row>
    <row r="883" spans="1:1" x14ac:dyDescent="0.35">
      <c r="A883" s="4">
        <v>4500150773</v>
      </c>
    </row>
    <row r="884" spans="1:1" x14ac:dyDescent="0.35">
      <c r="A884" s="4">
        <v>4500150778</v>
      </c>
    </row>
    <row r="885" spans="1:1" x14ac:dyDescent="0.35">
      <c r="A885" s="4">
        <v>4500150781</v>
      </c>
    </row>
    <row r="886" spans="1:1" x14ac:dyDescent="0.35">
      <c r="A886" s="4">
        <v>4500150786</v>
      </c>
    </row>
    <row r="887" spans="1:1" x14ac:dyDescent="0.35">
      <c r="A887" s="4">
        <v>4500150787</v>
      </c>
    </row>
    <row r="888" spans="1:1" x14ac:dyDescent="0.35">
      <c r="A888" s="4">
        <v>4500150792</v>
      </c>
    </row>
    <row r="889" spans="1:1" x14ac:dyDescent="0.35">
      <c r="A889" s="4">
        <v>4500150797</v>
      </c>
    </row>
    <row r="890" spans="1:1" x14ac:dyDescent="0.35">
      <c r="A890" s="4">
        <v>4500150801</v>
      </c>
    </row>
    <row r="891" spans="1:1" x14ac:dyDescent="0.35">
      <c r="A891" s="4">
        <v>4500150805</v>
      </c>
    </row>
    <row r="892" spans="1:1" x14ac:dyDescent="0.35">
      <c r="A892" s="4">
        <v>4500150812</v>
      </c>
    </row>
    <row r="893" spans="1:1" x14ac:dyDescent="0.35">
      <c r="A893" s="4">
        <v>4500150814</v>
      </c>
    </row>
    <row r="894" spans="1:1" x14ac:dyDescent="0.35">
      <c r="A894" s="4">
        <v>4500150824</v>
      </c>
    </row>
    <row r="895" spans="1:1" x14ac:dyDescent="0.35">
      <c r="A895" s="4">
        <v>4500150827</v>
      </c>
    </row>
    <row r="896" spans="1:1" x14ac:dyDescent="0.35">
      <c r="A896" s="4">
        <v>4500150830</v>
      </c>
    </row>
    <row r="897" spans="1:1" x14ac:dyDescent="0.35">
      <c r="A897" s="4">
        <v>4500150833</v>
      </c>
    </row>
    <row r="898" spans="1:1" x14ac:dyDescent="0.35">
      <c r="A898" s="4">
        <v>4500150840</v>
      </c>
    </row>
    <row r="899" spans="1:1" x14ac:dyDescent="0.35">
      <c r="A899" s="4">
        <v>4500150843</v>
      </c>
    </row>
    <row r="900" spans="1:1" x14ac:dyDescent="0.35">
      <c r="A900" s="4">
        <v>4500150847</v>
      </c>
    </row>
    <row r="901" spans="1:1" x14ac:dyDescent="0.35">
      <c r="A901" s="4">
        <v>4500150854</v>
      </c>
    </row>
    <row r="902" spans="1:1" x14ac:dyDescent="0.35">
      <c r="A902" s="4">
        <v>4500150860</v>
      </c>
    </row>
    <row r="903" spans="1:1" x14ac:dyDescent="0.35">
      <c r="A903" s="4">
        <v>4500150863</v>
      </c>
    </row>
    <row r="904" spans="1:1" x14ac:dyDescent="0.35">
      <c r="A904" s="4">
        <v>4500150867</v>
      </c>
    </row>
    <row r="905" spans="1:1" x14ac:dyDescent="0.35">
      <c r="A905" s="4">
        <v>4500150889</v>
      </c>
    </row>
    <row r="906" spans="1:1" x14ac:dyDescent="0.35">
      <c r="A906" s="4">
        <v>4500150893</v>
      </c>
    </row>
    <row r="907" spans="1:1" x14ac:dyDescent="0.35">
      <c r="A907" s="4">
        <v>4500150988</v>
      </c>
    </row>
    <row r="908" spans="1:1" x14ac:dyDescent="0.35">
      <c r="A908" s="4">
        <v>4500150994</v>
      </c>
    </row>
    <row r="909" spans="1:1" x14ac:dyDescent="0.35">
      <c r="A909" s="4">
        <v>4500150998</v>
      </c>
    </row>
    <row r="910" spans="1:1" x14ac:dyDescent="0.35">
      <c r="A910" s="4">
        <v>4500151001</v>
      </c>
    </row>
    <row r="911" spans="1:1" x14ac:dyDescent="0.35">
      <c r="A911" s="4">
        <v>4500151004</v>
      </c>
    </row>
    <row r="912" spans="1:1" x14ac:dyDescent="0.35">
      <c r="A912" s="4">
        <v>4500151008</v>
      </c>
    </row>
    <row r="913" spans="1:1" x14ac:dyDescent="0.35">
      <c r="A913" s="4">
        <v>4500151012</v>
      </c>
    </row>
    <row r="914" spans="1:1" x14ac:dyDescent="0.35">
      <c r="A914" s="4">
        <v>4500151020</v>
      </c>
    </row>
    <row r="915" spans="1:1" x14ac:dyDescent="0.35">
      <c r="A915" s="4">
        <v>4500151027</v>
      </c>
    </row>
    <row r="916" spans="1:1" x14ac:dyDescent="0.35">
      <c r="A916" s="4">
        <v>4500151032</v>
      </c>
    </row>
    <row r="917" spans="1:1" x14ac:dyDescent="0.35">
      <c r="A917" s="4">
        <v>4500151037</v>
      </c>
    </row>
    <row r="918" spans="1:1" x14ac:dyDescent="0.35">
      <c r="A918" s="4">
        <v>4500151044</v>
      </c>
    </row>
    <row r="919" spans="1:1" x14ac:dyDescent="0.35">
      <c r="A919" s="4">
        <v>4500151049</v>
      </c>
    </row>
    <row r="920" spans="1:1" x14ac:dyDescent="0.35">
      <c r="A920" s="4">
        <v>4500151054</v>
      </c>
    </row>
    <row r="921" spans="1:1" x14ac:dyDescent="0.35">
      <c r="A921" s="4">
        <v>4500151058</v>
      </c>
    </row>
    <row r="922" spans="1:1" x14ac:dyDescent="0.35">
      <c r="A922" s="4">
        <v>4500151061</v>
      </c>
    </row>
    <row r="923" spans="1:1" x14ac:dyDescent="0.35">
      <c r="A923" s="4">
        <v>4500151068</v>
      </c>
    </row>
    <row r="924" spans="1:1" x14ac:dyDescent="0.35">
      <c r="A924" s="4">
        <v>4500151070</v>
      </c>
    </row>
    <row r="925" spans="1:1" x14ac:dyDescent="0.35">
      <c r="A925" s="4">
        <v>4500151077</v>
      </c>
    </row>
    <row r="926" spans="1:1" x14ac:dyDescent="0.35">
      <c r="A926" s="4">
        <v>4500151082</v>
      </c>
    </row>
    <row r="927" spans="1:1" x14ac:dyDescent="0.35">
      <c r="A927" s="4">
        <v>4500151089</v>
      </c>
    </row>
    <row r="928" spans="1:1" x14ac:dyDescent="0.35">
      <c r="A928" s="4">
        <v>4500151093</v>
      </c>
    </row>
    <row r="929" spans="1:1" x14ac:dyDescent="0.35">
      <c r="A929" s="4">
        <v>4500151095</v>
      </c>
    </row>
    <row r="930" spans="1:1" x14ac:dyDescent="0.35">
      <c r="A930" s="4">
        <v>4500151097</v>
      </c>
    </row>
    <row r="931" spans="1:1" x14ac:dyDescent="0.35">
      <c r="A931" s="4">
        <v>4500151099</v>
      </c>
    </row>
    <row r="932" spans="1:1" x14ac:dyDescent="0.35">
      <c r="A932" s="4">
        <v>4500151103</v>
      </c>
    </row>
    <row r="933" spans="1:1" x14ac:dyDescent="0.35">
      <c r="A933" s="4">
        <v>4500151106</v>
      </c>
    </row>
    <row r="934" spans="1:1" x14ac:dyDescent="0.35">
      <c r="A934" s="4">
        <v>4500151108</v>
      </c>
    </row>
    <row r="935" spans="1:1" x14ac:dyDescent="0.35">
      <c r="A935" s="4">
        <v>4500151110</v>
      </c>
    </row>
    <row r="936" spans="1:1" x14ac:dyDescent="0.35">
      <c r="A936" s="4">
        <v>4500151113</v>
      </c>
    </row>
    <row r="937" spans="1:1" x14ac:dyDescent="0.35">
      <c r="A937" s="4">
        <v>4500151115</v>
      </c>
    </row>
    <row r="938" spans="1:1" x14ac:dyDescent="0.35">
      <c r="A938" s="4">
        <v>4500151179</v>
      </c>
    </row>
    <row r="939" spans="1:1" x14ac:dyDescent="0.35">
      <c r="A939" s="4">
        <v>4500151186</v>
      </c>
    </row>
    <row r="940" spans="1:1" x14ac:dyDescent="0.35">
      <c r="A940" s="4">
        <v>4500151192</v>
      </c>
    </row>
    <row r="941" spans="1:1" x14ac:dyDescent="0.35">
      <c r="A941" s="4">
        <v>4500151195</v>
      </c>
    </row>
    <row r="942" spans="1:1" x14ac:dyDescent="0.35">
      <c r="A942" s="4">
        <v>4500151200</v>
      </c>
    </row>
    <row r="943" spans="1:1" x14ac:dyDescent="0.35">
      <c r="A943" s="4">
        <v>4500151205</v>
      </c>
    </row>
    <row r="944" spans="1:1" x14ac:dyDescent="0.35">
      <c r="A944" s="4">
        <v>4500151210</v>
      </c>
    </row>
    <row r="945" spans="1:1" x14ac:dyDescent="0.35">
      <c r="A945" s="4">
        <v>4500151212</v>
      </c>
    </row>
    <row r="946" spans="1:1" x14ac:dyDescent="0.35">
      <c r="A946" s="4">
        <v>4500151216</v>
      </c>
    </row>
    <row r="947" spans="1:1" x14ac:dyDescent="0.35">
      <c r="A947" s="4">
        <v>4500151220</v>
      </c>
    </row>
    <row r="948" spans="1:1" x14ac:dyDescent="0.35">
      <c r="A948" s="4">
        <v>4500151227</v>
      </c>
    </row>
    <row r="949" spans="1:1" x14ac:dyDescent="0.35">
      <c r="A949" s="4">
        <v>4500151230</v>
      </c>
    </row>
    <row r="950" spans="1:1" x14ac:dyDescent="0.35">
      <c r="A950" s="4">
        <v>4500151239</v>
      </c>
    </row>
    <row r="951" spans="1:1" x14ac:dyDescent="0.35">
      <c r="A951" s="4">
        <v>4500151241</v>
      </c>
    </row>
    <row r="952" spans="1:1" x14ac:dyDescent="0.35">
      <c r="A952" s="4">
        <v>4500151243</v>
      </c>
    </row>
    <row r="953" spans="1:1" x14ac:dyDescent="0.35">
      <c r="A953" s="4">
        <v>4500151246</v>
      </c>
    </row>
    <row r="954" spans="1:1" x14ac:dyDescent="0.35">
      <c r="A954" s="4">
        <v>4500151248</v>
      </c>
    </row>
    <row r="955" spans="1:1" x14ac:dyDescent="0.35">
      <c r="A955" s="4">
        <v>4500151251</v>
      </c>
    </row>
    <row r="956" spans="1:1" x14ac:dyDescent="0.35">
      <c r="A956" s="4">
        <v>4500151256</v>
      </c>
    </row>
    <row r="957" spans="1:1" x14ac:dyDescent="0.35">
      <c r="A957" s="4">
        <v>4500151258</v>
      </c>
    </row>
    <row r="958" spans="1:1" x14ac:dyDescent="0.35">
      <c r="A958" s="4">
        <v>4500151262</v>
      </c>
    </row>
    <row r="959" spans="1:1" x14ac:dyDescent="0.35">
      <c r="A959" s="4">
        <v>4500151272</v>
      </c>
    </row>
    <row r="960" spans="1:1" x14ac:dyDescent="0.35">
      <c r="A960" s="4">
        <v>4500151276</v>
      </c>
    </row>
    <row r="961" spans="1:1" x14ac:dyDescent="0.35">
      <c r="A961" s="4">
        <v>4500151279</v>
      </c>
    </row>
    <row r="962" spans="1:1" x14ac:dyDescent="0.35">
      <c r="A962" s="4">
        <v>4500151287</v>
      </c>
    </row>
    <row r="963" spans="1:1" x14ac:dyDescent="0.35">
      <c r="A963" s="4">
        <v>4500151290</v>
      </c>
    </row>
    <row r="964" spans="1:1" x14ac:dyDescent="0.35">
      <c r="A964" s="4">
        <v>4500151293</v>
      </c>
    </row>
    <row r="965" spans="1:1" x14ac:dyDescent="0.35">
      <c r="A965" s="4">
        <v>4500151294</v>
      </c>
    </row>
    <row r="966" spans="1:1" x14ac:dyDescent="0.35">
      <c r="A966" s="4">
        <v>4500151297</v>
      </c>
    </row>
    <row r="967" spans="1:1" x14ac:dyDescent="0.35">
      <c r="A967" s="4">
        <v>4500151299</v>
      </c>
    </row>
    <row r="968" spans="1:1" x14ac:dyDescent="0.35">
      <c r="A968" s="4">
        <v>4500151323</v>
      </c>
    </row>
    <row r="969" spans="1:1" x14ac:dyDescent="0.35">
      <c r="A969" s="4">
        <v>4500151332</v>
      </c>
    </row>
    <row r="970" spans="1:1" x14ac:dyDescent="0.35">
      <c r="A970" s="4">
        <v>4500151385</v>
      </c>
    </row>
    <row r="971" spans="1:1" x14ac:dyDescent="0.35">
      <c r="A971" s="4">
        <v>4500151393</v>
      </c>
    </row>
    <row r="972" spans="1:1" x14ac:dyDescent="0.35">
      <c r="A972" s="4">
        <v>4500151401</v>
      </c>
    </row>
    <row r="973" spans="1:1" x14ac:dyDescent="0.35">
      <c r="A973" s="4">
        <v>4500151409</v>
      </c>
    </row>
    <row r="974" spans="1:1" x14ac:dyDescent="0.35">
      <c r="A974" s="4">
        <v>4500151414</v>
      </c>
    </row>
    <row r="975" spans="1:1" x14ac:dyDescent="0.35">
      <c r="A975" s="4">
        <v>4500151419</v>
      </c>
    </row>
    <row r="976" spans="1:1" x14ac:dyDescent="0.35">
      <c r="A976" s="4">
        <v>4500151426</v>
      </c>
    </row>
    <row r="977" spans="1:1" x14ac:dyDescent="0.35">
      <c r="A977" s="4">
        <v>4500151437</v>
      </c>
    </row>
    <row r="978" spans="1:1" x14ac:dyDescent="0.35">
      <c r="A978" s="4">
        <v>4500151443</v>
      </c>
    </row>
    <row r="979" spans="1:1" x14ac:dyDescent="0.35">
      <c r="A979" s="4">
        <v>4500151450</v>
      </c>
    </row>
    <row r="980" spans="1:1" x14ac:dyDescent="0.35">
      <c r="A980" s="4">
        <v>4500151454</v>
      </c>
    </row>
    <row r="981" spans="1:1" x14ac:dyDescent="0.35">
      <c r="A981" s="4">
        <v>4500151467</v>
      </c>
    </row>
    <row r="982" spans="1:1" x14ac:dyDescent="0.35">
      <c r="A982" s="4">
        <v>4500151470</v>
      </c>
    </row>
    <row r="983" spans="1:1" x14ac:dyDescent="0.35">
      <c r="A983" s="4">
        <v>4500151471</v>
      </c>
    </row>
    <row r="984" spans="1:1" x14ac:dyDescent="0.35">
      <c r="A984" s="4">
        <v>4500151474</v>
      </c>
    </row>
    <row r="985" spans="1:1" x14ac:dyDescent="0.35">
      <c r="A985" s="4">
        <v>4500151480</v>
      </c>
    </row>
    <row r="986" spans="1:1" x14ac:dyDescent="0.35">
      <c r="A986" s="4">
        <v>4500151483</v>
      </c>
    </row>
    <row r="987" spans="1:1" x14ac:dyDescent="0.35">
      <c r="A987" s="4">
        <v>4500151511</v>
      </c>
    </row>
    <row r="988" spans="1:1" x14ac:dyDescent="0.35">
      <c r="A988" s="4">
        <v>4500151565</v>
      </c>
    </row>
    <row r="989" spans="1:1" x14ac:dyDescent="0.35">
      <c r="A989" s="4">
        <v>4500151568</v>
      </c>
    </row>
    <row r="990" spans="1:1" x14ac:dyDescent="0.35">
      <c r="A990" s="4">
        <v>4500151575</v>
      </c>
    </row>
    <row r="991" spans="1:1" x14ac:dyDescent="0.35">
      <c r="A991" s="4">
        <v>4500151581</v>
      </c>
    </row>
    <row r="992" spans="1:1" x14ac:dyDescent="0.35">
      <c r="A992" s="4">
        <v>4500151584</v>
      </c>
    </row>
    <row r="993" spans="1:1" x14ac:dyDescent="0.35">
      <c r="A993" s="4">
        <v>4500151587</v>
      </c>
    </row>
    <row r="994" spans="1:1" x14ac:dyDescent="0.35">
      <c r="A994" s="4">
        <v>4500151590</v>
      </c>
    </row>
    <row r="995" spans="1:1" x14ac:dyDescent="0.35">
      <c r="A995" s="4">
        <v>4500151601</v>
      </c>
    </row>
    <row r="996" spans="1:1" x14ac:dyDescent="0.35">
      <c r="A996" s="4">
        <v>4500151606</v>
      </c>
    </row>
    <row r="997" spans="1:1" x14ac:dyDescent="0.35">
      <c r="A997" s="4">
        <v>4500151609</v>
      </c>
    </row>
    <row r="998" spans="1:1" x14ac:dyDescent="0.35">
      <c r="A998" s="4">
        <v>4500151619</v>
      </c>
    </row>
    <row r="999" spans="1:1" x14ac:dyDescent="0.35">
      <c r="A999" s="4">
        <v>4500151623</v>
      </c>
    </row>
    <row r="1000" spans="1:1" x14ac:dyDescent="0.35">
      <c r="A1000" s="4">
        <v>4500151627</v>
      </c>
    </row>
    <row r="1001" spans="1:1" x14ac:dyDescent="0.35">
      <c r="A1001" s="4">
        <v>4500151630</v>
      </c>
    </row>
    <row r="1002" spans="1:1" x14ac:dyDescent="0.35">
      <c r="A1002" s="4">
        <v>4500151633</v>
      </c>
    </row>
    <row r="1003" spans="1:1" x14ac:dyDescent="0.35">
      <c r="A1003" s="4">
        <v>4500151637</v>
      </c>
    </row>
    <row r="1004" spans="1:1" x14ac:dyDescent="0.35">
      <c r="A1004" s="4">
        <v>4500151641</v>
      </c>
    </row>
    <row r="1005" spans="1:1" x14ac:dyDescent="0.35">
      <c r="A1005" s="4">
        <v>4500151644</v>
      </c>
    </row>
    <row r="1006" spans="1:1" x14ac:dyDescent="0.35">
      <c r="A1006" s="4">
        <v>4500151649</v>
      </c>
    </row>
    <row r="1007" spans="1:1" x14ac:dyDescent="0.35">
      <c r="A1007" s="4">
        <v>4500151654</v>
      </c>
    </row>
    <row r="1008" spans="1:1" x14ac:dyDescent="0.35">
      <c r="A1008" s="4">
        <v>4500151656</v>
      </c>
    </row>
    <row r="1009" spans="1:1" x14ac:dyDescent="0.35">
      <c r="A1009" s="4">
        <v>4500151660</v>
      </c>
    </row>
    <row r="1010" spans="1:1" x14ac:dyDescent="0.35">
      <c r="A1010" s="4">
        <v>4500151661</v>
      </c>
    </row>
    <row r="1011" spans="1:1" x14ac:dyDescent="0.35">
      <c r="A1011" s="4">
        <v>4500151662</v>
      </c>
    </row>
    <row r="1012" spans="1:1" x14ac:dyDescent="0.35">
      <c r="A1012" s="4">
        <v>4500151665</v>
      </c>
    </row>
    <row r="1013" spans="1:1" x14ac:dyDescent="0.35">
      <c r="A1013" s="4">
        <v>4500151667</v>
      </c>
    </row>
    <row r="1014" spans="1:1" x14ac:dyDescent="0.35">
      <c r="A1014" s="4">
        <v>4500151669</v>
      </c>
    </row>
    <row r="1015" spans="1:1" x14ac:dyDescent="0.35">
      <c r="A1015" s="4">
        <v>4500151670</v>
      </c>
    </row>
    <row r="1016" spans="1:1" x14ac:dyDescent="0.35">
      <c r="A1016" s="4">
        <v>4500151671</v>
      </c>
    </row>
    <row r="1017" spans="1:1" x14ac:dyDescent="0.35">
      <c r="A1017" s="4">
        <v>4500151673</v>
      </c>
    </row>
    <row r="1018" spans="1:1" x14ac:dyDescent="0.35">
      <c r="A1018" s="4">
        <v>4500151675</v>
      </c>
    </row>
    <row r="1019" spans="1:1" x14ac:dyDescent="0.35">
      <c r="A1019" s="4">
        <v>4500151676</v>
      </c>
    </row>
    <row r="1020" spans="1:1" x14ac:dyDescent="0.35">
      <c r="A1020" s="4">
        <v>4500151677</v>
      </c>
    </row>
    <row r="1021" spans="1:1" x14ac:dyDescent="0.35">
      <c r="A1021" s="4">
        <v>4500151685</v>
      </c>
    </row>
    <row r="1022" spans="1:1" x14ac:dyDescent="0.35">
      <c r="A1022" s="4">
        <v>4500151728</v>
      </c>
    </row>
    <row r="1023" spans="1:1" x14ac:dyDescent="0.35">
      <c r="A1023" s="4">
        <v>4500151734</v>
      </c>
    </row>
    <row r="1024" spans="1:1" x14ac:dyDescent="0.35">
      <c r="A1024" s="4">
        <v>4500151739</v>
      </c>
    </row>
    <row r="1025" spans="1:1" x14ac:dyDescent="0.35">
      <c r="A1025" s="4">
        <v>4500151744</v>
      </c>
    </row>
    <row r="1026" spans="1:1" x14ac:dyDescent="0.35">
      <c r="A1026" s="4">
        <v>4500151759</v>
      </c>
    </row>
    <row r="1027" spans="1:1" x14ac:dyDescent="0.35">
      <c r="A1027" s="4">
        <v>4500151764</v>
      </c>
    </row>
    <row r="1028" spans="1:1" x14ac:dyDescent="0.35">
      <c r="A1028" s="4">
        <v>4500151769</v>
      </c>
    </row>
    <row r="1029" spans="1:1" x14ac:dyDescent="0.35">
      <c r="A1029" s="4">
        <v>4500151771</v>
      </c>
    </row>
    <row r="1030" spans="1:1" x14ac:dyDescent="0.35">
      <c r="A1030" s="4">
        <v>4500151775</v>
      </c>
    </row>
    <row r="1031" spans="1:1" x14ac:dyDescent="0.35">
      <c r="A1031" s="4">
        <v>4500151782</v>
      </c>
    </row>
    <row r="1032" spans="1:1" x14ac:dyDescent="0.35">
      <c r="A1032" s="4">
        <v>4500151783</v>
      </c>
    </row>
    <row r="1033" spans="1:1" x14ac:dyDescent="0.35">
      <c r="A1033" s="4">
        <v>4500151787</v>
      </c>
    </row>
    <row r="1034" spans="1:1" x14ac:dyDescent="0.35">
      <c r="A1034" s="4">
        <v>4500151790</v>
      </c>
    </row>
    <row r="1035" spans="1:1" x14ac:dyDescent="0.35">
      <c r="A1035" s="4">
        <v>4500151794</v>
      </c>
    </row>
    <row r="1036" spans="1:1" x14ac:dyDescent="0.35">
      <c r="A1036" s="4">
        <v>4500151808</v>
      </c>
    </row>
    <row r="1037" spans="1:1" x14ac:dyDescent="0.35">
      <c r="A1037" s="4">
        <v>4500151813</v>
      </c>
    </row>
    <row r="1038" spans="1:1" x14ac:dyDescent="0.35">
      <c r="A1038" s="4">
        <v>4500151816</v>
      </c>
    </row>
    <row r="1039" spans="1:1" x14ac:dyDescent="0.35">
      <c r="A1039" s="4">
        <v>4500151822</v>
      </c>
    </row>
    <row r="1040" spans="1:1" x14ac:dyDescent="0.35">
      <c r="A1040" s="4">
        <v>4500151827</v>
      </c>
    </row>
    <row r="1041" spans="1:1" x14ac:dyDescent="0.35">
      <c r="A1041" s="4">
        <v>4500151830</v>
      </c>
    </row>
    <row r="1042" spans="1:1" x14ac:dyDescent="0.35">
      <c r="A1042" s="4">
        <v>4500151838</v>
      </c>
    </row>
    <row r="1043" spans="1:1" x14ac:dyDescent="0.35">
      <c r="A1043" s="4">
        <v>4500151839</v>
      </c>
    </row>
    <row r="1044" spans="1:1" x14ac:dyDescent="0.35">
      <c r="A1044" s="4">
        <v>4500151841</v>
      </c>
    </row>
    <row r="1045" spans="1:1" x14ac:dyDescent="0.35">
      <c r="A1045" s="4">
        <v>4500151844</v>
      </c>
    </row>
    <row r="1046" spans="1:1" x14ac:dyDescent="0.35">
      <c r="A1046" s="4">
        <v>4500151848</v>
      </c>
    </row>
    <row r="1047" spans="1:1" x14ac:dyDescent="0.35">
      <c r="A1047" s="4">
        <v>4500151850</v>
      </c>
    </row>
    <row r="1048" spans="1:1" x14ac:dyDescent="0.35">
      <c r="A1048" s="4">
        <v>4500151858</v>
      </c>
    </row>
    <row r="1049" spans="1:1" x14ac:dyDescent="0.35">
      <c r="A1049" s="4">
        <v>4500151861</v>
      </c>
    </row>
    <row r="1050" spans="1:1" x14ac:dyDescent="0.35">
      <c r="A1050" s="4">
        <v>4500151928</v>
      </c>
    </row>
    <row r="1051" spans="1:1" x14ac:dyDescent="0.35">
      <c r="A1051" s="4">
        <v>4500151932</v>
      </c>
    </row>
    <row r="1052" spans="1:1" x14ac:dyDescent="0.35">
      <c r="A1052" s="4">
        <v>4500151937</v>
      </c>
    </row>
    <row r="1053" spans="1:1" x14ac:dyDescent="0.35">
      <c r="A1053" s="4">
        <v>4500151942</v>
      </c>
    </row>
    <row r="1054" spans="1:1" x14ac:dyDescent="0.35">
      <c r="A1054" s="4">
        <v>4500151944</v>
      </c>
    </row>
    <row r="1055" spans="1:1" x14ac:dyDescent="0.35">
      <c r="A1055" s="4">
        <v>4500151952</v>
      </c>
    </row>
    <row r="1056" spans="1:1" x14ac:dyDescent="0.35">
      <c r="A1056" s="4">
        <v>4500151958</v>
      </c>
    </row>
    <row r="1057" spans="1:1" x14ac:dyDescent="0.35">
      <c r="A1057" s="4">
        <v>4500151961</v>
      </c>
    </row>
    <row r="1058" spans="1:1" x14ac:dyDescent="0.35">
      <c r="A1058" s="4">
        <v>4500151963</v>
      </c>
    </row>
    <row r="1059" spans="1:1" x14ac:dyDescent="0.35">
      <c r="A1059" s="4">
        <v>4500151967</v>
      </c>
    </row>
    <row r="1060" spans="1:1" x14ac:dyDescent="0.35">
      <c r="A1060" s="4">
        <v>4500151971</v>
      </c>
    </row>
    <row r="1061" spans="1:1" x14ac:dyDescent="0.35">
      <c r="A1061" s="4">
        <v>4500151973</v>
      </c>
    </row>
    <row r="1062" spans="1:1" x14ac:dyDescent="0.35">
      <c r="A1062" s="4">
        <v>4500151980</v>
      </c>
    </row>
    <row r="1063" spans="1:1" x14ac:dyDescent="0.35">
      <c r="A1063" s="4">
        <v>4500151987</v>
      </c>
    </row>
    <row r="1064" spans="1:1" x14ac:dyDescent="0.35">
      <c r="A1064" s="4">
        <v>4500151991</v>
      </c>
    </row>
    <row r="1065" spans="1:1" x14ac:dyDescent="0.35">
      <c r="A1065" s="4">
        <v>4500151994</v>
      </c>
    </row>
    <row r="1066" spans="1:1" x14ac:dyDescent="0.35">
      <c r="A1066" s="4">
        <v>4500151998</v>
      </c>
    </row>
    <row r="1067" spans="1:1" x14ac:dyDescent="0.35">
      <c r="A1067" s="4">
        <v>4500152002</v>
      </c>
    </row>
    <row r="1068" spans="1:1" x14ac:dyDescent="0.35">
      <c r="A1068" s="4">
        <v>4500152005</v>
      </c>
    </row>
    <row r="1069" spans="1:1" x14ac:dyDescent="0.35">
      <c r="A1069" s="4">
        <v>4500152008</v>
      </c>
    </row>
    <row r="1070" spans="1:1" x14ac:dyDescent="0.35">
      <c r="A1070" s="4">
        <v>4500152011</v>
      </c>
    </row>
    <row r="1071" spans="1:1" x14ac:dyDescent="0.35">
      <c r="A1071" s="4">
        <v>4500152022</v>
      </c>
    </row>
    <row r="1072" spans="1:1" x14ac:dyDescent="0.35">
      <c r="A1072" s="4">
        <v>4500152028</v>
      </c>
    </row>
    <row r="1073" spans="1:1" x14ac:dyDescent="0.35">
      <c r="A1073" s="4">
        <v>4500152032</v>
      </c>
    </row>
    <row r="1074" spans="1:1" x14ac:dyDescent="0.35">
      <c r="A1074" s="4">
        <v>4500152035</v>
      </c>
    </row>
    <row r="1075" spans="1:1" x14ac:dyDescent="0.35">
      <c r="A1075" s="4">
        <v>4500152038</v>
      </c>
    </row>
    <row r="1076" spans="1:1" x14ac:dyDescent="0.35">
      <c r="A1076" s="4">
        <v>4500152042</v>
      </c>
    </row>
    <row r="1077" spans="1:1" x14ac:dyDescent="0.35">
      <c r="A1077" s="4">
        <v>4500152044</v>
      </c>
    </row>
    <row r="1078" spans="1:1" x14ac:dyDescent="0.35">
      <c r="A1078" s="4">
        <v>4500152046</v>
      </c>
    </row>
    <row r="1079" spans="1:1" x14ac:dyDescent="0.35">
      <c r="A1079" s="4">
        <v>4500152049</v>
      </c>
    </row>
    <row r="1080" spans="1:1" x14ac:dyDescent="0.35">
      <c r="A1080" s="4">
        <v>4500152056</v>
      </c>
    </row>
    <row r="1081" spans="1:1" x14ac:dyDescent="0.35">
      <c r="A1081" s="4">
        <v>4500152058</v>
      </c>
    </row>
    <row r="1082" spans="1:1" x14ac:dyDescent="0.35">
      <c r="A1082" s="4">
        <v>4500152097</v>
      </c>
    </row>
    <row r="1083" spans="1:1" x14ac:dyDescent="0.35">
      <c r="A1083" s="4">
        <v>4500152113</v>
      </c>
    </row>
    <row r="1084" spans="1:1" x14ac:dyDescent="0.35">
      <c r="A1084" s="4">
        <v>4500152115</v>
      </c>
    </row>
    <row r="1085" spans="1:1" x14ac:dyDescent="0.35">
      <c r="A1085" s="4">
        <v>4500152119</v>
      </c>
    </row>
    <row r="1086" spans="1:1" x14ac:dyDescent="0.35">
      <c r="A1086" s="4">
        <v>4500152124</v>
      </c>
    </row>
    <row r="1087" spans="1:1" x14ac:dyDescent="0.35">
      <c r="A1087" s="4">
        <v>4500152128</v>
      </c>
    </row>
    <row r="1088" spans="1:1" x14ac:dyDescent="0.35">
      <c r="A1088" s="4">
        <v>4500152135</v>
      </c>
    </row>
    <row r="1089" spans="1:1" x14ac:dyDescent="0.35">
      <c r="A1089" s="4">
        <v>4500152139</v>
      </c>
    </row>
    <row r="1090" spans="1:1" x14ac:dyDescent="0.35">
      <c r="A1090" s="4">
        <v>4500152144</v>
      </c>
    </row>
    <row r="1091" spans="1:1" x14ac:dyDescent="0.35">
      <c r="A1091" s="4">
        <v>4500152147</v>
      </c>
    </row>
    <row r="1092" spans="1:1" x14ac:dyDescent="0.35">
      <c r="A1092" s="4">
        <v>4500152151</v>
      </c>
    </row>
    <row r="1093" spans="1:1" x14ac:dyDescent="0.35">
      <c r="A1093" s="4">
        <v>4500152156</v>
      </c>
    </row>
    <row r="1094" spans="1:1" x14ac:dyDescent="0.35">
      <c r="A1094" s="4">
        <v>4500152166</v>
      </c>
    </row>
    <row r="1095" spans="1:1" x14ac:dyDescent="0.35">
      <c r="A1095" s="4">
        <v>4500152170</v>
      </c>
    </row>
    <row r="1096" spans="1:1" x14ac:dyDescent="0.35">
      <c r="A1096" s="4">
        <v>4500152174</v>
      </c>
    </row>
    <row r="1097" spans="1:1" x14ac:dyDescent="0.35">
      <c r="A1097" s="4">
        <v>4500152179</v>
      </c>
    </row>
    <row r="1098" spans="1:1" x14ac:dyDescent="0.35">
      <c r="A1098" s="4">
        <v>4500152184</v>
      </c>
    </row>
    <row r="1099" spans="1:1" x14ac:dyDescent="0.35">
      <c r="A1099" s="4">
        <v>4500152189</v>
      </c>
    </row>
    <row r="1100" spans="1:1" x14ac:dyDescent="0.35">
      <c r="A1100" s="4">
        <v>4500152193</v>
      </c>
    </row>
    <row r="1101" spans="1:1" x14ac:dyDescent="0.35">
      <c r="A1101" s="4">
        <v>4500152196</v>
      </c>
    </row>
    <row r="1102" spans="1:1" x14ac:dyDescent="0.35">
      <c r="A1102" s="4">
        <v>4500152200</v>
      </c>
    </row>
    <row r="1103" spans="1:1" x14ac:dyDescent="0.35">
      <c r="A1103" s="4">
        <v>4500152202</v>
      </c>
    </row>
    <row r="1104" spans="1:1" x14ac:dyDescent="0.35">
      <c r="A1104" s="4">
        <v>4500152205</v>
      </c>
    </row>
    <row r="1105" spans="1:1" x14ac:dyDescent="0.35">
      <c r="A1105" s="4">
        <v>4500152210</v>
      </c>
    </row>
    <row r="1106" spans="1:1" x14ac:dyDescent="0.35">
      <c r="A1106" s="4">
        <v>4500152214</v>
      </c>
    </row>
    <row r="1107" spans="1:1" x14ac:dyDescent="0.35">
      <c r="A1107" s="4">
        <v>4500152218</v>
      </c>
    </row>
    <row r="1108" spans="1:1" x14ac:dyDescent="0.35">
      <c r="A1108" s="4">
        <v>4500152222</v>
      </c>
    </row>
    <row r="1109" spans="1:1" x14ac:dyDescent="0.35">
      <c r="A1109" s="4">
        <v>4500152224</v>
      </c>
    </row>
    <row r="1110" spans="1:1" x14ac:dyDescent="0.35">
      <c r="A1110" s="4">
        <v>4500152227</v>
      </c>
    </row>
    <row r="1111" spans="1:1" x14ac:dyDescent="0.35">
      <c r="A1111" s="4">
        <v>4500152232</v>
      </c>
    </row>
    <row r="1112" spans="1:1" x14ac:dyDescent="0.35">
      <c r="A1112" s="4">
        <v>4500152254</v>
      </c>
    </row>
    <row r="1113" spans="1:1" x14ac:dyDescent="0.35">
      <c r="A1113" s="4">
        <v>4500152258</v>
      </c>
    </row>
    <row r="1114" spans="1:1" x14ac:dyDescent="0.35">
      <c r="A1114" s="4">
        <v>4500152261</v>
      </c>
    </row>
    <row r="1115" spans="1:1" x14ac:dyDescent="0.35">
      <c r="A1115" s="4">
        <v>4500152296</v>
      </c>
    </row>
    <row r="1116" spans="1:1" x14ac:dyDescent="0.35">
      <c r="A1116" s="4">
        <v>4500152310</v>
      </c>
    </row>
    <row r="1117" spans="1:1" x14ac:dyDescent="0.35">
      <c r="A1117" s="4">
        <v>4500152313</v>
      </c>
    </row>
    <row r="1118" spans="1:1" x14ac:dyDescent="0.35">
      <c r="A1118" s="4">
        <v>4500152318</v>
      </c>
    </row>
    <row r="1119" spans="1:1" x14ac:dyDescent="0.35">
      <c r="A1119" s="4">
        <v>4500152332</v>
      </c>
    </row>
    <row r="1120" spans="1:1" x14ac:dyDescent="0.35">
      <c r="A1120" s="4">
        <v>4500152336</v>
      </c>
    </row>
    <row r="1121" spans="1:1" x14ac:dyDescent="0.35">
      <c r="A1121" s="4">
        <v>4500152343</v>
      </c>
    </row>
    <row r="1122" spans="1:1" x14ac:dyDescent="0.35">
      <c r="A1122" s="4">
        <v>4500152349</v>
      </c>
    </row>
    <row r="1123" spans="1:1" x14ac:dyDescent="0.35">
      <c r="A1123" s="4">
        <v>4500152352</v>
      </c>
    </row>
    <row r="1124" spans="1:1" x14ac:dyDescent="0.35">
      <c r="A1124" s="4">
        <v>4500152356</v>
      </c>
    </row>
    <row r="1125" spans="1:1" x14ac:dyDescent="0.35">
      <c r="A1125" s="4">
        <v>4500152363</v>
      </c>
    </row>
    <row r="1126" spans="1:1" x14ac:dyDescent="0.35">
      <c r="A1126" s="4">
        <v>4500152376</v>
      </c>
    </row>
    <row r="1127" spans="1:1" x14ac:dyDescent="0.35">
      <c r="A1127" s="4">
        <v>4500152385</v>
      </c>
    </row>
    <row r="1128" spans="1:1" x14ac:dyDescent="0.35">
      <c r="A1128" s="4">
        <v>4500152395</v>
      </c>
    </row>
    <row r="1129" spans="1:1" x14ac:dyDescent="0.35">
      <c r="A1129" s="4">
        <v>4500152403</v>
      </c>
    </row>
    <row r="1130" spans="1:1" x14ac:dyDescent="0.35">
      <c r="A1130" s="4">
        <v>4500152411</v>
      </c>
    </row>
    <row r="1131" spans="1:1" x14ac:dyDescent="0.35">
      <c r="A1131" s="4">
        <v>4500152425</v>
      </c>
    </row>
    <row r="1132" spans="1:1" x14ac:dyDescent="0.35">
      <c r="A1132" s="4">
        <v>4500152428</v>
      </c>
    </row>
    <row r="1133" spans="1:1" x14ac:dyDescent="0.35">
      <c r="A1133" s="4">
        <v>4500152438</v>
      </c>
    </row>
    <row r="1134" spans="1:1" x14ac:dyDescent="0.35">
      <c r="A1134" s="4">
        <v>4500152441</v>
      </c>
    </row>
    <row r="1135" spans="1:1" x14ac:dyDescent="0.35">
      <c r="A1135" s="4">
        <v>4500152444</v>
      </c>
    </row>
    <row r="1136" spans="1:1" x14ac:dyDescent="0.35">
      <c r="A1136" s="4">
        <v>4500152502</v>
      </c>
    </row>
    <row r="1137" spans="1:1" x14ac:dyDescent="0.35">
      <c r="A1137" s="4">
        <v>4500152512</v>
      </c>
    </row>
    <row r="1138" spans="1:1" x14ac:dyDescent="0.35">
      <c r="A1138" s="4">
        <v>4500152522</v>
      </c>
    </row>
    <row r="1139" spans="1:1" x14ac:dyDescent="0.35">
      <c r="A1139" s="4">
        <v>4500152529</v>
      </c>
    </row>
    <row r="1140" spans="1:1" x14ac:dyDescent="0.35">
      <c r="A1140" s="4">
        <v>4500152535</v>
      </c>
    </row>
    <row r="1141" spans="1:1" x14ac:dyDescent="0.35">
      <c r="A1141" s="4">
        <v>4500152542</v>
      </c>
    </row>
    <row r="1142" spans="1:1" x14ac:dyDescent="0.35">
      <c r="A1142" s="4">
        <v>4500152546</v>
      </c>
    </row>
    <row r="1143" spans="1:1" x14ac:dyDescent="0.35">
      <c r="A1143" s="4">
        <v>4500152550</v>
      </c>
    </row>
    <row r="1144" spans="1:1" x14ac:dyDescent="0.35">
      <c r="A1144" s="4">
        <v>4500152559</v>
      </c>
    </row>
    <row r="1145" spans="1:1" x14ac:dyDescent="0.35">
      <c r="A1145" s="4">
        <v>4500152561</v>
      </c>
    </row>
    <row r="1146" spans="1:1" x14ac:dyDescent="0.35">
      <c r="A1146" s="4">
        <v>4500152563</v>
      </c>
    </row>
    <row r="1147" spans="1:1" x14ac:dyDescent="0.35">
      <c r="A1147" s="4">
        <v>4500152567</v>
      </c>
    </row>
    <row r="1148" spans="1:1" x14ac:dyDescent="0.35">
      <c r="A1148" s="4">
        <v>4500152571</v>
      </c>
    </row>
    <row r="1149" spans="1:1" x14ac:dyDescent="0.35">
      <c r="A1149" s="4">
        <v>4500152578</v>
      </c>
    </row>
    <row r="1150" spans="1:1" x14ac:dyDescent="0.35">
      <c r="A1150" s="4">
        <v>4500152582</v>
      </c>
    </row>
    <row r="1151" spans="1:1" x14ac:dyDescent="0.35">
      <c r="A1151" s="4">
        <v>4500152585</v>
      </c>
    </row>
    <row r="1152" spans="1:1" x14ac:dyDescent="0.35">
      <c r="A1152" s="4">
        <v>4500152587</v>
      </c>
    </row>
    <row r="1153" spans="1:1" x14ac:dyDescent="0.35">
      <c r="A1153" s="4">
        <v>4500152595</v>
      </c>
    </row>
    <row r="1154" spans="1:1" x14ac:dyDescent="0.35">
      <c r="A1154" s="4">
        <v>4500152600</v>
      </c>
    </row>
    <row r="1155" spans="1:1" x14ac:dyDescent="0.35">
      <c r="A1155" s="4">
        <v>4500152603</v>
      </c>
    </row>
    <row r="1156" spans="1:1" x14ac:dyDescent="0.35">
      <c r="A1156" s="4">
        <v>4500152608</v>
      </c>
    </row>
    <row r="1157" spans="1:1" x14ac:dyDescent="0.35">
      <c r="A1157" s="4">
        <v>4500152609</v>
      </c>
    </row>
    <row r="1158" spans="1:1" x14ac:dyDescent="0.35">
      <c r="A1158" s="4">
        <v>4500152610</v>
      </c>
    </row>
    <row r="1159" spans="1:1" x14ac:dyDescent="0.35">
      <c r="A1159" s="4">
        <v>4500152612</v>
      </c>
    </row>
    <row r="1160" spans="1:1" x14ac:dyDescent="0.35">
      <c r="A1160" s="4">
        <v>4500152613</v>
      </c>
    </row>
    <row r="1161" spans="1:1" x14ac:dyDescent="0.35">
      <c r="A1161" s="4">
        <v>4500152614</v>
      </c>
    </row>
    <row r="1162" spans="1:1" x14ac:dyDescent="0.35">
      <c r="A1162" s="4">
        <v>4500152615</v>
      </c>
    </row>
    <row r="1163" spans="1:1" x14ac:dyDescent="0.35">
      <c r="A1163" s="4">
        <v>4500152616</v>
      </c>
    </row>
    <row r="1164" spans="1:1" x14ac:dyDescent="0.35">
      <c r="A1164" s="4">
        <v>4500152618</v>
      </c>
    </row>
    <row r="1165" spans="1:1" x14ac:dyDescent="0.35">
      <c r="A1165" s="4">
        <v>4500152619</v>
      </c>
    </row>
    <row r="1166" spans="1:1" x14ac:dyDescent="0.35">
      <c r="A1166" s="4">
        <v>4500152626</v>
      </c>
    </row>
    <row r="1167" spans="1:1" x14ac:dyDescent="0.35">
      <c r="A1167" s="4">
        <v>4500152629</v>
      </c>
    </row>
    <row r="1168" spans="1:1" x14ac:dyDescent="0.35">
      <c r="A1168" s="4">
        <v>4500152631</v>
      </c>
    </row>
    <row r="1169" spans="1:1" x14ac:dyDescent="0.35">
      <c r="A1169" s="4">
        <v>4500152689</v>
      </c>
    </row>
    <row r="1170" spans="1:1" x14ac:dyDescent="0.35">
      <c r="A1170" s="4">
        <v>4500152695</v>
      </c>
    </row>
    <row r="1171" spans="1:1" x14ac:dyDescent="0.35">
      <c r="A1171" s="4">
        <v>4500152700</v>
      </c>
    </row>
    <row r="1172" spans="1:1" x14ac:dyDescent="0.35">
      <c r="A1172" s="4">
        <v>4500152705</v>
      </c>
    </row>
    <row r="1173" spans="1:1" x14ac:dyDescent="0.35">
      <c r="A1173" s="4">
        <v>4500152713</v>
      </c>
    </row>
    <row r="1174" spans="1:1" x14ac:dyDescent="0.35">
      <c r="A1174" s="4">
        <v>4500152724</v>
      </c>
    </row>
    <row r="1175" spans="1:1" x14ac:dyDescent="0.35">
      <c r="A1175" s="4">
        <v>4500152728</v>
      </c>
    </row>
    <row r="1176" spans="1:1" x14ac:dyDescent="0.35">
      <c r="A1176" s="4">
        <v>4500152730</v>
      </c>
    </row>
    <row r="1177" spans="1:1" x14ac:dyDescent="0.35">
      <c r="A1177" s="4">
        <v>4500152737</v>
      </c>
    </row>
    <row r="1178" spans="1:1" x14ac:dyDescent="0.35">
      <c r="A1178" s="4">
        <v>4500152740</v>
      </c>
    </row>
    <row r="1179" spans="1:1" x14ac:dyDescent="0.35">
      <c r="A1179" s="4">
        <v>4500152743</v>
      </c>
    </row>
    <row r="1180" spans="1:1" x14ac:dyDescent="0.35">
      <c r="A1180" s="4">
        <v>4500152758</v>
      </c>
    </row>
    <row r="1181" spans="1:1" x14ac:dyDescent="0.35">
      <c r="A1181" s="4">
        <v>4500152762</v>
      </c>
    </row>
    <row r="1182" spans="1:1" x14ac:dyDescent="0.35">
      <c r="A1182" s="4">
        <v>4500152766</v>
      </c>
    </row>
    <row r="1183" spans="1:1" x14ac:dyDescent="0.35">
      <c r="A1183" s="4">
        <v>4500152770</v>
      </c>
    </row>
    <row r="1184" spans="1:1" x14ac:dyDescent="0.35">
      <c r="A1184" s="4">
        <v>4500152773</v>
      </c>
    </row>
    <row r="1185" spans="1:1" x14ac:dyDescent="0.35">
      <c r="A1185" s="4">
        <v>4500152776</v>
      </c>
    </row>
    <row r="1186" spans="1:1" x14ac:dyDescent="0.35">
      <c r="A1186" s="4">
        <v>4500152781</v>
      </c>
    </row>
    <row r="1187" spans="1:1" x14ac:dyDescent="0.35">
      <c r="A1187" s="4">
        <v>4500152785</v>
      </c>
    </row>
    <row r="1188" spans="1:1" x14ac:dyDescent="0.35">
      <c r="A1188" s="4">
        <v>4500152788</v>
      </c>
    </row>
    <row r="1189" spans="1:1" x14ac:dyDescent="0.35">
      <c r="A1189" s="4">
        <v>4500152791</v>
      </c>
    </row>
    <row r="1190" spans="1:1" x14ac:dyDescent="0.35">
      <c r="A1190" s="4">
        <v>4500152799</v>
      </c>
    </row>
    <row r="1191" spans="1:1" x14ac:dyDescent="0.35">
      <c r="A1191" s="4">
        <v>4500152805</v>
      </c>
    </row>
    <row r="1192" spans="1:1" x14ac:dyDescent="0.35">
      <c r="A1192" s="4">
        <v>4500152807</v>
      </c>
    </row>
    <row r="1193" spans="1:1" x14ac:dyDescent="0.35">
      <c r="A1193" s="4">
        <v>4500152809</v>
      </c>
    </row>
    <row r="1194" spans="1:1" x14ac:dyDescent="0.35">
      <c r="A1194" s="4">
        <v>4500152810</v>
      </c>
    </row>
    <row r="1195" spans="1:1" x14ac:dyDescent="0.35">
      <c r="A1195" s="4">
        <v>4500152814</v>
      </c>
    </row>
    <row r="1196" spans="1:1" x14ac:dyDescent="0.35">
      <c r="A1196" s="4">
        <v>4500152816</v>
      </c>
    </row>
    <row r="1197" spans="1:1" x14ac:dyDescent="0.35">
      <c r="A1197" s="4">
        <v>4500152818</v>
      </c>
    </row>
    <row r="1198" spans="1:1" x14ac:dyDescent="0.35">
      <c r="A1198" s="4">
        <v>4500152826</v>
      </c>
    </row>
    <row r="1199" spans="1:1" x14ac:dyDescent="0.35">
      <c r="A1199" s="4">
        <v>4500152828</v>
      </c>
    </row>
    <row r="1200" spans="1:1" x14ac:dyDescent="0.35">
      <c r="A1200" s="4">
        <v>4500152867</v>
      </c>
    </row>
    <row r="1201" spans="1:1" x14ac:dyDescent="0.35">
      <c r="A1201" s="4">
        <v>4500152888</v>
      </c>
    </row>
    <row r="1202" spans="1:1" x14ac:dyDescent="0.35">
      <c r="A1202" s="4">
        <v>4500152893</v>
      </c>
    </row>
    <row r="1203" spans="1:1" x14ac:dyDescent="0.35">
      <c r="A1203" s="4">
        <v>4500152899</v>
      </c>
    </row>
    <row r="1204" spans="1:1" x14ac:dyDescent="0.35">
      <c r="A1204" s="4">
        <v>4500152905</v>
      </c>
    </row>
    <row r="1205" spans="1:1" x14ac:dyDescent="0.35">
      <c r="A1205" s="4">
        <v>4500152914</v>
      </c>
    </row>
    <row r="1206" spans="1:1" x14ac:dyDescent="0.35">
      <c r="A1206" s="4">
        <v>4500152923</v>
      </c>
    </row>
    <row r="1207" spans="1:1" x14ac:dyDescent="0.35">
      <c r="A1207" s="4">
        <v>4500152927</v>
      </c>
    </row>
    <row r="1208" spans="1:1" x14ac:dyDescent="0.35">
      <c r="A1208" s="4">
        <v>4500152930</v>
      </c>
    </row>
    <row r="1209" spans="1:1" x14ac:dyDescent="0.35">
      <c r="A1209" s="4">
        <v>4500152935</v>
      </c>
    </row>
    <row r="1210" spans="1:1" x14ac:dyDescent="0.35">
      <c r="A1210" s="4">
        <v>4500152949</v>
      </c>
    </row>
    <row r="1211" spans="1:1" x14ac:dyDescent="0.35">
      <c r="A1211" s="4">
        <v>4500152952</v>
      </c>
    </row>
    <row r="1212" spans="1:1" x14ac:dyDescent="0.35">
      <c r="A1212" s="4">
        <v>4500152956</v>
      </c>
    </row>
    <row r="1213" spans="1:1" x14ac:dyDescent="0.35">
      <c r="A1213" s="4">
        <v>4500152959</v>
      </c>
    </row>
    <row r="1214" spans="1:1" x14ac:dyDescent="0.35">
      <c r="A1214" s="4">
        <v>4500152963</v>
      </c>
    </row>
    <row r="1215" spans="1:1" x14ac:dyDescent="0.35">
      <c r="A1215" s="4">
        <v>4500152967</v>
      </c>
    </row>
    <row r="1216" spans="1:1" x14ac:dyDescent="0.35">
      <c r="A1216" s="4">
        <v>4500152972</v>
      </c>
    </row>
    <row r="1217" spans="1:1" x14ac:dyDescent="0.35">
      <c r="A1217" s="4">
        <v>4500152988</v>
      </c>
    </row>
    <row r="1218" spans="1:1" x14ac:dyDescent="0.35">
      <c r="A1218" s="4">
        <v>4500152990</v>
      </c>
    </row>
    <row r="1219" spans="1:1" x14ac:dyDescent="0.35">
      <c r="A1219" s="4">
        <v>4500152993</v>
      </c>
    </row>
    <row r="1220" spans="1:1" x14ac:dyDescent="0.35">
      <c r="A1220" s="4">
        <v>4500153007</v>
      </c>
    </row>
    <row r="1221" spans="1:1" x14ac:dyDescent="0.35">
      <c r="A1221" s="4">
        <v>4500153010</v>
      </c>
    </row>
    <row r="1222" spans="1:1" x14ac:dyDescent="0.35">
      <c r="A1222" s="4">
        <v>4500153016</v>
      </c>
    </row>
    <row r="1223" spans="1:1" x14ac:dyDescent="0.35">
      <c r="A1223" s="4">
        <v>4500153018</v>
      </c>
    </row>
    <row r="1224" spans="1:1" x14ac:dyDescent="0.35">
      <c r="A1224" s="4">
        <v>4500153020</v>
      </c>
    </row>
    <row r="1225" spans="1:1" x14ac:dyDescent="0.35">
      <c r="A1225" s="4">
        <v>4500153036</v>
      </c>
    </row>
    <row r="1226" spans="1:1" x14ac:dyDescent="0.35">
      <c r="A1226" s="4">
        <v>4500153093</v>
      </c>
    </row>
    <row r="1227" spans="1:1" x14ac:dyDescent="0.35">
      <c r="A1227" s="4">
        <v>4500153099</v>
      </c>
    </row>
    <row r="1228" spans="1:1" x14ac:dyDescent="0.35">
      <c r="A1228" s="4">
        <v>4500153102</v>
      </c>
    </row>
    <row r="1229" spans="1:1" x14ac:dyDescent="0.35">
      <c r="A1229" s="4">
        <v>4500153108</v>
      </c>
    </row>
    <row r="1230" spans="1:1" x14ac:dyDescent="0.35">
      <c r="A1230" s="4">
        <v>4500153112</v>
      </c>
    </row>
    <row r="1231" spans="1:1" x14ac:dyDescent="0.35">
      <c r="A1231" s="4">
        <v>4500153115</v>
      </c>
    </row>
    <row r="1232" spans="1:1" x14ac:dyDescent="0.35">
      <c r="A1232" s="4">
        <v>4500153123</v>
      </c>
    </row>
    <row r="1233" spans="1:1" x14ac:dyDescent="0.35">
      <c r="A1233" s="4">
        <v>4500153127</v>
      </c>
    </row>
    <row r="1234" spans="1:1" x14ac:dyDescent="0.35">
      <c r="A1234" s="4">
        <v>4500153129</v>
      </c>
    </row>
    <row r="1235" spans="1:1" x14ac:dyDescent="0.35">
      <c r="A1235" s="4">
        <v>4500153134</v>
      </c>
    </row>
    <row r="1236" spans="1:1" x14ac:dyDescent="0.35">
      <c r="A1236" s="4">
        <v>4500153139</v>
      </c>
    </row>
    <row r="1237" spans="1:1" x14ac:dyDescent="0.35">
      <c r="A1237" s="4">
        <v>4500153144</v>
      </c>
    </row>
    <row r="1238" spans="1:1" x14ac:dyDescent="0.35">
      <c r="A1238" s="4">
        <v>4500153147</v>
      </c>
    </row>
    <row r="1239" spans="1:1" x14ac:dyDescent="0.35">
      <c r="A1239" s="4">
        <v>4500153149</v>
      </c>
    </row>
    <row r="1240" spans="1:1" x14ac:dyDescent="0.35">
      <c r="A1240" s="4">
        <v>4500153152</v>
      </c>
    </row>
    <row r="1241" spans="1:1" x14ac:dyDescent="0.35">
      <c r="A1241" s="4">
        <v>4500153157</v>
      </c>
    </row>
    <row r="1242" spans="1:1" x14ac:dyDescent="0.35">
      <c r="A1242" s="4">
        <v>4500153160</v>
      </c>
    </row>
    <row r="1243" spans="1:1" x14ac:dyDescent="0.35">
      <c r="A1243" s="4">
        <v>4500153167</v>
      </c>
    </row>
    <row r="1244" spans="1:1" x14ac:dyDescent="0.35">
      <c r="A1244" s="4">
        <v>4500153171</v>
      </c>
    </row>
    <row r="1245" spans="1:1" x14ac:dyDescent="0.35">
      <c r="A1245" s="4">
        <v>4500153175</v>
      </c>
    </row>
    <row r="1246" spans="1:1" x14ac:dyDescent="0.35">
      <c r="A1246" s="4">
        <v>4500153178</v>
      </c>
    </row>
    <row r="1247" spans="1:1" x14ac:dyDescent="0.35">
      <c r="A1247" s="4">
        <v>4500153182</v>
      </c>
    </row>
    <row r="1248" spans="1:1" x14ac:dyDescent="0.35">
      <c r="A1248" s="4">
        <v>4500153191</v>
      </c>
    </row>
    <row r="1249" spans="1:1" x14ac:dyDescent="0.35">
      <c r="A1249" s="4">
        <v>4500153196</v>
      </c>
    </row>
    <row r="1250" spans="1:1" x14ac:dyDescent="0.35">
      <c r="A1250" s="4">
        <v>4500153199</v>
      </c>
    </row>
    <row r="1251" spans="1:1" x14ac:dyDescent="0.35">
      <c r="A1251" s="4">
        <v>4500153215</v>
      </c>
    </row>
    <row r="1252" spans="1:1" x14ac:dyDescent="0.35">
      <c r="A1252" s="4">
        <v>4500153218</v>
      </c>
    </row>
    <row r="1253" spans="1:1" x14ac:dyDescent="0.35">
      <c r="A1253" s="4">
        <v>4500153276</v>
      </c>
    </row>
    <row r="1254" spans="1:1" x14ac:dyDescent="0.35">
      <c r="A1254" s="4">
        <v>4500153279</v>
      </c>
    </row>
    <row r="1255" spans="1:1" x14ac:dyDescent="0.35">
      <c r="A1255" s="4">
        <v>4500153286</v>
      </c>
    </row>
    <row r="1256" spans="1:1" x14ac:dyDescent="0.35">
      <c r="A1256" s="4">
        <v>4500153296</v>
      </c>
    </row>
    <row r="1257" spans="1:1" x14ac:dyDescent="0.35">
      <c r="A1257" s="4">
        <v>4500153301</v>
      </c>
    </row>
    <row r="1258" spans="1:1" x14ac:dyDescent="0.35">
      <c r="A1258" s="4">
        <v>4500153310</v>
      </c>
    </row>
    <row r="1259" spans="1:1" x14ac:dyDescent="0.35">
      <c r="A1259" s="4">
        <v>4500153314</v>
      </c>
    </row>
    <row r="1260" spans="1:1" x14ac:dyDescent="0.35">
      <c r="A1260" s="4">
        <v>4500153318</v>
      </c>
    </row>
    <row r="1261" spans="1:1" x14ac:dyDescent="0.35">
      <c r="A1261" s="4">
        <v>4500153320</v>
      </c>
    </row>
    <row r="1262" spans="1:1" x14ac:dyDescent="0.35">
      <c r="A1262" s="4">
        <v>4500153335</v>
      </c>
    </row>
    <row r="1263" spans="1:1" x14ac:dyDescent="0.35">
      <c r="A1263" s="4">
        <v>4500153338</v>
      </c>
    </row>
    <row r="1264" spans="1:1" x14ac:dyDescent="0.35">
      <c r="A1264" s="4">
        <v>4500153343</v>
      </c>
    </row>
    <row r="1265" spans="1:1" x14ac:dyDescent="0.35">
      <c r="A1265" s="4">
        <v>4500153348</v>
      </c>
    </row>
    <row r="1266" spans="1:1" x14ac:dyDescent="0.35">
      <c r="A1266" s="4">
        <v>4500153352</v>
      </c>
    </row>
    <row r="1267" spans="1:1" x14ac:dyDescent="0.35">
      <c r="A1267" s="4">
        <v>4500153359</v>
      </c>
    </row>
    <row r="1268" spans="1:1" x14ac:dyDescent="0.35">
      <c r="A1268" s="4">
        <v>4500153363</v>
      </c>
    </row>
    <row r="1269" spans="1:1" x14ac:dyDescent="0.35">
      <c r="A1269" s="4">
        <v>4500153369</v>
      </c>
    </row>
    <row r="1270" spans="1:1" x14ac:dyDescent="0.35">
      <c r="A1270" s="4">
        <v>4500153375</v>
      </c>
    </row>
    <row r="1271" spans="1:1" x14ac:dyDescent="0.35">
      <c r="A1271" s="4">
        <v>4500153379</v>
      </c>
    </row>
    <row r="1272" spans="1:1" x14ac:dyDescent="0.35">
      <c r="A1272" s="4">
        <v>4500153382</v>
      </c>
    </row>
    <row r="1273" spans="1:1" x14ac:dyDescent="0.35">
      <c r="A1273" s="4">
        <v>4500153383</v>
      </c>
    </row>
    <row r="1274" spans="1:1" x14ac:dyDescent="0.35">
      <c r="A1274" s="4">
        <v>4500153385</v>
      </c>
    </row>
    <row r="1275" spans="1:1" x14ac:dyDescent="0.35">
      <c r="A1275" s="4">
        <v>4500153390</v>
      </c>
    </row>
    <row r="1276" spans="1:1" x14ac:dyDescent="0.35">
      <c r="A1276" s="4">
        <v>4500153426</v>
      </c>
    </row>
    <row r="1277" spans="1:1" x14ac:dyDescent="0.35">
      <c r="A1277" s="4">
        <v>4500153460</v>
      </c>
    </row>
    <row r="1278" spans="1:1" x14ac:dyDescent="0.35">
      <c r="A1278" s="4">
        <v>4500153468</v>
      </c>
    </row>
    <row r="1279" spans="1:1" x14ac:dyDescent="0.35">
      <c r="A1279" s="4">
        <v>4500153474</v>
      </c>
    </row>
    <row r="1280" spans="1:1" x14ac:dyDescent="0.35">
      <c r="A1280" s="4">
        <v>4500153478</v>
      </c>
    </row>
    <row r="1281" spans="1:1" x14ac:dyDescent="0.35">
      <c r="A1281" s="4">
        <v>4500153481</v>
      </c>
    </row>
    <row r="1282" spans="1:1" x14ac:dyDescent="0.35">
      <c r="A1282" s="4">
        <v>4500153483</v>
      </c>
    </row>
    <row r="1283" spans="1:1" x14ac:dyDescent="0.35">
      <c r="A1283" s="4">
        <v>4500153489</v>
      </c>
    </row>
    <row r="1284" spans="1:1" x14ac:dyDescent="0.35">
      <c r="A1284" s="4">
        <v>4500153494</v>
      </c>
    </row>
    <row r="1285" spans="1:1" x14ac:dyDescent="0.35">
      <c r="A1285" s="4">
        <v>4500153501</v>
      </c>
    </row>
    <row r="1286" spans="1:1" x14ac:dyDescent="0.35">
      <c r="A1286" s="4">
        <v>4500153513</v>
      </c>
    </row>
    <row r="1287" spans="1:1" x14ac:dyDescent="0.35">
      <c r="A1287" s="4">
        <v>4500153516</v>
      </c>
    </row>
    <row r="1288" spans="1:1" x14ac:dyDescent="0.35">
      <c r="A1288" s="4">
        <v>4500153527</v>
      </c>
    </row>
    <row r="1289" spans="1:1" x14ac:dyDescent="0.35">
      <c r="A1289" s="4">
        <v>4500153533</v>
      </c>
    </row>
    <row r="1290" spans="1:1" x14ac:dyDescent="0.35">
      <c r="A1290" s="4">
        <v>4500153534</v>
      </c>
    </row>
    <row r="1291" spans="1:1" x14ac:dyDescent="0.35">
      <c r="A1291" s="4">
        <v>4500153537</v>
      </c>
    </row>
    <row r="1292" spans="1:1" x14ac:dyDescent="0.35">
      <c r="A1292" s="4">
        <v>4500153540</v>
      </c>
    </row>
    <row r="1293" spans="1:1" x14ac:dyDescent="0.35">
      <c r="A1293" s="4">
        <v>4500153541</v>
      </c>
    </row>
    <row r="1294" spans="1:1" x14ac:dyDescent="0.35">
      <c r="A1294" s="4">
        <v>4500153543</v>
      </c>
    </row>
    <row r="1295" spans="1:1" x14ac:dyDescent="0.35">
      <c r="A1295" s="4">
        <v>4500153545</v>
      </c>
    </row>
    <row r="1296" spans="1:1" x14ac:dyDescent="0.35">
      <c r="A1296" s="4">
        <v>4500153547</v>
      </c>
    </row>
    <row r="1297" spans="1:1" x14ac:dyDescent="0.35">
      <c r="A1297" s="4">
        <v>4500153550</v>
      </c>
    </row>
    <row r="1298" spans="1:1" x14ac:dyDescent="0.35">
      <c r="A1298" s="4">
        <v>4500153553</v>
      </c>
    </row>
    <row r="1299" spans="1:1" x14ac:dyDescent="0.35">
      <c r="A1299" s="4">
        <v>4500153619</v>
      </c>
    </row>
    <row r="1300" spans="1:1" x14ac:dyDescent="0.35">
      <c r="A1300" s="4">
        <v>4500153623</v>
      </c>
    </row>
    <row r="1301" spans="1:1" x14ac:dyDescent="0.35">
      <c r="A1301" s="4">
        <v>4500153628</v>
      </c>
    </row>
    <row r="1302" spans="1:1" x14ac:dyDescent="0.35">
      <c r="A1302" s="4">
        <v>4500153630</v>
      </c>
    </row>
    <row r="1303" spans="1:1" x14ac:dyDescent="0.35">
      <c r="A1303" s="4">
        <v>4500153635</v>
      </c>
    </row>
    <row r="1304" spans="1:1" x14ac:dyDescent="0.35">
      <c r="A1304" s="4">
        <v>4500153642</v>
      </c>
    </row>
    <row r="1305" spans="1:1" x14ac:dyDescent="0.35">
      <c r="A1305" s="4">
        <v>4500153650</v>
      </c>
    </row>
    <row r="1306" spans="1:1" x14ac:dyDescent="0.35">
      <c r="A1306" s="4">
        <v>4500153653</v>
      </c>
    </row>
    <row r="1307" spans="1:1" x14ac:dyDescent="0.35">
      <c r="A1307" s="4">
        <v>4500153659</v>
      </c>
    </row>
    <row r="1308" spans="1:1" x14ac:dyDescent="0.35">
      <c r="A1308" s="4">
        <v>4500153663</v>
      </c>
    </row>
    <row r="1309" spans="1:1" x14ac:dyDescent="0.35">
      <c r="A1309" s="4">
        <v>4500153668</v>
      </c>
    </row>
    <row r="1310" spans="1:1" x14ac:dyDescent="0.35">
      <c r="A1310" s="4">
        <v>4500153677</v>
      </c>
    </row>
    <row r="1311" spans="1:1" x14ac:dyDescent="0.35">
      <c r="A1311" s="4">
        <v>4500153686</v>
      </c>
    </row>
    <row r="1312" spans="1:1" x14ac:dyDescent="0.35">
      <c r="A1312" s="4">
        <v>4500153689</v>
      </c>
    </row>
    <row r="1313" spans="1:1" x14ac:dyDescent="0.35">
      <c r="A1313" s="4">
        <v>4500153692</v>
      </c>
    </row>
    <row r="1314" spans="1:1" x14ac:dyDescent="0.35">
      <c r="A1314" s="4">
        <v>4500153695</v>
      </c>
    </row>
    <row r="1315" spans="1:1" x14ac:dyDescent="0.35">
      <c r="A1315" s="4">
        <v>4500153702</v>
      </c>
    </row>
    <row r="1316" spans="1:1" x14ac:dyDescent="0.35">
      <c r="A1316" s="4">
        <v>4500153704</v>
      </c>
    </row>
    <row r="1317" spans="1:1" x14ac:dyDescent="0.35">
      <c r="A1317" s="4">
        <v>4500153708</v>
      </c>
    </row>
    <row r="1318" spans="1:1" x14ac:dyDescent="0.35">
      <c r="A1318" s="4">
        <v>4500153711</v>
      </c>
    </row>
    <row r="1319" spans="1:1" x14ac:dyDescent="0.35">
      <c r="A1319" s="4">
        <v>4500153715</v>
      </c>
    </row>
    <row r="1320" spans="1:1" x14ac:dyDescent="0.35">
      <c r="A1320" s="4">
        <v>4500153717</v>
      </c>
    </row>
    <row r="1321" spans="1:1" x14ac:dyDescent="0.35">
      <c r="A1321" s="4">
        <v>4500153720</v>
      </c>
    </row>
    <row r="1322" spans="1:1" x14ac:dyDescent="0.35">
      <c r="A1322" s="4">
        <v>4500153723</v>
      </c>
    </row>
    <row r="1323" spans="1:1" x14ac:dyDescent="0.35">
      <c r="A1323" s="4">
        <v>4500153726</v>
      </c>
    </row>
    <row r="1324" spans="1:1" x14ac:dyDescent="0.35">
      <c r="A1324" s="4">
        <v>4500153732</v>
      </c>
    </row>
    <row r="1325" spans="1:1" x14ac:dyDescent="0.35">
      <c r="A1325" s="4">
        <v>4500153733</v>
      </c>
    </row>
    <row r="1326" spans="1:1" x14ac:dyDescent="0.35">
      <c r="A1326" s="4">
        <v>4500153747</v>
      </c>
    </row>
    <row r="1327" spans="1:1" x14ac:dyDescent="0.35">
      <c r="A1327" s="4">
        <v>4500153796</v>
      </c>
    </row>
    <row r="1328" spans="1:1" x14ac:dyDescent="0.35">
      <c r="A1328" s="4">
        <v>4500153804</v>
      </c>
    </row>
    <row r="1329" spans="1:1" x14ac:dyDescent="0.35">
      <c r="A1329" s="4">
        <v>4500153807</v>
      </c>
    </row>
    <row r="1330" spans="1:1" x14ac:dyDescent="0.35">
      <c r="A1330" s="4">
        <v>4500153812</v>
      </c>
    </row>
    <row r="1331" spans="1:1" x14ac:dyDescent="0.35">
      <c r="A1331" s="4">
        <v>4500153818</v>
      </c>
    </row>
    <row r="1332" spans="1:1" x14ac:dyDescent="0.35">
      <c r="A1332" s="4">
        <v>4500153822</v>
      </c>
    </row>
    <row r="1333" spans="1:1" x14ac:dyDescent="0.35">
      <c r="A1333" s="4">
        <v>4500153831</v>
      </c>
    </row>
    <row r="1334" spans="1:1" x14ac:dyDescent="0.35">
      <c r="A1334" s="4">
        <v>4500153837</v>
      </c>
    </row>
    <row r="1335" spans="1:1" x14ac:dyDescent="0.35">
      <c r="A1335" s="4">
        <v>4500153842</v>
      </c>
    </row>
    <row r="1336" spans="1:1" x14ac:dyDescent="0.35">
      <c r="A1336" s="4">
        <v>4500153845</v>
      </c>
    </row>
    <row r="1337" spans="1:1" x14ac:dyDescent="0.35">
      <c r="A1337" s="4">
        <v>4500153851</v>
      </c>
    </row>
    <row r="1338" spans="1:1" x14ac:dyDescent="0.35">
      <c r="A1338" s="4">
        <v>4500153855</v>
      </c>
    </row>
    <row r="1339" spans="1:1" x14ac:dyDescent="0.35">
      <c r="A1339" s="4">
        <v>4500153862</v>
      </c>
    </row>
    <row r="1340" spans="1:1" x14ac:dyDescent="0.35">
      <c r="A1340" s="4">
        <v>4500153867</v>
      </c>
    </row>
    <row r="1341" spans="1:1" x14ac:dyDescent="0.35">
      <c r="A1341" s="4">
        <v>4500153871</v>
      </c>
    </row>
    <row r="1342" spans="1:1" x14ac:dyDescent="0.35">
      <c r="A1342" s="4">
        <v>4500153875</v>
      </c>
    </row>
    <row r="1343" spans="1:1" x14ac:dyDescent="0.35">
      <c r="A1343" s="4">
        <v>4500153879</v>
      </c>
    </row>
    <row r="1344" spans="1:1" x14ac:dyDescent="0.35">
      <c r="A1344" s="4">
        <v>4500153883</v>
      </c>
    </row>
    <row r="1345" spans="1:1" x14ac:dyDescent="0.35">
      <c r="A1345" s="4">
        <v>4500153886</v>
      </c>
    </row>
    <row r="1346" spans="1:1" x14ac:dyDescent="0.35">
      <c r="A1346" s="4">
        <v>4500153888</v>
      </c>
    </row>
    <row r="1347" spans="1:1" x14ac:dyDescent="0.35">
      <c r="A1347" s="4">
        <v>4500153891</v>
      </c>
    </row>
    <row r="1348" spans="1:1" x14ac:dyDescent="0.35">
      <c r="A1348" s="4">
        <v>4500153894</v>
      </c>
    </row>
    <row r="1349" spans="1:1" x14ac:dyDescent="0.35">
      <c r="A1349" s="4">
        <v>4500153900</v>
      </c>
    </row>
    <row r="1350" spans="1:1" x14ac:dyDescent="0.35">
      <c r="A1350" s="4">
        <v>4500153903</v>
      </c>
    </row>
    <row r="1351" spans="1:1" x14ac:dyDescent="0.35">
      <c r="A1351" s="4">
        <v>4500153909</v>
      </c>
    </row>
    <row r="1352" spans="1:1" x14ac:dyDescent="0.35">
      <c r="A1352" s="4">
        <v>4500153911</v>
      </c>
    </row>
    <row r="1353" spans="1:1" x14ac:dyDescent="0.35">
      <c r="A1353" s="4">
        <v>4500153915</v>
      </c>
    </row>
    <row r="1354" spans="1:1" x14ac:dyDescent="0.35">
      <c r="A1354" s="4">
        <v>4500153917</v>
      </c>
    </row>
    <row r="1355" spans="1:1" x14ac:dyDescent="0.35">
      <c r="A1355" s="4">
        <v>4500153922</v>
      </c>
    </row>
    <row r="1356" spans="1:1" x14ac:dyDescent="0.35">
      <c r="A1356" s="4">
        <v>4500153926</v>
      </c>
    </row>
    <row r="1357" spans="1:1" x14ac:dyDescent="0.35">
      <c r="A1357" s="4">
        <v>4500153931</v>
      </c>
    </row>
    <row r="1358" spans="1:1" x14ac:dyDescent="0.35">
      <c r="A1358" s="4">
        <v>4500153933</v>
      </c>
    </row>
    <row r="1359" spans="1:1" x14ac:dyDescent="0.35">
      <c r="A1359" s="4">
        <v>4500153934</v>
      </c>
    </row>
    <row r="1360" spans="1:1" x14ac:dyDescent="0.35">
      <c r="A1360" s="4">
        <v>4500153936</v>
      </c>
    </row>
    <row r="1361" spans="1:1" x14ac:dyDescent="0.35">
      <c r="A1361" s="4">
        <v>4500153938</v>
      </c>
    </row>
    <row r="1362" spans="1:1" x14ac:dyDescent="0.35">
      <c r="A1362" s="4">
        <v>4500153991</v>
      </c>
    </row>
    <row r="1363" spans="1:1" x14ac:dyDescent="0.35">
      <c r="A1363" s="4">
        <v>4500153996</v>
      </c>
    </row>
    <row r="1364" spans="1:1" x14ac:dyDescent="0.35">
      <c r="A1364" s="4">
        <v>4500154003</v>
      </c>
    </row>
    <row r="1365" spans="1:1" x14ac:dyDescent="0.35">
      <c r="A1365" s="4">
        <v>4500154009</v>
      </c>
    </row>
    <row r="1366" spans="1:1" x14ac:dyDescent="0.35">
      <c r="A1366" s="4">
        <v>4500154015</v>
      </c>
    </row>
    <row r="1367" spans="1:1" x14ac:dyDescent="0.35">
      <c r="A1367" s="4">
        <v>4500154019</v>
      </c>
    </row>
    <row r="1368" spans="1:1" x14ac:dyDescent="0.35">
      <c r="A1368" s="4">
        <v>4500154024</v>
      </c>
    </row>
    <row r="1369" spans="1:1" x14ac:dyDescent="0.35">
      <c r="A1369" s="4">
        <v>4500154030</v>
      </c>
    </row>
    <row r="1370" spans="1:1" x14ac:dyDescent="0.35">
      <c r="A1370" s="4">
        <v>4500154035</v>
      </c>
    </row>
    <row r="1371" spans="1:1" x14ac:dyDescent="0.35">
      <c r="A1371" s="4">
        <v>4500154041</v>
      </c>
    </row>
    <row r="1372" spans="1:1" x14ac:dyDescent="0.35">
      <c r="A1372" s="4">
        <v>4500154046</v>
      </c>
    </row>
    <row r="1373" spans="1:1" x14ac:dyDescent="0.35">
      <c r="A1373" s="4">
        <v>4500154047</v>
      </c>
    </row>
    <row r="1374" spans="1:1" x14ac:dyDescent="0.35">
      <c r="A1374" s="4">
        <v>4500154053</v>
      </c>
    </row>
    <row r="1375" spans="1:1" x14ac:dyDescent="0.35">
      <c r="A1375" s="4">
        <v>4500154057</v>
      </c>
    </row>
    <row r="1376" spans="1:1" x14ac:dyDescent="0.35">
      <c r="A1376" s="4">
        <v>4500154062</v>
      </c>
    </row>
    <row r="1377" spans="1:1" x14ac:dyDescent="0.35">
      <c r="A1377" s="4">
        <v>4500154069</v>
      </c>
    </row>
    <row r="1378" spans="1:1" x14ac:dyDescent="0.35">
      <c r="A1378" s="4">
        <v>4500154071</v>
      </c>
    </row>
    <row r="1379" spans="1:1" x14ac:dyDescent="0.35">
      <c r="A1379" s="4">
        <v>4500154073</v>
      </c>
    </row>
    <row r="1380" spans="1:1" x14ac:dyDescent="0.35">
      <c r="A1380" s="4">
        <v>4500154076</v>
      </c>
    </row>
    <row r="1381" spans="1:1" x14ac:dyDescent="0.35">
      <c r="A1381" s="4">
        <v>4500154078</v>
      </c>
    </row>
    <row r="1382" spans="1:1" x14ac:dyDescent="0.35">
      <c r="A1382" s="4">
        <v>4500154081</v>
      </c>
    </row>
    <row r="1383" spans="1:1" x14ac:dyDescent="0.35">
      <c r="A1383" s="4">
        <v>4500154084</v>
      </c>
    </row>
    <row r="1384" spans="1:1" x14ac:dyDescent="0.35">
      <c r="A1384" s="4">
        <v>4500154087</v>
      </c>
    </row>
    <row r="1385" spans="1:1" x14ac:dyDescent="0.35">
      <c r="A1385" s="4">
        <v>4500154089</v>
      </c>
    </row>
    <row r="1386" spans="1:1" x14ac:dyDescent="0.35">
      <c r="A1386" s="4">
        <v>4500154091</v>
      </c>
    </row>
    <row r="1387" spans="1:1" x14ac:dyDescent="0.35">
      <c r="A1387" s="4">
        <v>4500154094</v>
      </c>
    </row>
    <row r="1388" spans="1:1" x14ac:dyDescent="0.35">
      <c r="A1388" s="4">
        <v>4500154105</v>
      </c>
    </row>
    <row r="1389" spans="1:1" x14ac:dyDescent="0.35">
      <c r="A1389" s="4">
        <v>4500154109</v>
      </c>
    </row>
    <row r="1390" spans="1:1" x14ac:dyDescent="0.35">
      <c r="A1390" s="4">
        <v>4500154112</v>
      </c>
    </row>
    <row r="1391" spans="1:1" x14ac:dyDescent="0.35">
      <c r="A1391" s="4">
        <v>4500154115</v>
      </c>
    </row>
    <row r="1392" spans="1:1" x14ac:dyDescent="0.35">
      <c r="A1392" s="4">
        <v>4500154117</v>
      </c>
    </row>
    <row r="1393" spans="1:1" x14ac:dyDescent="0.35">
      <c r="A1393" s="4">
        <v>4500154119</v>
      </c>
    </row>
    <row r="1394" spans="1:1" x14ac:dyDescent="0.35">
      <c r="A1394" s="4">
        <v>4500154120</v>
      </c>
    </row>
    <row r="1395" spans="1:1" x14ac:dyDescent="0.35">
      <c r="A1395" s="4">
        <v>4500154121</v>
      </c>
    </row>
    <row r="1396" spans="1:1" x14ac:dyDescent="0.35">
      <c r="A1396" s="4">
        <v>4500154122</v>
      </c>
    </row>
    <row r="1397" spans="1:1" x14ac:dyDescent="0.35">
      <c r="A1397" s="4">
        <v>4500154123</v>
      </c>
    </row>
    <row r="1398" spans="1:1" x14ac:dyDescent="0.35">
      <c r="A1398" s="4">
        <v>4500154124</v>
      </c>
    </row>
    <row r="1399" spans="1:1" x14ac:dyDescent="0.35">
      <c r="A1399" s="4">
        <v>4500154135</v>
      </c>
    </row>
    <row r="1400" spans="1:1" x14ac:dyDescent="0.35">
      <c r="A1400" s="4">
        <v>4500154164</v>
      </c>
    </row>
    <row r="1401" spans="1:1" x14ac:dyDescent="0.35">
      <c r="A1401" s="4">
        <v>4500154198</v>
      </c>
    </row>
    <row r="1402" spans="1:1" x14ac:dyDescent="0.35">
      <c r="A1402" s="4">
        <v>4500154203</v>
      </c>
    </row>
    <row r="1403" spans="1:1" x14ac:dyDescent="0.35">
      <c r="A1403" s="4">
        <v>4500154214</v>
      </c>
    </row>
    <row r="1404" spans="1:1" x14ac:dyDescent="0.35">
      <c r="A1404" s="4">
        <v>4500154222</v>
      </c>
    </row>
    <row r="1405" spans="1:1" x14ac:dyDescent="0.35">
      <c r="A1405" s="4">
        <v>4500154229</v>
      </c>
    </row>
    <row r="1406" spans="1:1" x14ac:dyDescent="0.35">
      <c r="A1406" s="4">
        <v>4500154239</v>
      </c>
    </row>
    <row r="1407" spans="1:1" x14ac:dyDescent="0.35">
      <c r="A1407" s="4">
        <v>4500154241</v>
      </c>
    </row>
    <row r="1408" spans="1:1" x14ac:dyDescent="0.35">
      <c r="A1408" s="4">
        <v>4500154244</v>
      </c>
    </row>
    <row r="1409" spans="1:1" x14ac:dyDescent="0.35">
      <c r="A1409" s="4">
        <v>4500154248</v>
      </c>
    </row>
    <row r="1410" spans="1:1" x14ac:dyDescent="0.35">
      <c r="A1410" s="4">
        <v>4500154256</v>
      </c>
    </row>
    <row r="1411" spans="1:1" x14ac:dyDescent="0.35">
      <c r="A1411" s="4">
        <v>4500154260</v>
      </c>
    </row>
    <row r="1412" spans="1:1" x14ac:dyDescent="0.35">
      <c r="A1412" s="4">
        <v>4500154262</v>
      </c>
    </row>
    <row r="1413" spans="1:1" x14ac:dyDescent="0.35">
      <c r="A1413" s="4">
        <v>4500154264</v>
      </c>
    </row>
    <row r="1414" spans="1:1" x14ac:dyDescent="0.35">
      <c r="A1414" s="4">
        <v>4500154270</v>
      </c>
    </row>
    <row r="1415" spans="1:1" x14ac:dyDescent="0.35">
      <c r="A1415" s="4">
        <v>4500154276</v>
      </c>
    </row>
    <row r="1416" spans="1:1" x14ac:dyDescent="0.35">
      <c r="A1416" s="4">
        <v>4500154281</v>
      </c>
    </row>
    <row r="1417" spans="1:1" x14ac:dyDescent="0.35">
      <c r="A1417" s="4">
        <v>4500154284</v>
      </c>
    </row>
    <row r="1418" spans="1:1" x14ac:dyDescent="0.35">
      <c r="A1418" s="4">
        <v>4500154289</v>
      </c>
    </row>
    <row r="1419" spans="1:1" x14ac:dyDescent="0.35">
      <c r="A1419" s="4">
        <v>4500154295</v>
      </c>
    </row>
    <row r="1420" spans="1:1" x14ac:dyDescent="0.35">
      <c r="A1420" s="4">
        <v>4500154299</v>
      </c>
    </row>
    <row r="1421" spans="1:1" x14ac:dyDescent="0.35">
      <c r="A1421" s="4">
        <v>4500154304</v>
      </c>
    </row>
    <row r="1422" spans="1:1" x14ac:dyDescent="0.35">
      <c r="A1422" s="4">
        <v>4500154307</v>
      </c>
    </row>
    <row r="1423" spans="1:1" x14ac:dyDescent="0.35">
      <c r="A1423" s="4">
        <v>4500154310</v>
      </c>
    </row>
    <row r="1424" spans="1:1" x14ac:dyDescent="0.35">
      <c r="A1424" s="4">
        <v>4500154315</v>
      </c>
    </row>
    <row r="1425" spans="1:1" x14ac:dyDescent="0.35">
      <c r="A1425" s="4">
        <v>4500154316</v>
      </c>
    </row>
    <row r="1426" spans="1:1" x14ac:dyDescent="0.35">
      <c r="A1426" s="4">
        <v>4500154318</v>
      </c>
    </row>
    <row r="1427" spans="1:1" x14ac:dyDescent="0.35">
      <c r="A1427" s="4">
        <v>4500154320</v>
      </c>
    </row>
    <row r="1428" spans="1:1" x14ac:dyDescent="0.35">
      <c r="A1428" s="4">
        <v>4500154322</v>
      </c>
    </row>
    <row r="1429" spans="1:1" x14ac:dyDescent="0.35">
      <c r="A1429" s="4">
        <v>4500154326</v>
      </c>
    </row>
    <row r="1430" spans="1:1" x14ac:dyDescent="0.35">
      <c r="A1430" s="4">
        <v>4500154339</v>
      </c>
    </row>
    <row r="1431" spans="1:1" x14ac:dyDescent="0.35">
      <c r="A1431" s="4">
        <v>4500154390</v>
      </c>
    </row>
    <row r="1432" spans="1:1" x14ac:dyDescent="0.35">
      <c r="A1432" s="4">
        <v>4500154392</v>
      </c>
    </row>
    <row r="1433" spans="1:1" x14ac:dyDescent="0.35">
      <c r="A1433" s="4">
        <v>4500154401</v>
      </c>
    </row>
    <row r="1434" spans="1:1" x14ac:dyDescent="0.35">
      <c r="A1434" s="4">
        <v>4500154405</v>
      </c>
    </row>
    <row r="1435" spans="1:1" x14ac:dyDescent="0.35">
      <c r="A1435" s="4">
        <v>4500154415</v>
      </c>
    </row>
    <row r="1436" spans="1:1" x14ac:dyDescent="0.35">
      <c r="A1436" s="4">
        <v>4500154429</v>
      </c>
    </row>
    <row r="1437" spans="1:1" x14ac:dyDescent="0.35">
      <c r="A1437" s="4">
        <v>4500154436</v>
      </c>
    </row>
    <row r="1438" spans="1:1" x14ac:dyDescent="0.35">
      <c r="A1438" s="4">
        <v>4500154438</v>
      </c>
    </row>
    <row r="1439" spans="1:1" x14ac:dyDescent="0.35">
      <c r="A1439" s="4">
        <v>4500154442</v>
      </c>
    </row>
    <row r="1440" spans="1:1" x14ac:dyDescent="0.35">
      <c r="A1440" s="4">
        <v>4500154454</v>
      </c>
    </row>
    <row r="1441" spans="1:1" x14ac:dyDescent="0.35">
      <c r="A1441" s="4">
        <v>4500154459</v>
      </c>
    </row>
    <row r="1442" spans="1:1" x14ac:dyDescent="0.35">
      <c r="A1442" s="4">
        <v>4500154464</v>
      </c>
    </row>
    <row r="1443" spans="1:1" x14ac:dyDescent="0.35">
      <c r="A1443" s="4">
        <v>4500154471</v>
      </c>
    </row>
    <row r="1444" spans="1:1" x14ac:dyDescent="0.35">
      <c r="A1444" s="4">
        <v>4500154478</v>
      </c>
    </row>
    <row r="1445" spans="1:1" x14ac:dyDescent="0.35">
      <c r="A1445" s="4">
        <v>4500154483</v>
      </c>
    </row>
    <row r="1446" spans="1:1" x14ac:dyDescent="0.35">
      <c r="A1446" s="4">
        <v>4500154488</v>
      </c>
    </row>
    <row r="1447" spans="1:1" x14ac:dyDescent="0.35">
      <c r="A1447" s="4">
        <v>4500154496</v>
      </c>
    </row>
    <row r="1448" spans="1:1" x14ac:dyDescent="0.35">
      <c r="A1448" s="4">
        <v>4500154499</v>
      </c>
    </row>
    <row r="1449" spans="1:1" x14ac:dyDescent="0.35">
      <c r="A1449" s="4">
        <v>4500154504</v>
      </c>
    </row>
    <row r="1450" spans="1:1" x14ac:dyDescent="0.35">
      <c r="A1450" s="4">
        <v>4500154507</v>
      </c>
    </row>
    <row r="1451" spans="1:1" x14ac:dyDescent="0.35">
      <c r="A1451" s="4">
        <v>4500154511</v>
      </c>
    </row>
    <row r="1452" spans="1:1" x14ac:dyDescent="0.35">
      <c r="A1452" s="4">
        <v>4500154514</v>
      </c>
    </row>
    <row r="1453" spans="1:1" x14ac:dyDescent="0.35">
      <c r="A1453" s="4">
        <v>4500154517</v>
      </c>
    </row>
    <row r="1454" spans="1:1" x14ac:dyDescent="0.35">
      <c r="A1454" s="4">
        <v>4500154519</v>
      </c>
    </row>
    <row r="1455" spans="1:1" x14ac:dyDescent="0.35">
      <c r="A1455" s="4">
        <v>4500154520</v>
      </c>
    </row>
    <row r="1456" spans="1:1" x14ac:dyDescent="0.35">
      <c r="A1456" s="4">
        <v>4500154523</v>
      </c>
    </row>
    <row r="1457" spans="1:1" x14ac:dyDescent="0.35">
      <c r="A1457" s="4">
        <v>4500154524</v>
      </c>
    </row>
    <row r="1458" spans="1:1" x14ac:dyDescent="0.35">
      <c r="A1458" s="4">
        <v>4500154527</v>
      </c>
    </row>
    <row r="1459" spans="1:1" x14ac:dyDescent="0.35">
      <c r="A1459" s="4">
        <v>4500154529</v>
      </c>
    </row>
    <row r="1460" spans="1:1" x14ac:dyDescent="0.35">
      <c r="A1460" s="4">
        <v>4500154530</v>
      </c>
    </row>
    <row r="1461" spans="1:1" x14ac:dyDescent="0.35">
      <c r="A1461" s="4">
        <v>4500154531</v>
      </c>
    </row>
    <row r="1462" spans="1:1" x14ac:dyDescent="0.35">
      <c r="A1462" s="4">
        <v>4500154532</v>
      </c>
    </row>
    <row r="1463" spans="1:1" x14ac:dyDescent="0.35">
      <c r="A1463" s="4">
        <v>4500154534</v>
      </c>
    </row>
    <row r="1464" spans="1:1" x14ac:dyDescent="0.35">
      <c r="A1464" s="4">
        <v>4500154587</v>
      </c>
    </row>
    <row r="1465" spans="1:1" x14ac:dyDescent="0.35">
      <c r="A1465" s="4">
        <v>4500154589</v>
      </c>
    </row>
    <row r="1466" spans="1:1" x14ac:dyDescent="0.35">
      <c r="A1466" s="4">
        <v>4500154591</v>
      </c>
    </row>
    <row r="1467" spans="1:1" x14ac:dyDescent="0.35">
      <c r="A1467" s="4">
        <v>4500154593</v>
      </c>
    </row>
    <row r="1468" spans="1:1" x14ac:dyDescent="0.35">
      <c r="A1468" s="4">
        <v>4500154595</v>
      </c>
    </row>
    <row r="1469" spans="1:1" x14ac:dyDescent="0.35">
      <c r="A1469" s="4">
        <v>4500154599</v>
      </c>
    </row>
    <row r="1470" spans="1:1" x14ac:dyDescent="0.35">
      <c r="A1470" s="4">
        <v>4500154602</v>
      </c>
    </row>
    <row r="1471" spans="1:1" x14ac:dyDescent="0.35">
      <c r="A1471" s="4">
        <v>4500154606</v>
      </c>
    </row>
    <row r="1472" spans="1:1" x14ac:dyDescent="0.35">
      <c r="A1472" s="4">
        <v>4500154614</v>
      </c>
    </row>
    <row r="1473" spans="1:1" x14ac:dyDescent="0.35">
      <c r="A1473" s="4">
        <v>4500154619</v>
      </c>
    </row>
    <row r="1474" spans="1:1" x14ac:dyDescent="0.35">
      <c r="A1474" s="4">
        <v>4500154628</v>
      </c>
    </row>
    <row r="1475" spans="1:1" x14ac:dyDescent="0.35">
      <c r="A1475" s="4">
        <v>4500154637</v>
      </c>
    </row>
    <row r="1476" spans="1:1" x14ac:dyDescent="0.35">
      <c r="A1476" s="4">
        <v>4500154641</v>
      </c>
    </row>
    <row r="1477" spans="1:1" x14ac:dyDescent="0.35">
      <c r="A1477" s="4">
        <v>4500154652</v>
      </c>
    </row>
    <row r="1478" spans="1:1" x14ac:dyDescent="0.35">
      <c r="A1478" s="4">
        <v>4500154657</v>
      </c>
    </row>
    <row r="1479" spans="1:1" x14ac:dyDescent="0.35">
      <c r="A1479" s="4">
        <v>4500154661</v>
      </c>
    </row>
    <row r="1480" spans="1:1" x14ac:dyDescent="0.35">
      <c r="A1480" s="4">
        <v>4500154669</v>
      </c>
    </row>
    <row r="1481" spans="1:1" x14ac:dyDescent="0.35">
      <c r="A1481" s="4">
        <v>4500154676</v>
      </c>
    </row>
    <row r="1482" spans="1:1" x14ac:dyDescent="0.35">
      <c r="A1482" s="4">
        <v>4500154682</v>
      </c>
    </row>
    <row r="1483" spans="1:1" x14ac:dyDescent="0.35">
      <c r="A1483" s="4">
        <v>4500154693</v>
      </c>
    </row>
    <row r="1484" spans="1:1" x14ac:dyDescent="0.35">
      <c r="A1484" s="4">
        <v>4500154697</v>
      </c>
    </row>
    <row r="1485" spans="1:1" x14ac:dyDescent="0.35">
      <c r="A1485" s="4">
        <v>4500154701</v>
      </c>
    </row>
    <row r="1486" spans="1:1" x14ac:dyDescent="0.35">
      <c r="A1486" s="4">
        <v>4500154704</v>
      </c>
    </row>
    <row r="1487" spans="1:1" x14ac:dyDescent="0.35">
      <c r="A1487" s="4">
        <v>4500154707</v>
      </c>
    </row>
    <row r="1488" spans="1:1" x14ac:dyDescent="0.35">
      <c r="A1488" s="4">
        <v>4500154709</v>
      </c>
    </row>
    <row r="1489" spans="1:1" x14ac:dyDescent="0.35">
      <c r="A1489" s="4">
        <v>4500154712</v>
      </c>
    </row>
    <row r="1490" spans="1:1" x14ac:dyDescent="0.35">
      <c r="A1490" s="4">
        <v>4500154714</v>
      </c>
    </row>
    <row r="1491" spans="1:1" x14ac:dyDescent="0.35">
      <c r="A1491" s="4">
        <v>4500154715</v>
      </c>
    </row>
    <row r="1492" spans="1:1" x14ac:dyDescent="0.35">
      <c r="A1492" s="4">
        <v>4500154717</v>
      </c>
    </row>
    <row r="1493" spans="1:1" x14ac:dyDescent="0.35">
      <c r="A1493" s="4">
        <v>4500154736</v>
      </c>
    </row>
    <row r="1494" spans="1:1" x14ac:dyDescent="0.35">
      <c r="A1494" s="4">
        <v>4500154738</v>
      </c>
    </row>
    <row r="1495" spans="1:1" x14ac:dyDescent="0.35">
      <c r="A1495" s="4">
        <v>4500154797</v>
      </c>
    </row>
    <row r="1496" spans="1:1" x14ac:dyDescent="0.35">
      <c r="A1496" s="4">
        <v>4500154801</v>
      </c>
    </row>
    <row r="1497" spans="1:1" x14ac:dyDescent="0.35">
      <c r="A1497" s="4">
        <v>4500154806</v>
      </c>
    </row>
    <row r="1498" spans="1:1" x14ac:dyDescent="0.35">
      <c r="A1498" s="4">
        <v>4500154814</v>
      </c>
    </row>
    <row r="1499" spans="1:1" x14ac:dyDescent="0.35">
      <c r="A1499" s="4">
        <v>4500154818</v>
      </c>
    </row>
    <row r="1500" spans="1:1" x14ac:dyDescent="0.35">
      <c r="A1500" s="4">
        <v>4500154822</v>
      </c>
    </row>
    <row r="1501" spans="1:1" x14ac:dyDescent="0.35">
      <c r="A1501" s="4">
        <v>4500154827</v>
      </c>
    </row>
    <row r="1502" spans="1:1" x14ac:dyDescent="0.35">
      <c r="A1502" s="4">
        <v>4500154830</v>
      </c>
    </row>
    <row r="1503" spans="1:1" x14ac:dyDescent="0.35">
      <c r="A1503" s="4">
        <v>4500154833</v>
      </c>
    </row>
    <row r="1504" spans="1:1" x14ac:dyDescent="0.35">
      <c r="A1504" s="4">
        <v>4500154838</v>
      </c>
    </row>
    <row r="1505" spans="1:1" x14ac:dyDescent="0.35">
      <c r="A1505" s="4">
        <v>4500154841</v>
      </c>
    </row>
    <row r="1506" spans="1:1" x14ac:dyDescent="0.35">
      <c r="A1506" s="4">
        <v>4500154855</v>
      </c>
    </row>
    <row r="1507" spans="1:1" x14ac:dyDescent="0.35">
      <c r="A1507" s="4">
        <v>4500154861</v>
      </c>
    </row>
    <row r="1508" spans="1:1" x14ac:dyDescent="0.35">
      <c r="A1508" s="4">
        <v>4500154863</v>
      </c>
    </row>
    <row r="1509" spans="1:1" x14ac:dyDescent="0.35">
      <c r="A1509" s="4">
        <v>4500154870</v>
      </c>
    </row>
    <row r="1510" spans="1:1" x14ac:dyDescent="0.35">
      <c r="A1510" s="4">
        <v>4500154876</v>
      </c>
    </row>
    <row r="1511" spans="1:1" x14ac:dyDescent="0.35">
      <c r="A1511" s="4">
        <v>4500154881</v>
      </c>
    </row>
    <row r="1512" spans="1:1" x14ac:dyDescent="0.35">
      <c r="A1512" s="4">
        <v>4500154902</v>
      </c>
    </row>
    <row r="1513" spans="1:1" x14ac:dyDescent="0.35">
      <c r="A1513" s="4">
        <v>4500154905</v>
      </c>
    </row>
    <row r="1514" spans="1:1" x14ac:dyDescent="0.35">
      <c r="A1514" s="4">
        <v>4500154908</v>
      </c>
    </row>
    <row r="1515" spans="1:1" x14ac:dyDescent="0.35">
      <c r="A1515" s="4">
        <v>4500154910</v>
      </c>
    </row>
    <row r="1516" spans="1:1" x14ac:dyDescent="0.35">
      <c r="A1516" s="4">
        <v>4500154913</v>
      </c>
    </row>
    <row r="1517" spans="1:1" x14ac:dyDescent="0.35">
      <c r="A1517" s="4">
        <v>4500154914</v>
      </c>
    </row>
    <row r="1518" spans="1:1" x14ac:dyDescent="0.35">
      <c r="A1518" s="4">
        <v>4500154918</v>
      </c>
    </row>
    <row r="1519" spans="1:1" x14ac:dyDescent="0.35">
      <c r="A1519" s="4">
        <v>4500154921</v>
      </c>
    </row>
    <row r="1520" spans="1:1" x14ac:dyDescent="0.35">
      <c r="A1520" s="4">
        <v>4500154987</v>
      </c>
    </row>
    <row r="1521" spans="1:1" x14ac:dyDescent="0.35">
      <c r="A1521" s="4">
        <v>4500154993</v>
      </c>
    </row>
    <row r="1522" spans="1:1" x14ac:dyDescent="0.35">
      <c r="A1522" s="4">
        <v>4500154999</v>
      </c>
    </row>
    <row r="1523" spans="1:1" x14ac:dyDescent="0.35">
      <c r="A1523" s="4">
        <v>4500155004</v>
      </c>
    </row>
    <row r="1524" spans="1:1" x14ac:dyDescent="0.35">
      <c r="A1524" s="4">
        <v>4500155009</v>
      </c>
    </row>
    <row r="1525" spans="1:1" x14ac:dyDescent="0.35">
      <c r="A1525" s="4">
        <v>4500155017</v>
      </c>
    </row>
    <row r="1526" spans="1:1" x14ac:dyDescent="0.35">
      <c r="A1526" s="4">
        <v>4500155024</v>
      </c>
    </row>
    <row r="1527" spans="1:1" x14ac:dyDescent="0.35">
      <c r="A1527" s="4">
        <v>4500155029</v>
      </c>
    </row>
    <row r="1528" spans="1:1" x14ac:dyDescent="0.35">
      <c r="A1528" s="4">
        <v>4500155032</v>
      </c>
    </row>
    <row r="1529" spans="1:1" x14ac:dyDescent="0.35">
      <c r="A1529" s="4">
        <v>4500155037</v>
      </c>
    </row>
    <row r="1530" spans="1:1" x14ac:dyDescent="0.35">
      <c r="A1530" s="4">
        <v>4500155039</v>
      </c>
    </row>
    <row r="1531" spans="1:1" x14ac:dyDescent="0.35">
      <c r="A1531" s="4">
        <v>4500155043</v>
      </c>
    </row>
    <row r="1532" spans="1:1" x14ac:dyDescent="0.35">
      <c r="A1532" s="4">
        <v>4500155048</v>
      </c>
    </row>
    <row r="1533" spans="1:1" x14ac:dyDescent="0.35">
      <c r="A1533" s="4">
        <v>4500155051</v>
      </c>
    </row>
    <row r="1534" spans="1:1" x14ac:dyDescent="0.35">
      <c r="A1534" s="4">
        <v>4500155055</v>
      </c>
    </row>
    <row r="1535" spans="1:1" x14ac:dyDescent="0.35">
      <c r="A1535" s="4">
        <v>4500155058</v>
      </c>
    </row>
    <row r="1536" spans="1:1" x14ac:dyDescent="0.35">
      <c r="A1536" s="4">
        <v>4500155060</v>
      </c>
    </row>
    <row r="1537" spans="1:1" x14ac:dyDescent="0.35">
      <c r="A1537" s="4">
        <v>4500155062</v>
      </c>
    </row>
    <row r="1538" spans="1:1" x14ac:dyDescent="0.35">
      <c r="A1538" s="4">
        <v>4500155065</v>
      </c>
    </row>
    <row r="1539" spans="1:1" x14ac:dyDescent="0.35">
      <c r="A1539" s="4">
        <v>4500155067</v>
      </c>
    </row>
    <row r="1540" spans="1:1" x14ac:dyDescent="0.35">
      <c r="A1540" s="4">
        <v>4500155069</v>
      </c>
    </row>
    <row r="1541" spans="1:1" x14ac:dyDescent="0.35">
      <c r="A1541" s="4">
        <v>4500155072</v>
      </c>
    </row>
    <row r="1542" spans="1:1" x14ac:dyDescent="0.35">
      <c r="A1542" s="4">
        <v>4500155074</v>
      </c>
    </row>
    <row r="1543" spans="1:1" x14ac:dyDescent="0.35">
      <c r="A1543" s="4">
        <v>4500155076</v>
      </c>
    </row>
    <row r="1544" spans="1:1" x14ac:dyDescent="0.35">
      <c r="A1544" s="4">
        <v>4500155078</v>
      </c>
    </row>
    <row r="1545" spans="1:1" x14ac:dyDescent="0.35">
      <c r="A1545" s="4">
        <v>4500155079</v>
      </c>
    </row>
    <row r="1546" spans="1:1" x14ac:dyDescent="0.35">
      <c r="A1546" s="4">
        <v>4500155083</v>
      </c>
    </row>
    <row r="1547" spans="1:1" x14ac:dyDescent="0.35">
      <c r="A1547" s="4">
        <v>4500155085</v>
      </c>
    </row>
    <row r="1548" spans="1:1" x14ac:dyDescent="0.35">
      <c r="A1548" s="4">
        <v>4500155087</v>
      </c>
    </row>
    <row r="1549" spans="1:1" x14ac:dyDescent="0.35">
      <c r="A1549" s="4">
        <v>4500155088</v>
      </c>
    </row>
    <row r="1550" spans="1:1" x14ac:dyDescent="0.35">
      <c r="A1550" s="4">
        <v>4500155091</v>
      </c>
    </row>
    <row r="1551" spans="1:1" x14ac:dyDescent="0.35">
      <c r="A1551" s="4">
        <v>4500155093</v>
      </c>
    </row>
    <row r="1552" spans="1:1" x14ac:dyDescent="0.35">
      <c r="A1552" s="4">
        <v>4500155094</v>
      </c>
    </row>
    <row r="1553" spans="1:1" x14ac:dyDescent="0.35">
      <c r="A1553" s="4">
        <v>4500155096</v>
      </c>
    </row>
    <row r="1554" spans="1:1" x14ac:dyDescent="0.35">
      <c r="A1554" s="4">
        <v>4500155098</v>
      </c>
    </row>
    <row r="1555" spans="1:1" x14ac:dyDescent="0.35">
      <c r="A1555" s="4">
        <v>4500155100</v>
      </c>
    </row>
    <row r="1556" spans="1:1" x14ac:dyDescent="0.35">
      <c r="A1556" s="4">
        <v>4500155117</v>
      </c>
    </row>
    <row r="1557" spans="1:1" x14ac:dyDescent="0.35">
      <c r="A1557" s="4">
        <v>4500155173</v>
      </c>
    </row>
    <row r="1558" spans="1:1" x14ac:dyDescent="0.35">
      <c r="A1558" s="4">
        <v>4500155182</v>
      </c>
    </row>
    <row r="1559" spans="1:1" x14ac:dyDescent="0.35">
      <c r="A1559" s="4">
        <v>4500155187</v>
      </c>
    </row>
    <row r="1560" spans="1:1" x14ac:dyDescent="0.35">
      <c r="A1560" s="4">
        <v>4500155192</v>
      </c>
    </row>
    <row r="1561" spans="1:1" x14ac:dyDescent="0.35">
      <c r="A1561" s="4">
        <v>4500155203</v>
      </c>
    </row>
    <row r="1562" spans="1:1" x14ac:dyDescent="0.35">
      <c r="A1562" s="4">
        <v>4500155206</v>
      </c>
    </row>
    <row r="1563" spans="1:1" x14ac:dyDescent="0.35">
      <c r="A1563" s="4">
        <v>4500155219</v>
      </c>
    </row>
    <row r="1564" spans="1:1" x14ac:dyDescent="0.35">
      <c r="A1564" s="4">
        <v>4500155221</v>
      </c>
    </row>
    <row r="1565" spans="1:1" x14ac:dyDescent="0.35">
      <c r="A1565" s="4">
        <v>4500155224</v>
      </c>
    </row>
    <row r="1566" spans="1:1" x14ac:dyDescent="0.35">
      <c r="A1566" s="4">
        <v>4500155229</v>
      </c>
    </row>
    <row r="1567" spans="1:1" x14ac:dyDescent="0.35">
      <c r="A1567" s="4">
        <v>4500155238</v>
      </c>
    </row>
    <row r="1568" spans="1:1" x14ac:dyDescent="0.35">
      <c r="A1568" s="4">
        <v>4500155246</v>
      </c>
    </row>
    <row r="1569" spans="1:1" x14ac:dyDescent="0.35">
      <c r="A1569" s="4">
        <v>4500155252</v>
      </c>
    </row>
    <row r="1570" spans="1:1" x14ac:dyDescent="0.35">
      <c r="A1570" s="4">
        <v>4500155256</v>
      </c>
    </row>
    <row r="1571" spans="1:1" x14ac:dyDescent="0.35">
      <c r="A1571" s="4">
        <v>4500155259</v>
      </c>
    </row>
    <row r="1572" spans="1:1" x14ac:dyDescent="0.35">
      <c r="A1572" s="4">
        <v>4500155264</v>
      </c>
    </row>
    <row r="1573" spans="1:1" x14ac:dyDescent="0.35">
      <c r="A1573" s="4">
        <v>4500155268</v>
      </c>
    </row>
    <row r="1574" spans="1:1" x14ac:dyDescent="0.35">
      <c r="A1574" s="4">
        <v>4500155273</v>
      </c>
    </row>
    <row r="1575" spans="1:1" x14ac:dyDescent="0.35">
      <c r="A1575" s="4">
        <v>4500155289</v>
      </c>
    </row>
    <row r="1576" spans="1:1" x14ac:dyDescent="0.35">
      <c r="A1576" s="4">
        <v>4500155293</v>
      </c>
    </row>
    <row r="1577" spans="1:1" x14ac:dyDescent="0.35">
      <c r="A1577" s="4">
        <v>4500155298</v>
      </c>
    </row>
    <row r="1578" spans="1:1" x14ac:dyDescent="0.35">
      <c r="A1578" s="4">
        <v>4500155302</v>
      </c>
    </row>
    <row r="1579" spans="1:1" x14ac:dyDescent="0.35">
      <c r="A1579" s="4">
        <v>4500155306</v>
      </c>
    </row>
    <row r="1580" spans="1:1" x14ac:dyDescent="0.35">
      <c r="A1580" s="4">
        <v>4500155387</v>
      </c>
    </row>
    <row r="1581" spans="1:1" x14ac:dyDescent="0.35">
      <c r="A1581" s="4">
        <v>4500155391</v>
      </c>
    </row>
    <row r="1582" spans="1:1" x14ac:dyDescent="0.35">
      <c r="A1582" s="4">
        <v>4500155396</v>
      </c>
    </row>
    <row r="1583" spans="1:1" x14ac:dyDescent="0.35">
      <c r="A1583" s="4">
        <v>4500155401</v>
      </c>
    </row>
    <row r="1584" spans="1:1" x14ac:dyDescent="0.35">
      <c r="A1584" s="4">
        <v>4500155404</v>
      </c>
    </row>
    <row r="1585" spans="1:1" x14ac:dyDescent="0.35">
      <c r="A1585" s="4">
        <v>4500155408</v>
      </c>
    </row>
    <row r="1586" spans="1:1" x14ac:dyDescent="0.35">
      <c r="A1586" s="4">
        <v>4500155412</v>
      </c>
    </row>
    <row r="1587" spans="1:1" x14ac:dyDescent="0.35">
      <c r="A1587" s="4">
        <v>4500155417</v>
      </c>
    </row>
    <row r="1588" spans="1:1" x14ac:dyDescent="0.35">
      <c r="A1588" s="4">
        <v>4500155422</v>
      </c>
    </row>
    <row r="1589" spans="1:1" x14ac:dyDescent="0.35">
      <c r="A1589" s="4">
        <v>4500155429</v>
      </c>
    </row>
    <row r="1590" spans="1:1" x14ac:dyDescent="0.35">
      <c r="A1590" s="4">
        <v>4500155433</v>
      </c>
    </row>
    <row r="1591" spans="1:1" x14ac:dyDescent="0.35">
      <c r="A1591" s="4">
        <v>4500155438</v>
      </c>
    </row>
    <row r="1592" spans="1:1" x14ac:dyDescent="0.35">
      <c r="A1592" s="4">
        <v>4500155443</v>
      </c>
    </row>
    <row r="1593" spans="1:1" x14ac:dyDescent="0.35">
      <c r="A1593" s="4">
        <v>4500155453</v>
      </c>
    </row>
    <row r="1594" spans="1:1" x14ac:dyDescent="0.35">
      <c r="A1594" s="4">
        <v>4500155457</v>
      </c>
    </row>
    <row r="1595" spans="1:1" x14ac:dyDescent="0.35">
      <c r="A1595" s="4">
        <v>4500155460</v>
      </c>
    </row>
    <row r="1596" spans="1:1" x14ac:dyDescent="0.35">
      <c r="A1596" s="4">
        <v>4500155464</v>
      </c>
    </row>
    <row r="1597" spans="1:1" x14ac:dyDescent="0.35">
      <c r="A1597" s="4">
        <v>4500155473</v>
      </c>
    </row>
    <row r="1598" spans="1:1" x14ac:dyDescent="0.35">
      <c r="A1598" s="4">
        <v>4500155478</v>
      </c>
    </row>
    <row r="1599" spans="1:1" x14ac:dyDescent="0.35">
      <c r="A1599" s="4">
        <v>4500155480</v>
      </c>
    </row>
    <row r="1600" spans="1:1" x14ac:dyDescent="0.35">
      <c r="A1600" s="4">
        <v>4500155482</v>
      </c>
    </row>
    <row r="1601" spans="1:1" x14ac:dyDescent="0.35">
      <c r="A1601" s="4">
        <v>4500155484</v>
      </c>
    </row>
    <row r="1602" spans="1:1" x14ac:dyDescent="0.35">
      <c r="A1602" s="4">
        <v>4500155486</v>
      </c>
    </row>
    <row r="1603" spans="1:1" x14ac:dyDescent="0.35">
      <c r="A1603" s="4">
        <v>4500155488</v>
      </c>
    </row>
    <row r="1604" spans="1:1" x14ac:dyDescent="0.35">
      <c r="A1604" s="4">
        <v>4500155490</v>
      </c>
    </row>
    <row r="1605" spans="1:1" x14ac:dyDescent="0.35">
      <c r="A1605" s="4">
        <v>4500155495</v>
      </c>
    </row>
    <row r="1606" spans="1:1" x14ac:dyDescent="0.35">
      <c r="A1606" s="4">
        <v>4500155496</v>
      </c>
    </row>
    <row r="1607" spans="1:1" x14ac:dyDescent="0.35">
      <c r="A1607" s="4">
        <v>4500155497</v>
      </c>
    </row>
    <row r="1608" spans="1:1" x14ac:dyDescent="0.35">
      <c r="A1608" s="4">
        <v>4500155499</v>
      </c>
    </row>
    <row r="1609" spans="1:1" x14ac:dyDescent="0.35">
      <c r="A1609" s="4">
        <v>4500155500</v>
      </c>
    </row>
    <row r="1610" spans="1:1" x14ac:dyDescent="0.35">
      <c r="A1610" s="4">
        <v>4500155501</v>
      </c>
    </row>
    <row r="1611" spans="1:1" x14ac:dyDescent="0.35">
      <c r="A1611" s="4">
        <v>4500155502</v>
      </c>
    </row>
    <row r="1612" spans="1:1" x14ac:dyDescent="0.35">
      <c r="A1612" s="4">
        <v>4500155506</v>
      </c>
    </row>
    <row r="1613" spans="1:1" x14ac:dyDescent="0.35">
      <c r="A1613" s="4">
        <v>4500155507</v>
      </c>
    </row>
    <row r="1614" spans="1:1" x14ac:dyDescent="0.35">
      <c r="A1614" s="4">
        <v>4500155544</v>
      </c>
    </row>
    <row r="1615" spans="1:1" x14ac:dyDescent="0.35">
      <c r="A1615" s="4">
        <v>4500155559</v>
      </c>
    </row>
    <row r="1616" spans="1:1" x14ac:dyDescent="0.35">
      <c r="A1616" s="4">
        <v>4500155562</v>
      </c>
    </row>
    <row r="1617" spans="1:1" x14ac:dyDescent="0.35">
      <c r="A1617" s="4">
        <v>4500155573</v>
      </c>
    </row>
    <row r="1618" spans="1:1" x14ac:dyDescent="0.35">
      <c r="A1618" s="4">
        <v>4500155577</v>
      </c>
    </row>
    <row r="1619" spans="1:1" x14ac:dyDescent="0.35">
      <c r="A1619" s="4">
        <v>4500155581</v>
      </c>
    </row>
    <row r="1620" spans="1:1" x14ac:dyDescent="0.35">
      <c r="A1620" s="4">
        <v>4500155583</v>
      </c>
    </row>
    <row r="1621" spans="1:1" x14ac:dyDescent="0.35">
      <c r="A1621" s="4">
        <v>4500155586</v>
      </c>
    </row>
    <row r="1622" spans="1:1" x14ac:dyDescent="0.35">
      <c r="A1622" s="4">
        <v>4500155589</v>
      </c>
    </row>
    <row r="1623" spans="1:1" x14ac:dyDescent="0.35">
      <c r="A1623" s="4">
        <v>4500155594</v>
      </c>
    </row>
    <row r="1624" spans="1:1" x14ac:dyDescent="0.35">
      <c r="A1624" s="4">
        <v>4500155597</v>
      </c>
    </row>
    <row r="1625" spans="1:1" x14ac:dyDescent="0.35">
      <c r="A1625" s="4">
        <v>4500155600</v>
      </c>
    </row>
    <row r="1626" spans="1:1" x14ac:dyDescent="0.35">
      <c r="A1626" s="4">
        <v>4500155607</v>
      </c>
    </row>
    <row r="1627" spans="1:1" x14ac:dyDescent="0.35">
      <c r="A1627" s="4">
        <v>4500155611</v>
      </c>
    </row>
    <row r="1628" spans="1:1" x14ac:dyDescent="0.35">
      <c r="A1628" s="4">
        <v>4500155619</v>
      </c>
    </row>
    <row r="1629" spans="1:1" x14ac:dyDescent="0.35">
      <c r="A1629" s="4">
        <v>4500155623</v>
      </c>
    </row>
    <row r="1630" spans="1:1" x14ac:dyDescent="0.35">
      <c r="A1630" s="4">
        <v>4500155625</v>
      </c>
    </row>
    <row r="1631" spans="1:1" x14ac:dyDescent="0.35">
      <c r="A1631" s="4">
        <v>4500155631</v>
      </c>
    </row>
    <row r="1632" spans="1:1" x14ac:dyDescent="0.35">
      <c r="A1632" s="4">
        <v>4500155639</v>
      </c>
    </row>
    <row r="1633" spans="1:1" x14ac:dyDescent="0.35">
      <c r="A1633" s="4">
        <v>4500155642</v>
      </c>
    </row>
    <row r="1634" spans="1:1" x14ac:dyDescent="0.35">
      <c r="A1634" s="4">
        <v>4500155647</v>
      </c>
    </row>
    <row r="1635" spans="1:1" x14ac:dyDescent="0.35">
      <c r="A1635" s="4">
        <v>4500155652</v>
      </c>
    </row>
    <row r="1636" spans="1:1" x14ac:dyDescent="0.35">
      <c r="A1636" s="4">
        <v>4500155664</v>
      </c>
    </row>
    <row r="1637" spans="1:1" x14ac:dyDescent="0.35">
      <c r="A1637" s="4">
        <v>4500155667</v>
      </c>
    </row>
    <row r="1638" spans="1:1" x14ac:dyDescent="0.35">
      <c r="A1638" s="4">
        <v>4500155671</v>
      </c>
    </row>
    <row r="1639" spans="1:1" x14ac:dyDescent="0.35">
      <c r="A1639" s="4">
        <v>4500155672</v>
      </c>
    </row>
    <row r="1640" spans="1:1" x14ac:dyDescent="0.35">
      <c r="A1640" s="4">
        <v>4500155673</v>
      </c>
    </row>
    <row r="1641" spans="1:1" x14ac:dyDescent="0.35">
      <c r="A1641" s="4">
        <v>4500155674</v>
      </c>
    </row>
    <row r="1642" spans="1:1" x14ac:dyDescent="0.35">
      <c r="A1642" s="4">
        <v>4500155676</v>
      </c>
    </row>
    <row r="1643" spans="1:1" x14ac:dyDescent="0.35">
      <c r="A1643" s="4">
        <v>4500155677</v>
      </c>
    </row>
    <row r="1644" spans="1:1" x14ac:dyDescent="0.35">
      <c r="A1644" s="4">
        <v>4500155679</v>
      </c>
    </row>
    <row r="1645" spans="1:1" x14ac:dyDescent="0.35">
      <c r="A1645" s="4">
        <v>4500155697</v>
      </c>
    </row>
    <row r="1646" spans="1:1" x14ac:dyDescent="0.35">
      <c r="A1646" s="4">
        <v>4500155747</v>
      </c>
    </row>
    <row r="1647" spans="1:1" x14ac:dyDescent="0.35">
      <c r="A1647" s="4">
        <v>4500155750</v>
      </c>
    </row>
    <row r="1648" spans="1:1" x14ac:dyDescent="0.35">
      <c r="A1648" s="4">
        <v>4500155754</v>
      </c>
    </row>
    <row r="1649" spans="1:1" x14ac:dyDescent="0.35">
      <c r="A1649" s="4">
        <v>4500155760</v>
      </c>
    </row>
    <row r="1650" spans="1:1" x14ac:dyDescent="0.35">
      <c r="A1650" s="4">
        <v>4500155764</v>
      </c>
    </row>
    <row r="1651" spans="1:1" x14ac:dyDescent="0.35">
      <c r="A1651" s="4">
        <v>4500155769</v>
      </c>
    </row>
    <row r="1652" spans="1:1" x14ac:dyDescent="0.35">
      <c r="A1652" s="4">
        <v>4500155773</v>
      </c>
    </row>
    <row r="1653" spans="1:1" x14ac:dyDescent="0.35">
      <c r="A1653" s="4">
        <v>4500155777</v>
      </c>
    </row>
    <row r="1654" spans="1:1" x14ac:dyDescent="0.35">
      <c r="A1654" s="4">
        <v>4500155780</v>
      </c>
    </row>
    <row r="1655" spans="1:1" x14ac:dyDescent="0.35">
      <c r="A1655" s="4">
        <v>4500155784</v>
      </c>
    </row>
    <row r="1656" spans="1:1" x14ac:dyDescent="0.35">
      <c r="A1656" s="4">
        <v>4500155788</v>
      </c>
    </row>
    <row r="1657" spans="1:1" x14ac:dyDescent="0.35">
      <c r="A1657" s="4">
        <v>4500155793</v>
      </c>
    </row>
    <row r="1658" spans="1:1" x14ac:dyDescent="0.35">
      <c r="A1658" s="4">
        <v>4500155801</v>
      </c>
    </row>
    <row r="1659" spans="1:1" x14ac:dyDescent="0.35">
      <c r="A1659" s="4">
        <v>4500155805</v>
      </c>
    </row>
    <row r="1660" spans="1:1" x14ac:dyDescent="0.35">
      <c r="A1660" s="4">
        <v>4500155810</v>
      </c>
    </row>
    <row r="1661" spans="1:1" x14ac:dyDescent="0.35">
      <c r="A1661" s="4">
        <v>4500155815</v>
      </c>
    </row>
    <row r="1662" spans="1:1" x14ac:dyDescent="0.35">
      <c r="A1662" s="4">
        <v>4500155818</v>
      </c>
    </row>
    <row r="1663" spans="1:1" x14ac:dyDescent="0.35">
      <c r="A1663" s="4">
        <v>4500155822</v>
      </c>
    </row>
    <row r="1664" spans="1:1" x14ac:dyDescent="0.35">
      <c r="A1664" s="4">
        <v>4500155826</v>
      </c>
    </row>
    <row r="1665" spans="1:1" x14ac:dyDescent="0.35">
      <c r="A1665" s="4">
        <v>4500155839</v>
      </c>
    </row>
    <row r="1666" spans="1:1" x14ac:dyDescent="0.35">
      <c r="A1666" s="4">
        <v>4500155842</v>
      </c>
    </row>
    <row r="1667" spans="1:1" x14ac:dyDescent="0.35">
      <c r="A1667" s="4">
        <v>4500155844</v>
      </c>
    </row>
    <row r="1668" spans="1:1" x14ac:dyDescent="0.35">
      <c r="A1668" s="4">
        <v>4500155849</v>
      </c>
    </row>
    <row r="1669" spans="1:1" x14ac:dyDescent="0.35">
      <c r="A1669" s="4">
        <v>4500155852</v>
      </c>
    </row>
    <row r="1670" spans="1:1" x14ac:dyDescent="0.35">
      <c r="A1670" s="4">
        <v>4500155855</v>
      </c>
    </row>
    <row r="1671" spans="1:1" x14ac:dyDescent="0.35">
      <c r="A1671" s="4">
        <v>4500155858</v>
      </c>
    </row>
    <row r="1672" spans="1:1" x14ac:dyDescent="0.35">
      <c r="A1672" s="4">
        <v>4500155859</v>
      </c>
    </row>
    <row r="1673" spans="1:1" x14ac:dyDescent="0.35">
      <c r="A1673" s="4">
        <v>4500155861</v>
      </c>
    </row>
    <row r="1674" spans="1:1" x14ac:dyDescent="0.35">
      <c r="A1674" s="4">
        <v>4500155864</v>
      </c>
    </row>
    <row r="1675" spans="1:1" x14ac:dyDescent="0.35">
      <c r="A1675" s="4">
        <v>4500155869</v>
      </c>
    </row>
    <row r="1676" spans="1:1" x14ac:dyDescent="0.35">
      <c r="A1676" s="4">
        <v>4500155870</v>
      </c>
    </row>
    <row r="1677" spans="1:1" x14ac:dyDescent="0.35">
      <c r="A1677" s="4">
        <v>4500155893</v>
      </c>
    </row>
    <row r="1678" spans="1:1" x14ac:dyDescent="0.35">
      <c r="A1678" s="4">
        <v>4500155953</v>
      </c>
    </row>
    <row r="1679" spans="1:1" x14ac:dyDescent="0.35">
      <c r="A1679" s="4">
        <v>4500155958</v>
      </c>
    </row>
    <row r="1680" spans="1:1" x14ac:dyDescent="0.35">
      <c r="A1680" s="4">
        <v>4500155966</v>
      </c>
    </row>
    <row r="1681" spans="1:1" x14ac:dyDescent="0.35">
      <c r="A1681" s="4">
        <v>4500155970</v>
      </c>
    </row>
    <row r="1682" spans="1:1" x14ac:dyDescent="0.35">
      <c r="A1682" s="4">
        <v>4500155974</v>
      </c>
    </row>
    <row r="1683" spans="1:1" x14ac:dyDescent="0.35">
      <c r="A1683" s="4">
        <v>4500155980</v>
      </c>
    </row>
    <row r="1684" spans="1:1" x14ac:dyDescent="0.35">
      <c r="A1684" s="4">
        <v>4500155988</v>
      </c>
    </row>
    <row r="1685" spans="1:1" x14ac:dyDescent="0.35">
      <c r="A1685" s="4">
        <v>4500155995</v>
      </c>
    </row>
    <row r="1686" spans="1:1" x14ac:dyDescent="0.35">
      <c r="A1686" s="4">
        <v>4500155997</v>
      </c>
    </row>
    <row r="1687" spans="1:1" x14ac:dyDescent="0.35">
      <c r="A1687" s="4">
        <v>4500156002</v>
      </c>
    </row>
    <row r="1688" spans="1:1" x14ac:dyDescent="0.35">
      <c r="A1688" s="4">
        <v>4500156007</v>
      </c>
    </row>
    <row r="1689" spans="1:1" x14ac:dyDescent="0.35">
      <c r="A1689" s="4">
        <v>4500156011</v>
      </c>
    </row>
    <row r="1690" spans="1:1" x14ac:dyDescent="0.35">
      <c r="A1690" s="4">
        <v>4500156018</v>
      </c>
    </row>
    <row r="1691" spans="1:1" x14ac:dyDescent="0.35">
      <c r="A1691" s="4">
        <v>4500156023</v>
      </c>
    </row>
    <row r="1692" spans="1:1" x14ac:dyDescent="0.35">
      <c r="A1692" s="4">
        <v>4500156026</v>
      </c>
    </row>
    <row r="1693" spans="1:1" x14ac:dyDescent="0.35">
      <c r="A1693" s="4">
        <v>4500156030</v>
      </c>
    </row>
    <row r="1694" spans="1:1" x14ac:dyDescent="0.35">
      <c r="A1694" s="4">
        <v>4500156033</v>
      </c>
    </row>
    <row r="1695" spans="1:1" x14ac:dyDescent="0.35">
      <c r="A1695" s="4">
        <v>4500156036</v>
      </c>
    </row>
    <row r="1696" spans="1:1" x14ac:dyDescent="0.35">
      <c r="A1696" s="4">
        <v>4500156039</v>
      </c>
    </row>
    <row r="1697" spans="1:1" x14ac:dyDescent="0.35">
      <c r="A1697" s="4">
        <v>4500156040</v>
      </c>
    </row>
    <row r="1698" spans="1:1" x14ac:dyDescent="0.35">
      <c r="A1698" s="4">
        <v>4500156042</v>
      </c>
    </row>
    <row r="1699" spans="1:1" x14ac:dyDescent="0.35">
      <c r="A1699" s="4">
        <v>4500156044</v>
      </c>
    </row>
    <row r="1700" spans="1:1" x14ac:dyDescent="0.35">
      <c r="A1700" s="4">
        <v>4500156045</v>
      </c>
    </row>
    <row r="1701" spans="1:1" x14ac:dyDescent="0.35">
      <c r="A1701" s="4">
        <v>4500156047</v>
      </c>
    </row>
    <row r="1702" spans="1:1" x14ac:dyDescent="0.35">
      <c r="A1702" s="4">
        <v>4500156050</v>
      </c>
    </row>
    <row r="1703" spans="1:1" x14ac:dyDescent="0.35">
      <c r="A1703" s="4">
        <v>4500156052</v>
      </c>
    </row>
    <row r="1704" spans="1:1" x14ac:dyDescent="0.35">
      <c r="A1704" s="4">
        <v>4500156054</v>
      </c>
    </row>
    <row r="1705" spans="1:1" x14ac:dyDescent="0.35">
      <c r="A1705" s="4">
        <v>4500156056</v>
      </c>
    </row>
    <row r="1706" spans="1:1" x14ac:dyDescent="0.35">
      <c r="A1706" s="4">
        <v>4500156059</v>
      </c>
    </row>
    <row r="1707" spans="1:1" x14ac:dyDescent="0.35">
      <c r="A1707" s="4">
        <v>4500156061</v>
      </c>
    </row>
    <row r="1708" spans="1:1" x14ac:dyDescent="0.35">
      <c r="A1708" s="4">
        <v>4500156063</v>
      </c>
    </row>
    <row r="1709" spans="1:1" x14ac:dyDescent="0.35">
      <c r="A1709" s="4">
        <v>4500156065</v>
      </c>
    </row>
    <row r="1710" spans="1:1" x14ac:dyDescent="0.35">
      <c r="A1710" s="4">
        <v>4500156100</v>
      </c>
    </row>
    <row r="1711" spans="1:1" x14ac:dyDescent="0.35">
      <c r="A1711" s="4">
        <v>4500156102</v>
      </c>
    </row>
    <row r="1712" spans="1:1" x14ac:dyDescent="0.35">
      <c r="A1712" s="4">
        <v>4500156184</v>
      </c>
    </row>
    <row r="1713" spans="1:1" x14ac:dyDescent="0.35">
      <c r="A1713" s="4">
        <v>4500156189</v>
      </c>
    </row>
    <row r="1714" spans="1:1" x14ac:dyDescent="0.35">
      <c r="A1714" s="4">
        <v>4500156193</v>
      </c>
    </row>
    <row r="1715" spans="1:1" x14ac:dyDescent="0.35">
      <c r="A1715" s="4">
        <v>4500156195</v>
      </c>
    </row>
    <row r="1716" spans="1:1" x14ac:dyDescent="0.35">
      <c r="A1716" s="4">
        <v>4500156199</v>
      </c>
    </row>
    <row r="1717" spans="1:1" x14ac:dyDescent="0.35">
      <c r="A1717" s="4">
        <v>4500156201</v>
      </c>
    </row>
    <row r="1718" spans="1:1" x14ac:dyDescent="0.35">
      <c r="A1718" s="4">
        <v>4500156203</v>
      </c>
    </row>
    <row r="1719" spans="1:1" x14ac:dyDescent="0.35">
      <c r="A1719" s="4">
        <v>4500156213</v>
      </c>
    </row>
    <row r="1720" spans="1:1" x14ac:dyDescent="0.35">
      <c r="A1720" s="4">
        <v>4500156222</v>
      </c>
    </row>
    <row r="1721" spans="1:1" x14ac:dyDescent="0.35">
      <c r="A1721" s="4">
        <v>4500156225</v>
      </c>
    </row>
    <row r="1722" spans="1:1" x14ac:dyDescent="0.35">
      <c r="A1722" s="4">
        <v>4500156228</v>
      </c>
    </row>
    <row r="1723" spans="1:1" x14ac:dyDescent="0.35">
      <c r="A1723" s="4">
        <v>4500156234</v>
      </c>
    </row>
    <row r="1724" spans="1:1" x14ac:dyDescent="0.35">
      <c r="A1724" s="4">
        <v>4500156238</v>
      </c>
    </row>
    <row r="1725" spans="1:1" x14ac:dyDescent="0.35">
      <c r="A1725" s="4">
        <v>4500156240</v>
      </c>
    </row>
    <row r="1726" spans="1:1" x14ac:dyDescent="0.35">
      <c r="A1726" s="4">
        <v>4500156242</v>
      </c>
    </row>
    <row r="1727" spans="1:1" x14ac:dyDescent="0.35">
      <c r="A1727" s="4">
        <v>4500156244</v>
      </c>
    </row>
    <row r="1728" spans="1:1" x14ac:dyDescent="0.35">
      <c r="A1728" s="4">
        <v>4500156246</v>
      </c>
    </row>
    <row r="1729" spans="1:1" x14ac:dyDescent="0.35">
      <c r="A1729" s="4">
        <v>4500156248</v>
      </c>
    </row>
    <row r="1730" spans="1:1" x14ac:dyDescent="0.35">
      <c r="A1730" s="4">
        <v>4500156250</v>
      </c>
    </row>
    <row r="1731" spans="1:1" x14ac:dyDescent="0.35">
      <c r="A1731" s="4">
        <v>4500156252</v>
      </c>
    </row>
    <row r="1732" spans="1:1" x14ac:dyDescent="0.35">
      <c r="A1732" s="4">
        <v>4500156254</v>
      </c>
    </row>
    <row r="1733" spans="1:1" x14ac:dyDescent="0.35">
      <c r="A1733" s="4">
        <v>4500156256</v>
      </c>
    </row>
    <row r="1734" spans="1:1" x14ac:dyDescent="0.35">
      <c r="A1734" s="4">
        <v>4500156271</v>
      </c>
    </row>
    <row r="1735" spans="1:1" x14ac:dyDescent="0.35">
      <c r="A1735" s="4">
        <v>4500156272</v>
      </c>
    </row>
    <row r="1736" spans="1:1" x14ac:dyDescent="0.35">
      <c r="A1736" s="4">
        <v>4500156274</v>
      </c>
    </row>
    <row r="1737" spans="1:1" x14ac:dyDescent="0.35">
      <c r="A1737" s="4">
        <v>4500156276</v>
      </c>
    </row>
    <row r="1738" spans="1:1" x14ac:dyDescent="0.35">
      <c r="A1738" s="4">
        <v>4500156278</v>
      </c>
    </row>
    <row r="1739" spans="1:1" x14ac:dyDescent="0.35">
      <c r="A1739" s="4">
        <v>4500156280</v>
      </c>
    </row>
    <row r="1740" spans="1:1" x14ac:dyDescent="0.35">
      <c r="A1740" s="4">
        <v>4500156284</v>
      </c>
    </row>
    <row r="1741" spans="1:1" x14ac:dyDescent="0.35">
      <c r="A1741" s="4">
        <v>4500156294</v>
      </c>
    </row>
    <row r="1742" spans="1:1" x14ac:dyDescent="0.35">
      <c r="A1742" s="4">
        <v>4500156344</v>
      </c>
    </row>
    <row r="1743" spans="1:1" x14ac:dyDescent="0.35">
      <c r="A1743" s="4">
        <v>4500156352</v>
      </c>
    </row>
    <row r="1744" spans="1:1" x14ac:dyDescent="0.35">
      <c r="A1744" s="4">
        <v>4500156355</v>
      </c>
    </row>
    <row r="1745" spans="1:1" x14ac:dyDescent="0.35">
      <c r="A1745" s="4">
        <v>4500156359</v>
      </c>
    </row>
    <row r="1746" spans="1:1" x14ac:dyDescent="0.35">
      <c r="A1746" s="4">
        <v>4500156362</v>
      </c>
    </row>
    <row r="1747" spans="1:1" x14ac:dyDescent="0.35">
      <c r="A1747" s="4">
        <v>4500156366</v>
      </c>
    </row>
    <row r="1748" spans="1:1" x14ac:dyDescent="0.35">
      <c r="A1748" s="4">
        <v>4500156380</v>
      </c>
    </row>
    <row r="1749" spans="1:1" x14ac:dyDescent="0.35">
      <c r="A1749" s="4">
        <v>4500156389</v>
      </c>
    </row>
    <row r="1750" spans="1:1" x14ac:dyDescent="0.35">
      <c r="A1750" s="4">
        <v>4500156392</v>
      </c>
    </row>
    <row r="1751" spans="1:1" x14ac:dyDescent="0.35">
      <c r="A1751" s="4">
        <v>4500156396</v>
      </c>
    </row>
    <row r="1752" spans="1:1" x14ac:dyDescent="0.35">
      <c r="A1752" s="4">
        <v>4500156398</v>
      </c>
    </row>
    <row r="1753" spans="1:1" x14ac:dyDescent="0.35">
      <c r="A1753" s="4">
        <v>4500156401</v>
      </c>
    </row>
    <row r="1754" spans="1:1" x14ac:dyDescent="0.35">
      <c r="A1754" s="4">
        <v>4500156405</v>
      </c>
    </row>
    <row r="1755" spans="1:1" x14ac:dyDescent="0.35">
      <c r="A1755" s="4">
        <v>4500156414</v>
      </c>
    </row>
    <row r="1756" spans="1:1" x14ac:dyDescent="0.35">
      <c r="A1756" s="4">
        <v>4500156417</v>
      </c>
    </row>
    <row r="1757" spans="1:1" x14ac:dyDescent="0.35">
      <c r="A1757" s="4">
        <v>4500156419</v>
      </c>
    </row>
    <row r="1758" spans="1:1" x14ac:dyDescent="0.35">
      <c r="A1758" s="4">
        <v>4500156422</v>
      </c>
    </row>
    <row r="1759" spans="1:1" x14ac:dyDescent="0.35">
      <c r="A1759" s="4">
        <v>4500156424</v>
      </c>
    </row>
    <row r="1760" spans="1:1" x14ac:dyDescent="0.35">
      <c r="A1760" s="4">
        <v>4500156430</v>
      </c>
    </row>
    <row r="1761" spans="1:1" x14ac:dyDescent="0.35">
      <c r="A1761" s="4">
        <v>4500156434</v>
      </c>
    </row>
    <row r="1762" spans="1:1" x14ac:dyDescent="0.35">
      <c r="A1762" s="4">
        <v>4500156439</v>
      </c>
    </row>
    <row r="1763" spans="1:1" x14ac:dyDescent="0.35">
      <c r="A1763" s="4">
        <v>4500156442</v>
      </c>
    </row>
    <row r="1764" spans="1:1" x14ac:dyDescent="0.35">
      <c r="A1764" s="4">
        <v>4500156448</v>
      </c>
    </row>
    <row r="1765" spans="1:1" x14ac:dyDescent="0.35">
      <c r="A1765" s="4">
        <v>4500156451</v>
      </c>
    </row>
    <row r="1766" spans="1:1" x14ac:dyDescent="0.35">
      <c r="A1766" s="4">
        <v>4500156455</v>
      </c>
    </row>
    <row r="1767" spans="1:1" x14ac:dyDescent="0.35">
      <c r="A1767" s="4">
        <v>4500156458</v>
      </c>
    </row>
    <row r="1768" spans="1:1" x14ac:dyDescent="0.35">
      <c r="A1768" s="4">
        <v>4500156459</v>
      </c>
    </row>
    <row r="1769" spans="1:1" x14ac:dyDescent="0.35">
      <c r="A1769" s="4">
        <v>4500156460</v>
      </c>
    </row>
    <row r="1770" spans="1:1" x14ac:dyDescent="0.35">
      <c r="A1770" s="4">
        <v>4500156462</v>
      </c>
    </row>
    <row r="1771" spans="1:1" x14ac:dyDescent="0.35">
      <c r="A1771" s="4">
        <v>4500156463</v>
      </c>
    </row>
    <row r="1772" spans="1:1" x14ac:dyDescent="0.35">
      <c r="A1772" s="4">
        <v>4500156464</v>
      </c>
    </row>
    <row r="1773" spans="1:1" x14ac:dyDescent="0.35">
      <c r="A1773" s="4">
        <v>4500156465</v>
      </c>
    </row>
    <row r="1774" spans="1:1" x14ac:dyDescent="0.35">
      <c r="A1774" s="4">
        <v>4500156466</v>
      </c>
    </row>
    <row r="1775" spans="1:1" x14ac:dyDescent="0.35">
      <c r="A1775" s="4">
        <v>4500156468</v>
      </c>
    </row>
    <row r="1776" spans="1:1" x14ac:dyDescent="0.35">
      <c r="A1776" s="4">
        <v>4500156469</v>
      </c>
    </row>
    <row r="1777" spans="1:1" x14ac:dyDescent="0.35">
      <c r="A1777" s="4">
        <v>4500156470</v>
      </c>
    </row>
    <row r="1778" spans="1:1" x14ac:dyDescent="0.35">
      <c r="A1778" s="4">
        <v>4500156471</v>
      </c>
    </row>
    <row r="1779" spans="1:1" x14ac:dyDescent="0.35">
      <c r="A1779" s="4">
        <v>4500156473</v>
      </c>
    </row>
    <row r="1780" spans="1:1" x14ac:dyDescent="0.35">
      <c r="A1780" s="4">
        <v>4500156475</v>
      </c>
    </row>
    <row r="1781" spans="1:1" x14ac:dyDescent="0.35">
      <c r="A1781" s="4">
        <v>4500156476</v>
      </c>
    </row>
    <row r="1782" spans="1:1" x14ac:dyDescent="0.35">
      <c r="A1782" s="4">
        <v>4500156490</v>
      </c>
    </row>
    <row r="1783" spans="1:1" x14ac:dyDescent="0.35">
      <c r="A1783" s="4">
        <v>4500156541</v>
      </c>
    </row>
    <row r="1784" spans="1:1" x14ac:dyDescent="0.35">
      <c r="A1784" s="4">
        <v>4500156546</v>
      </c>
    </row>
    <row r="1785" spans="1:1" x14ac:dyDescent="0.35">
      <c r="A1785" s="4">
        <v>4500156549</v>
      </c>
    </row>
    <row r="1786" spans="1:1" x14ac:dyDescent="0.35">
      <c r="A1786" s="4">
        <v>4500156553</v>
      </c>
    </row>
    <row r="1787" spans="1:1" x14ac:dyDescent="0.35">
      <c r="A1787" s="4">
        <v>4500156557</v>
      </c>
    </row>
    <row r="1788" spans="1:1" x14ac:dyDescent="0.35">
      <c r="A1788" s="4">
        <v>4500156562</v>
      </c>
    </row>
    <row r="1789" spans="1:1" x14ac:dyDescent="0.35">
      <c r="A1789" s="4">
        <v>4500156567</v>
      </c>
    </row>
    <row r="1790" spans="1:1" x14ac:dyDescent="0.35">
      <c r="A1790" s="4">
        <v>4500156572</v>
      </c>
    </row>
    <row r="1791" spans="1:1" x14ac:dyDescent="0.35">
      <c r="A1791" s="4">
        <v>4500156576</v>
      </c>
    </row>
    <row r="1792" spans="1:1" x14ac:dyDescent="0.35">
      <c r="A1792" s="4">
        <v>4500156580</v>
      </c>
    </row>
    <row r="1793" spans="1:1" x14ac:dyDescent="0.35">
      <c r="A1793" s="4">
        <v>4500156582</v>
      </c>
    </row>
    <row r="1794" spans="1:1" x14ac:dyDescent="0.35">
      <c r="A1794" s="4">
        <v>4500156587</v>
      </c>
    </row>
    <row r="1795" spans="1:1" x14ac:dyDescent="0.35">
      <c r="A1795" s="4">
        <v>4500156589</v>
      </c>
    </row>
    <row r="1796" spans="1:1" x14ac:dyDescent="0.35">
      <c r="A1796" s="4">
        <v>4500156593</v>
      </c>
    </row>
    <row r="1797" spans="1:1" x14ac:dyDescent="0.35">
      <c r="A1797" s="4">
        <v>4500156598</v>
      </c>
    </row>
    <row r="1798" spans="1:1" x14ac:dyDescent="0.35">
      <c r="A1798" s="4">
        <v>4500156606</v>
      </c>
    </row>
    <row r="1799" spans="1:1" x14ac:dyDescent="0.35">
      <c r="A1799" s="4">
        <v>4500156610</v>
      </c>
    </row>
    <row r="1800" spans="1:1" x14ac:dyDescent="0.35">
      <c r="A1800" s="4">
        <v>4500156619</v>
      </c>
    </row>
    <row r="1801" spans="1:1" x14ac:dyDescent="0.35">
      <c r="A1801" s="4">
        <v>4500156622</v>
      </c>
    </row>
    <row r="1802" spans="1:1" x14ac:dyDescent="0.35">
      <c r="A1802" s="4">
        <v>4500156626</v>
      </c>
    </row>
    <row r="1803" spans="1:1" x14ac:dyDescent="0.35">
      <c r="A1803" s="4">
        <v>4500156632</v>
      </c>
    </row>
    <row r="1804" spans="1:1" x14ac:dyDescent="0.35">
      <c r="A1804" s="4">
        <v>4500156636</v>
      </c>
    </row>
    <row r="1805" spans="1:1" x14ac:dyDescent="0.35">
      <c r="A1805" s="4">
        <v>4500156638</v>
      </c>
    </row>
    <row r="1806" spans="1:1" x14ac:dyDescent="0.35">
      <c r="A1806" s="4">
        <v>4500156642</v>
      </c>
    </row>
    <row r="1807" spans="1:1" x14ac:dyDescent="0.35">
      <c r="A1807" s="4">
        <v>4500156644</v>
      </c>
    </row>
    <row r="1808" spans="1:1" x14ac:dyDescent="0.35">
      <c r="A1808" s="4">
        <v>4500156646</v>
      </c>
    </row>
    <row r="1809" spans="1:1" x14ac:dyDescent="0.35">
      <c r="A1809" s="4">
        <v>4500156649</v>
      </c>
    </row>
    <row r="1810" spans="1:1" x14ac:dyDescent="0.35">
      <c r="A1810" s="4">
        <v>4500156651</v>
      </c>
    </row>
    <row r="1811" spans="1:1" x14ac:dyDescent="0.35">
      <c r="A1811" s="4">
        <v>4500156653</v>
      </c>
    </row>
    <row r="1812" spans="1:1" x14ac:dyDescent="0.35">
      <c r="A1812" s="4">
        <v>4500156655</v>
      </c>
    </row>
    <row r="1813" spans="1:1" x14ac:dyDescent="0.35">
      <c r="A1813" s="4">
        <v>4500156657</v>
      </c>
    </row>
    <row r="1814" spans="1:1" x14ac:dyDescent="0.35">
      <c r="A1814" s="4">
        <v>4500156659</v>
      </c>
    </row>
    <row r="1815" spans="1:1" x14ac:dyDescent="0.35">
      <c r="A1815" s="4">
        <v>4500156660</v>
      </c>
    </row>
    <row r="1816" spans="1:1" x14ac:dyDescent="0.35">
      <c r="A1816" s="4">
        <v>4500156662</v>
      </c>
    </row>
    <row r="1817" spans="1:1" x14ac:dyDescent="0.35">
      <c r="A1817" s="4">
        <v>4500156664</v>
      </c>
    </row>
    <row r="1818" spans="1:1" x14ac:dyDescent="0.35">
      <c r="A1818" s="4">
        <v>4500156666</v>
      </c>
    </row>
    <row r="1819" spans="1:1" x14ac:dyDescent="0.35">
      <c r="A1819" s="4">
        <v>4500156669</v>
      </c>
    </row>
    <row r="1820" spans="1:1" x14ac:dyDescent="0.35">
      <c r="A1820" s="4">
        <v>4500156670</v>
      </c>
    </row>
    <row r="1821" spans="1:1" x14ac:dyDescent="0.35">
      <c r="A1821" s="4">
        <v>4500156671</v>
      </c>
    </row>
    <row r="1822" spans="1:1" x14ac:dyDescent="0.35">
      <c r="A1822" s="4">
        <v>4500156674</v>
      </c>
    </row>
    <row r="1823" spans="1:1" x14ac:dyDescent="0.35">
      <c r="A1823" s="4">
        <v>4500156727</v>
      </c>
    </row>
    <row r="1824" spans="1:1" x14ac:dyDescent="0.35">
      <c r="A1824" s="4">
        <v>4500156732</v>
      </c>
    </row>
    <row r="1825" spans="1:1" x14ac:dyDescent="0.35">
      <c r="A1825" s="4">
        <v>4500156739</v>
      </c>
    </row>
    <row r="1826" spans="1:1" x14ac:dyDescent="0.35">
      <c r="A1826" s="4">
        <v>4500156747</v>
      </c>
    </row>
    <row r="1827" spans="1:1" x14ac:dyDescent="0.35">
      <c r="A1827" s="4">
        <v>4500156754</v>
      </c>
    </row>
    <row r="1828" spans="1:1" x14ac:dyDescent="0.35">
      <c r="A1828" s="4">
        <v>4500156759</v>
      </c>
    </row>
    <row r="1829" spans="1:1" x14ac:dyDescent="0.35">
      <c r="A1829" s="4">
        <v>4500156766</v>
      </c>
    </row>
    <row r="1830" spans="1:1" x14ac:dyDescent="0.35">
      <c r="A1830" s="4">
        <v>4500156769</v>
      </c>
    </row>
    <row r="1831" spans="1:1" x14ac:dyDescent="0.35">
      <c r="A1831" s="4">
        <v>4500156773</v>
      </c>
    </row>
    <row r="1832" spans="1:1" x14ac:dyDescent="0.35">
      <c r="A1832" s="4">
        <v>4500156777</v>
      </c>
    </row>
    <row r="1833" spans="1:1" x14ac:dyDescent="0.35">
      <c r="A1833" s="4">
        <v>4500156782</v>
      </c>
    </row>
    <row r="1834" spans="1:1" x14ac:dyDescent="0.35">
      <c r="A1834" s="4">
        <v>4500156785</v>
      </c>
    </row>
    <row r="1835" spans="1:1" x14ac:dyDescent="0.35">
      <c r="A1835" s="4">
        <v>4500156793</v>
      </c>
    </row>
    <row r="1836" spans="1:1" x14ac:dyDescent="0.35">
      <c r="A1836" s="4">
        <v>4500156804</v>
      </c>
    </row>
    <row r="1837" spans="1:1" x14ac:dyDescent="0.35">
      <c r="A1837" s="4">
        <v>4500156808</v>
      </c>
    </row>
    <row r="1838" spans="1:1" x14ac:dyDescent="0.35">
      <c r="A1838" s="4">
        <v>4500156813</v>
      </c>
    </row>
    <row r="1839" spans="1:1" x14ac:dyDescent="0.35">
      <c r="A1839" s="4">
        <v>4500156817</v>
      </c>
    </row>
    <row r="1840" spans="1:1" x14ac:dyDescent="0.35">
      <c r="A1840" s="4">
        <v>4500156824</v>
      </c>
    </row>
    <row r="1841" spans="1:1" x14ac:dyDescent="0.35">
      <c r="A1841" s="4">
        <v>4500156833</v>
      </c>
    </row>
    <row r="1842" spans="1:1" x14ac:dyDescent="0.35">
      <c r="A1842" s="4">
        <v>4500156837</v>
      </c>
    </row>
    <row r="1843" spans="1:1" x14ac:dyDescent="0.35">
      <c r="A1843" s="4">
        <v>4500156841</v>
      </c>
    </row>
    <row r="1844" spans="1:1" x14ac:dyDescent="0.35">
      <c r="A1844" s="4">
        <v>4500156844</v>
      </c>
    </row>
    <row r="1845" spans="1:1" x14ac:dyDescent="0.35">
      <c r="A1845" s="4">
        <v>4500156850</v>
      </c>
    </row>
    <row r="1846" spans="1:1" x14ac:dyDescent="0.35">
      <c r="A1846" s="4">
        <v>4500156854</v>
      </c>
    </row>
    <row r="1847" spans="1:1" x14ac:dyDescent="0.35">
      <c r="A1847" s="4">
        <v>4500156856</v>
      </c>
    </row>
    <row r="1848" spans="1:1" x14ac:dyDescent="0.35">
      <c r="A1848" s="4">
        <v>4500156860</v>
      </c>
    </row>
    <row r="1849" spans="1:1" x14ac:dyDescent="0.35">
      <c r="A1849" s="4">
        <v>4500156863</v>
      </c>
    </row>
    <row r="1850" spans="1:1" x14ac:dyDescent="0.35">
      <c r="A1850" s="4">
        <v>4500156865</v>
      </c>
    </row>
    <row r="1851" spans="1:1" x14ac:dyDescent="0.35">
      <c r="A1851" s="4">
        <v>4500156867</v>
      </c>
    </row>
    <row r="1852" spans="1:1" x14ac:dyDescent="0.35">
      <c r="A1852" s="4">
        <v>4500156870</v>
      </c>
    </row>
    <row r="1853" spans="1:1" x14ac:dyDescent="0.35">
      <c r="A1853" s="4">
        <v>4500156872</v>
      </c>
    </row>
    <row r="1854" spans="1:1" x14ac:dyDescent="0.35">
      <c r="A1854" s="4">
        <v>4500156958</v>
      </c>
    </row>
    <row r="1855" spans="1:1" x14ac:dyDescent="0.35">
      <c r="A1855" s="4">
        <v>4500156965</v>
      </c>
    </row>
    <row r="1856" spans="1:1" x14ac:dyDescent="0.35">
      <c r="A1856" s="4">
        <v>4500156972</v>
      </c>
    </row>
    <row r="1857" spans="1:1" x14ac:dyDescent="0.35">
      <c r="A1857" s="4">
        <v>4500156976</v>
      </c>
    </row>
    <row r="1858" spans="1:1" x14ac:dyDescent="0.35">
      <c r="A1858" s="4">
        <v>4500156986</v>
      </c>
    </row>
    <row r="1859" spans="1:1" x14ac:dyDescent="0.35">
      <c r="A1859" s="4">
        <v>4500156993</v>
      </c>
    </row>
    <row r="1860" spans="1:1" x14ac:dyDescent="0.35">
      <c r="A1860" s="4">
        <v>4500156998</v>
      </c>
    </row>
    <row r="1861" spans="1:1" x14ac:dyDescent="0.35">
      <c r="A1861" s="4">
        <v>4500157002</v>
      </c>
    </row>
    <row r="1862" spans="1:1" x14ac:dyDescent="0.35">
      <c r="A1862" s="4">
        <v>4500157009</v>
      </c>
    </row>
    <row r="1863" spans="1:1" x14ac:dyDescent="0.35">
      <c r="A1863" s="4">
        <v>4500157013</v>
      </c>
    </row>
    <row r="1864" spans="1:1" x14ac:dyDescent="0.35">
      <c r="A1864" s="4">
        <v>4500157017</v>
      </c>
    </row>
    <row r="1865" spans="1:1" x14ac:dyDescent="0.35">
      <c r="A1865" s="4">
        <v>4500157021</v>
      </c>
    </row>
    <row r="1866" spans="1:1" x14ac:dyDescent="0.35">
      <c r="A1866" s="4">
        <v>4500157025</v>
      </c>
    </row>
    <row r="1867" spans="1:1" x14ac:dyDescent="0.35">
      <c r="A1867" s="4">
        <v>4500157031</v>
      </c>
    </row>
    <row r="1868" spans="1:1" x14ac:dyDescent="0.35">
      <c r="A1868" s="4">
        <v>4500157035</v>
      </c>
    </row>
    <row r="1869" spans="1:1" x14ac:dyDescent="0.35">
      <c r="A1869" s="4">
        <v>4500157039</v>
      </c>
    </row>
    <row r="1870" spans="1:1" x14ac:dyDescent="0.35">
      <c r="A1870" s="4">
        <v>4500157043</v>
      </c>
    </row>
    <row r="1871" spans="1:1" x14ac:dyDescent="0.35">
      <c r="A1871" s="4">
        <v>4500157047</v>
      </c>
    </row>
    <row r="1872" spans="1:1" x14ac:dyDescent="0.35">
      <c r="A1872" s="4">
        <v>4500157052</v>
      </c>
    </row>
    <row r="1873" spans="1:1" x14ac:dyDescent="0.35">
      <c r="A1873" s="4">
        <v>4500157056</v>
      </c>
    </row>
    <row r="1874" spans="1:1" x14ac:dyDescent="0.35">
      <c r="A1874" s="4">
        <v>4500157060</v>
      </c>
    </row>
    <row r="1875" spans="1:1" x14ac:dyDescent="0.35">
      <c r="A1875" s="4">
        <v>4500157065</v>
      </c>
    </row>
    <row r="1876" spans="1:1" x14ac:dyDescent="0.35">
      <c r="A1876" s="4">
        <v>4500157068</v>
      </c>
    </row>
    <row r="1877" spans="1:1" x14ac:dyDescent="0.35">
      <c r="A1877" s="4">
        <v>4500157072</v>
      </c>
    </row>
    <row r="1878" spans="1:1" x14ac:dyDescent="0.35">
      <c r="A1878" s="4">
        <v>4500157076</v>
      </c>
    </row>
    <row r="1879" spans="1:1" x14ac:dyDescent="0.35">
      <c r="A1879" s="4">
        <v>4500157080</v>
      </c>
    </row>
    <row r="1880" spans="1:1" x14ac:dyDescent="0.35">
      <c r="A1880" s="4">
        <v>4500157081</v>
      </c>
    </row>
    <row r="1881" spans="1:1" x14ac:dyDescent="0.35">
      <c r="A1881" s="4">
        <v>4500157097</v>
      </c>
    </row>
    <row r="1882" spans="1:1" x14ac:dyDescent="0.35">
      <c r="A1882" s="4">
        <v>4500157101</v>
      </c>
    </row>
    <row r="1883" spans="1:1" x14ac:dyDescent="0.35">
      <c r="A1883" s="4">
        <v>4500157104</v>
      </c>
    </row>
    <row r="1884" spans="1:1" x14ac:dyDescent="0.35">
      <c r="A1884" s="4">
        <v>4500157107</v>
      </c>
    </row>
    <row r="1885" spans="1:1" x14ac:dyDescent="0.35">
      <c r="A1885" s="4">
        <v>4500157117</v>
      </c>
    </row>
    <row r="1886" spans="1:1" x14ac:dyDescent="0.35">
      <c r="A1886" s="4">
        <v>4500157151</v>
      </c>
    </row>
    <row r="1887" spans="1:1" x14ac:dyDescent="0.35">
      <c r="A1887" s="4">
        <v>4500157156</v>
      </c>
    </row>
    <row r="1888" spans="1:1" x14ac:dyDescent="0.35">
      <c r="A1888" s="4">
        <v>4500157163</v>
      </c>
    </row>
    <row r="1889" spans="1:1" x14ac:dyDescent="0.35">
      <c r="A1889" s="4">
        <v>4500157166</v>
      </c>
    </row>
    <row r="1890" spans="1:1" x14ac:dyDescent="0.35">
      <c r="A1890" s="4">
        <v>4500157174</v>
      </c>
    </row>
    <row r="1891" spans="1:1" x14ac:dyDescent="0.35">
      <c r="A1891" s="4">
        <v>4500157177</v>
      </c>
    </row>
    <row r="1892" spans="1:1" x14ac:dyDescent="0.35">
      <c r="A1892" s="4">
        <v>4500157182</v>
      </c>
    </row>
    <row r="1893" spans="1:1" x14ac:dyDescent="0.35">
      <c r="A1893" s="4">
        <v>4500157189</v>
      </c>
    </row>
    <row r="1894" spans="1:1" x14ac:dyDescent="0.35">
      <c r="A1894" s="4">
        <v>4500157192</v>
      </c>
    </row>
    <row r="1895" spans="1:1" x14ac:dyDescent="0.35">
      <c r="A1895" s="4">
        <v>4500157198</v>
      </c>
    </row>
    <row r="1896" spans="1:1" x14ac:dyDescent="0.35">
      <c r="A1896" s="4">
        <v>4500157201</v>
      </c>
    </row>
    <row r="1897" spans="1:1" x14ac:dyDescent="0.35">
      <c r="A1897" s="4">
        <v>4500157205</v>
      </c>
    </row>
    <row r="1898" spans="1:1" x14ac:dyDescent="0.35">
      <c r="A1898" s="4">
        <v>4500157210</v>
      </c>
    </row>
    <row r="1899" spans="1:1" x14ac:dyDescent="0.35">
      <c r="A1899" s="4">
        <v>4500157218</v>
      </c>
    </row>
    <row r="1900" spans="1:1" x14ac:dyDescent="0.35">
      <c r="A1900" s="4">
        <v>4500157222</v>
      </c>
    </row>
    <row r="1901" spans="1:1" x14ac:dyDescent="0.35">
      <c r="A1901" s="4">
        <v>4500157224</v>
      </c>
    </row>
    <row r="1902" spans="1:1" x14ac:dyDescent="0.35">
      <c r="A1902" s="4">
        <v>4500157226</v>
      </c>
    </row>
    <row r="1903" spans="1:1" x14ac:dyDescent="0.35">
      <c r="A1903" s="4">
        <v>4500157228</v>
      </c>
    </row>
    <row r="1904" spans="1:1" x14ac:dyDescent="0.35">
      <c r="A1904" s="4">
        <v>4500157231</v>
      </c>
    </row>
    <row r="1905" spans="1:1" x14ac:dyDescent="0.35">
      <c r="A1905" s="4">
        <v>4500157234</v>
      </c>
    </row>
    <row r="1906" spans="1:1" x14ac:dyDescent="0.35">
      <c r="A1906" s="4">
        <v>4500157235</v>
      </c>
    </row>
    <row r="1907" spans="1:1" x14ac:dyDescent="0.35">
      <c r="A1907" s="4">
        <v>4500157240</v>
      </c>
    </row>
    <row r="1908" spans="1:1" x14ac:dyDescent="0.35">
      <c r="A1908" s="4">
        <v>4500157243</v>
      </c>
    </row>
    <row r="1909" spans="1:1" x14ac:dyDescent="0.35">
      <c r="A1909" s="4">
        <v>4500157249</v>
      </c>
    </row>
    <row r="1910" spans="1:1" x14ac:dyDescent="0.35">
      <c r="A1910" s="4">
        <v>4500157251</v>
      </c>
    </row>
    <row r="1911" spans="1:1" x14ac:dyDescent="0.35">
      <c r="A1911" s="4">
        <v>4500157257</v>
      </c>
    </row>
    <row r="1912" spans="1:1" x14ac:dyDescent="0.35">
      <c r="A1912" s="4">
        <v>4500157278</v>
      </c>
    </row>
    <row r="1913" spans="1:1" x14ac:dyDescent="0.35">
      <c r="A1913" s="4">
        <v>4500157281</v>
      </c>
    </row>
    <row r="1914" spans="1:1" x14ac:dyDescent="0.35">
      <c r="A1914" s="4">
        <v>4500157289</v>
      </c>
    </row>
    <row r="1915" spans="1:1" x14ac:dyDescent="0.35">
      <c r="A1915" s="4">
        <v>4500157291</v>
      </c>
    </row>
    <row r="1916" spans="1:1" x14ac:dyDescent="0.35">
      <c r="A1916" s="4">
        <v>4500157337</v>
      </c>
    </row>
    <row r="1917" spans="1:1" x14ac:dyDescent="0.35">
      <c r="A1917" s="4">
        <v>4500157338</v>
      </c>
    </row>
    <row r="1918" spans="1:1" x14ac:dyDescent="0.35">
      <c r="A1918" s="4">
        <v>4500157341</v>
      </c>
    </row>
    <row r="1919" spans="1:1" x14ac:dyDescent="0.35">
      <c r="A1919" s="4">
        <v>4500157345</v>
      </c>
    </row>
    <row r="1920" spans="1:1" x14ac:dyDescent="0.35">
      <c r="A1920" s="4">
        <v>4500157349</v>
      </c>
    </row>
    <row r="1921" spans="1:1" x14ac:dyDescent="0.35">
      <c r="A1921" s="4">
        <v>4500157352</v>
      </c>
    </row>
    <row r="1922" spans="1:1" x14ac:dyDescent="0.35">
      <c r="A1922" s="4">
        <v>4500157357</v>
      </c>
    </row>
    <row r="1923" spans="1:1" x14ac:dyDescent="0.35">
      <c r="A1923" s="4">
        <v>4500157364</v>
      </c>
    </row>
    <row r="1924" spans="1:1" x14ac:dyDescent="0.35">
      <c r="A1924" s="4">
        <v>4500157369</v>
      </c>
    </row>
    <row r="1925" spans="1:1" x14ac:dyDescent="0.35">
      <c r="A1925" s="4">
        <v>4500157373</v>
      </c>
    </row>
    <row r="1926" spans="1:1" x14ac:dyDescent="0.35">
      <c r="A1926" s="4">
        <v>4500157377</v>
      </c>
    </row>
    <row r="1927" spans="1:1" x14ac:dyDescent="0.35">
      <c r="A1927" s="4">
        <v>4500157380</v>
      </c>
    </row>
    <row r="1928" spans="1:1" x14ac:dyDescent="0.35">
      <c r="A1928" s="4">
        <v>4500157387</v>
      </c>
    </row>
    <row r="1929" spans="1:1" x14ac:dyDescent="0.35">
      <c r="A1929" s="4">
        <v>4500157391</v>
      </c>
    </row>
    <row r="1930" spans="1:1" x14ac:dyDescent="0.35">
      <c r="A1930" s="4">
        <v>4500157394</v>
      </c>
    </row>
    <row r="1931" spans="1:1" x14ac:dyDescent="0.35">
      <c r="A1931" s="4">
        <v>4500157399</v>
      </c>
    </row>
    <row r="1932" spans="1:1" x14ac:dyDescent="0.35">
      <c r="A1932" s="4">
        <v>4500157403</v>
      </c>
    </row>
    <row r="1933" spans="1:1" x14ac:dyDescent="0.35">
      <c r="A1933" s="4">
        <v>4500157406</v>
      </c>
    </row>
    <row r="1934" spans="1:1" x14ac:dyDescent="0.35">
      <c r="A1934" s="4">
        <v>4500157409</v>
      </c>
    </row>
    <row r="1935" spans="1:1" x14ac:dyDescent="0.35">
      <c r="A1935" s="4">
        <v>4500157412</v>
      </c>
    </row>
    <row r="1936" spans="1:1" x14ac:dyDescent="0.35">
      <c r="A1936" s="4">
        <v>4500157414</v>
      </c>
    </row>
    <row r="1937" spans="1:1" x14ac:dyDescent="0.35">
      <c r="A1937" s="4">
        <v>4500157417</v>
      </c>
    </row>
    <row r="1938" spans="1:1" x14ac:dyDescent="0.35">
      <c r="A1938" s="4">
        <v>4500157418</v>
      </c>
    </row>
    <row r="1939" spans="1:1" x14ac:dyDescent="0.35">
      <c r="A1939" s="4">
        <v>4500157421</v>
      </c>
    </row>
    <row r="1940" spans="1:1" x14ac:dyDescent="0.35">
      <c r="A1940" s="4">
        <v>4500157423</v>
      </c>
    </row>
    <row r="1941" spans="1:1" x14ac:dyDescent="0.35">
      <c r="A1941" s="4">
        <v>4500157426</v>
      </c>
    </row>
    <row r="1942" spans="1:1" x14ac:dyDescent="0.35">
      <c r="A1942" s="4">
        <v>4500157430</v>
      </c>
    </row>
    <row r="1943" spans="1:1" x14ac:dyDescent="0.35">
      <c r="A1943" s="4">
        <v>4500157501</v>
      </c>
    </row>
    <row r="1944" spans="1:1" x14ac:dyDescent="0.35">
      <c r="A1944" s="4">
        <v>4500157563</v>
      </c>
    </row>
    <row r="1945" spans="1:1" x14ac:dyDescent="0.35">
      <c r="A1945" s="4">
        <v>4500157588</v>
      </c>
    </row>
    <row r="1946" spans="1:1" x14ac:dyDescent="0.35">
      <c r="A1946" s="4">
        <v>4500157589</v>
      </c>
    </row>
    <row r="1947" spans="1:1" x14ac:dyDescent="0.35">
      <c r="A1947" s="4">
        <v>4500157594</v>
      </c>
    </row>
    <row r="1948" spans="1:1" x14ac:dyDescent="0.35">
      <c r="A1948" s="4">
        <v>4500157597</v>
      </c>
    </row>
    <row r="1949" spans="1:1" x14ac:dyDescent="0.35">
      <c r="A1949" s="4">
        <v>4500157605</v>
      </c>
    </row>
    <row r="1950" spans="1:1" x14ac:dyDescent="0.35">
      <c r="A1950" s="4">
        <v>4500157607</v>
      </c>
    </row>
    <row r="1951" spans="1:1" x14ac:dyDescent="0.35">
      <c r="A1951" s="4">
        <v>4500157614</v>
      </c>
    </row>
    <row r="1952" spans="1:1" x14ac:dyDescent="0.35">
      <c r="A1952" s="4">
        <v>4500157618</v>
      </c>
    </row>
    <row r="1953" spans="1:1" x14ac:dyDescent="0.35">
      <c r="A1953" s="4">
        <v>4500157627</v>
      </c>
    </row>
    <row r="1954" spans="1:1" x14ac:dyDescent="0.35">
      <c r="A1954" s="4">
        <v>4500157631</v>
      </c>
    </row>
    <row r="1955" spans="1:1" x14ac:dyDescent="0.35">
      <c r="A1955" s="4">
        <v>4500157633</v>
      </c>
    </row>
    <row r="1956" spans="1:1" x14ac:dyDescent="0.35">
      <c r="A1956" s="4">
        <v>4500157636</v>
      </c>
    </row>
    <row r="1957" spans="1:1" x14ac:dyDescent="0.35">
      <c r="A1957" s="4">
        <v>4500157637</v>
      </c>
    </row>
    <row r="1958" spans="1:1" x14ac:dyDescent="0.35">
      <c r="A1958" s="4">
        <v>4500157641</v>
      </c>
    </row>
    <row r="1959" spans="1:1" x14ac:dyDescent="0.35">
      <c r="A1959" s="4">
        <v>4500157645</v>
      </c>
    </row>
    <row r="1960" spans="1:1" x14ac:dyDescent="0.35">
      <c r="A1960" s="4">
        <v>4500157648</v>
      </c>
    </row>
    <row r="1961" spans="1:1" x14ac:dyDescent="0.35">
      <c r="A1961" s="4">
        <v>4500157651</v>
      </c>
    </row>
    <row r="1962" spans="1:1" x14ac:dyDescent="0.35">
      <c r="A1962" s="4">
        <v>4500157655</v>
      </c>
    </row>
    <row r="1963" spans="1:1" x14ac:dyDescent="0.35">
      <c r="A1963" s="4">
        <v>4500157658</v>
      </c>
    </row>
    <row r="1964" spans="1:1" x14ac:dyDescent="0.35">
      <c r="A1964" s="4">
        <v>4500157660</v>
      </c>
    </row>
    <row r="1965" spans="1:1" x14ac:dyDescent="0.35">
      <c r="A1965" s="4">
        <v>4500157671</v>
      </c>
    </row>
    <row r="1966" spans="1:1" x14ac:dyDescent="0.35">
      <c r="A1966" s="4">
        <v>4500157673</v>
      </c>
    </row>
    <row r="1967" spans="1:1" x14ac:dyDescent="0.35">
      <c r="A1967" s="4">
        <v>4500157674</v>
      </c>
    </row>
    <row r="1968" spans="1:1" x14ac:dyDescent="0.35">
      <c r="A1968" s="4">
        <v>4500157675</v>
      </c>
    </row>
    <row r="1969" spans="1:1" x14ac:dyDescent="0.35">
      <c r="A1969" s="4">
        <v>4500157676</v>
      </c>
    </row>
    <row r="1970" spans="1:1" x14ac:dyDescent="0.35">
      <c r="A1970" s="4">
        <v>4500157677</v>
      </c>
    </row>
    <row r="1971" spans="1:1" x14ac:dyDescent="0.35">
      <c r="A1971" s="4">
        <v>4500157678</v>
      </c>
    </row>
    <row r="1972" spans="1:1" x14ac:dyDescent="0.35">
      <c r="A1972" s="4">
        <v>4500157679</v>
      </c>
    </row>
    <row r="1973" spans="1:1" x14ac:dyDescent="0.35">
      <c r="A1973" s="4">
        <v>4500157680</v>
      </c>
    </row>
    <row r="1974" spans="1:1" x14ac:dyDescent="0.35">
      <c r="A1974" s="4">
        <v>4500157692</v>
      </c>
    </row>
    <row r="1975" spans="1:1" x14ac:dyDescent="0.35">
      <c r="A1975" s="4">
        <v>4500157747</v>
      </c>
    </row>
    <row r="1976" spans="1:1" x14ac:dyDescent="0.35">
      <c r="A1976" s="4">
        <v>4500157752</v>
      </c>
    </row>
    <row r="1977" spans="1:1" x14ac:dyDescent="0.35">
      <c r="A1977" s="4">
        <v>4500157757</v>
      </c>
    </row>
    <row r="1978" spans="1:1" x14ac:dyDescent="0.35">
      <c r="A1978" s="4">
        <v>4500157761</v>
      </c>
    </row>
    <row r="1979" spans="1:1" x14ac:dyDescent="0.35">
      <c r="A1979" s="4">
        <v>4500157780</v>
      </c>
    </row>
    <row r="1980" spans="1:1" x14ac:dyDescent="0.35">
      <c r="A1980" s="4">
        <v>4500157784</v>
      </c>
    </row>
    <row r="1981" spans="1:1" x14ac:dyDescent="0.35">
      <c r="A1981" s="4">
        <v>4500157786</v>
      </c>
    </row>
    <row r="1982" spans="1:1" x14ac:dyDescent="0.35">
      <c r="A1982" s="4">
        <v>4500157792</v>
      </c>
    </row>
    <row r="1983" spans="1:1" x14ac:dyDescent="0.35">
      <c r="A1983" s="4">
        <v>4500157796</v>
      </c>
    </row>
    <row r="1984" spans="1:1" x14ac:dyDescent="0.35">
      <c r="A1984" s="4">
        <v>4500157802</v>
      </c>
    </row>
    <row r="1985" spans="1:1" x14ac:dyDescent="0.35">
      <c r="A1985" s="4">
        <v>4500157806</v>
      </c>
    </row>
    <row r="1986" spans="1:1" x14ac:dyDescent="0.35">
      <c r="A1986" s="4">
        <v>4500157807</v>
      </c>
    </row>
    <row r="1987" spans="1:1" x14ac:dyDescent="0.35">
      <c r="A1987" s="4">
        <v>4500157814</v>
      </c>
    </row>
    <row r="1988" spans="1:1" x14ac:dyDescent="0.35">
      <c r="A1988" s="4">
        <v>4500157819</v>
      </c>
    </row>
    <row r="1989" spans="1:1" x14ac:dyDescent="0.35">
      <c r="A1989" s="4">
        <v>4500157826</v>
      </c>
    </row>
    <row r="1990" spans="1:1" x14ac:dyDescent="0.35">
      <c r="A1990" s="4">
        <v>4500157832</v>
      </c>
    </row>
    <row r="1991" spans="1:1" x14ac:dyDescent="0.35">
      <c r="A1991" s="4">
        <v>4500157834</v>
      </c>
    </row>
    <row r="1992" spans="1:1" x14ac:dyDescent="0.35">
      <c r="A1992" s="4">
        <v>4500157840</v>
      </c>
    </row>
    <row r="1993" spans="1:1" x14ac:dyDescent="0.35">
      <c r="A1993" s="4">
        <v>4500157844</v>
      </c>
    </row>
    <row r="1994" spans="1:1" x14ac:dyDescent="0.35">
      <c r="A1994" s="4">
        <v>4500157846</v>
      </c>
    </row>
    <row r="1995" spans="1:1" x14ac:dyDescent="0.35">
      <c r="A1995" s="4">
        <v>4500157848</v>
      </c>
    </row>
    <row r="1996" spans="1:1" x14ac:dyDescent="0.35">
      <c r="A1996" s="4">
        <v>4500157851</v>
      </c>
    </row>
    <row r="1997" spans="1:1" x14ac:dyDescent="0.35">
      <c r="A1997" s="4">
        <v>4500157853</v>
      </c>
    </row>
    <row r="1998" spans="1:1" x14ac:dyDescent="0.35">
      <c r="A1998" s="4">
        <v>4500157856</v>
      </c>
    </row>
    <row r="1999" spans="1:1" x14ac:dyDescent="0.35">
      <c r="A1999" s="4">
        <v>4500157857</v>
      </c>
    </row>
    <row r="2000" spans="1:1" x14ac:dyDescent="0.35">
      <c r="A2000" s="4">
        <v>4500157858</v>
      </c>
    </row>
    <row r="2001" spans="1:1" x14ac:dyDescent="0.35">
      <c r="A2001" s="4">
        <v>4500157860</v>
      </c>
    </row>
    <row r="2002" spans="1:1" x14ac:dyDescent="0.35">
      <c r="A2002" s="4">
        <v>4500157862</v>
      </c>
    </row>
    <row r="2003" spans="1:1" x14ac:dyDescent="0.35">
      <c r="A2003" s="4">
        <v>4500157863</v>
      </c>
    </row>
    <row r="2004" spans="1:1" x14ac:dyDescent="0.35">
      <c r="A2004" s="4">
        <v>4500157865</v>
      </c>
    </row>
    <row r="2005" spans="1:1" x14ac:dyDescent="0.35">
      <c r="A2005" s="4">
        <v>4500157866</v>
      </c>
    </row>
    <row r="2006" spans="1:1" x14ac:dyDescent="0.35">
      <c r="A2006" s="4">
        <v>4500157923</v>
      </c>
    </row>
    <row r="2007" spans="1:1" x14ac:dyDescent="0.35">
      <c r="A2007" s="4">
        <v>4500157929</v>
      </c>
    </row>
    <row r="2008" spans="1:1" x14ac:dyDescent="0.35">
      <c r="A2008" s="4">
        <v>4500157935</v>
      </c>
    </row>
    <row r="2009" spans="1:1" x14ac:dyDescent="0.35">
      <c r="A2009" s="4">
        <v>4500157937</v>
      </c>
    </row>
    <row r="2010" spans="1:1" x14ac:dyDescent="0.35">
      <c r="A2010" s="4">
        <v>4500157946</v>
      </c>
    </row>
    <row r="2011" spans="1:1" x14ac:dyDescent="0.35">
      <c r="A2011" s="4">
        <v>4500157950</v>
      </c>
    </row>
    <row r="2012" spans="1:1" x14ac:dyDescent="0.35">
      <c r="A2012" s="4">
        <v>4500157955</v>
      </c>
    </row>
    <row r="2013" spans="1:1" x14ac:dyDescent="0.35">
      <c r="A2013" s="4">
        <v>4500157963</v>
      </c>
    </row>
    <row r="2014" spans="1:1" x14ac:dyDescent="0.35">
      <c r="A2014" s="4">
        <v>4500157968</v>
      </c>
    </row>
    <row r="2015" spans="1:1" x14ac:dyDescent="0.35">
      <c r="A2015" s="4">
        <v>4500157973</v>
      </c>
    </row>
    <row r="2016" spans="1:1" x14ac:dyDescent="0.35">
      <c r="A2016" s="4">
        <v>4500157975</v>
      </c>
    </row>
    <row r="2017" spans="1:1" x14ac:dyDescent="0.35">
      <c r="A2017" s="4">
        <v>4500157983</v>
      </c>
    </row>
    <row r="2018" spans="1:1" x14ac:dyDescent="0.35">
      <c r="A2018" s="4">
        <v>4500157987</v>
      </c>
    </row>
    <row r="2019" spans="1:1" x14ac:dyDescent="0.35">
      <c r="A2019" s="4">
        <v>4500157992</v>
      </c>
    </row>
    <row r="2020" spans="1:1" x14ac:dyDescent="0.35">
      <c r="A2020" s="4">
        <v>4500157996</v>
      </c>
    </row>
    <row r="2021" spans="1:1" x14ac:dyDescent="0.35">
      <c r="A2021" s="4">
        <v>4500158002</v>
      </c>
    </row>
    <row r="2022" spans="1:1" x14ac:dyDescent="0.35">
      <c r="A2022" s="4">
        <v>4500158009</v>
      </c>
    </row>
    <row r="2023" spans="1:1" x14ac:dyDescent="0.35">
      <c r="A2023" s="4">
        <v>4500158017</v>
      </c>
    </row>
    <row r="2024" spans="1:1" x14ac:dyDescent="0.35">
      <c r="A2024" s="4">
        <v>4500158020</v>
      </c>
    </row>
    <row r="2025" spans="1:1" x14ac:dyDescent="0.35">
      <c r="A2025" s="4">
        <v>4500158026</v>
      </c>
    </row>
    <row r="2026" spans="1:1" x14ac:dyDescent="0.35">
      <c r="A2026" s="4">
        <v>4500158030</v>
      </c>
    </row>
    <row r="2027" spans="1:1" x14ac:dyDescent="0.35">
      <c r="A2027" s="4">
        <v>4500158033</v>
      </c>
    </row>
    <row r="2028" spans="1:1" x14ac:dyDescent="0.35">
      <c r="A2028" s="4">
        <v>4500158040</v>
      </c>
    </row>
    <row r="2029" spans="1:1" x14ac:dyDescent="0.35">
      <c r="A2029" s="4">
        <v>4500158043</v>
      </c>
    </row>
    <row r="2030" spans="1:1" x14ac:dyDescent="0.35">
      <c r="A2030" s="4">
        <v>4500158045</v>
      </c>
    </row>
    <row r="2031" spans="1:1" x14ac:dyDescent="0.35">
      <c r="A2031" s="4">
        <v>4500158047</v>
      </c>
    </row>
    <row r="2032" spans="1:1" x14ac:dyDescent="0.35">
      <c r="A2032" s="4">
        <v>4500158049</v>
      </c>
    </row>
    <row r="2033" spans="1:1" x14ac:dyDescent="0.35">
      <c r="A2033" s="4">
        <v>4500158050</v>
      </c>
    </row>
    <row r="2034" spans="1:1" x14ac:dyDescent="0.35">
      <c r="A2034" s="4">
        <v>4500158051</v>
      </c>
    </row>
    <row r="2035" spans="1:1" x14ac:dyDescent="0.35">
      <c r="A2035" s="4">
        <v>4500158057</v>
      </c>
    </row>
    <row r="2036" spans="1:1" x14ac:dyDescent="0.35">
      <c r="A2036" s="4">
        <v>4500158070</v>
      </c>
    </row>
    <row r="2037" spans="1:1" x14ac:dyDescent="0.35">
      <c r="A2037" s="4">
        <v>4500158132</v>
      </c>
    </row>
    <row r="2038" spans="1:1" x14ac:dyDescent="0.35">
      <c r="A2038" s="4">
        <v>4500158137</v>
      </c>
    </row>
    <row r="2039" spans="1:1" x14ac:dyDescent="0.35">
      <c r="A2039" s="4">
        <v>4500158142</v>
      </c>
    </row>
    <row r="2040" spans="1:1" x14ac:dyDescent="0.35">
      <c r="A2040" s="4">
        <v>4500158146</v>
      </c>
    </row>
    <row r="2041" spans="1:1" x14ac:dyDescent="0.35">
      <c r="A2041" s="4">
        <v>4500158151</v>
      </c>
    </row>
    <row r="2042" spans="1:1" x14ac:dyDescent="0.35">
      <c r="A2042" s="4">
        <v>4500158156</v>
      </c>
    </row>
    <row r="2043" spans="1:1" x14ac:dyDescent="0.35">
      <c r="A2043" s="4">
        <v>4500158158</v>
      </c>
    </row>
    <row r="2044" spans="1:1" x14ac:dyDescent="0.35">
      <c r="A2044" s="4">
        <v>4500158163</v>
      </c>
    </row>
    <row r="2045" spans="1:1" x14ac:dyDescent="0.35">
      <c r="A2045" s="4">
        <v>4500158168</v>
      </c>
    </row>
    <row r="2046" spans="1:1" x14ac:dyDescent="0.35">
      <c r="A2046" s="4">
        <v>4500158177</v>
      </c>
    </row>
    <row r="2047" spans="1:1" x14ac:dyDescent="0.35">
      <c r="A2047" s="4">
        <v>4500158180</v>
      </c>
    </row>
    <row r="2048" spans="1:1" x14ac:dyDescent="0.35">
      <c r="A2048" s="4">
        <v>4500158185</v>
      </c>
    </row>
    <row r="2049" spans="1:1" x14ac:dyDescent="0.35">
      <c r="A2049" s="4">
        <v>4500158189</v>
      </c>
    </row>
    <row r="2050" spans="1:1" x14ac:dyDescent="0.35">
      <c r="A2050" s="4">
        <v>4500158194</v>
      </c>
    </row>
    <row r="2051" spans="1:1" x14ac:dyDescent="0.35">
      <c r="A2051" s="4">
        <v>4500158198</v>
      </c>
    </row>
    <row r="2052" spans="1:1" x14ac:dyDescent="0.35">
      <c r="A2052" s="4">
        <v>4500158202</v>
      </c>
    </row>
    <row r="2053" spans="1:1" x14ac:dyDescent="0.35">
      <c r="A2053" s="4">
        <v>4500158215</v>
      </c>
    </row>
    <row r="2054" spans="1:1" x14ac:dyDescent="0.35">
      <c r="A2054" s="4">
        <v>4500158220</v>
      </c>
    </row>
    <row r="2055" spans="1:1" x14ac:dyDescent="0.35">
      <c r="A2055" s="4">
        <v>4500158221</v>
      </c>
    </row>
    <row r="2056" spans="1:1" x14ac:dyDescent="0.35">
      <c r="A2056" s="4">
        <v>4500158223</v>
      </c>
    </row>
    <row r="2057" spans="1:1" x14ac:dyDescent="0.35">
      <c r="A2057" s="4">
        <v>4500158230</v>
      </c>
    </row>
    <row r="2058" spans="1:1" x14ac:dyDescent="0.35">
      <c r="A2058" s="4">
        <v>4500158234</v>
      </c>
    </row>
    <row r="2059" spans="1:1" x14ac:dyDescent="0.35">
      <c r="A2059" s="4">
        <v>4500158237</v>
      </c>
    </row>
    <row r="2060" spans="1:1" x14ac:dyDescent="0.35">
      <c r="A2060" s="4">
        <v>4500158239</v>
      </c>
    </row>
    <row r="2061" spans="1:1" x14ac:dyDescent="0.35">
      <c r="A2061" s="4">
        <v>4500158241</v>
      </c>
    </row>
    <row r="2062" spans="1:1" x14ac:dyDescent="0.35">
      <c r="A2062" s="4">
        <v>4500158243</v>
      </c>
    </row>
    <row r="2063" spans="1:1" x14ac:dyDescent="0.35">
      <c r="A2063" s="4">
        <v>4500158245</v>
      </c>
    </row>
    <row r="2064" spans="1:1" x14ac:dyDescent="0.35">
      <c r="A2064" s="4">
        <v>4500158247</v>
      </c>
    </row>
    <row r="2065" spans="1:1" x14ac:dyDescent="0.35">
      <c r="A2065" s="4">
        <v>4500158249</v>
      </c>
    </row>
    <row r="2066" spans="1:1" x14ac:dyDescent="0.35">
      <c r="A2066" s="4">
        <v>4500158251</v>
      </c>
    </row>
    <row r="2067" spans="1:1" x14ac:dyDescent="0.35">
      <c r="A2067" s="4">
        <v>4500158252</v>
      </c>
    </row>
    <row r="2068" spans="1:1" x14ac:dyDescent="0.35">
      <c r="A2068" s="4">
        <v>4500158254</v>
      </c>
    </row>
    <row r="2069" spans="1:1" x14ac:dyDescent="0.35">
      <c r="A2069" s="4">
        <v>4500158266</v>
      </c>
    </row>
    <row r="2070" spans="1:1" x14ac:dyDescent="0.35">
      <c r="A2070" s="4">
        <v>4500158267</v>
      </c>
    </row>
    <row r="2071" spans="1:1" x14ac:dyDescent="0.35">
      <c r="A2071" s="4">
        <v>4500158268</v>
      </c>
    </row>
    <row r="2072" spans="1:1" x14ac:dyDescent="0.35">
      <c r="A2072" s="4">
        <v>4500158273</v>
      </c>
    </row>
    <row r="2073" spans="1:1" x14ac:dyDescent="0.35">
      <c r="A2073" s="4">
        <v>4500158321</v>
      </c>
    </row>
    <row r="2074" spans="1:1" x14ac:dyDescent="0.35">
      <c r="A2074" s="4">
        <v>4500158325</v>
      </c>
    </row>
    <row r="2075" spans="1:1" x14ac:dyDescent="0.35">
      <c r="A2075" s="4">
        <v>4500158331</v>
      </c>
    </row>
    <row r="2076" spans="1:1" x14ac:dyDescent="0.35">
      <c r="A2076" s="4">
        <v>4500158336</v>
      </c>
    </row>
    <row r="2077" spans="1:1" x14ac:dyDescent="0.35">
      <c r="A2077" s="4">
        <v>4500158341</v>
      </c>
    </row>
    <row r="2078" spans="1:1" x14ac:dyDescent="0.35">
      <c r="A2078" s="4">
        <v>4500158347</v>
      </c>
    </row>
    <row r="2079" spans="1:1" x14ac:dyDescent="0.35">
      <c r="A2079" s="4">
        <v>4500158349</v>
      </c>
    </row>
    <row r="2080" spans="1:1" x14ac:dyDescent="0.35">
      <c r="A2080" s="4">
        <v>4500158353</v>
      </c>
    </row>
    <row r="2081" spans="1:1" x14ac:dyDescent="0.35">
      <c r="A2081" s="4">
        <v>4500158356</v>
      </c>
    </row>
    <row r="2082" spans="1:1" x14ac:dyDescent="0.35">
      <c r="A2082" s="4">
        <v>4500158358</v>
      </c>
    </row>
    <row r="2083" spans="1:1" x14ac:dyDescent="0.35">
      <c r="A2083" s="4">
        <v>4500158363</v>
      </c>
    </row>
    <row r="2084" spans="1:1" x14ac:dyDescent="0.35">
      <c r="A2084" s="4">
        <v>4500158369</v>
      </c>
    </row>
    <row r="2085" spans="1:1" x14ac:dyDescent="0.35">
      <c r="A2085" s="4">
        <v>4500158373</v>
      </c>
    </row>
    <row r="2086" spans="1:1" x14ac:dyDescent="0.35">
      <c r="A2086" s="4">
        <v>4500158376</v>
      </c>
    </row>
    <row r="2087" spans="1:1" x14ac:dyDescent="0.35">
      <c r="A2087" s="4">
        <v>4500158381</v>
      </c>
    </row>
    <row r="2088" spans="1:1" x14ac:dyDescent="0.35">
      <c r="A2088" s="4">
        <v>4500158385</v>
      </c>
    </row>
    <row r="2089" spans="1:1" x14ac:dyDescent="0.35">
      <c r="A2089" s="4">
        <v>4500158392</v>
      </c>
    </row>
    <row r="2090" spans="1:1" x14ac:dyDescent="0.35">
      <c r="A2090" s="4">
        <v>4500158401</v>
      </c>
    </row>
    <row r="2091" spans="1:1" x14ac:dyDescent="0.35">
      <c r="A2091" s="4">
        <v>4500158404</v>
      </c>
    </row>
    <row r="2092" spans="1:1" x14ac:dyDescent="0.35">
      <c r="A2092" s="4">
        <v>4500158406</v>
      </c>
    </row>
    <row r="2093" spans="1:1" x14ac:dyDescent="0.35">
      <c r="A2093" s="4">
        <v>4500158408</v>
      </c>
    </row>
    <row r="2094" spans="1:1" x14ac:dyDescent="0.35">
      <c r="A2094" s="4">
        <v>4500158411</v>
      </c>
    </row>
    <row r="2095" spans="1:1" x14ac:dyDescent="0.35">
      <c r="A2095" s="4">
        <v>4500158413</v>
      </c>
    </row>
    <row r="2096" spans="1:1" x14ac:dyDescent="0.35">
      <c r="A2096" s="4">
        <v>4500158415</v>
      </c>
    </row>
    <row r="2097" spans="1:1" x14ac:dyDescent="0.35">
      <c r="A2097" s="4">
        <v>4500158426</v>
      </c>
    </row>
    <row r="2098" spans="1:1" x14ac:dyDescent="0.35">
      <c r="A2098" s="4">
        <v>4500158430</v>
      </c>
    </row>
    <row r="2099" spans="1:1" x14ac:dyDescent="0.35">
      <c r="A2099" s="4">
        <v>4500158470</v>
      </c>
    </row>
    <row r="2100" spans="1:1" x14ac:dyDescent="0.35">
      <c r="A2100" s="4">
        <v>4500158476</v>
      </c>
    </row>
    <row r="2101" spans="1:1" x14ac:dyDescent="0.35">
      <c r="A2101" s="4">
        <v>4500158484</v>
      </c>
    </row>
    <row r="2102" spans="1:1" x14ac:dyDescent="0.35">
      <c r="A2102" s="4">
        <v>4500158492</v>
      </c>
    </row>
    <row r="2103" spans="1:1" x14ac:dyDescent="0.35">
      <c r="A2103" s="4">
        <v>4500158501</v>
      </c>
    </row>
    <row r="2104" spans="1:1" x14ac:dyDescent="0.35">
      <c r="A2104" s="4">
        <v>4500158504</v>
      </c>
    </row>
    <row r="2105" spans="1:1" x14ac:dyDescent="0.35">
      <c r="A2105" s="4">
        <v>4500158509</v>
      </c>
    </row>
    <row r="2106" spans="1:1" x14ac:dyDescent="0.35">
      <c r="A2106" s="4">
        <v>4500158528</v>
      </c>
    </row>
    <row r="2107" spans="1:1" x14ac:dyDescent="0.35">
      <c r="A2107" s="4">
        <v>4500158530</v>
      </c>
    </row>
    <row r="2108" spans="1:1" x14ac:dyDescent="0.35">
      <c r="A2108" s="4">
        <v>4500158532</v>
      </c>
    </row>
    <row r="2109" spans="1:1" x14ac:dyDescent="0.35">
      <c r="A2109" s="4">
        <v>4500158537</v>
      </c>
    </row>
    <row r="2110" spans="1:1" x14ac:dyDescent="0.35">
      <c r="A2110" s="4">
        <v>4500158542</v>
      </c>
    </row>
    <row r="2111" spans="1:1" x14ac:dyDescent="0.35">
      <c r="A2111" s="4">
        <v>4500158546</v>
      </c>
    </row>
    <row r="2112" spans="1:1" x14ac:dyDescent="0.35">
      <c r="A2112" s="4">
        <v>4500158551</v>
      </c>
    </row>
    <row r="2113" spans="1:1" x14ac:dyDescent="0.35">
      <c r="A2113" s="4">
        <v>4500158555</v>
      </c>
    </row>
    <row r="2114" spans="1:1" x14ac:dyDescent="0.35">
      <c r="A2114" s="4">
        <v>4500158560</v>
      </c>
    </row>
    <row r="2115" spans="1:1" x14ac:dyDescent="0.35">
      <c r="A2115" s="4">
        <v>4500158563</v>
      </c>
    </row>
    <row r="2116" spans="1:1" x14ac:dyDescent="0.35">
      <c r="A2116" s="4">
        <v>4500158568</v>
      </c>
    </row>
    <row r="2117" spans="1:1" x14ac:dyDescent="0.35">
      <c r="A2117" s="4">
        <v>4500158571</v>
      </c>
    </row>
    <row r="2118" spans="1:1" x14ac:dyDescent="0.35">
      <c r="A2118" s="4">
        <v>4500158575</v>
      </c>
    </row>
    <row r="2119" spans="1:1" x14ac:dyDescent="0.35">
      <c r="A2119" s="4">
        <v>4500158577</v>
      </c>
    </row>
    <row r="2120" spans="1:1" x14ac:dyDescent="0.35">
      <c r="A2120" s="4">
        <v>4500158579</v>
      </c>
    </row>
    <row r="2121" spans="1:1" x14ac:dyDescent="0.35">
      <c r="A2121" s="4">
        <v>4500158581</v>
      </c>
    </row>
    <row r="2122" spans="1:1" x14ac:dyDescent="0.35">
      <c r="A2122" s="4">
        <v>4500158583</v>
      </c>
    </row>
    <row r="2123" spans="1:1" x14ac:dyDescent="0.35">
      <c r="A2123" s="4">
        <v>4500158585</v>
      </c>
    </row>
    <row r="2124" spans="1:1" x14ac:dyDescent="0.35">
      <c r="A2124" s="4">
        <v>4500158587</v>
      </c>
    </row>
    <row r="2125" spans="1:1" x14ac:dyDescent="0.35">
      <c r="A2125" s="4">
        <v>4500158676</v>
      </c>
    </row>
    <row r="2126" spans="1:1" x14ac:dyDescent="0.35">
      <c r="A2126" s="4">
        <v>4500158694</v>
      </c>
    </row>
    <row r="2127" spans="1:1" x14ac:dyDescent="0.35">
      <c r="A2127" s="4">
        <v>4500158706</v>
      </c>
    </row>
    <row r="2128" spans="1:1" x14ac:dyDescent="0.35">
      <c r="A2128" s="4">
        <v>4500158712</v>
      </c>
    </row>
    <row r="2129" spans="1:1" x14ac:dyDescent="0.35">
      <c r="A2129" s="4">
        <v>4500158719</v>
      </c>
    </row>
    <row r="2130" spans="1:1" x14ac:dyDescent="0.35">
      <c r="A2130" s="4">
        <v>4500158723</v>
      </c>
    </row>
    <row r="2131" spans="1:1" x14ac:dyDescent="0.35">
      <c r="A2131" s="4">
        <v>4500158730</v>
      </c>
    </row>
    <row r="2132" spans="1:1" x14ac:dyDescent="0.35">
      <c r="A2132" s="4">
        <v>4500158734</v>
      </c>
    </row>
    <row r="2133" spans="1:1" x14ac:dyDescent="0.35">
      <c r="A2133" s="4">
        <v>4500158737</v>
      </c>
    </row>
    <row r="2134" spans="1:1" x14ac:dyDescent="0.35">
      <c r="A2134" s="4">
        <v>4500158747</v>
      </c>
    </row>
    <row r="2135" spans="1:1" x14ac:dyDescent="0.35">
      <c r="A2135" s="4">
        <v>4500158753</v>
      </c>
    </row>
    <row r="2136" spans="1:1" x14ac:dyDescent="0.35">
      <c r="A2136" s="4">
        <v>4500158759</v>
      </c>
    </row>
    <row r="2137" spans="1:1" x14ac:dyDescent="0.35">
      <c r="A2137" s="4">
        <v>4500158763</v>
      </c>
    </row>
    <row r="2138" spans="1:1" x14ac:dyDescent="0.35">
      <c r="A2138" s="4">
        <v>4500158766</v>
      </c>
    </row>
    <row r="2139" spans="1:1" x14ac:dyDescent="0.35">
      <c r="A2139" s="4">
        <v>4500158773</v>
      </c>
    </row>
    <row r="2140" spans="1:1" x14ac:dyDescent="0.35">
      <c r="A2140" s="4">
        <v>4500158777</v>
      </c>
    </row>
    <row r="2141" spans="1:1" x14ac:dyDescent="0.35">
      <c r="A2141" s="4">
        <v>4500158784</v>
      </c>
    </row>
    <row r="2142" spans="1:1" x14ac:dyDescent="0.35">
      <c r="A2142" s="4">
        <v>4500158785</v>
      </c>
    </row>
    <row r="2143" spans="1:1" x14ac:dyDescent="0.35">
      <c r="A2143" s="4">
        <v>4500158786</v>
      </c>
    </row>
    <row r="2144" spans="1:1" x14ac:dyDescent="0.35">
      <c r="A2144" s="4">
        <v>4500158787</v>
      </c>
    </row>
    <row r="2145" spans="1:1" x14ac:dyDescent="0.35">
      <c r="A2145" s="4">
        <v>4500158859</v>
      </c>
    </row>
    <row r="2146" spans="1:1" x14ac:dyDescent="0.35">
      <c r="A2146" s="4">
        <v>4500158863</v>
      </c>
    </row>
    <row r="2147" spans="1:1" x14ac:dyDescent="0.35">
      <c r="A2147" s="4">
        <v>4500158867</v>
      </c>
    </row>
    <row r="2148" spans="1:1" x14ac:dyDescent="0.35">
      <c r="A2148" s="4">
        <v>4500158870</v>
      </c>
    </row>
    <row r="2149" spans="1:1" x14ac:dyDescent="0.35">
      <c r="A2149" s="4">
        <v>4500158874</v>
      </c>
    </row>
    <row r="2150" spans="1:1" x14ac:dyDescent="0.35">
      <c r="A2150" s="4">
        <v>4500158881</v>
      </c>
    </row>
    <row r="2151" spans="1:1" x14ac:dyDescent="0.35">
      <c r="A2151" s="4">
        <v>4500158887</v>
      </c>
    </row>
    <row r="2152" spans="1:1" x14ac:dyDescent="0.35">
      <c r="A2152" s="4">
        <v>4500158891</v>
      </c>
    </row>
    <row r="2153" spans="1:1" x14ac:dyDescent="0.35">
      <c r="A2153" s="4">
        <v>4500158895</v>
      </c>
    </row>
    <row r="2154" spans="1:1" x14ac:dyDescent="0.35">
      <c r="A2154" s="4">
        <v>4500158902</v>
      </c>
    </row>
    <row r="2155" spans="1:1" x14ac:dyDescent="0.35">
      <c r="A2155" s="4">
        <v>4500158906</v>
      </c>
    </row>
    <row r="2156" spans="1:1" x14ac:dyDescent="0.35">
      <c r="A2156" s="4">
        <v>4500158913</v>
      </c>
    </row>
    <row r="2157" spans="1:1" x14ac:dyDescent="0.35">
      <c r="A2157" s="4">
        <v>4500158918</v>
      </c>
    </row>
    <row r="2158" spans="1:1" x14ac:dyDescent="0.35">
      <c r="A2158" s="4">
        <v>4500158922</v>
      </c>
    </row>
    <row r="2159" spans="1:1" x14ac:dyDescent="0.35">
      <c r="A2159" s="4">
        <v>4500158928</v>
      </c>
    </row>
    <row r="2160" spans="1:1" x14ac:dyDescent="0.35">
      <c r="A2160" s="4">
        <v>4500158937</v>
      </c>
    </row>
    <row r="2161" spans="1:1" x14ac:dyDescent="0.35">
      <c r="A2161" s="4">
        <v>4500158951</v>
      </c>
    </row>
    <row r="2162" spans="1:1" x14ac:dyDescent="0.35">
      <c r="A2162" s="4">
        <v>4500158955</v>
      </c>
    </row>
    <row r="2163" spans="1:1" x14ac:dyDescent="0.35">
      <c r="A2163" s="4">
        <v>4500158958</v>
      </c>
    </row>
    <row r="2164" spans="1:1" x14ac:dyDescent="0.35">
      <c r="A2164" s="4">
        <v>4500158967</v>
      </c>
    </row>
    <row r="2165" spans="1:1" x14ac:dyDescent="0.35">
      <c r="A2165" s="4">
        <v>4500158971</v>
      </c>
    </row>
    <row r="2166" spans="1:1" x14ac:dyDescent="0.35">
      <c r="A2166" s="4">
        <v>4500158975</v>
      </c>
    </row>
    <row r="2167" spans="1:1" x14ac:dyDescent="0.35">
      <c r="A2167" s="4">
        <v>4500158981</v>
      </c>
    </row>
    <row r="2168" spans="1:1" x14ac:dyDescent="0.35">
      <c r="A2168" s="4">
        <v>4500158983</v>
      </c>
    </row>
    <row r="2169" spans="1:1" x14ac:dyDescent="0.35">
      <c r="A2169" s="4">
        <v>4500158985</v>
      </c>
    </row>
    <row r="2170" spans="1:1" x14ac:dyDescent="0.35">
      <c r="A2170" s="4">
        <v>4500158986</v>
      </c>
    </row>
    <row r="2171" spans="1:1" x14ac:dyDescent="0.35">
      <c r="A2171" s="4">
        <v>4500158987</v>
      </c>
    </row>
    <row r="2172" spans="1:1" x14ac:dyDescent="0.35">
      <c r="A2172" s="4">
        <v>4500158988</v>
      </c>
    </row>
    <row r="2173" spans="1:1" x14ac:dyDescent="0.35">
      <c r="A2173" s="4">
        <v>4500159063</v>
      </c>
    </row>
    <row r="2174" spans="1:1" x14ac:dyDescent="0.35">
      <c r="A2174" s="4">
        <v>4500159068</v>
      </c>
    </row>
    <row r="2175" spans="1:1" x14ac:dyDescent="0.35">
      <c r="A2175" s="4">
        <v>4500159077</v>
      </c>
    </row>
    <row r="2176" spans="1:1" x14ac:dyDescent="0.35">
      <c r="A2176" s="4">
        <v>4500159083</v>
      </c>
    </row>
    <row r="2177" spans="1:1" x14ac:dyDescent="0.35">
      <c r="A2177" s="4">
        <v>4500159088</v>
      </c>
    </row>
    <row r="2178" spans="1:1" x14ac:dyDescent="0.35">
      <c r="A2178" s="4">
        <v>4500159092</v>
      </c>
    </row>
    <row r="2179" spans="1:1" x14ac:dyDescent="0.35">
      <c r="A2179" s="4">
        <v>4500159096</v>
      </c>
    </row>
    <row r="2180" spans="1:1" x14ac:dyDescent="0.35">
      <c r="A2180" s="4">
        <v>4500159099</v>
      </c>
    </row>
    <row r="2181" spans="1:1" x14ac:dyDescent="0.35">
      <c r="A2181" s="4">
        <v>4500159106</v>
      </c>
    </row>
    <row r="2182" spans="1:1" x14ac:dyDescent="0.35">
      <c r="A2182" s="4">
        <v>4500159110</v>
      </c>
    </row>
    <row r="2183" spans="1:1" x14ac:dyDescent="0.35">
      <c r="A2183" s="4">
        <v>4500159123</v>
      </c>
    </row>
    <row r="2184" spans="1:1" x14ac:dyDescent="0.35">
      <c r="A2184" s="4">
        <v>4500159128</v>
      </c>
    </row>
    <row r="2185" spans="1:1" x14ac:dyDescent="0.35">
      <c r="A2185" s="4">
        <v>4500159132</v>
      </c>
    </row>
    <row r="2186" spans="1:1" x14ac:dyDescent="0.35">
      <c r="A2186" s="4">
        <v>4500159136</v>
      </c>
    </row>
    <row r="2187" spans="1:1" x14ac:dyDescent="0.35">
      <c r="A2187" s="4">
        <v>4500159142</v>
      </c>
    </row>
    <row r="2188" spans="1:1" x14ac:dyDescent="0.35">
      <c r="A2188" s="4">
        <v>4500159151</v>
      </c>
    </row>
    <row r="2189" spans="1:1" x14ac:dyDescent="0.35">
      <c r="A2189" s="4">
        <v>4500159162</v>
      </c>
    </row>
    <row r="2190" spans="1:1" x14ac:dyDescent="0.35">
      <c r="A2190" s="4">
        <v>4500159170</v>
      </c>
    </row>
    <row r="2191" spans="1:1" x14ac:dyDescent="0.35">
      <c r="A2191" s="4">
        <v>4500159177</v>
      </c>
    </row>
    <row r="2192" spans="1:1" x14ac:dyDescent="0.35">
      <c r="A2192" s="4">
        <v>4500159183</v>
      </c>
    </row>
    <row r="2193" spans="1:1" x14ac:dyDescent="0.35">
      <c r="A2193" s="4">
        <v>4500159187</v>
      </c>
    </row>
    <row r="2194" spans="1:1" x14ac:dyDescent="0.35">
      <c r="A2194" s="4">
        <v>4500159188</v>
      </c>
    </row>
    <row r="2195" spans="1:1" x14ac:dyDescent="0.35">
      <c r="A2195" s="4">
        <v>4500159192</v>
      </c>
    </row>
    <row r="2196" spans="1:1" x14ac:dyDescent="0.35">
      <c r="A2196" s="4">
        <v>4500159193</v>
      </c>
    </row>
    <row r="2197" spans="1:1" x14ac:dyDescent="0.35">
      <c r="A2197" s="4">
        <v>4500159195</v>
      </c>
    </row>
    <row r="2198" spans="1:1" x14ac:dyDescent="0.35">
      <c r="A2198" s="4">
        <v>4500159199</v>
      </c>
    </row>
    <row r="2199" spans="1:1" x14ac:dyDescent="0.35">
      <c r="A2199" s="4">
        <v>4500159209</v>
      </c>
    </row>
    <row r="2200" spans="1:1" x14ac:dyDescent="0.35">
      <c r="A2200" s="4">
        <v>4500159245</v>
      </c>
    </row>
    <row r="2201" spans="1:1" x14ac:dyDescent="0.35">
      <c r="A2201" s="4">
        <v>4500159260</v>
      </c>
    </row>
    <row r="2202" spans="1:1" x14ac:dyDescent="0.35">
      <c r="A2202" s="4">
        <v>4500159263</v>
      </c>
    </row>
    <row r="2203" spans="1:1" x14ac:dyDescent="0.35">
      <c r="A2203" s="4">
        <v>4500159270</v>
      </c>
    </row>
    <row r="2204" spans="1:1" x14ac:dyDescent="0.35">
      <c r="A2204" s="4">
        <v>4500159276</v>
      </c>
    </row>
    <row r="2205" spans="1:1" x14ac:dyDescent="0.35">
      <c r="A2205" s="4">
        <v>4500159280</v>
      </c>
    </row>
    <row r="2206" spans="1:1" x14ac:dyDescent="0.35">
      <c r="A2206" s="4">
        <v>4500159285</v>
      </c>
    </row>
    <row r="2207" spans="1:1" x14ac:dyDescent="0.35">
      <c r="A2207" s="4">
        <v>4500159289</v>
      </c>
    </row>
    <row r="2208" spans="1:1" x14ac:dyDescent="0.35">
      <c r="A2208" s="4">
        <v>4500159291</v>
      </c>
    </row>
    <row r="2209" spans="1:1" x14ac:dyDescent="0.35">
      <c r="A2209" s="4">
        <v>4500159296</v>
      </c>
    </row>
    <row r="2210" spans="1:1" x14ac:dyDescent="0.35">
      <c r="A2210" s="4">
        <v>4500159300</v>
      </c>
    </row>
    <row r="2211" spans="1:1" x14ac:dyDescent="0.35">
      <c r="A2211" s="4">
        <v>4500159301</v>
      </c>
    </row>
    <row r="2212" spans="1:1" x14ac:dyDescent="0.35">
      <c r="A2212" s="4">
        <v>4500159304</v>
      </c>
    </row>
    <row r="2213" spans="1:1" x14ac:dyDescent="0.35">
      <c r="A2213" s="4">
        <v>4500159307</v>
      </c>
    </row>
    <row r="2214" spans="1:1" x14ac:dyDescent="0.35">
      <c r="A2214" s="4">
        <v>4500159310</v>
      </c>
    </row>
    <row r="2215" spans="1:1" x14ac:dyDescent="0.35">
      <c r="A2215" s="4">
        <v>4500159316</v>
      </c>
    </row>
    <row r="2216" spans="1:1" x14ac:dyDescent="0.35">
      <c r="A2216" s="4">
        <v>4500159321</v>
      </c>
    </row>
    <row r="2217" spans="1:1" x14ac:dyDescent="0.35">
      <c r="A2217" s="4">
        <v>4500159324</v>
      </c>
    </row>
    <row r="2218" spans="1:1" x14ac:dyDescent="0.35">
      <c r="A2218" s="4">
        <v>4500159326</v>
      </c>
    </row>
    <row r="2219" spans="1:1" x14ac:dyDescent="0.35">
      <c r="A2219" s="4">
        <v>4500159328</v>
      </c>
    </row>
    <row r="2220" spans="1:1" x14ac:dyDescent="0.35">
      <c r="A2220" s="4">
        <v>4500159331</v>
      </c>
    </row>
    <row r="2221" spans="1:1" x14ac:dyDescent="0.35">
      <c r="A2221" s="4">
        <v>4500159335</v>
      </c>
    </row>
    <row r="2222" spans="1:1" x14ac:dyDescent="0.35">
      <c r="A2222" s="4">
        <v>4500159338</v>
      </c>
    </row>
    <row r="2223" spans="1:1" x14ac:dyDescent="0.35">
      <c r="A2223" s="4">
        <v>4500159342</v>
      </c>
    </row>
    <row r="2224" spans="1:1" x14ac:dyDescent="0.35">
      <c r="A2224" s="4">
        <v>4500159346</v>
      </c>
    </row>
    <row r="2225" spans="1:1" x14ac:dyDescent="0.35">
      <c r="A2225" s="4">
        <v>4500159347</v>
      </c>
    </row>
    <row r="2226" spans="1:1" x14ac:dyDescent="0.35">
      <c r="A2226" s="4">
        <v>4500159350</v>
      </c>
    </row>
    <row r="2227" spans="1:1" x14ac:dyDescent="0.35">
      <c r="A2227" s="4">
        <v>4500159353</v>
      </c>
    </row>
    <row r="2228" spans="1:1" x14ac:dyDescent="0.35">
      <c r="A2228" s="4">
        <v>4500159357</v>
      </c>
    </row>
    <row r="2229" spans="1:1" x14ac:dyDescent="0.35">
      <c r="A2229" s="4">
        <v>4500159360</v>
      </c>
    </row>
    <row r="2230" spans="1:1" x14ac:dyDescent="0.35">
      <c r="A2230" s="4">
        <v>4500159363</v>
      </c>
    </row>
    <row r="2231" spans="1:1" x14ac:dyDescent="0.35">
      <c r="A2231" s="4">
        <v>4500159366</v>
      </c>
    </row>
    <row r="2232" spans="1:1" x14ac:dyDescent="0.35">
      <c r="A2232" s="4">
        <v>4500159369</v>
      </c>
    </row>
    <row r="2233" spans="1:1" x14ac:dyDescent="0.35">
      <c r="A2233" s="4">
        <v>4500159371</v>
      </c>
    </row>
    <row r="2234" spans="1:1" x14ac:dyDescent="0.35">
      <c r="A2234" s="4">
        <v>4500159400</v>
      </c>
    </row>
    <row r="2235" spans="1:1" x14ac:dyDescent="0.35">
      <c r="A2235" s="4">
        <v>4500159449</v>
      </c>
    </row>
    <row r="2236" spans="1:1" x14ac:dyDescent="0.35">
      <c r="A2236" s="4">
        <v>4500159456</v>
      </c>
    </row>
    <row r="2237" spans="1:1" x14ac:dyDescent="0.35">
      <c r="A2237" s="4">
        <v>4500159471</v>
      </c>
    </row>
    <row r="2238" spans="1:1" x14ac:dyDescent="0.35">
      <c r="A2238" s="4">
        <v>4500159476</v>
      </c>
    </row>
    <row r="2239" spans="1:1" x14ac:dyDescent="0.35">
      <c r="A2239" s="4">
        <v>4500159480</v>
      </c>
    </row>
    <row r="2240" spans="1:1" x14ac:dyDescent="0.35">
      <c r="A2240" s="4">
        <v>4500159489</v>
      </c>
    </row>
    <row r="2241" spans="1:1" x14ac:dyDescent="0.35">
      <c r="A2241" s="4">
        <v>4500159494</v>
      </c>
    </row>
    <row r="2242" spans="1:1" x14ac:dyDescent="0.35">
      <c r="A2242" s="4">
        <v>4500159498</v>
      </c>
    </row>
    <row r="2243" spans="1:1" x14ac:dyDescent="0.35">
      <c r="A2243" s="4">
        <v>4500159501</v>
      </c>
    </row>
    <row r="2244" spans="1:1" x14ac:dyDescent="0.35">
      <c r="A2244" s="4">
        <v>4500159516</v>
      </c>
    </row>
    <row r="2245" spans="1:1" x14ac:dyDescent="0.35">
      <c r="A2245" s="4">
        <v>4500159521</v>
      </c>
    </row>
    <row r="2246" spans="1:1" x14ac:dyDescent="0.35">
      <c r="A2246" s="4">
        <v>4500159525</v>
      </c>
    </row>
    <row r="2247" spans="1:1" x14ac:dyDescent="0.35">
      <c r="A2247" s="4">
        <v>4500159530</v>
      </c>
    </row>
    <row r="2248" spans="1:1" x14ac:dyDescent="0.35">
      <c r="A2248" s="4">
        <v>4500159545</v>
      </c>
    </row>
    <row r="2249" spans="1:1" x14ac:dyDescent="0.35">
      <c r="A2249" s="4">
        <v>4500159548</v>
      </c>
    </row>
    <row r="2250" spans="1:1" x14ac:dyDescent="0.35">
      <c r="A2250" s="4">
        <v>4500159565</v>
      </c>
    </row>
    <row r="2251" spans="1:1" x14ac:dyDescent="0.35">
      <c r="A2251" s="4">
        <v>4500159569</v>
      </c>
    </row>
    <row r="2252" spans="1:1" x14ac:dyDescent="0.35">
      <c r="A2252" s="4">
        <v>4500159576</v>
      </c>
    </row>
    <row r="2253" spans="1:1" x14ac:dyDescent="0.35">
      <c r="A2253" s="4">
        <v>4500159577</v>
      </c>
    </row>
    <row r="2254" spans="1:1" x14ac:dyDescent="0.35">
      <c r="A2254" s="4">
        <v>4500159582</v>
      </c>
    </row>
    <row r="2255" spans="1:1" x14ac:dyDescent="0.35">
      <c r="A2255" s="4">
        <v>4500159632</v>
      </c>
    </row>
    <row r="2256" spans="1:1" x14ac:dyDescent="0.35">
      <c r="A2256" s="4">
        <v>4500159647</v>
      </c>
    </row>
    <row r="2257" spans="1:1" x14ac:dyDescent="0.35">
      <c r="A2257" s="4">
        <v>4500159659</v>
      </c>
    </row>
    <row r="2258" spans="1:1" x14ac:dyDescent="0.35">
      <c r="A2258" s="4">
        <v>4500159664</v>
      </c>
    </row>
    <row r="2259" spans="1:1" x14ac:dyDescent="0.35">
      <c r="A2259" s="4">
        <v>4500159667</v>
      </c>
    </row>
    <row r="2260" spans="1:1" x14ac:dyDescent="0.35">
      <c r="A2260" s="4">
        <v>4500159671</v>
      </c>
    </row>
    <row r="2261" spans="1:1" x14ac:dyDescent="0.35">
      <c r="A2261" s="4">
        <v>4500159673</v>
      </c>
    </row>
    <row r="2262" spans="1:1" x14ac:dyDescent="0.35">
      <c r="A2262" s="4">
        <v>4500159682</v>
      </c>
    </row>
    <row r="2263" spans="1:1" x14ac:dyDescent="0.35">
      <c r="A2263" s="4">
        <v>4500159686</v>
      </c>
    </row>
    <row r="2264" spans="1:1" x14ac:dyDescent="0.35">
      <c r="A2264" s="4">
        <v>4500159694</v>
      </c>
    </row>
    <row r="2265" spans="1:1" x14ac:dyDescent="0.35">
      <c r="A2265" s="4">
        <v>4500159699</v>
      </c>
    </row>
    <row r="2266" spans="1:1" x14ac:dyDescent="0.35">
      <c r="A2266" s="4">
        <v>4500159703</v>
      </c>
    </row>
    <row r="2267" spans="1:1" x14ac:dyDescent="0.35">
      <c r="A2267" s="4">
        <v>4500159707</v>
      </c>
    </row>
    <row r="2268" spans="1:1" x14ac:dyDescent="0.35">
      <c r="A2268" s="4">
        <v>4500159712</v>
      </c>
    </row>
    <row r="2269" spans="1:1" x14ac:dyDescent="0.35">
      <c r="A2269" s="4">
        <v>4500159717</v>
      </c>
    </row>
    <row r="2270" spans="1:1" x14ac:dyDescent="0.35">
      <c r="A2270" s="4">
        <v>4500159729</v>
      </c>
    </row>
    <row r="2271" spans="1:1" x14ac:dyDescent="0.35">
      <c r="A2271" s="4">
        <v>4500159732</v>
      </c>
    </row>
    <row r="2272" spans="1:1" x14ac:dyDescent="0.35">
      <c r="A2272" s="4">
        <v>4500159736</v>
      </c>
    </row>
    <row r="2273" spans="1:1" x14ac:dyDescent="0.35">
      <c r="A2273" s="4">
        <v>4500159738</v>
      </c>
    </row>
    <row r="2274" spans="1:1" x14ac:dyDescent="0.35">
      <c r="A2274" s="4">
        <v>4500159742</v>
      </c>
    </row>
    <row r="2275" spans="1:1" x14ac:dyDescent="0.35">
      <c r="A2275" s="4">
        <v>4500159751</v>
      </c>
    </row>
    <row r="2276" spans="1:1" x14ac:dyDescent="0.35">
      <c r="A2276" s="4">
        <v>4500159754</v>
      </c>
    </row>
    <row r="2277" spans="1:1" x14ac:dyDescent="0.35">
      <c r="A2277" s="4">
        <v>4500159757</v>
      </c>
    </row>
    <row r="2278" spans="1:1" x14ac:dyDescent="0.35">
      <c r="A2278" s="4">
        <v>4500159759</v>
      </c>
    </row>
    <row r="2279" spans="1:1" x14ac:dyDescent="0.35">
      <c r="A2279" s="4">
        <v>4500159760</v>
      </c>
    </row>
    <row r="2280" spans="1:1" x14ac:dyDescent="0.35">
      <c r="A2280" s="4">
        <v>4500159761</v>
      </c>
    </row>
    <row r="2281" spans="1:1" x14ac:dyDescent="0.35">
      <c r="A2281" s="4">
        <v>4500159762</v>
      </c>
    </row>
    <row r="2282" spans="1:1" x14ac:dyDescent="0.35">
      <c r="A2282" s="4">
        <v>4500159765</v>
      </c>
    </row>
    <row r="2283" spans="1:1" x14ac:dyDescent="0.35">
      <c r="A2283" s="4">
        <v>4500159766</v>
      </c>
    </row>
    <row r="2284" spans="1:1" x14ac:dyDescent="0.35">
      <c r="A2284" s="4">
        <v>4500159768</v>
      </c>
    </row>
    <row r="2285" spans="1:1" x14ac:dyDescent="0.35">
      <c r="A2285" s="4">
        <v>4500159769</v>
      </c>
    </row>
    <row r="2286" spans="1:1" x14ac:dyDescent="0.35">
      <c r="A2286" s="4">
        <v>4500159771</v>
      </c>
    </row>
    <row r="2287" spans="1:1" x14ac:dyDescent="0.35">
      <c r="A2287" s="4">
        <v>4500159773</v>
      </c>
    </row>
    <row r="2288" spans="1:1" x14ac:dyDescent="0.35">
      <c r="A2288" s="4">
        <v>4500159775</v>
      </c>
    </row>
    <row r="2289" spans="1:1" x14ac:dyDescent="0.35">
      <c r="A2289" s="4">
        <v>4500159776</v>
      </c>
    </row>
    <row r="2290" spans="1:1" x14ac:dyDescent="0.35">
      <c r="A2290" s="4">
        <v>4500159786</v>
      </c>
    </row>
    <row r="2291" spans="1:1" x14ac:dyDescent="0.35">
      <c r="A2291" s="4">
        <v>4500159795</v>
      </c>
    </row>
    <row r="2292" spans="1:1" x14ac:dyDescent="0.35">
      <c r="A2292" s="4">
        <v>4500159839</v>
      </c>
    </row>
    <row r="2293" spans="1:1" x14ac:dyDescent="0.35">
      <c r="A2293" s="4">
        <v>4500159842</v>
      </c>
    </row>
    <row r="2294" spans="1:1" x14ac:dyDescent="0.35">
      <c r="A2294" s="4">
        <v>4500159847</v>
      </c>
    </row>
    <row r="2295" spans="1:1" x14ac:dyDescent="0.35">
      <c r="A2295" s="4">
        <v>4500159857</v>
      </c>
    </row>
    <row r="2296" spans="1:1" x14ac:dyDescent="0.35">
      <c r="A2296" s="4">
        <v>4500159864</v>
      </c>
    </row>
    <row r="2297" spans="1:1" x14ac:dyDescent="0.35">
      <c r="A2297" s="4">
        <v>4500159872</v>
      </c>
    </row>
    <row r="2298" spans="1:1" x14ac:dyDescent="0.35">
      <c r="A2298" s="4">
        <v>4500159881</v>
      </c>
    </row>
    <row r="2299" spans="1:1" x14ac:dyDescent="0.35">
      <c r="A2299" s="4">
        <v>4500159888</v>
      </c>
    </row>
    <row r="2300" spans="1:1" x14ac:dyDescent="0.35">
      <c r="A2300" s="4">
        <v>4500159894</v>
      </c>
    </row>
    <row r="2301" spans="1:1" x14ac:dyDescent="0.35">
      <c r="A2301" s="4">
        <v>4500159898</v>
      </c>
    </row>
    <row r="2302" spans="1:1" x14ac:dyDescent="0.35">
      <c r="A2302" s="4">
        <v>4500159904</v>
      </c>
    </row>
    <row r="2303" spans="1:1" x14ac:dyDescent="0.35">
      <c r="A2303" s="4">
        <v>4500159906</v>
      </c>
    </row>
    <row r="2304" spans="1:1" x14ac:dyDescent="0.35">
      <c r="A2304" s="4">
        <v>4500159910</v>
      </c>
    </row>
    <row r="2305" spans="1:1" x14ac:dyDescent="0.35">
      <c r="A2305" s="4">
        <v>4500159917</v>
      </c>
    </row>
    <row r="2306" spans="1:1" x14ac:dyDescent="0.35">
      <c r="A2306" s="4">
        <v>4500159921</v>
      </c>
    </row>
    <row r="2307" spans="1:1" x14ac:dyDescent="0.35">
      <c r="A2307" s="4">
        <v>4500159925</v>
      </c>
    </row>
    <row r="2308" spans="1:1" x14ac:dyDescent="0.35">
      <c r="A2308" s="4">
        <v>4500159929</v>
      </c>
    </row>
    <row r="2309" spans="1:1" x14ac:dyDescent="0.35">
      <c r="A2309" s="4">
        <v>4500159933</v>
      </c>
    </row>
    <row r="2310" spans="1:1" x14ac:dyDescent="0.35">
      <c r="A2310" s="4">
        <v>4500159937</v>
      </c>
    </row>
    <row r="2311" spans="1:1" x14ac:dyDescent="0.35">
      <c r="A2311" s="4">
        <v>4500159941</v>
      </c>
    </row>
    <row r="2312" spans="1:1" x14ac:dyDescent="0.35">
      <c r="A2312" s="4">
        <v>4500159948</v>
      </c>
    </row>
    <row r="2313" spans="1:1" x14ac:dyDescent="0.35">
      <c r="A2313" s="4">
        <v>4500159955</v>
      </c>
    </row>
    <row r="2314" spans="1:1" x14ac:dyDescent="0.35">
      <c r="A2314" s="4">
        <v>4500159958</v>
      </c>
    </row>
    <row r="2315" spans="1:1" x14ac:dyDescent="0.35">
      <c r="A2315" s="4">
        <v>4500159961</v>
      </c>
    </row>
    <row r="2316" spans="1:1" x14ac:dyDescent="0.35">
      <c r="A2316" s="4">
        <v>4500159965</v>
      </c>
    </row>
    <row r="2317" spans="1:1" x14ac:dyDescent="0.35">
      <c r="A2317" s="4">
        <v>4500159968</v>
      </c>
    </row>
    <row r="2318" spans="1:1" x14ac:dyDescent="0.35">
      <c r="A2318" s="4">
        <v>4500159970</v>
      </c>
    </row>
    <row r="2319" spans="1:1" x14ac:dyDescent="0.35">
      <c r="A2319" s="4">
        <v>4500159972</v>
      </c>
    </row>
    <row r="2320" spans="1:1" x14ac:dyDescent="0.35">
      <c r="A2320" s="4">
        <v>4500159974</v>
      </c>
    </row>
    <row r="2321" spans="1:1" x14ac:dyDescent="0.35">
      <c r="A2321" s="4">
        <v>4500159976</v>
      </c>
    </row>
    <row r="2322" spans="1:1" x14ac:dyDescent="0.35">
      <c r="A2322" s="4">
        <v>4500159978</v>
      </c>
    </row>
    <row r="2323" spans="1:1" x14ac:dyDescent="0.35">
      <c r="A2323" s="4">
        <v>4500159995</v>
      </c>
    </row>
    <row r="2324" spans="1:1" x14ac:dyDescent="0.35">
      <c r="A2324" s="4">
        <v>4500160049</v>
      </c>
    </row>
    <row r="2325" spans="1:1" x14ac:dyDescent="0.35">
      <c r="A2325" s="4">
        <v>4500160056</v>
      </c>
    </row>
    <row r="2326" spans="1:1" x14ac:dyDescent="0.35">
      <c r="A2326" s="4">
        <v>4500160060</v>
      </c>
    </row>
    <row r="2327" spans="1:1" x14ac:dyDescent="0.35">
      <c r="A2327" s="4">
        <v>4500160070</v>
      </c>
    </row>
    <row r="2328" spans="1:1" x14ac:dyDescent="0.35">
      <c r="A2328" s="4">
        <v>4500160080</v>
      </c>
    </row>
    <row r="2329" spans="1:1" x14ac:dyDescent="0.35">
      <c r="A2329" s="4">
        <v>4500160084</v>
      </c>
    </row>
    <row r="2330" spans="1:1" x14ac:dyDescent="0.35">
      <c r="A2330" s="4">
        <v>4500160089</v>
      </c>
    </row>
    <row r="2331" spans="1:1" x14ac:dyDescent="0.35">
      <c r="A2331" s="4">
        <v>4500160093</v>
      </c>
    </row>
    <row r="2332" spans="1:1" x14ac:dyDescent="0.35">
      <c r="A2332" s="4">
        <v>4500160095</v>
      </c>
    </row>
    <row r="2333" spans="1:1" x14ac:dyDescent="0.35">
      <c r="A2333" s="4">
        <v>4500160099</v>
      </c>
    </row>
    <row r="2334" spans="1:1" x14ac:dyDescent="0.35">
      <c r="A2334" s="4">
        <v>4500160105</v>
      </c>
    </row>
    <row r="2335" spans="1:1" x14ac:dyDescent="0.35">
      <c r="A2335" s="4">
        <v>4500160109</v>
      </c>
    </row>
    <row r="2336" spans="1:1" x14ac:dyDescent="0.35">
      <c r="A2336" s="4">
        <v>4500160111</v>
      </c>
    </row>
    <row r="2337" spans="1:1" x14ac:dyDescent="0.35">
      <c r="A2337" s="4">
        <v>4500160124</v>
      </c>
    </row>
    <row r="2338" spans="1:1" x14ac:dyDescent="0.35">
      <c r="A2338" s="4">
        <v>4500160128</v>
      </c>
    </row>
    <row r="2339" spans="1:1" x14ac:dyDescent="0.35">
      <c r="A2339" s="4">
        <v>4500160132</v>
      </c>
    </row>
    <row r="2340" spans="1:1" x14ac:dyDescent="0.35">
      <c r="A2340" s="4">
        <v>4500160136</v>
      </c>
    </row>
    <row r="2341" spans="1:1" x14ac:dyDescent="0.35">
      <c r="A2341" s="4">
        <v>4500160137</v>
      </c>
    </row>
    <row r="2342" spans="1:1" x14ac:dyDescent="0.35">
      <c r="A2342" s="4">
        <v>4500160147</v>
      </c>
    </row>
    <row r="2343" spans="1:1" x14ac:dyDescent="0.35">
      <c r="A2343" s="4">
        <v>4500160150</v>
      </c>
    </row>
    <row r="2344" spans="1:1" x14ac:dyDescent="0.35">
      <c r="A2344" s="4">
        <v>4500160153</v>
      </c>
    </row>
    <row r="2345" spans="1:1" x14ac:dyDescent="0.35">
      <c r="A2345" s="4">
        <v>4500160157</v>
      </c>
    </row>
    <row r="2346" spans="1:1" x14ac:dyDescent="0.35">
      <c r="A2346" s="4">
        <v>4500160160</v>
      </c>
    </row>
    <row r="2347" spans="1:1" x14ac:dyDescent="0.35">
      <c r="A2347" s="4">
        <v>4500160163</v>
      </c>
    </row>
    <row r="2348" spans="1:1" x14ac:dyDescent="0.35">
      <c r="A2348" s="4">
        <v>4500160165</v>
      </c>
    </row>
    <row r="2349" spans="1:1" x14ac:dyDescent="0.35">
      <c r="A2349" s="4">
        <v>4500160174</v>
      </c>
    </row>
    <row r="2350" spans="1:1" x14ac:dyDescent="0.35">
      <c r="A2350" s="4">
        <v>4500160175</v>
      </c>
    </row>
    <row r="2351" spans="1:1" x14ac:dyDescent="0.35">
      <c r="A2351" s="4">
        <v>4500160176</v>
      </c>
    </row>
    <row r="2352" spans="1:1" x14ac:dyDescent="0.35">
      <c r="A2352" s="4">
        <v>4500160177</v>
      </c>
    </row>
    <row r="2353" spans="1:1" x14ac:dyDescent="0.35">
      <c r="A2353" s="4">
        <v>4500160252</v>
      </c>
    </row>
    <row r="2354" spans="1:1" x14ac:dyDescent="0.35">
      <c r="A2354" s="4">
        <v>4500160260</v>
      </c>
    </row>
    <row r="2355" spans="1:1" x14ac:dyDescent="0.35">
      <c r="A2355" s="4">
        <v>4500160264</v>
      </c>
    </row>
    <row r="2356" spans="1:1" x14ac:dyDescent="0.35">
      <c r="A2356" s="4">
        <v>4500160270</v>
      </c>
    </row>
    <row r="2357" spans="1:1" x14ac:dyDescent="0.35">
      <c r="A2357" s="4">
        <v>4500160273</v>
      </c>
    </row>
    <row r="2358" spans="1:1" x14ac:dyDescent="0.35">
      <c r="A2358" s="4">
        <v>4500160275</v>
      </c>
    </row>
    <row r="2359" spans="1:1" x14ac:dyDescent="0.35">
      <c r="A2359" s="4">
        <v>4500160277</v>
      </c>
    </row>
    <row r="2360" spans="1:1" x14ac:dyDescent="0.35">
      <c r="A2360" s="4">
        <v>4500160281</v>
      </c>
    </row>
    <row r="2361" spans="1:1" x14ac:dyDescent="0.35">
      <c r="A2361" s="4">
        <v>4500160286</v>
      </c>
    </row>
    <row r="2362" spans="1:1" x14ac:dyDescent="0.35">
      <c r="A2362" s="4">
        <v>4500160291</v>
      </c>
    </row>
    <row r="2363" spans="1:1" x14ac:dyDescent="0.35">
      <c r="A2363" s="4">
        <v>4500160293</v>
      </c>
    </row>
    <row r="2364" spans="1:1" x14ac:dyDescent="0.35">
      <c r="A2364" s="4">
        <v>4500160300</v>
      </c>
    </row>
    <row r="2365" spans="1:1" x14ac:dyDescent="0.35">
      <c r="A2365" s="4">
        <v>4500160302</v>
      </c>
    </row>
    <row r="2366" spans="1:1" x14ac:dyDescent="0.35">
      <c r="A2366" s="4">
        <v>4500160306</v>
      </c>
    </row>
    <row r="2367" spans="1:1" x14ac:dyDescent="0.35">
      <c r="A2367" s="4">
        <v>4500160309</v>
      </c>
    </row>
    <row r="2368" spans="1:1" x14ac:dyDescent="0.35">
      <c r="A2368" s="4">
        <v>4500160314</v>
      </c>
    </row>
    <row r="2369" spans="1:1" x14ac:dyDescent="0.35">
      <c r="A2369" s="4">
        <v>4500160319</v>
      </c>
    </row>
    <row r="2370" spans="1:1" x14ac:dyDescent="0.35">
      <c r="A2370" s="4">
        <v>4500160323</v>
      </c>
    </row>
    <row r="2371" spans="1:1" x14ac:dyDescent="0.35">
      <c r="A2371" s="4">
        <v>4500160326</v>
      </c>
    </row>
    <row r="2372" spans="1:1" x14ac:dyDescent="0.35">
      <c r="A2372" s="4">
        <v>4500160331</v>
      </c>
    </row>
    <row r="2373" spans="1:1" x14ac:dyDescent="0.35">
      <c r="A2373" s="4">
        <v>4500160335</v>
      </c>
    </row>
    <row r="2374" spans="1:1" x14ac:dyDescent="0.35">
      <c r="A2374" s="4">
        <v>4500160339</v>
      </c>
    </row>
    <row r="2375" spans="1:1" x14ac:dyDescent="0.35">
      <c r="A2375" s="4">
        <v>4500160343</v>
      </c>
    </row>
    <row r="2376" spans="1:1" x14ac:dyDescent="0.35">
      <c r="A2376" s="4">
        <v>4500160346</v>
      </c>
    </row>
    <row r="2377" spans="1:1" x14ac:dyDescent="0.35">
      <c r="A2377" s="4">
        <v>4500160348</v>
      </c>
    </row>
    <row r="2378" spans="1:1" x14ac:dyDescent="0.35">
      <c r="A2378" s="4">
        <v>4500160350</v>
      </c>
    </row>
    <row r="2379" spans="1:1" x14ac:dyDescent="0.35">
      <c r="A2379" s="4">
        <v>4500160352</v>
      </c>
    </row>
    <row r="2380" spans="1:1" x14ac:dyDescent="0.35">
      <c r="A2380" s="4">
        <v>4500160362</v>
      </c>
    </row>
    <row r="2381" spans="1:1" x14ac:dyDescent="0.35">
      <c r="A2381" s="4">
        <v>4500160363</v>
      </c>
    </row>
    <row r="2382" spans="1:1" x14ac:dyDescent="0.35">
      <c r="A2382" s="4">
        <v>4500160364</v>
      </c>
    </row>
    <row r="2383" spans="1:1" x14ac:dyDescent="0.35">
      <c r="A2383" s="4">
        <v>4500160365</v>
      </c>
    </row>
    <row r="2384" spans="1:1" x14ac:dyDescent="0.35">
      <c r="A2384" s="4">
        <v>4500160411</v>
      </c>
    </row>
    <row r="2385" spans="1:1" x14ac:dyDescent="0.35">
      <c r="A2385" s="4">
        <v>4500160415</v>
      </c>
    </row>
    <row r="2386" spans="1:1" x14ac:dyDescent="0.35">
      <c r="A2386" s="4">
        <v>4500160420</v>
      </c>
    </row>
    <row r="2387" spans="1:1" x14ac:dyDescent="0.35">
      <c r="A2387" s="4">
        <v>4500160426</v>
      </c>
    </row>
    <row r="2388" spans="1:1" x14ac:dyDescent="0.35">
      <c r="A2388" s="4">
        <v>4500160432</v>
      </c>
    </row>
    <row r="2389" spans="1:1" x14ac:dyDescent="0.35">
      <c r="A2389" s="4">
        <v>4500160437</v>
      </c>
    </row>
    <row r="2390" spans="1:1" x14ac:dyDescent="0.35">
      <c r="A2390" s="4">
        <v>4500160449</v>
      </c>
    </row>
    <row r="2391" spans="1:1" x14ac:dyDescent="0.35">
      <c r="A2391" s="4">
        <v>4500160451</v>
      </c>
    </row>
    <row r="2392" spans="1:1" x14ac:dyDescent="0.35">
      <c r="A2392" s="4">
        <v>4500160457</v>
      </c>
    </row>
    <row r="2393" spans="1:1" x14ac:dyDescent="0.35">
      <c r="A2393" s="4">
        <v>4500160464</v>
      </c>
    </row>
    <row r="2394" spans="1:1" x14ac:dyDescent="0.35">
      <c r="A2394" s="4">
        <v>4500160470</v>
      </c>
    </row>
    <row r="2395" spans="1:1" x14ac:dyDescent="0.35">
      <c r="A2395" s="4">
        <v>4500160473</v>
      </c>
    </row>
    <row r="2396" spans="1:1" x14ac:dyDescent="0.35">
      <c r="A2396" s="4">
        <v>4500160477</v>
      </c>
    </row>
    <row r="2397" spans="1:1" x14ac:dyDescent="0.35">
      <c r="A2397" s="4">
        <v>4500160484</v>
      </c>
    </row>
    <row r="2398" spans="1:1" x14ac:dyDescent="0.35">
      <c r="A2398" s="4">
        <v>4500160487</v>
      </c>
    </row>
    <row r="2399" spans="1:1" x14ac:dyDescent="0.35">
      <c r="A2399" s="4">
        <v>4500160491</v>
      </c>
    </row>
    <row r="2400" spans="1:1" x14ac:dyDescent="0.35">
      <c r="A2400" s="4">
        <v>4500160495</v>
      </c>
    </row>
    <row r="2401" spans="1:1" x14ac:dyDescent="0.35">
      <c r="A2401" s="4">
        <v>4500160497</v>
      </c>
    </row>
    <row r="2402" spans="1:1" x14ac:dyDescent="0.35">
      <c r="A2402" s="4">
        <v>4500160504</v>
      </c>
    </row>
    <row r="2403" spans="1:1" x14ac:dyDescent="0.35">
      <c r="A2403" s="4">
        <v>4500160508</v>
      </c>
    </row>
    <row r="2404" spans="1:1" x14ac:dyDescent="0.35">
      <c r="A2404" s="4">
        <v>4500160516</v>
      </c>
    </row>
    <row r="2405" spans="1:1" x14ac:dyDescent="0.35">
      <c r="A2405" s="4">
        <v>4500160524</v>
      </c>
    </row>
    <row r="2406" spans="1:1" x14ac:dyDescent="0.35">
      <c r="A2406" s="4">
        <v>4500160527</v>
      </c>
    </row>
    <row r="2407" spans="1:1" x14ac:dyDescent="0.35">
      <c r="A2407" s="4">
        <v>4500160530</v>
      </c>
    </row>
    <row r="2408" spans="1:1" x14ac:dyDescent="0.35">
      <c r="A2408" s="4">
        <v>4500160532</v>
      </c>
    </row>
    <row r="2409" spans="1:1" x14ac:dyDescent="0.35">
      <c r="A2409" s="4">
        <v>4500160537</v>
      </c>
    </row>
    <row r="2410" spans="1:1" x14ac:dyDescent="0.35">
      <c r="A2410" s="4">
        <v>4500160540</v>
      </c>
    </row>
    <row r="2411" spans="1:1" x14ac:dyDescent="0.35">
      <c r="A2411" s="4">
        <v>4500160542</v>
      </c>
    </row>
    <row r="2412" spans="1:1" x14ac:dyDescent="0.35">
      <c r="A2412" s="4">
        <v>4500160545</v>
      </c>
    </row>
    <row r="2413" spans="1:1" x14ac:dyDescent="0.35">
      <c r="A2413" s="4">
        <v>4500160548</v>
      </c>
    </row>
    <row r="2414" spans="1:1" x14ac:dyDescent="0.35">
      <c r="A2414" s="4">
        <v>4500160560</v>
      </c>
    </row>
    <row r="2415" spans="1:1" x14ac:dyDescent="0.35">
      <c r="A2415" s="4">
        <v>4500160562</v>
      </c>
    </row>
    <row r="2416" spans="1:1" x14ac:dyDescent="0.35">
      <c r="A2416" s="4">
        <v>4500160563</v>
      </c>
    </row>
    <row r="2417" spans="1:1" x14ac:dyDescent="0.35">
      <c r="A2417" s="4">
        <v>4500160566</v>
      </c>
    </row>
    <row r="2418" spans="1:1" x14ac:dyDescent="0.35">
      <c r="A2418" s="4">
        <v>4500160637</v>
      </c>
    </row>
    <row r="2419" spans="1:1" x14ac:dyDescent="0.35">
      <c r="A2419" s="4">
        <v>4500160647</v>
      </c>
    </row>
    <row r="2420" spans="1:1" x14ac:dyDescent="0.35">
      <c r="A2420" s="4">
        <v>4500160650</v>
      </c>
    </row>
    <row r="2421" spans="1:1" x14ac:dyDescent="0.35">
      <c r="A2421" s="4">
        <v>4500160656</v>
      </c>
    </row>
    <row r="2422" spans="1:1" x14ac:dyDescent="0.35">
      <c r="A2422" s="4">
        <v>4500160664</v>
      </c>
    </row>
    <row r="2423" spans="1:1" x14ac:dyDescent="0.35">
      <c r="A2423" s="4">
        <v>4500160666</v>
      </c>
    </row>
    <row r="2424" spans="1:1" x14ac:dyDescent="0.35">
      <c r="A2424" s="4">
        <v>4500160671</v>
      </c>
    </row>
    <row r="2425" spans="1:1" x14ac:dyDescent="0.35">
      <c r="A2425" s="4">
        <v>4500160673</v>
      </c>
    </row>
    <row r="2426" spans="1:1" x14ac:dyDescent="0.35">
      <c r="A2426" s="4">
        <v>4500160679</v>
      </c>
    </row>
    <row r="2427" spans="1:1" x14ac:dyDescent="0.35">
      <c r="A2427" s="4">
        <v>4500160692</v>
      </c>
    </row>
    <row r="2428" spans="1:1" x14ac:dyDescent="0.35">
      <c r="A2428" s="4">
        <v>4500160695</v>
      </c>
    </row>
    <row r="2429" spans="1:1" x14ac:dyDescent="0.35">
      <c r="A2429" s="4">
        <v>4500160703</v>
      </c>
    </row>
    <row r="2430" spans="1:1" x14ac:dyDescent="0.35">
      <c r="A2430" s="4">
        <v>4500160706</v>
      </c>
    </row>
    <row r="2431" spans="1:1" x14ac:dyDescent="0.35">
      <c r="A2431" s="4">
        <v>4500160708</v>
      </c>
    </row>
    <row r="2432" spans="1:1" x14ac:dyDescent="0.35">
      <c r="A2432" s="4">
        <v>4500160712</v>
      </c>
    </row>
    <row r="2433" spans="1:1" x14ac:dyDescent="0.35">
      <c r="A2433" s="4">
        <v>4500160719</v>
      </c>
    </row>
    <row r="2434" spans="1:1" x14ac:dyDescent="0.35">
      <c r="A2434" s="4">
        <v>4500160723</v>
      </c>
    </row>
    <row r="2435" spans="1:1" x14ac:dyDescent="0.35">
      <c r="A2435" s="4">
        <v>4500160728</v>
      </c>
    </row>
    <row r="2436" spans="1:1" x14ac:dyDescent="0.35">
      <c r="A2436" s="4">
        <v>4500160732</v>
      </c>
    </row>
    <row r="2437" spans="1:1" x14ac:dyDescent="0.35">
      <c r="A2437" s="4">
        <v>4500160738</v>
      </c>
    </row>
    <row r="2438" spans="1:1" x14ac:dyDescent="0.35">
      <c r="A2438" s="4">
        <v>4500160743</v>
      </c>
    </row>
    <row r="2439" spans="1:1" x14ac:dyDescent="0.35">
      <c r="A2439" s="4">
        <v>4500160745</v>
      </c>
    </row>
    <row r="2440" spans="1:1" x14ac:dyDescent="0.35">
      <c r="A2440" s="4">
        <v>4500160747</v>
      </c>
    </row>
    <row r="2441" spans="1:1" x14ac:dyDescent="0.35">
      <c r="A2441" s="4">
        <v>4500160748</v>
      </c>
    </row>
    <row r="2442" spans="1:1" x14ac:dyDescent="0.35">
      <c r="A2442" s="4">
        <v>4500160749</v>
      </c>
    </row>
    <row r="2443" spans="1:1" x14ac:dyDescent="0.35">
      <c r="A2443" s="4">
        <v>4500160751</v>
      </c>
    </row>
    <row r="2444" spans="1:1" x14ac:dyDescent="0.35">
      <c r="A2444" s="4">
        <v>4500160752</v>
      </c>
    </row>
    <row r="2445" spans="1:1" x14ac:dyDescent="0.35">
      <c r="A2445" s="4">
        <v>4500160753</v>
      </c>
    </row>
    <row r="2446" spans="1:1" x14ac:dyDescent="0.35">
      <c r="A2446" s="4">
        <v>4500160819</v>
      </c>
    </row>
    <row r="2447" spans="1:1" x14ac:dyDescent="0.35">
      <c r="A2447" s="4">
        <v>4500160825</v>
      </c>
    </row>
    <row r="2448" spans="1:1" x14ac:dyDescent="0.35">
      <c r="A2448" s="4">
        <v>4500160828</v>
      </c>
    </row>
    <row r="2449" spans="1:1" x14ac:dyDescent="0.35">
      <c r="A2449" s="4">
        <v>4500160832</v>
      </c>
    </row>
    <row r="2450" spans="1:1" x14ac:dyDescent="0.35">
      <c r="A2450" s="4">
        <v>4500160839</v>
      </c>
    </row>
    <row r="2451" spans="1:1" x14ac:dyDescent="0.35">
      <c r="A2451" s="4">
        <v>4500160846</v>
      </c>
    </row>
    <row r="2452" spans="1:1" x14ac:dyDescent="0.35">
      <c r="A2452" s="4">
        <v>4500160849</v>
      </c>
    </row>
    <row r="2453" spans="1:1" x14ac:dyDescent="0.35">
      <c r="A2453" s="4">
        <v>4500160852</v>
      </c>
    </row>
    <row r="2454" spans="1:1" x14ac:dyDescent="0.35">
      <c r="A2454" s="4">
        <v>4500160857</v>
      </c>
    </row>
    <row r="2455" spans="1:1" x14ac:dyDescent="0.35">
      <c r="A2455" s="4">
        <v>4500160862</v>
      </c>
    </row>
    <row r="2456" spans="1:1" x14ac:dyDescent="0.35">
      <c r="A2456" s="4">
        <v>4500160867</v>
      </c>
    </row>
    <row r="2457" spans="1:1" x14ac:dyDescent="0.35">
      <c r="A2457" s="4">
        <v>4500160873</v>
      </c>
    </row>
    <row r="2458" spans="1:1" x14ac:dyDescent="0.35">
      <c r="A2458" s="4">
        <v>4500160878</v>
      </c>
    </row>
    <row r="2459" spans="1:1" x14ac:dyDescent="0.35">
      <c r="A2459" s="4">
        <v>4500160883</v>
      </c>
    </row>
    <row r="2460" spans="1:1" x14ac:dyDescent="0.35">
      <c r="A2460" s="4">
        <v>4500160885</v>
      </c>
    </row>
    <row r="2461" spans="1:1" x14ac:dyDescent="0.35">
      <c r="A2461" s="4">
        <v>4500160887</v>
      </c>
    </row>
    <row r="2462" spans="1:1" x14ac:dyDescent="0.35">
      <c r="A2462" s="4">
        <v>4500160890</v>
      </c>
    </row>
    <row r="2463" spans="1:1" x14ac:dyDescent="0.35">
      <c r="A2463" s="4">
        <v>4500160893</v>
      </c>
    </row>
    <row r="2464" spans="1:1" x14ac:dyDescent="0.35">
      <c r="A2464" s="4">
        <v>4500160896</v>
      </c>
    </row>
    <row r="2465" spans="1:1" x14ac:dyDescent="0.35">
      <c r="A2465" s="4">
        <v>4500160899</v>
      </c>
    </row>
    <row r="2466" spans="1:1" x14ac:dyDescent="0.35">
      <c r="A2466" s="4">
        <v>4500160906</v>
      </c>
    </row>
    <row r="2467" spans="1:1" x14ac:dyDescent="0.35">
      <c r="A2467" s="4">
        <v>4500160909</v>
      </c>
    </row>
    <row r="2468" spans="1:1" x14ac:dyDescent="0.35">
      <c r="A2468" s="4">
        <v>4500160919</v>
      </c>
    </row>
    <row r="2469" spans="1:1" x14ac:dyDescent="0.35">
      <c r="A2469" s="4">
        <v>4500160922</v>
      </c>
    </row>
    <row r="2470" spans="1:1" x14ac:dyDescent="0.35">
      <c r="A2470" s="4">
        <v>4500160924</v>
      </c>
    </row>
    <row r="2471" spans="1:1" x14ac:dyDescent="0.35">
      <c r="A2471" s="4">
        <v>4500160927</v>
      </c>
    </row>
    <row r="2472" spans="1:1" x14ac:dyDescent="0.35">
      <c r="A2472" s="4">
        <v>4500160929</v>
      </c>
    </row>
    <row r="2473" spans="1:1" x14ac:dyDescent="0.35">
      <c r="A2473" s="4">
        <v>4500160932</v>
      </c>
    </row>
    <row r="2474" spans="1:1" x14ac:dyDescent="0.35">
      <c r="A2474" s="4">
        <v>4500160934</v>
      </c>
    </row>
    <row r="2475" spans="1:1" x14ac:dyDescent="0.35">
      <c r="A2475" s="4">
        <v>4500160935</v>
      </c>
    </row>
    <row r="2476" spans="1:1" x14ac:dyDescent="0.35">
      <c r="A2476" s="4">
        <v>4500160936</v>
      </c>
    </row>
    <row r="2477" spans="1:1" x14ac:dyDescent="0.35">
      <c r="A2477" s="4">
        <v>4500160937</v>
      </c>
    </row>
    <row r="2478" spans="1:1" x14ac:dyDescent="0.35">
      <c r="A2478" s="4">
        <v>4500160938</v>
      </c>
    </row>
    <row r="2479" spans="1:1" x14ac:dyDescent="0.35">
      <c r="A2479" s="4">
        <v>4500160939</v>
      </c>
    </row>
    <row r="2480" spans="1:1" x14ac:dyDescent="0.35">
      <c r="A2480" s="4">
        <v>4500160940</v>
      </c>
    </row>
    <row r="2481" spans="1:1" x14ac:dyDescent="0.35">
      <c r="A2481" s="4">
        <v>4500160941</v>
      </c>
    </row>
    <row r="2482" spans="1:1" x14ac:dyDescent="0.35">
      <c r="A2482" s="4">
        <v>4500160943</v>
      </c>
    </row>
    <row r="2483" spans="1:1" x14ac:dyDescent="0.35">
      <c r="A2483" s="4">
        <v>4500160948</v>
      </c>
    </row>
    <row r="2484" spans="1:1" x14ac:dyDescent="0.35">
      <c r="A2484" s="4">
        <v>4500160953</v>
      </c>
    </row>
    <row r="2485" spans="1:1" x14ac:dyDescent="0.35">
      <c r="A2485" s="4">
        <v>4500161010</v>
      </c>
    </row>
    <row r="2486" spans="1:1" x14ac:dyDescent="0.35">
      <c r="A2486" s="4">
        <v>4500161019</v>
      </c>
    </row>
    <row r="2487" spans="1:1" x14ac:dyDescent="0.35">
      <c r="A2487" s="4">
        <v>4500161021</v>
      </c>
    </row>
    <row r="2488" spans="1:1" x14ac:dyDescent="0.35">
      <c r="A2488" s="4">
        <v>4500161026</v>
      </c>
    </row>
    <row r="2489" spans="1:1" x14ac:dyDescent="0.35">
      <c r="A2489" s="4">
        <v>4500161030</v>
      </c>
    </row>
    <row r="2490" spans="1:1" x14ac:dyDescent="0.35">
      <c r="A2490" s="4">
        <v>4500161036</v>
      </c>
    </row>
    <row r="2491" spans="1:1" x14ac:dyDescent="0.35">
      <c r="A2491" s="4">
        <v>4500161040</v>
      </c>
    </row>
    <row r="2492" spans="1:1" x14ac:dyDescent="0.35">
      <c r="A2492" s="4">
        <v>4500161047</v>
      </c>
    </row>
    <row r="2493" spans="1:1" x14ac:dyDescent="0.35">
      <c r="A2493" s="4">
        <v>4500161051</v>
      </c>
    </row>
    <row r="2494" spans="1:1" x14ac:dyDescent="0.35">
      <c r="A2494" s="4">
        <v>4500161054</v>
      </c>
    </row>
    <row r="2495" spans="1:1" x14ac:dyDescent="0.35">
      <c r="A2495" s="4">
        <v>4500161062</v>
      </c>
    </row>
    <row r="2496" spans="1:1" x14ac:dyDescent="0.35">
      <c r="A2496" s="4">
        <v>4500161066</v>
      </c>
    </row>
    <row r="2497" spans="1:1" x14ac:dyDescent="0.35">
      <c r="A2497" s="4">
        <v>4500161068</v>
      </c>
    </row>
    <row r="2498" spans="1:1" x14ac:dyDescent="0.35">
      <c r="A2498" s="4">
        <v>4500161071</v>
      </c>
    </row>
    <row r="2499" spans="1:1" x14ac:dyDescent="0.35">
      <c r="A2499" s="4">
        <v>4500161075</v>
      </c>
    </row>
    <row r="2500" spans="1:1" x14ac:dyDescent="0.35">
      <c r="A2500" s="4">
        <v>4500161079</v>
      </c>
    </row>
    <row r="2501" spans="1:1" x14ac:dyDescent="0.35">
      <c r="A2501" s="4">
        <v>4500161086</v>
      </c>
    </row>
    <row r="2502" spans="1:1" x14ac:dyDescent="0.35">
      <c r="A2502" s="4">
        <v>4500161090</v>
      </c>
    </row>
    <row r="2503" spans="1:1" x14ac:dyDescent="0.35">
      <c r="A2503" s="4">
        <v>4500161097</v>
      </c>
    </row>
    <row r="2504" spans="1:1" x14ac:dyDescent="0.35">
      <c r="A2504" s="4">
        <v>4500161100</v>
      </c>
    </row>
    <row r="2505" spans="1:1" x14ac:dyDescent="0.35">
      <c r="A2505" s="4">
        <v>4500161103</v>
      </c>
    </row>
    <row r="2506" spans="1:1" x14ac:dyDescent="0.35">
      <c r="A2506" s="4">
        <v>4500161109</v>
      </c>
    </row>
    <row r="2507" spans="1:1" x14ac:dyDescent="0.35">
      <c r="A2507" s="4">
        <v>4500161112</v>
      </c>
    </row>
    <row r="2508" spans="1:1" x14ac:dyDescent="0.35">
      <c r="A2508" s="4">
        <v>4500161120</v>
      </c>
    </row>
    <row r="2509" spans="1:1" x14ac:dyDescent="0.35">
      <c r="A2509" s="4">
        <v>4500161123</v>
      </c>
    </row>
    <row r="2510" spans="1:1" x14ac:dyDescent="0.35">
      <c r="A2510" s="4">
        <v>4500161124</v>
      </c>
    </row>
    <row r="2511" spans="1:1" x14ac:dyDescent="0.35">
      <c r="A2511" s="4">
        <v>4500161127</v>
      </c>
    </row>
    <row r="2512" spans="1:1" x14ac:dyDescent="0.35">
      <c r="A2512" s="4">
        <v>4500161129</v>
      </c>
    </row>
    <row r="2513" spans="1:1" x14ac:dyDescent="0.35">
      <c r="A2513" s="4">
        <v>4500161136</v>
      </c>
    </row>
    <row r="2514" spans="1:1" x14ac:dyDescent="0.35">
      <c r="A2514" s="4">
        <v>4500161138</v>
      </c>
    </row>
    <row r="2515" spans="1:1" x14ac:dyDescent="0.35">
      <c r="A2515" s="4">
        <v>4500161140</v>
      </c>
    </row>
    <row r="2516" spans="1:1" x14ac:dyDescent="0.35">
      <c r="A2516" s="4">
        <v>4500161142</v>
      </c>
    </row>
    <row r="2517" spans="1:1" x14ac:dyDescent="0.35">
      <c r="A2517" s="4">
        <v>4500161148</v>
      </c>
    </row>
    <row r="2518" spans="1:1" x14ac:dyDescent="0.35">
      <c r="A2518" s="4">
        <v>4500161150</v>
      </c>
    </row>
    <row r="2519" spans="1:1" x14ac:dyDescent="0.35">
      <c r="A2519" s="4">
        <v>4500161153</v>
      </c>
    </row>
    <row r="2520" spans="1:1" x14ac:dyDescent="0.35">
      <c r="A2520" s="4">
        <v>4500161163</v>
      </c>
    </row>
    <row r="2521" spans="1:1" x14ac:dyDescent="0.35">
      <c r="A2521" s="4">
        <v>4500161222</v>
      </c>
    </row>
    <row r="2522" spans="1:1" x14ac:dyDescent="0.35">
      <c r="A2522" s="4">
        <v>4500161227</v>
      </c>
    </row>
    <row r="2523" spans="1:1" x14ac:dyDescent="0.35">
      <c r="A2523" s="4">
        <v>4500161232</v>
      </c>
    </row>
    <row r="2524" spans="1:1" x14ac:dyDescent="0.35">
      <c r="A2524" s="4">
        <v>4500161235</v>
      </c>
    </row>
    <row r="2525" spans="1:1" x14ac:dyDescent="0.35">
      <c r="A2525" s="4">
        <v>4500161241</v>
      </c>
    </row>
    <row r="2526" spans="1:1" x14ac:dyDescent="0.35">
      <c r="A2526" s="4">
        <v>4500161243</v>
      </c>
    </row>
    <row r="2527" spans="1:1" x14ac:dyDescent="0.35">
      <c r="A2527" s="4">
        <v>4500161247</v>
      </c>
    </row>
    <row r="2528" spans="1:1" x14ac:dyDescent="0.35">
      <c r="A2528" s="4">
        <v>4500161251</v>
      </c>
    </row>
    <row r="2529" spans="1:1" x14ac:dyDescent="0.35">
      <c r="A2529" s="4">
        <v>4500161256</v>
      </c>
    </row>
    <row r="2530" spans="1:1" x14ac:dyDescent="0.35">
      <c r="A2530" s="4">
        <v>4500161262</v>
      </c>
    </row>
    <row r="2531" spans="1:1" x14ac:dyDescent="0.35">
      <c r="A2531" s="4">
        <v>4500161267</v>
      </c>
    </row>
    <row r="2532" spans="1:1" x14ac:dyDescent="0.35">
      <c r="A2532" s="4">
        <v>4500161275</v>
      </c>
    </row>
    <row r="2533" spans="1:1" x14ac:dyDescent="0.35">
      <c r="A2533" s="4">
        <v>4500161279</v>
      </c>
    </row>
    <row r="2534" spans="1:1" x14ac:dyDescent="0.35">
      <c r="A2534" s="4">
        <v>4500161283</v>
      </c>
    </row>
    <row r="2535" spans="1:1" x14ac:dyDescent="0.35">
      <c r="A2535" s="4">
        <v>4500161290</v>
      </c>
    </row>
    <row r="2536" spans="1:1" x14ac:dyDescent="0.35">
      <c r="A2536" s="4">
        <v>4500161293</v>
      </c>
    </row>
    <row r="2537" spans="1:1" x14ac:dyDescent="0.35">
      <c r="A2537" s="4">
        <v>4500161297</v>
      </c>
    </row>
    <row r="2538" spans="1:1" x14ac:dyDescent="0.35">
      <c r="A2538" s="4">
        <v>4500161302</v>
      </c>
    </row>
    <row r="2539" spans="1:1" x14ac:dyDescent="0.35">
      <c r="A2539" s="4">
        <v>4500161307</v>
      </c>
    </row>
    <row r="2540" spans="1:1" x14ac:dyDescent="0.35">
      <c r="A2540" s="4">
        <v>4500161309</v>
      </c>
    </row>
    <row r="2541" spans="1:1" x14ac:dyDescent="0.35">
      <c r="A2541" s="4">
        <v>4500161310</v>
      </c>
    </row>
    <row r="2542" spans="1:1" x14ac:dyDescent="0.35">
      <c r="A2542" s="4">
        <v>4500161317</v>
      </c>
    </row>
    <row r="2543" spans="1:1" x14ac:dyDescent="0.35">
      <c r="A2543" s="4">
        <v>4500161322</v>
      </c>
    </row>
    <row r="2544" spans="1:1" x14ac:dyDescent="0.35">
      <c r="A2544" s="4">
        <v>4500161325</v>
      </c>
    </row>
    <row r="2545" spans="1:1" x14ac:dyDescent="0.35">
      <c r="A2545" s="4">
        <v>4500161328</v>
      </c>
    </row>
    <row r="2546" spans="1:1" x14ac:dyDescent="0.35">
      <c r="A2546" s="4">
        <v>4500161335</v>
      </c>
    </row>
    <row r="2547" spans="1:1" x14ac:dyDescent="0.35">
      <c r="A2547" s="4">
        <v>4500161338</v>
      </c>
    </row>
    <row r="2548" spans="1:1" x14ac:dyDescent="0.35">
      <c r="A2548" s="4">
        <v>4500161340</v>
      </c>
    </row>
    <row r="2549" spans="1:1" x14ac:dyDescent="0.35">
      <c r="A2549" s="4">
        <v>4500161343</v>
      </c>
    </row>
    <row r="2550" spans="1:1" x14ac:dyDescent="0.35">
      <c r="A2550" s="4">
        <v>4500161345</v>
      </c>
    </row>
    <row r="2551" spans="1:1" x14ac:dyDescent="0.35">
      <c r="A2551" s="4">
        <v>4500161348</v>
      </c>
    </row>
    <row r="2552" spans="1:1" x14ac:dyDescent="0.35">
      <c r="A2552" s="4">
        <v>4500161349</v>
      </c>
    </row>
    <row r="2553" spans="1:1" x14ac:dyDescent="0.35">
      <c r="A2553" s="4">
        <v>4500161350</v>
      </c>
    </row>
    <row r="2554" spans="1:1" x14ac:dyDescent="0.35">
      <c r="A2554" s="4">
        <v>4500161351</v>
      </c>
    </row>
    <row r="2555" spans="1:1" x14ac:dyDescent="0.35">
      <c r="A2555" s="4">
        <v>4500161354</v>
      </c>
    </row>
    <row r="2556" spans="1:1" x14ac:dyDescent="0.35">
      <c r="A2556" s="4">
        <v>4500161429</v>
      </c>
    </row>
    <row r="2557" spans="1:1" x14ac:dyDescent="0.35">
      <c r="A2557" s="4">
        <v>4500161433</v>
      </c>
    </row>
    <row r="2558" spans="1:1" x14ac:dyDescent="0.35">
      <c r="A2558" s="4">
        <v>4500161443</v>
      </c>
    </row>
    <row r="2559" spans="1:1" x14ac:dyDescent="0.35">
      <c r="A2559" s="4">
        <v>4500161448</v>
      </c>
    </row>
    <row r="2560" spans="1:1" x14ac:dyDescent="0.35">
      <c r="A2560" s="4">
        <v>4500161456</v>
      </c>
    </row>
    <row r="2561" spans="1:1" x14ac:dyDescent="0.35">
      <c r="A2561" s="4">
        <v>4500161463</v>
      </c>
    </row>
    <row r="2562" spans="1:1" x14ac:dyDescent="0.35">
      <c r="A2562" s="4">
        <v>4500161465</v>
      </c>
    </row>
    <row r="2563" spans="1:1" x14ac:dyDescent="0.35">
      <c r="A2563" s="4">
        <v>4500161471</v>
      </c>
    </row>
    <row r="2564" spans="1:1" x14ac:dyDescent="0.35">
      <c r="A2564" s="4">
        <v>4500161476</v>
      </c>
    </row>
    <row r="2565" spans="1:1" x14ac:dyDescent="0.35">
      <c r="A2565" s="4">
        <v>4500161484</v>
      </c>
    </row>
    <row r="2566" spans="1:1" x14ac:dyDescent="0.35">
      <c r="A2566" s="4">
        <v>4500161488</v>
      </c>
    </row>
    <row r="2567" spans="1:1" x14ac:dyDescent="0.35">
      <c r="A2567" s="4">
        <v>4500161492</v>
      </c>
    </row>
    <row r="2568" spans="1:1" x14ac:dyDescent="0.35">
      <c r="A2568" s="4">
        <v>4500161503</v>
      </c>
    </row>
    <row r="2569" spans="1:1" x14ac:dyDescent="0.35">
      <c r="A2569" s="4">
        <v>4500161511</v>
      </c>
    </row>
    <row r="2570" spans="1:1" x14ac:dyDescent="0.35">
      <c r="A2570" s="4">
        <v>4500161513</v>
      </c>
    </row>
    <row r="2571" spans="1:1" x14ac:dyDescent="0.35">
      <c r="A2571" s="4">
        <v>4500161517</v>
      </c>
    </row>
    <row r="2572" spans="1:1" x14ac:dyDescent="0.35">
      <c r="A2572" s="4">
        <v>4500161526</v>
      </c>
    </row>
    <row r="2573" spans="1:1" x14ac:dyDescent="0.35">
      <c r="A2573" s="4">
        <v>4500161528</v>
      </c>
    </row>
    <row r="2574" spans="1:1" x14ac:dyDescent="0.35">
      <c r="A2574" s="4">
        <v>4500161530</v>
      </c>
    </row>
    <row r="2575" spans="1:1" x14ac:dyDescent="0.35">
      <c r="A2575" s="4">
        <v>4500161533</v>
      </c>
    </row>
    <row r="2576" spans="1:1" x14ac:dyDescent="0.35">
      <c r="A2576" s="4">
        <v>4500161538</v>
      </c>
    </row>
    <row r="2577" spans="1:1" x14ac:dyDescent="0.35">
      <c r="A2577" s="4">
        <v>4500161541</v>
      </c>
    </row>
    <row r="2578" spans="1:1" x14ac:dyDescent="0.35">
      <c r="A2578" s="4">
        <v>4500161543</v>
      </c>
    </row>
    <row r="2579" spans="1:1" x14ac:dyDescent="0.35">
      <c r="A2579" s="4">
        <v>4500161547</v>
      </c>
    </row>
    <row r="2580" spans="1:1" x14ac:dyDescent="0.35">
      <c r="A2580" s="4">
        <v>4500161551</v>
      </c>
    </row>
    <row r="2581" spans="1:1" x14ac:dyDescent="0.35">
      <c r="A2581" s="4">
        <v>4500161553</v>
      </c>
    </row>
    <row r="2582" spans="1:1" x14ac:dyDescent="0.35">
      <c r="A2582" s="4">
        <v>4500161554</v>
      </c>
    </row>
    <row r="2583" spans="1:1" x14ac:dyDescent="0.35">
      <c r="A2583" s="4">
        <v>4500161556</v>
      </c>
    </row>
    <row r="2584" spans="1:1" x14ac:dyDescent="0.35">
      <c r="A2584" s="4">
        <v>4500161560</v>
      </c>
    </row>
    <row r="2585" spans="1:1" x14ac:dyDescent="0.35">
      <c r="A2585" s="4">
        <v>4500161563</v>
      </c>
    </row>
    <row r="2586" spans="1:1" x14ac:dyDescent="0.35">
      <c r="A2586" s="4">
        <v>4500161565</v>
      </c>
    </row>
    <row r="2587" spans="1:1" x14ac:dyDescent="0.35">
      <c r="A2587" s="4">
        <v>4500161566</v>
      </c>
    </row>
    <row r="2588" spans="1:1" x14ac:dyDescent="0.35">
      <c r="A2588" s="4">
        <v>4500161569</v>
      </c>
    </row>
    <row r="2589" spans="1:1" x14ac:dyDescent="0.35">
      <c r="A2589" s="4">
        <v>4500161571</v>
      </c>
    </row>
    <row r="2590" spans="1:1" x14ac:dyDescent="0.35">
      <c r="A2590" s="4">
        <v>4500161573</v>
      </c>
    </row>
    <row r="2591" spans="1:1" x14ac:dyDescent="0.35">
      <c r="A2591" s="4">
        <v>4500161575</v>
      </c>
    </row>
    <row r="2592" spans="1:1" x14ac:dyDescent="0.35">
      <c r="A2592" s="4">
        <v>4500161654</v>
      </c>
    </row>
    <row r="2593" spans="1:1" x14ac:dyDescent="0.35">
      <c r="A2593" s="4">
        <v>4500161658</v>
      </c>
    </row>
    <row r="2594" spans="1:1" x14ac:dyDescent="0.35">
      <c r="A2594" s="4">
        <v>4500161662</v>
      </c>
    </row>
    <row r="2595" spans="1:1" x14ac:dyDescent="0.35">
      <c r="A2595" s="4">
        <v>4500161669</v>
      </c>
    </row>
    <row r="2596" spans="1:1" x14ac:dyDescent="0.35">
      <c r="A2596" s="4">
        <v>4500161674</v>
      </c>
    </row>
    <row r="2597" spans="1:1" x14ac:dyDescent="0.35">
      <c r="A2597" s="4">
        <v>4500161677</v>
      </c>
    </row>
    <row r="2598" spans="1:1" x14ac:dyDescent="0.35">
      <c r="A2598" s="4">
        <v>4500161679</v>
      </c>
    </row>
    <row r="2599" spans="1:1" x14ac:dyDescent="0.35">
      <c r="A2599" s="4">
        <v>4500161684</v>
      </c>
    </row>
    <row r="2600" spans="1:1" x14ac:dyDescent="0.35">
      <c r="A2600" s="4">
        <v>4500161694</v>
      </c>
    </row>
    <row r="2601" spans="1:1" x14ac:dyDescent="0.35">
      <c r="A2601" s="4">
        <v>4500161699</v>
      </c>
    </row>
    <row r="2602" spans="1:1" x14ac:dyDescent="0.35">
      <c r="A2602" s="4">
        <v>4500161705</v>
      </c>
    </row>
    <row r="2603" spans="1:1" x14ac:dyDescent="0.35">
      <c r="A2603" s="4">
        <v>4500161710</v>
      </c>
    </row>
    <row r="2604" spans="1:1" x14ac:dyDescent="0.35">
      <c r="A2604" s="4">
        <v>4500161714</v>
      </c>
    </row>
    <row r="2605" spans="1:1" x14ac:dyDescent="0.35">
      <c r="A2605" s="4">
        <v>4500161718</v>
      </c>
    </row>
    <row r="2606" spans="1:1" x14ac:dyDescent="0.35">
      <c r="A2606" s="4">
        <v>4500161721</v>
      </c>
    </row>
    <row r="2607" spans="1:1" x14ac:dyDescent="0.35">
      <c r="A2607" s="4">
        <v>4500161728</v>
      </c>
    </row>
    <row r="2608" spans="1:1" x14ac:dyDescent="0.35">
      <c r="A2608" s="4">
        <v>4500161733</v>
      </c>
    </row>
    <row r="2609" spans="1:1" x14ac:dyDescent="0.35">
      <c r="A2609" s="4">
        <v>4500161736</v>
      </c>
    </row>
    <row r="2610" spans="1:1" x14ac:dyDescent="0.35">
      <c r="A2610" s="4">
        <v>4500161740</v>
      </c>
    </row>
    <row r="2611" spans="1:1" x14ac:dyDescent="0.35">
      <c r="A2611" s="4">
        <v>4500161744</v>
      </c>
    </row>
    <row r="2612" spans="1:1" x14ac:dyDescent="0.35">
      <c r="A2612" s="4">
        <v>4500161746</v>
      </c>
    </row>
    <row r="2613" spans="1:1" x14ac:dyDescent="0.35">
      <c r="A2613" s="4">
        <v>4500161749</v>
      </c>
    </row>
    <row r="2614" spans="1:1" x14ac:dyDescent="0.35">
      <c r="A2614" s="4">
        <v>4500161770</v>
      </c>
    </row>
    <row r="2615" spans="1:1" x14ac:dyDescent="0.35">
      <c r="A2615" s="4">
        <v>4500161774</v>
      </c>
    </row>
    <row r="2616" spans="1:1" x14ac:dyDescent="0.35">
      <c r="A2616" s="4">
        <v>4500161777</v>
      </c>
    </row>
    <row r="2617" spans="1:1" x14ac:dyDescent="0.35">
      <c r="A2617" s="4">
        <v>4500161779</v>
      </c>
    </row>
    <row r="2618" spans="1:1" x14ac:dyDescent="0.35">
      <c r="A2618" s="4">
        <v>4500161781</v>
      </c>
    </row>
    <row r="2619" spans="1:1" x14ac:dyDescent="0.35">
      <c r="A2619" s="4">
        <v>4500161783</v>
      </c>
    </row>
    <row r="2620" spans="1:1" x14ac:dyDescent="0.35">
      <c r="A2620" s="4">
        <v>4500161864</v>
      </c>
    </row>
    <row r="2621" spans="1:1" x14ac:dyDescent="0.35">
      <c r="A2621" s="4">
        <v>4500161869</v>
      </c>
    </row>
    <row r="2622" spans="1:1" x14ac:dyDescent="0.35">
      <c r="A2622" s="4">
        <v>4500161873</v>
      </c>
    </row>
    <row r="2623" spans="1:1" x14ac:dyDescent="0.35">
      <c r="A2623" s="4">
        <v>4500161880</v>
      </c>
    </row>
    <row r="2624" spans="1:1" x14ac:dyDescent="0.35">
      <c r="A2624" s="4">
        <v>4500161888</v>
      </c>
    </row>
    <row r="2625" spans="1:1" x14ac:dyDescent="0.35">
      <c r="A2625" s="4">
        <v>4500161892</v>
      </c>
    </row>
    <row r="2626" spans="1:1" x14ac:dyDescent="0.35">
      <c r="A2626" s="4">
        <v>4500161897</v>
      </c>
    </row>
    <row r="2627" spans="1:1" x14ac:dyDescent="0.35">
      <c r="A2627" s="4">
        <v>4500161900</v>
      </c>
    </row>
    <row r="2628" spans="1:1" x14ac:dyDescent="0.35">
      <c r="A2628" s="4">
        <v>4500161905</v>
      </c>
    </row>
    <row r="2629" spans="1:1" x14ac:dyDescent="0.35">
      <c r="A2629" s="4">
        <v>4500161910</v>
      </c>
    </row>
    <row r="2630" spans="1:1" x14ac:dyDescent="0.35">
      <c r="A2630" s="4">
        <v>4500161914</v>
      </c>
    </row>
    <row r="2631" spans="1:1" x14ac:dyDescent="0.35">
      <c r="A2631" s="4">
        <v>4500161920</v>
      </c>
    </row>
    <row r="2632" spans="1:1" x14ac:dyDescent="0.35">
      <c r="A2632" s="4">
        <v>4500161924</v>
      </c>
    </row>
    <row r="2633" spans="1:1" x14ac:dyDescent="0.35">
      <c r="A2633" s="4">
        <v>4500161933</v>
      </c>
    </row>
    <row r="2634" spans="1:1" x14ac:dyDescent="0.35">
      <c r="A2634" s="4">
        <v>4500161943</v>
      </c>
    </row>
    <row r="2635" spans="1:1" x14ac:dyDescent="0.35">
      <c r="A2635" s="4">
        <v>4500161949</v>
      </c>
    </row>
    <row r="2636" spans="1:1" x14ac:dyDescent="0.35">
      <c r="A2636" s="4">
        <v>4500161964</v>
      </c>
    </row>
    <row r="2637" spans="1:1" x14ac:dyDescent="0.35">
      <c r="A2637" s="4">
        <v>4500161967</v>
      </c>
    </row>
    <row r="2638" spans="1:1" x14ac:dyDescent="0.35">
      <c r="A2638" s="4">
        <v>4500161973</v>
      </c>
    </row>
    <row r="2639" spans="1:1" x14ac:dyDescent="0.35">
      <c r="A2639" s="4">
        <v>4500161976</v>
      </c>
    </row>
    <row r="2640" spans="1:1" x14ac:dyDescent="0.35">
      <c r="A2640" s="4">
        <v>4500161980</v>
      </c>
    </row>
    <row r="2641" spans="1:1" x14ac:dyDescent="0.35">
      <c r="A2641" s="4">
        <v>4500161985</v>
      </c>
    </row>
    <row r="2642" spans="1:1" x14ac:dyDescent="0.35">
      <c r="A2642" s="4">
        <v>4500161989</v>
      </c>
    </row>
    <row r="2643" spans="1:1" x14ac:dyDescent="0.35">
      <c r="A2643" s="4">
        <v>4500161992</v>
      </c>
    </row>
    <row r="2644" spans="1:1" x14ac:dyDescent="0.35">
      <c r="A2644" s="4">
        <v>4500161994</v>
      </c>
    </row>
    <row r="2645" spans="1:1" x14ac:dyDescent="0.35">
      <c r="A2645" s="4">
        <v>4500161996</v>
      </c>
    </row>
    <row r="2646" spans="1:1" x14ac:dyDescent="0.35">
      <c r="A2646" s="4">
        <v>4500161998</v>
      </c>
    </row>
    <row r="2647" spans="1:1" x14ac:dyDescent="0.35">
      <c r="A2647" s="4">
        <v>4500162011</v>
      </c>
    </row>
    <row r="2648" spans="1:1" x14ac:dyDescent="0.35">
      <c r="A2648" s="4">
        <v>4500162012</v>
      </c>
    </row>
    <row r="2649" spans="1:1" x14ac:dyDescent="0.35">
      <c r="A2649" s="4">
        <v>4500162015</v>
      </c>
    </row>
    <row r="2650" spans="1:1" x14ac:dyDescent="0.35">
      <c r="A2650" s="4">
        <v>4500162020</v>
      </c>
    </row>
    <row r="2651" spans="1:1" x14ac:dyDescent="0.35">
      <c r="A2651" s="4">
        <v>4500162082</v>
      </c>
    </row>
    <row r="2652" spans="1:1" x14ac:dyDescent="0.35">
      <c r="A2652" s="4">
        <v>4500162089</v>
      </c>
    </row>
    <row r="2653" spans="1:1" x14ac:dyDescent="0.35">
      <c r="A2653" s="4">
        <v>4500162099</v>
      </c>
    </row>
    <row r="2654" spans="1:1" x14ac:dyDescent="0.35">
      <c r="A2654" s="4">
        <v>4500162105</v>
      </c>
    </row>
    <row r="2655" spans="1:1" x14ac:dyDescent="0.35">
      <c r="A2655" s="4">
        <v>4500162111</v>
      </c>
    </row>
    <row r="2656" spans="1:1" x14ac:dyDescent="0.35">
      <c r="A2656" s="4">
        <v>4500162118</v>
      </c>
    </row>
    <row r="2657" spans="1:1" x14ac:dyDescent="0.35">
      <c r="A2657" s="4">
        <v>4500162122</v>
      </c>
    </row>
    <row r="2658" spans="1:1" x14ac:dyDescent="0.35">
      <c r="A2658" s="4">
        <v>4500162127</v>
      </c>
    </row>
    <row r="2659" spans="1:1" x14ac:dyDescent="0.35">
      <c r="A2659" s="4">
        <v>4500162131</v>
      </c>
    </row>
    <row r="2660" spans="1:1" x14ac:dyDescent="0.35">
      <c r="A2660" s="4">
        <v>4500162136</v>
      </c>
    </row>
    <row r="2661" spans="1:1" x14ac:dyDescent="0.35">
      <c r="A2661" s="4">
        <v>4500162140</v>
      </c>
    </row>
    <row r="2662" spans="1:1" x14ac:dyDescent="0.35">
      <c r="A2662" s="4">
        <v>4500162155</v>
      </c>
    </row>
    <row r="2663" spans="1:1" x14ac:dyDescent="0.35">
      <c r="A2663" s="4">
        <v>4500162164</v>
      </c>
    </row>
    <row r="2664" spans="1:1" x14ac:dyDescent="0.35">
      <c r="A2664" s="4">
        <v>4500162168</v>
      </c>
    </row>
    <row r="2665" spans="1:1" x14ac:dyDescent="0.35">
      <c r="A2665" s="4">
        <v>4500162173</v>
      </c>
    </row>
    <row r="2666" spans="1:1" x14ac:dyDescent="0.35">
      <c r="A2666" s="4">
        <v>4500162177</v>
      </c>
    </row>
    <row r="2667" spans="1:1" x14ac:dyDescent="0.35">
      <c r="A2667" s="4">
        <v>4500162180</v>
      </c>
    </row>
    <row r="2668" spans="1:1" x14ac:dyDescent="0.35">
      <c r="A2668" s="4">
        <v>4500162183</v>
      </c>
    </row>
    <row r="2669" spans="1:1" x14ac:dyDescent="0.35">
      <c r="A2669" s="4">
        <v>4500162186</v>
      </c>
    </row>
    <row r="2670" spans="1:1" x14ac:dyDescent="0.35">
      <c r="A2670" s="4">
        <v>4500162189</v>
      </c>
    </row>
    <row r="2671" spans="1:1" x14ac:dyDescent="0.35">
      <c r="A2671" s="4">
        <v>4500162193</v>
      </c>
    </row>
    <row r="2672" spans="1:1" x14ac:dyDescent="0.35">
      <c r="A2672" s="4">
        <v>4500162197</v>
      </c>
    </row>
    <row r="2673" spans="1:1" x14ac:dyDescent="0.35">
      <c r="A2673" s="4">
        <v>4500162200</v>
      </c>
    </row>
    <row r="2674" spans="1:1" x14ac:dyDescent="0.35">
      <c r="A2674" s="4">
        <v>4500162202</v>
      </c>
    </row>
    <row r="2675" spans="1:1" x14ac:dyDescent="0.35">
      <c r="A2675" s="4">
        <v>4500162203</v>
      </c>
    </row>
    <row r="2676" spans="1:1" x14ac:dyDescent="0.35">
      <c r="A2676" s="4">
        <v>4500162208</v>
      </c>
    </row>
    <row r="2677" spans="1:1" x14ac:dyDescent="0.35">
      <c r="A2677" s="4">
        <v>4500162210</v>
      </c>
    </row>
    <row r="2678" spans="1:1" x14ac:dyDescent="0.35">
      <c r="A2678" s="4">
        <v>4500162219</v>
      </c>
    </row>
    <row r="2679" spans="1:1" x14ac:dyDescent="0.35">
      <c r="A2679" s="4">
        <v>4500162220</v>
      </c>
    </row>
    <row r="2680" spans="1:1" x14ac:dyDescent="0.35">
      <c r="A2680" s="4">
        <v>4500162222</v>
      </c>
    </row>
    <row r="2681" spans="1:1" x14ac:dyDescent="0.35">
      <c r="A2681" s="4">
        <v>4500162223</v>
      </c>
    </row>
    <row r="2682" spans="1:1" x14ac:dyDescent="0.35">
      <c r="A2682" s="4">
        <v>4500162224</v>
      </c>
    </row>
    <row r="2683" spans="1:1" x14ac:dyDescent="0.35">
      <c r="A2683" s="4">
        <v>4500162225</v>
      </c>
    </row>
    <row r="2684" spans="1:1" x14ac:dyDescent="0.35">
      <c r="A2684" s="4">
        <v>4500162279</v>
      </c>
    </row>
    <row r="2685" spans="1:1" x14ac:dyDescent="0.35">
      <c r="A2685" s="4">
        <v>4500162289</v>
      </c>
    </row>
    <row r="2686" spans="1:1" x14ac:dyDescent="0.35">
      <c r="A2686" s="4">
        <v>4500162295</v>
      </c>
    </row>
    <row r="2687" spans="1:1" x14ac:dyDescent="0.35">
      <c r="A2687" s="4">
        <v>4500162299</v>
      </c>
    </row>
    <row r="2688" spans="1:1" x14ac:dyDescent="0.35">
      <c r="A2688" s="4">
        <v>4500162302</v>
      </c>
    </row>
    <row r="2689" spans="1:1" x14ac:dyDescent="0.35">
      <c r="A2689" s="4">
        <v>4500162306</v>
      </c>
    </row>
    <row r="2690" spans="1:1" x14ac:dyDescent="0.35">
      <c r="A2690" s="4">
        <v>4500162313</v>
      </c>
    </row>
    <row r="2691" spans="1:1" x14ac:dyDescent="0.35">
      <c r="A2691" s="4">
        <v>4500162319</v>
      </c>
    </row>
    <row r="2692" spans="1:1" x14ac:dyDescent="0.35">
      <c r="A2692" s="4">
        <v>4500162322</v>
      </c>
    </row>
    <row r="2693" spans="1:1" x14ac:dyDescent="0.35">
      <c r="A2693" s="4">
        <v>4500162326</v>
      </c>
    </row>
    <row r="2694" spans="1:1" x14ac:dyDescent="0.35">
      <c r="A2694" s="4">
        <v>4500162328</v>
      </c>
    </row>
    <row r="2695" spans="1:1" x14ac:dyDescent="0.35">
      <c r="A2695" s="4">
        <v>4500162336</v>
      </c>
    </row>
    <row r="2696" spans="1:1" x14ac:dyDescent="0.35">
      <c r="A2696" s="4">
        <v>4500162343</v>
      </c>
    </row>
    <row r="2697" spans="1:1" x14ac:dyDescent="0.35">
      <c r="A2697" s="4">
        <v>4500162345</v>
      </c>
    </row>
    <row r="2698" spans="1:1" x14ac:dyDescent="0.35">
      <c r="A2698" s="4">
        <v>4500162348</v>
      </c>
    </row>
    <row r="2699" spans="1:1" x14ac:dyDescent="0.35">
      <c r="A2699" s="4">
        <v>4500162355</v>
      </c>
    </row>
    <row r="2700" spans="1:1" x14ac:dyDescent="0.35">
      <c r="A2700" s="4">
        <v>4500162361</v>
      </c>
    </row>
    <row r="2701" spans="1:1" x14ac:dyDescent="0.35">
      <c r="A2701" s="4">
        <v>4500162364</v>
      </c>
    </row>
    <row r="2702" spans="1:1" x14ac:dyDescent="0.35">
      <c r="A2702" s="4">
        <v>4500162366</v>
      </c>
    </row>
    <row r="2703" spans="1:1" x14ac:dyDescent="0.35">
      <c r="A2703" s="4">
        <v>4500162369</v>
      </c>
    </row>
    <row r="2704" spans="1:1" x14ac:dyDescent="0.35">
      <c r="A2704" s="4">
        <v>4500162371</v>
      </c>
    </row>
    <row r="2705" spans="1:1" x14ac:dyDescent="0.35">
      <c r="A2705" s="4">
        <v>4500162378</v>
      </c>
    </row>
    <row r="2706" spans="1:1" x14ac:dyDescent="0.35">
      <c r="A2706" s="4">
        <v>4500162382</v>
      </c>
    </row>
    <row r="2707" spans="1:1" x14ac:dyDescent="0.35">
      <c r="A2707" s="4">
        <v>4500162385</v>
      </c>
    </row>
    <row r="2708" spans="1:1" x14ac:dyDescent="0.35">
      <c r="A2708" s="4">
        <v>4500162389</v>
      </c>
    </row>
    <row r="2709" spans="1:1" x14ac:dyDescent="0.35">
      <c r="A2709" s="4">
        <v>4500162391</v>
      </c>
    </row>
    <row r="2710" spans="1:1" x14ac:dyDescent="0.35">
      <c r="A2710" s="4">
        <v>4500162394</v>
      </c>
    </row>
    <row r="2711" spans="1:1" x14ac:dyDescent="0.35">
      <c r="A2711" s="4">
        <v>4500162401</v>
      </c>
    </row>
    <row r="2712" spans="1:1" x14ac:dyDescent="0.35">
      <c r="A2712" s="4">
        <v>4500162410</v>
      </c>
    </row>
    <row r="2713" spans="1:1" x14ac:dyDescent="0.35">
      <c r="A2713" s="4">
        <v>4500162411</v>
      </c>
    </row>
    <row r="2714" spans="1:1" x14ac:dyDescent="0.35">
      <c r="A2714" s="4">
        <v>4500162415</v>
      </c>
    </row>
    <row r="2715" spans="1:1" x14ac:dyDescent="0.35">
      <c r="A2715" s="4">
        <v>4500162416</v>
      </c>
    </row>
    <row r="2716" spans="1:1" x14ac:dyDescent="0.35">
      <c r="A2716" s="4">
        <v>4500162419</v>
      </c>
    </row>
    <row r="2717" spans="1:1" x14ac:dyDescent="0.35">
      <c r="A2717" s="4">
        <v>4500162420</v>
      </c>
    </row>
    <row r="2718" spans="1:1" x14ac:dyDescent="0.35">
      <c r="A2718" s="4">
        <v>4500162421</v>
      </c>
    </row>
    <row r="2719" spans="1:1" x14ac:dyDescent="0.35">
      <c r="A2719" s="4">
        <v>4500162422</v>
      </c>
    </row>
    <row r="2720" spans="1:1" x14ac:dyDescent="0.35">
      <c r="A2720" s="4">
        <v>4500162425</v>
      </c>
    </row>
    <row r="2721" spans="1:1" x14ac:dyDescent="0.35">
      <c r="A2721" s="4">
        <v>4500162426</v>
      </c>
    </row>
    <row r="2722" spans="1:1" x14ac:dyDescent="0.35">
      <c r="A2722" s="4">
        <v>4500162427</v>
      </c>
    </row>
    <row r="2723" spans="1:1" x14ac:dyDescent="0.35">
      <c r="A2723" s="4">
        <v>4500162428</v>
      </c>
    </row>
    <row r="2724" spans="1:1" x14ac:dyDescent="0.35">
      <c r="A2724" s="4">
        <v>4500162429</v>
      </c>
    </row>
    <row r="2725" spans="1:1" x14ac:dyDescent="0.35">
      <c r="A2725" s="4">
        <v>4500162430</v>
      </c>
    </row>
    <row r="2726" spans="1:1" x14ac:dyDescent="0.35">
      <c r="A2726" s="4">
        <v>4500162433</v>
      </c>
    </row>
    <row r="2727" spans="1:1" x14ac:dyDescent="0.35">
      <c r="A2727" s="4">
        <v>4500162435</v>
      </c>
    </row>
    <row r="2728" spans="1:1" x14ac:dyDescent="0.35">
      <c r="A2728" s="4">
        <v>4500162438</v>
      </c>
    </row>
    <row r="2729" spans="1:1" x14ac:dyDescent="0.35">
      <c r="A2729" s="4">
        <v>4500162502</v>
      </c>
    </row>
    <row r="2730" spans="1:1" x14ac:dyDescent="0.35">
      <c r="A2730" s="4">
        <v>4500162505</v>
      </c>
    </row>
    <row r="2731" spans="1:1" x14ac:dyDescent="0.35">
      <c r="A2731" s="4">
        <v>4500162509</v>
      </c>
    </row>
    <row r="2732" spans="1:1" x14ac:dyDescent="0.35">
      <c r="A2732" s="4">
        <v>4500162514</v>
      </c>
    </row>
    <row r="2733" spans="1:1" x14ac:dyDescent="0.35">
      <c r="A2733" s="4">
        <v>4500162517</v>
      </c>
    </row>
    <row r="2734" spans="1:1" x14ac:dyDescent="0.35">
      <c r="A2734" s="4">
        <v>4500162521</v>
      </c>
    </row>
    <row r="2735" spans="1:1" x14ac:dyDescent="0.35">
      <c r="A2735" s="4">
        <v>4500162526</v>
      </c>
    </row>
    <row r="2736" spans="1:1" x14ac:dyDescent="0.35">
      <c r="A2736" s="4">
        <v>4500162531</v>
      </c>
    </row>
    <row r="2737" spans="1:1" x14ac:dyDescent="0.35">
      <c r="A2737" s="4">
        <v>4500162537</v>
      </c>
    </row>
    <row r="2738" spans="1:1" x14ac:dyDescent="0.35">
      <c r="A2738" s="4">
        <v>4500162540</v>
      </c>
    </row>
    <row r="2739" spans="1:1" x14ac:dyDescent="0.35">
      <c r="A2739" s="4">
        <v>4500162546</v>
      </c>
    </row>
    <row r="2740" spans="1:1" x14ac:dyDescent="0.35">
      <c r="A2740" s="4">
        <v>4500162550</v>
      </c>
    </row>
    <row r="2741" spans="1:1" x14ac:dyDescent="0.35">
      <c r="A2741" s="4">
        <v>4500162553</v>
      </c>
    </row>
    <row r="2742" spans="1:1" x14ac:dyDescent="0.35">
      <c r="A2742" s="4">
        <v>4500162558</v>
      </c>
    </row>
    <row r="2743" spans="1:1" x14ac:dyDescent="0.35">
      <c r="A2743" s="4">
        <v>4500162565</v>
      </c>
    </row>
    <row r="2744" spans="1:1" x14ac:dyDescent="0.35">
      <c r="A2744" s="4">
        <v>4500162573</v>
      </c>
    </row>
    <row r="2745" spans="1:1" x14ac:dyDescent="0.35">
      <c r="A2745" s="4">
        <v>4500162577</v>
      </c>
    </row>
    <row r="2746" spans="1:1" x14ac:dyDescent="0.35">
      <c r="A2746" s="4">
        <v>4500162583</v>
      </c>
    </row>
    <row r="2747" spans="1:1" x14ac:dyDescent="0.35">
      <c r="A2747" s="4">
        <v>4500162587</v>
      </c>
    </row>
    <row r="2748" spans="1:1" x14ac:dyDescent="0.35">
      <c r="A2748" s="4">
        <v>4500162590</v>
      </c>
    </row>
    <row r="2749" spans="1:1" x14ac:dyDescent="0.35">
      <c r="A2749" s="4">
        <v>4500162592</v>
      </c>
    </row>
    <row r="2750" spans="1:1" x14ac:dyDescent="0.35">
      <c r="A2750" s="4">
        <v>4500162599</v>
      </c>
    </row>
    <row r="2751" spans="1:1" x14ac:dyDescent="0.35">
      <c r="A2751" s="4">
        <v>4500162600</v>
      </c>
    </row>
    <row r="2752" spans="1:1" x14ac:dyDescent="0.35">
      <c r="A2752" s="4">
        <v>4500162601</v>
      </c>
    </row>
    <row r="2753" spans="1:1" x14ac:dyDescent="0.35">
      <c r="A2753" s="4">
        <v>4500162602</v>
      </c>
    </row>
    <row r="2754" spans="1:1" x14ac:dyDescent="0.35">
      <c r="A2754" s="4">
        <v>4500162603</v>
      </c>
    </row>
    <row r="2755" spans="1:1" x14ac:dyDescent="0.35">
      <c r="A2755" s="4">
        <v>4500162604</v>
      </c>
    </row>
    <row r="2756" spans="1:1" x14ac:dyDescent="0.35">
      <c r="A2756" s="4">
        <v>4500162607</v>
      </c>
    </row>
    <row r="2757" spans="1:1" x14ac:dyDescent="0.35">
      <c r="A2757" s="4">
        <v>4500162657</v>
      </c>
    </row>
    <row r="2758" spans="1:1" x14ac:dyDescent="0.35">
      <c r="A2758" s="4">
        <v>4500162675</v>
      </c>
    </row>
    <row r="2759" spans="1:1" x14ac:dyDescent="0.35">
      <c r="A2759" s="4">
        <v>4500162680</v>
      </c>
    </row>
    <row r="2760" spans="1:1" x14ac:dyDescent="0.35">
      <c r="A2760" s="4">
        <v>4500162684</v>
      </c>
    </row>
    <row r="2761" spans="1:1" x14ac:dyDescent="0.35">
      <c r="A2761" s="4">
        <v>4500162689</v>
      </c>
    </row>
    <row r="2762" spans="1:1" x14ac:dyDescent="0.35">
      <c r="A2762" s="4">
        <v>4500162700</v>
      </c>
    </row>
    <row r="2763" spans="1:1" x14ac:dyDescent="0.35">
      <c r="A2763" s="4">
        <v>4500162709</v>
      </c>
    </row>
    <row r="2764" spans="1:1" x14ac:dyDescent="0.35">
      <c r="A2764" s="4">
        <v>4500162722</v>
      </c>
    </row>
    <row r="2765" spans="1:1" x14ac:dyDescent="0.35">
      <c r="A2765" s="4">
        <v>4500162728</v>
      </c>
    </row>
    <row r="2766" spans="1:1" x14ac:dyDescent="0.35">
      <c r="A2766" s="4">
        <v>4500162731</v>
      </c>
    </row>
    <row r="2767" spans="1:1" x14ac:dyDescent="0.35">
      <c r="A2767" s="4">
        <v>4500162736</v>
      </c>
    </row>
    <row r="2768" spans="1:1" x14ac:dyDescent="0.35">
      <c r="A2768" s="4">
        <v>4500162741</v>
      </c>
    </row>
    <row r="2769" spans="1:1" x14ac:dyDescent="0.35">
      <c r="A2769" s="4">
        <v>4500162744</v>
      </c>
    </row>
    <row r="2770" spans="1:1" x14ac:dyDescent="0.35">
      <c r="A2770" s="4">
        <v>4500162747</v>
      </c>
    </row>
    <row r="2771" spans="1:1" x14ac:dyDescent="0.35">
      <c r="A2771" s="4">
        <v>4500162753</v>
      </c>
    </row>
    <row r="2772" spans="1:1" x14ac:dyDescent="0.35">
      <c r="A2772" s="4">
        <v>4500162757</v>
      </c>
    </row>
    <row r="2773" spans="1:1" x14ac:dyDescent="0.35">
      <c r="A2773" s="4">
        <v>4500162763</v>
      </c>
    </row>
    <row r="2774" spans="1:1" x14ac:dyDescent="0.35">
      <c r="A2774" s="4">
        <v>4500162772</v>
      </c>
    </row>
    <row r="2775" spans="1:1" x14ac:dyDescent="0.35">
      <c r="A2775" s="4">
        <v>4500162777</v>
      </c>
    </row>
    <row r="2776" spans="1:1" x14ac:dyDescent="0.35">
      <c r="A2776" s="4">
        <v>4500162785</v>
      </c>
    </row>
    <row r="2777" spans="1:1" x14ac:dyDescent="0.35">
      <c r="A2777" s="4">
        <v>4500162792</v>
      </c>
    </row>
    <row r="2778" spans="1:1" x14ac:dyDescent="0.35">
      <c r="A2778" s="4">
        <v>4500162795</v>
      </c>
    </row>
    <row r="2779" spans="1:1" x14ac:dyDescent="0.35">
      <c r="A2779" s="4">
        <v>4500162797</v>
      </c>
    </row>
    <row r="2780" spans="1:1" x14ac:dyDescent="0.35">
      <c r="A2780" s="4">
        <v>4500162799</v>
      </c>
    </row>
    <row r="2781" spans="1:1" x14ac:dyDescent="0.35">
      <c r="A2781" s="4">
        <v>4500162804</v>
      </c>
    </row>
    <row r="2782" spans="1:1" x14ac:dyDescent="0.35">
      <c r="A2782" s="4">
        <v>4500162806</v>
      </c>
    </row>
    <row r="2783" spans="1:1" x14ac:dyDescent="0.35">
      <c r="A2783" s="4">
        <v>4500162823</v>
      </c>
    </row>
    <row r="2784" spans="1:1" x14ac:dyDescent="0.35">
      <c r="A2784" s="4">
        <v>4500162869</v>
      </c>
    </row>
    <row r="2785" spans="1:1" x14ac:dyDescent="0.35">
      <c r="A2785" s="4">
        <v>4500162881</v>
      </c>
    </row>
    <row r="2786" spans="1:1" x14ac:dyDescent="0.35">
      <c r="A2786" s="4">
        <v>4500162884</v>
      </c>
    </row>
    <row r="2787" spans="1:1" x14ac:dyDescent="0.35">
      <c r="A2787" s="4">
        <v>4500162886</v>
      </c>
    </row>
    <row r="2788" spans="1:1" x14ac:dyDescent="0.35">
      <c r="A2788" s="4">
        <v>4500162890</v>
      </c>
    </row>
    <row r="2789" spans="1:1" x14ac:dyDescent="0.35">
      <c r="A2789" s="4">
        <v>4500162895</v>
      </c>
    </row>
    <row r="2790" spans="1:1" x14ac:dyDescent="0.35">
      <c r="A2790" s="4">
        <v>4500162901</v>
      </c>
    </row>
    <row r="2791" spans="1:1" x14ac:dyDescent="0.35">
      <c r="A2791" s="4">
        <v>4500162905</v>
      </c>
    </row>
    <row r="2792" spans="1:1" x14ac:dyDescent="0.35">
      <c r="A2792" s="4">
        <v>4500162910</v>
      </c>
    </row>
    <row r="2793" spans="1:1" x14ac:dyDescent="0.35">
      <c r="A2793" s="4">
        <v>4500162913</v>
      </c>
    </row>
    <row r="2794" spans="1:1" x14ac:dyDescent="0.35">
      <c r="A2794" s="4">
        <v>4500162917</v>
      </c>
    </row>
    <row r="2795" spans="1:1" x14ac:dyDescent="0.35">
      <c r="A2795" s="4">
        <v>4500162921</v>
      </c>
    </row>
    <row r="2796" spans="1:1" x14ac:dyDescent="0.35">
      <c r="A2796" s="4">
        <v>4500162925</v>
      </c>
    </row>
    <row r="2797" spans="1:1" x14ac:dyDescent="0.35">
      <c r="A2797" s="4">
        <v>4500162928</v>
      </c>
    </row>
    <row r="2798" spans="1:1" x14ac:dyDescent="0.35">
      <c r="A2798" s="4">
        <v>4500162932</v>
      </c>
    </row>
    <row r="2799" spans="1:1" x14ac:dyDescent="0.35">
      <c r="A2799" s="4">
        <v>4500162941</v>
      </c>
    </row>
    <row r="2800" spans="1:1" x14ac:dyDescent="0.35">
      <c r="A2800" s="4">
        <v>4500162948</v>
      </c>
    </row>
    <row r="2801" spans="1:1" x14ac:dyDescent="0.35">
      <c r="A2801" s="4">
        <v>4500162952</v>
      </c>
    </row>
    <row r="2802" spans="1:1" x14ac:dyDescent="0.35">
      <c r="A2802" s="4">
        <v>4500162955</v>
      </c>
    </row>
    <row r="2803" spans="1:1" x14ac:dyDescent="0.35">
      <c r="A2803" s="4">
        <v>4500162959</v>
      </c>
    </row>
    <row r="2804" spans="1:1" x14ac:dyDescent="0.35">
      <c r="A2804" s="4">
        <v>4500162963</v>
      </c>
    </row>
    <row r="2805" spans="1:1" x14ac:dyDescent="0.35">
      <c r="A2805" s="4">
        <v>4500162966</v>
      </c>
    </row>
    <row r="2806" spans="1:1" x14ac:dyDescent="0.35">
      <c r="A2806" s="4">
        <v>4500162970</v>
      </c>
    </row>
    <row r="2807" spans="1:1" x14ac:dyDescent="0.35">
      <c r="A2807" s="4">
        <v>4500162973</v>
      </c>
    </row>
    <row r="2808" spans="1:1" x14ac:dyDescent="0.35">
      <c r="A2808" s="4">
        <v>4500162976</v>
      </c>
    </row>
    <row r="2809" spans="1:1" x14ac:dyDescent="0.35">
      <c r="A2809" s="4">
        <v>4500162980</v>
      </c>
    </row>
    <row r="2810" spans="1:1" x14ac:dyDescent="0.35">
      <c r="A2810" s="4">
        <v>4500162989</v>
      </c>
    </row>
    <row r="2811" spans="1:1" x14ac:dyDescent="0.35">
      <c r="A2811" s="4">
        <v>4500162992</v>
      </c>
    </row>
    <row r="2812" spans="1:1" x14ac:dyDescent="0.35">
      <c r="A2812" s="4">
        <v>4500162994</v>
      </c>
    </row>
    <row r="2813" spans="1:1" x14ac:dyDescent="0.35">
      <c r="A2813" s="4">
        <v>4500162997</v>
      </c>
    </row>
    <row r="2814" spans="1:1" x14ac:dyDescent="0.35">
      <c r="A2814" s="4">
        <v>4500163000</v>
      </c>
    </row>
    <row r="2815" spans="1:1" x14ac:dyDescent="0.35">
      <c r="A2815" s="4">
        <v>4500163002</v>
      </c>
    </row>
    <row r="2816" spans="1:1" x14ac:dyDescent="0.35">
      <c r="A2816" s="4">
        <v>4500163003</v>
      </c>
    </row>
    <row r="2817" spans="1:1" x14ac:dyDescent="0.35">
      <c r="A2817" s="4">
        <v>4500163006</v>
      </c>
    </row>
    <row r="2818" spans="1:1" x14ac:dyDescent="0.35">
      <c r="A2818" s="4">
        <v>4500163010</v>
      </c>
    </row>
    <row r="2819" spans="1:1" x14ac:dyDescent="0.35">
      <c r="A2819" s="4">
        <v>4500163012</v>
      </c>
    </row>
    <row r="2820" spans="1:1" x14ac:dyDescent="0.35">
      <c r="A2820" s="4">
        <v>4500163013</v>
      </c>
    </row>
    <row r="2821" spans="1:1" x14ac:dyDescent="0.35">
      <c r="A2821" s="4">
        <v>4500163016</v>
      </c>
    </row>
    <row r="2822" spans="1:1" x14ac:dyDescent="0.35">
      <c r="A2822" s="4">
        <v>4500163026</v>
      </c>
    </row>
    <row r="2823" spans="1:1" x14ac:dyDescent="0.35">
      <c r="A2823" s="4">
        <v>4500163027</v>
      </c>
    </row>
    <row r="2824" spans="1:1" x14ac:dyDescent="0.35">
      <c r="A2824" s="4">
        <v>4500163092</v>
      </c>
    </row>
    <row r="2825" spans="1:1" x14ac:dyDescent="0.35">
      <c r="A2825" s="4">
        <v>4500163095</v>
      </c>
    </row>
    <row r="2826" spans="1:1" x14ac:dyDescent="0.35">
      <c r="A2826" s="4">
        <v>4500163103</v>
      </c>
    </row>
    <row r="2827" spans="1:1" x14ac:dyDescent="0.35">
      <c r="A2827" s="4">
        <v>4500163107</v>
      </c>
    </row>
    <row r="2828" spans="1:1" x14ac:dyDescent="0.35">
      <c r="A2828" s="4">
        <v>4500163116</v>
      </c>
    </row>
    <row r="2829" spans="1:1" x14ac:dyDescent="0.35">
      <c r="A2829" s="4">
        <v>4500163123</v>
      </c>
    </row>
    <row r="2830" spans="1:1" x14ac:dyDescent="0.35">
      <c r="A2830" s="4">
        <v>4500163126</v>
      </c>
    </row>
    <row r="2831" spans="1:1" x14ac:dyDescent="0.35">
      <c r="A2831" s="4">
        <v>4500163130</v>
      </c>
    </row>
    <row r="2832" spans="1:1" x14ac:dyDescent="0.35">
      <c r="A2832" s="4">
        <v>4500163132</v>
      </c>
    </row>
    <row r="2833" spans="1:1" x14ac:dyDescent="0.35">
      <c r="A2833" s="4">
        <v>4500163143</v>
      </c>
    </row>
    <row r="2834" spans="1:1" x14ac:dyDescent="0.35">
      <c r="A2834" s="4">
        <v>4500163150</v>
      </c>
    </row>
    <row r="2835" spans="1:1" x14ac:dyDescent="0.35">
      <c r="A2835" s="4">
        <v>4500163159</v>
      </c>
    </row>
    <row r="2836" spans="1:1" x14ac:dyDescent="0.35">
      <c r="A2836" s="4">
        <v>4500163163</v>
      </c>
    </row>
    <row r="2837" spans="1:1" x14ac:dyDescent="0.35">
      <c r="A2837" s="4">
        <v>4500163167</v>
      </c>
    </row>
    <row r="2838" spans="1:1" x14ac:dyDescent="0.35">
      <c r="A2838" s="4">
        <v>4500163169</v>
      </c>
    </row>
    <row r="2839" spans="1:1" x14ac:dyDescent="0.35">
      <c r="A2839" s="4">
        <v>4500163172</v>
      </c>
    </row>
    <row r="2840" spans="1:1" x14ac:dyDescent="0.35">
      <c r="A2840" s="4">
        <v>4500163174</v>
      </c>
    </row>
    <row r="2841" spans="1:1" x14ac:dyDescent="0.35">
      <c r="A2841" s="4">
        <v>4500163179</v>
      </c>
    </row>
    <row r="2842" spans="1:1" x14ac:dyDescent="0.35">
      <c r="A2842" s="4">
        <v>4500163181</v>
      </c>
    </row>
    <row r="2843" spans="1:1" x14ac:dyDescent="0.35">
      <c r="A2843" s="4">
        <v>4500163183</v>
      </c>
    </row>
    <row r="2844" spans="1:1" x14ac:dyDescent="0.35">
      <c r="A2844" s="4">
        <v>4500163186</v>
      </c>
    </row>
    <row r="2845" spans="1:1" x14ac:dyDescent="0.35">
      <c r="A2845" s="4">
        <v>4500163188</v>
      </c>
    </row>
    <row r="2846" spans="1:1" x14ac:dyDescent="0.35">
      <c r="A2846" s="4">
        <v>4500163190</v>
      </c>
    </row>
    <row r="2847" spans="1:1" x14ac:dyDescent="0.35">
      <c r="A2847" s="4">
        <v>4500163194</v>
      </c>
    </row>
    <row r="2848" spans="1:1" x14ac:dyDescent="0.35">
      <c r="A2848" s="4">
        <v>4500163196</v>
      </c>
    </row>
    <row r="2849" spans="1:1" x14ac:dyDescent="0.35">
      <c r="A2849" s="4">
        <v>4500163203</v>
      </c>
    </row>
    <row r="2850" spans="1:1" x14ac:dyDescent="0.35">
      <c r="A2850" s="4">
        <v>4500163205</v>
      </c>
    </row>
    <row r="2851" spans="1:1" x14ac:dyDescent="0.35">
      <c r="A2851" s="4">
        <v>4500163207</v>
      </c>
    </row>
    <row r="2852" spans="1:1" x14ac:dyDescent="0.35">
      <c r="A2852" s="4">
        <v>4500163208</v>
      </c>
    </row>
    <row r="2853" spans="1:1" x14ac:dyDescent="0.35">
      <c r="A2853" s="4">
        <v>4500163209</v>
      </c>
    </row>
    <row r="2854" spans="1:1" x14ac:dyDescent="0.35">
      <c r="A2854" s="4">
        <v>4500163210</v>
      </c>
    </row>
    <row r="2855" spans="1:1" x14ac:dyDescent="0.35">
      <c r="A2855" s="4">
        <v>4500163212</v>
      </c>
    </row>
    <row r="2856" spans="1:1" x14ac:dyDescent="0.35">
      <c r="A2856" s="4">
        <v>4500163213</v>
      </c>
    </row>
    <row r="2857" spans="1:1" x14ac:dyDescent="0.35">
      <c r="A2857" s="4">
        <v>4500163214</v>
      </c>
    </row>
    <row r="2858" spans="1:1" x14ac:dyDescent="0.35">
      <c r="A2858" s="4">
        <v>4500163215</v>
      </c>
    </row>
    <row r="2859" spans="1:1" x14ac:dyDescent="0.35">
      <c r="A2859" s="4">
        <v>4500163219</v>
      </c>
    </row>
    <row r="2860" spans="1:1" x14ac:dyDescent="0.35">
      <c r="A2860" s="4">
        <v>4500163300</v>
      </c>
    </row>
    <row r="2861" spans="1:1" x14ac:dyDescent="0.35">
      <c r="A2861" s="4">
        <v>4500163308</v>
      </c>
    </row>
    <row r="2862" spans="1:1" x14ac:dyDescent="0.35">
      <c r="A2862" s="4">
        <v>4500163314</v>
      </c>
    </row>
    <row r="2863" spans="1:1" x14ac:dyDescent="0.35">
      <c r="A2863" s="4">
        <v>4500163318</v>
      </c>
    </row>
    <row r="2864" spans="1:1" x14ac:dyDescent="0.35">
      <c r="A2864" s="4">
        <v>4500163328</v>
      </c>
    </row>
    <row r="2865" spans="1:1" x14ac:dyDescent="0.35">
      <c r="A2865" s="4">
        <v>4500163332</v>
      </c>
    </row>
    <row r="2866" spans="1:1" x14ac:dyDescent="0.35">
      <c r="A2866" s="4">
        <v>4500163336</v>
      </c>
    </row>
    <row r="2867" spans="1:1" x14ac:dyDescent="0.35">
      <c r="A2867" s="4">
        <v>4500163345</v>
      </c>
    </row>
    <row r="2868" spans="1:1" x14ac:dyDescent="0.35">
      <c r="A2868" s="4">
        <v>4500163351</v>
      </c>
    </row>
    <row r="2869" spans="1:1" x14ac:dyDescent="0.35">
      <c r="A2869" s="4">
        <v>4500163363</v>
      </c>
    </row>
    <row r="2870" spans="1:1" x14ac:dyDescent="0.35">
      <c r="A2870" s="4">
        <v>4500163368</v>
      </c>
    </row>
    <row r="2871" spans="1:1" x14ac:dyDescent="0.35">
      <c r="A2871" s="4">
        <v>4500163374</v>
      </c>
    </row>
    <row r="2872" spans="1:1" x14ac:dyDescent="0.35">
      <c r="A2872" s="4">
        <v>4500163383</v>
      </c>
    </row>
    <row r="2873" spans="1:1" x14ac:dyDescent="0.35">
      <c r="A2873" s="4">
        <v>4500163386</v>
      </c>
    </row>
    <row r="2874" spans="1:1" x14ac:dyDescent="0.35">
      <c r="A2874" s="4">
        <v>4500163388</v>
      </c>
    </row>
    <row r="2875" spans="1:1" x14ac:dyDescent="0.35">
      <c r="A2875" s="4">
        <v>4500163393</v>
      </c>
    </row>
    <row r="2876" spans="1:1" x14ac:dyDescent="0.35">
      <c r="A2876" s="4">
        <v>4500163399</v>
      </c>
    </row>
    <row r="2877" spans="1:1" x14ac:dyDescent="0.35">
      <c r="A2877" s="4">
        <v>4500163403</v>
      </c>
    </row>
    <row r="2878" spans="1:1" x14ac:dyDescent="0.35">
      <c r="A2878" s="4">
        <v>4500163407</v>
      </c>
    </row>
    <row r="2879" spans="1:1" x14ac:dyDescent="0.35">
      <c r="A2879" s="4">
        <v>4500163412</v>
      </c>
    </row>
    <row r="2880" spans="1:1" x14ac:dyDescent="0.35">
      <c r="A2880" s="4">
        <v>4500163414</v>
      </c>
    </row>
    <row r="2881" spans="1:1" x14ac:dyDescent="0.35">
      <c r="A2881" s="4">
        <v>4500163416</v>
      </c>
    </row>
    <row r="2882" spans="1:1" x14ac:dyDescent="0.35">
      <c r="A2882" s="4">
        <v>4500163419</v>
      </c>
    </row>
    <row r="2883" spans="1:1" x14ac:dyDescent="0.35">
      <c r="A2883" s="4">
        <v>4500163420</v>
      </c>
    </row>
    <row r="2884" spans="1:1" x14ac:dyDescent="0.35">
      <c r="A2884" s="4">
        <v>4500163430</v>
      </c>
    </row>
    <row r="2885" spans="1:1" x14ac:dyDescent="0.35">
      <c r="A2885" s="4">
        <v>4500163431</v>
      </c>
    </row>
    <row r="2886" spans="1:1" x14ac:dyDescent="0.35">
      <c r="A2886" s="4">
        <v>4500163488</v>
      </c>
    </row>
    <row r="2887" spans="1:1" x14ac:dyDescent="0.35">
      <c r="A2887" s="4">
        <v>4500163496</v>
      </c>
    </row>
    <row r="2888" spans="1:1" x14ac:dyDescent="0.35">
      <c r="A2888" s="4">
        <v>4500163499</v>
      </c>
    </row>
    <row r="2889" spans="1:1" x14ac:dyDescent="0.35">
      <c r="A2889" s="4">
        <v>4500163504</v>
      </c>
    </row>
    <row r="2890" spans="1:1" x14ac:dyDescent="0.35">
      <c r="A2890" s="4">
        <v>4500163510</v>
      </c>
    </row>
    <row r="2891" spans="1:1" x14ac:dyDescent="0.35">
      <c r="A2891" s="4">
        <v>4500163514</v>
      </c>
    </row>
    <row r="2892" spans="1:1" x14ac:dyDescent="0.35">
      <c r="A2892" s="4">
        <v>4500163518</v>
      </c>
    </row>
    <row r="2893" spans="1:1" x14ac:dyDescent="0.35">
      <c r="A2893" s="4">
        <v>4500163520</v>
      </c>
    </row>
    <row r="2894" spans="1:1" x14ac:dyDescent="0.35">
      <c r="A2894" s="4">
        <v>4500163526</v>
      </c>
    </row>
    <row r="2895" spans="1:1" x14ac:dyDescent="0.35">
      <c r="A2895" s="4">
        <v>4500163536</v>
      </c>
    </row>
    <row r="2896" spans="1:1" x14ac:dyDescent="0.35">
      <c r="A2896" s="4">
        <v>4500163543</v>
      </c>
    </row>
    <row r="2897" spans="1:1" x14ac:dyDescent="0.35">
      <c r="A2897" s="4">
        <v>4500163551</v>
      </c>
    </row>
    <row r="2898" spans="1:1" x14ac:dyDescent="0.35">
      <c r="A2898" s="4">
        <v>4500163556</v>
      </c>
    </row>
    <row r="2899" spans="1:1" x14ac:dyDescent="0.35">
      <c r="A2899" s="4">
        <v>4500163558</v>
      </c>
    </row>
    <row r="2900" spans="1:1" x14ac:dyDescent="0.35">
      <c r="A2900" s="4">
        <v>4500163566</v>
      </c>
    </row>
    <row r="2901" spans="1:1" x14ac:dyDescent="0.35">
      <c r="A2901" s="4">
        <v>4500163571</v>
      </c>
    </row>
    <row r="2902" spans="1:1" x14ac:dyDescent="0.35">
      <c r="A2902" s="4">
        <v>4500163582</v>
      </c>
    </row>
    <row r="2903" spans="1:1" x14ac:dyDescent="0.35">
      <c r="A2903" s="4">
        <v>4500163587</v>
      </c>
    </row>
    <row r="2904" spans="1:1" x14ac:dyDescent="0.35">
      <c r="A2904" s="4">
        <v>4500163591</v>
      </c>
    </row>
    <row r="2905" spans="1:1" x14ac:dyDescent="0.35">
      <c r="A2905" s="4">
        <v>4500163595</v>
      </c>
    </row>
    <row r="2906" spans="1:1" x14ac:dyDescent="0.35">
      <c r="A2906" s="4">
        <v>4500163598</v>
      </c>
    </row>
    <row r="2907" spans="1:1" x14ac:dyDescent="0.35">
      <c r="A2907" s="4">
        <v>4500163602</v>
      </c>
    </row>
    <row r="2908" spans="1:1" x14ac:dyDescent="0.35">
      <c r="A2908" s="4">
        <v>4500163604</v>
      </c>
    </row>
    <row r="2909" spans="1:1" x14ac:dyDescent="0.35">
      <c r="A2909" s="4">
        <v>4500163609</v>
      </c>
    </row>
    <row r="2910" spans="1:1" x14ac:dyDescent="0.35">
      <c r="A2910" s="4">
        <v>4500163614</v>
      </c>
    </row>
    <row r="2911" spans="1:1" x14ac:dyDescent="0.35">
      <c r="A2911" s="4">
        <v>4500163618</v>
      </c>
    </row>
    <row r="2912" spans="1:1" x14ac:dyDescent="0.35">
      <c r="A2912" s="4">
        <v>4500163622</v>
      </c>
    </row>
    <row r="2913" spans="1:1" x14ac:dyDescent="0.35">
      <c r="A2913" s="4">
        <v>4500163627</v>
      </c>
    </row>
    <row r="2914" spans="1:1" x14ac:dyDescent="0.35">
      <c r="A2914" s="4">
        <v>4500163632</v>
      </c>
    </row>
    <row r="2915" spans="1:1" x14ac:dyDescent="0.35">
      <c r="A2915" s="4">
        <v>4500163634</v>
      </c>
    </row>
    <row r="2916" spans="1:1" x14ac:dyDescent="0.35">
      <c r="A2916" s="4">
        <v>4500163637</v>
      </c>
    </row>
    <row r="2917" spans="1:1" x14ac:dyDescent="0.35">
      <c r="A2917" s="4">
        <v>4500163639</v>
      </c>
    </row>
    <row r="2918" spans="1:1" x14ac:dyDescent="0.35">
      <c r="A2918" s="4">
        <v>4500163641</v>
      </c>
    </row>
    <row r="2919" spans="1:1" x14ac:dyDescent="0.35">
      <c r="A2919" s="4">
        <v>4500163644</v>
      </c>
    </row>
    <row r="2920" spans="1:1" x14ac:dyDescent="0.35">
      <c r="A2920" s="4">
        <v>4500163645</v>
      </c>
    </row>
    <row r="2921" spans="1:1" x14ac:dyDescent="0.35">
      <c r="A2921" s="4">
        <v>4500163648</v>
      </c>
    </row>
    <row r="2922" spans="1:1" x14ac:dyDescent="0.35">
      <c r="A2922" s="4">
        <v>4500163649</v>
      </c>
    </row>
    <row r="2923" spans="1:1" x14ac:dyDescent="0.35">
      <c r="A2923" s="4">
        <v>4500163652</v>
      </c>
    </row>
    <row r="2924" spans="1:1" x14ac:dyDescent="0.35">
      <c r="A2924" s="4">
        <v>4500163666</v>
      </c>
    </row>
    <row r="2925" spans="1:1" x14ac:dyDescent="0.35">
      <c r="A2925" s="4">
        <v>4500163670</v>
      </c>
    </row>
    <row r="2926" spans="1:1" x14ac:dyDescent="0.35">
      <c r="A2926" s="4">
        <v>4500163674</v>
      </c>
    </row>
    <row r="2927" spans="1:1" x14ac:dyDescent="0.35">
      <c r="A2927" s="4">
        <v>4500163678</v>
      </c>
    </row>
    <row r="2928" spans="1:1" x14ac:dyDescent="0.35">
      <c r="A2928" s="4">
        <v>4500163681</v>
      </c>
    </row>
    <row r="2929" spans="1:1" x14ac:dyDescent="0.35">
      <c r="A2929" s="4">
        <v>4500163686</v>
      </c>
    </row>
    <row r="2930" spans="1:1" x14ac:dyDescent="0.35">
      <c r="A2930" s="4">
        <v>4500163728</v>
      </c>
    </row>
    <row r="2931" spans="1:1" x14ac:dyDescent="0.35">
      <c r="A2931" s="4">
        <v>4500163744</v>
      </c>
    </row>
    <row r="2932" spans="1:1" x14ac:dyDescent="0.35">
      <c r="A2932" s="4">
        <v>4500163756</v>
      </c>
    </row>
    <row r="2933" spans="1:1" x14ac:dyDescent="0.35">
      <c r="A2933" s="4">
        <v>4500163764</v>
      </c>
    </row>
    <row r="2934" spans="1:1" x14ac:dyDescent="0.35">
      <c r="A2934" s="4">
        <v>4500163767</v>
      </c>
    </row>
    <row r="2935" spans="1:1" x14ac:dyDescent="0.35">
      <c r="A2935" s="4">
        <v>4500163768</v>
      </c>
    </row>
    <row r="2936" spans="1:1" x14ac:dyDescent="0.35">
      <c r="A2936" s="4">
        <v>4500163772</v>
      </c>
    </row>
    <row r="2937" spans="1:1" x14ac:dyDescent="0.35">
      <c r="A2937" s="4">
        <v>4500163776</v>
      </c>
    </row>
    <row r="2938" spans="1:1" x14ac:dyDescent="0.35">
      <c r="A2938" s="4">
        <v>4500163786</v>
      </c>
    </row>
    <row r="2939" spans="1:1" x14ac:dyDescent="0.35">
      <c r="A2939" s="4">
        <v>4500163790</v>
      </c>
    </row>
    <row r="2940" spans="1:1" x14ac:dyDescent="0.35">
      <c r="A2940" s="4">
        <v>4500163799</v>
      </c>
    </row>
    <row r="2941" spans="1:1" x14ac:dyDescent="0.35">
      <c r="A2941" s="4">
        <v>4500163804</v>
      </c>
    </row>
    <row r="2942" spans="1:1" x14ac:dyDescent="0.35">
      <c r="A2942" s="4">
        <v>4500163806</v>
      </c>
    </row>
    <row r="2943" spans="1:1" x14ac:dyDescent="0.35">
      <c r="A2943" s="4">
        <v>4500163810</v>
      </c>
    </row>
    <row r="2944" spans="1:1" x14ac:dyDescent="0.35">
      <c r="A2944" s="4">
        <v>4500163812</v>
      </c>
    </row>
    <row r="2945" spans="1:1" x14ac:dyDescent="0.35">
      <c r="A2945" s="4">
        <v>4500163815</v>
      </c>
    </row>
    <row r="2946" spans="1:1" x14ac:dyDescent="0.35">
      <c r="A2946" s="4">
        <v>4500163819</v>
      </c>
    </row>
    <row r="2947" spans="1:1" x14ac:dyDescent="0.35">
      <c r="A2947" s="4">
        <v>4500163821</v>
      </c>
    </row>
    <row r="2948" spans="1:1" x14ac:dyDescent="0.35">
      <c r="A2948" s="4">
        <v>4500163832</v>
      </c>
    </row>
    <row r="2949" spans="1:1" x14ac:dyDescent="0.35">
      <c r="A2949" s="4">
        <v>4500163838</v>
      </c>
    </row>
    <row r="2950" spans="1:1" x14ac:dyDescent="0.35">
      <c r="A2950" s="4">
        <v>4500163840</v>
      </c>
    </row>
    <row r="2951" spans="1:1" x14ac:dyDescent="0.35">
      <c r="A2951" s="4">
        <v>4500163843</v>
      </c>
    </row>
    <row r="2952" spans="1:1" x14ac:dyDescent="0.35">
      <c r="A2952" s="4">
        <v>4500163846</v>
      </c>
    </row>
    <row r="2953" spans="1:1" x14ac:dyDescent="0.35">
      <c r="A2953" s="4">
        <v>4500163849</v>
      </c>
    </row>
    <row r="2954" spans="1:1" x14ac:dyDescent="0.35">
      <c r="A2954" s="4">
        <v>4500163865</v>
      </c>
    </row>
    <row r="2955" spans="1:1" x14ac:dyDescent="0.35">
      <c r="A2955" s="4">
        <v>4500163868</v>
      </c>
    </row>
    <row r="2956" spans="1:1" x14ac:dyDescent="0.35">
      <c r="A2956" s="4">
        <v>4500163932</v>
      </c>
    </row>
    <row r="2957" spans="1:1" x14ac:dyDescent="0.35">
      <c r="A2957" s="4">
        <v>4500163941</v>
      </c>
    </row>
    <row r="2958" spans="1:1" x14ac:dyDescent="0.35">
      <c r="A2958" s="4">
        <v>4500163945</v>
      </c>
    </row>
    <row r="2959" spans="1:1" x14ac:dyDescent="0.35">
      <c r="A2959" s="4">
        <v>4500163951</v>
      </c>
    </row>
    <row r="2960" spans="1:1" x14ac:dyDescent="0.35">
      <c r="A2960" s="4">
        <v>4500163958</v>
      </c>
    </row>
    <row r="2961" spans="1:1" x14ac:dyDescent="0.35">
      <c r="A2961" s="4">
        <v>4500163963</v>
      </c>
    </row>
    <row r="2962" spans="1:1" x14ac:dyDescent="0.35">
      <c r="A2962" s="4">
        <v>4500163969</v>
      </c>
    </row>
    <row r="2963" spans="1:1" x14ac:dyDescent="0.35">
      <c r="A2963" s="4">
        <v>4500163974</v>
      </c>
    </row>
    <row r="2964" spans="1:1" x14ac:dyDescent="0.35">
      <c r="A2964" s="4">
        <v>4500163981</v>
      </c>
    </row>
    <row r="2965" spans="1:1" x14ac:dyDescent="0.35">
      <c r="A2965" s="4">
        <v>4500163985</v>
      </c>
    </row>
    <row r="2966" spans="1:1" x14ac:dyDescent="0.35">
      <c r="A2966" s="4">
        <v>4500163988</v>
      </c>
    </row>
    <row r="2967" spans="1:1" x14ac:dyDescent="0.35">
      <c r="A2967" s="4">
        <v>4500163992</v>
      </c>
    </row>
    <row r="2968" spans="1:1" x14ac:dyDescent="0.35">
      <c r="A2968" s="4">
        <v>4500164003</v>
      </c>
    </row>
    <row r="2969" spans="1:1" x14ac:dyDescent="0.35">
      <c r="A2969" s="4">
        <v>4500164008</v>
      </c>
    </row>
    <row r="2970" spans="1:1" x14ac:dyDescent="0.35">
      <c r="A2970" s="4">
        <v>4500164012</v>
      </c>
    </row>
    <row r="2971" spans="1:1" x14ac:dyDescent="0.35">
      <c r="A2971" s="4">
        <v>4500164020</v>
      </c>
    </row>
    <row r="2972" spans="1:1" x14ac:dyDescent="0.35">
      <c r="A2972" s="4">
        <v>4500164028</v>
      </c>
    </row>
    <row r="2973" spans="1:1" x14ac:dyDescent="0.35">
      <c r="A2973" s="4">
        <v>4500164033</v>
      </c>
    </row>
    <row r="2974" spans="1:1" x14ac:dyDescent="0.35">
      <c r="A2974" s="4">
        <v>4500164036</v>
      </c>
    </row>
    <row r="2975" spans="1:1" x14ac:dyDescent="0.35">
      <c r="A2975" s="4">
        <v>4500164039</v>
      </c>
    </row>
    <row r="2976" spans="1:1" x14ac:dyDescent="0.35">
      <c r="A2976" s="4">
        <v>4500164040</v>
      </c>
    </row>
    <row r="2977" spans="1:1" x14ac:dyDescent="0.35">
      <c r="A2977" s="4">
        <v>4500164043</v>
      </c>
    </row>
    <row r="2978" spans="1:1" x14ac:dyDescent="0.35">
      <c r="A2978" s="4">
        <v>4500164046</v>
      </c>
    </row>
    <row r="2979" spans="1:1" x14ac:dyDescent="0.35">
      <c r="A2979" s="4">
        <v>4500164049</v>
      </c>
    </row>
    <row r="2980" spans="1:1" x14ac:dyDescent="0.35">
      <c r="A2980" s="4">
        <v>4500164051</v>
      </c>
    </row>
    <row r="2981" spans="1:1" x14ac:dyDescent="0.35">
      <c r="A2981" s="4">
        <v>4500164055</v>
      </c>
    </row>
    <row r="2982" spans="1:1" x14ac:dyDescent="0.35">
      <c r="A2982" s="4">
        <v>4500164056</v>
      </c>
    </row>
    <row r="2983" spans="1:1" x14ac:dyDescent="0.35">
      <c r="A2983" s="4">
        <v>4500164057</v>
      </c>
    </row>
    <row r="2984" spans="1:1" x14ac:dyDescent="0.35">
      <c r="A2984" s="4">
        <v>4500164058</v>
      </c>
    </row>
    <row r="2985" spans="1:1" x14ac:dyDescent="0.35">
      <c r="A2985" s="4">
        <v>4500164060</v>
      </c>
    </row>
    <row r="2986" spans="1:1" x14ac:dyDescent="0.35">
      <c r="A2986" s="4">
        <v>4500164061</v>
      </c>
    </row>
    <row r="2987" spans="1:1" x14ac:dyDescent="0.35">
      <c r="A2987" s="4">
        <v>4500164062</v>
      </c>
    </row>
    <row r="2988" spans="1:1" x14ac:dyDescent="0.35">
      <c r="A2988" s="4">
        <v>4500164067</v>
      </c>
    </row>
    <row r="2989" spans="1:1" x14ac:dyDescent="0.35">
      <c r="A2989" s="4">
        <v>4500164077</v>
      </c>
    </row>
    <row r="2990" spans="1:1" x14ac:dyDescent="0.35">
      <c r="A2990" s="4">
        <v>4500164117</v>
      </c>
    </row>
    <row r="2991" spans="1:1" x14ac:dyDescent="0.35">
      <c r="A2991" s="4">
        <v>4500164143</v>
      </c>
    </row>
    <row r="2992" spans="1:1" x14ac:dyDescent="0.35">
      <c r="A2992" s="4">
        <v>4500164147</v>
      </c>
    </row>
    <row r="2993" spans="1:1" x14ac:dyDescent="0.35">
      <c r="A2993" s="4">
        <v>4500164150</v>
      </c>
    </row>
    <row r="2994" spans="1:1" x14ac:dyDescent="0.35">
      <c r="A2994" s="4">
        <v>4500164154</v>
      </c>
    </row>
    <row r="2995" spans="1:1" x14ac:dyDescent="0.35">
      <c r="A2995" s="4">
        <v>4500164158</v>
      </c>
    </row>
    <row r="2996" spans="1:1" x14ac:dyDescent="0.35">
      <c r="A2996" s="4">
        <v>4500164159</v>
      </c>
    </row>
    <row r="2997" spans="1:1" x14ac:dyDescent="0.35">
      <c r="A2997" s="4">
        <v>4500164163</v>
      </c>
    </row>
    <row r="2998" spans="1:1" x14ac:dyDescent="0.35">
      <c r="A2998" s="4">
        <v>4500164170</v>
      </c>
    </row>
    <row r="2999" spans="1:1" x14ac:dyDescent="0.35">
      <c r="A2999" s="4">
        <v>4500164171</v>
      </c>
    </row>
    <row r="3000" spans="1:1" x14ac:dyDescent="0.35">
      <c r="A3000" s="4">
        <v>4500164175</v>
      </c>
    </row>
    <row r="3001" spans="1:1" x14ac:dyDescent="0.35">
      <c r="A3001" s="4">
        <v>4500164176</v>
      </c>
    </row>
    <row r="3002" spans="1:1" x14ac:dyDescent="0.35">
      <c r="A3002" s="4">
        <v>4500164181</v>
      </c>
    </row>
    <row r="3003" spans="1:1" x14ac:dyDescent="0.35">
      <c r="A3003" s="4">
        <v>4500164185</v>
      </c>
    </row>
    <row r="3004" spans="1:1" x14ac:dyDescent="0.35">
      <c r="A3004" s="4">
        <v>4500164188</v>
      </c>
    </row>
    <row r="3005" spans="1:1" x14ac:dyDescent="0.35">
      <c r="A3005" s="4">
        <v>4500164191</v>
      </c>
    </row>
    <row r="3006" spans="1:1" x14ac:dyDescent="0.35">
      <c r="A3006" s="4">
        <v>4500164193</v>
      </c>
    </row>
    <row r="3007" spans="1:1" x14ac:dyDescent="0.35">
      <c r="A3007" s="4">
        <v>4500164196</v>
      </c>
    </row>
    <row r="3008" spans="1:1" x14ac:dyDescent="0.35">
      <c r="A3008" s="4">
        <v>4500164199</v>
      </c>
    </row>
    <row r="3009" spans="1:1" x14ac:dyDescent="0.35">
      <c r="A3009" s="4">
        <v>4500164203</v>
      </c>
    </row>
    <row r="3010" spans="1:1" x14ac:dyDescent="0.35">
      <c r="A3010" s="4">
        <v>4500164205</v>
      </c>
    </row>
    <row r="3011" spans="1:1" x14ac:dyDescent="0.35">
      <c r="A3011" s="4">
        <v>4500164208</v>
      </c>
    </row>
    <row r="3012" spans="1:1" x14ac:dyDescent="0.35">
      <c r="A3012" s="4">
        <v>4500164212</v>
      </c>
    </row>
    <row r="3013" spans="1:1" x14ac:dyDescent="0.35">
      <c r="A3013" s="4">
        <v>4500164215</v>
      </c>
    </row>
    <row r="3014" spans="1:1" x14ac:dyDescent="0.35">
      <c r="A3014" s="4">
        <v>4500164224</v>
      </c>
    </row>
    <row r="3015" spans="1:1" x14ac:dyDescent="0.35">
      <c r="A3015" s="4">
        <v>4500164228</v>
      </c>
    </row>
    <row r="3016" spans="1:1" x14ac:dyDescent="0.35">
      <c r="A3016" s="4">
        <v>4500164238</v>
      </c>
    </row>
    <row r="3017" spans="1:1" x14ac:dyDescent="0.35">
      <c r="A3017" s="4">
        <v>4500164240</v>
      </c>
    </row>
    <row r="3018" spans="1:1" x14ac:dyDescent="0.35">
      <c r="A3018" s="4">
        <v>4500164243</v>
      </c>
    </row>
    <row r="3019" spans="1:1" x14ac:dyDescent="0.35">
      <c r="A3019" s="4">
        <v>4500164245</v>
      </c>
    </row>
    <row r="3020" spans="1:1" x14ac:dyDescent="0.35">
      <c r="A3020" s="4">
        <v>4500164248</v>
      </c>
    </row>
    <row r="3021" spans="1:1" x14ac:dyDescent="0.35">
      <c r="A3021" s="4">
        <v>4500164249</v>
      </c>
    </row>
    <row r="3022" spans="1:1" x14ac:dyDescent="0.35">
      <c r="A3022" s="4">
        <v>4500164252</v>
      </c>
    </row>
    <row r="3023" spans="1:1" x14ac:dyDescent="0.35">
      <c r="A3023" s="4">
        <v>4500164284</v>
      </c>
    </row>
    <row r="3024" spans="1:1" x14ac:dyDescent="0.35">
      <c r="A3024" s="4">
        <v>4500164325</v>
      </c>
    </row>
    <row r="3025" spans="1:1" x14ac:dyDescent="0.35">
      <c r="A3025" s="4">
        <v>4500164329</v>
      </c>
    </row>
    <row r="3026" spans="1:1" x14ac:dyDescent="0.35">
      <c r="A3026" s="4">
        <v>4500164332</v>
      </c>
    </row>
    <row r="3027" spans="1:1" x14ac:dyDescent="0.35">
      <c r="A3027" s="4">
        <v>4500164336</v>
      </c>
    </row>
    <row r="3028" spans="1:1" x14ac:dyDescent="0.35">
      <c r="A3028" s="4">
        <v>4500164338</v>
      </c>
    </row>
    <row r="3029" spans="1:1" x14ac:dyDescent="0.35">
      <c r="A3029" s="4">
        <v>4500164339</v>
      </c>
    </row>
    <row r="3030" spans="1:1" x14ac:dyDescent="0.35">
      <c r="A3030" s="4">
        <v>4500164342</v>
      </c>
    </row>
    <row r="3031" spans="1:1" x14ac:dyDescent="0.35">
      <c r="A3031" s="4">
        <v>4500164345</v>
      </c>
    </row>
    <row r="3032" spans="1:1" x14ac:dyDescent="0.35">
      <c r="A3032" s="4">
        <v>4500164347</v>
      </c>
    </row>
    <row r="3033" spans="1:1" x14ac:dyDescent="0.35">
      <c r="A3033" s="4">
        <v>4500164354</v>
      </c>
    </row>
    <row r="3034" spans="1:1" x14ac:dyDescent="0.35">
      <c r="A3034" s="4">
        <v>4500164356</v>
      </c>
    </row>
    <row r="3035" spans="1:1" x14ac:dyDescent="0.35">
      <c r="A3035" s="4">
        <v>4500164358</v>
      </c>
    </row>
    <row r="3036" spans="1:1" x14ac:dyDescent="0.35">
      <c r="A3036" s="4">
        <v>4500164367</v>
      </c>
    </row>
    <row r="3037" spans="1:1" x14ac:dyDescent="0.35">
      <c r="A3037" s="4">
        <v>4500164373</v>
      </c>
    </row>
    <row r="3038" spans="1:1" x14ac:dyDescent="0.35">
      <c r="A3038" s="4">
        <v>4500164379</v>
      </c>
    </row>
    <row r="3039" spans="1:1" x14ac:dyDescent="0.35">
      <c r="A3039" s="4">
        <v>4500164384</v>
      </c>
    </row>
    <row r="3040" spans="1:1" x14ac:dyDescent="0.35">
      <c r="A3040" s="4">
        <v>4500164394</v>
      </c>
    </row>
    <row r="3041" spans="1:1" x14ac:dyDescent="0.35">
      <c r="A3041" s="4">
        <v>4500164398</v>
      </c>
    </row>
    <row r="3042" spans="1:1" x14ac:dyDescent="0.35">
      <c r="A3042" s="4">
        <v>4500164410</v>
      </c>
    </row>
    <row r="3043" spans="1:1" x14ac:dyDescent="0.35">
      <c r="A3043" s="4">
        <v>4500164415</v>
      </c>
    </row>
    <row r="3044" spans="1:1" x14ac:dyDescent="0.35">
      <c r="A3044" s="4">
        <v>4500164420</v>
      </c>
    </row>
    <row r="3045" spans="1:1" x14ac:dyDescent="0.35">
      <c r="A3045" s="4">
        <v>4500164427</v>
      </c>
    </row>
    <row r="3046" spans="1:1" x14ac:dyDescent="0.35">
      <c r="A3046" s="4">
        <v>4500164430</v>
      </c>
    </row>
    <row r="3047" spans="1:1" x14ac:dyDescent="0.35">
      <c r="A3047" s="4">
        <v>4500164432</v>
      </c>
    </row>
    <row r="3048" spans="1:1" x14ac:dyDescent="0.35">
      <c r="A3048" s="4">
        <v>4500164435</v>
      </c>
    </row>
    <row r="3049" spans="1:1" x14ac:dyDescent="0.35">
      <c r="A3049" s="4">
        <v>4500164438</v>
      </c>
    </row>
    <row r="3050" spans="1:1" x14ac:dyDescent="0.35">
      <c r="A3050" s="4">
        <v>4500164441</v>
      </c>
    </row>
    <row r="3051" spans="1:1" x14ac:dyDescent="0.35">
      <c r="A3051" s="4">
        <v>4500164450</v>
      </c>
    </row>
    <row r="3052" spans="1:1" x14ac:dyDescent="0.35">
      <c r="A3052" s="4">
        <v>4500164477</v>
      </c>
    </row>
    <row r="3053" spans="1:1" x14ac:dyDescent="0.35">
      <c r="A3053" s="4">
        <v>4500164478</v>
      </c>
    </row>
    <row r="3054" spans="1:1" x14ac:dyDescent="0.35">
      <c r="A3054" s="4">
        <v>4500164491</v>
      </c>
    </row>
    <row r="3055" spans="1:1" x14ac:dyDescent="0.35">
      <c r="A3055" s="4">
        <v>4500164523</v>
      </c>
    </row>
    <row r="3056" spans="1:1" x14ac:dyDescent="0.35">
      <c r="A3056" s="4">
        <v>4500164524</v>
      </c>
    </row>
    <row r="3057" spans="1:1" x14ac:dyDescent="0.35">
      <c r="A3057" s="4">
        <v>4500164526</v>
      </c>
    </row>
    <row r="3058" spans="1:1" x14ac:dyDescent="0.35">
      <c r="A3058" s="4">
        <v>4500164532</v>
      </c>
    </row>
    <row r="3059" spans="1:1" x14ac:dyDescent="0.35">
      <c r="A3059" s="4">
        <v>4500164535</v>
      </c>
    </row>
    <row r="3060" spans="1:1" x14ac:dyDescent="0.35">
      <c r="A3060" s="4">
        <v>4500164538</v>
      </c>
    </row>
    <row r="3061" spans="1:1" x14ac:dyDescent="0.35">
      <c r="A3061" s="4">
        <v>4500164540</v>
      </c>
    </row>
    <row r="3062" spans="1:1" x14ac:dyDescent="0.35">
      <c r="A3062" s="4">
        <v>4500164543</v>
      </c>
    </row>
    <row r="3063" spans="1:1" x14ac:dyDescent="0.35">
      <c r="A3063" s="4">
        <v>4500164546</v>
      </c>
    </row>
    <row r="3064" spans="1:1" x14ac:dyDescent="0.35">
      <c r="A3064" s="4">
        <v>4500164549</v>
      </c>
    </row>
    <row r="3065" spans="1:1" x14ac:dyDescent="0.35">
      <c r="A3065" s="4">
        <v>4500164552</v>
      </c>
    </row>
    <row r="3066" spans="1:1" x14ac:dyDescent="0.35">
      <c r="A3066" s="4">
        <v>4500164555</v>
      </c>
    </row>
    <row r="3067" spans="1:1" x14ac:dyDescent="0.35">
      <c r="A3067" s="4">
        <v>4500164560</v>
      </c>
    </row>
    <row r="3068" spans="1:1" x14ac:dyDescent="0.35">
      <c r="A3068" s="4">
        <v>4500164565</v>
      </c>
    </row>
    <row r="3069" spans="1:1" x14ac:dyDescent="0.35">
      <c r="A3069" s="4">
        <v>4500164568</v>
      </c>
    </row>
    <row r="3070" spans="1:1" x14ac:dyDescent="0.35">
      <c r="A3070" s="4">
        <v>4500164575</v>
      </c>
    </row>
    <row r="3071" spans="1:1" x14ac:dyDescent="0.35">
      <c r="A3071" s="4">
        <v>4500164577</v>
      </c>
    </row>
    <row r="3072" spans="1:1" x14ac:dyDescent="0.35">
      <c r="A3072" s="4">
        <v>4500164581</v>
      </c>
    </row>
    <row r="3073" spans="1:1" x14ac:dyDescent="0.35">
      <c r="A3073" s="4">
        <v>4500164586</v>
      </c>
    </row>
    <row r="3074" spans="1:1" x14ac:dyDescent="0.35">
      <c r="A3074" s="4">
        <v>4500164589</v>
      </c>
    </row>
    <row r="3075" spans="1:1" x14ac:dyDescent="0.35">
      <c r="A3075" s="4">
        <v>4500164592</v>
      </c>
    </row>
    <row r="3076" spans="1:1" x14ac:dyDescent="0.35">
      <c r="A3076" s="4">
        <v>4500164596</v>
      </c>
    </row>
    <row r="3077" spans="1:1" x14ac:dyDescent="0.35">
      <c r="A3077" s="4">
        <v>4500164602</v>
      </c>
    </row>
    <row r="3078" spans="1:1" x14ac:dyDescent="0.35">
      <c r="A3078" s="4">
        <v>4500164606</v>
      </c>
    </row>
    <row r="3079" spans="1:1" x14ac:dyDescent="0.35">
      <c r="A3079" s="4">
        <v>4500164609</v>
      </c>
    </row>
    <row r="3080" spans="1:1" x14ac:dyDescent="0.35">
      <c r="A3080" s="4">
        <v>4500164612</v>
      </c>
    </row>
    <row r="3081" spans="1:1" x14ac:dyDescent="0.35">
      <c r="A3081" s="4">
        <v>4500164615</v>
      </c>
    </row>
    <row r="3082" spans="1:1" x14ac:dyDescent="0.35">
      <c r="A3082" s="4">
        <v>4500164619</v>
      </c>
    </row>
    <row r="3083" spans="1:1" x14ac:dyDescent="0.35">
      <c r="A3083" s="4">
        <v>4500164622</v>
      </c>
    </row>
    <row r="3084" spans="1:1" x14ac:dyDescent="0.35">
      <c r="A3084" s="4">
        <v>4500164625</v>
      </c>
    </row>
    <row r="3085" spans="1:1" x14ac:dyDescent="0.35">
      <c r="A3085" s="4">
        <v>4500164627</v>
      </c>
    </row>
    <row r="3086" spans="1:1" x14ac:dyDescent="0.35">
      <c r="A3086" s="4">
        <v>4500164630</v>
      </c>
    </row>
    <row r="3087" spans="1:1" x14ac:dyDescent="0.35">
      <c r="A3087" s="4">
        <v>4500164663</v>
      </c>
    </row>
    <row r="3088" spans="1:1" x14ac:dyDescent="0.35">
      <c r="A3088" s="4">
        <v>4500164669</v>
      </c>
    </row>
    <row r="3089" spans="1:1" x14ac:dyDescent="0.35">
      <c r="A3089" s="4">
        <v>4500164671</v>
      </c>
    </row>
    <row r="3090" spans="1:1" x14ac:dyDescent="0.35">
      <c r="A3090" s="4">
        <v>4500164676</v>
      </c>
    </row>
    <row r="3091" spans="1:1" x14ac:dyDescent="0.35">
      <c r="A3091" s="4">
        <v>4500164713</v>
      </c>
    </row>
    <row r="3092" spans="1:1" x14ac:dyDescent="0.35">
      <c r="A3092" s="4">
        <v>4500164719</v>
      </c>
    </row>
    <row r="3093" spans="1:1" x14ac:dyDescent="0.35">
      <c r="A3093" s="4">
        <v>4500164724</v>
      </c>
    </row>
    <row r="3094" spans="1:1" x14ac:dyDescent="0.35">
      <c r="A3094" s="4">
        <v>4500164727</v>
      </c>
    </row>
    <row r="3095" spans="1:1" x14ac:dyDescent="0.35">
      <c r="A3095" s="4">
        <v>4500164731</v>
      </c>
    </row>
    <row r="3096" spans="1:1" x14ac:dyDescent="0.35">
      <c r="A3096" s="4">
        <v>4500164736</v>
      </c>
    </row>
    <row r="3097" spans="1:1" x14ac:dyDescent="0.35">
      <c r="A3097" s="4">
        <v>4500164739</v>
      </c>
    </row>
    <row r="3098" spans="1:1" x14ac:dyDescent="0.35">
      <c r="A3098" s="4">
        <v>4500164745</v>
      </c>
    </row>
    <row r="3099" spans="1:1" x14ac:dyDescent="0.35">
      <c r="A3099" s="4">
        <v>4500164748</v>
      </c>
    </row>
    <row r="3100" spans="1:1" x14ac:dyDescent="0.35">
      <c r="A3100" s="4">
        <v>4500164753</v>
      </c>
    </row>
    <row r="3101" spans="1:1" x14ac:dyDescent="0.35">
      <c r="A3101" s="4">
        <v>4500164758</v>
      </c>
    </row>
    <row r="3102" spans="1:1" x14ac:dyDescent="0.35">
      <c r="A3102" s="4">
        <v>4500164770</v>
      </c>
    </row>
    <row r="3103" spans="1:1" x14ac:dyDescent="0.35">
      <c r="A3103" s="4">
        <v>4500164782</v>
      </c>
    </row>
    <row r="3104" spans="1:1" x14ac:dyDescent="0.35">
      <c r="A3104" s="4">
        <v>4500164790</v>
      </c>
    </row>
    <row r="3105" spans="1:1" x14ac:dyDescent="0.35">
      <c r="A3105" s="4">
        <v>4500164796</v>
      </c>
    </row>
    <row r="3106" spans="1:1" x14ac:dyDescent="0.35">
      <c r="A3106" s="4">
        <v>4500164798</v>
      </c>
    </row>
    <row r="3107" spans="1:1" x14ac:dyDescent="0.35">
      <c r="A3107" s="4">
        <v>4500164804</v>
      </c>
    </row>
    <row r="3108" spans="1:1" x14ac:dyDescent="0.35">
      <c r="A3108" s="4">
        <v>4500164805</v>
      </c>
    </row>
    <row r="3109" spans="1:1" x14ac:dyDescent="0.35">
      <c r="A3109" s="4">
        <v>4500164820</v>
      </c>
    </row>
    <row r="3110" spans="1:1" x14ac:dyDescent="0.35">
      <c r="A3110" s="4">
        <v>4500164823</v>
      </c>
    </row>
    <row r="3111" spans="1:1" x14ac:dyDescent="0.35">
      <c r="A3111" s="4">
        <v>4500164826</v>
      </c>
    </row>
    <row r="3112" spans="1:1" x14ac:dyDescent="0.35">
      <c r="A3112" s="4">
        <v>4500164829</v>
      </c>
    </row>
    <row r="3113" spans="1:1" x14ac:dyDescent="0.35">
      <c r="A3113" s="4">
        <v>4500164831</v>
      </c>
    </row>
    <row r="3114" spans="1:1" x14ac:dyDescent="0.35">
      <c r="A3114" s="4">
        <v>4500164834</v>
      </c>
    </row>
    <row r="3115" spans="1:1" x14ac:dyDescent="0.35">
      <c r="A3115" s="4">
        <v>4500164836</v>
      </c>
    </row>
    <row r="3116" spans="1:1" x14ac:dyDescent="0.35">
      <c r="A3116" s="4">
        <v>4500164838</v>
      </c>
    </row>
    <row r="3117" spans="1:1" x14ac:dyDescent="0.35">
      <c r="A3117" s="4">
        <v>4500164839</v>
      </c>
    </row>
    <row r="3118" spans="1:1" x14ac:dyDescent="0.35">
      <c r="A3118" s="4">
        <v>4500164840</v>
      </c>
    </row>
    <row r="3119" spans="1:1" x14ac:dyDescent="0.35">
      <c r="A3119" s="4">
        <v>4500164865</v>
      </c>
    </row>
    <row r="3120" spans="1:1" x14ac:dyDescent="0.35">
      <c r="A3120" s="4">
        <v>4500164934</v>
      </c>
    </row>
    <row r="3121" spans="1:1" x14ac:dyDescent="0.35">
      <c r="A3121" s="4">
        <v>4500164940</v>
      </c>
    </row>
    <row r="3122" spans="1:1" x14ac:dyDescent="0.35">
      <c r="A3122" s="4">
        <v>4500164947</v>
      </c>
    </row>
    <row r="3123" spans="1:1" x14ac:dyDescent="0.35">
      <c r="A3123" s="4">
        <v>4500164956</v>
      </c>
    </row>
    <row r="3124" spans="1:1" x14ac:dyDescent="0.35">
      <c r="A3124" s="4">
        <v>4500164964</v>
      </c>
    </row>
    <row r="3125" spans="1:1" x14ac:dyDescent="0.35">
      <c r="A3125" s="4">
        <v>4500164968</v>
      </c>
    </row>
    <row r="3126" spans="1:1" x14ac:dyDescent="0.35">
      <c r="A3126" s="4">
        <v>4500164978</v>
      </c>
    </row>
    <row r="3127" spans="1:1" x14ac:dyDescent="0.35">
      <c r="A3127" s="4">
        <v>4500164981</v>
      </c>
    </row>
    <row r="3128" spans="1:1" x14ac:dyDescent="0.35">
      <c r="A3128" s="4">
        <v>4500164983</v>
      </c>
    </row>
    <row r="3129" spans="1:1" x14ac:dyDescent="0.35">
      <c r="A3129" s="4">
        <v>4500164986</v>
      </c>
    </row>
    <row r="3130" spans="1:1" x14ac:dyDescent="0.35">
      <c r="A3130" s="4">
        <v>4500164989</v>
      </c>
    </row>
    <row r="3131" spans="1:1" x14ac:dyDescent="0.35">
      <c r="A3131" s="4">
        <v>4500164992</v>
      </c>
    </row>
    <row r="3132" spans="1:1" x14ac:dyDescent="0.35">
      <c r="A3132" s="4">
        <v>4500164996</v>
      </c>
    </row>
    <row r="3133" spans="1:1" x14ac:dyDescent="0.35">
      <c r="A3133" s="4">
        <v>4500165003</v>
      </c>
    </row>
    <row r="3134" spans="1:1" x14ac:dyDescent="0.35">
      <c r="A3134" s="4">
        <v>4500165006</v>
      </c>
    </row>
    <row r="3135" spans="1:1" x14ac:dyDescent="0.35">
      <c r="A3135" s="4">
        <v>4500165012</v>
      </c>
    </row>
    <row r="3136" spans="1:1" x14ac:dyDescent="0.35">
      <c r="A3136" s="4">
        <v>4500165015</v>
      </c>
    </row>
    <row r="3137" spans="1:1" x14ac:dyDescent="0.35">
      <c r="A3137" s="4">
        <v>4500165019</v>
      </c>
    </row>
    <row r="3138" spans="1:1" x14ac:dyDescent="0.35">
      <c r="A3138" s="4">
        <v>4500165024</v>
      </c>
    </row>
    <row r="3139" spans="1:1" x14ac:dyDescent="0.35">
      <c r="A3139" s="4">
        <v>4500165032</v>
      </c>
    </row>
    <row r="3140" spans="1:1" x14ac:dyDescent="0.35">
      <c r="A3140" s="4">
        <v>4500165034</v>
      </c>
    </row>
    <row r="3141" spans="1:1" x14ac:dyDescent="0.35">
      <c r="A3141" s="4">
        <v>4500165040</v>
      </c>
    </row>
    <row r="3142" spans="1:1" x14ac:dyDescent="0.35">
      <c r="A3142" s="4">
        <v>4500165041</v>
      </c>
    </row>
    <row r="3143" spans="1:1" x14ac:dyDescent="0.35">
      <c r="A3143" s="4">
        <v>4500165042</v>
      </c>
    </row>
    <row r="3144" spans="1:1" x14ac:dyDescent="0.35">
      <c r="A3144" s="4">
        <v>4500165043</v>
      </c>
    </row>
    <row r="3145" spans="1:1" x14ac:dyDescent="0.35">
      <c r="A3145" s="4">
        <v>4500165046</v>
      </c>
    </row>
    <row r="3146" spans="1:1" x14ac:dyDescent="0.35">
      <c r="A3146" s="4">
        <v>4500165052</v>
      </c>
    </row>
    <row r="3147" spans="1:1" x14ac:dyDescent="0.35">
      <c r="A3147" s="4">
        <v>4500165053</v>
      </c>
    </row>
    <row r="3148" spans="1:1" x14ac:dyDescent="0.35">
      <c r="A3148" s="4">
        <v>4500165062</v>
      </c>
    </row>
    <row r="3149" spans="1:1" x14ac:dyDescent="0.35">
      <c r="A3149" s="4">
        <v>4500165106</v>
      </c>
    </row>
    <row r="3150" spans="1:1" x14ac:dyDescent="0.35">
      <c r="A3150" s="4">
        <v>4500165109</v>
      </c>
    </row>
    <row r="3151" spans="1:1" x14ac:dyDescent="0.35">
      <c r="A3151" s="4">
        <v>4500165117</v>
      </c>
    </row>
    <row r="3152" spans="1:1" x14ac:dyDescent="0.35">
      <c r="A3152" s="4">
        <v>4500165122</v>
      </c>
    </row>
    <row r="3153" spans="1:1" x14ac:dyDescent="0.35">
      <c r="A3153" s="4">
        <v>4500165128</v>
      </c>
    </row>
    <row r="3154" spans="1:1" x14ac:dyDescent="0.35">
      <c r="A3154" s="4">
        <v>4500165130</v>
      </c>
    </row>
    <row r="3155" spans="1:1" x14ac:dyDescent="0.35">
      <c r="A3155" s="4">
        <v>4500165137</v>
      </c>
    </row>
    <row r="3156" spans="1:1" x14ac:dyDescent="0.35">
      <c r="A3156" s="4">
        <v>4500165142</v>
      </c>
    </row>
    <row r="3157" spans="1:1" x14ac:dyDescent="0.35">
      <c r="A3157" s="4">
        <v>4500165146</v>
      </c>
    </row>
    <row r="3158" spans="1:1" x14ac:dyDescent="0.35">
      <c r="A3158" s="4">
        <v>4500165150</v>
      </c>
    </row>
    <row r="3159" spans="1:1" x14ac:dyDescent="0.35">
      <c r="A3159" s="4">
        <v>4500165156</v>
      </c>
    </row>
    <row r="3160" spans="1:1" x14ac:dyDescent="0.35">
      <c r="A3160" s="4">
        <v>4500165162</v>
      </c>
    </row>
    <row r="3161" spans="1:1" x14ac:dyDescent="0.35">
      <c r="A3161" s="4">
        <v>4500165166</v>
      </c>
    </row>
    <row r="3162" spans="1:1" x14ac:dyDescent="0.35">
      <c r="A3162" s="4">
        <v>4500165170</v>
      </c>
    </row>
    <row r="3163" spans="1:1" x14ac:dyDescent="0.35">
      <c r="A3163" s="4">
        <v>4500165174</v>
      </c>
    </row>
    <row r="3164" spans="1:1" x14ac:dyDescent="0.35">
      <c r="A3164" s="4">
        <v>4500165178</v>
      </c>
    </row>
    <row r="3165" spans="1:1" x14ac:dyDescent="0.35">
      <c r="A3165" s="4">
        <v>4500165181</v>
      </c>
    </row>
    <row r="3166" spans="1:1" x14ac:dyDescent="0.35">
      <c r="A3166" s="4">
        <v>4500165186</v>
      </c>
    </row>
    <row r="3167" spans="1:1" x14ac:dyDescent="0.35">
      <c r="A3167" s="4">
        <v>4500165191</v>
      </c>
    </row>
    <row r="3168" spans="1:1" x14ac:dyDescent="0.35">
      <c r="A3168" s="4">
        <v>4500165195</v>
      </c>
    </row>
    <row r="3169" spans="1:1" x14ac:dyDescent="0.35">
      <c r="A3169" s="4">
        <v>4500165200</v>
      </c>
    </row>
    <row r="3170" spans="1:1" x14ac:dyDescent="0.35">
      <c r="A3170" s="4">
        <v>4500165209</v>
      </c>
    </row>
    <row r="3171" spans="1:1" x14ac:dyDescent="0.35">
      <c r="A3171" s="4">
        <v>4500165212</v>
      </c>
    </row>
    <row r="3172" spans="1:1" x14ac:dyDescent="0.35">
      <c r="A3172" s="4">
        <v>4500165216</v>
      </c>
    </row>
    <row r="3173" spans="1:1" x14ac:dyDescent="0.35">
      <c r="A3173" s="4">
        <v>4500165220</v>
      </c>
    </row>
    <row r="3174" spans="1:1" x14ac:dyDescent="0.35">
      <c r="A3174" s="4">
        <v>4500165223</v>
      </c>
    </row>
    <row r="3175" spans="1:1" x14ac:dyDescent="0.35">
      <c r="A3175" s="4">
        <v>4500165230</v>
      </c>
    </row>
    <row r="3176" spans="1:1" x14ac:dyDescent="0.35">
      <c r="A3176" s="4">
        <v>4500165232</v>
      </c>
    </row>
    <row r="3177" spans="1:1" x14ac:dyDescent="0.35">
      <c r="A3177" s="4">
        <v>4500165233</v>
      </c>
    </row>
    <row r="3178" spans="1:1" x14ac:dyDescent="0.35">
      <c r="A3178" s="4">
        <v>4500165234</v>
      </c>
    </row>
    <row r="3179" spans="1:1" x14ac:dyDescent="0.35">
      <c r="A3179" s="4">
        <v>4500165235</v>
      </c>
    </row>
    <row r="3180" spans="1:1" x14ac:dyDescent="0.35">
      <c r="A3180" s="4">
        <v>4500165236</v>
      </c>
    </row>
    <row r="3181" spans="1:1" x14ac:dyDescent="0.35">
      <c r="A3181" s="4">
        <v>4500165237</v>
      </c>
    </row>
    <row r="3182" spans="1:1" x14ac:dyDescent="0.35">
      <c r="A3182" s="4">
        <v>4500165238</v>
      </c>
    </row>
    <row r="3183" spans="1:1" x14ac:dyDescent="0.35">
      <c r="A3183" s="4">
        <v>4500165239</v>
      </c>
    </row>
    <row r="3184" spans="1:1" x14ac:dyDescent="0.35">
      <c r="A3184" s="4">
        <v>4500165240</v>
      </c>
    </row>
    <row r="3185" spans="1:1" x14ac:dyDescent="0.35">
      <c r="A3185" s="4">
        <v>4500165241</v>
      </c>
    </row>
    <row r="3186" spans="1:1" x14ac:dyDescent="0.35">
      <c r="A3186" s="4">
        <v>4500165242</v>
      </c>
    </row>
    <row r="3187" spans="1:1" x14ac:dyDescent="0.35">
      <c r="A3187" s="4">
        <v>4500165243</v>
      </c>
    </row>
    <row r="3188" spans="1:1" x14ac:dyDescent="0.35">
      <c r="A3188" s="4">
        <v>4500165244</v>
      </c>
    </row>
    <row r="3189" spans="1:1" x14ac:dyDescent="0.35">
      <c r="A3189" s="4">
        <v>4500165249</v>
      </c>
    </row>
    <row r="3190" spans="1:1" x14ac:dyDescent="0.35">
      <c r="A3190" s="4">
        <v>4500165322</v>
      </c>
    </row>
    <row r="3191" spans="1:1" x14ac:dyDescent="0.35">
      <c r="A3191" s="4">
        <v>4500165327</v>
      </c>
    </row>
    <row r="3192" spans="1:1" x14ac:dyDescent="0.35">
      <c r="A3192" s="4">
        <v>4500165329</v>
      </c>
    </row>
    <row r="3193" spans="1:1" x14ac:dyDescent="0.35">
      <c r="A3193" s="4">
        <v>4500165331</v>
      </c>
    </row>
    <row r="3194" spans="1:1" x14ac:dyDescent="0.35">
      <c r="A3194" s="4">
        <v>4500165340</v>
      </c>
    </row>
    <row r="3195" spans="1:1" x14ac:dyDescent="0.35">
      <c r="A3195" s="4">
        <v>4500165345</v>
      </c>
    </row>
    <row r="3196" spans="1:1" x14ac:dyDescent="0.35">
      <c r="A3196" s="4">
        <v>4500165349</v>
      </c>
    </row>
    <row r="3197" spans="1:1" x14ac:dyDescent="0.35">
      <c r="A3197" s="4">
        <v>4500165352</v>
      </c>
    </row>
    <row r="3198" spans="1:1" x14ac:dyDescent="0.35">
      <c r="A3198" s="4">
        <v>4500165359</v>
      </c>
    </row>
    <row r="3199" spans="1:1" x14ac:dyDescent="0.35">
      <c r="A3199" s="4">
        <v>4500165363</v>
      </c>
    </row>
    <row r="3200" spans="1:1" x14ac:dyDescent="0.35">
      <c r="A3200" s="4">
        <v>4500165365</v>
      </c>
    </row>
    <row r="3201" spans="1:1" x14ac:dyDescent="0.35">
      <c r="A3201" s="4">
        <v>4500165375</v>
      </c>
    </row>
    <row r="3202" spans="1:1" x14ac:dyDescent="0.35">
      <c r="A3202" s="4">
        <v>4500165378</v>
      </c>
    </row>
    <row r="3203" spans="1:1" x14ac:dyDescent="0.35">
      <c r="A3203" s="4">
        <v>4500165383</v>
      </c>
    </row>
    <row r="3204" spans="1:1" x14ac:dyDescent="0.35">
      <c r="A3204" s="4">
        <v>4500165387</v>
      </c>
    </row>
    <row r="3205" spans="1:1" x14ac:dyDescent="0.35">
      <c r="A3205" s="4">
        <v>4500165391</v>
      </c>
    </row>
    <row r="3206" spans="1:1" x14ac:dyDescent="0.35">
      <c r="A3206" s="4">
        <v>4500165400</v>
      </c>
    </row>
    <row r="3207" spans="1:1" x14ac:dyDescent="0.35">
      <c r="A3207" s="4">
        <v>4500165405</v>
      </c>
    </row>
    <row r="3208" spans="1:1" x14ac:dyDescent="0.35">
      <c r="A3208" s="4">
        <v>4500165409</v>
      </c>
    </row>
    <row r="3209" spans="1:1" x14ac:dyDescent="0.35">
      <c r="A3209" s="4">
        <v>4500165411</v>
      </c>
    </row>
    <row r="3210" spans="1:1" x14ac:dyDescent="0.35">
      <c r="A3210" s="4">
        <v>4500165414</v>
      </c>
    </row>
    <row r="3211" spans="1:1" x14ac:dyDescent="0.35">
      <c r="A3211" s="4">
        <v>4500165418</v>
      </c>
    </row>
    <row r="3212" spans="1:1" x14ac:dyDescent="0.35">
      <c r="A3212" s="4">
        <v>4500165421</v>
      </c>
    </row>
    <row r="3213" spans="1:1" x14ac:dyDescent="0.35">
      <c r="A3213" s="4">
        <v>4500165424</v>
      </c>
    </row>
    <row r="3214" spans="1:1" x14ac:dyDescent="0.35">
      <c r="A3214" s="4">
        <v>4500165429</v>
      </c>
    </row>
    <row r="3215" spans="1:1" x14ac:dyDescent="0.35">
      <c r="A3215" s="4">
        <v>4500165430</v>
      </c>
    </row>
    <row r="3216" spans="1:1" x14ac:dyDescent="0.35">
      <c r="A3216" s="4">
        <v>4500165433</v>
      </c>
    </row>
    <row r="3217" spans="1:1" x14ac:dyDescent="0.35">
      <c r="A3217" s="4">
        <v>4500165435</v>
      </c>
    </row>
    <row r="3218" spans="1:1" x14ac:dyDescent="0.35">
      <c r="A3218" s="4">
        <v>4500165512</v>
      </c>
    </row>
    <row r="3219" spans="1:1" x14ac:dyDescent="0.35">
      <c r="A3219" s="4">
        <v>4500165517</v>
      </c>
    </row>
    <row r="3220" spans="1:1" x14ac:dyDescent="0.35">
      <c r="A3220" s="4">
        <v>4500165522</v>
      </c>
    </row>
    <row r="3221" spans="1:1" x14ac:dyDescent="0.35">
      <c r="A3221" s="4">
        <v>4500165525</v>
      </c>
    </row>
    <row r="3222" spans="1:1" x14ac:dyDescent="0.35">
      <c r="A3222" s="4">
        <v>4500165530</v>
      </c>
    </row>
    <row r="3223" spans="1:1" x14ac:dyDescent="0.35">
      <c r="A3223" s="4">
        <v>4500165535</v>
      </c>
    </row>
    <row r="3224" spans="1:1" x14ac:dyDescent="0.35">
      <c r="A3224" s="4">
        <v>4500165540</v>
      </c>
    </row>
    <row r="3225" spans="1:1" x14ac:dyDescent="0.35">
      <c r="A3225" s="4">
        <v>4500165542</v>
      </c>
    </row>
    <row r="3226" spans="1:1" x14ac:dyDescent="0.35">
      <c r="A3226" s="4">
        <v>4500165547</v>
      </c>
    </row>
    <row r="3227" spans="1:1" x14ac:dyDescent="0.35">
      <c r="A3227" s="4">
        <v>4500165550</v>
      </c>
    </row>
    <row r="3228" spans="1:1" x14ac:dyDescent="0.35">
      <c r="A3228" s="4">
        <v>4500165557</v>
      </c>
    </row>
    <row r="3229" spans="1:1" x14ac:dyDescent="0.35">
      <c r="A3229" s="4">
        <v>4500165562</v>
      </c>
    </row>
    <row r="3230" spans="1:1" x14ac:dyDescent="0.35">
      <c r="A3230" s="4">
        <v>4500165565</v>
      </c>
    </row>
    <row r="3231" spans="1:1" x14ac:dyDescent="0.35">
      <c r="A3231" s="4">
        <v>4500165569</v>
      </c>
    </row>
    <row r="3232" spans="1:1" x14ac:dyDescent="0.35">
      <c r="A3232" s="4">
        <v>4500165572</v>
      </c>
    </row>
    <row r="3233" spans="1:1" x14ac:dyDescent="0.35">
      <c r="A3233" s="4">
        <v>4500165576</v>
      </c>
    </row>
    <row r="3234" spans="1:1" x14ac:dyDescent="0.35">
      <c r="A3234" s="4">
        <v>4500165579</v>
      </c>
    </row>
    <row r="3235" spans="1:1" x14ac:dyDescent="0.35">
      <c r="A3235" s="4">
        <v>4500165581</v>
      </c>
    </row>
    <row r="3236" spans="1:1" x14ac:dyDescent="0.35">
      <c r="A3236" s="4">
        <v>4500165586</v>
      </c>
    </row>
    <row r="3237" spans="1:1" x14ac:dyDescent="0.35">
      <c r="A3237" s="4">
        <v>4500165591</v>
      </c>
    </row>
    <row r="3238" spans="1:1" x14ac:dyDescent="0.35">
      <c r="A3238" s="4">
        <v>4500165596</v>
      </c>
    </row>
    <row r="3239" spans="1:1" x14ac:dyDescent="0.35">
      <c r="A3239" s="4">
        <v>4500165601</v>
      </c>
    </row>
    <row r="3240" spans="1:1" x14ac:dyDescent="0.35">
      <c r="A3240" s="4">
        <v>4500165604</v>
      </c>
    </row>
    <row r="3241" spans="1:1" x14ac:dyDescent="0.35">
      <c r="A3241" s="4">
        <v>4500165608</v>
      </c>
    </row>
    <row r="3242" spans="1:1" x14ac:dyDescent="0.35">
      <c r="A3242" s="4">
        <v>4500165611</v>
      </c>
    </row>
    <row r="3243" spans="1:1" x14ac:dyDescent="0.35">
      <c r="A3243" s="4">
        <v>4500165613</v>
      </c>
    </row>
    <row r="3244" spans="1:1" x14ac:dyDescent="0.35">
      <c r="A3244" s="4">
        <v>4500165618</v>
      </c>
    </row>
    <row r="3245" spans="1:1" x14ac:dyDescent="0.35">
      <c r="A3245" s="4">
        <v>4500165622</v>
      </c>
    </row>
    <row r="3246" spans="1:1" x14ac:dyDescent="0.35">
      <c r="A3246" s="4">
        <v>4500165625</v>
      </c>
    </row>
    <row r="3247" spans="1:1" x14ac:dyDescent="0.35">
      <c r="A3247" s="4">
        <v>4500165628</v>
      </c>
    </row>
    <row r="3248" spans="1:1" x14ac:dyDescent="0.35">
      <c r="A3248" s="4">
        <v>4500165629</v>
      </c>
    </row>
    <row r="3249" spans="1:1" x14ac:dyDescent="0.35">
      <c r="A3249" s="4">
        <v>4500165651</v>
      </c>
    </row>
    <row r="3250" spans="1:1" x14ac:dyDescent="0.35">
      <c r="A3250" s="4">
        <v>4500165669</v>
      </c>
    </row>
    <row r="3251" spans="1:1" x14ac:dyDescent="0.35">
      <c r="A3251" s="4">
        <v>4500165685</v>
      </c>
    </row>
    <row r="3252" spans="1:1" x14ac:dyDescent="0.35">
      <c r="A3252" s="4">
        <v>4500165699</v>
      </c>
    </row>
    <row r="3253" spans="1:1" x14ac:dyDescent="0.35">
      <c r="A3253" s="4">
        <v>4500165702</v>
      </c>
    </row>
    <row r="3254" spans="1:1" x14ac:dyDescent="0.35">
      <c r="A3254" s="4">
        <v>4500165705</v>
      </c>
    </row>
    <row r="3255" spans="1:1" x14ac:dyDescent="0.35">
      <c r="A3255" s="4">
        <v>4500165712</v>
      </c>
    </row>
    <row r="3256" spans="1:1" x14ac:dyDescent="0.35">
      <c r="A3256" s="4">
        <v>4500165715</v>
      </c>
    </row>
    <row r="3257" spans="1:1" x14ac:dyDescent="0.35">
      <c r="A3257" s="4">
        <v>4500165719</v>
      </c>
    </row>
    <row r="3258" spans="1:1" x14ac:dyDescent="0.35">
      <c r="A3258" s="4">
        <v>4500165722</v>
      </c>
    </row>
    <row r="3259" spans="1:1" x14ac:dyDescent="0.35">
      <c r="A3259" s="4">
        <v>4500165726</v>
      </c>
    </row>
    <row r="3260" spans="1:1" x14ac:dyDescent="0.35">
      <c r="A3260" s="4">
        <v>4500165732</v>
      </c>
    </row>
    <row r="3261" spans="1:1" x14ac:dyDescent="0.35">
      <c r="A3261" s="4">
        <v>4500165734</v>
      </c>
    </row>
    <row r="3262" spans="1:1" x14ac:dyDescent="0.35">
      <c r="A3262" s="4">
        <v>4500165740</v>
      </c>
    </row>
    <row r="3263" spans="1:1" x14ac:dyDescent="0.35">
      <c r="A3263" s="4">
        <v>4500165746</v>
      </c>
    </row>
    <row r="3264" spans="1:1" x14ac:dyDescent="0.35">
      <c r="A3264" s="4">
        <v>4500165747</v>
      </c>
    </row>
    <row r="3265" spans="1:1" x14ac:dyDescent="0.35">
      <c r="A3265" s="4">
        <v>4500165750</v>
      </c>
    </row>
    <row r="3266" spans="1:1" x14ac:dyDescent="0.35">
      <c r="A3266" s="4">
        <v>4500165752</v>
      </c>
    </row>
    <row r="3267" spans="1:1" x14ac:dyDescent="0.35">
      <c r="A3267" s="4">
        <v>4500165755</v>
      </c>
    </row>
    <row r="3268" spans="1:1" x14ac:dyDescent="0.35">
      <c r="A3268" s="4">
        <v>4500165765</v>
      </c>
    </row>
    <row r="3269" spans="1:1" x14ac:dyDescent="0.35">
      <c r="A3269" s="4">
        <v>4500165770</v>
      </c>
    </row>
    <row r="3270" spans="1:1" x14ac:dyDescent="0.35">
      <c r="A3270" s="4">
        <v>4500165774</v>
      </c>
    </row>
    <row r="3271" spans="1:1" x14ac:dyDescent="0.35">
      <c r="A3271" s="4">
        <v>4500165780</v>
      </c>
    </row>
    <row r="3272" spans="1:1" x14ac:dyDescent="0.35">
      <c r="A3272" s="4">
        <v>4500165786</v>
      </c>
    </row>
    <row r="3273" spans="1:1" x14ac:dyDescent="0.35">
      <c r="A3273" s="4">
        <v>4500165791</v>
      </c>
    </row>
    <row r="3274" spans="1:1" x14ac:dyDescent="0.35">
      <c r="A3274" s="4">
        <v>4500165793</v>
      </c>
    </row>
    <row r="3275" spans="1:1" x14ac:dyDescent="0.35">
      <c r="A3275" s="4">
        <v>4500165797</v>
      </c>
    </row>
    <row r="3276" spans="1:1" x14ac:dyDescent="0.35">
      <c r="A3276" s="4">
        <v>4500165803</v>
      </c>
    </row>
    <row r="3277" spans="1:1" x14ac:dyDescent="0.35">
      <c r="A3277" s="4">
        <v>4500165805</v>
      </c>
    </row>
    <row r="3278" spans="1:1" x14ac:dyDescent="0.35">
      <c r="A3278" s="4">
        <v>4500165807</v>
      </c>
    </row>
    <row r="3279" spans="1:1" x14ac:dyDescent="0.35">
      <c r="A3279" s="4">
        <v>4500165809</v>
      </c>
    </row>
    <row r="3280" spans="1:1" x14ac:dyDescent="0.35">
      <c r="A3280" s="4">
        <v>4500165811</v>
      </c>
    </row>
    <row r="3281" spans="1:1" x14ac:dyDescent="0.35">
      <c r="A3281" s="4">
        <v>4500165812</v>
      </c>
    </row>
    <row r="3282" spans="1:1" x14ac:dyDescent="0.35">
      <c r="A3282" s="4">
        <v>4500165814</v>
      </c>
    </row>
    <row r="3283" spans="1:1" x14ac:dyDescent="0.35">
      <c r="A3283" s="4">
        <v>4500165816</v>
      </c>
    </row>
    <row r="3284" spans="1:1" x14ac:dyDescent="0.35">
      <c r="A3284" s="4">
        <v>4500165818</v>
      </c>
    </row>
    <row r="3285" spans="1:1" x14ac:dyDescent="0.35">
      <c r="A3285" s="4">
        <v>4500165857</v>
      </c>
    </row>
    <row r="3286" spans="1:1" x14ac:dyDescent="0.35">
      <c r="A3286" s="4">
        <v>4500165933</v>
      </c>
    </row>
    <row r="3287" spans="1:1" x14ac:dyDescent="0.35">
      <c r="A3287" s="4">
        <v>4500165938</v>
      </c>
    </row>
    <row r="3288" spans="1:1" x14ac:dyDescent="0.35">
      <c r="A3288" s="4">
        <v>4500165940</v>
      </c>
    </row>
    <row r="3289" spans="1:1" x14ac:dyDescent="0.35">
      <c r="A3289" s="4">
        <v>4500165945</v>
      </c>
    </row>
    <row r="3290" spans="1:1" x14ac:dyDescent="0.35">
      <c r="A3290" s="4">
        <v>4500165950</v>
      </c>
    </row>
    <row r="3291" spans="1:1" x14ac:dyDescent="0.35">
      <c r="A3291" s="4">
        <v>4500165956</v>
      </c>
    </row>
    <row r="3292" spans="1:1" x14ac:dyDescent="0.35">
      <c r="A3292" s="4">
        <v>4500165959</v>
      </c>
    </row>
    <row r="3293" spans="1:1" x14ac:dyDescent="0.35">
      <c r="A3293" s="4">
        <v>4500165963</v>
      </c>
    </row>
    <row r="3294" spans="1:1" x14ac:dyDescent="0.35">
      <c r="A3294" s="4">
        <v>4500165966</v>
      </c>
    </row>
    <row r="3295" spans="1:1" x14ac:dyDescent="0.35">
      <c r="A3295" s="4">
        <v>4500165969</v>
      </c>
    </row>
    <row r="3296" spans="1:1" x14ac:dyDescent="0.35">
      <c r="A3296" s="4">
        <v>4500165972</v>
      </c>
    </row>
    <row r="3297" spans="1:1" x14ac:dyDescent="0.35">
      <c r="A3297" s="4">
        <v>4500165981</v>
      </c>
    </row>
    <row r="3298" spans="1:1" x14ac:dyDescent="0.35">
      <c r="A3298" s="4">
        <v>4500165985</v>
      </c>
    </row>
    <row r="3299" spans="1:1" x14ac:dyDescent="0.35">
      <c r="A3299" s="4">
        <v>4500165990</v>
      </c>
    </row>
    <row r="3300" spans="1:1" x14ac:dyDescent="0.35">
      <c r="A3300" s="4">
        <v>4500165993</v>
      </c>
    </row>
    <row r="3301" spans="1:1" x14ac:dyDescent="0.35">
      <c r="A3301" s="4">
        <v>4500165997</v>
      </c>
    </row>
    <row r="3302" spans="1:1" x14ac:dyDescent="0.35">
      <c r="A3302" s="4">
        <v>4500165999</v>
      </c>
    </row>
    <row r="3303" spans="1:1" x14ac:dyDescent="0.35">
      <c r="A3303" s="4">
        <v>4500166001</v>
      </c>
    </row>
    <row r="3304" spans="1:1" x14ac:dyDescent="0.35">
      <c r="A3304" s="4">
        <v>4500166007</v>
      </c>
    </row>
    <row r="3305" spans="1:1" x14ac:dyDescent="0.35">
      <c r="A3305" s="4">
        <v>4500166011</v>
      </c>
    </row>
    <row r="3306" spans="1:1" x14ac:dyDescent="0.35">
      <c r="A3306" s="4">
        <v>4500166013</v>
      </c>
    </row>
    <row r="3307" spans="1:1" x14ac:dyDescent="0.35">
      <c r="A3307" s="4">
        <v>4500166015</v>
      </c>
    </row>
    <row r="3308" spans="1:1" x14ac:dyDescent="0.35">
      <c r="A3308" s="4">
        <v>4500166018</v>
      </c>
    </row>
    <row r="3309" spans="1:1" x14ac:dyDescent="0.35">
      <c r="A3309" s="4">
        <v>4500166019</v>
      </c>
    </row>
    <row r="3310" spans="1:1" x14ac:dyDescent="0.35">
      <c r="A3310" s="4">
        <v>4500166020</v>
      </c>
    </row>
    <row r="3311" spans="1:1" x14ac:dyDescent="0.35">
      <c r="A3311" s="4">
        <v>4500166023</v>
      </c>
    </row>
    <row r="3312" spans="1:1" x14ac:dyDescent="0.35">
      <c r="A3312" s="4">
        <v>4500166024</v>
      </c>
    </row>
    <row r="3313" spans="1:1" x14ac:dyDescent="0.35">
      <c r="A3313" s="4">
        <v>4500166025</v>
      </c>
    </row>
    <row r="3314" spans="1:1" x14ac:dyDescent="0.35">
      <c r="A3314" s="4">
        <v>4500166028</v>
      </c>
    </row>
    <row r="3315" spans="1:1" x14ac:dyDescent="0.35">
      <c r="A3315" s="4">
        <v>4500166029</v>
      </c>
    </row>
    <row r="3316" spans="1:1" x14ac:dyDescent="0.35">
      <c r="A3316" s="4">
        <v>4500166077</v>
      </c>
    </row>
    <row r="3317" spans="1:1" x14ac:dyDescent="0.35">
      <c r="A3317" s="4">
        <v>4500166107</v>
      </c>
    </row>
    <row r="3318" spans="1:1" x14ac:dyDescent="0.35">
      <c r="A3318" s="4">
        <v>4500166111</v>
      </c>
    </row>
    <row r="3319" spans="1:1" x14ac:dyDescent="0.35">
      <c r="A3319" s="4">
        <v>4500166117</v>
      </c>
    </row>
    <row r="3320" spans="1:1" x14ac:dyDescent="0.35">
      <c r="A3320" s="4">
        <v>4500166121</v>
      </c>
    </row>
    <row r="3321" spans="1:1" x14ac:dyDescent="0.35">
      <c r="A3321" s="4">
        <v>4500166124</v>
      </c>
    </row>
    <row r="3322" spans="1:1" x14ac:dyDescent="0.35">
      <c r="A3322" s="4">
        <v>4500166126</v>
      </c>
    </row>
    <row r="3323" spans="1:1" x14ac:dyDescent="0.35">
      <c r="A3323" s="4">
        <v>4500166130</v>
      </c>
    </row>
    <row r="3324" spans="1:1" x14ac:dyDescent="0.35">
      <c r="A3324" s="4">
        <v>4500166137</v>
      </c>
    </row>
    <row r="3325" spans="1:1" x14ac:dyDescent="0.35">
      <c r="A3325" s="4">
        <v>4500166140</v>
      </c>
    </row>
    <row r="3326" spans="1:1" x14ac:dyDescent="0.35">
      <c r="A3326" s="4">
        <v>4500166144</v>
      </c>
    </row>
    <row r="3327" spans="1:1" x14ac:dyDescent="0.35">
      <c r="A3327" s="4">
        <v>4500166147</v>
      </c>
    </row>
    <row r="3328" spans="1:1" x14ac:dyDescent="0.35">
      <c r="A3328" s="4">
        <v>4500166150</v>
      </c>
    </row>
    <row r="3329" spans="1:1" x14ac:dyDescent="0.35">
      <c r="A3329" s="4">
        <v>4500166152</v>
      </c>
    </row>
    <row r="3330" spans="1:1" x14ac:dyDescent="0.35">
      <c r="A3330" s="4">
        <v>4500166156</v>
      </c>
    </row>
    <row r="3331" spans="1:1" x14ac:dyDescent="0.35">
      <c r="A3331" s="4">
        <v>4500166159</v>
      </c>
    </row>
    <row r="3332" spans="1:1" x14ac:dyDescent="0.35">
      <c r="A3332" s="4">
        <v>4500166167</v>
      </c>
    </row>
    <row r="3333" spans="1:1" x14ac:dyDescent="0.35">
      <c r="A3333" s="4">
        <v>4500166171</v>
      </c>
    </row>
    <row r="3334" spans="1:1" x14ac:dyDescent="0.35">
      <c r="A3334" s="4">
        <v>4500166175</v>
      </c>
    </row>
    <row r="3335" spans="1:1" x14ac:dyDescent="0.35">
      <c r="A3335" s="4">
        <v>4500166180</v>
      </c>
    </row>
    <row r="3336" spans="1:1" x14ac:dyDescent="0.35">
      <c r="A3336" s="4">
        <v>4500166184</v>
      </c>
    </row>
    <row r="3337" spans="1:1" x14ac:dyDescent="0.35">
      <c r="A3337" s="4">
        <v>4500166186</v>
      </c>
    </row>
    <row r="3338" spans="1:1" x14ac:dyDescent="0.35">
      <c r="A3338" s="4">
        <v>4500166189</v>
      </c>
    </row>
    <row r="3339" spans="1:1" x14ac:dyDescent="0.35">
      <c r="A3339" s="4">
        <v>4500166192</v>
      </c>
    </row>
    <row r="3340" spans="1:1" x14ac:dyDescent="0.35">
      <c r="A3340" s="4">
        <v>4500166198</v>
      </c>
    </row>
    <row r="3341" spans="1:1" x14ac:dyDescent="0.35">
      <c r="A3341" s="4">
        <v>4500166200</v>
      </c>
    </row>
    <row r="3342" spans="1:1" x14ac:dyDescent="0.35">
      <c r="A3342" s="4">
        <v>4500166202</v>
      </c>
    </row>
    <row r="3343" spans="1:1" x14ac:dyDescent="0.35">
      <c r="A3343" s="4">
        <v>4500166204</v>
      </c>
    </row>
    <row r="3344" spans="1:1" x14ac:dyDescent="0.35">
      <c r="A3344" s="4">
        <v>4500166206</v>
      </c>
    </row>
    <row r="3345" spans="1:1" x14ac:dyDescent="0.35">
      <c r="A3345" s="4">
        <v>4500166207</v>
      </c>
    </row>
    <row r="3346" spans="1:1" x14ac:dyDescent="0.35">
      <c r="A3346" s="4">
        <v>4500166209</v>
      </c>
    </row>
    <row r="3347" spans="1:1" x14ac:dyDescent="0.35">
      <c r="A3347" s="4">
        <v>4500166211</v>
      </c>
    </row>
    <row r="3348" spans="1:1" x14ac:dyDescent="0.35">
      <c r="A3348" s="4">
        <v>4500166215</v>
      </c>
    </row>
    <row r="3349" spans="1:1" x14ac:dyDescent="0.35">
      <c r="A3349" s="4">
        <v>4500166251</v>
      </c>
    </row>
    <row r="3350" spans="1:1" x14ac:dyDescent="0.35">
      <c r="A3350" s="4">
        <v>4500166282</v>
      </c>
    </row>
    <row r="3351" spans="1:1" x14ac:dyDescent="0.35">
      <c r="A3351" s="4">
        <v>4500166284</v>
      </c>
    </row>
    <row r="3352" spans="1:1" x14ac:dyDescent="0.35">
      <c r="A3352" s="4">
        <v>4500166286</v>
      </c>
    </row>
    <row r="3353" spans="1:1" x14ac:dyDescent="0.35">
      <c r="A3353" s="4">
        <v>4500166287</v>
      </c>
    </row>
    <row r="3354" spans="1:1" x14ac:dyDescent="0.35">
      <c r="A3354" s="4">
        <v>4500166290</v>
      </c>
    </row>
    <row r="3355" spans="1:1" x14ac:dyDescent="0.35">
      <c r="A3355" s="4">
        <v>4500166292</v>
      </c>
    </row>
    <row r="3356" spans="1:1" x14ac:dyDescent="0.35">
      <c r="A3356" s="4">
        <v>4500166298</v>
      </c>
    </row>
    <row r="3357" spans="1:1" x14ac:dyDescent="0.35">
      <c r="A3357" s="4">
        <v>4500166301</v>
      </c>
    </row>
    <row r="3358" spans="1:1" x14ac:dyDescent="0.35">
      <c r="A3358" s="4">
        <v>4500166302</v>
      </c>
    </row>
    <row r="3359" spans="1:1" x14ac:dyDescent="0.35">
      <c r="A3359" s="4">
        <v>4500166306</v>
      </c>
    </row>
    <row r="3360" spans="1:1" x14ac:dyDescent="0.35">
      <c r="A3360" s="4">
        <v>4500166310</v>
      </c>
    </row>
    <row r="3361" spans="1:1" x14ac:dyDescent="0.35">
      <c r="A3361" s="4">
        <v>4500166317</v>
      </c>
    </row>
    <row r="3362" spans="1:1" x14ac:dyDescent="0.35">
      <c r="A3362" s="4">
        <v>4500166322</v>
      </c>
    </row>
    <row r="3363" spans="1:1" x14ac:dyDescent="0.35">
      <c r="A3363" s="4">
        <v>4500166330</v>
      </c>
    </row>
    <row r="3364" spans="1:1" x14ac:dyDescent="0.35">
      <c r="A3364" s="4">
        <v>4500166335</v>
      </c>
    </row>
    <row r="3365" spans="1:1" x14ac:dyDescent="0.35">
      <c r="A3365" s="4">
        <v>4500166340</v>
      </c>
    </row>
    <row r="3366" spans="1:1" x14ac:dyDescent="0.35">
      <c r="A3366" s="4">
        <v>4500166343</v>
      </c>
    </row>
    <row r="3367" spans="1:1" x14ac:dyDescent="0.35">
      <c r="A3367" s="4">
        <v>4500166346</v>
      </c>
    </row>
    <row r="3368" spans="1:1" x14ac:dyDescent="0.35">
      <c r="A3368" s="4">
        <v>4500166353</v>
      </c>
    </row>
    <row r="3369" spans="1:1" x14ac:dyDescent="0.35">
      <c r="A3369" s="4">
        <v>4500166356</v>
      </c>
    </row>
    <row r="3370" spans="1:1" x14ac:dyDescent="0.35">
      <c r="A3370" s="4">
        <v>4500166370</v>
      </c>
    </row>
    <row r="3371" spans="1:1" x14ac:dyDescent="0.35">
      <c r="A3371" s="4">
        <v>4500166372</v>
      </c>
    </row>
    <row r="3372" spans="1:1" x14ac:dyDescent="0.35">
      <c r="A3372" s="4">
        <v>4500166378</v>
      </c>
    </row>
    <row r="3373" spans="1:1" x14ac:dyDescent="0.35">
      <c r="A3373" s="4">
        <v>4500166382</v>
      </c>
    </row>
    <row r="3374" spans="1:1" x14ac:dyDescent="0.35">
      <c r="A3374" s="4">
        <v>4500166386</v>
      </c>
    </row>
    <row r="3375" spans="1:1" x14ac:dyDescent="0.35">
      <c r="A3375" s="4">
        <v>4500166390</v>
      </c>
    </row>
    <row r="3376" spans="1:1" x14ac:dyDescent="0.35">
      <c r="A3376" s="4">
        <v>4500166394</v>
      </c>
    </row>
    <row r="3377" spans="1:1" x14ac:dyDescent="0.35">
      <c r="A3377" s="4">
        <v>4500166400</v>
      </c>
    </row>
    <row r="3378" spans="1:1" x14ac:dyDescent="0.35">
      <c r="A3378" s="4">
        <v>4500166403</v>
      </c>
    </row>
    <row r="3379" spans="1:1" x14ac:dyDescent="0.35">
      <c r="A3379" s="4">
        <v>4500166474</v>
      </c>
    </row>
    <row r="3380" spans="1:1" x14ac:dyDescent="0.35">
      <c r="A3380" s="4">
        <v>4500166476</v>
      </c>
    </row>
    <row r="3381" spans="1:1" x14ac:dyDescent="0.35">
      <c r="A3381" s="4">
        <v>4500166480</v>
      </c>
    </row>
    <row r="3382" spans="1:1" x14ac:dyDescent="0.35">
      <c r="A3382" s="4">
        <v>4500166482</v>
      </c>
    </row>
    <row r="3383" spans="1:1" x14ac:dyDescent="0.35">
      <c r="A3383" s="4">
        <v>4500166485</v>
      </c>
    </row>
    <row r="3384" spans="1:1" x14ac:dyDescent="0.35">
      <c r="A3384" s="4">
        <v>4500166488</v>
      </c>
    </row>
    <row r="3385" spans="1:1" x14ac:dyDescent="0.35">
      <c r="A3385" s="4">
        <v>4500166491</v>
      </c>
    </row>
    <row r="3386" spans="1:1" x14ac:dyDescent="0.35">
      <c r="A3386" s="4">
        <v>4500166494</v>
      </c>
    </row>
    <row r="3387" spans="1:1" x14ac:dyDescent="0.35">
      <c r="A3387" s="4">
        <v>4500166496</v>
      </c>
    </row>
    <row r="3388" spans="1:1" x14ac:dyDescent="0.35">
      <c r="A3388" s="4">
        <v>4500166498</v>
      </c>
    </row>
    <row r="3389" spans="1:1" x14ac:dyDescent="0.35">
      <c r="A3389" s="4">
        <v>4500166499</v>
      </c>
    </row>
    <row r="3390" spans="1:1" x14ac:dyDescent="0.35">
      <c r="A3390" s="4">
        <v>4500166502</v>
      </c>
    </row>
    <row r="3391" spans="1:1" x14ac:dyDescent="0.35">
      <c r="A3391" s="4">
        <v>4500166503</v>
      </c>
    </row>
    <row r="3392" spans="1:1" x14ac:dyDescent="0.35">
      <c r="A3392" s="4">
        <v>4500166506</v>
      </c>
    </row>
    <row r="3393" spans="1:1" x14ac:dyDescent="0.35">
      <c r="A3393" s="4">
        <v>4500166515</v>
      </c>
    </row>
    <row r="3394" spans="1:1" x14ac:dyDescent="0.35">
      <c r="A3394" s="4">
        <v>4500166519</v>
      </c>
    </row>
    <row r="3395" spans="1:1" x14ac:dyDescent="0.35">
      <c r="A3395" s="4">
        <v>4500166522</v>
      </c>
    </row>
    <row r="3396" spans="1:1" x14ac:dyDescent="0.35">
      <c r="A3396" s="4">
        <v>4500166527</v>
      </c>
    </row>
    <row r="3397" spans="1:1" x14ac:dyDescent="0.35">
      <c r="A3397" s="4">
        <v>4500166528</v>
      </c>
    </row>
    <row r="3398" spans="1:1" x14ac:dyDescent="0.35">
      <c r="A3398" s="4">
        <v>4500166532</v>
      </c>
    </row>
    <row r="3399" spans="1:1" x14ac:dyDescent="0.35">
      <c r="A3399" s="4">
        <v>4500166535</v>
      </c>
    </row>
    <row r="3400" spans="1:1" x14ac:dyDescent="0.35">
      <c r="A3400" s="4">
        <v>4500166538</v>
      </c>
    </row>
    <row r="3401" spans="1:1" x14ac:dyDescent="0.35">
      <c r="A3401" s="4">
        <v>4500166542</v>
      </c>
    </row>
    <row r="3402" spans="1:1" x14ac:dyDescent="0.35">
      <c r="A3402" s="4">
        <v>4500166545</v>
      </c>
    </row>
    <row r="3403" spans="1:1" x14ac:dyDescent="0.35">
      <c r="A3403" s="4">
        <v>4500166548</v>
      </c>
    </row>
    <row r="3404" spans="1:1" x14ac:dyDescent="0.35">
      <c r="A3404" s="4">
        <v>4500166551</v>
      </c>
    </row>
    <row r="3405" spans="1:1" x14ac:dyDescent="0.35">
      <c r="A3405" s="4">
        <v>4500166555</v>
      </c>
    </row>
    <row r="3406" spans="1:1" x14ac:dyDescent="0.35">
      <c r="A3406" s="4">
        <v>4500166558</v>
      </c>
    </row>
    <row r="3407" spans="1:1" x14ac:dyDescent="0.35">
      <c r="A3407" s="4">
        <v>4500166560</v>
      </c>
    </row>
    <row r="3408" spans="1:1" x14ac:dyDescent="0.35">
      <c r="A3408" s="4">
        <v>4500166562</v>
      </c>
    </row>
    <row r="3409" spans="1:1" x14ac:dyDescent="0.35">
      <c r="A3409" s="4">
        <v>4500166565</v>
      </c>
    </row>
    <row r="3410" spans="1:1" x14ac:dyDescent="0.35">
      <c r="A3410" s="4">
        <v>4500166569</v>
      </c>
    </row>
    <row r="3411" spans="1:1" x14ac:dyDescent="0.35">
      <c r="A3411" s="4">
        <v>4500166571</v>
      </c>
    </row>
    <row r="3412" spans="1:1" x14ac:dyDescent="0.35">
      <c r="A3412" s="4">
        <v>4500166575</v>
      </c>
    </row>
    <row r="3413" spans="1:1" x14ac:dyDescent="0.35">
      <c r="A3413" s="4">
        <v>4500166579</v>
      </c>
    </row>
    <row r="3414" spans="1:1" x14ac:dyDescent="0.35">
      <c r="A3414" s="4">
        <v>4500166584</v>
      </c>
    </row>
    <row r="3415" spans="1:1" x14ac:dyDescent="0.35">
      <c r="A3415" s="4">
        <v>4500166588</v>
      </c>
    </row>
    <row r="3416" spans="1:1" x14ac:dyDescent="0.35">
      <c r="A3416" s="4">
        <v>4500166590</v>
      </c>
    </row>
    <row r="3417" spans="1:1" x14ac:dyDescent="0.35">
      <c r="A3417" s="4">
        <v>4500166594</v>
      </c>
    </row>
    <row r="3418" spans="1:1" x14ac:dyDescent="0.35">
      <c r="A3418" s="4">
        <v>4500166597</v>
      </c>
    </row>
    <row r="3419" spans="1:1" x14ac:dyDescent="0.35">
      <c r="A3419" s="4">
        <v>4500166626</v>
      </c>
    </row>
    <row r="3420" spans="1:1" x14ac:dyDescent="0.35">
      <c r="A3420" s="4">
        <v>4500166669</v>
      </c>
    </row>
    <row r="3421" spans="1:1" x14ac:dyDescent="0.35">
      <c r="A3421" s="4">
        <v>4500166716</v>
      </c>
    </row>
    <row r="3422" spans="1:1" x14ac:dyDescent="0.35">
      <c r="A3422" s="4">
        <v>4500166721</v>
      </c>
    </row>
    <row r="3423" spans="1:1" x14ac:dyDescent="0.35">
      <c r="A3423" s="4">
        <v>4500166723</v>
      </c>
    </row>
    <row r="3424" spans="1:1" x14ac:dyDescent="0.35">
      <c r="A3424" s="4">
        <v>4500166728</v>
      </c>
    </row>
    <row r="3425" spans="1:1" x14ac:dyDescent="0.35">
      <c r="A3425" s="4">
        <v>4500166736</v>
      </c>
    </row>
    <row r="3426" spans="1:1" x14ac:dyDescent="0.35">
      <c r="A3426" s="4">
        <v>4500166747</v>
      </c>
    </row>
    <row r="3427" spans="1:1" x14ac:dyDescent="0.35">
      <c r="A3427" s="4">
        <v>4500166752</v>
      </c>
    </row>
    <row r="3428" spans="1:1" x14ac:dyDescent="0.35">
      <c r="A3428" s="4">
        <v>4500166757</v>
      </c>
    </row>
    <row r="3429" spans="1:1" x14ac:dyDescent="0.35">
      <c r="A3429" s="4">
        <v>4500166761</v>
      </c>
    </row>
    <row r="3430" spans="1:1" x14ac:dyDescent="0.35">
      <c r="A3430" s="4">
        <v>4500166767</v>
      </c>
    </row>
    <row r="3431" spans="1:1" x14ac:dyDescent="0.35">
      <c r="A3431" s="4">
        <v>4500166770</v>
      </c>
    </row>
    <row r="3432" spans="1:1" x14ac:dyDescent="0.35">
      <c r="A3432" s="4">
        <v>4500166773</v>
      </c>
    </row>
    <row r="3433" spans="1:1" x14ac:dyDescent="0.35">
      <c r="A3433" s="4">
        <v>4500166777</v>
      </c>
    </row>
    <row r="3434" spans="1:1" x14ac:dyDescent="0.35">
      <c r="A3434" s="4">
        <v>4500166786</v>
      </c>
    </row>
    <row r="3435" spans="1:1" x14ac:dyDescent="0.35">
      <c r="A3435" s="4">
        <v>4500166789</v>
      </c>
    </row>
    <row r="3436" spans="1:1" x14ac:dyDescent="0.35">
      <c r="A3436" s="4">
        <v>4500166792</v>
      </c>
    </row>
    <row r="3437" spans="1:1" x14ac:dyDescent="0.35">
      <c r="A3437" s="4">
        <v>4500166794</v>
      </c>
    </row>
    <row r="3438" spans="1:1" x14ac:dyDescent="0.35">
      <c r="A3438" s="4">
        <v>4500166796</v>
      </c>
    </row>
    <row r="3439" spans="1:1" x14ac:dyDescent="0.35">
      <c r="A3439" s="4">
        <v>4500166801</v>
      </c>
    </row>
    <row r="3440" spans="1:1" x14ac:dyDescent="0.35">
      <c r="A3440" s="4">
        <v>4500166805</v>
      </c>
    </row>
    <row r="3441" spans="1:1" x14ac:dyDescent="0.35">
      <c r="A3441" s="4">
        <v>4500166807</v>
      </c>
    </row>
    <row r="3442" spans="1:1" x14ac:dyDescent="0.35">
      <c r="A3442" s="4">
        <v>4500166814</v>
      </c>
    </row>
    <row r="3443" spans="1:1" x14ac:dyDescent="0.35">
      <c r="A3443" s="4">
        <v>4500166816</v>
      </c>
    </row>
    <row r="3444" spans="1:1" x14ac:dyDescent="0.35">
      <c r="A3444" s="4">
        <v>4500166817</v>
      </c>
    </row>
    <row r="3445" spans="1:1" x14ac:dyDescent="0.35">
      <c r="A3445" s="4">
        <v>4500166818</v>
      </c>
    </row>
    <row r="3446" spans="1:1" x14ac:dyDescent="0.35">
      <c r="A3446" s="4">
        <v>4500166819</v>
      </c>
    </row>
    <row r="3447" spans="1:1" x14ac:dyDescent="0.35">
      <c r="A3447" s="4">
        <v>4500166820</v>
      </c>
    </row>
    <row r="3448" spans="1:1" x14ac:dyDescent="0.35">
      <c r="A3448" s="4">
        <v>4500166821</v>
      </c>
    </row>
    <row r="3449" spans="1:1" x14ac:dyDescent="0.35">
      <c r="A3449" s="4">
        <v>4500166822</v>
      </c>
    </row>
    <row r="3450" spans="1:1" x14ac:dyDescent="0.35">
      <c r="A3450" s="4">
        <v>4500166825</v>
      </c>
    </row>
    <row r="3451" spans="1:1" x14ac:dyDescent="0.35">
      <c r="A3451" s="4">
        <v>4500166830</v>
      </c>
    </row>
    <row r="3452" spans="1:1" x14ac:dyDescent="0.35">
      <c r="A3452" s="4">
        <v>4500166909</v>
      </c>
    </row>
    <row r="3453" spans="1:1" x14ac:dyDescent="0.35">
      <c r="A3453" s="4">
        <v>4500166917</v>
      </c>
    </row>
    <row r="3454" spans="1:1" x14ac:dyDescent="0.35">
      <c r="A3454" s="4">
        <v>4500166920</v>
      </c>
    </row>
    <row r="3455" spans="1:1" x14ac:dyDescent="0.35">
      <c r="A3455" s="4">
        <v>4500166924</v>
      </c>
    </row>
    <row r="3456" spans="1:1" x14ac:dyDescent="0.35">
      <c r="A3456" s="4">
        <v>4500166927</v>
      </c>
    </row>
    <row r="3457" spans="1:1" x14ac:dyDescent="0.35">
      <c r="A3457" s="4">
        <v>4500166935</v>
      </c>
    </row>
    <row r="3458" spans="1:1" x14ac:dyDescent="0.35">
      <c r="A3458" s="4">
        <v>4500166944</v>
      </c>
    </row>
    <row r="3459" spans="1:1" x14ac:dyDescent="0.35">
      <c r="A3459" s="4">
        <v>4500166956</v>
      </c>
    </row>
    <row r="3460" spans="1:1" x14ac:dyDescent="0.35">
      <c r="A3460" s="4">
        <v>4500166963</v>
      </c>
    </row>
    <row r="3461" spans="1:1" x14ac:dyDescent="0.35">
      <c r="A3461" s="4">
        <v>4500166966</v>
      </c>
    </row>
    <row r="3462" spans="1:1" x14ac:dyDescent="0.35">
      <c r="A3462" s="4">
        <v>4500166970</v>
      </c>
    </row>
    <row r="3463" spans="1:1" x14ac:dyDescent="0.35">
      <c r="A3463" s="4">
        <v>4500166974</v>
      </c>
    </row>
    <row r="3464" spans="1:1" x14ac:dyDescent="0.35">
      <c r="A3464" s="4">
        <v>4500166976</v>
      </c>
    </row>
    <row r="3465" spans="1:1" x14ac:dyDescent="0.35">
      <c r="A3465" s="4">
        <v>4500166979</v>
      </c>
    </row>
    <row r="3466" spans="1:1" x14ac:dyDescent="0.35">
      <c r="A3466" s="4">
        <v>4500166984</v>
      </c>
    </row>
    <row r="3467" spans="1:1" x14ac:dyDescent="0.35">
      <c r="A3467" s="4">
        <v>4500166988</v>
      </c>
    </row>
    <row r="3468" spans="1:1" x14ac:dyDescent="0.35">
      <c r="A3468" s="4">
        <v>4500166992</v>
      </c>
    </row>
    <row r="3469" spans="1:1" x14ac:dyDescent="0.35">
      <c r="A3469" s="4">
        <v>4500166994</v>
      </c>
    </row>
    <row r="3470" spans="1:1" x14ac:dyDescent="0.35">
      <c r="A3470" s="4">
        <v>4500166996</v>
      </c>
    </row>
    <row r="3471" spans="1:1" x14ac:dyDescent="0.35">
      <c r="A3471" s="4">
        <v>4500166997</v>
      </c>
    </row>
    <row r="3472" spans="1:1" x14ac:dyDescent="0.35">
      <c r="A3472" s="4">
        <v>4500166998</v>
      </c>
    </row>
    <row r="3473" spans="1:1" x14ac:dyDescent="0.35">
      <c r="A3473" s="4">
        <v>4500167000</v>
      </c>
    </row>
    <row r="3474" spans="1:1" x14ac:dyDescent="0.35">
      <c r="A3474" s="4">
        <v>4500167001</v>
      </c>
    </row>
    <row r="3475" spans="1:1" x14ac:dyDescent="0.35">
      <c r="A3475" s="4">
        <v>4500167005</v>
      </c>
    </row>
    <row r="3476" spans="1:1" x14ac:dyDescent="0.35">
      <c r="A3476" s="4">
        <v>4500167007</v>
      </c>
    </row>
    <row r="3477" spans="1:1" x14ac:dyDescent="0.35">
      <c r="A3477" s="4">
        <v>4500167009</v>
      </c>
    </row>
    <row r="3478" spans="1:1" x14ac:dyDescent="0.35">
      <c r="A3478" s="4">
        <v>4500167011</v>
      </c>
    </row>
    <row r="3479" spans="1:1" x14ac:dyDescent="0.35">
      <c r="A3479" s="4">
        <v>4500167012</v>
      </c>
    </row>
    <row r="3480" spans="1:1" x14ac:dyDescent="0.35">
      <c r="A3480" s="4">
        <v>4500167015</v>
      </c>
    </row>
    <row r="3481" spans="1:1" x14ac:dyDescent="0.35">
      <c r="A3481" s="4">
        <v>4500167016</v>
      </c>
    </row>
    <row r="3482" spans="1:1" x14ac:dyDescent="0.35">
      <c r="A3482" s="4">
        <v>4500167018</v>
      </c>
    </row>
    <row r="3483" spans="1:1" x14ac:dyDescent="0.35">
      <c r="A3483" s="4">
        <v>4500167078</v>
      </c>
    </row>
    <row r="3484" spans="1:1" x14ac:dyDescent="0.35">
      <c r="A3484" s="4">
        <v>4500167081</v>
      </c>
    </row>
    <row r="3485" spans="1:1" x14ac:dyDescent="0.35">
      <c r="A3485" s="4">
        <v>4500167083</v>
      </c>
    </row>
    <row r="3486" spans="1:1" x14ac:dyDescent="0.35">
      <c r="A3486" s="4">
        <v>4500167085</v>
      </c>
    </row>
    <row r="3487" spans="1:1" x14ac:dyDescent="0.35">
      <c r="A3487" s="4">
        <v>4500167087</v>
      </c>
    </row>
    <row r="3488" spans="1:1" x14ac:dyDescent="0.35">
      <c r="A3488" s="4">
        <v>4500167090</v>
      </c>
    </row>
    <row r="3489" spans="1:1" x14ac:dyDescent="0.35">
      <c r="A3489" s="4">
        <v>4500167094</v>
      </c>
    </row>
    <row r="3490" spans="1:1" x14ac:dyDescent="0.35">
      <c r="A3490" s="4">
        <v>4500167098</v>
      </c>
    </row>
    <row r="3491" spans="1:1" x14ac:dyDescent="0.35">
      <c r="A3491" s="4">
        <v>4500167107</v>
      </c>
    </row>
    <row r="3492" spans="1:1" x14ac:dyDescent="0.35">
      <c r="A3492" s="4">
        <v>4500167110</v>
      </c>
    </row>
    <row r="3493" spans="1:1" x14ac:dyDescent="0.35">
      <c r="A3493" s="4">
        <v>4500167118</v>
      </c>
    </row>
    <row r="3494" spans="1:1" x14ac:dyDescent="0.35">
      <c r="A3494" s="4">
        <v>4500167140</v>
      </c>
    </row>
    <row r="3495" spans="1:1" x14ac:dyDescent="0.35">
      <c r="A3495" s="4">
        <v>4500167144</v>
      </c>
    </row>
    <row r="3496" spans="1:1" x14ac:dyDescent="0.35">
      <c r="A3496" s="4">
        <v>4500167150</v>
      </c>
    </row>
    <row r="3497" spans="1:1" x14ac:dyDescent="0.35">
      <c r="A3497" s="4">
        <v>4500167161</v>
      </c>
    </row>
    <row r="3498" spans="1:1" x14ac:dyDescent="0.35">
      <c r="A3498" s="4">
        <v>4500167164</v>
      </c>
    </row>
    <row r="3499" spans="1:1" x14ac:dyDescent="0.35">
      <c r="A3499" s="4">
        <v>4500167172</v>
      </c>
    </row>
    <row r="3500" spans="1:1" x14ac:dyDescent="0.35">
      <c r="A3500" s="4">
        <v>4500167175</v>
      </c>
    </row>
    <row r="3501" spans="1:1" x14ac:dyDescent="0.35">
      <c r="A3501" s="4">
        <v>4500167181</v>
      </c>
    </row>
    <row r="3502" spans="1:1" x14ac:dyDescent="0.35">
      <c r="A3502" s="4">
        <v>4500167186</v>
      </c>
    </row>
    <row r="3503" spans="1:1" x14ac:dyDescent="0.35">
      <c r="A3503" s="4">
        <v>4500167204</v>
      </c>
    </row>
    <row r="3504" spans="1:1" x14ac:dyDescent="0.35">
      <c r="A3504" s="4">
        <v>4500167205</v>
      </c>
    </row>
    <row r="3505" spans="1:1" x14ac:dyDescent="0.35">
      <c r="A3505" s="4">
        <v>4500167208</v>
      </c>
    </row>
    <row r="3506" spans="1:1" x14ac:dyDescent="0.35">
      <c r="A3506" s="4">
        <v>4500167210</v>
      </c>
    </row>
    <row r="3507" spans="1:1" x14ac:dyDescent="0.35">
      <c r="A3507" s="4">
        <v>4500167212</v>
      </c>
    </row>
    <row r="3508" spans="1:1" x14ac:dyDescent="0.35">
      <c r="A3508" s="4">
        <v>4500167214</v>
      </c>
    </row>
    <row r="3509" spans="1:1" x14ac:dyDescent="0.35">
      <c r="A3509" s="4">
        <v>4500167215</v>
      </c>
    </row>
    <row r="3510" spans="1:1" x14ac:dyDescent="0.35">
      <c r="A3510" s="4">
        <v>4500167301</v>
      </c>
    </row>
    <row r="3511" spans="1:1" x14ac:dyDescent="0.35">
      <c r="A3511" s="4">
        <v>4500167304</v>
      </c>
    </row>
    <row r="3512" spans="1:1" x14ac:dyDescent="0.35">
      <c r="A3512" s="4">
        <v>4500167311</v>
      </c>
    </row>
    <row r="3513" spans="1:1" x14ac:dyDescent="0.35">
      <c r="A3513" s="4">
        <v>4500167315</v>
      </c>
    </row>
    <row r="3514" spans="1:1" x14ac:dyDescent="0.35">
      <c r="A3514" s="4">
        <v>4500167318</v>
      </c>
    </row>
    <row r="3515" spans="1:1" x14ac:dyDescent="0.35">
      <c r="A3515" s="4">
        <v>4500167326</v>
      </c>
    </row>
    <row r="3516" spans="1:1" x14ac:dyDescent="0.35">
      <c r="A3516" s="4">
        <v>4500167329</v>
      </c>
    </row>
    <row r="3517" spans="1:1" x14ac:dyDescent="0.35">
      <c r="A3517" s="4">
        <v>4500167332</v>
      </c>
    </row>
    <row r="3518" spans="1:1" x14ac:dyDescent="0.35">
      <c r="A3518" s="4">
        <v>4500167336</v>
      </c>
    </row>
    <row r="3519" spans="1:1" x14ac:dyDescent="0.35">
      <c r="A3519" s="4">
        <v>4500167339</v>
      </c>
    </row>
    <row r="3520" spans="1:1" x14ac:dyDescent="0.35">
      <c r="A3520" s="4">
        <v>4500167342</v>
      </c>
    </row>
    <row r="3521" spans="1:1" x14ac:dyDescent="0.35">
      <c r="A3521" s="4">
        <v>4500167347</v>
      </c>
    </row>
    <row r="3522" spans="1:1" x14ac:dyDescent="0.35">
      <c r="A3522" s="4">
        <v>4500167351</v>
      </c>
    </row>
    <row r="3523" spans="1:1" x14ac:dyDescent="0.35">
      <c r="A3523" s="4">
        <v>4500167354</v>
      </c>
    </row>
    <row r="3524" spans="1:1" x14ac:dyDescent="0.35">
      <c r="A3524" s="4">
        <v>4500167357</v>
      </c>
    </row>
    <row r="3525" spans="1:1" x14ac:dyDescent="0.35">
      <c r="A3525" s="4">
        <v>4500167361</v>
      </c>
    </row>
    <row r="3526" spans="1:1" x14ac:dyDescent="0.35">
      <c r="A3526" s="4">
        <v>4500167365</v>
      </c>
    </row>
    <row r="3527" spans="1:1" x14ac:dyDescent="0.35">
      <c r="A3527" s="4">
        <v>4500167372</v>
      </c>
    </row>
    <row r="3528" spans="1:1" x14ac:dyDescent="0.35">
      <c r="A3528" s="4">
        <v>4500167376</v>
      </c>
    </row>
    <row r="3529" spans="1:1" x14ac:dyDescent="0.35">
      <c r="A3529" s="4">
        <v>4500167381</v>
      </c>
    </row>
    <row r="3530" spans="1:1" x14ac:dyDescent="0.35">
      <c r="A3530" s="4">
        <v>4500167384</v>
      </c>
    </row>
    <row r="3531" spans="1:1" x14ac:dyDescent="0.35">
      <c r="A3531" s="4">
        <v>4500167385</v>
      </c>
    </row>
    <row r="3532" spans="1:1" x14ac:dyDescent="0.35">
      <c r="A3532" s="4">
        <v>4500167386</v>
      </c>
    </row>
    <row r="3533" spans="1:1" x14ac:dyDescent="0.35">
      <c r="A3533" s="4">
        <v>4500167388</v>
      </c>
    </row>
    <row r="3534" spans="1:1" x14ac:dyDescent="0.35">
      <c r="A3534" s="4">
        <v>4500167389</v>
      </c>
    </row>
    <row r="3535" spans="1:1" x14ac:dyDescent="0.35">
      <c r="A3535" s="4">
        <v>4500167391</v>
      </c>
    </row>
    <row r="3536" spans="1:1" x14ac:dyDescent="0.35">
      <c r="A3536" s="4">
        <v>4500167393</v>
      </c>
    </row>
    <row r="3537" spans="1:1" x14ac:dyDescent="0.35">
      <c r="A3537" s="4">
        <v>4500167458</v>
      </c>
    </row>
    <row r="3538" spans="1:1" x14ac:dyDescent="0.35">
      <c r="A3538" s="4">
        <v>4500167475</v>
      </c>
    </row>
    <row r="3539" spans="1:1" x14ac:dyDescent="0.35">
      <c r="A3539" s="4">
        <v>4500167479</v>
      </c>
    </row>
    <row r="3540" spans="1:1" x14ac:dyDescent="0.35">
      <c r="A3540" s="4">
        <v>4500167484</v>
      </c>
    </row>
    <row r="3541" spans="1:1" x14ac:dyDescent="0.35">
      <c r="A3541" s="4">
        <v>4500167489</v>
      </c>
    </row>
    <row r="3542" spans="1:1" x14ac:dyDescent="0.35">
      <c r="A3542" s="4">
        <v>4500167494</v>
      </c>
    </row>
    <row r="3543" spans="1:1" x14ac:dyDescent="0.35">
      <c r="A3543" s="4">
        <v>4500167500</v>
      </c>
    </row>
    <row r="3544" spans="1:1" x14ac:dyDescent="0.35">
      <c r="A3544" s="4">
        <v>4500167505</v>
      </c>
    </row>
    <row r="3545" spans="1:1" x14ac:dyDescent="0.35">
      <c r="A3545" s="4">
        <v>4500167512</v>
      </c>
    </row>
    <row r="3546" spans="1:1" x14ac:dyDescent="0.35">
      <c r="A3546" s="4">
        <v>4500167516</v>
      </c>
    </row>
    <row r="3547" spans="1:1" x14ac:dyDescent="0.35">
      <c r="A3547" s="4">
        <v>4500167519</v>
      </c>
    </row>
    <row r="3548" spans="1:1" x14ac:dyDescent="0.35">
      <c r="A3548" s="4">
        <v>4500167523</v>
      </c>
    </row>
    <row r="3549" spans="1:1" x14ac:dyDescent="0.35">
      <c r="A3549" s="4">
        <v>4500167528</v>
      </c>
    </row>
    <row r="3550" spans="1:1" x14ac:dyDescent="0.35">
      <c r="A3550" s="4">
        <v>4500167533</v>
      </c>
    </row>
    <row r="3551" spans="1:1" x14ac:dyDescent="0.35">
      <c r="A3551" s="4">
        <v>4500167537</v>
      </c>
    </row>
    <row r="3552" spans="1:1" x14ac:dyDescent="0.35">
      <c r="A3552" s="4">
        <v>4500167541</v>
      </c>
    </row>
    <row r="3553" spans="1:1" x14ac:dyDescent="0.35">
      <c r="A3553" s="4">
        <v>4500167544</v>
      </c>
    </row>
    <row r="3554" spans="1:1" x14ac:dyDescent="0.35">
      <c r="A3554" s="4">
        <v>4500167547</v>
      </c>
    </row>
    <row r="3555" spans="1:1" x14ac:dyDescent="0.35">
      <c r="A3555" s="4">
        <v>4500167550</v>
      </c>
    </row>
    <row r="3556" spans="1:1" x14ac:dyDescent="0.35">
      <c r="A3556" s="4">
        <v>4500167554</v>
      </c>
    </row>
    <row r="3557" spans="1:1" x14ac:dyDescent="0.35">
      <c r="A3557" s="4">
        <v>4500167562</v>
      </c>
    </row>
    <row r="3558" spans="1:1" x14ac:dyDescent="0.35">
      <c r="A3558" s="4">
        <v>4500167570</v>
      </c>
    </row>
    <row r="3559" spans="1:1" x14ac:dyDescent="0.35">
      <c r="A3559" s="4">
        <v>4500167573</v>
      </c>
    </row>
    <row r="3560" spans="1:1" x14ac:dyDescent="0.35">
      <c r="A3560" s="4">
        <v>4500167575</v>
      </c>
    </row>
    <row r="3561" spans="1:1" x14ac:dyDescent="0.35">
      <c r="A3561" s="4">
        <v>4500167578</v>
      </c>
    </row>
    <row r="3562" spans="1:1" x14ac:dyDescent="0.35">
      <c r="A3562" s="4">
        <v>4500167580</v>
      </c>
    </row>
    <row r="3563" spans="1:1" x14ac:dyDescent="0.35">
      <c r="A3563" s="4">
        <v>4500167583</v>
      </c>
    </row>
    <row r="3564" spans="1:1" x14ac:dyDescent="0.35">
      <c r="A3564" s="4">
        <v>4500167586</v>
      </c>
    </row>
    <row r="3565" spans="1:1" x14ac:dyDescent="0.35">
      <c r="A3565" s="4">
        <v>4500167589</v>
      </c>
    </row>
    <row r="3566" spans="1:1" x14ac:dyDescent="0.35">
      <c r="A3566" s="4">
        <v>4500167592</v>
      </c>
    </row>
    <row r="3567" spans="1:1" x14ac:dyDescent="0.35">
      <c r="A3567" s="4">
        <v>4500167666</v>
      </c>
    </row>
    <row r="3568" spans="1:1" x14ac:dyDescent="0.35">
      <c r="A3568" s="4">
        <v>4500167669</v>
      </c>
    </row>
    <row r="3569" spans="1:1" x14ac:dyDescent="0.35">
      <c r="A3569" s="4">
        <v>4500167672</v>
      </c>
    </row>
    <row r="3570" spans="1:1" x14ac:dyDescent="0.35">
      <c r="A3570" s="4">
        <v>4500167682</v>
      </c>
    </row>
    <row r="3571" spans="1:1" x14ac:dyDescent="0.35">
      <c r="A3571" s="4">
        <v>4500167685</v>
      </c>
    </row>
    <row r="3572" spans="1:1" x14ac:dyDescent="0.35">
      <c r="A3572" s="4">
        <v>4500167691</v>
      </c>
    </row>
    <row r="3573" spans="1:1" x14ac:dyDescent="0.35">
      <c r="A3573" s="4">
        <v>4500167699</v>
      </c>
    </row>
    <row r="3574" spans="1:1" x14ac:dyDescent="0.35">
      <c r="A3574" s="4">
        <v>4500167706</v>
      </c>
    </row>
    <row r="3575" spans="1:1" x14ac:dyDescent="0.35">
      <c r="A3575" s="4">
        <v>4500167714</v>
      </c>
    </row>
    <row r="3576" spans="1:1" x14ac:dyDescent="0.35">
      <c r="A3576" s="4">
        <v>4500167721</v>
      </c>
    </row>
    <row r="3577" spans="1:1" x14ac:dyDescent="0.35">
      <c r="A3577" s="4">
        <v>4500167725</v>
      </c>
    </row>
    <row r="3578" spans="1:1" x14ac:dyDescent="0.35">
      <c r="A3578" s="4">
        <v>4500167730</v>
      </c>
    </row>
    <row r="3579" spans="1:1" x14ac:dyDescent="0.35">
      <c r="A3579" s="4">
        <v>4500167741</v>
      </c>
    </row>
    <row r="3580" spans="1:1" x14ac:dyDescent="0.35">
      <c r="A3580" s="4">
        <v>4500167750</v>
      </c>
    </row>
    <row r="3581" spans="1:1" x14ac:dyDescent="0.35">
      <c r="A3581" s="4">
        <v>4500167754</v>
      </c>
    </row>
    <row r="3582" spans="1:1" x14ac:dyDescent="0.35">
      <c r="A3582" s="4">
        <v>4500167758</v>
      </c>
    </row>
    <row r="3583" spans="1:1" x14ac:dyDescent="0.35">
      <c r="A3583" s="4">
        <v>4500167762</v>
      </c>
    </row>
    <row r="3584" spans="1:1" x14ac:dyDescent="0.35">
      <c r="A3584" s="4">
        <v>4500167765</v>
      </c>
    </row>
    <row r="3585" spans="1:1" x14ac:dyDescent="0.35">
      <c r="A3585" s="4">
        <v>4500167768</v>
      </c>
    </row>
    <row r="3586" spans="1:1" x14ac:dyDescent="0.35">
      <c r="A3586" s="4">
        <v>4500167770</v>
      </c>
    </row>
    <row r="3587" spans="1:1" x14ac:dyDescent="0.35">
      <c r="A3587" s="4">
        <v>4500167780</v>
      </c>
    </row>
    <row r="3588" spans="1:1" x14ac:dyDescent="0.35">
      <c r="A3588" s="4">
        <v>4500167793</v>
      </c>
    </row>
    <row r="3589" spans="1:1" x14ac:dyDescent="0.35">
      <c r="A3589" s="4">
        <v>4500167794</v>
      </c>
    </row>
    <row r="3590" spans="1:1" x14ac:dyDescent="0.35">
      <c r="A3590" s="4">
        <v>4500167795</v>
      </c>
    </row>
    <row r="3591" spans="1:1" x14ac:dyDescent="0.35">
      <c r="A3591" s="4">
        <v>4500167796</v>
      </c>
    </row>
    <row r="3592" spans="1:1" x14ac:dyDescent="0.35">
      <c r="A3592" s="4">
        <v>4500167797</v>
      </c>
    </row>
    <row r="3593" spans="1:1" x14ac:dyDescent="0.35">
      <c r="A3593" s="4">
        <v>4500167798</v>
      </c>
    </row>
    <row r="3594" spans="1:1" x14ac:dyDescent="0.35">
      <c r="A3594" s="4">
        <v>4500167799</v>
      </c>
    </row>
    <row r="3595" spans="1:1" x14ac:dyDescent="0.35">
      <c r="A3595" s="4">
        <v>4500167802</v>
      </c>
    </row>
    <row r="3596" spans="1:1" x14ac:dyDescent="0.35">
      <c r="A3596" s="4">
        <v>4500167803</v>
      </c>
    </row>
    <row r="3597" spans="1:1" x14ac:dyDescent="0.35">
      <c r="A3597" s="4">
        <v>4500167874</v>
      </c>
    </row>
    <row r="3598" spans="1:1" x14ac:dyDescent="0.35">
      <c r="A3598" s="4">
        <v>4500167878</v>
      </c>
    </row>
    <row r="3599" spans="1:1" x14ac:dyDescent="0.35">
      <c r="A3599" s="4">
        <v>4500167887</v>
      </c>
    </row>
    <row r="3600" spans="1:1" x14ac:dyDescent="0.35">
      <c r="A3600" s="4">
        <v>4500167902</v>
      </c>
    </row>
    <row r="3601" spans="1:1" x14ac:dyDescent="0.35">
      <c r="A3601" s="4">
        <v>4500167908</v>
      </c>
    </row>
    <row r="3602" spans="1:1" x14ac:dyDescent="0.35">
      <c r="A3602" s="4">
        <v>4500167914</v>
      </c>
    </row>
    <row r="3603" spans="1:1" x14ac:dyDescent="0.35">
      <c r="A3603" s="4">
        <v>4500167922</v>
      </c>
    </row>
    <row r="3604" spans="1:1" x14ac:dyDescent="0.35">
      <c r="A3604" s="4">
        <v>4500167931</v>
      </c>
    </row>
    <row r="3605" spans="1:1" x14ac:dyDescent="0.35">
      <c r="A3605" s="4">
        <v>4500167944</v>
      </c>
    </row>
    <row r="3606" spans="1:1" x14ac:dyDescent="0.35">
      <c r="A3606" s="4">
        <v>4500167953</v>
      </c>
    </row>
    <row r="3607" spans="1:1" x14ac:dyDescent="0.35">
      <c r="A3607" s="4">
        <v>4500167957</v>
      </c>
    </row>
    <row r="3608" spans="1:1" x14ac:dyDescent="0.35">
      <c r="A3608" s="4">
        <v>4500167964</v>
      </c>
    </row>
    <row r="3609" spans="1:1" x14ac:dyDescent="0.35">
      <c r="A3609" s="4">
        <v>4500167967</v>
      </c>
    </row>
    <row r="3610" spans="1:1" x14ac:dyDescent="0.35">
      <c r="A3610" s="4">
        <v>4500167969</v>
      </c>
    </row>
    <row r="3611" spans="1:1" x14ac:dyDescent="0.35">
      <c r="A3611" s="4">
        <v>4500167971</v>
      </c>
    </row>
    <row r="3612" spans="1:1" x14ac:dyDescent="0.35">
      <c r="A3612" s="4">
        <v>4500167973</v>
      </c>
    </row>
    <row r="3613" spans="1:1" x14ac:dyDescent="0.35">
      <c r="A3613" s="4">
        <v>4500167979</v>
      </c>
    </row>
    <row r="3614" spans="1:1" x14ac:dyDescent="0.35">
      <c r="A3614" s="4">
        <v>4500167982</v>
      </c>
    </row>
    <row r="3615" spans="1:1" x14ac:dyDescent="0.35">
      <c r="A3615" s="4">
        <v>4500167987</v>
      </c>
    </row>
    <row r="3616" spans="1:1" x14ac:dyDescent="0.35">
      <c r="A3616" s="4">
        <v>4500167990</v>
      </c>
    </row>
    <row r="3617" spans="1:1" x14ac:dyDescent="0.35">
      <c r="A3617" s="4">
        <v>4500167992</v>
      </c>
    </row>
    <row r="3618" spans="1:1" x14ac:dyDescent="0.35">
      <c r="A3618" s="4">
        <v>4500167993</v>
      </c>
    </row>
    <row r="3619" spans="1:1" x14ac:dyDescent="0.35">
      <c r="A3619" s="4">
        <v>4500167995</v>
      </c>
    </row>
    <row r="3620" spans="1:1" x14ac:dyDescent="0.35">
      <c r="A3620" s="4">
        <v>4500167997</v>
      </c>
    </row>
    <row r="3621" spans="1:1" x14ac:dyDescent="0.35">
      <c r="A3621" s="4">
        <v>4500167998</v>
      </c>
    </row>
    <row r="3622" spans="1:1" x14ac:dyDescent="0.35">
      <c r="A3622" s="4">
        <v>4500167999</v>
      </c>
    </row>
    <row r="3623" spans="1:1" x14ac:dyDescent="0.35">
      <c r="A3623" s="4">
        <v>4500168001</v>
      </c>
    </row>
    <row r="3624" spans="1:1" x14ac:dyDescent="0.35">
      <c r="A3624" s="4">
        <v>4500168003</v>
      </c>
    </row>
    <row r="3625" spans="1:1" x14ac:dyDescent="0.35">
      <c r="A3625" s="4">
        <v>4500168004</v>
      </c>
    </row>
    <row r="3626" spans="1:1" x14ac:dyDescent="0.35">
      <c r="A3626" s="4">
        <v>4500168008</v>
      </c>
    </row>
    <row r="3627" spans="1:1" x14ac:dyDescent="0.35">
      <c r="A3627" s="4">
        <v>4500168009</v>
      </c>
    </row>
    <row r="3628" spans="1:1" x14ac:dyDescent="0.35">
      <c r="A3628" s="4">
        <v>4500168067</v>
      </c>
    </row>
    <row r="3629" spans="1:1" x14ac:dyDescent="0.35">
      <c r="A3629" s="4">
        <v>4500168070</v>
      </c>
    </row>
    <row r="3630" spans="1:1" x14ac:dyDescent="0.35">
      <c r="A3630" s="4">
        <v>4500168078</v>
      </c>
    </row>
    <row r="3631" spans="1:1" x14ac:dyDescent="0.35">
      <c r="A3631" s="4">
        <v>4500168081</v>
      </c>
    </row>
    <row r="3632" spans="1:1" x14ac:dyDescent="0.35">
      <c r="A3632" s="4">
        <v>4500168085</v>
      </c>
    </row>
    <row r="3633" spans="1:1" x14ac:dyDescent="0.35">
      <c r="A3633" s="4">
        <v>4500168088</v>
      </c>
    </row>
    <row r="3634" spans="1:1" x14ac:dyDescent="0.35">
      <c r="A3634" s="4">
        <v>4500168093</v>
      </c>
    </row>
    <row r="3635" spans="1:1" x14ac:dyDescent="0.35">
      <c r="A3635" s="4">
        <v>4500168096</v>
      </c>
    </row>
    <row r="3636" spans="1:1" x14ac:dyDescent="0.35">
      <c r="A3636" s="4">
        <v>4500168099</v>
      </c>
    </row>
    <row r="3637" spans="1:1" x14ac:dyDescent="0.35">
      <c r="A3637" s="4">
        <v>4500168102</v>
      </c>
    </row>
    <row r="3638" spans="1:1" x14ac:dyDescent="0.35">
      <c r="A3638" s="4">
        <v>4500168104</v>
      </c>
    </row>
    <row r="3639" spans="1:1" x14ac:dyDescent="0.35">
      <c r="A3639" s="4">
        <v>4500168107</v>
      </c>
    </row>
    <row r="3640" spans="1:1" x14ac:dyDescent="0.35">
      <c r="A3640" s="4">
        <v>4500168108</v>
      </c>
    </row>
    <row r="3641" spans="1:1" x14ac:dyDescent="0.35">
      <c r="A3641" s="4">
        <v>4500168113</v>
      </c>
    </row>
    <row r="3642" spans="1:1" x14ac:dyDescent="0.35">
      <c r="A3642" s="4">
        <v>4500168117</v>
      </c>
    </row>
    <row r="3643" spans="1:1" x14ac:dyDescent="0.35">
      <c r="A3643" s="4">
        <v>4500168131</v>
      </c>
    </row>
    <row r="3644" spans="1:1" x14ac:dyDescent="0.35">
      <c r="A3644" s="4">
        <v>4500168135</v>
      </c>
    </row>
    <row r="3645" spans="1:1" x14ac:dyDescent="0.35">
      <c r="A3645" s="4">
        <v>4500168142</v>
      </c>
    </row>
    <row r="3646" spans="1:1" x14ac:dyDescent="0.35">
      <c r="A3646" s="4">
        <v>4500168146</v>
      </c>
    </row>
    <row r="3647" spans="1:1" x14ac:dyDescent="0.35">
      <c r="A3647" s="4">
        <v>4500168149</v>
      </c>
    </row>
    <row r="3648" spans="1:1" x14ac:dyDescent="0.35">
      <c r="A3648" s="4">
        <v>4500168153</v>
      </c>
    </row>
    <row r="3649" spans="1:1" x14ac:dyDescent="0.35">
      <c r="A3649" s="4">
        <v>4500168155</v>
      </c>
    </row>
    <row r="3650" spans="1:1" x14ac:dyDescent="0.35">
      <c r="A3650" s="4">
        <v>4500168157</v>
      </c>
    </row>
    <row r="3651" spans="1:1" x14ac:dyDescent="0.35">
      <c r="A3651" s="4">
        <v>4500168219</v>
      </c>
    </row>
    <row r="3652" spans="1:1" x14ac:dyDescent="0.35">
      <c r="A3652" s="4">
        <v>4500168290</v>
      </c>
    </row>
    <row r="3653" spans="1:1" x14ac:dyDescent="0.35">
      <c r="A3653" s="4">
        <v>4500168296</v>
      </c>
    </row>
    <row r="3654" spans="1:1" x14ac:dyDescent="0.35">
      <c r="A3654" s="4">
        <v>4500168300</v>
      </c>
    </row>
    <row r="3655" spans="1:1" x14ac:dyDescent="0.35">
      <c r="A3655" s="4">
        <v>4500168304</v>
      </c>
    </row>
    <row r="3656" spans="1:1" x14ac:dyDescent="0.35">
      <c r="A3656" s="4">
        <v>4500168309</v>
      </c>
    </row>
    <row r="3657" spans="1:1" x14ac:dyDescent="0.35">
      <c r="A3657" s="4">
        <v>4500168313</v>
      </c>
    </row>
    <row r="3658" spans="1:1" x14ac:dyDescent="0.35">
      <c r="A3658" s="4">
        <v>4500168315</v>
      </c>
    </row>
    <row r="3659" spans="1:1" x14ac:dyDescent="0.35">
      <c r="A3659" s="4">
        <v>4500168319</v>
      </c>
    </row>
    <row r="3660" spans="1:1" x14ac:dyDescent="0.35">
      <c r="A3660" s="4">
        <v>4500168323</v>
      </c>
    </row>
    <row r="3661" spans="1:1" x14ac:dyDescent="0.35">
      <c r="A3661" s="4">
        <v>4500168328</v>
      </c>
    </row>
    <row r="3662" spans="1:1" x14ac:dyDescent="0.35">
      <c r="A3662" s="4">
        <v>4500168333</v>
      </c>
    </row>
    <row r="3663" spans="1:1" x14ac:dyDescent="0.35">
      <c r="A3663" s="4">
        <v>4500168339</v>
      </c>
    </row>
    <row r="3664" spans="1:1" x14ac:dyDescent="0.35">
      <c r="A3664" s="4">
        <v>4500168342</v>
      </c>
    </row>
    <row r="3665" spans="1:1" x14ac:dyDescent="0.35">
      <c r="A3665" s="4">
        <v>4500168347</v>
      </c>
    </row>
    <row r="3666" spans="1:1" x14ac:dyDescent="0.35">
      <c r="A3666" s="4">
        <v>4500168355</v>
      </c>
    </row>
    <row r="3667" spans="1:1" x14ac:dyDescent="0.35">
      <c r="A3667" s="4">
        <v>4500168362</v>
      </c>
    </row>
    <row r="3668" spans="1:1" x14ac:dyDescent="0.35">
      <c r="A3668" s="4">
        <v>4500168367</v>
      </c>
    </row>
    <row r="3669" spans="1:1" x14ac:dyDescent="0.35">
      <c r="A3669" s="4">
        <v>4500168370</v>
      </c>
    </row>
    <row r="3670" spans="1:1" x14ac:dyDescent="0.35">
      <c r="A3670" s="4">
        <v>4500168380</v>
      </c>
    </row>
    <row r="3671" spans="1:1" x14ac:dyDescent="0.35">
      <c r="A3671" s="4">
        <v>4500168383</v>
      </c>
    </row>
    <row r="3672" spans="1:1" x14ac:dyDescent="0.35">
      <c r="A3672" s="4">
        <v>4500168387</v>
      </c>
    </row>
    <row r="3673" spans="1:1" x14ac:dyDescent="0.35">
      <c r="A3673" s="4">
        <v>4500168389</v>
      </c>
    </row>
    <row r="3674" spans="1:1" x14ac:dyDescent="0.35">
      <c r="A3674" s="4">
        <v>4500168392</v>
      </c>
    </row>
    <row r="3675" spans="1:1" x14ac:dyDescent="0.35">
      <c r="A3675" s="4">
        <v>4500168395</v>
      </c>
    </row>
    <row r="3676" spans="1:1" x14ac:dyDescent="0.35">
      <c r="A3676" s="4">
        <v>4500168396</v>
      </c>
    </row>
    <row r="3677" spans="1:1" x14ac:dyDescent="0.35">
      <c r="A3677" s="4">
        <v>4500168398</v>
      </c>
    </row>
    <row r="3678" spans="1:1" x14ac:dyDescent="0.35">
      <c r="A3678" s="4">
        <v>4500168401</v>
      </c>
    </row>
    <row r="3679" spans="1:1" x14ac:dyDescent="0.35">
      <c r="A3679" s="4">
        <v>4500168422</v>
      </c>
    </row>
    <row r="3680" spans="1:1" x14ac:dyDescent="0.35">
      <c r="A3680" s="4">
        <v>4500168468</v>
      </c>
    </row>
    <row r="3681" spans="1:1" x14ac:dyDescent="0.35">
      <c r="A3681" s="4">
        <v>4500168475</v>
      </c>
    </row>
    <row r="3682" spans="1:1" x14ac:dyDescent="0.35">
      <c r="A3682" s="4">
        <v>4500168481</v>
      </c>
    </row>
    <row r="3683" spans="1:1" x14ac:dyDescent="0.35">
      <c r="A3683" s="4">
        <v>4500168486</v>
      </c>
    </row>
    <row r="3684" spans="1:1" x14ac:dyDescent="0.35">
      <c r="A3684" s="4">
        <v>4500168489</v>
      </c>
    </row>
    <row r="3685" spans="1:1" x14ac:dyDescent="0.35">
      <c r="A3685" s="4">
        <v>4500168494</v>
      </c>
    </row>
    <row r="3686" spans="1:1" x14ac:dyDescent="0.35">
      <c r="A3686" s="4">
        <v>4500168497</v>
      </c>
    </row>
    <row r="3687" spans="1:1" x14ac:dyDescent="0.35">
      <c r="A3687" s="4">
        <v>4500168501</v>
      </c>
    </row>
    <row r="3688" spans="1:1" x14ac:dyDescent="0.35">
      <c r="A3688" s="4">
        <v>4500168505</v>
      </c>
    </row>
    <row r="3689" spans="1:1" x14ac:dyDescent="0.35">
      <c r="A3689" s="4">
        <v>4500168509</v>
      </c>
    </row>
    <row r="3690" spans="1:1" x14ac:dyDescent="0.35">
      <c r="A3690" s="4">
        <v>4500168513</v>
      </c>
    </row>
    <row r="3691" spans="1:1" x14ac:dyDescent="0.35">
      <c r="A3691" s="4">
        <v>4500168516</v>
      </c>
    </row>
    <row r="3692" spans="1:1" x14ac:dyDescent="0.35">
      <c r="A3692" s="4">
        <v>4500168520</v>
      </c>
    </row>
    <row r="3693" spans="1:1" x14ac:dyDescent="0.35">
      <c r="A3693" s="4">
        <v>4500168523</v>
      </c>
    </row>
    <row r="3694" spans="1:1" x14ac:dyDescent="0.35">
      <c r="A3694" s="4">
        <v>4500168526</v>
      </c>
    </row>
    <row r="3695" spans="1:1" x14ac:dyDescent="0.35">
      <c r="A3695" s="4">
        <v>4500168527</v>
      </c>
    </row>
    <row r="3696" spans="1:1" x14ac:dyDescent="0.35">
      <c r="A3696" s="4">
        <v>4500168530</v>
      </c>
    </row>
    <row r="3697" spans="1:1" x14ac:dyDescent="0.35">
      <c r="A3697" s="4">
        <v>4500168535</v>
      </c>
    </row>
    <row r="3698" spans="1:1" x14ac:dyDescent="0.35">
      <c r="A3698" s="4">
        <v>4500168539</v>
      </c>
    </row>
    <row r="3699" spans="1:1" x14ac:dyDescent="0.35">
      <c r="A3699" s="4">
        <v>4500168542</v>
      </c>
    </row>
    <row r="3700" spans="1:1" x14ac:dyDescent="0.35">
      <c r="A3700" s="4">
        <v>4500168546</v>
      </c>
    </row>
    <row r="3701" spans="1:1" x14ac:dyDescent="0.35">
      <c r="A3701" s="4">
        <v>4500168548</v>
      </c>
    </row>
    <row r="3702" spans="1:1" x14ac:dyDescent="0.35">
      <c r="A3702" s="4">
        <v>4500168550</v>
      </c>
    </row>
    <row r="3703" spans="1:1" x14ac:dyDescent="0.35">
      <c r="A3703" s="4">
        <v>4500168553</v>
      </c>
    </row>
    <row r="3704" spans="1:1" x14ac:dyDescent="0.35">
      <c r="A3704" s="4">
        <v>4500168556</v>
      </c>
    </row>
    <row r="3705" spans="1:1" x14ac:dyDescent="0.35">
      <c r="A3705" s="4">
        <v>4500168569</v>
      </c>
    </row>
    <row r="3706" spans="1:1" x14ac:dyDescent="0.35">
      <c r="A3706" s="4">
        <v>4500168572</v>
      </c>
    </row>
    <row r="3707" spans="1:1" x14ac:dyDescent="0.35">
      <c r="A3707" s="4">
        <v>4500168577</v>
      </c>
    </row>
    <row r="3708" spans="1:1" x14ac:dyDescent="0.35">
      <c r="A3708" s="4">
        <v>4500168579</v>
      </c>
    </row>
    <row r="3709" spans="1:1" x14ac:dyDescent="0.35">
      <c r="A3709" s="4">
        <v>4500168582</v>
      </c>
    </row>
    <row r="3710" spans="1:1" x14ac:dyDescent="0.35">
      <c r="A3710" s="4">
        <v>4500168583</v>
      </c>
    </row>
    <row r="3711" spans="1:1" x14ac:dyDescent="0.35">
      <c r="A3711" s="4">
        <v>4500168585</v>
      </c>
    </row>
    <row r="3712" spans="1:1" x14ac:dyDescent="0.35">
      <c r="A3712" s="4">
        <v>4500168586</v>
      </c>
    </row>
    <row r="3713" spans="1:1" x14ac:dyDescent="0.35">
      <c r="A3713" s="4">
        <v>4500168589</v>
      </c>
    </row>
    <row r="3714" spans="1:1" x14ac:dyDescent="0.35">
      <c r="A3714" s="4">
        <v>4500168644</v>
      </c>
    </row>
    <row r="3715" spans="1:1" x14ac:dyDescent="0.35">
      <c r="A3715" s="4">
        <v>4500168650</v>
      </c>
    </row>
    <row r="3716" spans="1:1" x14ac:dyDescent="0.35">
      <c r="A3716" s="4">
        <v>4500168657</v>
      </c>
    </row>
    <row r="3717" spans="1:1" x14ac:dyDescent="0.35">
      <c r="A3717" s="4">
        <v>4500168669</v>
      </c>
    </row>
    <row r="3718" spans="1:1" x14ac:dyDescent="0.35">
      <c r="A3718" s="4">
        <v>4500168674</v>
      </c>
    </row>
    <row r="3719" spans="1:1" x14ac:dyDescent="0.35">
      <c r="A3719" s="4">
        <v>4500168677</v>
      </c>
    </row>
    <row r="3720" spans="1:1" x14ac:dyDescent="0.35">
      <c r="A3720" s="4">
        <v>4500168683</v>
      </c>
    </row>
    <row r="3721" spans="1:1" x14ac:dyDescent="0.35">
      <c r="A3721" s="4">
        <v>4500168688</v>
      </c>
    </row>
    <row r="3722" spans="1:1" x14ac:dyDescent="0.35">
      <c r="A3722" s="4">
        <v>4500168695</v>
      </c>
    </row>
    <row r="3723" spans="1:1" x14ac:dyDescent="0.35">
      <c r="A3723" s="4">
        <v>4500168700</v>
      </c>
    </row>
    <row r="3724" spans="1:1" x14ac:dyDescent="0.35">
      <c r="A3724" s="4">
        <v>4500168708</v>
      </c>
    </row>
    <row r="3725" spans="1:1" x14ac:dyDescent="0.35">
      <c r="A3725" s="4">
        <v>4500168714</v>
      </c>
    </row>
    <row r="3726" spans="1:1" x14ac:dyDescent="0.35">
      <c r="A3726" s="4">
        <v>4500168718</v>
      </c>
    </row>
    <row r="3727" spans="1:1" x14ac:dyDescent="0.35">
      <c r="A3727" s="4">
        <v>4500168721</v>
      </c>
    </row>
    <row r="3728" spans="1:1" x14ac:dyDescent="0.35">
      <c r="A3728" s="4">
        <v>4500168724</v>
      </c>
    </row>
    <row r="3729" spans="1:1" x14ac:dyDescent="0.35">
      <c r="A3729" s="4">
        <v>4500168726</v>
      </c>
    </row>
    <row r="3730" spans="1:1" x14ac:dyDescent="0.35">
      <c r="A3730" s="4">
        <v>4500168729</v>
      </c>
    </row>
    <row r="3731" spans="1:1" x14ac:dyDescent="0.35">
      <c r="A3731" s="4">
        <v>4500168733</v>
      </c>
    </row>
    <row r="3732" spans="1:1" x14ac:dyDescent="0.35">
      <c r="A3732" s="4">
        <v>4500168735</v>
      </c>
    </row>
    <row r="3733" spans="1:1" x14ac:dyDescent="0.35">
      <c r="A3733" s="4">
        <v>4500168743</v>
      </c>
    </row>
    <row r="3734" spans="1:1" x14ac:dyDescent="0.35">
      <c r="A3734" s="4">
        <v>4500168746</v>
      </c>
    </row>
    <row r="3735" spans="1:1" x14ac:dyDescent="0.35">
      <c r="A3735" s="4">
        <v>4500168747</v>
      </c>
    </row>
    <row r="3736" spans="1:1" x14ac:dyDescent="0.35">
      <c r="A3736" s="4">
        <v>4500168748</v>
      </c>
    </row>
    <row r="3737" spans="1:1" x14ac:dyDescent="0.35">
      <c r="A3737" s="4">
        <v>4500168749</v>
      </c>
    </row>
    <row r="3738" spans="1:1" x14ac:dyDescent="0.35">
      <c r="A3738" s="4">
        <v>4500168750</v>
      </c>
    </row>
    <row r="3739" spans="1:1" x14ac:dyDescent="0.35">
      <c r="A3739" s="4">
        <v>4500168752</v>
      </c>
    </row>
    <row r="3740" spans="1:1" x14ac:dyDescent="0.35">
      <c r="A3740" s="4">
        <v>4500168753</v>
      </c>
    </row>
    <row r="3741" spans="1:1" x14ac:dyDescent="0.35">
      <c r="A3741" s="4">
        <v>4500168754</v>
      </c>
    </row>
    <row r="3742" spans="1:1" x14ac:dyDescent="0.35">
      <c r="A3742" s="4">
        <v>4500168755</v>
      </c>
    </row>
    <row r="3743" spans="1:1" x14ac:dyDescent="0.35">
      <c r="A3743" s="4">
        <v>4500168756</v>
      </c>
    </row>
    <row r="3744" spans="1:1" x14ac:dyDescent="0.35">
      <c r="A3744" s="4">
        <v>4500168757</v>
      </c>
    </row>
    <row r="3745" spans="1:1" x14ac:dyDescent="0.35">
      <c r="A3745" s="4">
        <v>4500168758</v>
      </c>
    </row>
    <row r="3746" spans="1:1" x14ac:dyDescent="0.35">
      <c r="A3746" s="4">
        <v>4500168811</v>
      </c>
    </row>
    <row r="3747" spans="1:1" x14ac:dyDescent="0.35">
      <c r="A3747" s="4">
        <v>4500168843</v>
      </c>
    </row>
    <row r="3748" spans="1:1" x14ac:dyDescent="0.35">
      <c r="A3748" s="4">
        <v>4500168847</v>
      </c>
    </row>
    <row r="3749" spans="1:1" x14ac:dyDescent="0.35">
      <c r="A3749" s="4">
        <v>4500168852</v>
      </c>
    </row>
    <row r="3750" spans="1:1" x14ac:dyDescent="0.35">
      <c r="A3750" s="4">
        <v>4500168856</v>
      </c>
    </row>
    <row r="3751" spans="1:1" x14ac:dyDescent="0.35">
      <c r="A3751" s="4">
        <v>4500168859</v>
      </c>
    </row>
    <row r="3752" spans="1:1" x14ac:dyDescent="0.35">
      <c r="A3752" s="4">
        <v>4500168863</v>
      </c>
    </row>
    <row r="3753" spans="1:1" x14ac:dyDescent="0.35">
      <c r="A3753" s="4">
        <v>4500168872</v>
      </c>
    </row>
    <row r="3754" spans="1:1" x14ac:dyDescent="0.35">
      <c r="A3754" s="4">
        <v>4500168877</v>
      </c>
    </row>
    <row r="3755" spans="1:1" x14ac:dyDescent="0.35">
      <c r="A3755" s="4">
        <v>4500168892</v>
      </c>
    </row>
    <row r="3756" spans="1:1" x14ac:dyDescent="0.35">
      <c r="A3756" s="4">
        <v>4500168898</v>
      </c>
    </row>
    <row r="3757" spans="1:1" x14ac:dyDescent="0.35">
      <c r="A3757" s="4">
        <v>4500168901</v>
      </c>
    </row>
    <row r="3758" spans="1:1" x14ac:dyDescent="0.35">
      <c r="A3758" s="4">
        <v>4500168907</v>
      </c>
    </row>
    <row r="3759" spans="1:1" x14ac:dyDescent="0.35">
      <c r="A3759" s="4">
        <v>4500168910</v>
      </c>
    </row>
    <row r="3760" spans="1:1" x14ac:dyDescent="0.35">
      <c r="A3760" s="4">
        <v>4500168916</v>
      </c>
    </row>
    <row r="3761" spans="1:1" x14ac:dyDescent="0.35">
      <c r="A3761" s="4">
        <v>4500168920</v>
      </c>
    </row>
    <row r="3762" spans="1:1" x14ac:dyDescent="0.35">
      <c r="A3762" s="4">
        <v>4500168925</v>
      </c>
    </row>
    <row r="3763" spans="1:1" x14ac:dyDescent="0.35">
      <c r="A3763" s="4">
        <v>4500168930</v>
      </c>
    </row>
    <row r="3764" spans="1:1" x14ac:dyDescent="0.35">
      <c r="A3764" s="4">
        <v>4500168932</v>
      </c>
    </row>
    <row r="3765" spans="1:1" x14ac:dyDescent="0.35">
      <c r="A3765" s="4">
        <v>4500168933</v>
      </c>
    </row>
    <row r="3766" spans="1:1" x14ac:dyDescent="0.35">
      <c r="A3766" s="4">
        <v>4500168934</v>
      </c>
    </row>
    <row r="3767" spans="1:1" x14ac:dyDescent="0.35">
      <c r="A3767" s="4">
        <v>4500168935</v>
      </c>
    </row>
    <row r="3768" spans="1:1" x14ac:dyDescent="0.35">
      <c r="A3768" s="4">
        <v>4500168937</v>
      </c>
    </row>
    <row r="3769" spans="1:1" x14ac:dyDescent="0.35">
      <c r="A3769" s="4">
        <v>4500169006</v>
      </c>
    </row>
    <row r="3770" spans="1:1" x14ac:dyDescent="0.35">
      <c r="A3770" s="4">
        <v>4500169009</v>
      </c>
    </row>
    <row r="3771" spans="1:1" x14ac:dyDescent="0.35">
      <c r="A3771" s="4">
        <v>4500169013</v>
      </c>
    </row>
    <row r="3772" spans="1:1" x14ac:dyDescent="0.35">
      <c r="A3772" s="4">
        <v>4500169015</v>
      </c>
    </row>
    <row r="3773" spans="1:1" x14ac:dyDescent="0.35">
      <c r="A3773" s="4">
        <v>4500169019</v>
      </c>
    </row>
    <row r="3774" spans="1:1" x14ac:dyDescent="0.35">
      <c r="A3774" s="4">
        <v>4500169021</v>
      </c>
    </row>
    <row r="3775" spans="1:1" x14ac:dyDescent="0.35">
      <c r="A3775" s="4">
        <v>4500169022</v>
      </c>
    </row>
    <row r="3776" spans="1:1" x14ac:dyDescent="0.35">
      <c r="A3776" s="4">
        <v>4500169026</v>
      </c>
    </row>
    <row r="3777" spans="1:1" x14ac:dyDescent="0.35">
      <c r="A3777" s="4">
        <v>4500169028</v>
      </c>
    </row>
    <row r="3778" spans="1:1" x14ac:dyDescent="0.35">
      <c r="A3778" s="4">
        <v>4500169030</v>
      </c>
    </row>
    <row r="3779" spans="1:1" x14ac:dyDescent="0.35">
      <c r="A3779" s="4">
        <v>4500169033</v>
      </c>
    </row>
    <row r="3780" spans="1:1" x14ac:dyDescent="0.35">
      <c r="A3780" s="4">
        <v>4500169039</v>
      </c>
    </row>
    <row r="3781" spans="1:1" x14ac:dyDescent="0.35">
      <c r="A3781" s="4">
        <v>4500169043</v>
      </c>
    </row>
    <row r="3782" spans="1:1" x14ac:dyDescent="0.35">
      <c r="A3782" s="4">
        <v>4500169046</v>
      </c>
    </row>
    <row r="3783" spans="1:1" x14ac:dyDescent="0.35">
      <c r="A3783" s="4">
        <v>4500169048</v>
      </c>
    </row>
    <row r="3784" spans="1:1" x14ac:dyDescent="0.35">
      <c r="A3784" s="4">
        <v>4500169051</v>
      </c>
    </row>
    <row r="3785" spans="1:1" x14ac:dyDescent="0.35">
      <c r="A3785" s="4">
        <v>4500169054</v>
      </c>
    </row>
    <row r="3786" spans="1:1" x14ac:dyDescent="0.35">
      <c r="A3786" s="4">
        <v>4500169058</v>
      </c>
    </row>
    <row r="3787" spans="1:1" x14ac:dyDescent="0.35">
      <c r="A3787" s="4">
        <v>4500169063</v>
      </c>
    </row>
    <row r="3788" spans="1:1" x14ac:dyDescent="0.35">
      <c r="A3788" s="4">
        <v>4500169067</v>
      </c>
    </row>
    <row r="3789" spans="1:1" x14ac:dyDescent="0.35">
      <c r="A3789" s="4">
        <v>4500169077</v>
      </c>
    </row>
    <row r="3790" spans="1:1" x14ac:dyDescent="0.35">
      <c r="A3790" s="4">
        <v>4500169086</v>
      </c>
    </row>
    <row r="3791" spans="1:1" x14ac:dyDescent="0.35">
      <c r="A3791" s="4">
        <v>4500169119</v>
      </c>
    </row>
    <row r="3792" spans="1:1" x14ac:dyDescent="0.35">
      <c r="A3792" s="4">
        <v>4500169163</v>
      </c>
    </row>
    <row r="3793" spans="1:1" x14ac:dyDescent="0.35">
      <c r="A3793" s="4">
        <v>4500169173</v>
      </c>
    </row>
    <row r="3794" spans="1:1" x14ac:dyDescent="0.35">
      <c r="A3794" s="4">
        <v>4500169175</v>
      </c>
    </row>
    <row r="3795" spans="1:1" x14ac:dyDescent="0.35">
      <c r="A3795" s="4">
        <v>4500169179</v>
      </c>
    </row>
    <row r="3796" spans="1:1" x14ac:dyDescent="0.35">
      <c r="A3796" s="4">
        <v>4500169181</v>
      </c>
    </row>
    <row r="3797" spans="1:1" x14ac:dyDescent="0.35">
      <c r="A3797" s="4">
        <v>4500169184</v>
      </c>
    </row>
    <row r="3798" spans="1:1" x14ac:dyDescent="0.35">
      <c r="A3798" s="4">
        <v>4500169187</v>
      </c>
    </row>
    <row r="3799" spans="1:1" x14ac:dyDescent="0.35">
      <c r="A3799" s="4">
        <v>4500169189</v>
      </c>
    </row>
    <row r="3800" spans="1:1" x14ac:dyDescent="0.35">
      <c r="A3800" s="4">
        <v>4500169192</v>
      </c>
    </row>
    <row r="3801" spans="1:1" x14ac:dyDescent="0.35">
      <c r="A3801" s="4">
        <v>4500169195</v>
      </c>
    </row>
    <row r="3802" spans="1:1" x14ac:dyDescent="0.35">
      <c r="A3802" s="4">
        <v>4500169197</v>
      </c>
    </row>
    <row r="3803" spans="1:1" x14ac:dyDescent="0.35">
      <c r="A3803" s="4">
        <v>4500169202</v>
      </c>
    </row>
    <row r="3804" spans="1:1" x14ac:dyDescent="0.35">
      <c r="A3804" s="4">
        <v>4500169206</v>
      </c>
    </row>
    <row r="3805" spans="1:1" x14ac:dyDescent="0.35">
      <c r="A3805" s="4">
        <v>4500169209</v>
      </c>
    </row>
    <row r="3806" spans="1:1" x14ac:dyDescent="0.35">
      <c r="A3806" s="4">
        <v>4500169220</v>
      </c>
    </row>
    <row r="3807" spans="1:1" x14ac:dyDescent="0.35">
      <c r="A3807" s="4">
        <v>4500169224</v>
      </c>
    </row>
    <row r="3808" spans="1:1" x14ac:dyDescent="0.35">
      <c r="A3808" s="4">
        <v>4500169228</v>
      </c>
    </row>
    <row r="3809" spans="1:1" x14ac:dyDescent="0.35">
      <c r="A3809" s="4">
        <v>4500169231</v>
      </c>
    </row>
    <row r="3810" spans="1:1" x14ac:dyDescent="0.35">
      <c r="A3810" s="4">
        <v>4500169235</v>
      </c>
    </row>
    <row r="3811" spans="1:1" x14ac:dyDescent="0.35">
      <c r="A3811" s="4">
        <v>4500169240</v>
      </c>
    </row>
    <row r="3812" spans="1:1" x14ac:dyDescent="0.35">
      <c r="A3812" s="4">
        <v>4500169244</v>
      </c>
    </row>
    <row r="3813" spans="1:1" x14ac:dyDescent="0.35">
      <c r="A3813" s="4">
        <v>4500169248</v>
      </c>
    </row>
    <row r="3814" spans="1:1" x14ac:dyDescent="0.35">
      <c r="A3814" s="4">
        <v>4500169253</v>
      </c>
    </row>
    <row r="3815" spans="1:1" x14ac:dyDescent="0.35">
      <c r="A3815" s="4">
        <v>4500169257</v>
      </c>
    </row>
    <row r="3816" spans="1:1" x14ac:dyDescent="0.35">
      <c r="A3816" s="4">
        <v>4500169260</v>
      </c>
    </row>
    <row r="3817" spans="1:1" x14ac:dyDescent="0.35">
      <c r="A3817" s="4">
        <v>4500169263</v>
      </c>
    </row>
    <row r="3818" spans="1:1" x14ac:dyDescent="0.35">
      <c r="A3818" s="4">
        <v>4500169267</v>
      </c>
    </row>
    <row r="3819" spans="1:1" x14ac:dyDescent="0.35">
      <c r="A3819" s="4">
        <v>4500169271</v>
      </c>
    </row>
    <row r="3820" spans="1:1" x14ac:dyDescent="0.35">
      <c r="A3820" s="4">
        <v>4500169277</v>
      </c>
    </row>
    <row r="3821" spans="1:1" x14ac:dyDescent="0.35">
      <c r="A3821" s="4">
        <v>4500169282</v>
      </c>
    </row>
    <row r="3822" spans="1:1" x14ac:dyDescent="0.35">
      <c r="A3822" s="4">
        <v>4500169286</v>
      </c>
    </row>
    <row r="3823" spans="1:1" x14ac:dyDescent="0.35">
      <c r="A3823" s="4">
        <v>4500169291</v>
      </c>
    </row>
    <row r="3824" spans="1:1" x14ac:dyDescent="0.35">
      <c r="A3824" s="4">
        <v>4500169293</v>
      </c>
    </row>
    <row r="3825" spans="1:1" x14ac:dyDescent="0.35">
      <c r="A3825" s="4">
        <v>4500169295</v>
      </c>
    </row>
    <row r="3826" spans="1:1" x14ac:dyDescent="0.35">
      <c r="A3826" s="4">
        <v>4500169300</v>
      </c>
    </row>
    <row r="3827" spans="1:1" x14ac:dyDescent="0.35">
      <c r="A3827" s="4">
        <v>4500169301</v>
      </c>
    </row>
    <row r="3828" spans="1:1" x14ac:dyDescent="0.35">
      <c r="A3828" s="4">
        <v>4500169303</v>
      </c>
    </row>
    <row r="3829" spans="1:1" x14ac:dyDescent="0.35">
      <c r="A3829" s="4">
        <v>4500169305</v>
      </c>
    </row>
    <row r="3830" spans="1:1" x14ac:dyDescent="0.35">
      <c r="A3830" s="4">
        <v>4500169307</v>
      </c>
    </row>
    <row r="3831" spans="1:1" x14ac:dyDescent="0.35">
      <c r="A3831" s="4">
        <v>4500169309</v>
      </c>
    </row>
    <row r="3832" spans="1:1" x14ac:dyDescent="0.35">
      <c r="A3832" s="4">
        <v>4500169311</v>
      </c>
    </row>
    <row r="3833" spans="1:1" x14ac:dyDescent="0.35">
      <c r="A3833" s="4">
        <v>4500169313</v>
      </c>
    </row>
    <row r="3834" spans="1:1" x14ac:dyDescent="0.35">
      <c r="A3834" s="4">
        <v>4500169322</v>
      </c>
    </row>
    <row r="3835" spans="1:1" x14ac:dyDescent="0.35">
      <c r="A3835" s="4">
        <v>4500169378</v>
      </c>
    </row>
    <row r="3836" spans="1:1" x14ac:dyDescent="0.35">
      <c r="A3836" s="4">
        <v>4500169381</v>
      </c>
    </row>
    <row r="3837" spans="1:1" x14ac:dyDescent="0.35">
      <c r="A3837" s="4">
        <v>4500169389</v>
      </c>
    </row>
    <row r="3838" spans="1:1" x14ac:dyDescent="0.35">
      <c r="A3838" s="4">
        <v>4500169392</v>
      </c>
    </row>
    <row r="3839" spans="1:1" x14ac:dyDescent="0.35">
      <c r="A3839" s="4">
        <v>4500169397</v>
      </c>
    </row>
    <row r="3840" spans="1:1" x14ac:dyDescent="0.35">
      <c r="A3840" s="4">
        <v>4500169401</v>
      </c>
    </row>
    <row r="3841" spans="1:1" x14ac:dyDescent="0.35">
      <c r="A3841" s="4">
        <v>4500169406</v>
      </c>
    </row>
    <row r="3842" spans="1:1" x14ac:dyDescent="0.35">
      <c r="A3842" s="4">
        <v>4500169410</v>
      </c>
    </row>
    <row r="3843" spans="1:1" x14ac:dyDescent="0.35">
      <c r="A3843" s="4">
        <v>4500169414</v>
      </c>
    </row>
    <row r="3844" spans="1:1" x14ac:dyDescent="0.35">
      <c r="A3844" s="4">
        <v>4500169419</v>
      </c>
    </row>
    <row r="3845" spans="1:1" x14ac:dyDescent="0.35">
      <c r="A3845" s="4">
        <v>4500169425</v>
      </c>
    </row>
    <row r="3846" spans="1:1" x14ac:dyDescent="0.35">
      <c r="A3846" s="4">
        <v>4500169430</v>
      </c>
    </row>
    <row r="3847" spans="1:1" x14ac:dyDescent="0.35">
      <c r="A3847" s="4">
        <v>4500169435</v>
      </c>
    </row>
    <row r="3848" spans="1:1" x14ac:dyDescent="0.35">
      <c r="A3848" s="4">
        <v>4500169437</v>
      </c>
    </row>
    <row r="3849" spans="1:1" x14ac:dyDescent="0.35">
      <c r="A3849" s="4">
        <v>4500169440</v>
      </c>
    </row>
    <row r="3850" spans="1:1" x14ac:dyDescent="0.35">
      <c r="A3850" s="4">
        <v>4500169444</v>
      </c>
    </row>
    <row r="3851" spans="1:1" x14ac:dyDescent="0.35">
      <c r="A3851" s="4">
        <v>4500169447</v>
      </c>
    </row>
    <row r="3852" spans="1:1" x14ac:dyDescent="0.35">
      <c r="A3852" s="4">
        <v>4500169452</v>
      </c>
    </row>
    <row r="3853" spans="1:1" x14ac:dyDescent="0.35">
      <c r="A3853" s="4">
        <v>4500169454</v>
      </c>
    </row>
    <row r="3854" spans="1:1" x14ac:dyDescent="0.35">
      <c r="A3854" s="4">
        <v>4500169458</v>
      </c>
    </row>
    <row r="3855" spans="1:1" x14ac:dyDescent="0.35">
      <c r="A3855" s="4">
        <v>4500169462</v>
      </c>
    </row>
    <row r="3856" spans="1:1" x14ac:dyDescent="0.35">
      <c r="A3856" s="4">
        <v>4500169465</v>
      </c>
    </row>
    <row r="3857" spans="1:1" x14ac:dyDescent="0.35">
      <c r="A3857" s="4">
        <v>4500169468</v>
      </c>
    </row>
    <row r="3858" spans="1:1" x14ac:dyDescent="0.35">
      <c r="A3858" s="4">
        <v>4500169472</v>
      </c>
    </row>
    <row r="3859" spans="1:1" x14ac:dyDescent="0.35">
      <c r="A3859" s="4">
        <v>4500169476</v>
      </c>
    </row>
    <row r="3860" spans="1:1" x14ac:dyDescent="0.35">
      <c r="A3860" s="4">
        <v>4500169479</v>
      </c>
    </row>
    <row r="3861" spans="1:1" x14ac:dyDescent="0.35">
      <c r="A3861" s="4">
        <v>4500169480</v>
      </c>
    </row>
    <row r="3862" spans="1:1" x14ac:dyDescent="0.35">
      <c r="A3862" s="4">
        <v>4500169482</v>
      </c>
    </row>
    <row r="3863" spans="1:1" x14ac:dyDescent="0.35">
      <c r="A3863" s="4">
        <v>4500169484</v>
      </c>
    </row>
    <row r="3864" spans="1:1" x14ac:dyDescent="0.35">
      <c r="A3864" s="4">
        <v>4500169487</v>
      </c>
    </row>
    <row r="3865" spans="1:1" x14ac:dyDescent="0.35">
      <c r="A3865" s="4">
        <v>4500169489</v>
      </c>
    </row>
    <row r="3866" spans="1:1" x14ac:dyDescent="0.35">
      <c r="A3866" s="4">
        <v>4500169491</v>
      </c>
    </row>
    <row r="3867" spans="1:1" x14ac:dyDescent="0.35">
      <c r="A3867" s="4">
        <v>4500169492</v>
      </c>
    </row>
    <row r="3868" spans="1:1" x14ac:dyDescent="0.35">
      <c r="A3868" s="4">
        <v>4500169494</v>
      </c>
    </row>
    <row r="3869" spans="1:1" x14ac:dyDescent="0.35">
      <c r="A3869" s="4">
        <v>4500169496</v>
      </c>
    </row>
    <row r="3870" spans="1:1" x14ac:dyDescent="0.35">
      <c r="A3870" s="4">
        <v>4500169558</v>
      </c>
    </row>
    <row r="3871" spans="1:1" x14ac:dyDescent="0.35">
      <c r="A3871" s="4">
        <v>4500169568</v>
      </c>
    </row>
    <row r="3872" spans="1:1" x14ac:dyDescent="0.35">
      <c r="A3872" s="4">
        <v>4500169572</v>
      </c>
    </row>
    <row r="3873" spans="1:1" x14ac:dyDescent="0.35">
      <c r="A3873" s="4">
        <v>4500169576</v>
      </c>
    </row>
    <row r="3874" spans="1:1" x14ac:dyDescent="0.35">
      <c r="A3874" s="4">
        <v>4500169583</v>
      </c>
    </row>
    <row r="3875" spans="1:1" x14ac:dyDescent="0.35">
      <c r="A3875" s="4">
        <v>4500169593</v>
      </c>
    </row>
    <row r="3876" spans="1:1" x14ac:dyDescent="0.35">
      <c r="A3876" s="4">
        <v>4500169600</v>
      </c>
    </row>
    <row r="3877" spans="1:1" x14ac:dyDescent="0.35">
      <c r="A3877" s="4">
        <v>4500169604</v>
      </c>
    </row>
    <row r="3878" spans="1:1" x14ac:dyDescent="0.35">
      <c r="A3878" s="4">
        <v>4500169607</v>
      </c>
    </row>
    <row r="3879" spans="1:1" x14ac:dyDescent="0.35">
      <c r="A3879" s="4">
        <v>4500169611</v>
      </c>
    </row>
    <row r="3880" spans="1:1" x14ac:dyDescent="0.35">
      <c r="A3880" s="4">
        <v>4500169613</v>
      </c>
    </row>
    <row r="3881" spans="1:1" x14ac:dyDescent="0.35">
      <c r="A3881" s="4">
        <v>4500169618</v>
      </c>
    </row>
    <row r="3882" spans="1:1" x14ac:dyDescent="0.35">
      <c r="A3882" s="4">
        <v>4500169623</v>
      </c>
    </row>
    <row r="3883" spans="1:1" x14ac:dyDescent="0.35">
      <c r="A3883" s="4">
        <v>4500169630</v>
      </c>
    </row>
    <row r="3884" spans="1:1" x14ac:dyDescent="0.35">
      <c r="A3884" s="4">
        <v>4500169631</v>
      </c>
    </row>
    <row r="3885" spans="1:1" x14ac:dyDescent="0.35">
      <c r="A3885" s="4">
        <v>4500169635</v>
      </c>
    </row>
    <row r="3886" spans="1:1" x14ac:dyDescent="0.35">
      <c r="A3886" s="4">
        <v>4500169637</v>
      </c>
    </row>
    <row r="3887" spans="1:1" x14ac:dyDescent="0.35">
      <c r="A3887" s="4">
        <v>4500169639</v>
      </c>
    </row>
    <row r="3888" spans="1:1" x14ac:dyDescent="0.35">
      <c r="A3888" s="4">
        <v>4500169645</v>
      </c>
    </row>
    <row r="3889" spans="1:1" x14ac:dyDescent="0.35">
      <c r="A3889" s="4">
        <v>4500169652</v>
      </c>
    </row>
    <row r="3890" spans="1:1" x14ac:dyDescent="0.35">
      <c r="A3890" s="4">
        <v>4500169654</v>
      </c>
    </row>
    <row r="3891" spans="1:1" x14ac:dyDescent="0.35">
      <c r="A3891" s="4">
        <v>4500169656</v>
      </c>
    </row>
    <row r="3892" spans="1:1" x14ac:dyDescent="0.35">
      <c r="A3892" s="4">
        <v>4500169661</v>
      </c>
    </row>
    <row r="3893" spans="1:1" x14ac:dyDescent="0.35">
      <c r="A3893" s="4">
        <v>4500169671</v>
      </c>
    </row>
    <row r="3894" spans="1:1" x14ac:dyDescent="0.35">
      <c r="A3894" s="4">
        <v>4500169732</v>
      </c>
    </row>
    <row r="3895" spans="1:1" x14ac:dyDescent="0.35">
      <c r="A3895" s="4">
        <v>4500169744</v>
      </c>
    </row>
    <row r="3896" spans="1:1" x14ac:dyDescent="0.35">
      <c r="A3896" s="4">
        <v>4500169751</v>
      </c>
    </row>
    <row r="3897" spans="1:1" x14ac:dyDescent="0.35">
      <c r="A3897" s="4">
        <v>4500169753</v>
      </c>
    </row>
    <row r="3898" spans="1:1" x14ac:dyDescent="0.35">
      <c r="A3898" s="4">
        <v>4500169760</v>
      </c>
    </row>
    <row r="3899" spans="1:1" x14ac:dyDescent="0.35">
      <c r="A3899" s="4">
        <v>4500169768</v>
      </c>
    </row>
    <row r="3900" spans="1:1" x14ac:dyDescent="0.35">
      <c r="A3900" s="4">
        <v>4500169775</v>
      </c>
    </row>
    <row r="3901" spans="1:1" x14ac:dyDescent="0.35">
      <c r="A3901" s="4">
        <v>4500169783</v>
      </c>
    </row>
    <row r="3902" spans="1:1" x14ac:dyDescent="0.35">
      <c r="A3902" s="4">
        <v>4500169786</v>
      </c>
    </row>
    <row r="3903" spans="1:1" x14ac:dyDescent="0.35">
      <c r="A3903" s="4">
        <v>4500169794</v>
      </c>
    </row>
    <row r="3904" spans="1:1" x14ac:dyDescent="0.35">
      <c r="A3904" s="4">
        <v>4500169798</v>
      </c>
    </row>
    <row r="3905" spans="1:1" x14ac:dyDescent="0.35">
      <c r="A3905" s="4">
        <v>4500169800</v>
      </c>
    </row>
    <row r="3906" spans="1:1" x14ac:dyDescent="0.35">
      <c r="A3906" s="4">
        <v>4500169802</v>
      </c>
    </row>
    <row r="3907" spans="1:1" x14ac:dyDescent="0.35">
      <c r="A3907" s="4">
        <v>4500169812</v>
      </c>
    </row>
    <row r="3908" spans="1:1" x14ac:dyDescent="0.35">
      <c r="A3908" s="4">
        <v>4500169815</v>
      </c>
    </row>
    <row r="3909" spans="1:1" x14ac:dyDescent="0.35">
      <c r="A3909" s="4">
        <v>4500169819</v>
      </c>
    </row>
    <row r="3910" spans="1:1" x14ac:dyDescent="0.35">
      <c r="A3910" s="4">
        <v>4500169840</v>
      </c>
    </row>
    <row r="3911" spans="1:1" x14ac:dyDescent="0.35">
      <c r="A3911" s="4">
        <v>4500169842</v>
      </c>
    </row>
    <row r="3912" spans="1:1" x14ac:dyDescent="0.35">
      <c r="A3912" s="4">
        <v>4500169907</v>
      </c>
    </row>
    <row r="3913" spans="1:1" x14ac:dyDescent="0.35">
      <c r="A3913" s="4">
        <v>4500169912</v>
      </c>
    </row>
    <row r="3914" spans="1:1" x14ac:dyDescent="0.35">
      <c r="A3914" s="4">
        <v>4500169916</v>
      </c>
    </row>
    <row r="3915" spans="1:1" x14ac:dyDescent="0.35">
      <c r="A3915" s="4">
        <v>4500169932</v>
      </c>
    </row>
    <row r="3916" spans="1:1" x14ac:dyDescent="0.35">
      <c r="A3916" s="4">
        <v>4500169940</v>
      </c>
    </row>
    <row r="3917" spans="1:1" x14ac:dyDescent="0.35">
      <c r="A3917" s="4">
        <v>4500169946</v>
      </c>
    </row>
    <row r="3918" spans="1:1" x14ac:dyDescent="0.35">
      <c r="A3918" s="4">
        <v>4500169950</v>
      </c>
    </row>
    <row r="3919" spans="1:1" x14ac:dyDescent="0.35">
      <c r="A3919" s="4">
        <v>4500169955</v>
      </c>
    </row>
    <row r="3920" spans="1:1" x14ac:dyDescent="0.35">
      <c r="A3920" s="4">
        <v>4500169964</v>
      </c>
    </row>
    <row r="3921" spans="1:1" x14ac:dyDescent="0.35">
      <c r="A3921" s="4">
        <v>4500169970</v>
      </c>
    </row>
    <row r="3922" spans="1:1" x14ac:dyDescent="0.35">
      <c r="A3922" s="4">
        <v>4500169973</v>
      </c>
    </row>
    <row r="3923" spans="1:1" x14ac:dyDescent="0.35">
      <c r="A3923" s="4">
        <v>4500169975</v>
      </c>
    </row>
    <row r="3924" spans="1:1" x14ac:dyDescent="0.35">
      <c r="A3924" s="4">
        <v>4500169986</v>
      </c>
    </row>
    <row r="3925" spans="1:1" x14ac:dyDescent="0.35">
      <c r="A3925" s="4">
        <v>4500169992</v>
      </c>
    </row>
    <row r="3926" spans="1:1" x14ac:dyDescent="0.35">
      <c r="A3926" s="4">
        <v>4500169999</v>
      </c>
    </row>
    <row r="3927" spans="1:1" x14ac:dyDescent="0.35">
      <c r="A3927" s="4">
        <v>4500170003</v>
      </c>
    </row>
    <row r="3928" spans="1:1" x14ac:dyDescent="0.35">
      <c r="A3928" s="4">
        <v>4500170005</v>
      </c>
    </row>
    <row r="3929" spans="1:1" x14ac:dyDescent="0.35">
      <c r="A3929" s="4">
        <v>4500170007</v>
      </c>
    </row>
    <row r="3930" spans="1:1" x14ac:dyDescent="0.35">
      <c r="A3930" s="4">
        <v>4500170010</v>
      </c>
    </row>
    <row r="3931" spans="1:1" x14ac:dyDescent="0.35">
      <c r="A3931" s="4">
        <v>4500170011</v>
      </c>
    </row>
    <row r="3932" spans="1:1" x14ac:dyDescent="0.35">
      <c r="A3932" s="4">
        <v>4500170012</v>
      </c>
    </row>
    <row r="3933" spans="1:1" x14ac:dyDescent="0.35">
      <c r="A3933" s="4">
        <v>4500170013</v>
      </c>
    </row>
    <row r="3934" spans="1:1" x14ac:dyDescent="0.35">
      <c r="A3934" s="4">
        <v>4500170019</v>
      </c>
    </row>
    <row r="3935" spans="1:1" x14ac:dyDescent="0.35">
      <c r="A3935" s="4">
        <v>4500170022</v>
      </c>
    </row>
    <row r="3936" spans="1:1" x14ac:dyDescent="0.35">
      <c r="A3936" s="4">
        <v>4500170067</v>
      </c>
    </row>
    <row r="3937" spans="1:1" x14ac:dyDescent="0.35">
      <c r="A3937" s="4">
        <v>4500170071</v>
      </c>
    </row>
    <row r="3938" spans="1:1" x14ac:dyDescent="0.35">
      <c r="A3938" s="4">
        <v>4500170076</v>
      </c>
    </row>
    <row r="3939" spans="1:1" x14ac:dyDescent="0.35">
      <c r="A3939" s="4">
        <v>4500170080</v>
      </c>
    </row>
    <row r="3940" spans="1:1" x14ac:dyDescent="0.35">
      <c r="A3940" s="4">
        <v>4500170092</v>
      </c>
    </row>
    <row r="3941" spans="1:1" x14ac:dyDescent="0.35">
      <c r="A3941" s="4">
        <v>4500170100</v>
      </c>
    </row>
    <row r="3942" spans="1:1" x14ac:dyDescent="0.35">
      <c r="A3942" s="4">
        <v>4500170104</v>
      </c>
    </row>
    <row r="3943" spans="1:1" x14ac:dyDescent="0.35">
      <c r="A3943" s="4">
        <v>4500170106</v>
      </c>
    </row>
    <row r="3944" spans="1:1" x14ac:dyDescent="0.35">
      <c r="A3944" s="4">
        <v>4500170110</v>
      </c>
    </row>
    <row r="3945" spans="1:1" x14ac:dyDescent="0.35">
      <c r="A3945" s="4">
        <v>4500170114</v>
      </c>
    </row>
    <row r="3946" spans="1:1" x14ac:dyDescent="0.35">
      <c r="A3946" s="4">
        <v>4500170118</v>
      </c>
    </row>
    <row r="3947" spans="1:1" x14ac:dyDescent="0.35">
      <c r="A3947" s="4">
        <v>4500170122</v>
      </c>
    </row>
    <row r="3948" spans="1:1" x14ac:dyDescent="0.35">
      <c r="A3948" s="4">
        <v>4500170126</v>
      </c>
    </row>
    <row r="3949" spans="1:1" x14ac:dyDescent="0.35">
      <c r="A3949" s="4">
        <v>4500170141</v>
      </c>
    </row>
    <row r="3950" spans="1:1" x14ac:dyDescent="0.35">
      <c r="A3950" s="4">
        <v>4500170145</v>
      </c>
    </row>
    <row r="3951" spans="1:1" x14ac:dyDescent="0.35">
      <c r="A3951" s="4">
        <v>4500170147</v>
      </c>
    </row>
    <row r="3952" spans="1:1" x14ac:dyDescent="0.35">
      <c r="A3952" s="4">
        <v>4500170149</v>
      </c>
    </row>
    <row r="3953" spans="1:1" x14ac:dyDescent="0.35">
      <c r="A3953" s="4">
        <v>4500170181</v>
      </c>
    </row>
    <row r="3954" spans="1:1" x14ac:dyDescent="0.35">
      <c r="A3954" s="4">
        <v>4500170183</v>
      </c>
    </row>
    <row r="3955" spans="1:1" x14ac:dyDescent="0.35">
      <c r="A3955" s="4">
        <v>4500170230</v>
      </c>
    </row>
    <row r="3956" spans="1:1" x14ac:dyDescent="0.35">
      <c r="A3956" s="4">
        <v>4500170239</v>
      </c>
    </row>
    <row r="3957" spans="1:1" x14ac:dyDescent="0.35">
      <c r="A3957" s="4">
        <v>4500170241</v>
      </c>
    </row>
    <row r="3958" spans="1:1" x14ac:dyDescent="0.35">
      <c r="A3958" s="4">
        <v>4500170245</v>
      </c>
    </row>
    <row r="3959" spans="1:1" x14ac:dyDescent="0.35">
      <c r="A3959" s="4">
        <v>4500170248</v>
      </c>
    </row>
    <row r="3960" spans="1:1" x14ac:dyDescent="0.35">
      <c r="A3960" s="4">
        <v>4500170251</v>
      </c>
    </row>
    <row r="3961" spans="1:1" x14ac:dyDescent="0.35">
      <c r="A3961" s="4">
        <v>4500170256</v>
      </c>
    </row>
    <row r="3962" spans="1:1" x14ac:dyDescent="0.35">
      <c r="A3962" s="4">
        <v>4500170259</v>
      </c>
    </row>
    <row r="3963" spans="1:1" x14ac:dyDescent="0.35">
      <c r="A3963" s="4">
        <v>4500170264</v>
      </c>
    </row>
    <row r="3964" spans="1:1" x14ac:dyDescent="0.35">
      <c r="A3964" s="4">
        <v>4500170267</v>
      </c>
    </row>
    <row r="3965" spans="1:1" x14ac:dyDescent="0.35">
      <c r="A3965" s="4">
        <v>4500170272</v>
      </c>
    </row>
    <row r="3966" spans="1:1" x14ac:dyDescent="0.35">
      <c r="A3966" s="4">
        <v>4500170274</v>
      </c>
    </row>
    <row r="3967" spans="1:1" x14ac:dyDescent="0.35">
      <c r="A3967" s="4">
        <v>4500170278</v>
      </c>
    </row>
    <row r="3968" spans="1:1" x14ac:dyDescent="0.35">
      <c r="A3968" s="4">
        <v>4500170283</v>
      </c>
    </row>
    <row r="3969" spans="1:1" x14ac:dyDescent="0.35">
      <c r="A3969" s="4">
        <v>4500170286</v>
      </c>
    </row>
    <row r="3970" spans="1:1" x14ac:dyDescent="0.35">
      <c r="A3970" s="4">
        <v>4500170290</v>
      </c>
    </row>
    <row r="3971" spans="1:1" x14ac:dyDescent="0.35">
      <c r="A3971" s="4">
        <v>4500170293</v>
      </c>
    </row>
    <row r="3972" spans="1:1" x14ac:dyDescent="0.35">
      <c r="A3972" s="4">
        <v>4500170296</v>
      </c>
    </row>
    <row r="3973" spans="1:1" x14ac:dyDescent="0.35">
      <c r="A3973" s="4">
        <v>4500170299</v>
      </c>
    </row>
    <row r="3974" spans="1:1" x14ac:dyDescent="0.35">
      <c r="A3974" s="4">
        <v>4500170302</v>
      </c>
    </row>
    <row r="3975" spans="1:1" x14ac:dyDescent="0.35">
      <c r="A3975" s="4">
        <v>4500170308</v>
      </c>
    </row>
    <row r="3976" spans="1:1" x14ac:dyDescent="0.35">
      <c r="A3976" s="4">
        <v>4500170310</v>
      </c>
    </row>
    <row r="3977" spans="1:1" x14ac:dyDescent="0.35">
      <c r="A3977" s="4">
        <v>4500170313</v>
      </c>
    </row>
    <row r="3978" spans="1:1" x14ac:dyDescent="0.35">
      <c r="A3978" s="4">
        <v>4500170315</v>
      </c>
    </row>
    <row r="3979" spans="1:1" x14ac:dyDescent="0.35">
      <c r="A3979" s="4">
        <v>4500170317</v>
      </c>
    </row>
    <row r="3980" spans="1:1" x14ac:dyDescent="0.35">
      <c r="A3980" s="4">
        <v>4500170320</v>
      </c>
    </row>
    <row r="3981" spans="1:1" x14ac:dyDescent="0.35">
      <c r="A3981" s="4">
        <v>4500170321</v>
      </c>
    </row>
    <row r="3982" spans="1:1" x14ac:dyDescent="0.35">
      <c r="A3982" s="4">
        <v>4500170324</v>
      </c>
    </row>
    <row r="3983" spans="1:1" x14ac:dyDescent="0.35">
      <c r="A3983" s="4">
        <v>4500170326</v>
      </c>
    </row>
    <row r="3984" spans="1:1" x14ac:dyDescent="0.35">
      <c r="A3984" s="4">
        <v>4500170365</v>
      </c>
    </row>
    <row r="3985" spans="1:1" x14ac:dyDescent="0.35">
      <c r="A3985" s="4">
        <v>4500170368</v>
      </c>
    </row>
    <row r="3986" spans="1:1" x14ac:dyDescent="0.35">
      <c r="A3986" s="4">
        <v>4500170370</v>
      </c>
    </row>
    <row r="3987" spans="1:1" x14ac:dyDescent="0.35">
      <c r="A3987" s="4">
        <v>4500170373</v>
      </c>
    </row>
    <row r="3988" spans="1:1" x14ac:dyDescent="0.35">
      <c r="A3988" s="4">
        <v>4500170376</v>
      </c>
    </row>
    <row r="3989" spans="1:1" x14ac:dyDescent="0.35">
      <c r="A3989" s="4">
        <v>4500170379</v>
      </c>
    </row>
    <row r="3990" spans="1:1" x14ac:dyDescent="0.35">
      <c r="A3990" s="4">
        <v>4500170383</v>
      </c>
    </row>
    <row r="3991" spans="1:1" x14ac:dyDescent="0.35">
      <c r="A3991" s="4">
        <v>4500170389</v>
      </c>
    </row>
    <row r="3992" spans="1:1" x14ac:dyDescent="0.35">
      <c r="A3992" s="4">
        <v>4500170394</v>
      </c>
    </row>
    <row r="3993" spans="1:1" x14ac:dyDescent="0.35">
      <c r="A3993" s="4">
        <v>4500170400</v>
      </c>
    </row>
    <row r="3994" spans="1:1" x14ac:dyDescent="0.35">
      <c r="A3994" s="4">
        <v>4500170403</v>
      </c>
    </row>
    <row r="3995" spans="1:1" x14ac:dyDescent="0.35">
      <c r="A3995" s="4">
        <v>4500170405</v>
      </c>
    </row>
    <row r="3996" spans="1:1" x14ac:dyDescent="0.35">
      <c r="A3996" s="4">
        <v>4500170408</v>
      </c>
    </row>
    <row r="3997" spans="1:1" x14ac:dyDescent="0.35">
      <c r="A3997" s="4">
        <v>4500170411</v>
      </c>
    </row>
    <row r="3998" spans="1:1" x14ac:dyDescent="0.35">
      <c r="A3998" s="4">
        <v>4500170419</v>
      </c>
    </row>
    <row r="3999" spans="1:1" x14ac:dyDescent="0.35">
      <c r="A3999" s="4">
        <v>4500170503</v>
      </c>
    </row>
    <row r="4000" spans="1:1" x14ac:dyDescent="0.35">
      <c r="A4000" s="4">
        <v>4500170508</v>
      </c>
    </row>
    <row r="4001" spans="1:1" x14ac:dyDescent="0.35">
      <c r="A4001" s="4">
        <v>4500170517</v>
      </c>
    </row>
    <row r="4002" spans="1:1" x14ac:dyDescent="0.35">
      <c r="A4002" s="4">
        <v>4500170526</v>
      </c>
    </row>
    <row r="4003" spans="1:1" x14ac:dyDescent="0.35">
      <c r="A4003" s="4">
        <v>4500170531</v>
      </c>
    </row>
    <row r="4004" spans="1:1" x14ac:dyDescent="0.35">
      <c r="A4004" s="4">
        <v>4500170541</v>
      </c>
    </row>
    <row r="4005" spans="1:1" x14ac:dyDescent="0.35">
      <c r="A4005" s="4">
        <v>4500170547</v>
      </c>
    </row>
    <row r="4006" spans="1:1" x14ac:dyDescent="0.35">
      <c r="A4006" s="4">
        <v>4500170551</v>
      </c>
    </row>
    <row r="4007" spans="1:1" x14ac:dyDescent="0.35">
      <c r="A4007" s="4">
        <v>4500170558</v>
      </c>
    </row>
    <row r="4008" spans="1:1" x14ac:dyDescent="0.35">
      <c r="A4008" s="4">
        <v>4500170561</v>
      </c>
    </row>
    <row r="4009" spans="1:1" x14ac:dyDescent="0.35">
      <c r="A4009" s="4">
        <v>4500170564</v>
      </c>
    </row>
    <row r="4010" spans="1:1" x14ac:dyDescent="0.35">
      <c r="A4010" s="4">
        <v>4500170572</v>
      </c>
    </row>
    <row r="4011" spans="1:1" x14ac:dyDescent="0.35">
      <c r="A4011" s="4">
        <v>4500170574</v>
      </c>
    </row>
    <row r="4012" spans="1:1" x14ac:dyDescent="0.35">
      <c r="A4012" s="4">
        <v>4500170579</v>
      </c>
    </row>
    <row r="4013" spans="1:1" x14ac:dyDescent="0.35">
      <c r="A4013" s="4">
        <v>4500170583</v>
      </c>
    </row>
    <row r="4014" spans="1:1" x14ac:dyDescent="0.35">
      <c r="A4014" s="4">
        <v>4500170585</v>
      </c>
    </row>
    <row r="4015" spans="1:1" x14ac:dyDescent="0.35">
      <c r="A4015" s="4">
        <v>4500170587</v>
      </c>
    </row>
    <row r="4016" spans="1:1" x14ac:dyDescent="0.35">
      <c r="A4016" s="4">
        <v>4500170592</v>
      </c>
    </row>
    <row r="4017" spans="1:1" x14ac:dyDescent="0.35">
      <c r="A4017" s="4">
        <v>4500170594</v>
      </c>
    </row>
    <row r="4018" spans="1:1" x14ac:dyDescent="0.35">
      <c r="A4018" s="4">
        <v>4500170595</v>
      </c>
    </row>
    <row r="4019" spans="1:1" x14ac:dyDescent="0.35">
      <c r="A4019" s="4">
        <v>4500170596</v>
      </c>
    </row>
    <row r="4020" spans="1:1" x14ac:dyDescent="0.35">
      <c r="A4020" s="4">
        <v>4500170597</v>
      </c>
    </row>
    <row r="4021" spans="1:1" x14ac:dyDescent="0.35">
      <c r="A4021" s="4">
        <v>4500170598</v>
      </c>
    </row>
    <row r="4022" spans="1:1" x14ac:dyDescent="0.35">
      <c r="A4022" s="4">
        <v>4500170600</v>
      </c>
    </row>
    <row r="4023" spans="1:1" x14ac:dyDescent="0.35">
      <c r="A4023" s="4">
        <v>4500170601</v>
      </c>
    </row>
    <row r="4024" spans="1:1" x14ac:dyDescent="0.35">
      <c r="A4024" s="4">
        <v>4500170603</v>
      </c>
    </row>
    <row r="4025" spans="1:1" x14ac:dyDescent="0.35">
      <c r="A4025" s="4">
        <v>4500170604</v>
      </c>
    </row>
    <row r="4026" spans="1:1" x14ac:dyDescent="0.35">
      <c r="A4026" s="4">
        <v>4500170607</v>
      </c>
    </row>
    <row r="4027" spans="1:1" x14ac:dyDescent="0.35">
      <c r="A4027" s="4">
        <v>4500170667</v>
      </c>
    </row>
    <row r="4028" spans="1:1" x14ac:dyDescent="0.35">
      <c r="A4028" s="4">
        <v>4500170671</v>
      </c>
    </row>
    <row r="4029" spans="1:1" x14ac:dyDescent="0.35">
      <c r="A4029" s="4">
        <v>4500170676</v>
      </c>
    </row>
    <row r="4030" spans="1:1" x14ac:dyDescent="0.35">
      <c r="A4030" s="4">
        <v>4500170678</v>
      </c>
    </row>
    <row r="4031" spans="1:1" x14ac:dyDescent="0.35">
      <c r="A4031" s="4">
        <v>4500170681</v>
      </c>
    </row>
    <row r="4032" spans="1:1" x14ac:dyDescent="0.35">
      <c r="A4032" s="4">
        <v>4500170685</v>
      </c>
    </row>
    <row r="4033" spans="1:1" x14ac:dyDescent="0.35">
      <c r="A4033" s="4">
        <v>4500170689</v>
      </c>
    </row>
    <row r="4034" spans="1:1" x14ac:dyDescent="0.35">
      <c r="A4034" s="4">
        <v>4500170693</v>
      </c>
    </row>
    <row r="4035" spans="1:1" x14ac:dyDescent="0.35">
      <c r="A4035" s="4">
        <v>4500170697</v>
      </c>
    </row>
    <row r="4036" spans="1:1" x14ac:dyDescent="0.35">
      <c r="A4036" s="4">
        <v>4500170700</v>
      </c>
    </row>
    <row r="4037" spans="1:1" x14ac:dyDescent="0.35">
      <c r="A4037" s="4">
        <v>4500170704</v>
      </c>
    </row>
    <row r="4038" spans="1:1" x14ac:dyDescent="0.35">
      <c r="A4038" s="4">
        <v>4500170708</v>
      </c>
    </row>
    <row r="4039" spans="1:1" x14ac:dyDescent="0.35">
      <c r="A4039" s="4">
        <v>4500170713</v>
      </c>
    </row>
    <row r="4040" spans="1:1" x14ac:dyDescent="0.35">
      <c r="A4040" s="4">
        <v>4500170715</v>
      </c>
    </row>
    <row r="4041" spans="1:1" x14ac:dyDescent="0.35">
      <c r="A4041" s="4">
        <v>4500170720</v>
      </c>
    </row>
    <row r="4042" spans="1:1" x14ac:dyDescent="0.35">
      <c r="A4042" s="4">
        <v>4500170722</v>
      </c>
    </row>
    <row r="4043" spans="1:1" x14ac:dyDescent="0.35">
      <c r="A4043" s="4">
        <v>4500170726</v>
      </c>
    </row>
    <row r="4044" spans="1:1" x14ac:dyDescent="0.35">
      <c r="A4044" s="4">
        <v>4500170728</v>
      </c>
    </row>
    <row r="4045" spans="1:1" x14ac:dyDescent="0.35">
      <c r="A4045" s="4">
        <v>4500170731</v>
      </c>
    </row>
    <row r="4046" spans="1:1" x14ac:dyDescent="0.35">
      <c r="A4046" s="4">
        <v>4500170734</v>
      </c>
    </row>
    <row r="4047" spans="1:1" x14ac:dyDescent="0.35">
      <c r="A4047" s="4">
        <v>4500170738</v>
      </c>
    </row>
    <row r="4048" spans="1:1" x14ac:dyDescent="0.35">
      <c r="A4048" s="4">
        <v>4500170741</v>
      </c>
    </row>
    <row r="4049" spans="1:1" x14ac:dyDescent="0.35">
      <c r="A4049" s="4">
        <v>4500170776</v>
      </c>
    </row>
    <row r="4050" spans="1:1" x14ac:dyDescent="0.35">
      <c r="A4050" s="4">
        <v>4500170794</v>
      </c>
    </row>
    <row r="4051" spans="1:1" x14ac:dyDescent="0.35">
      <c r="A4051" s="4">
        <v>4500170801</v>
      </c>
    </row>
    <row r="4052" spans="1:1" x14ac:dyDescent="0.35">
      <c r="A4052" s="4">
        <v>4500170811</v>
      </c>
    </row>
    <row r="4053" spans="1:1" x14ac:dyDescent="0.35">
      <c r="A4053" s="4">
        <v>4500170812</v>
      </c>
    </row>
    <row r="4054" spans="1:1" x14ac:dyDescent="0.35">
      <c r="A4054" s="4">
        <v>4500170818</v>
      </c>
    </row>
    <row r="4055" spans="1:1" x14ac:dyDescent="0.35">
      <c r="A4055" s="4">
        <v>4500170824</v>
      </c>
    </row>
    <row r="4056" spans="1:1" x14ac:dyDescent="0.35">
      <c r="A4056" s="4">
        <v>4500170834</v>
      </c>
    </row>
    <row r="4057" spans="1:1" x14ac:dyDescent="0.35">
      <c r="A4057" s="4">
        <v>4500170836</v>
      </c>
    </row>
    <row r="4058" spans="1:1" x14ac:dyDescent="0.35">
      <c r="A4058" s="4">
        <v>4500170843</v>
      </c>
    </row>
    <row r="4059" spans="1:1" x14ac:dyDescent="0.35">
      <c r="A4059" s="4">
        <v>4500170847</v>
      </c>
    </row>
    <row r="4060" spans="1:1" x14ac:dyDescent="0.35">
      <c r="A4060" s="4">
        <v>4500170853</v>
      </c>
    </row>
    <row r="4061" spans="1:1" x14ac:dyDescent="0.35">
      <c r="A4061" s="4">
        <v>4500170857</v>
      </c>
    </row>
    <row r="4062" spans="1:1" x14ac:dyDescent="0.35">
      <c r="A4062" s="4">
        <v>4500170871</v>
      </c>
    </row>
    <row r="4063" spans="1:1" x14ac:dyDescent="0.35">
      <c r="A4063" s="4">
        <v>4500170873</v>
      </c>
    </row>
    <row r="4064" spans="1:1" x14ac:dyDescent="0.35">
      <c r="A4064" s="4">
        <v>4500170877</v>
      </c>
    </row>
    <row r="4065" spans="1:1" x14ac:dyDescent="0.35">
      <c r="A4065" s="4">
        <v>4500170880</v>
      </c>
    </row>
    <row r="4066" spans="1:1" x14ac:dyDescent="0.35">
      <c r="A4066" s="4">
        <v>4500170884</v>
      </c>
    </row>
    <row r="4067" spans="1:1" x14ac:dyDescent="0.35">
      <c r="A4067" s="4">
        <v>4500170891</v>
      </c>
    </row>
    <row r="4068" spans="1:1" x14ac:dyDescent="0.35">
      <c r="A4068" s="4">
        <v>4500170894</v>
      </c>
    </row>
    <row r="4069" spans="1:1" x14ac:dyDescent="0.35">
      <c r="A4069" s="4">
        <v>4500170899</v>
      </c>
    </row>
    <row r="4070" spans="1:1" x14ac:dyDescent="0.35">
      <c r="A4070" s="4">
        <v>4500170915</v>
      </c>
    </row>
    <row r="4071" spans="1:1" x14ac:dyDescent="0.35">
      <c r="A4071" s="4">
        <v>4500170955</v>
      </c>
    </row>
    <row r="4072" spans="1:1" x14ac:dyDescent="0.35">
      <c r="A4072" s="4">
        <v>4500170958</v>
      </c>
    </row>
    <row r="4073" spans="1:1" x14ac:dyDescent="0.35">
      <c r="A4073" s="4">
        <v>4500170961</v>
      </c>
    </row>
    <row r="4074" spans="1:1" x14ac:dyDescent="0.35">
      <c r="A4074" s="4">
        <v>4500170963</v>
      </c>
    </row>
    <row r="4075" spans="1:1" x14ac:dyDescent="0.35">
      <c r="A4075" s="4">
        <v>4500170965</v>
      </c>
    </row>
    <row r="4076" spans="1:1" x14ac:dyDescent="0.35">
      <c r="A4076" s="4">
        <v>4500170970</v>
      </c>
    </row>
    <row r="4077" spans="1:1" x14ac:dyDescent="0.35">
      <c r="A4077" s="4">
        <v>4500170972</v>
      </c>
    </row>
    <row r="4078" spans="1:1" x14ac:dyDescent="0.35">
      <c r="A4078" s="4">
        <v>4500170975</v>
      </c>
    </row>
    <row r="4079" spans="1:1" x14ac:dyDescent="0.35">
      <c r="A4079" s="4">
        <v>4500170979</v>
      </c>
    </row>
    <row r="4080" spans="1:1" x14ac:dyDescent="0.35">
      <c r="A4080" s="4">
        <v>4500170982</v>
      </c>
    </row>
    <row r="4081" spans="1:1" x14ac:dyDescent="0.35">
      <c r="A4081" s="4">
        <v>4500170989</v>
      </c>
    </row>
    <row r="4082" spans="1:1" x14ac:dyDescent="0.35">
      <c r="A4082" s="4">
        <v>4500170993</v>
      </c>
    </row>
    <row r="4083" spans="1:1" x14ac:dyDescent="0.35">
      <c r="A4083" s="4">
        <v>4500170996</v>
      </c>
    </row>
    <row r="4084" spans="1:1" x14ac:dyDescent="0.35">
      <c r="A4084" s="4">
        <v>4500171002</v>
      </c>
    </row>
    <row r="4085" spans="1:1" x14ac:dyDescent="0.35">
      <c r="A4085" s="4">
        <v>4500171008</v>
      </c>
    </row>
    <row r="4086" spans="1:1" x14ac:dyDescent="0.35">
      <c r="A4086" s="4">
        <v>4500171012</v>
      </c>
    </row>
    <row r="4087" spans="1:1" x14ac:dyDescent="0.35">
      <c r="A4087" s="4">
        <v>4500171020</v>
      </c>
    </row>
    <row r="4088" spans="1:1" x14ac:dyDescent="0.35">
      <c r="A4088" s="4">
        <v>4500171024</v>
      </c>
    </row>
    <row r="4089" spans="1:1" x14ac:dyDescent="0.35">
      <c r="A4089" s="4">
        <v>4500171027</v>
      </c>
    </row>
    <row r="4090" spans="1:1" x14ac:dyDescent="0.35">
      <c r="A4090" s="4">
        <v>4500171031</v>
      </c>
    </row>
    <row r="4091" spans="1:1" x14ac:dyDescent="0.35">
      <c r="A4091" s="4">
        <v>4500171038</v>
      </c>
    </row>
    <row r="4092" spans="1:1" x14ac:dyDescent="0.35">
      <c r="A4092" s="4">
        <v>4500171043</v>
      </c>
    </row>
    <row r="4093" spans="1:1" x14ac:dyDescent="0.35">
      <c r="A4093" s="4">
        <v>4500171046</v>
      </c>
    </row>
    <row r="4094" spans="1:1" x14ac:dyDescent="0.35">
      <c r="A4094" s="4">
        <v>4500171048</v>
      </c>
    </row>
    <row r="4095" spans="1:1" x14ac:dyDescent="0.35">
      <c r="A4095" s="4">
        <v>4500171050</v>
      </c>
    </row>
    <row r="4096" spans="1:1" x14ac:dyDescent="0.35">
      <c r="A4096" s="4">
        <v>4500171052</v>
      </c>
    </row>
    <row r="4097" spans="1:1" x14ac:dyDescent="0.35">
      <c r="A4097" s="4">
        <v>4500171055</v>
      </c>
    </row>
    <row r="4098" spans="1:1" x14ac:dyDescent="0.35">
      <c r="A4098" s="4">
        <v>4500171107</v>
      </c>
    </row>
    <row r="4099" spans="1:1" x14ac:dyDescent="0.35">
      <c r="A4099" s="4">
        <v>4500171113</v>
      </c>
    </row>
    <row r="4100" spans="1:1" x14ac:dyDescent="0.35">
      <c r="A4100" s="4">
        <v>4500171116</v>
      </c>
    </row>
    <row r="4101" spans="1:1" x14ac:dyDescent="0.35">
      <c r="A4101" s="4">
        <v>4500171120</v>
      </c>
    </row>
    <row r="4102" spans="1:1" x14ac:dyDescent="0.35">
      <c r="A4102" s="4">
        <v>4500171122</v>
      </c>
    </row>
    <row r="4103" spans="1:1" x14ac:dyDescent="0.35">
      <c r="A4103" s="4">
        <v>4500171126</v>
      </c>
    </row>
    <row r="4104" spans="1:1" x14ac:dyDescent="0.35">
      <c r="A4104" s="4">
        <v>4500171129</v>
      </c>
    </row>
    <row r="4105" spans="1:1" x14ac:dyDescent="0.35">
      <c r="A4105" s="4">
        <v>4500171132</v>
      </c>
    </row>
    <row r="4106" spans="1:1" x14ac:dyDescent="0.35">
      <c r="A4106" s="4">
        <v>4500171137</v>
      </c>
    </row>
    <row r="4107" spans="1:1" x14ac:dyDescent="0.35">
      <c r="A4107" s="4">
        <v>4500171140</v>
      </c>
    </row>
    <row r="4108" spans="1:1" x14ac:dyDescent="0.35">
      <c r="A4108" s="4">
        <v>4500171143</v>
      </c>
    </row>
    <row r="4109" spans="1:1" x14ac:dyDescent="0.35">
      <c r="A4109" s="4">
        <v>4500171148</v>
      </c>
    </row>
    <row r="4110" spans="1:1" x14ac:dyDescent="0.35">
      <c r="A4110" s="4">
        <v>4500171153</v>
      </c>
    </row>
    <row r="4111" spans="1:1" x14ac:dyDescent="0.35">
      <c r="A4111" s="4">
        <v>4500171158</v>
      </c>
    </row>
    <row r="4112" spans="1:1" x14ac:dyDescent="0.35">
      <c r="A4112" s="4">
        <v>4500171259</v>
      </c>
    </row>
    <row r="4113" spans="1:1" x14ac:dyDescent="0.35">
      <c r="A4113" s="4">
        <v>4500171271</v>
      </c>
    </row>
    <row r="4114" spans="1:1" x14ac:dyDescent="0.35">
      <c r="A4114" s="4">
        <v>4500171274</v>
      </c>
    </row>
    <row r="4115" spans="1:1" x14ac:dyDescent="0.35">
      <c r="A4115" s="4">
        <v>4500171277</v>
      </c>
    </row>
    <row r="4116" spans="1:1" x14ac:dyDescent="0.35">
      <c r="A4116" s="4">
        <v>4500171284</v>
      </c>
    </row>
    <row r="4117" spans="1:1" x14ac:dyDescent="0.35">
      <c r="A4117" s="4">
        <v>4500171288</v>
      </c>
    </row>
    <row r="4118" spans="1:1" x14ac:dyDescent="0.35">
      <c r="A4118" s="4">
        <v>4500171295</v>
      </c>
    </row>
    <row r="4119" spans="1:1" x14ac:dyDescent="0.35">
      <c r="A4119" s="4">
        <v>4500171303</v>
      </c>
    </row>
    <row r="4120" spans="1:1" x14ac:dyDescent="0.35">
      <c r="A4120" s="4">
        <v>4500171308</v>
      </c>
    </row>
    <row r="4121" spans="1:1" x14ac:dyDescent="0.35">
      <c r="A4121" s="4">
        <v>4500171314</v>
      </c>
    </row>
    <row r="4122" spans="1:1" x14ac:dyDescent="0.35">
      <c r="A4122" s="4">
        <v>4500171316</v>
      </c>
    </row>
    <row r="4123" spans="1:1" x14ac:dyDescent="0.35">
      <c r="A4123" s="4">
        <v>4500171320</v>
      </c>
    </row>
    <row r="4124" spans="1:1" x14ac:dyDescent="0.35">
      <c r="A4124" s="4">
        <v>4500171326</v>
      </c>
    </row>
    <row r="4125" spans="1:1" x14ac:dyDescent="0.35">
      <c r="A4125" s="4">
        <v>4500171328</v>
      </c>
    </row>
    <row r="4126" spans="1:1" x14ac:dyDescent="0.35">
      <c r="A4126" s="4">
        <v>4500171329</v>
      </c>
    </row>
    <row r="4127" spans="1:1" x14ac:dyDescent="0.35">
      <c r="A4127" s="4">
        <v>4500171330</v>
      </c>
    </row>
    <row r="4128" spans="1:1" x14ac:dyDescent="0.35">
      <c r="A4128" s="4">
        <v>4500171331</v>
      </c>
    </row>
    <row r="4129" spans="1:1" x14ac:dyDescent="0.35">
      <c r="A4129" s="4">
        <v>4500171332</v>
      </c>
    </row>
    <row r="4130" spans="1:1" x14ac:dyDescent="0.35">
      <c r="A4130" s="4">
        <v>4500171334</v>
      </c>
    </row>
    <row r="4131" spans="1:1" x14ac:dyDescent="0.35">
      <c r="A4131" s="4">
        <v>4500171335</v>
      </c>
    </row>
    <row r="4132" spans="1:1" x14ac:dyDescent="0.35">
      <c r="A4132" s="4">
        <v>4500171336</v>
      </c>
    </row>
    <row r="4133" spans="1:1" x14ac:dyDescent="0.35">
      <c r="A4133" s="4">
        <v>4500171337</v>
      </c>
    </row>
    <row r="4134" spans="1:1" x14ac:dyDescent="0.35">
      <c r="A4134" s="4">
        <v>4500171340</v>
      </c>
    </row>
    <row r="4135" spans="1:1" x14ac:dyDescent="0.35">
      <c r="A4135" s="4">
        <v>4500171345</v>
      </c>
    </row>
    <row r="4136" spans="1:1" x14ac:dyDescent="0.35">
      <c r="A4136" s="4">
        <v>4500171405</v>
      </c>
    </row>
    <row r="4137" spans="1:1" x14ac:dyDescent="0.35">
      <c r="A4137" s="4">
        <v>4500171410</v>
      </c>
    </row>
    <row r="4138" spans="1:1" x14ac:dyDescent="0.35">
      <c r="A4138" s="4">
        <v>4500171415</v>
      </c>
    </row>
    <row r="4139" spans="1:1" x14ac:dyDescent="0.35">
      <c r="A4139" s="4">
        <v>4500171419</v>
      </c>
    </row>
    <row r="4140" spans="1:1" x14ac:dyDescent="0.35">
      <c r="A4140" s="4">
        <v>4500171424</v>
      </c>
    </row>
    <row r="4141" spans="1:1" x14ac:dyDescent="0.35">
      <c r="A4141" s="4">
        <v>4500171427</v>
      </c>
    </row>
    <row r="4142" spans="1:1" x14ac:dyDescent="0.35">
      <c r="A4142" s="4">
        <v>4500171433</v>
      </c>
    </row>
    <row r="4143" spans="1:1" x14ac:dyDescent="0.35">
      <c r="A4143" s="4">
        <v>4500171437</v>
      </c>
    </row>
    <row r="4144" spans="1:1" x14ac:dyDescent="0.35">
      <c r="A4144" s="4">
        <v>4500171442</v>
      </c>
    </row>
    <row r="4145" spans="1:1" x14ac:dyDescent="0.35">
      <c r="A4145" s="4">
        <v>4500171445</v>
      </c>
    </row>
    <row r="4146" spans="1:1" x14ac:dyDescent="0.35">
      <c r="A4146" s="4">
        <v>4500171451</v>
      </c>
    </row>
    <row r="4147" spans="1:1" x14ac:dyDescent="0.35">
      <c r="A4147" s="4">
        <v>4500171457</v>
      </c>
    </row>
    <row r="4148" spans="1:1" x14ac:dyDescent="0.35">
      <c r="A4148" s="4">
        <v>4500171461</v>
      </c>
    </row>
    <row r="4149" spans="1:1" x14ac:dyDescent="0.35">
      <c r="A4149" s="4">
        <v>4500171467</v>
      </c>
    </row>
    <row r="4150" spans="1:1" x14ac:dyDescent="0.35">
      <c r="A4150" s="4">
        <v>4500171469</v>
      </c>
    </row>
    <row r="4151" spans="1:1" x14ac:dyDescent="0.35">
      <c r="A4151" s="4">
        <v>4500171470</v>
      </c>
    </row>
    <row r="4152" spans="1:1" x14ac:dyDescent="0.35">
      <c r="A4152" s="4">
        <v>4500171471</v>
      </c>
    </row>
    <row r="4153" spans="1:1" x14ac:dyDescent="0.35">
      <c r="A4153" s="4">
        <v>4500171472</v>
      </c>
    </row>
    <row r="4154" spans="1:1" x14ac:dyDescent="0.35">
      <c r="A4154" s="4">
        <v>4500171534</v>
      </c>
    </row>
    <row r="4155" spans="1:1" x14ac:dyDescent="0.35">
      <c r="A4155" s="4">
        <v>4500171536</v>
      </c>
    </row>
    <row r="4156" spans="1:1" x14ac:dyDescent="0.35">
      <c r="A4156" s="4">
        <v>4500171539</v>
      </c>
    </row>
    <row r="4157" spans="1:1" x14ac:dyDescent="0.35">
      <c r="A4157" s="4">
        <v>4500171544</v>
      </c>
    </row>
    <row r="4158" spans="1:1" x14ac:dyDescent="0.35">
      <c r="A4158" s="4">
        <v>4500171547</v>
      </c>
    </row>
    <row r="4159" spans="1:1" x14ac:dyDescent="0.35">
      <c r="A4159" s="4">
        <v>4500171550</v>
      </c>
    </row>
    <row r="4160" spans="1:1" x14ac:dyDescent="0.35">
      <c r="A4160" s="4">
        <v>4500171554</v>
      </c>
    </row>
    <row r="4161" spans="1:1" x14ac:dyDescent="0.35">
      <c r="A4161" s="4">
        <v>4500171558</v>
      </c>
    </row>
    <row r="4162" spans="1:1" x14ac:dyDescent="0.35">
      <c r="A4162" s="4">
        <v>4500171563</v>
      </c>
    </row>
    <row r="4163" spans="1:1" x14ac:dyDescent="0.35">
      <c r="A4163" s="4">
        <v>4500171570</v>
      </c>
    </row>
    <row r="4164" spans="1:1" x14ac:dyDescent="0.35">
      <c r="A4164" s="4">
        <v>4500171573</v>
      </c>
    </row>
    <row r="4165" spans="1:1" x14ac:dyDescent="0.35">
      <c r="A4165" s="4">
        <v>4500171577</v>
      </c>
    </row>
    <row r="4166" spans="1:1" x14ac:dyDescent="0.35">
      <c r="A4166" s="4">
        <v>4500171582</v>
      </c>
    </row>
    <row r="4167" spans="1:1" x14ac:dyDescent="0.35">
      <c r="A4167" s="4">
        <v>4500171586</v>
      </c>
    </row>
    <row r="4168" spans="1:1" x14ac:dyDescent="0.35">
      <c r="A4168" s="4">
        <v>4500171589</v>
      </c>
    </row>
    <row r="4169" spans="1:1" x14ac:dyDescent="0.35">
      <c r="A4169" s="4">
        <v>4500171590</v>
      </c>
    </row>
    <row r="4170" spans="1:1" x14ac:dyDescent="0.35">
      <c r="A4170" s="4">
        <v>4500171591</v>
      </c>
    </row>
    <row r="4171" spans="1:1" x14ac:dyDescent="0.35">
      <c r="A4171" s="4">
        <v>4500171593</v>
      </c>
    </row>
    <row r="4172" spans="1:1" x14ac:dyDescent="0.35">
      <c r="A4172" s="4">
        <v>4500171595</v>
      </c>
    </row>
    <row r="4173" spans="1:1" x14ac:dyDescent="0.35">
      <c r="A4173" s="4">
        <v>4500171596</v>
      </c>
    </row>
    <row r="4174" spans="1:1" x14ac:dyDescent="0.35">
      <c r="A4174" s="4">
        <v>4500171599</v>
      </c>
    </row>
    <row r="4175" spans="1:1" x14ac:dyDescent="0.35">
      <c r="A4175" s="4">
        <v>4500171600</v>
      </c>
    </row>
    <row r="4176" spans="1:1" x14ac:dyDescent="0.35">
      <c r="A4176" s="4">
        <v>4500171601</v>
      </c>
    </row>
    <row r="4177" spans="1:1" x14ac:dyDescent="0.35">
      <c r="A4177" s="4">
        <v>4500171603</v>
      </c>
    </row>
    <row r="4178" spans="1:1" x14ac:dyDescent="0.35">
      <c r="A4178" s="4">
        <v>4500171604</v>
      </c>
    </row>
    <row r="4179" spans="1:1" x14ac:dyDescent="0.35">
      <c r="A4179" s="4">
        <v>4500171646</v>
      </c>
    </row>
    <row r="4180" spans="1:1" x14ac:dyDescent="0.35">
      <c r="A4180" s="4">
        <v>4500171648</v>
      </c>
    </row>
    <row r="4181" spans="1:1" x14ac:dyDescent="0.35">
      <c r="A4181" s="4">
        <v>4500171650</v>
      </c>
    </row>
    <row r="4182" spans="1:1" x14ac:dyDescent="0.35">
      <c r="A4182" s="4">
        <v>4500171652</v>
      </c>
    </row>
    <row r="4183" spans="1:1" x14ac:dyDescent="0.35">
      <c r="A4183" s="4">
        <v>4500171654</v>
      </c>
    </row>
    <row r="4184" spans="1:1" x14ac:dyDescent="0.35">
      <c r="A4184" s="4">
        <v>4500171658</v>
      </c>
    </row>
    <row r="4185" spans="1:1" x14ac:dyDescent="0.35">
      <c r="A4185" s="4">
        <v>4500171663</v>
      </c>
    </row>
    <row r="4186" spans="1:1" x14ac:dyDescent="0.35">
      <c r="A4186" s="4">
        <v>4500171667</v>
      </c>
    </row>
    <row r="4187" spans="1:1" x14ac:dyDescent="0.35">
      <c r="A4187" s="4">
        <v>4500171672</v>
      </c>
    </row>
    <row r="4188" spans="1:1" x14ac:dyDescent="0.35">
      <c r="A4188" s="4">
        <v>4500171677</v>
      </c>
    </row>
    <row r="4189" spans="1:1" x14ac:dyDescent="0.35">
      <c r="A4189" s="4">
        <v>4500171681</v>
      </c>
    </row>
    <row r="4190" spans="1:1" x14ac:dyDescent="0.35">
      <c r="A4190" s="4">
        <v>4500171684</v>
      </c>
    </row>
    <row r="4191" spans="1:1" x14ac:dyDescent="0.35">
      <c r="A4191" s="4">
        <v>4500171687</v>
      </c>
    </row>
    <row r="4192" spans="1:1" x14ac:dyDescent="0.35">
      <c r="A4192" s="4">
        <v>4500171690</v>
      </c>
    </row>
    <row r="4193" spans="1:1" x14ac:dyDescent="0.35">
      <c r="A4193" s="4">
        <v>4500171692</v>
      </c>
    </row>
    <row r="4194" spans="1:1" x14ac:dyDescent="0.35">
      <c r="A4194" s="4">
        <v>4500171695</v>
      </c>
    </row>
    <row r="4195" spans="1:1" x14ac:dyDescent="0.35">
      <c r="A4195" s="4">
        <v>4500171698</v>
      </c>
    </row>
    <row r="4196" spans="1:1" x14ac:dyDescent="0.35">
      <c r="A4196" s="4">
        <v>4500171702</v>
      </c>
    </row>
    <row r="4197" spans="1:1" x14ac:dyDescent="0.35">
      <c r="A4197" s="4">
        <v>4500171709</v>
      </c>
    </row>
    <row r="4198" spans="1:1" x14ac:dyDescent="0.35">
      <c r="A4198" s="4">
        <v>4500171712</v>
      </c>
    </row>
    <row r="4199" spans="1:1" x14ac:dyDescent="0.35">
      <c r="A4199" s="4">
        <v>4500171719</v>
      </c>
    </row>
    <row r="4200" spans="1:1" x14ac:dyDescent="0.35">
      <c r="A4200" s="4">
        <v>4500171723</v>
      </c>
    </row>
    <row r="4201" spans="1:1" x14ac:dyDescent="0.35">
      <c r="A4201" s="4">
        <v>4500171726</v>
      </c>
    </row>
    <row r="4202" spans="1:1" x14ac:dyDescent="0.35">
      <c r="A4202" s="4">
        <v>4500171729</v>
      </c>
    </row>
    <row r="4203" spans="1:1" x14ac:dyDescent="0.35">
      <c r="A4203" s="4">
        <v>4500171731</v>
      </c>
    </row>
    <row r="4204" spans="1:1" x14ac:dyDescent="0.35">
      <c r="A4204" s="4">
        <v>4500171817</v>
      </c>
    </row>
    <row r="4205" spans="1:1" x14ac:dyDescent="0.35">
      <c r="A4205" s="4">
        <v>4500171820</v>
      </c>
    </row>
    <row r="4206" spans="1:1" x14ac:dyDescent="0.35">
      <c r="A4206" s="4">
        <v>4500171824</v>
      </c>
    </row>
    <row r="4207" spans="1:1" x14ac:dyDescent="0.35">
      <c r="A4207" s="4">
        <v>4500171829</v>
      </c>
    </row>
    <row r="4208" spans="1:1" x14ac:dyDescent="0.35">
      <c r="A4208" s="4">
        <v>4500171834</v>
      </c>
    </row>
    <row r="4209" spans="1:1" x14ac:dyDescent="0.35">
      <c r="A4209" s="4">
        <v>4500171837</v>
      </c>
    </row>
    <row r="4210" spans="1:1" x14ac:dyDescent="0.35">
      <c r="A4210" s="4">
        <v>4500171841</v>
      </c>
    </row>
    <row r="4211" spans="1:1" x14ac:dyDescent="0.35">
      <c r="A4211" s="4">
        <v>4500171847</v>
      </c>
    </row>
    <row r="4212" spans="1:1" x14ac:dyDescent="0.35">
      <c r="A4212" s="4">
        <v>4500171850</v>
      </c>
    </row>
    <row r="4213" spans="1:1" x14ac:dyDescent="0.35">
      <c r="A4213" s="4">
        <v>4500171856</v>
      </c>
    </row>
    <row r="4214" spans="1:1" x14ac:dyDescent="0.35">
      <c r="A4214" s="4">
        <v>4500171859</v>
      </c>
    </row>
    <row r="4215" spans="1:1" x14ac:dyDescent="0.35">
      <c r="A4215" s="4">
        <v>4500171862</v>
      </c>
    </row>
    <row r="4216" spans="1:1" x14ac:dyDescent="0.35">
      <c r="A4216" s="4">
        <v>4500171865</v>
      </c>
    </row>
    <row r="4217" spans="1:1" x14ac:dyDescent="0.35">
      <c r="A4217" s="4">
        <v>4500171869</v>
      </c>
    </row>
    <row r="4218" spans="1:1" x14ac:dyDescent="0.35">
      <c r="A4218" s="4">
        <v>4500171960</v>
      </c>
    </row>
    <row r="4219" spans="1:1" x14ac:dyDescent="0.35">
      <c r="A4219" s="4">
        <v>4500171965</v>
      </c>
    </row>
    <row r="4220" spans="1:1" x14ac:dyDescent="0.35">
      <c r="A4220" s="4">
        <v>4500171968</v>
      </c>
    </row>
    <row r="4221" spans="1:1" x14ac:dyDescent="0.35">
      <c r="A4221" s="4">
        <v>4500171978</v>
      </c>
    </row>
    <row r="4222" spans="1:1" x14ac:dyDescent="0.35">
      <c r="A4222" s="4">
        <v>4500171989</v>
      </c>
    </row>
    <row r="4223" spans="1:1" x14ac:dyDescent="0.35">
      <c r="A4223" s="4">
        <v>4500171991</v>
      </c>
    </row>
    <row r="4224" spans="1:1" x14ac:dyDescent="0.35">
      <c r="A4224" s="4">
        <v>4500171993</v>
      </c>
    </row>
    <row r="4225" spans="1:1" x14ac:dyDescent="0.35">
      <c r="A4225" s="4">
        <v>4500171995</v>
      </c>
    </row>
    <row r="4226" spans="1:1" x14ac:dyDescent="0.35">
      <c r="A4226" s="4">
        <v>4500171997</v>
      </c>
    </row>
    <row r="4227" spans="1:1" x14ac:dyDescent="0.35">
      <c r="A4227" s="4">
        <v>4500171998</v>
      </c>
    </row>
    <row r="4228" spans="1:1" x14ac:dyDescent="0.35">
      <c r="A4228" s="4">
        <v>4500171999</v>
      </c>
    </row>
    <row r="4229" spans="1:1" x14ac:dyDescent="0.35">
      <c r="A4229" s="4">
        <v>4500172003</v>
      </c>
    </row>
    <row r="4230" spans="1:1" x14ac:dyDescent="0.35">
      <c r="A4230" s="4">
        <v>4500172004</v>
      </c>
    </row>
    <row r="4231" spans="1:1" x14ac:dyDescent="0.35">
      <c r="A4231" s="4">
        <v>4500172007</v>
      </c>
    </row>
    <row r="4232" spans="1:1" x14ac:dyDescent="0.35">
      <c r="A4232" s="4">
        <v>4500172008</v>
      </c>
    </row>
    <row r="4233" spans="1:1" x14ac:dyDescent="0.35">
      <c r="A4233" s="4">
        <v>4500172010</v>
      </c>
    </row>
    <row r="4234" spans="1:1" x14ac:dyDescent="0.35">
      <c r="A4234" s="4">
        <v>4500172012</v>
      </c>
    </row>
    <row r="4235" spans="1:1" x14ac:dyDescent="0.35">
      <c r="A4235" s="4">
        <v>4500172013</v>
      </c>
    </row>
    <row r="4236" spans="1:1" x14ac:dyDescent="0.35">
      <c r="A4236" s="4">
        <v>4500172016</v>
      </c>
    </row>
    <row r="4237" spans="1:1" x14ac:dyDescent="0.35">
      <c r="A4237" s="4">
        <v>4500172017</v>
      </c>
    </row>
    <row r="4238" spans="1:1" x14ac:dyDescent="0.35">
      <c r="A4238" s="4">
        <v>4500172018</v>
      </c>
    </row>
    <row r="4239" spans="1:1" x14ac:dyDescent="0.35">
      <c r="A4239" s="4">
        <v>4500172020</v>
      </c>
    </row>
    <row r="4240" spans="1:1" x14ac:dyDescent="0.35">
      <c r="A4240" s="4">
        <v>4500172021</v>
      </c>
    </row>
    <row r="4241" spans="1:1" x14ac:dyDescent="0.35">
      <c r="A4241" s="4">
        <v>4500172076</v>
      </c>
    </row>
    <row r="4242" spans="1:1" x14ac:dyDescent="0.35">
      <c r="A4242" s="4">
        <v>4500172079</v>
      </c>
    </row>
    <row r="4243" spans="1:1" x14ac:dyDescent="0.35">
      <c r="A4243" s="4">
        <v>4500172083</v>
      </c>
    </row>
    <row r="4244" spans="1:1" x14ac:dyDescent="0.35">
      <c r="A4244" s="4">
        <v>4500172087</v>
      </c>
    </row>
    <row r="4245" spans="1:1" x14ac:dyDescent="0.35">
      <c r="A4245" s="4">
        <v>4500172094</v>
      </c>
    </row>
    <row r="4246" spans="1:1" x14ac:dyDescent="0.35">
      <c r="A4246" s="4">
        <v>4500172097</v>
      </c>
    </row>
    <row r="4247" spans="1:1" x14ac:dyDescent="0.35">
      <c r="A4247" s="4">
        <v>4500172101</v>
      </c>
    </row>
    <row r="4248" spans="1:1" x14ac:dyDescent="0.35">
      <c r="A4248" s="4">
        <v>4500172106</v>
      </c>
    </row>
    <row r="4249" spans="1:1" x14ac:dyDescent="0.35">
      <c r="A4249" s="4">
        <v>4500172110</v>
      </c>
    </row>
    <row r="4250" spans="1:1" x14ac:dyDescent="0.35">
      <c r="A4250" s="4">
        <v>4500172114</v>
      </c>
    </row>
    <row r="4251" spans="1:1" x14ac:dyDescent="0.35">
      <c r="A4251" s="4">
        <v>4500172118</v>
      </c>
    </row>
    <row r="4252" spans="1:1" x14ac:dyDescent="0.35">
      <c r="A4252" s="4">
        <v>4500172123</v>
      </c>
    </row>
    <row r="4253" spans="1:1" x14ac:dyDescent="0.35">
      <c r="A4253" s="4">
        <v>4500172129</v>
      </c>
    </row>
    <row r="4254" spans="1:1" x14ac:dyDescent="0.35">
      <c r="A4254" s="4">
        <v>4500172132</v>
      </c>
    </row>
    <row r="4255" spans="1:1" x14ac:dyDescent="0.35">
      <c r="A4255" s="4">
        <v>4500172135</v>
      </c>
    </row>
    <row r="4256" spans="1:1" x14ac:dyDescent="0.35">
      <c r="A4256" s="4">
        <v>4500172138</v>
      </c>
    </row>
    <row r="4257" spans="1:1" x14ac:dyDescent="0.35">
      <c r="A4257" s="4">
        <v>4500172144</v>
      </c>
    </row>
    <row r="4258" spans="1:1" x14ac:dyDescent="0.35">
      <c r="A4258" s="4">
        <v>4500172147</v>
      </c>
    </row>
    <row r="4259" spans="1:1" x14ac:dyDescent="0.35">
      <c r="A4259" s="4">
        <v>4500172151</v>
      </c>
    </row>
    <row r="4260" spans="1:1" x14ac:dyDescent="0.35">
      <c r="A4260" s="4">
        <v>4500172152</v>
      </c>
    </row>
    <row r="4261" spans="1:1" x14ac:dyDescent="0.35">
      <c r="A4261" s="4">
        <v>4500172155</v>
      </c>
    </row>
    <row r="4262" spans="1:1" x14ac:dyDescent="0.35">
      <c r="A4262" s="4">
        <v>4500172158</v>
      </c>
    </row>
    <row r="4263" spans="1:1" x14ac:dyDescent="0.35">
      <c r="A4263" s="4">
        <v>4500172169</v>
      </c>
    </row>
    <row r="4264" spans="1:1" x14ac:dyDescent="0.35">
      <c r="A4264" s="4">
        <v>4500172216</v>
      </c>
    </row>
    <row r="4265" spans="1:1" x14ac:dyDescent="0.35">
      <c r="A4265" s="4">
        <v>4500172221</v>
      </c>
    </row>
    <row r="4266" spans="1:1" x14ac:dyDescent="0.35">
      <c r="A4266" s="4">
        <v>4500172226</v>
      </c>
    </row>
    <row r="4267" spans="1:1" x14ac:dyDescent="0.35">
      <c r="A4267" s="4">
        <v>4500172229</v>
      </c>
    </row>
    <row r="4268" spans="1:1" x14ac:dyDescent="0.35">
      <c r="A4268" s="4">
        <v>4500172232</v>
      </c>
    </row>
    <row r="4269" spans="1:1" x14ac:dyDescent="0.35">
      <c r="A4269" s="4">
        <v>4500172235</v>
      </c>
    </row>
    <row r="4270" spans="1:1" x14ac:dyDescent="0.35">
      <c r="A4270" s="4">
        <v>4500172237</v>
      </c>
    </row>
    <row r="4271" spans="1:1" x14ac:dyDescent="0.35">
      <c r="A4271" s="4">
        <v>4500172241</v>
      </c>
    </row>
    <row r="4272" spans="1:1" x14ac:dyDescent="0.35">
      <c r="A4272" s="4">
        <v>4500172245</v>
      </c>
    </row>
    <row r="4273" spans="1:1" x14ac:dyDescent="0.35">
      <c r="A4273" s="4">
        <v>4500172250</v>
      </c>
    </row>
    <row r="4274" spans="1:1" x14ac:dyDescent="0.35">
      <c r="A4274" s="4">
        <v>4500172253</v>
      </c>
    </row>
    <row r="4275" spans="1:1" x14ac:dyDescent="0.35">
      <c r="A4275" s="4">
        <v>4500172264</v>
      </c>
    </row>
    <row r="4276" spans="1:1" x14ac:dyDescent="0.35">
      <c r="A4276" s="4">
        <v>4500172268</v>
      </c>
    </row>
    <row r="4277" spans="1:1" x14ac:dyDescent="0.35">
      <c r="A4277" s="4">
        <v>4500172272</v>
      </c>
    </row>
    <row r="4278" spans="1:1" x14ac:dyDescent="0.35">
      <c r="A4278" s="4">
        <v>4500172274</v>
      </c>
    </row>
    <row r="4279" spans="1:1" x14ac:dyDescent="0.35">
      <c r="A4279" s="4">
        <v>4500172277</v>
      </c>
    </row>
    <row r="4280" spans="1:1" x14ac:dyDescent="0.35">
      <c r="A4280" s="4">
        <v>4500172280</v>
      </c>
    </row>
    <row r="4281" spans="1:1" x14ac:dyDescent="0.35">
      <c r="A4281" s="4">
        <v>4500172284</v>
      </c>
    </row>
    <row r="4282" spans="1:1" x14ac:dyDescent="0.35">
      <c r="A4282" s="4">
        <v>4500172288</v>
      </c>
    </row>
    <row r="4283" spans="1:1" x14ac:dyDescent="0.35">
      <c r="A4283" s="4">
        <v>4500172291</v>
      </c>
    </row>
    <row r="4284" spans="1:1" x14ac:dyDescent="0.35">
      <c r="A4284" s="4">
        <v>4500172293</v>
      </c>
    </row>
    <row r="4285" spans="1:1" x14ac:dyDescent="0.35">
      <c r="A4285" s="4">
        <v>4500172296</v>
      </c>
    </row>
    <row r="4286" spans="1:1" x14ac:dyDescent="0.35">
      <c r="A4286" s="4">
        <v>4500172299</v>
      </c>
    </row>
    <row r="4287" spans="1:1" x14ac:dyDescent="0.35">
      <c r="A4287" s="4">
        <v>4500172302</v>
      </c>
    </row>
    <row r="4288" spans="1:1" x14ac:dyDescent="0.35">
      <c r="A4288" s="4">
        <v>4500172305</v>
      </c>
    </row>
    <row r="4289" spans="1:1" x14ac:dyDescent="0.35">
      <c r="A4289" s="4">
        <v>4500172308</v>
      </c>
    </row>
    <row r="4290" spans="1:1" x14ac:dyDescent="0.35">
      <c r="A4290" s="4">
        <v>4500172310</v>
      </c>
    </row>
    <row r="4291" spans="1:1" x14ac:dyDescent="0.35">
      <c r="A4291" s="4">
        <v>4500172312</v>
      </c>
    </row>
    <row r="4292" spans="1:1" x14ac:dyDescent="0.35">
      <c r="A4292" s="4">
        <v>4500172313</v>
      </c>
    </row>
    <row r="4293" spans="1:1" x14ac:dyDescent="0.35">
      <c r="A4293" s="4">
        <v>4500172316</v>
      </c>
    </row>
    <row r="4294" spans="1:1" x14ac:dyDescent="0.35">
      <c r="A4294" s="4">
        <v>4500172351</v>
      </c>
    </row>
    <row r="4295" spans="1:1" x14ac:dyDescent="0.35">
      <c r="A4295" s="4">
        <v>4500172362</v>
      </c>
    </row>
    <row r="4296" spans="1:1" x14ac:dyDescent="0.35">
      <c r="A4296" s="4">
        <v>4500172364</v>
      </c>
    </row>
    <row r="4297" spans="1:1" x14ac:dyDescent="0.35">
      <c r="A4297" s="4">
        <v>4500172367</v>
      </c>
    </row>
    <row r="4298" spans="1:1" x14ac:dyDescent="0.35">
      <c r="A4298" s="4">
        <v>4500172371</v>
      </c>
    </row>
    <row r="4299" spans="1:1" x14ac:dyDescent="0.35">
      <c r="A4299" s="4">
        <v>4500172375</v>
      </c>
    </row>
    <row r="4300" spans="1:1" x14ac:dyDescent="0.35">
      <c r="A4300" s="4">
        <v>4500172378</v>
      </c>
    </row>
    <row r="4301" spans="1:1" x14ac:dyDescent="0.35">
      <c r="A4301" s="4">
        <v>4500172381</v>
      </c>
    </row>
    <row r="4302" spans="1:1" x14ac:dyDescent="0.35">
      <c r="A4302" s="4">
        <v>4500172383</v>
      </c>
    </row>
    <row r="4303" spans="1:1" x14ac:dyDescent="0.35">
      <c r="A4303" s="4">
        <v>4500172388</v>
      </c>
    </row>
    <row r="4304" spans="1:1" x14ac:dyDescent="0.35">
      <c r="A4304" s="4">
        <v>4500172391</v>
      </c>
    </row>
    <row r="4305" spans="1:1" x14ac:dyDescent="0.35">
      <c r="A4305" s="4">
        <v>4500172395</v>
      </c>
    </row>
    <row r="4306" spans="1:1" x14ac:dyDescent="0.35">
      <c r="A4306" s="4">
        <v>4500172398</v>
      </c>
    </row>
    <row r="4307" spans="1:1" x14ac:dyDescent="0.35">
      <c r="A4307" s="4">
        <v>4500172402</v>
      </c>
    </row>
    <row r="4308" spans="1:1" x14ac:dyDescent="0.35">
      <c r="A4308" s="4">
        <v>4500172409</v>
      </c>
    </row>
    <row r="4309" spans="1:1" x14ac:dyDescent="0.35">
      <c r="A4309" s="4">
        <v>4500172413</v>
      </c>
    </row>
    <row r="4310" spans="1:1" x14ac:dyDescent="0.35">
      <c r="A4310" s="4">
        <v>4500172416</v>
      </c>
    </row>
    <row r="4311" spans="1:1" x14ac:dyDescent="0.35">
      <c r="A4311" s="4">
        <v>4500172420</v>
      </c>
    </row>
    <row r="4312" spans="1:1" x14ac:dyDescent="0.35">
      <c r="A4312" s="4">
        <v>4500172425</v>
      </c>
    </row>
    <row r="4313" spans="1:1" x14ac:dyDescent="0.35">
      <c r="A4313" s="4">
        <v>4500172428</v>
      </c>
    </row>
    <row r="4314" spans="1:1" x14ac:dyDescent="0.35">
      <c r="A4314" s="4">
        <v>4500172433</v>
      </c>
    </row>
    <row r="4315" spans="1:1" x14ac:dyDescent="0.35">
      <c r="A4315" s="4">
        <v>4500172435</v>
      </c>
    </row>
    <row r="4316" spans="1:1" x14ac:dyDescent="0.35">
      <c r="A4316" s="4">
        <v>4500172437</v>
      </c>
    </row>
    <row r="4317" spans="1:1" x14ac:dyDescent="0.35">
      <c r="A4317" s="4">
        <v>4500172439</v>
      </c>
    </row>
    <row r="4318" spans="1:1" x14ac:dyDescent="0.35">
      <c r="A4318" s="4">
        <v>4500172497</v>
      </c>
    </row>
    <row r="4319" spans="1:1" x14ac:dyDescent="0.35">
      <c r="A4319" s="4">
        <v>4500172498</v>
      </c>
    </row>
    <row r="4320" spans="1:1" x14ac:dyDescent="0.35">
      <c r="A4320" s="4">
        <v>4500172501</v>
      </c>
    </row>
    <row r="4321" spans="1:1" x14ac:dyDescent="0.35">
      <c r="A4321" s="4">
        <v>4500172503</v>
      </c>
    </row>
    <row r="4322" spans="1:1" x14ac:dyDescent="0.35">
      <c r="A4322" s="4">
        <v>4500172505</v>
      </c>
    </row>
    <row r="4323" spans="1:1" x14ac:dyDescent="0.35">
      <c r="A4323" s="4">
        <v>4500172507</v>
      </c>
    </row>
    <row r="4324" spans="1:1" x14ac:dyDescent="0.35">
      <c r="A4324" s="4">
        <v>4500172511</v>
      </c>
    </row>
    <row r="4325" spans="1:1" x14ac:dyDescent="0.35">
      <c r="A4325" s="4">
        <v>4500172517</v>
      </c>
    </row>
    <row r="4326" spans="1:1" x14ac:dyDescent="0.35">
      <c r="A4326" s="4">
        <v>4500172520</v>
      </c>
    </row>
    <row r="4327" spans="1:1" x14ac:dyDescent="0.35">
      <c r="A4327" s="4">
        <v>4500172524</v>
      </c>
    </row>
    <row r="4328" spans="1:1" x14ac:dyDescent="0.35">
      <c r="A4328" s="4">
        <v>4500172528</v>
      </c>
    </row>
    <row r="4329" spans="1:1" x14ac:dyDescent="0.35">
      <c r="A4329" s="4">
        <v>4500172536</v>
      </c>
    </row>
    <row r="4330" spans="1:1" x14ac:dyDescent="0.35">
      <c r="A4330" s="4">
        <v>4500172540</v>
      </c>
    </row>
    <row r="4331" spans="1:1" x14ac:dyDescent="0.35">
      <c r="A4331" s="4">
        <v>4500172554</v>
      </c>
    </row>
    <row r="4332" spans="1:1" x14ac:dyDescent="0.35">
      <c r="A4332" s="4">
        <v>4500172563</v>
      </c>
    </row>
    <row r="4333" spans="1:1" x14ac:dyDescent="0.35">
      <c r="A4333" s="4">
        <v>4500172566</v>
      </c>
    </row>
    <row r="4334" spans="1:1" x14ac:dyDescent="0.35">
      <c r="A4334" s="4">
        <v>4500172569</v>
      </c>
    </row>
    <row r="4335" spans="1:1" x14ac:dyDescent="0.35">
      <c r="A4335" s="4">
        <v>4500172572</v>
      </c>
    </row>
    <row r="4336" spans="1:1" x14ac:dyDescent="0.35">
      <c r="A4336" s="4">
        <v>4500172575</v>
      </c>
    </row>
    <row r="4337" spans="1:1" x14ac:dyDescent="0.35">
      <c r="A4337" s="4">
        <v>4500172581</v>
      </c>
    </row>
    <row r="4338" spans="1:1" x14ac:dyDescent="0.35">
      <c r="A4338" s="4">
        <v>4500172583</v>
      </c>
    </row>
    <row r="4339" spans="1:1" x14ac:dyDescent="0.35">
      <c r="A4339" s="4">
        <v>4500172635</v>
      </c>
    </row>
    <row r="4340" spans="1:1" x14ac:dyDescent="0.35">
      <c r="A4340" s="4">
        <v>4500172639</v>
      </c>
    </row>
    <row r="4341" spans="1:1" x14ac:dyDescent="0.35">
      <c r="A4341" s="4">
        <v>4500172643</v>
      </c>
    </row>
    <row r="4342" spans="1:1" x14ac:dyDescent="0.35">
      <c r="A4342" s="4">
        <v>4500172646</v>
      </c>
    </row>
    <row r="4343" spans="1:1" x14ac:dyDescent="0.35">
      <c r="A4343" s="4">
        <v>4500172654</v>
      </c>
    </row>
    <row r="4344" spans="1:1" x14ac:dyDescent="0.35">
      <c r="A4344" s="4">
        <v>4500172657</v>
      </c>
    </row>
    <row r="4345" spans="1:1" x14ac:dyDescent="0.35">
      <c r="A4345" s="4">
        <v>4500172660</v>
      </c>
    </row>
    <row r="4346" spans="1:1" x14ac:dyDescent="0.35">
      <c r="A4346" s="4">
        <v>4500172668</v>
      </c>
    </row>
    <row r="4347" spans="1:1" x14ac:dyDescent="0.35">
      <c r="A4347" s="4">
        <v>4500172673</v>
      </c>
    </row>
    <row r="4348" spans="1:1" x14ac:dyDescent="0.35">
      <c r="A4348" s="4">
        <v>4500172677</v>
      </c>
    </row>
    <row r="4349" spans="1:1" x14ac:dyDescent="0.35">
      <c r="A4349" s="4">
        <v>4500172690</v>
      </c>
    </row>
    <row r="4350" spans="1:1" x14ac:dyDescent="0.35">
      <c r="A4350" s="4">
        <v>4500172706</v>
      </c>
    </row>
    <row r="4351" spans="1:1" x14ac:dyDescent="0.35">
      <c r="A4351" s="4">
        <v>4500172709</v>
      </c>
    </row>
    <row r="4352" spans="1:1" x14ac:dyDescent="0.35">
      <c r="A4352" s="4">
        <v>4500172714</v>
      </c>
    </row>
    <row r="4353" spans="1:1" x14ac:dyDescent="0.35">
      <c r="A4353" s="4">
        <v>4500172720</v>
      </c>
    </row>
    <row r="4354" spans="1:1" x14ac:dyDescent="0.35">
      <c r="A4354" s="4">
        <v>4500172722</v>
      </c>
    </row>
    <row r="4355" spans="1:1" x14ac:dyDescent="0.35">
      <c r="A4355" s="4">
        <v>4500172723</v>
      </c>
    </row>
    <row r="4356" spans="1:1" x14ac:dyDescent="0.35">
      <c r="A4356" s="4">
        <v>4500172724</v>
      </c>
    </row>
    <row r="4357" spans="1:1" x14ac:dyDescent="0.35">
      <c r="A4357" s="4">
        <v>4500172726</v>
      </c>
    </row>
    <row r="4358" spans="1:1" x14ac:dyDescent="0.35">
      <c r="A4358" s="4">
        <v>4500172728</v>
      </c>
    </row>
    <row r="4359" spans="1:1" x14ac:dyDescent="0.35">
      <c r="A4359" s="4">
        <v>4500172729</v>
      </c>
    </row>
    <row r="4360" spans="1:1" x14ac:dyDescent="0.35">
      <c r="A4360" s="4">
        <v>4500172730</v>
      </c>
    </row>
    <row r="4361" spans="1:1" x14ac:dyDescent="0.35">
      <c r="A4361" s="4">
        <v>4500172731</v>
      </c>
    </row>
    <row r="4362" spans="1:1" x14ac:dyDescent="0.35">
      <c r="A4362" s="4">
        <v>4500172734</v>
      </c>
    </row>
    <row r="4363" spans="1:1" x14ac:dyDescent="0.35">
      <c r="A4363" s="4">
        <v>4500172777</v>
      </c>
    </row>
    <row r="4364" spans="1:1" x14ac:dyDescent="0.35">
      <c r="A4364" s="4">
        <v>4500172784</v>
      </c>
    </row>
    <row r="4365" spans="1:1" x14ac:dyDescent="0.35">
      <c r="A4365" s="4">
        <v>4500172814</v>
      </c>
    </row>
    <row r="4366" spans="1:1" x14ac:dyDescent="0.35">
      <c r="A4366" s="4">
        <v>4500172816</v>
      </c>
    </row>
    <row r="4367" spans="1:1" x14ac:dyDescent="0.35">
      <c r="A4367" s="4">
        <v>4500172819</v>
      </c>
    </row>
    <row r="4368" spans="1:1" x14ac:dyDescent="0.35">
      <c r="A4368" s="4">
        <v>4500172822</v>
      </c>
    </row>
    <row r="4369" spans="1:1" x14ac:dyDescent="0.35">
      <c r="A4369" s="4">
        <v>4500172825</v>
      </c>
    </row>
    <row r="4370" spans="1:1" x14ac:dyDescent="0.35">
      <c r="A4370" s="4">
        <v>4500172828</v>
      </c>
    </row>
    <row r="4371" spans="1:1" x14ac:dyDescent="0.35">
      <c r="A4371" s="4">
        <v>4500172832</v>
      </c>
    </row>
    <row r="4372" spans="1:1" x14ac:dyDescent="0.35">
      <c r="A4372" s="4">
        <v>4500172835</v>
      </c>
    </row>
    <row r="4373" spans="1:1" x14ac:dyDescent="0.35">
      <c r="A4373" s="4">
        <v>4500172840</v>
      </c>
    </row>
    <row r="4374" spans="1:1" x14ac:dyDescent="0.35">
      <c r="A4374" s="4">
        <v>4500172843</v>
      </c>
    </row>
    <row r="4375" spans="1:1" x14ac:dyDescent="0.35">
      <c r="A4375" s="4">
        <v>4500172847</v>
      </c>
    </row>
    <row r="4376" spans="1:1" x14ac:dyDescent="0.35">
      <c r="A4376" s="4">
        <v>4500172854</v>
      </c>
    </row>
    <row r="4377" spans="1:1" x14ac:dyDescent="0.35">
      <c r="A4377" s="4">
        <v>4500172868</v>
      </c>
    </row>
    <row r="4378" spans="1:1" x14ac:dyDescent="0.35">
      <c r="A4378" s="4">
        <v>4500172872</v>
      </c>
    </row>
    <row r="4379" spans="1:1" x14ac:dyDescent="0.35">
      <c r="A4379" s="4">
        <v>4500172874</v>
      </c>
    </row>
    <row r="4380" spans="1:1" x14ac:dyDescent="0.35">
      <c r="A4380" s="4">
        <v>4500172877</v>
      </c>
    </row>
    <row r="4381" spans="1:1" x14ac:dyDescent="0.35">
      <c r="A4381" s="4">
        <v>4500172879</v>
      </c>
    </row>
    <row r="4382" spans="1:1" x14ac:dyDescent="0.35">
      <c r="A4382" s="4">
        <v>4500172917</v>
      </c>
    </row>
    <row r="4383" spans="1:1" x14ac:dyDescent="0.35">
      <c r="A4383" s="4">
        <v>4500172918</v>
      </c>
    </row>
    <row r="4384" spans="1:1" x14ac:dyDescent="0.35">
      <c r="A4384" s="4">
        <v>4500172919</v>
      </c>
    </row>
    <row r="4385" spans="1:1" x14ac:dyDescent="0.35">
      <c r="A4385" s="4">
        <v>4500172921</v>
      </c>
    </row>
    <row r="4386" spans="1:1" x14ac:dyDescent="0.35">
      <c r="A4386" s="4">
        <v>4500172922</v>
      </c>
    </row>
    <row r="4387" spans="1:1" x14ac:dyDescent="0.35">
      <c r="A4387" s="4">
        <v>4500172926</v>
      </c>
    </row>
    <row r="4388" spans="1:1" x14ac:dyDescent="0.35">
      <c r="A4388" s="4">
        <v>4500172930</v>
      </c>
    </row>
    <row r="4389" spans="1:1" x14ac:dyDescent="0.35">
      <c r="A4389" s="4">
        <v>4500172931</v>
      </c>
    </row>
    <row r="4390" spans="1:1" x14ac:dyDescent="0.35">
      <c r="A4390" s="4">
        <v>4500172933</v>
      </c>
    </row>
    <row r="4391" spans="1:1" x14ac:dyDescent="0.35">
      <c r="A4391" s="4">
        <v>4500172938</v>
      </c>
    </row>
    <row r="4392" spans="1:1" x14ac:dyDescent="0.35">
      <c r="A4392" s="4">
        <v>4500172947</v>
      </c>
    </row>
    <row r="4393" spans="1:1" x14ac:dyDescent="0.35">
      <c r="A4393" s="4">
        <v>4500172951</v>
      </c>
    </row>
    <row r="4394" spans="1:1" x14ac:dyDescent="0.35">
      <c r="A4394" s="4">
        <v>4500172954</v>
      </c>
    </row>
    <row r="4395" spans="1:1" x14ac:dyDescent="0.35">
      <c r="A4395" s="4">
        <v>4500172965</v>
      </c>
    </row>
    <row r="4396" spans="1:1" x14ac:dyDescent="0.35">
      <c r="A4396" s="4">
        <v>4500172968</v>
      </c>
    </row>
    <row r="4397" spans="1:1" x14ac:dyDescent="0.35">
      <c r="A4397" s="4">
        <v>4500172972</v>
      </c>
    </row>
    <row r="4398" spans="1:1" x14ac:dyDescent="0.35">
      <c r="A4398" s="4">
        <v>4500172982</v>
      </c>
    </row>
    <row r="4399" spans="1:1" x14ac:dyDescent="0.35">
      <c r="A4399" s="4">
        <v>4500172991</v>
      </c>
    </row>
    <row r="4400" spans="1:1" x14ac:dyDescent="0.35">
      <c r="A4400" s="4">
        <v>4500172996</v>
      </c>
    </row>
    <row r="4401" spans="1:1" x14ac:dyDescent="0.35">
      <c r="A4401" s="4">
        <v>4500173033</v>
      </c>
    </row>
    <row r="4402" spans="1:1" x14ac:dyDescent="0.35">
      <c r="A4402" s="4">
        <v>4500173074</v>
      </c>
    </row>
    <row r="4403" spans="1:1" x14ac:dyDescent="0.35">
      <c r="A4403" s="4">
        <v>4500173077</v>
      </c>
    </row>
    <row r="4404" spans="1:1" x14ac:dyDescent="0.35">
      <c r="A4404" s="4">
        <v>4500173082</v>
      </c>
    </row>
    <row r="4405" spans="1:1" x14ac:dyDescent="0.35">
      <c r="A4405" s="4">
        <v>4500173085</v>
      </c>
    </row>
    <row r="4406" spans="1:1" x14ac:dyDescent="0.35">
      <c r="A4406" s="4">
        <v>4500173089</v>
      </c>
    </row>
    <row r="4407" spans="1:1" x14ac:dyDescent="0.35">
      <c r="A4407" s="4">
        <v>4500173092</v>
      </c>
    </row>
    <row r="4408" spans="1:1" x14ac:dyDescent="0.35">
      <c r="A4408" s="4">
        <v>4500173107</v>
      </c>
    </row>
    <row r="4409" spans="1:1" x14ac:dyDescent="0.35">
      <c r="A4409" s="4">
        <v>4500173111</v>
      </c>
    </row>
    <row r="4410" spans="1:1" x14ac:dyDescent="0.35">
      <c r="A4410" s="4">
        <v>4500173117</v>
      </c>
    </row>
    <row r="4411" spans="1:1" x14ac:dyDescent="0.35">
      <c r="A4411" s="4">
        <v>4500173120</v>
      </c>
    </row>
    <row r="4412" spans="1:1" x14ac:dyDescent="0.35">
      <c r="A4412" s="4">
        <v>4500173124</v>
      </c>
    </row>
    <row r="4413" spans="1:1" x14ac:dyDescent="0.35">
      <c r="A4413" s="4">
        <v>4500173128</v>
      </c>
    </row>
    <row r="4414" spans="1:1" x14ac:dyDescent="0.35">
      <c r="A4414" s="4">
        <v>4500173130</v>
      </c>
    </row>
    <row r="4415" spans="1:1" x14ac:dyDescent="0.35">
      <c r="A4415" s="4">
        <v>4500173132</v>
      </c>
    </row>
    <row r="4416" spans="1:1" x14ac:dyDescent="0.35">
      <c r="A4416" s="4">
        <v>4500173135</v>
      </c>
    </row>
    <row r="4417" spans="1:1" x14ac:dyDescent="0.35">
      <c r="A4417" s="4">
        <v>4500173138</v>
      </c>
    </row>
    <row r="4418" spans="1:1" x14ac:dyDescent="0.35">
      <c r="A4418" s="4">
        <v>4500173146</v>
      </c>
    </row>
    <row r="4419" spans="1:1" x14ac:dyDescent="0.35">
      <c r="A4419" s="4">
        <v>4500173149</v>
      </c>
    </row>
    <row r="4420" spans="1:1" x14ac:dyDescent="0.35">
      <c r="A4420" s="4">
        <v>4500173153</v>
      </c>
    </row>
    <row r="4421" spans="1:1" x14ac:dyDescent="0.35">
      <c r="A4421" s="4">
        <v>4500173157</v>
      </c>
    </row>
    <row r="4422" spans="1:1" x14ac:dyDescent="0.35">
      <c r="A4422" s="4">
        <v>4500173159</v>
      </c>
    </row>
    <row r="4423" spans="1:1" x14ac:dyDescent="0.35">
      <c r="A4423" s="4">
        <v>4500173162</v>
      </c>
    </row>
    <row r="4424" spans="1:1" x14ac:dyDescent="0.35">
      <c r="A4424" s="4">
        <v>4500173231</v>
      </c>
    </row>
    <row r="4425" spans="1:1" x14ac:dyDescent="0.35">
      <c r="A4425" s="4">
        <v>4500173242</v>
      </c>
    </row>
    <row r="4426" spans="1:1" x14ac:dyDescent="0.35">
      <c r="A4426" s="4">
        <v>4500173248</v>
      </c>
    </row>
    <row r="4427" spans="1:1" x14ac:dyDescent="0.35">
      <c r="A4427" s="4">
        <v>4500173254</v>
      </c>
    </row>
    <row r="4428" spans="1:1" x14ac:dyDescent="0.35">
      <c r="A4428" s="4">
        <v>4500173270</v>
      </c>
    </row>
    <row r="4429" spans="1:1" x14ac:dyDescent="0.35">
      <c r="A4429" s="4">
        <v>4500173273</v>
      </c>
    </row>
    <row r="4430" spans="1:1" x14ac:dyDescent="0.35">
      <c r="A4430" s="4">
        <v>4500173276</v>
      </c>
    </row>
    <row r="4431" spans="1:1" x14ac:dyDescent="0.35">
      <c r="A4431" s="4">
        <v>4500173282</v>
      </c>
    </row>
    <row r="4432" spans="1:1" x14ac:dyDescent="0.35">
      <c r="A4432" s="4">
        <v>4500173291</v>
      </c>
    </row>
    <row r="4433" spans="1:1" x14ac:dyDescent="0.35">
      <c r="A4433" s="4">
        <v>4500173298</v>
      </c>
    </row>
    <row r="4434" spans="1:1" x14ac:dyDescent="0.35">
      <c r="A4434" s="4">
        <v>4500173300</v>
      </c>
    </row>
    <row r="4435" spans="1:1" x14ac:dyDescent="0.35">
      <c r="A4435" s="4">
        <v>4500173307</v>
      </c>
    </row>
    <row r="4436" spans="1:1" x14ac:dyDescent="0.35">
      <c r="A4436" s="4">
        <v>4500173308</v>
      </c>
    </row>
    <row r="4437" spans="1:1" x14ac:dyDescent="0.35">
      <c r="A4437" s="4">
        <v>4500173309</v>
      </c>
    </row>
    <row r="4438" spans="1:1" x14ac:dyDescent="0.35">
      <c r="A4438" s="4">
        <v>4500173310</v>
      </c>
    </row>
    <row r="4439" spans="1:1" x14ac:dyDescent="0.35">
      <c r="A4439" s="4">
        <v>4500173410</v>
      </c>
    </row>
    <row r="4440" spans="1:1" x14ac:dyDescent="0.35">
      <c r="A4440" s="4">
        <v>4500173413</v>
      </c>
    </row>
    <row r="4441" spans="1:1" x14ac:dyDescent="0.35">
      <c r="A4441" s="4">
        <v>4500173418</v>
      </c>
    </row>
    <row r="4442" spans="1:1" x14ac:dyDescent="0.35">
      <c r="A4442" s="4">
        <v>4500173422</v>
      </c>
    </row>
    <row r="4443" spans="1:1" x14ac:dyDescent="0.35">
      <c r="A4443" s="4">
        <v>4500173429</v>
      </c>
    </row>
    <row r="4444" spans="1:1" x14ac:dyDescent="0.35">
      <c r="A4444" s="4">
        <v>4500173433</v>
      </c>
    </row>
    <row r="4445" spans="1:1" x14ac:dyDescent="0.35">
      <c r="A4445" s="4">
        <v>4500173437</v>
      </c>
    </row>
    <row r="4446" spans="1:1" x14ac:dyDescent="0.35">
      <c r="A4446" s="4">
        <v>4500173440</v>
      </c>
    </row>
    <row r="4447" spans="1:1" x14ac:dyDescent="0.35">
      <c r="A4447" s="4">
        <v>4500173446</v>
      </c>
    </row>
    <row r="4448" spans="1:1" x14ac:dyDescent="0.35">
      <c r="A4448" s="4">
        <v>4500173452</v>
      </c>
    </row>
    <row r="4449" spans="1:1" x14ac:dyDescent="0.35">
      <c r="A4449" s="4">
        <v>4500173453</v>
      </c>
    </row>
    <row r="4450" spans="1:1" x14ac:dyDescent="0.35">
      <c r="A4450" s="4">
        <v>4500173459</v>
      </c>
    </row>
    <row r="4451" spans="1:1" x14ac:dyDescent="0.35">
      <c r="A4451" s="4">
        <v>4500173462</v>
      </c>
    </row>
    <row r="4452" spans="1:1" x14ac:dyDescent="0.35">
      <c r="A4452" s="4">
        <v>4500173466</v>
      </c>
    </row>
    <row r="4453" spans="1:1" x14ac:dyDescent="0.35">
      <c r="A4453" s="4">
        <v>4500173469</v>
      </c>
    </row>
    <row r="4454" spans="1:1" x14ac:dyDescent="0.35">
      <c r="A4454" s="4">
        <v>4500173470</v>
      </c>
    </row>
    <row r="4455" spans="1:1" x14ac:dyDescent="0.35">
      <c r="A4455" s="4">
        <v>4500173472</v>
      </c>
    </row>
    <row r="4456" spans="1:1" x14ac:dyDescent="0.35">
      <c r="A4456" s="4">
        <v>4500173473</v>
      </c>
    </row>
    <row r="4457" spans="1:1" x14ac:dyDescent="0.35">
      <c r="A4457" s="4">
        <v>4500173475</v>
      </c>
    </row>
    <row r="4458" spans="1:1" x14ac:dyDescent="0.35">
      <c r="A4458" s="4">
        <v>4500173477</v>
      </c>
    </row>
    <row r="4459" spans="1:1" x14ac:dyDescent="0.35">
      <c r="A4459" s="4">
        <v>4500173521</v>
      </c>
    </row>
    <row r="4460" spans="1:1" x14ac:dyDescent="0.35">
      <c r="A4460" s="4">
        <v>4500173522</v>
      </c>
    </row>
    <row r="4461" spans="1:1" x14ac:dyDescent="0.35">
      <c r="A4461" s="4">
        <v>4500173524</v>
      </c>
    </row>
    <row r="4462" spans="1:1" x14ac:dyDescent="0.35">
      <c r="A4462" s="4">
        <v>4500173527</v>
      </c>
    </row>
    <row r="4463" spans="1:1" x14ac:dyDescent="0.35">
      <c r="A4463" s="4">
        <v>4500173531</v>
      </c>
    </row>
    <row r="4464" spans="1:1" x14ac:dyDescent="0.35">
      <c r="A4464" s="4">
        <v>4500173539</v>
      </c>
    </row>
    <row r="4465" spans="1:1" x14ac:dyDescent="0.35">
      <c r="A4465" s="4">
        <v>4500173543</v>
      </c>
    </row>
    <row r="4466" spans="1:1" x14ac:dyDescent="0.35">
      <c r="A4466" s="4">
        <v>4500173551</v>
      </c>
    </row>
    <row r="4467" spans="1:1" x14ac:dyDescent="0.35">
      <c r="A4467" s="4">
        <v>4500173555</v>
      </c>
    </row>
    <row r="4468" spans="1:1" x14ac:dyDescent="0.35">
      <c r="A4468" s="4">
        <v>4500173561</v>
      </c>
    </row>
    <row r="4469" spans="1:1" x14ac:dyDescent="0.35">
      <c r="A4469" s="4">
        <v>4500173570</v>
      </c>
    </row>
    <row r="4470" spans="1:1" x14ac:dyDescent="0.35">
      <c r="A4470" s="4">
        <v>4500173576</v>
      </c>
    </row>
    <row r="4471" spans="1:1" x14ac:dyDescent="0.35">
      <c r="A4471" s="4">
        <v>4500173579</v>
      </c>
    </row>
    <row r="4472" spans="1:1" x14ac:dyDescent="0.35">
      <c r="A4472" s="4">
        <v>4500173585</v>
      </c>
    </row>
    <row r="4473" spans="1:1" x14ac:dyDescent="0.35">
      <c r="A4473" s="4">
        <v>4500173594</v>
      </c>
    </row>
    <row r="4474" spans="1:1" x14ac:dyDescent="0.35">
      <c r="A4474" s="4">
        <v>4500173596</v>
      </c>
    </row>
    <row r="4475" spans="1:1" x14ac:dyDescent="0.35">
      <c r="A4475" s="4">
        <v>4500173603</v>
      </c>
    </row>
    <row r="4476" spans="1:1" x14ac:dyDescent="0.35">
      <c r="A4476" s="4">
        <v>4500173605</v>
      </c>
    </row>
    <row r="4477" spans="1:1" x14ac:dyDescent="0.35">
      <c r="A4477" s="4">
        <v>4500173607</v>
      </c>
    </row>
    <row r="4478" spans="1:1" x14ac:dyDescent="0.35">
      <c r="A4478" s="4">
        <v>4500173609</v>
      </c>
    </row>
    <row r="4479" spans="1:1" x14ac:dyDescent="0.35">
      <c r="A4479" s="4">
        <v>4500173611</v>
      </c>
    </row>
    <row r="4480" spans="1:1" x14ac:dyDescent="0.35">
      <c r="A4480" s="4">
        <v>4500173613</v>
      </c>
    </row>
    <row r="4481" spans="1:1" x14ac:dyDescent="0.35">
      <c r="A4481" s="4">
        <v>4500173614</v>
      </c>
    </row>
    <row r="4482" spans="1:1" x14ac:dyDescent="0.35">
      <c r="A4482" s="4">
        <v>4500173615</v>
      </c>
    </row>
    <row r="4483" spans="1:1" x14ac:dyDescent="0.35">
      <c r="A4483" s="4">
        <v>4500173616</v>
      </c>
    </row>
    <row r="4484" spans="1:1" x14ac:dyDescent="0.35">
      <c r="A4484" s="4">
        <v>4500173617</v>
      </c>
    </row>
    <row r="4485" spans="1:1" x14ac:dyDescent="0.35">
      <c r="A4485" s="4">
        <v>4500173661</v>
      </c>
    </row>
    <row r="4486" spans="1:1" x14ac:dyDescent="0.35">
      <c r="A4486" s="4">
        <v>4500173666</v>
      </c>
    </row>
    <row r="4487" spans="1:1" x14ac:dyDescent="0.35">
      <c r="A4487" s="4">
        <v>4500173670</v>
      </c>
    </row>
    <row r="4488" spans="1:1" x14ac:dyDescent="0.35">
      <c r="A4488" s="4">
        <v>4500173674</v>
      </c>
    </row>
    <row r="4489" spans="1:1" x14ac:dyDescent="0.35">
      <c r="A4489" s="4">
        <v>4500173676</v>
      </c>
    </row>
    <row r="4490" spans="1:1" x14ac:dyDescent="0.35">
      <c r="A4490" s="4">
        <v>4500173680</v>
      </c>
    </row>
    <row r="4491" spans="1:1" x14ac:dyDescent="0.35">
      <c r="A4491" s="4">
        <v>4500173685</v>
      </c>
    </row>
    <row r="4492" spans="1:1" x14ac:dyDescent="0.35">
      <c r="A4492" s="4">
        <v>4500173690</v>
      </c>
    </row>
    <row r="4493" spans="1:1" x14ac:dyDescent="0.35">
      <c r="A4493" s="4">
        <v>4500173696</v>
      </c>
    </row>
    <row r="4494" spans="1:1" x14ac:dyDescent="0.35">
      <c r="A4494" s="4">
        <v>4500173701</v>
      </c>
    </row>
    <row r="4495" spans="1:1" x14ac:dyDescent="0.35">
      <c r="A4495" s="4">
        <v>4500173707</v>
      </c>
    </row>
    <row r="4496" spans="1:1" x14ac:dyDescent="0.35">
      <c r="A4496" s="4">
        <v>4500173712</v>
      </c>
    </row>
    <row r="4497" spans="1:1" x14ac:dyDescent="0.35">
      <c r="A4497" s="4">
        <v>4500173718</v>
      </c>
    </row>
    <row r="4498" spans="1:1" x14ac:dyDescent="0.35">
      <c r="A4498" s="4">
        <v>4500173724</v>
      </c>
    </row>
    <row r="4499" spans="1:1" x14ac:dyDescent="0.35">
      <c r="A4499" s="4">
        <v>4500173730</v>
      </c>
    </row>
    <row r="4500" spans="1:1" x14ac:dyDescent="0.35">
      <c r="A4500" s="4">
        <v>4500173734</v>
      </c>
    </row>
    <row r="4501" spans="1:1" x14ac:dyDescent="0.35">
      <c r="A4501" s="4">
        <v>4500173737</v>
      </c>
    </row>
    <row r="4502" spans="1:1" x14ac:dyDescent="0.35">
      <c r="A4502" s="4">
        <v>4500173758</v>
      </c>
    </row>
    <row r="4503" spans="1:1" x14ac:dyDescent="0.35">
      <c r="A4503" s="4">
        <v>4500173760</v>
      </c>
    </row>
    <row r="4504" spans="1:1" x14ac:dyDescent="0.35">
      <c r="A4504" s="4">
        <v>4500173763</v>
      </c>
    </row>
    <row r="4505" spans="1:1" x14ac:dyDescent="0.35">
      <c r="A4505" s="4">
        <v>4500173766</v>
      </c>
    </row>
    <row r="4506" spans="1:1" x14ac:dyDescent="0.35">
      <c r="A4506" s="4">
        <v>4500173774</v>
      </c>
    </row>
    <row r="4507" spans="1:1" x14ac:dyDescent="0.35">
      <c r="A4507" s="4">
        <v>4500173781</v>
      </c>
    </row>
    <row r="4508" spans="1:1" x14ac:dyDescent="0.35">
      <c r="A4508" s="4">
        <v>4500173830</v>
      </c>
    </row>
    <row r="4509" spans="1:1" x14ac:dyDescent="0.35">
      <c r="A4509" s="4">
        <v>4500173831</v>
      </c>
    </row>
    <row r="4510" spans="1:1" x14ac:dyDescent="0.35">
      <c r="A4510" s="4">
        <v>4500173832</v>
      </c>
    </row>
    <row r="4511" spans="1:1" x14ac:dyDescent="0.35">
      <c r="A4511" s="4">
        <v>4500173839</v>
      </c>
    </row>
    <row r="4512" spans="1:1" x14ac:dyDescent="0.35">
      <c r="A4512" s="4">
        <v>4500173843</v>
      </c>
    </row>
    <row r="4513" spans="1:1" x14ac:dyDescent="0.35">
      <c r="A4513" s="4">
        <v>4500173846</v>
      </c>
    </row>
    <row r="4514" spans="1:1" x14ac:dyDescent="0.35">
      <c r="A4514" s="4">
        <v>4500173850</v>
      </c>
    </row>
    <row r="4515" spans="1:1" x14ac:dyDescent="0.35">
      <c r="A4515" s="4">
        <v>4500173857</v>
      </c>
    </row>
    <row r="4516" spans="1:1" x14ac:dyDescent="0.35">
      <c r="A4516" s="4">
        <v>4500173863</v>
      </c>
    </row>
    <row r="4517" spans="1:1" x14ac:dyDescent="0.35">
      <c r="A4517" s="4">
        <v>4500173869</v>
      </c>
    </row>
    <row r="4518" spans="1:1" x14ac:dyDescent="0.35">
      <c r="A4518" s="4">
        <v>4500173874</v>
      </c>
    </row>
    <row r="4519" spans="1:1" x14ac:dyDescent="0.35">
      <c r="A4519" s="4">
        <v>4500173880</v>
      </c>
    </row>
    <row r="4520" spans="1:1" x14ac:dyDescent="0.35">
      <c r="A4520" s="4">
        <v>4500173884</v>
      </c>
    </row>
    <row r="4521" spans="1:1" x14ac:dyDescent="0.35">
      <c r="A4521" s="4">
        <v>4500173886</v>
      </c>
    </row>
    <row r="4522" spans="1:1" x14ac:dyDescent="0.35">
      <c r="A4522" s="4">
        <v>4500173889</v>
      </c>
    </row>
    <row r="4523" spans="1:1" x14ac:dyDescent="0.35">
      <c r="A4523" s="4">
        <v>4500173892</v>
      </c>
    </row>
    <row r="4524" spans="1:1" x14ac:dyDescent="0.35">
      <c r="A4524" s="4">
        <v>4500173896</v>
      </c>
    </row>
    <row r="4525" spans="1:1" x14ac:dyDescent="0.35">
      <c r="A4525" s="4">
        <v>4500173901</v>
      </c>
    </row>
    <row r="4526" spans="1:1" x14ac:dyDescent="0.35">
      <c r="A4526" s="4">
        <v>4500173904</v>
      </c>
    </row>
    <row r="4527" spans="1:1" x14ac:dyDescent="0.35">
      <c r="A4527" s="4">
        <v>4500173907</v>
      </c>
    </row>
    <row r="4528" spans="1:1" x14ac:dyDescent="0.35">
      <c r="A4528" s="4">
        <v>4500173909</v>
      </c>
    </row>
    <row r="4529" spans="1:1" x14ac:dyDescent="0.35">
      <c r="A4529" s="4">
        <v>4500173910</v>
      </c>
    </row>
    <row r="4530" spans="1:1" x14ac:dyDescent="0.35">
      <c r="A4530" s="4">
        <v>4500173912</v>
      </c>
    </row>
    <row r="4531" spans="1:1" x14ac:dyDescent="0.35">
      <c r="A4531" s="4">
        <v>4500173914</v>
      </c>
    </row>
    <row r="4532" spans="1:1" x14ac:dyDescent="0.35">
      <c r="A4532" s="4">
        <v>4500173917</v>
      </c>
    </row>
    <row r="4533" spans="1:1" x14ac:dyDescent="0.35">
      <c r="A4533" s="4">
        <v>4500173920</v>
      </c>
    </row>
    <row r="4534" spans="1:1" x14ac:dyDescent="0.35">
      <c r="A4534" s="4">
        <v>4500173923</v>
      </c>
    </row>
    <row r="4535" spans="1:1" x14ac:dyDescent="0.35">
      <c r="A4535" s="4">
        <v>4500173926</v>
      </c>
    </row>
    <row r="4536" spans="1:1" x14ac:dyDescent="0.35">
      <c r="A4536" s="4">
        <v>4500173930</v>
      </c>
    </row>
    <row r="4537" spans="1:1" x14ac:dyDescent="0.35">
      <c r="A4537" s="4">
        <v>4500173946</v>
      </c>
    </row>
    <row r="4538" spans="1:1" x14ac:dyDescent="0.35">
      <c r="A4538" s="4">
        <v>4500174009</v>
      </c>
    </row>
    <row r="4539" spans="1:1" x14ac:dyDescent="0.35">
      <c r="A4539" s="4">
        <v>4500174014</v>
      </c>
    </row>
    <row r="4540" spans="1:1" x14ac:dyDescent="0.35">
      <c r="A4540" s="4">
        <v>4500174017</v>
      </c>
    </row>
    <row r="4541" spans="1:1" x14ac:dyDescent="0.35">
      <c r="A4541" s="4">
        <v>4500174018</v>
      </c>
    </row>
    <row r="4542" spans="1:1" x14ac:dyDescent="0.35">
      <c r="A4542" s="4">
        <v>4500174027</v>
      </c>
    </row>
    <row r="4543" spans="1:1" x14ac:dyDescent="0.35">
      <c r="A4543" s="4">
        <v>4500174032</v>
      </c>
    </row>
    <row r="4544" spans="1:1" x14ac:dyDescent="0.35">
      <c r="A4544" s="4">
        <v>4500174038</v>
      </c>
    </row>
    <row r="4545" spans="1:1" x14ac:dyDescent="0.35">
      <c r="A4545" s="4">
        <v>4500174043</v>
      </c>
    </row>
    <row r="4546" spans="1:1" x14ac:dyDescent="0.35">
      <c r="A4546" s="4">
        <v>4500174046</v>
      </c>
    </row>
    <row r="4547" spans="1:1" x14ac:dyDescent="0.35">
      <c r="A4547" s="4">
        <v>4500174051</v>
      </c>
    </row>
    <row r="4548" spans="1:1" x14ac:dyDescent="0.35">
      <c r="A4548" s="4">
        <v>4500174055</v>
      </c>
    </row>
    <row r="4549" spans="1:1" x14ac:dyDescent="0.35">
      <c r="A4549" s="4">
        <v>4500174059</v>
      </c>
    </row>
    <row r="4550" spans="1:1" x14ac:dyDescent="0.35">
      <c r="A4550" s="4">
        <v>4500174065</v>
      </c>
    </row>
    <row r="4551" spans="1:1" x14ac:dyDescent="0.35">
      <c r="A4551" s="4">
        <v>4500174069</v>
      </c>
    </row>
    <row r="4552" spans="1:1" x14ac:dyDescent="0.35">
      <c r="A4552" s="4">
        <v>4500174070</v>
      </c>
    </row>
    <row r="4553" spans="1:1" x14ac:dyDescent="0.35">
      <c r="A4553" s="4">
        <v>4500174074</v>
      </c>
    </row>
    <row r="4554" spans="1:1" x14ac:dyDescent="0.35">
      <c r="A4554" s="4">
        <v>4500174081</v>
      </c>
    </row>
    <row r="4555" spans="1:1" x14ac:dyDescent="0.35">
      <c r="A4555" s="4">
        <v>4500174084</v>
      </c>
    </row>
    <row r="4556" spans="1:1" x14ac:dyDescent="0.35">
      <c r="A4556" s="4">
        <v>4500174101</v>
      </c>
    </row>
    <row r="4557" spans="1:1" x14ac:dyDescent="0.35">
      <c r="A4557" s="4">
        <v>4500174106</v>
      </c>
    </row>
    <row r="4558" spans="1:1" x14ac:dyDescent="0.35">
      <c r="A4558" s="4">
        <v>4500174109</v>
      </c>
    </row>
    <row r="4559" spans="1:1" x14ac:dyDescent="0.35">
      <c r="A4559" s="4">
        <v>4500174111</v>
      </c>
    </row>
    <row r="4560" spans="1:1" x14ac:dyDescent="0.35">
      <c r="A4560" s="4">
        <v>4500174118</v>
      </c>
    </row>
    <row r="4561" spans="1:1" x14ac:dyDescent="0.35">
      <c r="A4561" s="4">
        <v>4500174122</v>
      </c>
    </row>
    <row r="4562" spans="1:1" x14ac:dyDescent="0.35">
      <c r="A4562" s="4">
        <v>4500174172</v>
      </c>
    </row>
    <row r="4563" spans="1:1" x14ac:dyDescent="0.35">
      <c r="A4563" s="4">
        <v>4500174183</v>
      </c>
    </row>
    <row r="4564" spans="1:1" x14ac:dyDescent="0.35">
      <c r="A4564" s="4">
        <v>4500174187</v>
      </c>
    </row>
    <row r="4565" spans="1:1" x14ac:dyDescent="0.35">
      <c r="A4565" s="4">
        <v>4500174195</v>
      </c>
    </row>
    <row r="4566" spans="1:1" x14ac:dyDescent="0.35">
      <c r="A4566" s="4">
        <v>4500174201</v>
      </c>
    </row>
    <row r="4567" spans="1:1" x14ac:dyDescent="0.35">
      <c r="A4567" s="4">
        <v>4500174212</v>
      </c>
    </row>
    <row r="4568" spans="1:1" x14ac:dyDescent="0.35">
      <c r="A4568" s="4">
        <v>4500174215</v>
      </c>
    </row>
    <row r="4569" spans="1:1" x14ac:dyDescent="0.35">
      <c r="A4569" s="4">
        <v>4500174228</v>
      </c>
    </row>
    <row r="4570" spans="1:1" x14ac:dyDescent="0.35">
      <c r="A4570" s="4">
        <v>4500174232</v>
      </c>
    </row>
    <row r="4571" spans="1:1" x14ac:dyDescent="0.35">
      <c r="A4571" s="4">
        <v>4500174238</v>
      </c>
    </row>
    <row r="4572" spans="1:1" x14ac:dyDescent="0.35">
      <c r="A4572" s="4">
        <v>4500174248</v>
      </c>
    </row>
    <row r="4573" spans="1:1" x14ac:dyDescent="0.35">
      <c r="A4573" s="4">
        <v>4500174250</v>
      </c>
    </row>
    <row r="4574" spans="1:1" x14ac:dyDescent="0.35">
      <c r="A4574" s="4">
        <v>4500174252</v>
      </c>
    </row>
    <row r="4575" spans="1:1" x14ac:dyDescent="0.35">
      <c r="A4575" s="4">
        <v>4500174254</v>
      </c>
    </row>
    <row r="4576" spans="1:1" x14ac:dyDescent="0.35">
      <c r="A4576" s="4">
        <v>4500174257</v>
      </c>
    </row>
    <row r="4577" spans="1:1" x14ac:dyDescent="0.35">
      <c r="A4577" s="4">
        <v>4500174259</v>
      </c>
    </row>
    <row r="4578" spans="1:1" x14ac:dyDescent="0.35">
      <c r="A4578" s="4">
        <v>4500174263</v>
      </c>
    </row>
    <row r="4579" spans="1:1" x14ac:dyDescent="0.35">
      <c r="A4579" s="4">
        <v>4500174267</v>
      </c>
    </row>
    <row r="4580" spans="1:1" x14ac:dyDescent="0.35">
      <c r="A4580" s="4">
        <v>4500174268</v>
      </c>
    </row>
    <row r="4581" spans="1:1" x14ac:dyDescent="0.35">
      <c r="A4581" s="4">
        <v>4500174270</v>
      </c>
    </row>
    <row r="4582" spans="1:1" x14ac:dyDescent="0.35">
      <c r="A4582" s="4">
        <v>4500174272</v>
      </c>
    </row>
    <row r="4583" spans="1:1" x14ac:dyDescent="0.35">
      <c r="A4583" s="4">
        <v>4500174275</v>
      </c>
    </row>
    <row r="4584" spans="1:1" x14ac:dyDescent="0.35">
      <c r="A4584" s="4">
        <v>4500174278</v>
      </c>
    </row>
    <row r="4585" spans="1:1" x14ac:dyDescent="0.35">
      <c r="A4585" s="4">
        <v>4500174279</v>
      </c>
    </row>
    <row r="4586" spans="1:1" x14ac:dyDescent="0.35">
      <c r="A4586" s="4">
        <v>4500174283</v>
      </c>
    </row>
    <row r="4587" spans="1:1" x14ac:dyDescent="0.35">
      <c r="A4587" s="4">
        <v>4500174284</v>
      </c>
    </row>
    <row r="4588" spans="1:1" x14ac:dyDescent="0.35">
      <c r="A4588" s="4">
        <v>4500174293</v>
      </c>
    </row>
    <row r="4589" spans="1:1" x14ac:dyDescent="0.35">
      <c r="A4589" s="4">
        <v>4500174297</v>
      </c>
    </row>
    <row r="4590" spans="1:1" x14ac:dyDescent="0.35">
      <c r="A4590" s="4">
        <v>4500174309</v>
      </c>
    </row>
    <row r="4591" spans="1:1" x14ac:dyDescent="0.35">
      <c r="A4591" s="4">
        <v>4500174384</v>
      </c>
    </row>
    <row r="4592" spans="1:1" x14ac:dyDescent="0.35">
      <c r="A4592" s="4">
        <v>4500174387</v>
      </c>
    </row>
    <row r="4593" spans="1:1" x14ac:dyDescent="0.35">
      <c r="A4593" s="4">
        <v>4500174391</v>
      </c>
    </row>
    <row r="4594" spans="1:1" x14ac:dyDescent="0.35">
      <c r="A4594" s="4">
        <v>4500174395</v>
      </c>
    </row>
    <row r="4595" spans="1:1" x14ac:dyDescent="0.35">
      <c r="A4595" s="4">
        <v>4500174398</v>
      </c>
    </row>
    <row r="4596" spans="1:1" x14ac:dyDescent="0.35">
      <c r="A4596" s="4">
        <v>4500174404</v>
      </c>
    </row>
    <row r="4597" spans="1:1" x14ac:dyDescent="0.35">
      <c r="A4597" s="4">
        <v>4500174408</v>
      </c>
    </row>
    <row r="4598" spans="1:1" x14ac:dyDescent="0.35">
      <c r="A4598" s="4">
        <v>4500174413</v>
      </c>
    </row>
    <row r="4599" spans="1:1" x14ac:dyDescent="0.35">
      <c r="A4599" s="4">
        <v>4500174418</v>
      </c>
    </row>
    <row r="4600" spans="1:1" x14ac:dyDescent="0.35">
      <c r="A4600" s="4">
        <v>4500174422</v>
      </c>
    </row>
    <row r="4601" spans="1:1" x14ac:dyDescent="0.35">
      <c r="A4601" s="4">
        <v>4500174426</v>
      </c>
    </row>
    <row r="4602" spans="1:1" x14ac:dyDescent="0.35">
      <c r="A4602" s="4">
        <v>4500174429</v>
      </c>
    </row>
    <row r="4603" spans="1:1" x14ac:dyDescent="0.35">
      <c r="A4603" s="4">
        <v>4500174432</v>
      </c>
    </row>
    <row r="4604" spans="1:1" x14ac:dyDescent="0.35">
      <c r="A4604" s="4">
        <v>4500174435</v>
      </c>
    </row>
    <row r="4605" spans="1:1" x14ac:dyDescent="0.35">
      <c r="A4605" s="4">
        <v>4500174437</v>
      </c>
    </row>
    <row r="4606" spans="1:1" x14ac:dyDescent="0.35">
      <c r="A4606" s="4">
        <v>4500174442</v>
      </c>
    </row>
    <row r="4607" spans="1:1" x14ac:dyDescent="0.35">
      <c r="A4607" s="4">
        <v>4500174443</v>
      </c>
    </row>
    <row r="4608" spans="1:1" x14ac:dyDescent="0.35">
      <c r="A4608" s="4">
        <v>4500174446</v>
      </c>
    </row>
    <row r="4609" spans="1:1" x14ac:dyDescent="0.35">
      <c r="A4609" s="4">
        <v>4500174448</v>
      </c>
    </row>
    <row r="4610" spans="1:1" x14ac:dyDescent="0.35">
      <c r="A4610" s="4">
        <v>4500174452</v>
      </c>
    </row>
    <row r="4611" spans="1:1" x14ac:dyDescent="0.35">
      <c r="A4611" s="4">
        <v>4500174457</v>
      </c>
    </row>
    <row r="4612" spans="1:1" x14ac:dyDescent="0.35">
      <c r="A4612" s="4">
        <v>4500174459</v>
      </c>
    </row>
    <row r="4613" spans="1:1" x14ac:dyDescent="0.35">
      <c r="A4613" s="4">
        <v>4500174461</v>
      </c>
    </row>
    <row r="4614" spans="1:1" x14ac:dyDescent="0.35">
      <c r="A4614" s="4">
        <v>4500174466</v>
      </c>
    </row>
    <row r="4615" spans="1:1" x14ac:dyDescent="0.35">
      <c r="A4615" s="4">
        <v>4500174468</v>
      </c>
    </row>
    <row r="4616" spans="1:1" x14ac:dyDescent="0.35">
      <c r="A4616" s="4">
        <v>4500174470</v>
      </c>
    </row>
    <row r="4617" spans="1:1" x14ac:dyDescent="0.35">
      <c r="A4617" s="4">
        <v>4500174472</v>
      </c>
    </row>
    <row r="4618" spans="1:1" x14ac:dyDescent="0.35">
      <c r="A4618" s="4">
        <v>4500174473</v>
      </c>
    </row>
    <row r="4619" spans="1:1" x14ac:dyDescent="0.35">
      <c r="A4619" s="4">
        <v>4500174477</v>
      </c>
    </row>
    <row r="4620" spans="1:1" x14ac:dyDescent="0.35">
      <c r="A4620" s="4">
        <v>4500174479</v>
      </c>
    </row>
    <row r="4621" spans="1:1" x14ac:dyDescent="0.35">
      <c r="A4621" s="4">
        <v>4500174483</v>
      </c>
    </row>
    <row r="4622" spans="1:1" x14ac:dyDescent="0.35">
      <c r="A4622" s="4">
        <v>4500174484</v>
      </c>
    </row>
    <row r="4623" spans="1:1" x14ac:dyDescent="0.35">
      <c r="A4623" s="4">
        <v>4500174591</v>
      </c>
    </row>
    <row r="4624" spans="1:1" x14ac:dyDescent="0.35">
      <c r="A4624" s="4">
        <v>4500174594</v>
      </c>
    </row>
    <row r="4625" spans="1:1" x14ac:dyDescent="0.35">
      <c r="A4625" s="4">
        <v>4500174599</v>
      </c>
    </row>
    <row r="4626" spans="1:1" x14ac:dyDescent="0.35">
      <c r="A4626" s="4">
        <v>4500174601</v>
      </c>
    </row>
    <row r="4627" spans="1:1" x14ac:dyDescent="0.35">
      <c r="A4627" s="4">
        <v>4500174604</v>
      </c>
    </row>
    <row r="4628" spans="1:1" x14ac:dyDescent="0.35">
      <c r="A4628" s="4">
        <v>4500174610</v>
      </c>
    </row>
    <row r="4629" spans="1:1" x14ac:dyDescent="0.35">
      <c r="A4629" s="4">
        <v>4500174614</v>
      </c>
    </row>
    <row r="4630" spans="1:1" x14ac:dyDescent="0.35">
      <c r="A4630" s="4">
        <v>4500174618</v>
      </c>
    </row>
    <row r="4631" spans="1:1" x14ac:dyDescent="0.35">
      <c r="A4631" s="4">
        <v>4500174624</v>
      </c>
    </row>
    <row r="4632" spans="1:1" x14ac:dyDescent="0.35">
      <c r="A4632" s="4">
        <v>4500174629</v>
      </c>
    </row>
    <row r="4633" spans="1:1" x14ac:dyDescent="0.35">
      <c r="A4633" s="4">
        <v>4500174633</v>
      </c>
    </row>
    <row r="4634" spans="1:1" x14ac:dyDescent="0.35">
      <c r="A4634" s="4">
        <v>4500174636</v>
      </c>
    </row>
    <row r="4635" spans="1:1" x14ac:dyDescent="0.35">
      <c r="A4635" s="4">
        <v>4500174639</v>
      </c>
    </row>
    <row r="4636" spans="1:1" x14ac:dyDescent="0.35">
      <c r="A4636" s="4">
        <v>4500174644</v>
      </c>
    </row>
    <row r="4637" spans="1:1" x14ac:dyDescent="0.35">
      <c r="A4637" s="4">
        <v>4500174648</v>
      </c>
    </row>
    <row r="4638" spans="1:1" x14ac:dyDescent="0.35">
      <c r="A4638" s="4">
        <v>4500174651</v>
      </c>
    </row>
    <row r="4639" spans="1:1" x14ac:dyDescent="0.35">
      <c r="A4639" s="4">
        <v>4500174654</v>
      </c>
    </row>
    <row r="4640" spans="1:1" x14ac:dyDescent="0.35">
      <c r="A4640" s="4">
        <v>4500174665</v>
      </c>
    </row>
    <row r="4641" spans="1:1" x14ac:dyDescent="0.35">
      <c r="A4641" s="4">
        <v>4500174672</v>
      </c>
    </row>
    <row r="4642" spans="1:1" x14ac:dyDescent="0.35">
      <c r="A4642" s="4">
        <v>4500174674</v>
      </c>
    </row>
    <row r="4643" spans="1:1" x14ac:dyDescent="0.35">
      <c r="A4643" s="4">
        <v>4500174676</v>
      </c>
    </row>
    <row r="4644" spans="1:1" x14ac:dyDescent="0.35">
      <c r="A4644" s="4">
        <v>4500174677</v>
      </c>
    </row>
    <row r="4645" spans="1:1" x14ac:dyDescent="0.35">
      <c r="A4645" s="4">
        <v>4500174678</v>
      </c>
    </row>
    <row r="4646" spans="1:1" x14ac:dyDescent="0.35">
      <c r="A4646" s="4">
        <v>4500174682</v>
      </c>
    </row>
    <row r="4647" spans="1:1" x14ac:dyDescent="0.35">
      <c r="A4647" s="4">
        <v>4500174684</v>
      </c>
    </row>
    <row r="4648" spans="1:1" x14ac:dyDescent="0.35">
      <c r="A4648" s="4">
        <v>4500174764</v>
      </c>
    </row>
    <row r="4649" spans="1:1" x14ac:dyDescent="0.35">
      <c r="A4649" s="4">
        <v>4500174766</v>
      </c>
    </row>
    <row r="4650" spans="1:1" x14ac:dyDescent="0.35">
      <c r="A4650" s="4">
        <v>4500174768</v>
      </c>
    </row>
    <row r="4651" spans="1:1" x14ac:dyDescent="0.35">
      <c r="A4651" s="4">
        <v>4500174770</v>
      </c>
    </row>
    <row r="4652" spans="1:1" x14ac:dyDescent="0.35">
      <c r="A4652" s="4">
        <v>4500174771</v>
      </c>
    </row>
    <row r="4653" spans="1:1" x14ac:dyDescent="0.35">
      <c r="A4653" s="4">
        <v>4500174773</v>
      </c>
    </row>
    <row r="4654" spans="1:1" x14ac:dyDescent="0.35">
      <c r="A4654" s="4">
        <v>4500174775</v>
      </c>
    </row>
    <row r="4655" spans="1:1" x14ac:dyDescent="0.35">
      <c r="A4655" s="4">
        <v>4500174777</v>
      </c>
    </row>
    <row r="4656" spans="1:1" x14ac:dyDescent="0.35">
      <c r="A4656" s="4">
        <v>4500174780</v>
      </c>
    </row>
    <row r="4657" spans="1:1" x14ac:dyDescent="0.35">
      <c r="A4657" s="4">
        <v>4500174781</v>
      </c>
    </row>
    <row r="4658" spans="1:1" x14ac:dyDescent="0.35">
      <c r="A4658" s="4">
        <v>4500174783</v>
      </c>
    </row>
    <row r="4659" spans="1:1" x14ac:dyDescent="0.35">
      <c r="A4659" s="4">
        <v>4500174787</v>
      </c>
    </row>
    <row r="4660" spans="1:1" x14ac:dyDescent="0.35">
      <c r="A4660" s="4">
        <v>4500174790</v>
      </c>
    </row>
    <row r="4661" spans="1:1" x14ac:dyDescent="0.35">
      <c r="A4661" s="4">
        <v>4500174792</v>
      </c>
    </row>
    <row r="4662" spans="1:1" x14ac:dyDescent="0.35">
      <c r="A4662" s="4">
        <v>4500174796</v>
      </c>
    </row>
    <row r="4663" spans="1:1" x14ac:dyDescent="0.35">
      <c r="A4663" s="4">
        <v>4500174799</v>
      </c>
    </row>
    <row r="4664" spans="1:1" x14ac:dyDescent="0.35">
      <c r="A4664" s="4">
        <v>4500174801</v>
      </c>
    </row>
    <row r="4665" spans="1:1" x14ac:dyDescent="0.35">
      <c r="A4665" s="4">
        <v>4500174803</v>
      </c>
    </row>
    <row r="4666" spans="1:1" x14ac:dyDescent="0.35">
      <c r="A4666" s="4">
        <v>4500174806</v>
      </c>
    </row>
    <row r="4667" spans="1:1" x14ac:dyDescent="0.35">
      <c r="A4667" s="4">
        <v>4500174809</v>
      </c>
    </row>
    <row r="4668" spans="1:1" x14ac:dyDescent="0.35">
      <c r="A4668" s="4">
        <v>4500174814</v>
      </c>
    </row>
    <row r="4669" spans="1:1" x14ac:dyDescent="0.35">
      <c r="A4669" s="4">
        <v>4500174818</v>
      </c>
    </row>
    <row r="4670" spans="1:1" x14ac:dyDescent="0.35">
      <c r="A4670" s="4">
        <v>4500174821</v>
      </c>
    </row>
    <row r="4671" spans="1:1" x14ac:dyDescent="0.35">
      <c r="A4671" s="4">
        <v>4500174825</v>
      </c>
    </row>
    <row r="4672" spans="1:1" x14ac:dyDescent="0.35">
      <c r="A4672" s="4">
        <v>4500174829</v>
      </c>
    </row>
    <row r="4673" spans="1:1" x14ac:dyDescent="0.35">
      <c r="A4673" s="4">
        <v>4500174831</v>
      </c>
    </row>
    <row r="4674" spans="1:1" x14ac:dyDescent="0.35">
      <c r="A4674" s="4">
        <v>4500174838</v>
      </c>
    </row>
    <row r="4675" spans="1:1" x14ac:dyDescent="0.35">
      <c r="A4675" s="4">
        <v>4500174841</v>
      </c>
    </row>
    <row r="4676" spans="1:1" x14ac:dyDescent="0.35">
      <c r="A4676" s="4">
        <v>4500174845</v>
      </c>
    </row>
    <row r="4677" spans="1:1" x14ac:dyDescent="0.35">
      <c r="A4677" s="4">
        <v>4500174849</v>
      </c>
    </row>
    <row r="4678" spans="1:1" x14ac:dyDescent="0.35">
      <c r="A4678" s="4">
        <v>4500174852</v>
      </c>
    </row>
    <row r="4679" spans="1:1" x14ac:dyDescent="0.35">
      <c r="A4679" s="4">
        <v>4500174857</v>
      </c>
    </row>
    <row r="4680" spans="1:1" x14ac:dyDescent="0.35">
      <c r="A4680" s="4">
        <v>4500174859</v>
      </c>
    </row>
    <row r="4681" spans="1:1" x14ac:dyDescent="0.35">
      <c r="A4681" s="4">
        <v>4500174861</v>
      </c>
    </row>
    <row r="4682" spans="1:1" x14ac:dyDescent="0.35">
      <c r="A4682" s="4">
        <v>4500174865</v>
      </c>
    </row>
    <row r="4683" spans="1:1" x14ac:dyDescent="0.35">
      <c r="A4683" s="4">
        <v>4500174867</v>
      </c>
    </row>
    <row r="4684" spans="1:1" x14ac:dyDescent="0.35">
      <c r="A4684" s="4">
        <v>4500174905</v>
      </c>
    </row>
    <row r="4685" spans="1:1" x14ac:dyDescent="0.35">
      <c r="A4685" s="4">
        <v>4500174968</v>
      </c>
    </row>
    <row r="4686" spans="1:1" x14ac:dyDescent="0.35">
      <c r="A4686" s="4">
        <v>4500174972</v>
      </c>
    </row>
    <row r="4687" spans="1:1" x14ac:dyDescent="0.35">
      <c r="A4687" s="4">
        <v>4500174978</v>
      </c>
    </row>
    <row r="4688" spans="1:1" x14ac:dyDescent="0.35">
      <c r="A4688" s="4">
        <v>4500174981</v>
      </c>
    </row>
    <row r="4689" spans="1:1" x14ac:dyDescent="0.35">
      <c r="A4689" s="4">
        <v>4500174991</v>
      </c>
    </row>
    <row r="4690" spans="1:1" x14ac:dyDescent="0.35">
      <c r="A4690" s="4">
        <v>4500174996</v>
      </c>
    </row>
    <row r="4691" spans="1:1" x14ac:dyDescent="0.35">
      <c r="A4691" s="4">
        <v>4500174999</v>
      </c>
    </row>
    <row r="4692" spans="1:1" x14ac:dyDescent="0.35">
      <c r="A4692" s="4">
        <v>4500175014</v>
      </c>
    </row>
    <row r="4693" spans="1:1" x14ac:dyDescent="0.35">
      <c r="A4693" s="4">
        <v>4500175019</v>
      </c>
    </row>
    <row r="4694" spans="1:1" x14ac:dyDescent="0.35">
      <c r="A4694" s="4">
        <v>4500175026</v>
      </c>
    </row>
    <row r="4695" spans="1:1" x14ac:dyDescent="0.35">
      <c r="A4695" s="4">
        <v>4500175029</v>
      </c>
    </row>
    <row r="4696" spans="1:1" x14ac:dyDescent="0.35">
      <c r="A4696" s="4">
        <v>4500175031</v>
      </c>
    </row>
    <row r="4697" spans="1:1" x14ac:dyDescent="0.35">
      <c r="A4697" s="4">
        <v>4500175039</v>
      </c>
    </row>
    <row r="4698" spans="1:1" x14ac:dyDescent="0.35">
      <c r="A4698" s="4">
        <v>4500175042</v>
      </c>
    </row>
    <row r="4699" spans="1:1" x14ac:dyDescent="0.35">
      <c r="A4699" s="4">
        <v>4500175047</v>
      </c>
    </row>
    <row r="4700" spans="1:1" x14ac:dyDescent="0.35">
      <c r="A4700" s="4">
        <v>4500175051</v>
      </c>
    </row>
    <row r="4701" spans="1:1" x14ac:dyDescent="0.35">
      <c r="A4701" s="4">
        <v>4500175056</v>
      </c>
    </row>
    <row r="4702" spans="1:1" x14ac:dyDescent="0.35">
      <c r="A4702" s="4">
        <v>4500175057</v>
      </c>
    </row>
    <row r="4703" spans="1:1" x14ac:dyDescent="0.35">
      <c r="A4703" s="4">
        <v>4500175059</v>
      </c>
    </row>
    <row r="4704" spans="1:1" x14ac:dyDescent="0.35">
      <c r="A4704" s="4">
        <v>4500175070</v>
      </c>
    </row>
    <row r="4705" spans="1:1" x14ac:dyDescent="0.35">
      <c r="A4705" s="4">
        <v>4500175071</v>
      </c>
    </row>
    <row r="4706" spans="1:1" x14ac:dyDescent="0.35">
      <c r="A4706" s="4">
        <v>4500175128</v>
      </c>
    </row>
    <row r="4707" spans="1:1" x14ac:dyDescent="0.35">
      <c r="A4707" s="4">
        <v>4500175135</v>
      </c>
    </row>
    <row r="4708" spans="1:1" x14ac:dyDescent="0.35">
      <c r="A4708" s="4">
        <v>4500175139</v>
      </c>
    </row>
    <row r="4709" spans="1:1" x14ac:dyDescent="0.35">
      <c r="A4709" s="4">
        <v>4500175149</v>
      </c>
    </row>
    <row r="4710" spans="1:1" x14ac:dyDescent="0.35">
      <c r="A4710" s="4">
        <v>4500175168</v>
      </c>
    </row>
    <row r="4711" spans="1:1" x14ac:dyDescent="0.35">
      <c r="A4711" s="4">
        <v>4500175172</v>
      </c>
    </row>
    <row r="4712" spans="1:1" x14ac:dyDescent="0.35">
      <c r="A4712" s="4">
        <v>4500175177</v>
      </c>
    </row>
    <row r="4713" spans="1:1" x14ac:dyDescent="0.35">
      <c r="A4713" s="4">
        <v>4500175183</v>
      </c>
    </row>
    <row r="4714" spans="1:1" x14ac:dyDescent="0.35">
      <c r="A4714" s="4">
        <v>4500175189</v>
      </c>
    </row>
    <row r="4715" spans="1:1" x14ac:dyDescent="0.35">
      <c r="A4715" s="4">
        <v>4500175194</v>
      </c>
    </row>
    <row r="4716" spans="1:1" x14ac:dyDescent="0.35">
      <c r="A4716" s="4">
        <v>4500175200</v>
      </c>
    </row>
    <row r="4717" spans="1:1" x14ac:dyDescent="0.35">
      <c r="A4717" s="4">
        <v>4500175210</v>
      </c>
    </row>
    <row r="4718" spans="1:1" x14ac:dyDescent="0.35">
      <c r="A4718" s="4">
        <v>4500175214</v>
      </c>
    </row>
    <row r="4719" spans="1:1" x14ac:dyDescent="0.35">
      <c r="A4719" s="4">
        <v>4500175217</v>
      </c>
    </row>
    <row r="4720" spans="1:1" x14ac:dyDescent="0.35">
      <c r="A4720" s="4">
        <v>4500175225</v>
      </c>
    </row>
    <row r="4721" spans="1:1" x14ac:dyDescent="0.35">
      <c r="A4721" s="4">
        <v>4500175235</v>
      </c>
    </row>
    <row r="4722" spans="1:1" x14ac:dyDescent="0.35">
      <c r="A4722" s="4">
        <v>4500175241</v>
      </c>
    </row>
    <row r="4723" spans="1:1" x14ac:dyDescent="0.35">
      <c r="A4723" s="4">
        <v>4500175243</v>
      </c>
    </row>
    <row r="4724" spans="1:1" x14ac:dyDescent="0.35">
      <c r="A4724" s="4">
        <v>4500175246</v>
      </c>
    </row>
    <row r="4725" spans="1:1" x14ac:dyDescent="0.35">
      <c r="A4725" s="4">
        <v>4500175248</v>
      </c>
    </row>
    <row r="4726" spans="1:1" x14ac:dyDescent="0.35">
      <c r="A4726" s="4">
        <v>4500175253</v>
      </c>
    </row>
    <row r="4727" spans="1:1" x14ac:dyDescent="0.35">
      <c r="A4727" s="4">
        <v>4500175256</v>
      </c>
    </row>
    <row r="4728" spans="1:1" x14ac:dyDescent="0.35">
      <c r="A4728" s="4">
        <v>4500175257</v>
      </c>
    </row>
    <row r="4729" spans="1:1" x14ac:dyDescent="0.35">
      <c r="A4729" s="4">
        <v>4500175258</v>
      </c>
    </row>
    <row r="4730" spans="1:1" x14ac:dyDescent="0.35">
      <c r="A4730" s="4">
        <v>4500175260</v>
      </c>
    </row>
    <row r="4731" spans="1:1" x14ac:dyDescent="0.35">
      <c r="A4731" s="4">
        <v>4500175261</v>
      </c>
    </row>
    <row r="4732" spans="1:1" x14ac:dyDescent="0.35">
      <c r="A4732" s="4">
        <v>4500175262</v>
      </c>
    </row>
    <row r="4733" spans="1:1" x14ac:dyDescent="0.35">
      <c r="A4733" s="4">
        <v>4500175265</v>
      </c>
    </row>
    <row r="4734" spans="1:1" x14ac:dyDescent="0.35">
      <c r="A4734" s="4">
        <v>4500175266</v>
      </c>
    </row>
    <row r="4735" spans="1:1" x14ac:dyDescent="0.35">
      <c r="A4735" s="4">
        <v>4500175267</v>
      </c>
    </row>
    <row r="4736" spans="1:1" x14ac:dyDescent="0.35">
      <c r="A4736" s="4">
        <v>4500175272</v>
      </c>
    </row>
    <row r="4737" spans="1:1" x14ac:dyDescent="0.35">
      <c r="A4737" s="4">
        <v>4500175343</v>
      </c>
    </row>
    <row r="4738" spans="1:1" x14ac:dyDescent="0.35">
      <c r="A4738" s="4">
        <v>4500175346</v>
      </c>
    </row>
    <row r="4739" spans="1:1" x14ac:dyDescent="0.35">
      <c r="A4739" s="4">
        <v>4500175349</v>
      </c>
    </row>
    <row r="4740" spans="1:1" x14ac:dyDescent="0.35">
      <c r="A4740" s="4">
        <v>4500175352</v>
      </c>
    </row>
    <row r="4741" spans="1:1" x14ac:dyDescent="0.35">
      <c r="A4741" s="4">
        <v>4500175356</v>
      </c>
    </row>
    <row r="4742" spans="1:1" x14ac:dyDescent="0.35">
      <c r="A4742" s="4">
        <v>4500175362</v>
      </c>
    </row>
    <row r="4743" spans="1:1" x14ac:dyDescent="0.35">
      <c r="A4743" s="4">
        <v>4500175365</v>
      </c>
    </row>
    <row r="4744" spans="1:1" x14ac:dyDescent="0.35">
      <c r="A4744" s="4">
        <v>4500175372</v>
      </c>
    </row>
    <row r="4745" spans="1:1" x14ac:dyDescent="0.35">
      <c r="A4745" s="4">
        <v>4500175377</v>
      </c>
    </row>
    <row r="4746" spans="1:1" x14ac:dyDescent="0.35">
      <c r="A4746" s="4">
        <v>4500175386</v>
      </c>
    </row>
    <row r="4747" spans="1:1" x14ac:dyDescent="0.35">
      <c r="A4747" s="4">
        <v>4500175394</v>
      </c>
    </row>
    <row r="4748" spans="1:1" x14ac:dyDescent="0.35">
      <c r="A4748" s="4">
        <v>4500175401</v>
      </c>
    </row>
    <row r="4749" spans="1:1" x14ac:dyDescent="0.35">
      <c r="A4749" s="4">
        <v>4500175404</v>
      </c>
    </row>
    <row r="4750" spans="1:1" x14ac:dyDescent="0.35">
      <c r="A4750" s="4">
        <v>4500175408</v>
      </c>
    </row>
    <row r="4751" spans="1:1" x14ac:dyDescent="0.35">
      <c r="A4751" s="4">
        <v>4500175412</v>
      </c>
    </row>
    <row r="4752" spans="1:1" x14ac:dyDescent="0.35">
      <c r="A4752" s="4">
        <v>4500175419</v>
      </c>
    </row>
    <row r="4753" spans="1:1" x14ac:dyDescent="0.35">
      <c r="A4753" s="4">
        <v>4500175423</v>
      </c>
    </row>
    <row r="4754" spans="1:1" x14ac:dyDescent="0.35">
      <c r="A4754" s="4">
        <v>4500175426</v>
      </c>
    </row>
    <row r="4755" spans="1:1" x14ac:dyDescent="0.35">
      <c r="A4755" s="4">
        <v>4500175432</v>
      </c>
    </row>
    <row r="4756" spans="1:1" x14ac:dyDescent="0.35">
      <c r="A4756" s="4">
        <v>4500175440</v>
      </c>
    </row>
    <row r="4757" spans="1:1" x14ac:dyDescent="0.35">
      <c r="A4757" s="4">
        <v>4500175442</v>
      </c>
    </row>
    <row r="4758" spans="1:1" x14ac:dyDescent="0.35">
      <c r="A4758" s="4">
        <v>4500175447</v>
      </c>
    </row>
    <row r="4759" spans="1:1" x14ac:dyDescent="0.35">
      <c r="A4759" s="4">
        <v>4500175450</v>
      </c>
    </row>
    <row r="4760" spans="1:1" x14ac:dyDescent="0.35">
      <c r="A4760" s="4">
        <v>4500175453</v>
      </c>
    </row>
    <row r="4761" spans="1:1" x14ac:dyDescent="0.35">
      <c r="A4761" s="4">
        <v>4500175456</v>
      </c>
    </row>
    <row r="4762" spans="1:1" x14ac:dyDescent="0.35">
      <c r="A4762" s="4">
        <v>4500175459</v>
      </c>
    </row>
    <row r="4763" spans="1:1" x14ac:dyDescent="0.35">
      <c r="A4763" s="4">
        <v>4500175461</v>
      </c>
    </row>
    <row r="4764" spans="1:1" x14ac:dyDescent="0.35">
      <c r="A4764" s="4">
        <v>4500175464</v>
      </c>
    </row>
    <row r="4765" spans="1:1" x14ac:dyDescent="0.35">
      <c r="A4765" s="4">
        <v>4500175467</v>
      </c>
    </row>
    <row r="4766" spans="1:1" x14ac:dyDescent="0.35">
      <c r="A4766" s="4">
        <v>4500175470</v>
      </c>
    </row>
    <row r="4767" spans="1:1" x14ac:dyDescent="0.35">
      <c r="A4767" s="4">
        <v>4500175472</v>
      </c>
    </row>
    <row r="4768" spans="1:1" x14ac:dyDescent="0.35">
      <c r="A4768" s="4">
        <v>4500175474</v>
      </c>
    </row>
    <row r="4769" spans="1:1" x14ac:dyDescent="0.35">
      <c r="A4769" s="4">
        <v>4500175476</v>
      </c>
    </row>
    <row r="4770" spans="1:1" x14ac:dyDescent="0.35">
      <c r="A4770" s="4">
        <v>4500175489</v>
      </c>
    </row>
    <row r="4771" spans="1:1" x14ac:dyDescent="0.35">
      <c r="A4771" s="4">
        <v>4500175556</v>
      </c>
    </row>
    <row r="4772" spans="1:1" x14ac:dyDescent="0.35">
      <c r="A4772" s="4">
        <v>4500175559</v>
      </c>
    </row>
    <row r="4773" spans="1:1" x14ac:dyDescent="0.35">
      <c r="A4773" s="4">
        <v>4500175561</v>
      </c>
    </row>
    <row r="4774" spans="1:1" x14ac:dyDescent="0.35">
      <c r="A4774" s="4">
        <v>4500175566</v>
      </c>
    </row>
    <row r="4775" spans="1:1" x14ac:dyDescent="0.35">
      <c r="A4775" s="4">
        <v>4500175569</v>
      </c>
    </row>
    <row r="4776" spans="1:1" x14ac:dyDescent="0.35">
      <c r="A4776" s="4">
        <v>4500175572</v>
      </c>
    </row>
    <row r="4777" spans="1:1" x14ac:dyDescent="0.35">
      <c r="A4777" s="4">
        <v>4500175577</v>
      </c>
    </row>
    <row r="4778" spans="1:1" x14ac:dyDescent="0.35">
      <c r="A4778" s="4">
        <v>4500175581</v>
      </c>
    </row>
    <row r="4779" spans="1:1" x14ac:dyDescent="0.35">
      <c r="A4779" s="4">
        <v>4500175587</v>
      </c>
    </row>
    <row r="4780" spans="1:1" x14ac:dyDescent="0.35">
      <c r="A4780" s="4">
        <v>4500175591</v>
      </c>
    </row>
    <row r="4781" spans="1:1" x14ac:dyDescent="0.35">
      <c r="A4781" s="4">
        <v>4500175595</v>
      </c>
    </row>
    <row r="4782" spans="1:1" x14ac:dyDescent="0.35">
      <c r="A4782" s="4">
        <v>4500175599</v>
      </c>
    </row>
    <row r="4783" spans="1:1" x14ac:dyDescent="0.35">
      <c r="A4783" s="4">
        <v>4500175602</v>
      </c>
    </row>
    <row r="4784" spans="1:1" x14ac:dyDescent="0.35">
      <c r="A4784" s="4">
        <v>4500175609</v>
      </c>
    </row>
    <row r="4785" spans="1:1" x14ac:dyDescent="0.35">
      <c r="A4785" s="4">
        <v>4500175612</v>
      </c>
    </row>
    <row r="4786" spans="1:1" x14ac:dyDescent="0.35">
      <c r="A4786" s="4">
        <v>4500175618</v>
      </c>
    </row>
    <row r="4787" spans="1:1" x14ac:dyDescent="0.35">
      <c r="A4787" s="4">
        <v>4500175621</v>
      </c>
    </row>
    <row r="4788" spans="1:1" x14ac:dyDescent="0.35">
      <c r="A4788" s="4">
        <v>4500175623</v>
      </c>
    </row>
    <row r="4789" spans="1:1" x14ac:dyDescent="0.35">
      <c r="A4789" s="4">
        <v>4500175632</v>
      </c>
    </row>
    <row r="4790" spans="1:1" x14ac:dyDescent="0.35">
      <c r="A4790" s="4">
        <v>4500175633</v>
      </c>
    </row>
    <row r="4791" spans="1:1" x14ac:dyDescent="0.35">
      <c r="A4791" s="4">
        <v>4500175635</v>
      </c>
    </row>
    <row r="4792" spans="1:1" x14ac:dyDescent="0.35">
      <c r="A4792" s="4">
        <v>4500175636</v>
      </c>
    </row>
    <row r="4793" spans="1:1" x14ac:dyDescent="0.35">
      <c r="A4793" s="4">
        <v>4500175637</v>
      </c>
    </row>
    <row r="4794" spans="1:1" x14ac:dyDescent="0.35">
      <c r="A4794" s="4">
        <v>4500175639</v>
      </c>
    </row>
    <row r="4795" spans="1:1" x14ac:dyDescent="0.35">
      <c r="A4795" s="4">
        <v>4500175640</v>
      </c>
    </row>
    <row r="4796" spans="1:1" x14ac:dyDescent="0.35">
      <c r="A4796" s="4">
        <v>4500175641</v>
      </c>
    </row>
    <row r="4797" spans="1:1" x14ac:dyDescent="0.35">
      <c r="A4797" s="4">
        <v>4500175643</v>
      </c>
    </row>
    <row r="4798" spans="1:1" x14ac:dyDescent="0.35">
      <c r="A4798" s="4">
        <v>4500175645</v>
      </c>
    </row>
    <row r="4799" spans="1:1" x14ac:dyDescent="0.35">
      <c r="A4799" s="4">
        <v>4500175647</v>
      </c>
    </row>
    <row r="4800" spans="1:1" x14ac:dyDescent="0.35">
      <c r="A4800" s="4">
        <v>4500175650</v>
      </c>
    </row>
    <row r="4801" spans="1:1" x14ac:dyDescent="0.35">
      <c r="A4801" s="4">
        <v>4500175651</v>
      </c>
    </row>
    <row r="4802" spans="1:1" x14ac:dyDescent="0.35">
      <c r="A4802" s="4">
        <v>4500175692</v>
      </c>
    </row>
    <row r="4803" spans="1:1" x14ac:dyDescent="0.35">
      <c r="A4803" s="4">
        <v>4500175721</v>
      </c>
    </row>
    <row r="4804" spans="1:1" x14ac:dyDescent="0.35">
      <c r="A4804" s="4">
        <v>4500175723</v>
      </c>
    </row>
    <row r="4805" spans="1:1" x14ac:dyDescent="0.35">
      <c r="A4805" s="4">
        <v>4500175727</v>
      </c>
    </row>
    <row r="4806" spans="1:1" x14ac:dyDescent="0.35">
      <c r="A4806" s="4">
        <v>4500175730</v>
      </c>
    </row>
    <row r="4807" spans="1:1" x14ac:dyDescent="0.35">
      <c r="A4807" s="4">
        <v>4500175734</v>
      </c>
    </row>
    <row r="4808" spans="1:1" x14ac:dyDescent="0.35">
      <c r="A4808" s="4">
        <v>4500175738</v>
      </c>
    </row>
    <row r="4809" spans="1:1" x14ac:dyDescent="0.35">
      <c r="A4809" s="4">
        <v>4500175742</v>
      </c>
    </row>
    <row r="4810" spans="1:1" x14ac:dyDescent="0.35">
      <c r="A4810" s="4">
        <v>4500175748</v>
      </c>
    </row>
    <row r="4811" spans="1:1" x14ac:dyDescent="0.35">
      <c r="A4811" s="4">
        <v>4500175750</v>
      </c>
    </row>
    <row r="4812" spans="1:1" x14ac:dyDescent="0.35">
      <c r="A4812" s="4">
        <v>4500175752</v>
      </c>
    </row>
    <row r="4813" spans="1:1" x14ac:dyDescent="0.35">
      <c r="A4813" s="4">
        <v>4500175755</v>
      </c>
    </row>
    <row r="4814" spans="1:1" x14ac:dyDescent="0.35">
      <c r="A4814" s="4">
        <v>4500175758</v>
      </c>
    </row>
    <row r="4815" spans="1:1" x14ac:dyDescent="0.35">
      <c r="A4815" s="4">
        <v>4500175762</v>
      </c>
    </row>
    <row r="4816" spans="1:1" x14ac:dyDescent="0.35">
      <c r="A4816" s="4">
        <v>4500175765</v>
      </c>
    </row>
    <row r="4817" spans="1:1" x14ac:dyDescent="0.35">
      <c r="A4817" s="4">
        <v>4500175770</v>
      </c>
    </row>
    <row r="4818" spans="1:1" x14ac:dyDescent="0.35">
      <c r="A4818" s="4">
        <v>4500175777</v>
      </c>
    </row>
    <row r="4819" spans="1:1" x14ac:dyDescent="0.35">
      <c r="A4819" s="4">
        <v>4500175782</v>
      </c>
    </row>
    <row r="4820" spans="1:1" x14ac:dyDescent="0.35">
      <c r="A4820" s="4">
        <v>4500175786</v>
      </c>
    </row>
    <row r="4821" spans="1:1" x14ac:dyDescent="0.35">
      <c r="A4821" s="4">
        <v>4500175791</v>
      </c>
    </row>
    <row r="4822" spans="1:1" x14ac:dyDescent="0.35">
      <c r="A4822" s="4">
        <v>4500175795</v>
      </c>
    </row>
    <row r="4823" spans="1:1" x14ac:dyDescent="0.35">
      <c r="A4823" s="4">
        <v>4500175798</v>
      </c>
    </row>
    <row r="4824" spans="1:1" x14ac:dyDescent="0.35">
      <c r="A4824" s="4">
        <v>4500175801</v>
      </c>
    </row>
    <row r="4825" spans="1:1" x14ac:dyDescent="0.35">
      <c r="A4825" s="4">
        <v>4500175805</v>
      </c>
    </row>
    <row r="4826" spans="1:1" x14ac:dyDescent="0.35">
      <c r="A4826" s="4">
        <v>4500175808</v>
      </c>
    </row>
    <row r="4827" spans="1:1" x14ac:dyDescent="0.35">
      <c r="A4827" s="4">
        <v>4500175810</v>
      </c>
    </row>
    <row r="4828" spans="1:1" x14ac:dyDescent="0.35">
      <c r="A4828" s="4">
        <v>4500175834</v>
      </c>
    </row>
    <row r="4829" spans="1:1" x14ac:dyDescent="0.35">
      <c r="A4829" s="4">
        <v>4500175835</v>
      </c>
    </row>
    <row r="4830" spans="1:1" x14ac:dyDescent="0.35">
      <c r="A4830" s="4">
        <v>4500175870</v>
      </c>
    </row>
    <row r="4831" spans="1:1" x14ac:dyDescent="0.35">
      <c r="A4831" s="4">
        <v>4500175874</v>
      </c>
    </row>
    <row r="4832" spans="1:1" x14ac:dyDescent="0.35">
      <c r="A4832" s="4">
        <v>4500175880</v>
      </c>
    </row>
    <row r="4833" spans="1:1" x14ac:dyDescent="0.35">
      <c r="A4833" s="4">
        <v>4500175888</v>
      </c>
    </row>
    <row r="4834" spans="1:1" x14ac:dyDescent="0.35">
      <c r="A4834" s="4">
        <v>4500175895</v>
      </c>
    </row>
    <row r="4835" spans="1:1" x14ac:dyDescent="0.35">
      <c r="A4835" s="4">
        <v>4500175902</v>
      </c>
    </row>
    <row r="4836" spans="1:1" x14ac:dyDescent="0.35">
      <c r="A4836" s="4">
        <v>4500175911</v>
      </c>
    </row>
    <row r="4837" spans="1:1" x14ac:dyDescent="0.35">
      <c r="A4837" s="4">
        <v>4500175919</v>
      </c>
    </row>
    <row r="4838" spans="1:1" x14ac:dyDescent="0.35">
      <c r="A4838" s="4">
        <v>4500175923</v>
      </c>
    </row>
    <row r="4839" spans="1:1" x14ac:dyDescent="0.35">
      <c r="A4839" s="4">
        <v>4500175935</v>
      </c>
    </row>
    <row r="4840" spans="1:1" x14ac:dyDescent="0.35">
      <c r="A4840" s="4">
        <v>4500175938</v>
      </c>
    </row>
    <row r="4841" spans="1:1" x14ac:dyDescent="0.35">
      <c r="A4841" s="4">
        <v>4500175940</v>
      </c>
    </row>
    <row r="4842" spans="1:1" x14ac:dyDescent="0.35">
      <c r="A4842" s="4">
        <v>4500175943</v>
      </c>
    </row>
    <row r="4843" spans="1:1" x14ac:dyDescent="0.35">
      <c r="A4843" s="4">
        <v>4500175948</v>
      </c>
    </row>
    <row r="4844" spans="1:1" x14ac:dyDescent="0.35">
      <c r="A4844" s="4">
        <v>4500175953</v>
      </c>
    </row>
    <row r="4845" spans="1:1" x14ac:dyDescent="0.35">
      <c r="A4845" s="4">
        <v>4500175958</v>
      </c>
    </row>
    <row r="4846" spans="1:1" x14ac:dyDescent="0.35">
      <c r="A4846" s="4">
        <v>4500175966</v>
      </c>
    </row>
    <row r="4847" spans="1:1" x14ac:dyDescent="0.35">
      <c r="A4847" s="4">
        <v>4500175970</v>
      </c>
    </row>
    <row r="4848" spans="1:1" x14ac:dyDescent="0.35">
      <c r="A4848" s="4">
        <v>4500175975</v>
      </c>
    </row>
    <row r="4849" spans="1:1" x14ac:dyDescent="0.35">
      <c r="A4849" s="4">
        <v>4500175978</v>
      </c>
    </row>
    <row r="4850" spans="1:1" x14ac:dyDescent="0.35">
      <c r="A4850" s="4">
        <v>4500175983</v>
      </c>
    </row>
    <row r="4851" spans="1:1" x14ac:dyDescent="0.35">
      <c r="A4851" s="4">
        <v>4500175985</v>
      </c>
    </row>
    <row r="4852" spans="1:1" x14ac:dyDescent="0.35">
      <c r="A4852" s="4">
        <v>4500175987</v>
      </c>
    </row>
    <row r="4853" spans="1:1" x14ac:dyDescent="0.35">
      <c r="A4853" s="4">
        <v>4500175991</v>
      </c>
    </row>
    <row r="4854" spans="1:1" x14ac:dyDescent="0.35">
      <c r="A4854" s="4">
        <v>4500175992</v>
      </c>
    </row>
    <row r="4855" spans="1:1" x14ac:dyDescent="0.35">
      <c r="A4855" s="4">
        <v>4500176056</v>
      </c>
    </row>
    <row r="4856" spans="1:1" x14ac:dyDescent="0.35">
      <c r="A4856" s="4">
        <v>4500176058</v>
      </c>
    </row>
    <row r="4857" spans="1:1" x14ac:dyDescent="0.35">
      <c r="A4857" s="4">
        <v>4500176062</v>
      </c>
    </row>
    <row r="4858" spans="1:1" x14ac:dyDescent="0.35">
      <c r="A4858" s="4">
        <v>4500176065</v>
      </c>
    </row>
    <row r="4859" spans="1:1" x14ac:dyDescent="0.35">
      <c r="A4859" s="4">
        <v>4500176077</v>
      </c>
    </row>
    <row r="4860" spans="1:1" x14ac:dyDescent="0.35">
      <c r="A4860" s="4">
        <v>4500176086</v>
      </c>
    </row>
    <row r="4861" spans="1:1" x14ac:dyDescent="0.35">
      <c r="A4861" s="4">
        <v>4500176092</v>
      </c>
    </row>
    <row r="4862" spans="1:1" x14ac:dyDescent="0.35">
      <c r="A4862" s="4">
        <v>4500176095</v>
      </c>
    </row>
    <row r="4863" spans="1:1" x14ac:dyDescent="0.35">
      <c r="A4863" s="4">
        <v>4500176099</v>
      </c>
    </row>
    <row r="4864" spans="1:1" x14ac:dyDescent="0.35">
      <c r="A4864" s="4">
        <v>4500176103</v>
      </c>
    </row>
    <row r="4865" spans="1:1" x14ac:dyDescent="0.35">
      <c r="A4865" s="4">
        <v>4500176112</v>
      </c>
    </row>
    <row r="4866" spans="1:1" x14ac:dyDescent="0.35">
      <c r="A4866" s="4">
        <v>4500176123</v>
      </c>
    </row>
    <row r="4867" spans="1:1" x14ac:dyDescent="0.35">
      <c r="A4867" s="4">
        <v>4500176127</v>
      </c>
    </row>
    <row r="4868" spans="1:1" x14ac:dyDescent="0.35">
      <c r="A4868" s="4">
        <v>4500176130</v>
      </c>
    </row>
    <row r="4869" spans="1:1" x14ac:dyDescent="0.35">
      <c r="A4869" s="4">
        <v>4500176132</v>
      </c>
    </row>
    <row r="4870" spans="1:1" x14ac:dyDescent="0.35">
      <c r="A4870" s="4">
        <v>4500176137</v>
      </c>
    </row>
    <row r="4871" spans="1:1" x14ac:dyDescent="0.35">
      <c r="A4871" s="4">
        <v>4500176140</v>
      </c>
    </row>
    <row r="4872" spans="1:1" x14ac:dyDescent="0.35">
      <c r="A4872" s="4">
        <v>4500176143</v>
      </c>
    </row>
    <row r="4873" spans="1:1" x14ac:dyDescent="0.35">
      <c r="A4873" s="4">
        <v>4500176145</v>
      </c>
    </row>
    <row r="4874" spans="1:1" x14ac:dyDescent="0.35">
      <c r="A4874" s="4">
        <v>4500176156</v>
      </c>
    </row>
    <row r="4875" spans="1:1" x14ac:dyDescent="0.35">
      <c r="A4875" s="4">
        <v>4500176158</v>
      </c>
    </row>
    <row r="4876" spans="1:1" x14ac:dyDescent="0.35">
      <c r="A4876" s="4">
        <v>4500176162</v>
      </c>
    </row>
    <row r="4877" spans="1:1" x14ac:dyDescent="0.35">
      <c r="A4877" s="4">
        <v>4500176164</v>
      </c>
    </row>
    <row r="4878" spans="1:1" x14ac:dyDescent="0.35">
      <c r="A4878" s="4">
        <v>4500176170</v>
      </c>
    </row>
    <row r="4879" spans="1:1" x14ac:dyDescent="0.35">
      <c r="A4879" s="4">
        <v>4500176172</v>
      </c>
    </row>
    <row r="4880" spans="1:1" x14ac:dyDescent="0.35">
      <c r="A4880" s="4">
        <v>4500176176</v>
      </c>
    </row>
    <row r="4881" spans="1:1" x14ac:dyDescent="0.35">
      <c r="A4881" s="4">
        <v>4500176177</v>
      </c>
    </row>
    <row r="4882" spans="1:1" x14ac:dyDescent="0.35">
      <c r="A4882" s="4">
        <v>4500176178</v>
      </c>
    </row>
    <row r="4883" spans="1:1" x14ac:dyDescent="0.35">
      <c r="A4883" s="4">
        <v>4500176180</v>
      </c>
    </row>
    <row r="4884" spans="1:1" x14ac:dyDescent="0.35">
      <c r="A4884" s="4">
        <v>4500176181</v>
      </c>
    </row>
    <row r="4885" spans="1:1" x14ac:dyDescent="0.35">
      <c r="A4885" s="4">
        <v>4500176188</v>
      </c>
    </row>
    <row r="4886" spans="1:1" x14ac:dyDescent="0.35">
      <c r="A4886" s="4">
        <v>4500176242</v>
      </c>
    </row>
    <row r="4887" spans="1:1" x14ac:dyDescent="0.35">
      <c r="A4887" s="4">
        <v>4500176261</v>
      </c>
    </row>
    <row r="4888" spans="1:1" x14ac:dyDescent="0.35">
      <c r="A4888" s="4">
        <v>4500176266</v>
      </c>
    </row>
    <row r="4889" spans="1:1" x14ac:dyDescent="0.35">
      <c r="A4889" s="4">
        <v>4500176271</v>
      </c>
    </row>
    <row r="4890" spans="1:1" x14ac:dyDescent="0.35">
      <c r="A4890" s="4">
        <v>4500176275</v>
      </c>
    </row>
    <row r="4891" spans="1:1" x14ac:dyDescent="0.35">
      <c r="A4891" s="4">
        <v>4500176282</v>
      </c>
    </row>
    <row r="4892" spans="1:1" x14ac:dyDescent="0.35">
      <c r="A4892" s="4">
        <v>4500176289</v>
      </c>
    </row>
    <row r="4893" spans="1:1" x14ac:dyDescent="0.35">
      <c r="A4893" s="4">
        <v>4500176292</v>
      </c>
    </row>
    <row r="4894" spans="1:1" x14ac:dyDescent="0.35">
      <c r="A4894" s="4">
        <v>4500176294</v>
      </c>
    </row>
    <row r="4895" spans="1:1" x14ac:dyDescent="0.35">
      <c r="A4895" s="4">
        <v>4500176299</v>
      </c>
    </row>
    <row r="4896" spans="1:1" x14ac:dyDescent="0.35">
      <c r="A4896" s="4">
        <v>4500176303</v>
      </c>
    </row>
    <row r="4897" spans="1:1" x14ac:dyDescent="0.35">
      <c r="A4897" s="4">
        <v>4500176307</v>
      </c>
    </row>
    <row r="4898" spans="1:1" x14ac:dyDescent="0.35">
      <c r="A4898" s="4">
        <v>4500176311</v>
      </c>
    </row>
    <row r="4899" spans="1:1" x14ac:dyDescent="0.35">
      <c r="A4899" s="4">
        <v>4500176313</v>
      </c>
    </row>
    <row r="4900" spans="1:1" x14ac:dyDescent="0.35">
      <c r="A4900" s="4">
        <v>4500176317</v>
      </c>
    </row>
    <row r="4901" spans="1:1" x14ac:dyDescent="0.35">
      <c r="A4901" s="4">
        <v>4500176321</v>
      </c>
    </row>
    <row r="4902" spans="1:1" x14ac:dyDescent="0.35">
      <c r="A4902" s="4">
        <v>4500176326</v>
      </c>
    </row>
    <row r="4903" spans="1:1" x14ac:dyDescent="0.35">
      <c r="A4903" s="4">
        <v>4500176330</v>
      </c>
    </row>
    <row r="4904" spans="1:1" x14ac:dyDescent="0.35">
      <c r="A4904" s="4">
        <v>4500176334</v>
      </c>
    </row>
    <row r="4905" spans="1:1" x14ac:dyDescent="0.35">
      <c r="A4905" s="4">
        <v>4500176338</v>
      </c>
    </row>
    <row r="4906" spans="1:1" x14ac:dyDescent="0.35">
      <c r="A4906" s="4">
        <v>4500176342</v>
      </c>
    </row>
    <row r="4907" spans="1:1" x14ac:dyDescent="0.35">
      <c r="A4907" s="4">
        <v>4500176345</v>
      </c>
    </row>
    <row r="4908" spans="1:1" x14ac:dyDescent="0.35">
      <c r="A4908" s="4">
        <v>4500176348</v>
      </c>
    </row>
    <row r="4909" spans="1:1" x14ac:dyDescent="0.35">
      <c r="A4909" s="4">
        <v>4500176351</v>
      </c>
    </row>
    <row r="4910" spans="1:1" x14ac:dyDescent="0.35">
      <c r="A4910" s="4">
        <v>4500176354</v>
      </c>
    </row>
    <row r="4911" spans="1:1" x14ac:dyDescent="0.35">
      <c r="A4911" s="4">
        <v>4500176356</v>
      </c>
    </row>
    <row r="4912" spans="1:1" x14ac:dyDescent="0.35">
      <c r="A4912" s="4">
        <v>4500176366</v>
      </c>
    </row>
    <row r="4913" spans="1:1" x14ac:dyDescent="0.35">
      <c r="A4913" s="4">
        <v>4500176369</v>
      </c>
    </row>
    <row r="4914" spans="1:1" x14ac:dyDescent="0.35">
      <c r="A4914" s="4">
        <v>4500176370</v>
      </c>
    </row>
    <row r="4915" spans="1:1" x14ac:dyDescent="0.35">
      <c r="A4915" s="4">
        <v>4500176374</v>
      </c>
    </row>
    <row r="4916" spans="1:1" x14ac:dyDescent="0.35">
      <c r="A4916" s="4">
        <v>4500176378</v>
      </c>
    </row>
    <row r="4917" spans="1:1" x14ac:dyDescent="0.35">
      <c r="A4917" s="4">
        <v>4500176380</v>
      </c>
    </row>
    <row r="4918" spans="1:1" x14ac:dyDescent="0.35">
      <c r="A4918" s="4">
        <v>4500176382</v>
      </c>
    </row>
    <row r="4919" spans="1:1" x14ac:dyDescent="0.35">
      <c r="A4919" s="4">
        <v>4500176384</v>
      </c>
    </row>
    <row r="4920" spans="1:1" x14ac:dyDescent="0.35">
      <c r="A4920" s="4">
        <v>4500176385</v>
      </c>
    </row>
    <row r="4921" spans="1:1" x14ac:dyDescent="0.35">
      <c r="A4921" s="4">
        <v>4500176406</v>
      </c>
    </row>
    <row r="4922" spans="1:1" x14ac:dyDescent="0.35">
      <c r="A4922" s="4">
        <v>4500176408</v>
      </c>
    </row>
    <row r="4923" spans="1:1" x14ac:dyDescent="0.35">
      <c r="A4923" s="4">
        <v>4500176478</v>
      </c>
    </row>
    <row r="4924" spans="1:1" x14ac:dyDescent="0.35">
      <c r="A4924" s="4">
        <v>4500176481</v>
      </c>
    </row>
    <row r="4925" spans="1:1" x14ac:dyDescent="0.35">
      <c r="A4925" s="4">
        <v>4500176487</v>
      </c>
    </row>
    <row r="4926" spans="1:1" x14ac:dyDescent="0.35">
      <c r="A4926" s="4">
        <v>4500176497</v>
      </c>
    </row>
    <row r="4927" spans="1:1" x14ac:dyDescent="0.35">
      <c r="A4927" s="4">
        <v>4500176500</v>
      </c>
    </row>
    <row r="4928" spans="1:1" x14ac:dyDescent="0.35">
      <c r="A4928" s="4">
        <v>4500176503</v>
      </c>
    </row>
    <row r="4929" spans="1:1" x14ac:dyDescent="0.35">
      <c r="A4929" s="4">
        <v>4500176506</v>
      </c>
    </row>
    <row r="4930" spans="1:1" x14ac:dyDescent="0.35">
      <c r="A4930" s="4">
        <v>4500176510</v>
      </c>
    </row>
    <row r="4931" spans="1:1" x14ac:dyDescent="0.35">
      <c r="A4931" s="4">
        <v>4500176514</v>
      </c>
    </row>
    <row r="4932" spans="1:1" x14ac:dyDescent="0.35">
      <c r="A4932" s="4">
        <v>4500176518</v>
      </c>
    </row>
    <row r="4933" spans="1:1" x14ac:dyDescent="0.35">
      <c r="A4933" s="4">
        <v>4500176521</v>
      </c>
    </row>
    <row r="4934" spans="1:1" x14ac:dyDescent="0.35">
      <c r="A4934" s="4">
        <v>4500176525</v>
      </c>
    </row>
    <row r="4935" spans="1:1" x14ac:dyDescent="0.35">
      <c r="A4935" s="4">
        <v>4500176535</v>
      </c>
    </row>
    <row r="4936" spans="1:1" x14ac:dyDescent="0.35">
      <c r="A4936" s="4">
        <v>4500176541</v>
      </c>
    </row>
    <row r="4937" spans="1:1" x14ac:dyDescent="0.35">
      <c r="A4937" s="4">
        <v>4500176548</v>
      </c>
    </row>
    <row r="4938" spans="1:1" x14ac:dyDescent="0.35">
      <c r="A4938" s="4">
        <v>4500176550</v>
      </c>
    </row>
    <row r="4939" spans="1:1" x14ac:dyDescent="0.35">
      <c r="A4939" s="4">
        <v>4500176570</v>
      </c>
    </row>
    <row r="4940" spans="1:1" x14ac:dyDescent="0.35">
      <c r="A4940" s="4">
        <v>4500176573</v>
      </c>
    </row>
    <row r="4941" spans="1:1" x14ac:dyDescent="0.35">
      <c r="A4941" s="4">
        <v>4500176576</v>
      </c>
    </row>
    <row r="4942" spans="1:1" x14ac:dyDescent="0.35">
      <c r="A4942" s="4">
        <v>4500176580</v>
      </c>
    </row>
    <row r="4943" spans="1:1" x14ac:dyDescent="0.35">
      <c r="A4943" s="4">
        <v>4500176582</v>
      </c>
    </row>
    <row r="4944" spans="1:1" x14ac:dyDescent="0.35">
      <c r="A4944" s="4">
        <v>4500176585</v>
      </c>
    </row>
    <row r="4945" spans="1:1" x14ac:dyDescent="0.35">
      <c r="A4945" s="4">
        <v>4500176589</v>
      </c>
    </row>
    <row r="4946" spans="1:1" x14ac:dyDescent="0.35">
      <c r="A4946" s="4">
        <v>4500176591</v>
      </c>
    </row>
    <row r="4947" spans="1:1" x14ac:dyDescent="0.35">
      <c r="A4947" s="4">
        <v>4500176594</v>
      </c>
    </row>
    <row r="4948" spans="1:1" x14ac:dyDescent="0.35">
      <c r="A4948" s="4">
        <v>4500176597</v>
      </c>
    </row>
    <row r="4949" spans="1:1" x14ac:dyDescent="0.35">
      <c r="A4949" s="4">
        <v>4500176599</v>
      </c>
    </row>
    <row r="4950" spans="1:1" x14ac:dyDescent="0.35">
      <c r="A4950" s="4">
        <v>4500176602</v>
      </c>
    </row>
    <row r="4951" spans="1:1" x14ac:dyDescent="0.35">
      <c r="A4951" s="4">
        <v>4500176615</v>
      </c>
    </row>
    <row r="4952" spans="1:1" x14ac:dyDescent="0.35">
      <c r="A4952" s="4">
        <v>4500176689</v>
      </c>
    </row>
    <row r="4953" spans="1:1" x14ac:dyDescent="0.35">
      <c r="A4953" s="4">
        <v>4500176692</v>
      </c>
    </row>
    <row r="4954" spans="1:1" x14ac:dyDescent="0.35">
      <c r="A4954" s="4">
        <v>4500176696</v>
      </c>
    </row>
    <row r="4955" spans="1:1" x14ac:dyDescent="0.35">
      <c r="A4955" s="4">
        <v>4500176700</v>
      </c>
    </row>
    <row r="4956" spans="1:1" x14ac:dyDescent="0.35">
      <c r="A4956" s="4">
        <v>4500176705</v>
      </c>
    </row>
    <row r="4957" spans="1:1" x14ac:dyDescent="0.35">
      <c r="A4957" s="4">
        <v>4500176709</v>
      </c>
    </row>
    <row r="4958" spans="1:1" x14ac:dyDescent="0.35">
      <c r="A4958" s="4">
        <v>4500176712</v>
      </c>
    </row>
    <row r="4959" spans="1:1" x14ac:dyDescent="0.35">
      <c r="A4959" s="4">
        <v>4500176715</v>
      </c>
    </row>
    <row r="4960" spans="1:1" x14ac:dyDescent="0.35">
      <c r="A4960" s="4">
        <v>4500176718</v>
      </c>
    </row>
    <row r="4961" spans="1:1" x14ac:dyDescent="0.35">
      <c r="A4961" s="4">
        <v>4500176721</v>
      </c>
    </row>
    <row r="4962" spans="1:1" x14ac:dyDescent="0.35">
      <c r="A4962" s="4">
        <v>4500176725</v>
      </c>
    </row>
    <row r="4963" spans="1:1" x14ac:dyDescent="0.35">
      <c r="A4963" s="4">
        <v>4500176730</v>
      </c>
    </row>
    <row r="4964" spans="1:1" x14ac:dyDescent="0.35">
      <c r="A4964" s="4">
        <v>4500176732</v>
      </c>
    </row>
    <row r="4965" spans="1:1" x14ac:dyDescent="0.35">
      <c r="A4965" s="4">
        <v>4500176736</v>
      </c>
    </row>
    <row r="4966" spans="1:1" x14ac:dyDescent="0.35">
      <c r="A4966" s="4">
        <v>4500176741</v>
      </c>
    </row>
    <row r="4967" spans="1:1" x14ac:dyDescent="0.35">
      <c r="A4967" s="4">
        <v>4500176745</v>
      </c>
    </row>
    <row r="4968" spans="1:1" x14ac:dyDescent="0.35">
      <c r="A4968" s="4">
        <v>4500176749</v>
      </c>
    </row>
    <row r="4969" spans="1:1" x14ac:dyDescent="0.35">
      <c r="A4969" s="4">
        <v>4500176752</v>
      </c>
    </row>
    <row r="4970" spans="1:1" x14ac:dyDescent="0.35">
      <c r="A4970" s="4">
        <v>4500176756</v>
      </c>
    </row>
    <row r="4971" spans="1:1" x14ac:dyDescent="0.35">
      <c r="A4971" s="4">
        <v>4500176761</v>
      </c>
    </row>
    <row r="4972" spans="1:1" x14ac:dyDescent="0.35">
      <c r="A4972" s="4">
        <v>4500176767</v>
      </c>
    </row>
    <row r="4973" spans="1:1" x14ac:dyDescent="0.35">
      <c r="A4973" s="4">
        <v>4500176771</v>
      </c>
    </row>
    <row r="4974" spans="1:1" x14ac:dyDescent="0.35">
      <c r="A4974" s="4">
        <v>4500176774</v>
      </c>
    </row>
    <row r="4975" spans="1:1" x14ac:dyDescent="0.35">
      <c r="A4975" s="4">
        <v>4500176777</v>
      </c>
    </row>
    <row r="4976" spans="1:1" x14ac:dyDescent="0.35">
      <c r="A4976" s="4">
        <v>4500176780</v>
      </c>
    </row>
    <row r="4977" spans="1:1" x14ac:dyDescent="0.35">
      <c r="A4977" s="4">
        <v>4500176784</v>
      </c>
    </row>
    <row r="4978" spans="1:1" x14ac:dyDescent="0.35">
      <c r="A4978" s="4">
        <v>4500176788</v>
      </c>
    </row>
    <row r="4979" spans="1:1" x14ac:dyDescent="0.35">
      <c r="A4979" s="4">
        <v>4500176792</v>
      </c>
    </row>
    <row r="4980" spans="1:1" x14ac:dyDescent="0.35">
      <c r="A4980" s="4">
        <v>4500176794</v>
      </c>
    </row>
    <row r="4981" spans="1:1" x14ac:dyDescent="0.35">
      <c r="A4981" s="4">
        <v>4500176797</v>
      </c>
    </row>
    <row r="4982" spans="1:1" x14ac:dyDescent="0.35">
      <c r="A4982" s="4">
        <v>4500176799</v>
      </c>
    </row>
    <row r="4983" spans="1:1" x14ac:dyDescent="0.35">
      <c r="A4983" s="4">
        <v>4500176802</v>
      </c>
    </row>
    <row r="4984" spans="1:1" x14ac:dyDescent="0.35">
      <c r="A4984" s="4">
        <v>4500176805</v>
      </c>
    </row>
    <row r="4985" spans="1:1" x14ac:dyDescent="0.35">
      <c r="A4985" s="4">
        <v>4500176806</v>
      </c>
    </row>
    <row r="4986" spans="1:1" x14ac:dyDescent="0.35">
      <c r="A4986" s="4">
        <v>4500176808</v>
      </c>
    </row>
    <row r="4987" spans="1:1" x14ac:dyDescent="0.35">
      <c r="A4987" s="4">
        <v>4500176810</v>
      </c>
    </row>
    <row r="4988" spans="1:1" x14ac:dyDescent="0.35">
      <c r="A4988" s="4">
        <v>4500176811</v>
      </c>
    </row>
    <row r="4989" spans="1:1" x14ac:dyDescent="0.35">
      <c r="A4989" s="4">
        <v>4500176812</v>
      </c>
    </row>
    <row r="4990" spans="1:1" x14ac:dyDescent="0.35">
      <c r="A4990" s="4">
        <v>4500176813</v>
      </c>
    </row>
    <row r="4991" spans="1:1" x14ac:dyDescent="0.35">
      <c r="A4991" s="4">
        <v>4500176814</v>
      </c>
    </row>
    <row r="4992" spans="1:1" x14ac:dyDescent="0.35">
      <c r="A4992" s="4">
        <v>4500176815</v>
      </c>
    </row>
    <row r="4993" spans="1:1" x14ac:dyDescent="0.35">
      <c r="A4993" s="4">
        <v>4500176820</v>
      </c>
    </row>
    <row r="4994" spans="1:1" x14ac:dyDescent="0.35">
      <c r="A4994" s="4">
        <v>4500176895</v>
      </c>
    </row>
    <row r="4995" spans="1:1" x14ac:dyDescent="0.35">
      <c r="A4995" s="4">
        <v>4500176897</v>
      </c>
    </row>
    <row r="4996" spans="1:1" x14ac:dyDescent="0.35">
      <c r="A4996" s="4">
        <v>4500176905</v>
      </c>
    </row>
    <row r="4997" spans="1:1" x14ac:dyDescent="0.35">
      <c r="A4997" s="4">
        <v>4500176908</v>
      </c>
    </row>
    <row r="4998" spans="1:1" x14ac:dyDescent="0.35">
      <c r="A4998" s="4">
        <v>4500176911</v>
      </c>
    </row>
    <row r="4999" spans="1:1" x14ac:dyDescent="0.35">
      <c r="A4999" s="4">
        <v>4500176918</v>
      </c>
    </row>
    <row r="5000" spans="1:1" x14ac:dyDescent="0.35">
      <c r="A5000" s="4">
        <v>4500176926</v>
      </c>
    </row>
    <row r="5001" spans="1:1" x14ac:dyDescent="0.35">
      <c r="A5001" s="4">
        <v>4500176933</v>
      </c>
    </row>
    <row r="5002" spans="1:1" x14ac:dyDescent="0.35">
      <c r="A5002" s="4">
        <v>4500176939</v>
      </c>
    </row>
    <row r="5003" spans="1:1" x14ac:dyDescent="0.35">
      <c r="A5003" s="4">
        <v>4500176942</v>
      </c>
    </row>
    <row r="5004" spans="1:1" x14ac:dyDescent="0.35">
      <c r="A5004" s="4">
        <v>4500176944</v>
      </c>
    </row>
    <row r="5005" spans="1:1" x14ac:dyDescent="0.35">
      <c r="A5005" s="4">
        <v>4500176949</v>
      </c>
    </row>
    <row r="5006" spans="1:1" x14ac:dyDescent="0.35">
      <c r="A5006" s="4">
        <v>4500176954</v>
      </c>
    </row>
    <row r="5007" spans="1:1" x14ac:dyDescent="0.35">
      <c r="A5007" s="4">
        <v>4500176957</v>
      </c>
    </row>
    <row r="5008" spans="1:1" x14ac:dyDescent="0.35">
      <c r="A5008" s="4">
        <v>4500176960</v>
      </c>
    </row>
    <row r="5009" spans="1:1" x14ac:dyDescent="0.35">
      <c r="A5009" s="4">
        <v>4500176963</v>
      </c>
    </row>
    <row r="5010" spans="1:1" x14ac:dyDescent="0.35">
      <c r="A5010" s="4">
        <v>4500176966</v>
      </c>
    </row>
    <row r="5011" spans="1:1" x14ac:dyDescent="0.35">
      <c r="A5011" s="4">
        <v>4500176969</v>
      </c>
    </row>
    <row r="5012" spans="1:1" x14ac:dyDescent="0.35">
      <c r="A5012" s="4">
        <v>4500176974</v>
      </c>
    </row>
    <row r="5013" spans="1:1" x14ac:dyDescent="0.35">
      <c r="A5013" s="4">
        <v>4500176977</v>
      </c>
    </row>
    <row r="5014" spans="1:1" x14ac:dyDescent="0.35">
      <c r="A5014" s="4">
        <v>4500176989</v>
      </c>
    </row>
    <row r="5015" spans="1:1" x14ac:dyDescent="0.35">
      <c r="A5015" s="4">
        <v>4500176994</v>
      </c>
    </row>
    <row r="5016" spans="1:1" x14ac:dyDescent="0.35">
      <c r="A5016" s="4">
        <v>4500176998</v>
      </c>
    </row>
    <row r="5017" spans="1:1" x14ac:dyDescent="0.35">
      <c r="A5017" s="4">
        <v>4500176999</v>
      </c>
    </row>
    <row r="5018" spans="1:1" x14ac:dyDescent="0.35">
      <c r="A5018" s="4">
        <v>4500177003</v>
      </c>
    </row>
    <row r="5019" spans="1:1" x14ac:dyDescent="0.35">
      <c r="A5019" s="4">
        <v>4500177005</v>
      </c>
    </row>
    <row r="5020" spans="1:1" x14ac:dyDescent="0.35">
      <c r="A5020" s="4">
        <v>4500177097</v>
      </c>
    </row>
    <row r="5021" spans="1:1" x14ac:dyDescent="0.35">
      <c r="A5021" s="4">
        <v>4500177101</v>
      </c>
    </row>
    <row r="5022" spans="1:1" x14ac:dyDescent="0.35">
      <c r="A5022" s="4">
        <v>4500177102</v>
      </c>
    </row>
    <row r="5023" spans="1:1" x14ac:dyDescent="0.35">
      <c r="A5023" s="4">
        <v>4500177106</v>
      </c>
    </row>
    <row r="5024" spans="1:1" x14ac:dyDescent="0.35">
      <c r="A5024" s="4">
        <v>4500177112</v>
      </c>
    </row>
    <row r="5025" spans="1:1" x14ac:dyDescent="0.35">
      <c r="A5025" s="4">
        <v>4500177118</v>
      </c>
    </row>
    <row r="5026" spans="1:1" x14ac:dyDescent="0.35">
      <c r="A5026" s="4">
        <v>4500177125</v>
      </c>
    </row>
    <row r="5027" spans="1:1" x14ac:dyDescent="0.35">
      <c r="A5027" s="4">
        <v>4500177141</v>
      </c>
    </row>
    <row r="5028" spans="1:1" x14ac:dyDescent="0.35">
      <c r="A5028" s="4">
        <v>4500177147</v>
      </c>
    </row>
    <row r="5029" spans="1:1" x14ac:dyDescent="0.35">
      <c r="A5029" s="4">
        <v>4500177155</v>
      </c>
    </row>
    <row r="5030" spans="1:1" x14ac:dyDescent="0.35">
      <c r="A5030" s="4">
        <v>4500177160</v>
      </c>
    </row>
    <row r="5031" spans="1:1" x14ac:dyDescent="0.35">
      <c r="A5031" s="4">
        <v>4500177170</v>
      </c>
    </row>
    <row r="5032" spans="1:1" x14ac:dyDescent="0.35">
      <c r="A5032" s="4">
        <v>4500177173</v>
      </c>
    </row>
    <row r="5033" spans="1:1" x14ac:dyDescent="0.35">
      <c r="A5033" s="4">
        <v>4500177178</v>
      </c>
    </row>
    <row r="5034" spans="1:1" x14ac:dyDescent="0.35">
      <c r="A5034" s="4">
        <v>4500177183</v>
      </c>
    </row>
    <row r="5035" spans="1:1" x14ac:dyDescent="0.35">
      <c r="A5035" s="4">
        <v>4500177189</v>
      </c>
    </row>
    <row r="5036" spans="1:1" x14ac:dyDescent="0.35">
      <c r="A5036" s="4">
        <v>4500177193</v>
      </c>
    </row>
    <row r="5037" spans="1:1" x14ac:dyDescent="0.35">
      <c r="A5037" s="4">
        <v>4500177197</v>
      </c>
    </row>
    <row r="5038" spans="1:1" x14ac:dyDescent="0.35">
      <c r="A5038" s="4">
        <v>4500177205</v>
      </c>
    </row>
    <row r="5039" spans="1:1" x14ac:dyDescent="0.35">
      <c r="A5039" s="4">
        <v>4500177209</v>
      </c>
    </row>
    <row r="5040" spans="1:1" x14ac:dyDescent="0.35">
      <c r="A5040" s="4">
        <v>4500177215</v>
      </c>
    </row>
    <row r="5041" spans="1:1" x14ac:dyDescent="0.35">
      <c r="A5041" s="4">
        <v>4500177219</v>
      </c>
    </row>
    <row r="5042" spans="1:1" x14ac:dyDescent="0.35">
      <c r="A5042" s="4">
        <v>4500177221</v>
      </c>
    </row>
    <row r="5043" spans="1:1" x14ac:dyDescent="0.35">
      <c r="A5043" s="4">
        <v>4500177225</v>
      </c>
    </row>
    <row r="5044" spans="1:1" x14ac:dyDescent="0.35">
      <c r="A5044" s="4">
        <v>4500177228</v>
      </c>
    </row>
    <row r="5045" spans="1:1" x14ac:dyDescent="0.35">
      <c r="A5045" s="4">
        <v>4500177230</v>
      </c>
    </row>
    <row r="5046" spans="1:1" x14ac:dyDescent="0.35">
      <c r="A5046" s="4">
        <v>4500177231</v>
      </c>
    </row>
    <row r="5047" spans="1:1" x14ac:dyDescent="0.35">
      <c r="A5047" s="4">
        <v>4500177233</v>
      </c>
    </row>
    <row r="5048" spans="1:1" x14ac:dyDescent="0.35">
      <c r="A5048" s="4">
        <v>4500177234</v>
      </c>
    </row>
    <row r="5049" spans="1:1" x14ac:dyDescent="0.35">
      <c r="A5049" s="4">
        <v>4500177235</v>
      </c>
    </row>
    <row r="5050" spans="1:1" x14ac:dyDescent="0.35">
      <c r="A5050" s="4">
        <v>4500177236</v>
      </c>
    </row>
    <row r="5051" spans="1:1" x14ac:dyDescent="0.35">
      <c r="A5051" s="4">
        <v>4500177237</v>
      </c>
    </row>
    <row r="5052" spans="1:1" x14ac:dyDescent="0.35">
      <c r="A5052" s="4">
        <v>4500177239</v>
      </c>
    </row>
    <row r="5053" spans="1:1" x14ac:dyDescent="0.35">
      <c r="A5053" s="4">
        <v>4500177240</v>
      </c>
    </row>
    <row r="5054" spans="1:1" x14ac:dyDescent="0.35">
      <c r="A5054" s="4">
        <v>4500177315</v>
      </c>
    </row>
    <row r="5055" spans="1:1" x14ac:dyDescent="0.35">
      <c r="A5055" s="4">
        <v>4500177322</v>
      </c>
    </row>
    <row r="5056" spans="1:1" x14ac:dyDescent="0.35">
      <c r="A5056" s="4">
        <v>4500177325</v>
      </c>
    </row>
    <row r="5057" spans="1:1" x14ac:dyDescent="0.35">
      <c r="A5057" s="4">
        <v>4500177330</v>
      </c>
    </row>
    <row r="5058" spans="1:1" x14ac:dyDescent="0.35">
      <c r="A5058" s="4">
        <v>4500177334</v>
      </c>
    </row>
    <row r="5059" spans="1:1" x14ac:dyDescent="0.35">
      <c r="A5059" s="4">
        <v>4500177340</v>
      </c>
    </row>
    <row r="5060" spans="1:1" x14ac:dyDescent="0.35">
      <c r="A5060" s="4">
        <v>4500177347</v>
      </c>
    </row>
    <row r="5061" spans="1:1" x14ac:dyDescent="0.35">
      <c r="A5061" s="4">
        <v>4500177360</v>
      </c>
    </row>
    <row r="5062" spans="1:1" x14ac:dyDescent="0.35">
      <c r="A5062" s="4">
        <v>4500177368</v>
      </c>
    </row>
    <row r="5063" spans="1:1" x14ac:dyDescent="0.35">
      <c r="A5063" s="4">
        <v>4500177372</v>
      </c>
    </row>
    <row r="5064" spans="1:1" x14ac:dyDescent="0.35">
      <c r="A5064" s="4">
        <v>4500177379</v>
      </c>
    </row>
    <row r="5065" spans="1:1" x14ac:dyDescent="0.35">
      <c r="A5065" s="4">
        <v>4500177385</v>
      </c>
    </row>
    <row r="5066" spans="1:1" x14ac:dyDescent="0.35">
      <c r="A5066" s="4">
        <v>4500177389</v>
      </c>
    </row>
    <row r="5067" spans="1:1" x14ac:dyDescent="0.35">
      <c r="A5067" s="4">
        <v>4500177393</v>
      </c>
    </row>
    <row r="5068" spans="1:1" x14ac:dyDescent="0.35">
      <c r="A5068" s="4">
        <v>4500177397</v>
      </c>
    </row>
    <row r="5069" spans="1:1" x14ac:dyDescent="0.35">
      <c r="A5069" s="4">
        <v>4500177401</v>
      </c>
    </row>
    <row r="5070" spans="1:1" x14ac:dyDescent="0.35">
      <c r="A5070" s="4">
        <v>4500177404</v>
      </c>
    </row>
    <row r="5071" spans="1:1" x14ac:dyDescent="0.35">
      <c r="A5071" s="4">
        <v>4500177408</v>
      </c>
    </row>
    <row r="5072" spans="1:1" x14ac:dyDescent="0.35">
      <c r="A5072" s="4">
        <v>4500177413</v>
      </c>
    </row>
    <row r="5073" spans="1:1" x14ac:dyDescent="0.35">
      <c r="A5073" s="4">
        <v>4500177416</v>
      </c>
    </row>
    <row r="5074" spans="1:1" x14ac:dyDescent="0.35">
      <c r="A5074" s="4">
        <v>4500177420</v>
      </c>
    </row>
    <row r="5075" spans="1:1" x14ac:dyDescent="0.35">
      <c r="A5075" s="4">
        <v>4500177424</v>
      </c>
    </row>
    <row r="5076" spans="1:1" x14ac:dyDescent="0.35">
      <c r="A5076" s="4">
        <v>4500177428</v>
      </c>
    </row>
    <row r="5077" spans="1:1" x14ac:dyDescent="0.35">
      <c r="A5077" s="4">
        <v>4500177429</v>
      </c>
    </row>
    <row r="5078" spans="1:1" x14ac:dyDescent="0.35">
      <c r="A5078" s="4">
        <v>4500177431</v>
      </c>
    </row>
    <row r="5079" spans="1:1" x14ac:dyDescent="0.35">
      <c r="A5079" s="4">
        <v>4500177433</v>
      </c>
    </row>
    <row r="5080" spans="1:1" x14ac:dyDescent="0.35">
      <c r="A5080" s="4">
        <v>4500177435</v>
      </c>
    </row>
    <row r="5081" spans="1:1" x14ac:dyDescent="0.35">
      <c r="A5081" s="4">
        <v>4500177436</v>
      </c>
    </row>
    <row r="5082" spans="1:1" x14ac:dyDescent="0.35">
      <c r="A5082" s="4">
        <v>4500177437</v>
      </c>
    </row>
    <row r="5083" spans="1:1" x14ac:dyDescent="0.35">
      <c r="A5083" s="4">
        <v>4500177438</v>
      </c>
    </row>
    <row r="5084" spans="1:1" x14ac:dyDescent="0.35">
      <c r="A5084" s="4">
        <v>4500177439</v>
      </c>
    </row>
    <row r="5085" spans="1:1" x14ac:dyDescent="0.35">
      <c r="A5085" s="4">
        <v>4500177440</v>
      </c>
    </row>
    <row r="5086" spans="1:1" x14ac:dyDescent="0.35">
      <c r="A5086" s="4">
        <v>4500177441</v>
      </c>
    </row>
    <row r="5087" spans="1:1" x14ac:dyDescent="0.35">
      <c r="A5087" s="4">
        <v>4500177442</v>
      </c>
    </row>
    <row r="5088" spans="1:1" x14ac:dyDescent="0.35">
      <c r="A5088" s="4">
        <v>4500177443</v>
      </c>
    </row>
    <row r="5089" spans="1:1" x14ac:dyDescent="0.35">
      <c r="A5089" s="4">
        <v>4500177444</v>
      </c>
    </row>
    <row r="5090" spans="1:1" x14ac:dyDescent="0.35">
      <c r="A5090" s="4">
        <v>4500177516</v>
      </c>
    </row>
    <row r="5091" spans="1:1" x14ac:dyDescent="0.35">
      <c r="A5091" s="4">
        <v>4500177517</v>
      </c>
    </row>
    <row r="5092" spans="1:1" x14ac:dyDescent="0.35">
      <c r="A5092" s="4">
        <v>4500177520</v>
      </c>
    </row>
    <row r="5093" spans="1:1" x14ac:dyDescent="0.35">
      <c r="A5093" s="4">
        <v>4500177522</v>
      </c>
    </row>
    <row r="5094" spans="1:1" x14ac:dyDescent="0.35">
      <c r="A5094" s="4">
        <v>4500177525</v>
      </c>
    </row>
    <row r="5095" spans="1:1" x14ac:dyDescent="0.35">
      <c r="A5095" s="4">
        <v>4500177529</v>
      </c>
    </row>
    <row r="5096" spans="1:1" x14ac:dyDescent="0.35">
      <c r="A5096" s="4">
        <v>4500177552</v>
      </c>
    </row>
    <row r="5097" spans="1:1" x14ac:dyDescent="0.35">
      <c r="A5097" s="4">
        <v>4500177562</v>
      </c>
    </row>
    <row r="5098" spans="1:1" x14ac:dyDescent="0.35">
      <c r="A5098" s="4">
        <v>4500177568</v>
      </c>
    </row>
    <row r="5099" spans="1:1" x14ac:dyDescent="0.35">
      <c r="A5099" s="4">
        <v>4500177575</v>
      </c>
    </row>
    <row r="5100" spans="1:1" x14ac:dyDescent="0.35">
      <c r="A5100" s="4">
        <v>4500177591</v>
      </c>
    </row>
    <row r="5101" spans="1:1" x14ac:dyDescent="0.35">
      <c r="A5101" s="4">
        <v>4500177596</v>
      </c>
    </row>
    <row r="5102" spans="1:1" x14ac:dyDescent="0.35">
      <c r="A5102" s="4">
        <v>4500177607</v>
      </c>
    </row>
    <row r="5103" spans="1:1" x14ac:dyDescent="0.35">
      <c r="A5103" s="4">
        <v>4500177628</v>
      </c>
    </row>
    <row r="5104" spans="1:1" x14ac:dyDescent="0.35">
      <c r="A5104" s="4">
        <v>4500177633</v>
      </c>
    </row>
    <row r="5105" spans="1:1" x14ac:dyDescent="0.35">
      <c r="A5105" s="4">
        <v>4500177637</v>
      </c>
    </row>
    <row r="5106" spans="1:1" x14ac:dyDescent="0.35">
      <c r="A5106" s="4">
        <v>4500177640</v>
      </c>
    </row>
    <row r="5107" spans="1:1" x14ac:dyDescent="0.35">
      <c r="A5107" s="4">
        <v>4500177646</v>
      </c>
    </row>
    <row r="5108" spans="1:1" x14ac:dyDescent="0.35">
      <c r="A5108" s="4">
        <v>4500177654</v>
      </c>
    </row>
    <row r="5109" spans="1:1" x14ac:dyDescent="0.35">
      <c r="A5109" s="4">
        <v>4500177659</v>
      </c>
    </row>
    <row r="5110" spans="1:1" x14ac:dyDescent="0.35">
      <c r="A5110" s="4">
        <v>4500177661</v>
      </c>
    </row>
    <row r="5111" spans="1:1" x14ac:dyDescent="0.35">
      <c r="A5111" s="4">
        <v>4500177662</v>
      </c>
    </row>
    <row r="5112" spans="1:1" x14ac:dyDescent="0.35">
      <c r="A5112" s="4">
        <v>4500177663</v>
      </c>
    </row>
    <row r="5113" spans="1:1" x14ac:dyDescent="0.35">
      <c r="A5113" s="4">
        <v>4500177664</v>
      </c>
    </row>
    <row r="5114" spans="1:1" x14ac:dyDescent="0.35">
      <c r="A5114" s="4">
        <v>4500177666</v>
      </c>
    </row>
    <row r="5115" spans="1:1" x14ac:dyDescent="0.35">
      <c r="A5115" s="4">
        <v>4500177667</v>
      </c>
    </row>
    <row r="5116" spans="1:1" x14ac:dyDescent="0.35">
      <c r="A5116" s="4">
        <v>4500177668</v>
      </c>
    </row>
    <row r="5117" spans="1:1" x14ac:dyDescent="0.35">
      <c r="A5117" s="4">
        <v>4500177740</v>
      </c>
    </row>
    <row r="5118" spans="1:1" x14ac:dyDescent="0.35">
      <c r="A5118" s="4">
        <v>4500177743</v>
      </c>
    </row>
    <row r="5119" spans="1:1" x14ac:dyDescent="0.35">
      <c r="A5119" s="4">
        <v>4500177746</v>
      </c>
    </row>
    <row r="5120" spans="1:1" x14ac:dyDescent="0.35">
      <c r="A5120" s="4">
        <v>4500177748</v>
      </c>
    </row>
    <row r="5121" spans="1:1" x14ac:dyDescent="0.35">
      <c r="A5121" s="4">
        <v>4500177751</v>
      </c>
    </row>
    <row r="5122" spans="1:1" x14ac:dyDescent="0.35">
      <c r="A5122" s="4">
        <v>4500177754</v>
      </c>
    </row>
    <row r="5123" spans="1:1" x14ac:dyDescent="0.35">
      <c r="A5123" s="4">
        <v>4500177761</v>
      </c>
    </row>
    <row r="5124" spans="1:1" x14ac:dyDescent="0.35">
      <c r="A5124" s="4">
        <v>4500177765</v>
      </c>
    </row>
    <row r="5125" spans="1:1" x14ac:dyDescent="0.35">
      <c r="A5125" s="4">
        <v>4500177769</v>
      </c>
    </row>
    <row r="5126" spans="1:1" x14ac:dyDescent="0.35">
      <c r="A5126" s="4">
        <v>4500177772</v>
      </c>
    </row>
    <row r="5127" spans="1:1" x14ac:dyDescent="0.35">
      <c r="A5127" s="4">
        <v>4500177775</v>
      </c>
    </row>
    <row r="5128" spans="1:1" x14ac:dyDescent="0.35">
      <c r="A5128" s="4">
        <v>4500177777</v>
      </c>
    </row>
    <row r="5129" spans="1:1" x14ac:dyDescent="0.35">
      <c r="A5129" s="4">
        <v>4500177779</v>
      </c>
    </row>
    <row r="5130" spans="1:1" x14ac:dyDescent="0.35">
      <c r="A5130" s="4">
        <v>4500177782</v>
      </c>
    </row>
    <row r="5131" spans="1:1" x14ac:dyDescent="0.35">
      <c r="A5131" s="4">
        <v>4500177784</v>
      </c>
    </row>
    <row r="5132" spans="1:1" x14ac:dyDescent="0.35">
      <c r="A5132" s="4">
        <v>4500177786</v>
      </c>
    </row>
    <row r="5133" spans="1:1" x14ac:dyDescent="0.35">
      <c r="A5133" s="4">
        <v>4500177787</v>
      </c>
    </row>
    <row r="5134" spans="1:1" x14ac:dyDescent="0.35">
      <c r="A5134" s="4">
        <v>4500177789</v>
      </c>
    </row>
    <row r="5135" spans="1:1" x14ac:dyDescent="0.35">
      <c r="A5135" s="4">
        <v>4500177793</v>
      </c>
    </row>
    <row r="5136" spans="1:1" x14ac:dyDescent="0.35">
      <c r="A5136" s="4">
        <v>4500177798</v>
      </c>
    </row>
    <row r="5137" spans="1:1" x14ac:dyDescent="0.35">
      <c r="A5137" s="4">
        <v>4500177801</v>
      </c>
    </row>
    <row r="5138" spans="1:1" x14ac:dyDescent="0.35">
      <c r="A5138" s="4">
        <v>4500177805</v>
      </c>
    </row>
    <row r="5139" spans="1:1" x14ac:dyDescent="0.35">
      <c r="A5139" s="4">
        <v>4500177809</v>
      </c>
    </row>
    <row r="5140" spans="1:1" x14ac:dyDescent="0.35">
      <c r="A5140" s="4">
        <v>4500177817</v>
      </c>
    </row>
    <row r="5141" spans="1:1" x14ac:dyDescent="0.35">
      <c r="A5141" s="4">
        <v>4500177818</v>
      </c>
    </row>
    <row r="5142" spans="1:1" x14ac:dyDescent="0.35">
      <c r="A5142" s="4">
        <v>4500177822</v>
      </c>
    </row>
    <row r="5143" spans="1:1" x14ac:dyDescent="0.35">
      <c r="A5143" s="4">
        <v>4500177826</v>
      </c>
    </row>
    <row r="5144" spans="1:1" x14ac:dyDescent="0.35">
      <c r="A5144" s="4">
        <v>4500177828</v>
      </c>
    </row>
    <row r="5145" spans="1:1" x14ac:dyDescent="0.35">
      <c r="A5145" s="4">
        <v>4500177833</v>
      </c>
    </row>
    <row r="5146" spans="1:1" x14ac:dyDescent="0.35">
      <c r="A5146" s="4">
        <v>4500177837</v>
      </c>
    </row>
    <row r="5147" spans="1:1" x14ac:dyDescent="0.35">
      <c r="A5147" s="4">
        <v>4500177840</v>
      </c>
    </row>
    <row r="5148" spans="1:1" x14ac:dyDescent="0.35">
      <c r="A5148" s="4">
        <v>4500177895</v>
      </c>
    </row>
    <row r="5149" spans="1:1" x14ac:dyDescent="0.35">
      <c r="A5149" s="4">
        <v>4500177969</v>
      </c>
    </row>
    <row r="5150" spans="1:1" x14ac:dyDescent="0.35">
      <c r="A5150" s="4">
        <v>4500177974</v>
      </c>
    </row>
    <row r="5151" spans="1:1" x14ac:dyDescent="0.35">
      <c r="A5151" s="4">
        <v>4500177982</v>
      </c>
    </row>
    <row r="5152" spans="1:1" x14ac:dyDescent="0.35">
      <c r="A5152" s="4">
        <v>4500177988</v>
      </c>
    </row>
    <row r="5153" spans="1:1" x14ac:dyDescent="0.35">
      <c r="A5153" s="4">
        <v>4500177996</v>
      </c>
    </row>
    <row r="5154" spans="1:1" x14ac:dyDescent="0.35">
      <c r="A5154" s="4">
        <v>4500178004</v>
      </c>
    </row>
    <row r="5155" spans="1:1" x14ac:dyDescent="0.35">
      <c r="A5155" s="4">
        <v>4500178006</v>
      </c>
    </row>
    <row r="5156" spans="1:1" x14ac:dyDescent="0.35">
      <c r="A5156" s="4">
        <v>4500178009</v>
      </c>
    </row>
    <row r="5157" spans="1:1" x14ac:dyDescent="0.35">
      <c r="A5157" s="4">
        <v>4500178015</v>
      </c>
    </row>
    <row r="5158" spans="1:1" x14ac:dyDescent="0.35">
      <c r="A5158" s="4">
        <v>4500178026</v>
      </c>
    </row>
    <row r="5159" spans="1:1" x14ac:dyDescent="0.35">
      <c r="A5159" s="4">
        <v>4500178037</v>
      </c>
    </row>
    <row r="5160" spans="1:1" x14ac:dyDescent="0.35">
      <c r="A5160" s="4">
        <v>4500178044</v>
      </c>
    </row>
    <row r="5161" spans="1:1" x14ac:dyDescent="0.35">
      <c r="A5161" s="4">
        <v>4500178049</v>
      </c>
    </row>
    <row r="5162" spans="1:1" x14ac:dyDescent="0.35">
      <c r="A5162" s="4">
        <v>4500178052</v>
      </c>
    </row>
    <row r="5163" spans="1:1" x14ac:dyDescent="0.35">
      <c r="A5163" s="4">
        <v>4500178054</v>
      </c>
    </row>
    <row r="5164" spans="1:1" x14ac:dyDescent="0.35">
      <c r="A5164" s="4">
        <v>4500178057</v>
      </c>
    </row>
    <row r="5165" spans="1:1" x14ac:dyDescent="0.35">
      <c r="A5165" s="4">
        <v>4500178059</v>
      </c>
    </row>
    <row r="5166" spans="1:1" x14ac:dyDescent="0.35">
      <c r="A5166" s="4">
        <v>4500178064</v>
      </c>
    </row>
    <row r="5167" spans="1:1" x14ac:dyDescent="0.35">
      <c r="A5167" s="4">
        <v>4500178074</v>
      </c>
    </row>
    <row r="5168" spans="1:1" x14ac:dyDescent="0.35">
      <c r="A5168" s="4">
        <v>4500178148</v>
      </c>
    </row>
    <row r="5169" spans="1:1" x14ac:dyDescent="0.35">
      <c r="A5169" s="4">
        <v>4500178151</v>
      </c>
    </row>
    <row r="5170" spans="1:1" x14ac:dyDescent="0.35">
      <c r="A5170" s="4">
        <v>4500178155</v>
      </c>
    </row>
    <row r="5171" spans="1:1" x14ac:dyDescent="0.35">
      <c r="A5171" s="4">
        <v>4500178162</v>
      </c>
    </row>
    <row r="5172" spans="1:1" x14ac:dyDescent="0.35">
      <c r="A5172" s="4">
        <v>4500178170</v>
      </c>
    </row>
    <row r="5173" spans="1:1" x14ac:dyDescent="0.35">
      <c r="A5173" s="4">
        <v>4500178172</v>
      </c>
    </row>
    <row r="5174" spans="1:1" x14ac:dyDescent="0.35">
      <c r="A5174" s="4">
        <v>4500178174</v>
      </c>
    </row>
    <row r="5175" spans="1:1" x14ac:dyDescent="0.35">
      <c r="A5175" s="4">
        <v>4500178182</v>
      </c>
    </row>
    <row r="5176" spans="1:1" x14ac:dyDescent="0.35">
      <c r="A5176" s="4">
        <v>4500178189</v>
      </c>
    </row>
    <row r="5177" spans="1:1" x14ac:dyDescent="0.35">
      <c r="A5177" s="4">
        <v>4500178193</v>
      </c>
    </row>
    <row r="5178" spans="1:1" x14ac:dyDescent="0.35">
      <c r="A5178" s="4">
        <v>4500178208</v>
      </c>
    </row>
    <row r="5179" spans="1:1" x14ac:dyDescent="0.35">
      <c r="A5179" s="4">
        <v>4500178215</v>
      </c>
    </row>
    <row r="5180" spans="1:1" x14ac:dyDescent="0.35">
      <c r="A5180" s="4">
        <v>4500178217</v>
      </c>
    </row>
    <row r="5181" spans="1:1" x14ac:dyDescent="0.35">
      <c r="A5181" s="4">
        <v>4500178228</v>
      </c>
    </row>
    <row r="5182" spans="1:1" x14ac:dyDescent="0.35">
      <c r="A5182" s="4">
        <v>4500178232</v>
      </c>
    </row>
    <row r="5183" spans="1:1" x14ac:dyDescent="0.35">
      <c r="A5183" s="4">
        <v>4500178236</v>
      </c>
    </row>
    <row r="5184" spans="1:1" x14ac:dyDescent="0.35">
      <c r="A5184" s="4">
        <v>4500178239</v>
      </c>
    </row>
    <row r="5185" spans="1:1" x14ac:dyDescent="0.35">
      <c r="A5185" s="4">
        <v>4500178245</v>
      </c>
    </row>
    <row r="5186" spans="1:1" x14ac:dyDescent="0.35">
      <c r="A5186" s="4">
        <v>4500178248</v>
      </c>
    </row>
    <row r="5187" spans="1:1" x14ac:dyDescent="0.35">
      <c r="A5187" s="4">
        <v>4500178257</v>
      </c>
    </row>
    <row r="5188" spans="1:1" x14ac:dyDescent="0.35">
      <c r="A5188" s="4">
        <v>4500178258</v>
      </c>
    </row>
    <row r="5189" spans="1:1" x14ac:dyDescent="0.35">
      <c r="A5189" s="4">
        <v>4500178260</v>
      </c>
    </row>
    <row r="5190" spans="1:1" x14ac:dyDescent="0.35">
      <c r="A5190" s="4">
        <v>4500178261</v>
      </c>
    </row>
    <row r="5191" spans="1:1" x14ac:dyDescent="0.35">
      <c r="A5191" s="4">
        <v>4500178262</v>
      </c>
    </row>
    <row r="5192" spans="1:1" x14ac:dyDescent="0.35">
      <c r="A5192" s="4">
        <v>4500178263</v>
      </c>
    </row>
    <row r="5193" spans="1:1" x14ac:dyDescent="0.35">
      <c r="A5193" s="4">
        <v>4500178264</v>
      </c>
    </row>
    <row r="5194" spans="1:1" x14ac:dyDescent="0.35">
      <c r="A5194" s="4">
        <v>4500178266</v>
      </c>
    </row>
    <row r="5195" spans="1:1" x14ac:dyDescent="0.35">
      <c r="A5195" s="4">
        <v>4500178270</v>
      </c>
    </row>
    <row r="5196" spans="1:1" x14ac:dyDescent="0.35">
      <c r="A5196" s="4">
        <v>4500178271</v>
      </c>
    </row>
    <row r="5197" spans="1:1" x14ac:dyDescent="0.35">
      <c r="A5197" s="4">
        <v>4500178351</v>
      </c>
    </row>
    <row r="5198" spans="1:1" x14ac:dyDescent="0.35">
      <c r="A5198" s="4">
        <v>4500178358</v>
      </c>
    </row>
    <row r="5199" spans="1:1" x14ac:dyDescent="0.35">
      <c r="A5199" s="4">
        <v>4500178362</v>
      </c>
    </row>
    <row r="5200" spans="1:1" x14ac:dyDescent="0.35">
      <c r="A5200" s="4">
        <v>4500178366</v>
      </c>
    </row>
    <row r="5201" spans="1:1" x14ac:dyDescent="0.35">
      <c r="A5201" s="4">
        <v>4500178372</v>
      </c>
    </row>
    <row r="5202" spans="1:1" x14ac:dyDescent="0.35">
      <c r="A5202" s="4">
        <v>4500178376</v>
      </c>
    </row>
    <row r="5203" spans="1:1" x14ac:dyDescent="0.35">
      <c r="A5203" s="4">
        <v>4500178382</v>
      </c>
    </row>
    <row r="5204" spans="1:1" x14ac:dyDescent="0.35">
      <c r="A5204" s="4">
        <v>4500178389</v>
      </c>
    </row>
    <row r="5205" spans="1:1" x14ac:dyDescent="0.35">
      <c r="A5205" s="4">
        <v>4500178393</v>
      </c>
    </row>
    <row r="5206" spans="1:1" x14ac:dyDescent="0.35">
      <c r="A5206" s="4">
        <v>4500178397</v>
      </c>
    </row>
    <row r="5207" spans="1:1" x14ac:dyDescent="0.35">
      <c r="A5207" s="4">
        <v>4500178401</v>
      </c>
    </row>
    <row r="5208" spans="1:1" x14ac:dyDescent="0.35">
      <c r="A5208" s="4">
        <v>4500178406</v>
      </c>
    </row>
    <row r="5209" spans="1:1" x14ac:dyDescent="0.35">
      <c r="A5209" s="4">
        <v>4500178411</v>
      </c>
    </row>
    <row r="5210" spans="1:1" x14ac:dyDescent="0.35">
      <c r="A5210" s="4">
        <v>4500178420</v>
      </c>
    </row>
    <row r="5211" spans="1:1" x14ac:dyDescent="0.35">
      <c r="A5211" s="4">
        <v>4500178423</v>
      </c>
    </row>
    <row r="5212" spans="1:1" x14ac:dyDescent="0.35">
      <c r="A5212" s="4">
        <v>4500178429</v>
      </c>
    </row>
    <row r="5213" spans="1:1" x14ac:dyDescent="0.35">
      <c r="A5213" s="4">
        <v>4500178433</v>
      </c>
    </row>
    <row r="5214" spans="1:1" x14ac:dyDescent="0.35">
      <c r="A5214" s="4">
        <v>4500178441</v>
      </c>
    </row>
    <row r="5215" spans="1:1" x14ac:dyDescent="0.35">
      <c r="A5215" s="4">
        <v>4500178444</v>
      </c>
    </row>
    <row r="5216" spans="1:1" x14ac:dyDescent="0.35">
      <c r="A5216" s="4">
        <v>4500178448</v>
      </c>
    </row>
    <row r="5217" spans="1:1" x14ac:dyDescent="0.35">
      <c r="A5217" s="4">
        <v>4500178459</v>
      </c>
    </row>
    <row r="5218" spans="1:1" x14ac:dyDescent="0.35">
      <c r="A5218" s="4">
        <v>4500178462</v>
      </c>
    </row>
    <row r="5219" spans="1:1" x14ac:dyDescent="0.35">
      <c r="A5219" s="4">
        <v>4500178464</v>
      </c>
    </row>
    <row r="5220" spans="1:1" x14ac:dyDescent="0.35">
      <c r="A5220" s="4">
        <v>4500178465</v>
      </c>
    </row>
    <row r="5221" spans="1:1" x14ac:dyDescent="0.35">
      <c r="A5221" s="4">
        <v>4500178470</v>
      </c>
    </row>
    <row r="5222" spans="1:1" x14ac:dyDescent="0.35">
      <c r="A5222" s="4">
        <v>4500178472</v>
      </c>
    </row>
    <row r="5223" spans="1:1" x14ac:dyDescent="0.35">
      <c r="A5223" s="4">
        <v>4500178473</v>
      </c>
    </row>
    <row r="5224" spans="1:1" x14ac:dyDescent="0.35">
      <c r="A5224" s="4">
        <v>4500178475</v>
      </c>
    </row>
    <row r="5225" spans="1:1" x14ac:dyDescent="0.35">
      <c r="A5225" s="4">
        <v>4500178477</v>
      </c>
    </row>
    <row r="5226" spans="1:1" x14ac:dyDescent="0.35">
      <c r="A5226" s="4">
        <v>4500178479</v>
      </c>
    </row>
    <row r="5227" spans="1:1" x14ac:dyDescent="0.35">
      <c r="A5227" s="4">
        <v>4500178480</v>
      </c>
    </row>
    <row r="5228" spans="1:1" x14ac:dyDescent="0.35">
      <c r="A5228" s="4">
        <v>4500178482</v>
      </c>
    </row>
    <row r="5229" spans="1:1" x14ac:dyDescent="0.35">
      <c r="A5229" s="4">
        <v>4500178493</v>
      </c>
    </row>
    <row r="5230" spans="1:1" x14ac:dyDescent="0.35">
      <c r="A5230" s="4">
        <v>4500178496</v>
      </c>
    </row>
    <row r="5231" spans="1:1" x14ac:dyDescent="0.35">
      <c r="A5231" s="4">
        <v>4500178576</v>
      </c>
    </row>
    <row r="5232" spans="1:1" x14ac:dyDescent="0.35">
      <c r="A5232" s="4">
        <v>4500178586</v>
      </c>
    </row>
    <row r="5233" spans="1:1" x14ac:dyDescent="0.35">
      <c r="A5233" s="4">
        <v>4500178591</v>
      </c>
    </row>
    <row r="5234" spans="1:1" x14ac:dyDescent="0.35">
      <c r="A5234" s="4">
        <v>4500178595</v>
      </c>
    </row>
    <row r="5235" spans="1:1" x14ac:dyDescent="0.35">
      <c r="A5235" s="4">
        <v>4500178598</v>
      </c>
    </row>
    <row r="5236" spans="1:1" x14ac:dyDescent="0.35">
      <c r="A5236" s="4">
        <v>4500178613</v>
      </c>
    </row>
    <row r="5237" spans="1:1" x14ac:dyDescent="0.35">
      <c r="A5237" s="4">
        <v>4500178616</v>
      </c>
    </row>
    <row r="5238" spans="1:1" x14ac:dyDescent="0.35">
      <c r="A5238" s="4">
        <v>4500178619</v>
      </c>
    </row>
    <row r="5239" spans="1:1" x14ac:dyDescent="0.35">
      <c r="A5239" s="4">
        <v>4500178624</v>
      </c>
    </row>
    <row r="5240" spans="1:1" x14ac:dyDescent="0.35">
      <c r="A5240" s="4">
        <v>4500178629</v>
      </c>
    </row>
    <row r="5241" spans="1:1" x14ac:dyDescent="0.35">
      <c r="A5241" s="4">
        <v>4500178635</v>
      </c>
    </row>
    <row r="5242" spans="1:1" x14ac:dyDescent="0.35">
      <c r="A5242" s="4">
        <v>4500178639</v>
      </c>
    </row>
    <row r="5243" spans="1:1" x14ac:dyDescent="0.35">
      <c r="A5243" s="4">
        <v>4500178641</v>
      </c>
    </row>
    <row r="5244" spans="1:1" x14ac:dyDescent="0.35">
      <c r="A5244" s="4">
        <v>4500178645</v>
      </c>
    </row>
    <row r="5245" spans="1:1" x14ac:dyDescent="0.35">
      <c r="A5245" s="4">
        <v>4500178647</v>
      </c>
    </row>
    <row r="5246" spans="1:1" x14ac:dyDescent="0.35">
      <c r="A5246" s="4">
        <v>4500178651</v>
      </c>
    </row>
    <row r="5247" spans="1:1" x14ac:dyDescent="0.35">
      <c r="A5247" s="4">
        <v>4500178657</v>
      </c>
    </row>
    <row r="5248" spans="1:1" x14ac:dyDescent="0.35">
      <c r="A5248" s="4">
        <v>4500178662</v>
      </c>
    </row>
    <row r="5249" spans="1:1" x14ac:dyDescent="0.35">
      <c r="A5249" s="4">
        <v>4500178671</v>
      </c>
    </row>
    <row r="5250" spans="1:1" x14ac:dyDescent="0.35">
      <c r="A5250" s="4">
        <v>4500178677</v>
      </c>
    </row>
    <row r="5251" spans="1:1" x14ac:dyDescent="0.35">
      <c r="A5251" s="4">
        <v>4500178680</v>
      </c>
    </row>
    <row r="5252" spans="1:1" x14ac:dyDescent="0.35">
      <c r="A5252" s="4">
        <v>4500178685</v>
      </c>
    </row>
    <row r="5253" spans="1:1" x14ac:dyDescent="0.35">
      <c r="A5253" s="4">
        <v>4500178687</v>
      </c>
    </row>
    <row r="5254" spans="1:1" x14ac:dyDescent="0.35">
      <c r="A5254" s="4">
        <v>4500178698</v>
      </c>
    </row>
    <row r="5255" spans="1:1" x14ac:dyDescent="0.35">
      <c r="A5255" s="4">
        <v>4500178702</v>
      </c>
    </row>
    <row r="5256" spans="1:1" x14ac:dyDescent="0.35">
      <c r="A5256" s="4">
        <v>4500178705</v>
      </c>
    </row>
    <row r="5257" spans="1:1" x14ac:dyDescent="0.35">
      <c r="A5257" s="4">
        <v>4500178708</v>
      </c>
    </row>
    <row r="5258" spans="1:1" x14ac:dyDescent="0.35">
      <c r="A5258" s="4">
        <v>4500178713</v>
      </c>
    </row>
    <row r="5259" spans="1:1" x14ac:dyDescent="0.35">
      <c r="A5259" s="4">
        <v>4500178714</v>
      </c>
    </row>
    <row r="5260" spans="1:1" x14ac:dyDescent="0.35">
      <c r="A5260" s="4">
        <v>4500178716</v>
      </c>
    </row>
    <row r="5261" spans="1:1" x14ac:dyDescent="0.35">
      <c r="A5261" s="4">
        <v>4500178719</v>
      </c>
    </row>
    <row r="5262" spans="1:1" x14ac:dyDescent="0.35">
      <c r="A5262" s="4">
        <v>4500178731</v>
      </c>
    </row>
    <row r="5263" spans="1:1" x14ac:dyDescent="0.35">
      <c r="A5263" s="4">
        <v>4500178733</v>
      </c>
    </row>
    <row r="5264" spans="1:1" x14ac:dyDescent="0.35">
      <c r="A5264" s="4">
        <v>4500178736</v>
      </c>
    </row>
    <row r="5265" spans="1:1" x14ac:dyDescent="0.35">
      <c r="A5265" s="4">
        <v>4500178737</v>
      </c>
    </row>
    <row r="5266" spans="1:1" x14ac:dyDescent="0.35">
      <c r="A5266" s="4">
        <v>4500178808</v>
      </c>
    </row>
    <row r="5267" spans="1:1" x14ac:dyDescent="0.35">
      <c r="A5267" s="4">
        <v>4500178812</v>
      </c>
    </row>
    <row r="5268" spans="1:1" x14ac:dyDescent="0.35">
      <c r="A5268" s="4">
        <v>4500178817</v>
      </c>
    </row>
    <row r="5269" spans="1:1" x14ac:dyDescent="0.35">
      <c r="A5269" s="4">
        <v>4500178821</v>
      </c>
    </row>
    <row r="5270" spans="1:1" x14ac:dyDescent="0.35">
      <c r="A5270" s="4">
        <v>4500178827</v>
      </c>
    </row>
    <row r="5271" spans="1:1" x14ac:dyDescent="0.35">
      <c r="A5271" s="4">
        <v>4500178832</v>
      </c>
    </row>
    <row r="5272" spans="1:1" x14ac:dyDescent="0.35">
      <c r="A5272" s="4">
        <v>4500178838</v>
      </c>
    </row>
    <row r="5273" spans="1:1" x14ac:dyDescent="0.35">
      <c r="A5273" s="4">
        <v>4500178843</v>
      </c>
    </row>
    <row r="5274" spans="1:1" x14ac:dyDescent="0.35">
      <c r="A5274" s="4">
        <v>4500178847</v>
      </c>
    </row>
    <row r="5275" spans="1:1" x14ac:dyDescent="0.35">
      <c r="A5275" s="4">
        <v>4500178849</v>
      </c>
    </row>
    <row r="5276" spans="1:1" x14ac:dyDescent="0.35">
      <c r="A5276" s="4">
        <v>4500178852</v>
      </c>
    </row>
    <row r="5277" spans="1:1" x14ac:dyDescent="0.35">
      <c r="A5277" s="4">
        <v>4500178855</v>
      </c>
    </row>
    <row r="5278" spans="1:1" x14ac:dyDescent="0.35">
      <c r="A5278" s="4">
        <v>4500178859</v>
      </c>
    </row>
    <row r="5279" spans="1:1" x14ac:dyDescent="0.35">
      <c r="A5279" s="4">
        <v>4500178863</v>
      </c>
    </row>
    <row r="5280" spans="1:1" x14ac:dyDescent="0.35">
      <c r="A5280" s="4">
        <v>4500178867</v>
      </c>
    </row>
    <row r="5281" spans="1:1" x14ac:dyDescent="0.35">
      <c r="A5281" s="4">
        <v>4500178869</v>
      </c>
    </row>
    <row r="5282" spans="1:1" x14ac:dyDescent="0.35">
      <c r="A5282" s="4">
        <v>4500178874</v>
      </c>
    </row>
    <row r="5283" spans="1:1" x14ac:dyDescent="0.35">
      <c r="A5283" s="4">
        <v>4500178878</v>
      </c>
    </row>
    <row r="5284" spans="1:1" x14ac:dyDescent="0.35">
      <c r="A5284" s="4">
        <v>4500178880</v>
      </c>
    </row>
    <row r="5285" spans="1:1" x14ac:dyDescent="0.35">
      <c r="A5285" s="4">
        <v>4500178883</v>
      </c>
    </row>
    <row r="5286" spans="1:1" x14ac:dyDescent="0.35">
      <c r="A5286" s="4">
        <v>4500178888</v>
      </c>
    </row>
    <row r="5287" spans="1:1" x14ac:dyDescent="0.35">
      <c r="A5287" s="4">
        <v>4500178894</v>
      </c>
    </row>
    <row r="5288" spans="1:1" x14ac:dyDescent="0.35">
      <c r="A5288" s="4">
        <v>4500178897</v>
      </c>
    </row>
    <row r="5289" spans="1:1" x14ac:dyDescent="0.35">
      <c r="A5289" s="4">
        <v>4500178899</v>
      </c>
    </row>
    <row r="5290" spans="1:1" x14ac:dyDescent="0.35">
      <c r="A5290" s="4">
        <v>4500178901</v>
      </c>
    </row>
    <row r="5291" spans="1:1" x14ac:dyDescent="0.35">
      <c r="A5291" s="4">
        <v>4500178903</v>
      </c>
    </row>
    <row r="5292" spans="1:1" x14ac:dyDescent="0.35">
      <c r="A5292" s="4">
        <v>4500178905</v>
      </c>
    </row>
    <row r="5293" spans="1:1" x14ac:dyDescent="0.35">
      <c r="A5293" s="4">
        <v>4500178907</v>
      </c>
    </row>
    <row r="5294" spans="1:1" x14ac:dyDescent="0.35">
      <c r="A5294" s="4">
        <v>4500178920</v>
      </c>
    </row>
    <row r="5295" spans="1:1" x14ac:dyDescent="0.35">
      <c r="A5295" s="4">
        <v>4500178998</v>
      </c>
    </row>
    <row r="5296" spans="1:1" x14ac:dyDescent="0.35">
      <c r="A5296" s="4">
        <v>4500179001</v>
      </c>
    </row>
    <row r="5297" spans="1:1" x14ac:dyDescent="0.35">
      <c r="A5297" s="4">
        <v>4500179004</v>
      </c>
    </row>
    <row r="5298" spans="1:1" x14ac:dyDescent="0.35">
      <c r="A5298" s="4">
        <v>4500179012</v>
      </c>
    </row>
    <row r="5299" spans="1:1" x14ac:dyDescent="0.35">
      <c r="A5299" s="4">
        <v>4500179021</v>
      </c>
    </row>
    <row r="5300" spans="1:1" x14ac:dyDescent="0.35">
      <c r="A5300" s="4">
        <v>4500179026</v>
      </c>
    </row>
    <row r="5301" spans="1:1" x14ac:dyDescent="0.35">
      <c r="A5301" s="4">
        <v>4500179037</v>
      </c>
    </row>
    <row r="5302" spans="1:1" x14ac:dyDescent="0.35">
      <c r="A5302" s="4">
        <v>4500179046</v>
      </c>
    </row>
    <row r="5303" spans="1:1" x14ac:dyDescent="0.35">
      <c r="A5303" s="4">
        <v>4500179055</v>
      </c>
    </row>
    <row r="5304" spans="1:1" x14ac:dyDescent="0.35">
      <c r="A5304" s="4">
        <v>4500179063</v>
      </c>
    </row>
    <row r="5305" spans="1:1" x14ac:dyDescent="0.35">
      <c r="A5305" s="4">
        <v>4500179068</v>
      </c>
    </row>
    <row r="5306" spans="1:1" x14ac:dyDescent="0.35">
      <c r="A5306" s="4">
        <v>4500179074</v>
      </c>
    </row>
    <row r="5307" spans="1:1" x14ac:dyDescent="0.35">
      <c r="A5307" s="4">
        <v>4500179090</v>
      </c>
    </row>
    <row r="5308" spans="1:1" x14ac:dyDescent="0.35">
      <c r="A5308" s="4">
        <v>4500179094</v>
      </c>
    </row>
    <row r="5309" spans="1:1" x14ac:dyDescent="0.35">
      <c r="A5309" s="4">
        <v>4500179098</v>
      </c>
    </row>
    <row r="5310" spans="1:1" x14ac:dyDescent="0.35">
      <c r="A5310" s="4">
        <v>4500179102</v>
      </c>
    </row>
    <row r="5311" spans="1:1" x14ac:dyDescent="0.35">
      <c r="A5311" s="4">
        <v>4500179112</v>
      </c>
    </row>
    <row r="5312" spans="1:1" x14ac:dyDescent="0.35">
      <c r="A5312" s="4">
        <v>4500179114</v>
      </c>
    </row>
    <row r="5313" spans="1:1" x14ac:dyDescent="0.35">
      <c r="A5313" s="4">
        <v>4500179116</v>
      </c>
    </row>
    <row r="5314" spans="1:1" x14ac:dyDescent="0.35">
      <c r="A5314" s="4">
        <v>4500179118</v>
      </c>
    </row>
    <row r="5315" spans="1:1" x14ac:dyDescent="0.35">
      <c r="A5315" s="4">
        <v>4500179119</v>
      </c>
    </row>
    <row r="5316" spans="1:1" x14ac:dyDescent="0.35">
      <c r="A5316" s="4">
        <v>4500179120</v>
      </c>
    </row>
    <row r="5317" spans="1:1" x14ac:dyDescent="0.35">
      <c r="A5317" s="4">
        <v>4500179121</v>
      </c>
    </row>
    <row r="5318" spans="1:1" x14ac:dyDescent="0.35">
      <c r="A5318" s="4">
        <v>4500179122</v>
      </c>
    </row>
    <row r="5319" spans="1:1" x14ac:dyDescent="0.35">
      <c r="A5319" s="4">
        <v>4500179123</v>
      </c>
    </row>
    <row r="5320" spans="1:1" x14ac:dyDescent="0.35">
      <c r="A5320" s="4">
        <v>4500179125</v>
      </c>
    </row>
    <row r="5321" spans="1:1" x14ac:dyDescent="0.35">
      <c r="A5321" s="4">
        <v>4500179126</v>
      </c>
    </row>
    <row r="5322" spans="1:1" x14ac:dyDescent="0.35">
      <c r="A5322" s="4">
        <v>4500179239</v>
      </c>
    </row>
    <row r="5323" spans="1:1" x14ac:dyDescent="0.35">
      <c r="A5323" s="4">
        <v>4500179242</v>
      </c>
    </row>
    <row r="5324" spans="1:1" x14ac:dyDescent="0.35">
      <c r="A5324" s="4">
        <v>4500179245</v>
      </c>
    </row>
    <row r="5325" spans="1:1" x14ac:dyDescent="0.35">
      <c r="A5325" s="4">
        <v>4500179247</v>
      </c>
    </row>
    <row r="5326" spans="1:1" x14ac:dyDescent="0.35">
      <c r="A5326" s="4">
        <v>4500179252</v>
      </c>
    </row>
    <row r="5327" spans="1:1" x14ac:dyDescent="0.35">
      <c r="A5327" s="4">
        <v>4500179254</v>
      </c>
    </row>
    <row r="5328" spans="1:1" x14ac:dyDescent="0.35">
      <c r="A5328" s="4">
        <v>4500179257</v>
      </c>
    </row>
    <row r="5329" spans="1:1" x14ac:dyDescent="0.35">
      <c r="A5329" s="4">
        <v>4500179260</v>
      </c>
    </row>
    <row r="5330" spans="1:1" x14ac:dyDescent="0.35">
      <c r="A5330" s="4">
        <v>4500179267</v>
      </c>
    </row>
    <row r="5331" spans="1:1" x14ac:dyDescent="0.35">
      <c r="A5331" s="4">
        <v>4500179272</v>
      </c>
    </row>
    <row r="5332" spans="1:1" x14ac:dyDescent="0.35">
      <c r="A5332" s="4">
        <v>4500179279</v>
      </c>
    </row>
    <row r="5333" spans="1:1" x14ac:dyDescent="0.35">
      <c r="A5333" s="4">
        <v>4500179284</v>
      </c>
    </row>
    <row r="5334" spans="1:1" x14ac:dyDescent="0.35">
      <c r="A5334" s="4">
        <v>4500179288</v>
      </c>
    </row>
    <row r="5335" spans="1:1" x14ac:dyDescent="0.35">
      <c r="A5335" s="4">
        <v>4500179296</v>
      </c>
    </row>
    <row r="5336" spans="1:1" x14ac:dyDescent="0.35">
      <c r="A5336" s="4">
        <v>4500179299</v>
      </c>
    </row>
    <row r="5337" spans="1:1" x14ac:dyDescent="0.35">
      <c r="A5337" s="4">
        <v>4500179315</v>
      </c>
    </row>
    <row r="5338" spans="1:1" x14ac:dyDescent="0.35">
      <c r="A5338" s="4">
        <v>4500179321</v>
      </c>
    </row>
    <row r="5339" spans="1:1" x14ac:dyDescent="0.35">
      <c r="A5339" s="4">
        <v>4500179322</v>
      </c>
    </row>
    <row r="5340" spans="1:1" x14ac:dyDescent="0.35">
      <c r="A5340" s="4">
        <v>4500179324</v>
      </c>
    </row>
    <row r="5341" spans="1:1" x14ac:dyDescent="0.35">
      <c r="A5341" s="4">
        <v>4500179326</v>
      </c>
    </row>
    <row r="5342" spans="1:1" x14ac:dyDescent="0.35">
      <c r="A5342" s="4">
        <v>4500179327</v>
      </c>
    </row>
    <row r="5343" spans="1:1" x14ac:dyDescent="0.35">
      <c r="A5343" s="4">
        <v>4500179328</v>
      </c>
    </row>
    <row r="5344" spans="1:1" x14ac:dyDescent="0.35">
      <c r="A5344" s="4">
        <v>4500179329</v>
      </c>
    </row>
    <row r="5345" spans="1:1" x14ac:dyDescent="0.35">
      <c r="A5345" s="4">
        <v>4500179331</v>
      </c>
    </row>
    <row r="5346" spans="1:1" x14ac:dyDescent="0.35">
      <c r="A5346" s="4">
        <v>4500179439</v>
      </c>
    </row>
    <row r="5347" spans="1:1" x14ac:dyDescent="0.35">
      <c r="A5347" s="4">
        <v>4500179442</v>
      </c>
    </row>
    <row r="5348" spans="1:1" x14ac:dyDescent="0.35">
      <c r="A5348" s="4">
        <v>4500179446</v>
      </c>
    </row>
    <row r="5349" spans="1:1" x14ac:dyDescent="0.35">
      <c r="A5349" s="4">
        <v>4500179451</v>
      </c>
    </row>
    <row r="5350" spans="1:1" x14ac:dyDescent="0.35">
      <c r="A5350" s="4">
        <v>4500179463</v>
      </c>
    </row>
    <row r="5351" spans="1:1" x14ac:dyDescent="0.35">
      <c r="A5351" s="4">
        <v>4500179467</v>
      </c>
    </row>
    <row r="5352" spans="1:1" x14ac:dyDescent="0.35">
      <c r="A5352" s="4">
        <v>4500179474</v>
      </c>
    </row>
    <row r="5353" spans="1:1" x14ac:dyDescent="0.35">
      <c r="A5353" s="4">
        <v>4500179477</v>
      </c>
    </row>
    <row r="5354" spans="1:1" x14ac:dyDescent="0.35">
      <c r="A5354" s="4">
        <v>4500179480</v>
      </c>
    </row>
    <row r="5355" spans="1:1" x14ac:dyDescent="0.35">
      <c r="A5355" s="4">
        <v>4500179485</v>
      </c>
    </row>
    <row r="5356" spans="1:1" x14ac:dyDescent="0.35">
      <c r="A5356" s="4">
        <v>4500179492</v>
      </c>
    </row>
    <row r="5357" spans="1:1" x14ac:dyDescent="0.35">
      <c r="A5357" s="4">
        <v>4500179495</v>
      </c>
    </row>
    <row r="5358" spans="1:1" x14ac:dyDescent="0.35">
      <c r="A5358" s="4">
        <v>4500179496</v>
      </c>
    </row>
    <row r="5359" spans="1:1" x14ac:dyDescent="0.35">
      <c r="A5359" s="4">
        <v>4500179502</v>
      </c>
    </row>
    <row r="5360" spans="1:1" x14ac:dyDescent="0.35">
      <c r="A5360" s="4">
        <v>4500179506</v>
      </c>
    </row>
    <row r="5361" spans="1:1" x14ac:dyDescent="0.35">
      <c r="A5361" s="4">
        <v>4500179508</v>
      </c>
    </row>
    <row r="5362" spans="1:1" x14ac:dyDescent="0.35">
      <c r="A5362" s="4">
        <v>4500179511</v>
      </c>
    </row>
    <row r="5363" spans="1:1" x14ac:dyDescent="0.35">
      <c r="A5363" s="4">
        <v>4500179518</v>
      </c>
    </row>
    <row r="5364" spans="1:1" x14ac:dyDescent="0.35">
      <c r="A5364" s="4">
        <v>4500179520</v>
      </c>
    </row>
    <row r="5365" spans="1:1" x14ac:dyDescent="0.35">
      <c r="A5365" s="4">
        <v>4500179522</v>
      </c>
    </row>
    <row r="5366" spans="1:1" x14ac:dyDescent="0.35">
      <c r="A5366" s="4">
        <v>4500179523</v>
      </c>
    </row>
    <row r="5367" spans="1:1" x14ac:dyDescent="0.35">
      <c r="A5367" s="4">
        <v>4500179524</v>
      </c>
    </row>
    <row r="5368" spans="1:1" x14ac:dyDescent="0.35">
      <c r="A5368" s="4">
        <v>4500179525</v>
      </c>
    </row>
    <row r="5369" spans="1:1" x14ac:dyDescent="0.35">
      <c r="A5369" s="4">
        <v>4500179526</v>
      </c>
    </row>
    <row r="5370" spans="1:1" x14ac:dyDescent="0.35">
      <c r="A5370" s="4">
        <v>4500179527</v>
      </c>
    </row>
    <row r="5371" spans="1:1" x14ac:dyDescent="0.35">
      <c r="A5371" s="4">
        <v>4500179528</v>
      </c>
    </row>
    <row r="5372" spans="1:1" x14ac:dyDescent="0.35">
      <c r="A5372" s="4">
        <v>4500179529</v>
      </c>
    </row>
    <row r="5373" spans="1:1" x14ac:dyDescent="0.35">
      <c r="A5373" s="4">
        <v>4500179530</v>
      </c>
    </row>
    <row r="5374" spans="1:1" x14ac:dyDescent="0.35">
      <c r="A5374" s="4">
        <v>4500179531</v>
      </c>
    </row>
    <row r="5375" spans="1:1" x14ac:dyDescent="0.35">
      <c r="A5375" s="4">
        <v>4500179532</v>
      </c>
    </row>
    <row r="5376" spans="1:1" x14ac:dyDescent="0.35">
      <c r="A5376" s="4">
        <v>4500179533</v>
      </c>
    </row>
    <row r="5377" spans="1:1" x14ac:dyDescent="0.35">
      <c r="A5377" s="4">
        <v>4500179534</v>
      </c>
    </row>
    <row r="5378" spans="1:1" x14ac:dyDescent="0.35">
      <c r="A5378" s="4">
        <v>4500179602</v>
      </c>
    </row>
    <row r="5379" spans="1:1" x14ac:dyDescent="0.35">
      <c r="A5379" s="4">
        <v>4500179691</v>
      </c>
    </row>
    <row r="5380" spans="1:1" x14ac:dyDescent="0.35">
      <c r="A5380" s="4">
        <v>4500179693</v>
      </c>
    </row>
    <row r="5381" spans="1:1" x14ac:dyDescent="0.35">
      <c r="A5381" s="4">
        <v>4500179696</v>
      </c>
    </row>
    <row r="5382" spans="1:1" x14ac:dyDescent="0.35">
      <c r="A5382" s="4">
        <v>4500179699</v>
      </c>
    </row>
    <row r="5383" spans="1:1" x14ac:dyDescent="0.35">
      <c r="A5383" s="4">
        <v>4500179703</v>
      </c>
    </row>
    <row r="5384" spans="1:1" x14ac:dyDescent="0.35">
      <c r="A5384" s="4">
        <v>4500179709</v>
      </c>
    </row>
    <row r="5385" spans="1:1" x14ac:dyDescent="0.35">
      <c r="A5385" s="4">
        <v>4500179713</v>
      </c>
    </row>
    <row r="5386" spans="1:1" x14ac:dyDescent="0.35">
      <c r="A5386" s="4">
        <v>4500179715</v>
      </c>
    </row>
    <row r="5387" spans="1:1" x14ac:dyDescent="0.35">
      <c r="A5387" s="4">
        <v>4500179718</v>
      </c>
    </row>
    <row r="5388" spans="1:1" x14ac:dyDescent="0.35">
      <c r="A5388" s="4">
        <v>4500179721</v>
      </c>
    </row>
    <row r="5389" spans="1:1" x14ac:dyDescent="0.35">
      <c r="A5389" s="4">
        <v>4500179723</v>
      </c>
    </row>
    <row r="5390" spans="1:1" x14ac:dyDescent="0.35">
      <c r="A5390" s="4">
        <v>4500179725</v>
      </c>
    </row>
    <row r="5391" spans="1:1" x14ac:dyDescent="0.35">
      <c r="A5391" s="4">
        <v>4500179728</v>
      </c>
    </row>
    <row r="5392" spans="1:1" x14ac:dyDescent="0.35">
      <c r="A5392" s="4">
        <v>4500179730</v>
      </c>
    </row>
    <row r="5393" spans="1:1" x14ac:dyDescent="0.35">
      <c r="A5393" s="4">
        <v>4500179733</v>
      </c>
    </row>
    <row r="5394" spans="1:1" x14ac:dyDescent="0.35">
      <c r="A5394" s="4">
        <v>4500179736</v>
      </c>
    </row>
    <row r="5395" spans="1:1" x14ac:dyDescent="0.35">
      <c r="A5395" s="4">
        <v>4500179737</v>
      </c>
    </row>
    <row r="5396" spans="1:1" x14ac:dyDescent="0.35">
      <c r="A5396" s="4">
        <v>4500179740</v>
      </c>
    </row>
    <row r="5397" spans="1:1" x14ac:dyDescent="0.35">
      <c r="A5397" s="4">
        <v>4500179744</v>
      </c>
    </row>
    <row r="5398" spans="1:1" x14ac:dyDescent="0.35">
      <c r="A5398" s="4">
        <v>4500179747</v>
      </c>
    </row>
    <row r="5399" spans="1:1" x14ac:dyDescent="0.35">
      <c r="A5399" s="4">
        <v>4500179749</v>
      </c>
    </row>
    <row r="5400" spans="1:1" x14ac:dyDescent="0.35">
      <c r="A5400" s="4">
        <v>4500179751</v>
      </c>
    </row>
    <row r="5401" spans="1:1" x14ac:dyDescent="0.35">
      <c r="A5401" s="4">
        <v>4500179752</v>
      </c>
    </row>
    <row r="5402" spans="1:1" x14ac:dyDescent="0.35">
      <c r="A5402" s="4">
        <v>4500179753</v>
      </c>
    </row>
    <row r="5403" spans="1:1" x14ac:dyDescent="0.35">
      <c r="A5403" s="4">
        <v>4500179754</v>
      </c>
    </row>
    <row r="5404" spans="1:1" x14ac:dyDescent="0.35">
      <c r="A5404" s="4">
        <v>4500179755</v>
      </c>
    </row>
    <row r="5405" spans="1:1" x14ac:dyDescent="0.35">
      <c r="A5405" s="4">
        <v>4500179757</v>
      </c>
    </row>
    <row r="5406" spans="1:1" x14ac:dyDescent="0.35">
      <c r="A5406" s="4">
        <v>4500179758</v>
      </c>
    </row>
    <row r="5407" spans="1:1" x14ac:dyDescent="0.35">
      <c r="A5407" s="4">
        <v>4500179759</v>
      </c>
    </row>
    <row r="5408" spans="1:1" x14ac:dyDescent="0.35">
      <c r="A5408" s="4">
        <v>4500179760</v>
      </c>
    </row>
    <row r="5409" spans="1:1" x14ac:dyDescent="0.35">
      <c r="A5409" s="4">
        <v>4500179761</v>
      </c>
    </row>
    <row r="5410" spans="1:1" x14ac:dyDescent="0.35">
      <c r="A5410" s="4">
        <v>4500179762</v>
      </c>
    </row>
    <row r="5411" spans="1:1" x14ac:dyDescent="0.35">
      <c r="A5411" s="4">
        <v>4500179766</v>
      </c>
    </row>
    <row r="5412" spans="1:1" x14ac:dyDescent="0.35">
      <c r="A5412" s="4">
        <v>4500179852</v>
      </c>
    </row>
    <row r="5413" spans="1:1" x14ac:dyDescent="0.35">
      <c r="A5413" s="4">
        <v>4500179854</v>
      </c>
    </row>
    <row r="5414" spans="1:1" x14ac:dyDescent="0.35">
      <c r="A5414" s="4">
        <v>4500179858</v>
      </c>
    </row>
    <row r="5415" spans="1:1" x14ac:dyDescent="0.35">
      <c r="A5415" s="4">
        <v>4500179860</v>
      </c>
    </row>
    <row r="5416" spans="1:1" x14ac:dyDescent="0.35">
      <c r="A5416" s="4">
        <v>4500179862</v>
      </c>
    </row>
    <row r="5417" spans="1:1" x14ac:dyDescent="0.35">
      <c r="A5417" s="4">
        <v>4500179864</v>
      </c>
    </row>
    <row r="5418" spans="1:1" x14ac:dyDescent="0.35">
      <c r="A5418" s="4">
        <v>4500179867</v>
      </c>
    </row>
    <row r="5419" spans="1:1" x14ac:dyDescent="0.35">
      <c r="A5419" s="4">
        <v>4500179869</v>
      </c>
    </row>
    <row r="5420" spans="1:1" x14ac:dyDescent="0.35">
      <c r="A5420" s="4">
        <v>4500179872</v>
      </c>
    </row>
    <row r="5421" spans="1:1" x14ac:dyDescent="0.35">
      <c r="A5421" s="4">
        <v>4500179880</v>
      </c>
    </row>
    <row r="5422" spans="1:1" x14ac:dyDescent="0.35">
      <c r="A5422" s="4">
        <v>4500179888</v>
      </c>
    </row>
    <row r="5423" spans="1:1" x14ac:dyDescent="0.35">
      <c r="A5423" s="4">
        <v>4500179892</v>
      </c>
    </row>
    <row r="5424" spans="1:1" x14ac:dyDescent="0.35">
      <c r="A5424" s="4">
        <v>4500179895</v>
      </c>
    </row>
    <row r="5425" spans="1:1" x14ac:dyDescent="0.35">
      <c r="A5425" s="4">
        <v>4500179898</v>
      </c>
    </row>
    <row r="5426" spans="1:1" x14ac:dyDescent="0.35">
      <c r="A5426" s="4">
        <v>4500179907</v>
      </c>
    </row>
    <row r="5427" spans="1:1" x14ac:dyDescent="0.35">
      <c r="A5427" s="4">
        <v>4500179918</v>
      </c>
    </row>
    <row r="5428" spans="1:1" x14ac:dyDescent="0.35">
      <c r="A5428" s="4">
        <v>4500179922</v>
      </c>
    </row>
    <row r="5429" spans="1:1" x14ac:dyDescent="0.35">
      <c r="A5429" s="4">
        <v>4500179925</v>
      </c>
    </row>
    <row r="5430" spans="1:1" x14ac:dyDescent="0.35">
      <c r="A5430" s="4">
        <v>4500179928</v>
      </c>
    </row>
    <row r="5431" spans="1:1" x14ac:dyDescent="0.35">
      <c r="A5431" s="4">
        <v>4500179932</v>
      </c>
    </row>
    <row r="5432" spans="1:1" x14ac:dyDescent="0.35">
      <c r="A5432" s="4">
        <v>4500179938</v>
      </c>
    </row>
    <row r="5433" spans="1:1" x14ac:dyDescent="0.35">
      <c r="A5433" s="4">
        <v>4500179941</v>
      </c>
    </row>
    <row r="5434" spans="1:1" x14ac:dyDescent="0.35">
      <c r="A5434" s="4">
        <v>4500180023</v>
      </c>
    </row>
    <row r="5435" spans="1:1" x14ac:dyDescent="0.35">
      <c r="A5435" s="4">
        <v>4500180027</v>
      </c>
    </row>
    <row r="5436" spans="1:1" x14ac:dyDescent="0.35">
      <c r="A5436" s="4">
        <v>4500180040</v>
      </c>
    </row>
    <row r="5437" spans="1:1" x14ac:dyDescent="0.35">
      <c r="A5437" s="4">
        <v>4500180048</v>
      </c>
    </row>
    <row r="5438" spans="1:1" x14ac:dyDescent="0.35">
      <c r="A5438" s="4">
        <v>4500180052</v>
      </c>
    </row>
    <row r="5439" spans="1:1" x14ac:dyDescent="0.35">
      <c r="A5439" s="4">
        <v>4500180056</v>
      </c>
    </row>
    <row r="5440" spans="1:1" x14ac:dyDescent="0.35">
      <c r="A5440" s="4">
        <v>4500180060</v>
      </c>
    </row>
    <row r="5441" spans="1:1" x14ac:dyDescent="0.35">
      <c r="A5441" s="4">
        <v>4500180062</v>
      </c>
    </row>
    <row r="5442" spans="1:1" x14ac:dyDescent="0.35">
      <c r="A5442" s="4">
        <v>4500180070</v>
      </c>
    </row>
    <row r="5443" spans="1:1" x14ac:dyDescent="0.35">
      <c r="A5443" s="4">
        <v>4500180074</v>
      </c>
    </row>
    <row r="5444" spans="1:1" x14ac:dyDescent="0.35">
      <c r="A5444" s="4">
        <v>4500180081</v>
      </c>
    </row>
    <row r="5445" spans="1:1" x14ac:dyDescent="0.35">
      <c r="A5445" s="4">
        <v>4500180088</v>
      </c>
    </row>
    <row r="5446" spans="1:1" x14ac:dyDescent="0.35">
      <c r="A5446" s="4">
        <v>4500180092</v>
      </c>
    </row>
    <row r="5447" spans="1:1" x14ac:dyDescent="0.35">
      <c r="A5447" s="4">
        <v>4500180095</v>
      </c>
    </row>
    <row r="5448" spans="1:1" x14ac:dyDescent="0.35">
      <c r="A5448" s="4">
        <v>4500180099</v>
      </c>
    </row>
    <row r="5449" spans="1:1" x14ac:dyDescent="0.35">
      <c r="A5449" s="4">
        <v>4500180104</v>
      </c>
    </row>
    <row r="5450" spans="1:1" x14ac:dyDescent="0.35">
      <c r="A5450" s="4">
        <v>4500180110</v>
      </c>
    </row>
    <row r="5451" spans="1:1" x14ac:dyDescent="0.35">
      <c r="A5451" s="4">
        <v>4500180113</v>
      </c>
    </row>
    <row r="5452" spans="1:1" x14ac:dyDescent="0.35">
      <c r="A5452" s="4">
        <v>4500180116</v>
      </c>
    </row>
    <row r="5453" spans="1:1" x14ac:dyDescent="0.35">
      <c r="A5453" s="4">
        <v>4500180118</v>
      </c>
    </row>
    <row r="5454" spans="1:1" x14ac:dyDescent="0.35">
      <c r="A5454" s="4">
        <v>4500180137</v>
      </c>
    </row>
    <row r="5455" spans="1:1" x14ac:dyDescent="0.35">
      <c r="A5455" s="4">
        <v>4500180138</v>
      </c>
    </row>
    <row r="5456" spans="1:1" x14ac:dyDescent="0.35">
      <c r="A5456" s="4">
        <v>4500180140</v>
      </c>
    </row>
    <row r="5457" spans="1:1" x14ac:dyDescent="0.35">
      <c r="A5457" s="4">
        <v>4500180141</v>
      </c>
    </row>
    <row r="5458" spans="1:1" x14ac:dyDescent="0.35">
      <c r="A5458" s="4">
        <v>4500180143</v>
      </c>
    </row>
    <row r="5459" spans="1:1" x14ac:dyDescent="0.35">
      <c r="A5459" s="4">
        <v>4500180144</v>
      </c>
    </row>
    <row r="5460" spans="1:1" x14ac:dyDescent="0.35">
      <c r="A5460" s="4">
        <v>4500180145</v>
      </c>
    </row>
    <row r="5461" spans="1:1" x14ac:dyDescent="0.35">
      <c r="A5461" s="4">
        <v>4500180146</v>
      </c>
    </row>
    <row r="5462" spans="1:1" x14ac:dyDescent="0.35">
      <c r="A5462" s="4">
        <v>4500180147</v>
      </c>
    </row>
    <row r="5463" spans="1:1" x14ac:dyDescent="0.35">
      <c r="A5463" s="4">
        <v>4500180148</v>
      </c>
    </row>
    <row r="5464" spans="1:1" x14ac:dyDescent="0.35">
      <c r="A5464" s="4">
        <v>4500180149</v>
      </c>
    </row>
    <row r="5465" spans="1:1" x14ac:dyDescent="0.35">
      <c r="A5465" s="4">
        <v>4500180150</v>
      </c>
    </row>
    <row r="5466" spans="1:1" x14ac:dyDescent="0.35">
      <c r="A5466" s="4">
        <v>4500180151</v>
      </c>
    </row>
    <row r="5467" spans="1:1" x14ac:dyDescent="0.35">
      <c r="A5467" s="4">
        <v>4500180152</v>
      </c>
    </row>
    <row r="5468" spans="1:1" x14ac:dyDescent="0.35">
      <c r="A5468" s="4">
        <v>4500180153</v>
      </c>
    </row>
    <row r="5469" spans="1:1" x14ac:dyDescent="0.35">
      <c r="A5469" s="4">
        <v>4500180216</v>
      </c>
    </row>
    <row r="5470" spans="1:1" x14ac:dyDescent="0.35">
      <c r="A5470" s="4">
        <v>4500180240</v>
      </c>
    </row>
    <row r="5471" spans="1:1" x14ac:dyDescent="0.35">
      <c r="A5471" s="4">
        <v>4500180247</v>
      </c>
    </row>
    <row r="5472" spans="1:1" x14ac:dyDescent="0.35">
      <c r="A5472" s="4">
        <v>4500180249</v>
      </c>
    </row>
    <row r="5473" spans="1:1" x14ac:dyDescent="0.35">
      <c r="A5473" s="4">
        <v>4500180256</v>
      </c>
    </row>
    <row r="5474" spans="1:1" x14ac:dyDescent="0.35">
      <c r="A5474" s="4">
        <v>4500180261</v>
      </c>
    </row>
    <row r="5475" spans="1:1" x14ac:dyDescent="0.35">
      <c r="A5475" s="4">
        <v>4500180263</v>
      </c>
    </row>
    <row r="5476" spans="1:1" x14ac:dyDescent="0.35">
      <c r="A5476" s="4">
        <v>4500180264</v>
      </c>
    </row>
    <row r="5477" spans="1:1" x14ac:dyDescent="0.35">
      <c r="A5477" s="4">
        <v>4500180267</v>
      </c>
    </row>
    <row r="5478" spans="1:1" x14ac:dyDescent="0.35">
      <c r="A5478" s="4">
        <v>4500180271</v>
      </c>
    </row>
    <row r="5479" spans="1:1" x14ac:dyDescent="0.35">
      <c r="A5479" s="4">
        <v>4500180274</v>
      </c>
    </row>
    <row r="5480" spans="1:1" x14ac:dyDescent="0.35">
      <c r="A5480" s="4">
        <v>4500180283</v>
      </c>
    </row>
    <row r="5481" spans="1:1" x14ac:dyDescent="0.35">
      <c r="A5481" s="4">
        <v>4500180286</v>
      </c>
    </row>
    <row r="5482" spans="1:1" x14ac:dyDescent="0.35">
      <c r="A5482" s="4">
        <v>4500180293</v>
      </c>
    </row>
    <row r="5483" spans="1:1" x14ac:dyDescent="0.35">
      <c r="A5483" s="4">
        <v>4500180297</v>
      </c>
    </row>
    <row r="5484" spans="1:1" x14ac:dyDescent="0.35">
      <c r="A5484" s="4">
        <v>4500180300</v>
      </c>
    </row>
    <row r="5485" spans="1:1" x14ac:dyDescent="0.35">
      <c r="A5485" s="4">
        <v>4500180303</v>
      </c>
    </row>
    <row r="5486" spans="1:1" x14ac:dyDescent="0.35">
      <c r="A5486" s="4">
        <v>4500180309</v>
      </c>
    </row>
    <row r="5487" spans="1:1" x14ac:dyDescent="0.35">
      <c r="A5487" s="4">
        <v>4500180311</v>
      </c>
    </row>
    <row r="5488" spans="1:1" x14ac:dyDescent="0.35">
      <c r="A5488" s="4">
        <v>4500180324</v>
      </c>
    </row>
    <row r="5489" spans="1:1" x14ac:dyDescent="0.35">
      <c r="A5489" s="4">
        <v>4500180327</v>
      </c>
    </row>
    <row r="5490" spans="1:1" x14ac:dyDescent="0.35">
      <c r="A5490" s="4">
        <v>4500180334</v>
      </c>
    </row>
    <row r="5491" spans="1:1" x14ac:dyDescent="0.35">
      <c r="A5491" s="4">
        <v>4500180339</v>
      </c>
    </row>
    <row r="5492" spans="1:1" x14ac:dyDescent="0.35">
      <c r="A5492" s="4">
        <v>4500180341</v>
      </c>
    </row>
    <row r="5493" spans="1:1" x14ac:dyDescent="0.35">
      <c r="A5493" s="4">
        <v>4500180343</v>
      </c>
    </row>
    <row r="5494" spans="1:1" x14ac:dyDescent="0.35">
      <c r="A5494" s="4">
        <v>4500180346</v>
      </c>
    </row>
    <row r="5495" spans="1:1" x14ac:dyDescent="0.35">
      <c r="A5495" s="4">
        <v>4500180351</v>
      </c>
    </row>
    <row r="5496" spans="1:1" x14ac:dyDescent="0.35">
      <c r="A5496" s="4">
        <v>4500180464</v>
      </c>
    </row>
    <row r="5497" spans="1:1" x14ac:dyDescent="0.35">
      <c r="A5497" s="4">
        <v>4500180467</v>
      </c>
    </row>
    <row r="5498" spans="1:1" x14ac:dyDescent="0.35">
      <c r="A5498" s="4">
        <v>4500180471</v>
      </c>
    </row>
    <row r="5499" spans="1:1" x14ac:dyDescent="0.35">
      <c r="A5499" s="4">
        <v>4500180473</v>
      </c>
    </row>
    <row r="5500" spans="1:1" x14ac:dyDescent="0.35">
      <c r="A5500" s="4">
        <v>4500180481</v>
      </c>
    </row>
    <row r="5501" spans="1:1" x14ac:dyDescent="0.35">
      <c r="A5501" s="4">
        <v>4500180483</v>
      </c>
    </row>
    <row r="5502" spans="1:1" x14ac:dyDescent="0.35">
      <c r="A5502" s="4">
        <v>4500180486</v>
      </c>
    </row>
    <row r="5503" spans="1:1" x14ac:dyDescent="0.35">
      <c r="A5503" s="4">
        <v>4500180489</v>
      </c>
    </row>
    <row r="5504" spans="1:1" x14ac:dyDescent="0.35">
      <c r="A5504" s="4">
        <v>4500180491</v>
      </c>
    </row>
    <row r="5505" spans="1:1" x14ac:dyDescent="0.35">
      <c r="A5505" s="4">
        <v>4500180495</v>
      </c>
    </row>
    <row r="5506" spans="1:1" x14ac:dyDescent="0.35">
      <c r="A5506" s="4">
        <v>4500180500</v>
      </c>
    </row>
    <row r="5507" spans="1:1" x14ac:dyDescent="0.35">
      <c r="A5507" s="4">
        <v>4500180507</v>
      </c>
    </row>
    <row r="5508" spans="1:1" x14ac:dyDescent="0.35">
      <c r="A5508" s="4">
        <v>4500180510</v>
      </c>
    </row>
    <row r="5509" spans="1:1" x14ac:dyDescent="0.35">
      <c r="A5509" s="4">
        <v>4500180512</v>
      </c>
    </row>
    <row r="5510" spans="1:1" x14ac:dyDescent="0.35">
      <c r="A5510" s="4">
        <v>4500180515</v>
      </c>
    </row>
    <row r="5511" spans="1:1" x14ac:dyDescent="0.35">
      <c r="A5511" s="4">
        <v>4500180517</v>
      </c>
    </row>
    <row r="5512" spans="1:1" x14ac:dyDescent="0.35">
      <c r="A5512" s="4">
        <v>4500180520</v>
      </c>
    </row>
    <row r="5513" spans="1:1" x14ac:dyDescent="0.35">
      <c r="A5513" s="4">
        <v>4500180522</v>
      </c>
    </row>
    <row r="5514" spans="1:1" x14ac:dyDescent="0.35">
      <c r="A5514" s="4">
        <v>4500180524</v>
      </c>
    </row>
    <row r="5515" spans="1:1" x14ac:dyDescent="0.35">
      <c r="A5515" s="4">
        <v>4500180527</v>
      </c>
    </row>
    <row r="5516" spans="1:1" x14ac:dyDescent="0.35">
      <c r="A5516" s="4">
        <v>4500180532</v>
      </c>
    </row>
    <row r="5517" spans="1:1" x14ac:dyDescent="0.35">
      <c r="A5517" s="4">
        <v>4500180535</v>
      </c>
    </row>
    <row r="5518" spans="1:1" x14ac:dyDescent="0.35">
      <c r="A5518" s="4">
        <v>4500180537</v>
      </c>
    </row>
    <row r="5519" spans="1:1" x14ac:dyDescent="0.35">
      <c r="A5519" s="4">
        <v>4500180539</v>
      </c>
    </row>
    <row r="5520" spans="1:1" x14ac:dyDescent="0.35">
      <c r="A5520" s="4">
        <v>4500180542</v>
      </c>
    </row>
    <row r="5521" spans="1:1" x14ac:dyDescent="0.35">
      <c r="A5521" s="4">
        <v>4500180545</v>
      </c>
    </row>
    <row r="5522" spans="1:1" x14ac:dyDescent="0.35">
      <c r="A5522" s="4">
        <v>4500180547</v>
      </c>
    </row>
    <row r="5523" spans="1:1" x14ac:dyDescent="0.35">
      <c r="A5523" s="4">
        <v>4500180550</v>
      </c>
    </row>
    <row r="5524" spans="1:1" x14ac:dyDescent="0.35">
      <c r="A5524" s="4">
        <v>4500180553</v>
      </c>
    </row>
    <row r="5525" spans="1:1" x14ac:dyDescent="0.35">
      <c r="A5525" s="4">
        <v>4500180555</v>
      </c>
    </row>
    <row r="5526" spans="1:1" x14ac:dyDescent="0.35">
      <c r="A5526" s="4">
        <v>4500180557</v>
      </c>
    </row>
    <row r="5527" spans="1:1" x14ac:dyDescent="0.35">
      <c r="A5527" s="4">
        <v>4500180559</v>
      </c>
    </row>
    <row r="5528" spans="1:1" x14ac:dyDescent="0.35">
      <c r="A5528" s="4">
        <v>4500180561</v>
      </c>
    </row>
    <row r="5529" spans="1:1" x14ac:dyDescent="0.35">
      <c r="A5529" s="4">
        <v>4500180563</v>
      </c>
    </row>
    <row r="5530" spans="1:1" x14ac:dyDescent="0.35">
      <c r="A5530" s="4">
        <v>4500180667</v>
      </c>
    </row>
    <row r="5531" spans="1:1" x14ac:dyDescent="0.35">
      <c r="A5531" s="4">
        <v>4500180669</v>
      </c>
    </row>
    <row r="5532" spans="1:1" x14ac:dyDescent="0.35">
      <c r="A5532" s="4">
        <v>4500180671</v>
      </c>
    </row>
    <row r="5533" spans="1:1" x14ac:dyDescent="0.35">
      <c r="A5533" s="4">
        <v>4500180673</v>
      </c>
    </row>
    <row r="5534" spans="1:1" x14ac:dyDescent="0.35">
      <c r="A5534" s="4">
        <v>4500180677</v>
      </c>
    </row>
    <row r="5535" spans="1:1" x14ac:dyDescent="0.35">
      <c r="A5535" s="4">
        <v>4500180680</v>
      </c>
    </row>
    <row r="5536" spans="1:1" x14ac:dyDescent="0.35">
      <c r="A5536" s="4">
        <v>4500180686</v>
      </c>
    </row>
    <row r="5537" spans="1:1" x14ac:dyDescent="0.35">
      <c r="A5537" s="4">
        <v>4500180691</v>
      </c>
    </row>
    <row r="5538" spans="1:1" x14ac:dyDescent="0.35">
      <c r="A5538" s="4">
        <v>4500180698</v>
      </c>
    </row>
    <row r="5539" spans="1:1" x14ac:dyDescent="0.35">
      <c r="A5539" s="4">
        <v>4500180701</v>
      </c>
    </row>
    <row r="5540" spans="1:1" x14ac:dyDescent="0.35">
      <c r="A5540" s="4">
        <v>4500180708</v>
      </c>
    </row>
    <row r="5541" spans="1:1" x14ac:dyDescent="0.35">
      <c r="A5541" s="4">
        <v>4500180711</v>
      </c>
    </row>
    <row r="5542" spans="1:1" x14ac:dyDescent="0.35">
      <c r="A5542" s="4">
        <v>4500180714</v>
      </c>
    </row>
    <row r="5543" spans="1:1" x14ac:dyDescent="0.35">
      <c r="A5543" s="4">
        <v>4500180722</v>
      </c>
    </row>
    <row r="5544" spans="1:1" x14ac:dyDescent="0.35">
      <c r="A5544" s="4">
        <v>4500180728</v>
      </c>
    </row>
    <row r="5545" spans="1:1" x14ac:dyDescent="0.35">
      <c r="A5545" s="4">
        <v>4500180729</v>
      </c>
    </row>
    <row r="5546" spans="1:1" x14ac:dyDescent="0.35">
      <c r="A5546" s="4">
        <v>4500180732</v>
      </c>
    </row>
    <row r="5547" spans="1:1" x14ac:dyDescent="0.35">
      <c r="A5547" s="4">
        <v>4500180737</v>
      </c>
    </row>
    <row r="5548" spans="1:1" x14ac:dyDescent="0.35">
      <c r="A5548" s="4">
        <v>4500180740</v>
      </c>
    </row>
    <row r="5549" spans="1:1" x14ac:dyDescent="0.35">
      <c r="A5549" s="4">
        <v>4500180744</v>
      </c>
    </row>
    <row r="5550" spans="1:1" x14ac:dyDescent="0.35">
      <c r="A5550" s="4">
        <v>4500180746</v>
      </c>
    </row>
    <row r="5551" spans="1:1" x14ac:dyDescent="0.35">
      <c r="A5551" s="4">
        <v>4500180749</v>
      </c>
    </row>
    <row r="5552" spans="1:1" x14ac:dyDescent="0.35">
      <c r="A5552" s="4">
        <v>4500180753</v>
      </c>
    </row>
    <row r="5553" spans="1:1" x14ac:dyDescent="0.35">
      <c r="A5553" s="4">
        <v>4500180757</v>
      </c>
    </row>
    <row r="5554" spans="1:1" x14ac:dyDescent="0.35">
      <c r="A5554" s="4">
        <v>4500180760</v>
      </c>
    </row>
    <row r="5555" spans="1:1" x14ac:dyDescent="0.35">
      <c r="A5555" s="4">
        <v>4500180807</v>
      </c>
    </row>
    <row r="5556" spans="1:1" x14ac:dyDescent="0.35">
      <c r="A5556" s="4">
        <v>4500180914</v>
      </c>
    </row>
    <row r="5557" spans="1:1" x14ac:dyDescent="0.35">
      <c r="A5557" s="4">
        <v>4500180918</v>
      </c>
    </row>
    <row r="5558" spans="1:1" x14ac:dyDescent="0.35">
      <c r="A5558" s="4">
        <v>4500180922</v>
      </c>
    </row>
    <row r="5559" spans="1:1" x14ac:dyDescent="0.35">
      <c r="A5559" s="4">
        <v>4500180927</v>
      </c>
    </row>
    <row r="5560" spans="1:1" x14ac:dyDescent="0.35">
      <c r="A5560" s="4">
        <v>4500180929</v>
      </c>
    </row>
    <row r="5561" spans="1:1" x14ac:dyDescent="0.35">
      <c r="A5561" s="4">
        <v>4500180935</v>
      </c>
    </row>
    <row r="5562" spans="1:1" x14ac:dyDescent="0.35">
      <c r="A5562" s="4">
        <v>4500180941</v>
      </c>
    </row>
    <row r="5563" spans="1:1" x14ac:dyDescent="0.35">
      <c r="A5563" s="4">
        <v>4500180944</v>
      </c>
    </row>
    <row r="5564" spans="1:1" x14ac:dyDescent="0.35">
      <c r="A5564" s="4">
        <v>4500180948</v>
      </c>
    </row>
    <row r="5565" spans="1:1" x14ac:dyDescent="0.35">
      <c r="A5565" s="4">
        <v>4500180953</v>
      </c>
    </row>
    <row r="5566" spans="1:1" x14ac:dyDescent="0.35">
      <c r="A5566" s="4">
        <v>4500180956</v>
      </c>
    </row>
    <row r="5567" spans="1:1" x14ac:dyDescent="0.35">
      <c r="A5567" s="4">
        <v>4500180959</v>
      </c>
    </row>
    <row r="5568" spans="1:1" x14ac:dyDescent="0.35">
      <c r="A5568" s="4">
        <v>4500180961</v>
      </c>
    </row>
    <row r="5569" spans="1:1" x14ac:dyDescent="0.35">
      <c r="A5569" s="4">
        <v>4500180963</v>
      </c>
    </row>
    <row r="5570" spans="1:1" x14ac:dyDescent="0.35">
      <c r="A5570" s="4">
        <v>4500180965</v>
      </c>
    </row>
    <row r="5571" spans="1:1" x14ac:dyDescent="0.35">
      <c r="A5571" s="4">
        <v>4500180967</v>
      </c>
    </row>
    <row r="5572" spans="1:1" x14ac:dyDescent="0.35">
      <c r="A5572" s="4">
        <v>4500180969</v>
      </c>
    </row>
    <row r="5573" spans="1:1" x14ac:dyDescent="0.35">
      <c r="A5573" s="4">
        <v>4500180972</v>
      </c>
    </row>
    <row r="5574" spans="1:1" x14ac:dyDescent="0.35">
      <c r="A5574" s="4">
        <v>4500180974</v>
      </c>
    </row>
    <row r="5575" spans="1:1" x14ac:dyDescent="0.35">
      <c r="A5575" s="4">
        <v>4500180976</v>
      </c>
    </row>
    <row r="5576" spans="1:1" x14ac:dyDescent="0.35">
      <c r="A5576" s="4">
        <v>4500180978</v>
      </c>
    </row>
    <row r="5577" spans="1:1" x14ac:dyDescent="0.35">
      <c r="A5577" s="4">
        <v>4500180980</v>
      </c>
    </row>
    <row r="5578" spans="1:1" x14ac:dyDescent="0.35">
      <c r="A5578" s="4">
        <v>4500180982</v>
      </c>
    </row>
    <row r="5579" spans="1:1" x14ac:dyDescent="0.35">
      <c r="A5579" s="4">
        <v>4500180989</v>
      </c>
    </row>
    <row r="5580" spans="1:1" x14ac:dyDescent="0.35">
      <c r="A5580" s="4">
        <v>4500180993</v>
      </c>
    </row>
    <row r="5581" spans="1:1" x14ac:dyDescent="0.35">
      <c r="A5581" s="4">
        <v>4500180995</v>
      </c>
    </row>
    <row r="5582" spans="1:1" x14ac:dyDescent="0.35">
      <c r="A5582" s="4">
        <v>4500180999</v>
      </c>
    </row>
    <row r="5583" spans="1:1" x14ac:dyDescent="0.35">
      <c r="A5583" s="4">
        <v>4500181000</v>
      </c>
    </row>
    <row r="5584" spans="1:1" x14ac:dyDescent="0.35">
      <c r="A5584" s="4">
        <v>4500181002</v>
      </c>
    </row>
    <row r="5585" spans="1:1" x14ac:dyDescent="0.35">
      <c r="A5585" s="4">
        <v>4500181004</v>
      </c>
    </row>
    <row r="5586" spans="1:1" x14ac:dyDescent="0.35">
      <c r="A5586" s="4">
        <v>4500181005</v>
      </c>
    </row>
    <row r="5587" spans="1:1" x14ac:dyDescent="0.35">
      <c r="A5587" s="4">
        <v>4500181006</v>
      </c>
    </row>
    <row r="5588" spans="1:1" x14ac:dyDescent="0.35">
      <c r="A5588" s="4">
        <v>4500181008</v>
      </c>
    </row>
    <row r="5589" spans="1:1" x14ac:dyDescent="0.35">
      <c r="A5589" s="4">
        <v>4500181069</v>
      </c>
    </row>
    <row r="5590" spans="1:1" x14ac:dyDescent="0.35">
      <c r="A5590" s="4">
        <v>4500181071</v>
      </c>
    </row>
    <row r="5591" spans="1:1" x14ac:dyDescent="0.35">
      <c r="A5591" s="4">
        <v>4500181081</v>
      </c>
    </row>
    <row r="5592" spans="1:1" x14ac:dyDescent="0.35">
      <c r="A5592" s="4">
        <v>4500181083</v>
      </c>
    </row>
    <row r="5593" spans="1:1" x14ac:dyDescent="0.35">
      <c r="A5593" s="4">
        <v>4500181085</v>
      </c>
    </row>
    <row r="5594" spans="1:1" x14ac:dyDescent="0.35">
      <c r="A5594" s="4">
        <v>4500181091</v>
      </c>
    </row>
    <row r="5595" spans="1:1" x14ac:dyDescent="0.35">
      <c r="A5595" s="4">
        <v>4500181093</v>
      </c>
    </row>
    <row r="5596" spans="1:1" x14ac:dyDescent="0.35">
      <c r="A5596" s="4">
        <v>4500181097</v>
      </c>
    </row>
    <row r="5597" spans="1:1" x14ac:dyDescent="0.35">
      <c r="A5597" s="4">
        <v>4500181103</v>
      </c>
    </row>
    <row r="5598" spans="1:1" x14ac:dyDescent="0.35">
      <c r="A5598" s="4">
        <v>4500181109</v>
      </c>
    </row>
    <row r="5599" spans="1:1" x14ac:dyDescent="0.35">
      <c r="A5599" s="4">
        <v>4500181113</v>
      </c>
    </row>
    <row r="5600" spans="1:1" x14ac:dyDescent="0.35">
      <c r="A5600" s="4">
        <v>4500181115</v>
      </c>
    </row>
    <row r="5601" spans="1:1" x14ac:dyDescent="0.35">
      <c r="A5601" s="4">
        <v>4500181118</v>
      </c>
    </row>
    <row r="5602" spans="1:1" x14ac:dyDescent="0.35">
      <c r="A5602" s="4">
        <v>4500181120</v>
      </c>
    </row>
    <row r="5603" spans="1:1" x14ac:dyDescent="0.35">
      <c r="A5603" s="4">
        <v>4500181122</v>
      </c>
    </row>
    <row r="5604" spans="1:1" x14ac:dyDescent="0.35">
      <c r="A5604" s="4">
        <v>4500181126</v>
      </c>
    </row>
    <row r="5605" spans="1:1" x14ac:dyDescent="0.35">
      <c r="A5605" s="4">
        <v>4500181127</v>
      </c>
    </row>
    <row r="5606" spans="1:1" x14ac:dyDescent="0.35">
      <c r="A5606" s="4">
        <v>4500181129</v>
      </c>
    </row>
    <row r="5607" spans="1:1" x14ac:dyDescent="0.35">
      <c r="A5607" s="4">
        <v>4500181132</v>
      </c>
    </row>
    <row r="5608" spans="1:1" x14ac:dyDescent="0.35">
      <c r="A5608" s="4">
        <v>4500181135</v>
      </c>
    </row>
    <row r="5609" spans="1:1" x14ac:dyDescent="0.35">
      <c r="A5609" s="4">
        <v>4500181137</v>
      </c>
    </row>
    <row r="5610" spans="1:1" x14ac:dyDescent="0.35">
      <c r="A5610" s="4">
        <v>4500181148</v>
      </c>
    </row>
    <row r="5611" spans="1:1" x14ac:dyDescent="0.35">
      <c r="A5611" s="4">
        <v>4500181151</v>
      </c>
    </row>
    <row r="5612" spans="1:1" x14ac:dyDescent="0.35">
      <c r="A5612" s="4">
        <v>4500181259</v>
      </c>
    </row>
    <row r="5613" spans="1:1" x14ac:dyDescent="0.35">
      <c r="A5613" s="4">
        <v>4500181260</v>
      </c>
    </row>
    <row r="5614" spans="1:1" x14ac:dyDescent="0.35">
      <c r="A5614" s="4">
        <v>4500181262</v>
      </c>
    </row>
    <row r="5615" spans="1:1" x14ac:dyDescent="0.35">
      <c r="A5615" s="4">
        <v>4500181263</v>
      </c>
    </row>
    <row r="5616" spans="1:1" x14ac:dyDescent="0.35">
      <c r="A5616" s="4">
        <v>4500181268</v>
      </c>
    </row>
    <row r="5617" spans="1:1" x14ac:dyDescent="0.35">
      <c r="A5617" s="4">
        <v>4500181271</v>
      </c>
    </row>
    <row r="5618" spans="1:1" x14ac:dyDescent="0.35">
      <c r="A5618" s="4">
        <v>4500181274</v>
      </c>
    </row>
    <row r="5619" spans="1:1" x14ac:dyDescent="0.35">
      <c r="A5619" s="4">
        <v>4500181277</v>
      </c>
    </row>
    <row r="5620" spans="1:1" x14ac:dyDescent="0.35">
      <c r="A5620" s="4">
        <v>4500181279</v>
      </c>
    </row>
    <row r="5621" spans="1:1" x14ac:dyDescent="0.35">
      <c r="A5621" s="4">
        <v>4500181281</v>
      </c>
    </row>
    <row r="5622" spans="1:1" x14ac:dyDescent="0.35">
      <c r="A5622" s="4">
        <v>4500181286</v>
      </c>
    </row>
    <row r="5623" spans="1:1" x14ac:dyDescent="0.35">
      <c r="A5623" s="4">
        <v>4500181288</v>
      </c>
    </row>
    <row r="5624" spans="1:1" x14ac:dyDescent="0.35">
      <c r="A5624" s="4">
        <v>4500181290</v>
      </c>
    </row>
    <row r="5625" spans="1:1" x14ac:dyDescent="0.35">
      <c r="A5625" s="4">
        <v>4500181293</v>
      </c>
    </row>
    <row r="5626" spans="1:1" x14ac:dyDescent="0.35">
      <c r="A5626" s="4">
        <v>4500181300</v>
      </c>
    </row>
    <row r="5627" spans="1:1" x14ac:dyDescent="0.35">
      <c r="A5627" s="4">
        <v>4500181302</v>
      </c>
    </row>
    <row r="5628" spans="1:1" x14ac:dyDescent="0.35">
      <c r="A5628" s="4">
        <v>4500181304</v>
      </c>
    </row>
    <row r="5629" spans="1:1" x14ac:dyDescent="0.35">
      <c r="A5629" s="4">
        <v>4500181309</v>
      </c>
    </row>
    <row r="5630" spans="1:1" x14ac:dyDescent="0.35">
      <c r="A5630" s="4">
        <v>4500181316</v>
      </c>
    </row>
    <row r="5631" spans="1:1" x14ac:dyDescent="0.35">
      <c r="A5631" s="4">
        <v>4500181321</v>
      </c>
    </row>
    <row r="5632" spans="1:1" x14ac:dyDescent="0.35">
      <c r="A5632" s="4">
        <v>4500181326</v>
      </c>
    </row>
    <row r="5633" spans="1:1" x14ac:dyDescent="0.35">
      <c r="A5633" s="4">
        <v>4500181332</v>
      </c>
    </row>
    <row r="5634" spans="1:1" x14ac:dyDescent="0.35">
      <c r="A5634" s="4">
        <v>4500181349</v>
      </c>
    </row>
    <row r="5635" spans="1:1" x14ac:dyDescent="0.35">
      <c r="A5635" s="4">
        <v>4500181353</v>
      </c>
    </row>
    <row r="5636" spans="1:1" x14ac:dyDescent="0.35">
      <c r="A5636" s="4">
        <v>4500181363</v>
      </c>
    </row>
    <row r="5637" spans="1:1" x14ac:dyDescent="0.35">
      <c r="A5637" s="4">
        <v>4500181366</v>
      </c>
    </row>
    <row r="5638" spans="1:1" x14ac:dyDescent="0.35">
      <c r="A5638" s="4">
        <v>4500181369</v>
      </c>
    </row>
    <row r="5639" spans="1:1" x14ac:dyDescent="0.35">
      <c r="A5639" s="4">
        <v>4500181376</v>
      </c>
    </row>
    <row r="5640" spans="1:1" x14ac:dyDescent="0.35">
      <c r="A5640" s="4">
        <v>4500181382</v>
      </c>
    </row>
    <row r="5641" spans="1:1" x14ac:dyDescent="0.35">
      <c r="A5641" s="4">
        <v>4500181385</v>
      </c>
    </row>
    <row r="5642" spans="1:1" x14ac:dyDescent="0.35">
      <c r="A5642" s="4">
        <v>4500181387</v>
      </c>
    </row>
    <row r="5643" spans="1:1" x14ac:dyDescent="0.35">
      <c r="A5643" s="4">
        <v>4500181389</v>
      </c>
    </row>
    <row r="5644" spans="1:1" x14ac:dyDescent="0.35">
      <c r="A5644" s="4">
        <v>4500181391</v>
      </c>
    </row>
    <row r="5645" spans="1:1" x14ac:dyDescent="0.35">
      <c r="A5645" s="4">
        <v>4500181393</v>
      </c>
    </row>
    <row r="5646" spans="1:1" x14ac:dyDescent="0.35">
      <c r="A5646" s="4">
        <v>4500181396</v>
      </c>
    </row>
    <row r="5647" spans="1:1" x14ac:dyDescent="0.35">
      <c r="A5647" s="4">
        <v>4500181397</v>
      </c>
    </row>
    <row r="5648" spans="1:1" x14ac:dyDescent="0.35">
      <c r="A5648" s="4">
        <v>4500181463</v>
      </c>
    </row>
    <row r="5649" spans="1:1" x14ac:dyDescent="0.35">
      <c r="A5649" s="4">
        <v>4500181465</v>
      </c>
    </row>
    <row r="5650" spans="1:1" x14ac:dyDescent="0.35">
      <c r="A5650" s="4">
        <v>4500181469</v>
      </c>
    </row>
    <row r="5651" spans="1:1" x14ac:dyDescent="0.35">
      <c r="A5651" s="4">
        <v>4500181475</v>
      </c>
    </row>
    <row r="5652" spans="1:1" x14ac:dyDescent="0.35">
      <c r="A5652" s="4">
        <v>4500181481</v>
      </c>
    </row>
    <row r="5653" spans="1:1" x14ac:dyDescent="0.35">
      <c r="A5653" s="4">
        <v>4500181487</v>
      </c>
    </row>
    <row r="5654" spans="1:1" x14ac:dyDescent="0.35">
      <c r="A5654" s="4">
        <v>4500181491</v>
      </c>
    </row>
    <row r="5655" spans="1:1" x14ac:dyDescent="0.35">
      <c r="A5655" s="4">
        <v>4500181495</v>
      </c>
    </row>
    <row r="5656" spans="1:1" x14ac:dyDescent="0.35">
      <c r="A5656" s="4">
        <v>4500181500</v>
      </c>
    </row>
    <row r="5657" spans="1:1" x14ac:dyDescent="0.35">
      <c r="A5657" s="4">
        <v>4500181506</v>
      </c>
    </row>
    <row r="5658" spans="1:1" x14ac:dyDescent="0.35">
      <c r="A5658" s="4">
        <v>4500181510</v>
      </c>
    </row>
    <row r="5659" spans="1:1" x14ac:dyDescent="0.35">
      <c r="A5659" s="4">
        <v>4500181516</v>
      </c>
    </row>
    <row r="5660" spans="1:1" x14ac:dyDescent="0.35">
      <c r="A5660" s="4">
        <v>4500181520</v>
      </c>
    </row>
    <row r="5661" spans="1:1" x14ac:dyDescent="0.35">
      <c r="A5661" s="4">
        <v>4500181524</v>
      </c>
    </row>
    <row r="5662" spans="1:1" x14ac:dyDescent="0.35">
      <c r="A5662" s="4">
        <v>4500181530</v>
      </c>
    </row>
    <row r="5663" spans="1:1" x14ac:dyDescent="0.35">
      <c r="A5663" s="4">
        <v>4500181534</v>
      </c>
    </row>
    <row r="5664" spans="1:1" x14ac:dyDescent="0.35">
      <c r="A5664" s="4">
        <v>4500181546</v>
      </c>
    </row>
    <row r="5665" spans="1:1" x14ac:dyDescent="0.35">
      <c r="A5665" s="4">
        <v>4500181553</v>
      </c>
    </row>
    <row r="5666" spans="1:1" x14ac:dyDescent="0.35">
      <c r="A5666" s="4">
        <v>4500181557</v>
      </c>
    </row>
    <row r="5667" spans="1:1" x14ac:dyDescent="0.35">
      <c r="A5667" s="4">
        <v>4500181560</v>
      </c>
    </row>
    <row r="5668" spans="1:1" x14ac:dyDescent="0.35">
      <c r="A5668" s="4">
        <v>4500181565</v>
      </c>
    </row>
    <row r="5669" spans="1:1" x14ac:dyDescent="0.35">
      <c r="A5669" s="4">
        <v>4500181567</v>
      </c>
    </row>
    <row r="5670" spans="1:1" x14ac:dyDescent="0.35">
      <c r="A5670" s="4">
        <v>4500181570</v>
      </c>
    </row>
    <row r="5671" spans="1:1" x14ac:dyDescent="0.35">
      <c r="A5671" s="4">
        <v>4500181581</v>
      </c>
    </row>
    <row r="5672" spans="1:1" x14ac:dyDescent="0.35">
      <c r="A5672" s="4">
        <v>4500181584</v>
      </c>
    </row>
    <row r="5673" spans="1:1" x14ac:dyDescent="0.35">
      <c r="A5673" s="4">
        <v>4500181587</v>
      </c>
    </row>
    <row r="5674" spans="1:1" x14ac:dyDescent="0.35">
      <c r="A5674" s="4">
        <v>4500181591</v>
      </c>
    </row>
    <row r="5675" spans="1:1" x14ac:dyDescent="0.35">
      <c r="A5675" s="4">
        <v>4500181595</v>
      </c>
    </row>
    <row r="5676" spans="1:1" x14ac:dyDescent="0.35">
      <c r="A5676" s="4">
        <v>4500181599</v>
      </c>
    </row>
    <row r="5677" spans="1:1" x14ac:dyDescent="0.35">
      <c r="A5677" s="4">
        <v>4500181603</v>
      </c>
    </row>
    <row r="5678" spans="1:1" x14ac:dyDescent="0.35">
      <c r="A5678" s="4">
        <v>4500181605</v>
      </c>
    </row>
    <row r="5679" spans="1:1" x14ac:dyDescent="0.35">
      <c r="A5679" s="4">
        <v>4500181607</v>
      </c>
    </row>
    <row r="5680" spans="1:1" x14ac:dyDescent="0.35">
      <c r="A5680" s="4">
        <v>4500181609</v>
      </c>
    </row>
    <row r="5681" spans="1:1" x14ac:dyDescent="0.35">
      <c r="A5681" s="4">
        <v>4500181611</v>
      </c>
    </row>
    <row r="5682" spans="1:1" x14ac:dyDescent="0.35">
      <c r="A5682" s="4">
        <v>4500181612</v>
      </c>
    </row>
    <row r="5683" spans="1:1" x14ac:dyDescent="0.35">
      <c r="A5683" s="4">
        <v>4500181619</v>
      </c>
    </row>
    <row r="5684" spans="1:1" x14ac:dyDescent="0.35">
      <c r="A5684" s="4">
        <v>4500181688</v>
      </c>
    </row>
    <row r="5685" spans="1:1" x14ac:dyDescent="0.35">
      <c r="A5685" s="4">
        <v>4500181693</v>
      </c>
    </row>
    <row r="5686" spans="1:1" x14ac:dyDescent="0.35">
      <c r="A5686" s="4">
        <v>4500181702</v>
      </c>
    </row>
    <row r="5687" spans="1:1" x14ac:dyDescent="0.35">
      <c r="A5687" s="4">
        <v>4500181715</v>
      </c>
    </row>
    <row r="5688" spans="1:1" x14ac:dyDescent="0.35">
      <c r="A5688" s="4">
        <v>4500181721</v>
      </c>
    </row>
    <row r="5689" spans="1:1" x14ac:dyDescent="0.35">
      <c r="A5689" s="4">
        <v>4500181726</v>
      </c>
    </row>
    <row r="5690" spans="1:1" x14ac:dyDescent="0.35">
      <c r="A5690" s="4">
        <v>4500181734</v>
      </c>
    </row>
    <row r="5691" spans="1:1" x14ac:dyDescent="0.35">
      <c r="A5691" s="4">
        <v>4500181738</v>
      </c>
    </row>
    <row r="5692" spans="1:1" x14ac:dyDescent="0.35">
      <c r="A5692" s="4">
        <v>4500181741</v>
      </c>
    </row>
    <row r="5693" spans="1:1" x14ac:dyDescent="0.35">
      <c r="A5693" s="4">
        <v>4500181754</v>
      </c>
    </row>
    <row r="5694" spans="1:1" x14ac:dyDescent="0.35">
      <c r="A5694" s="4">
        <v>4500181757</v>
      </c>
    </row>
    <row r="5695" spans="1:1" x14ac:dyDescent="0.35">
      <c r="A5695" s="4">
        <v>4500181760</v>
      </c>
    </row>
    <row r="5696" spans="1:1" x14ac:dyDescent="0.35">
      <c r="A5696" s="4">
        <v>4500181764</v>
      </c>
    </row>
    <row r="5697" spans="1:1" x14ac:dyDescent="0.35">
      <c r="A5697" s="4">
        <v>4500181775</v>
      </c>
    </row>
    <row r="5698" spans="1:1" x14ac:dyDescent="0.35">
      <c r="A5698" s="4">
        <v>4500181783</v>
      </c>
    </row>
    <row r="5699" spans="1:1" x14ac:dyDescent="0.35">
      <c r="A5699" s="4">
        <v>4500181789</v>
      </c>
    </row>
    <row r="5700" spans="1:1" x14ac:dyDescent="0.35">
      <c r="A5700" s="4">
        <v>4500181798</v>
      </c>
    </row>
    <row r="5701" spans="1:1" x14ac:dyDescent="0.35">
      <c r="A5701" s="4">
        <v>4500181801</v>
      </c>
    </row>
    <row r="5702" spans="1:1" x14ac:dyDescent="0.35">
      <c r="A5702" s="4">
        <v>4500181804</v>
      </c>
    </row>
    <row r="5703" spans="1:1" x14ac:dyDescent="0.35">
      <c r="A5703" s="4">
        <v>4500181808</v>
      </c>
    </row>
    <row r="5704" spans="1:1" x14ac:dyDescent="0.35">
      <c r="A5704" s="4">
        <v>4500181811</v>
      </c>
    </row>
    <row r="5705" spans="1:1" x14ac:dyDescent="0.35">
      <c r="A5705" s="4">
        <v>4500181815</v>
      </c>
    </row>
    <row r="5706" spans="1:1" x14ac:dyDescent="0.35">
      <c r="A5706" s="4">
        <v>4500181818</v>
      </c>
    </row>
    <row r="5707" spans="1:1" x14ac:dyDescent="0.35">
      <c r="A5707" s="4">
        <v>4500181819</v>
      </c>
    </row>
    <row r="5708" spans="1:1" x14ac:dyDescent="0.35">
      <c r="A5708" s="4">
        <v>4500181821</v>
      </c>
    </row>
    <row r="5709" spans="1:1" x14ac:dyDescent="0.35">
      <c r="A5709" s="4">
        <v>4500181827</v>
      </c>
    </row>
    <row r="5710" spans="1:1" x14ac:dyDescent="0.35">
      <c r="A5710" s="4">
        <v>4500181880</v>
      </c>
    </row>
    <row r="5711" spans="1:1" x14ac:dyDescent="0.35">
      <c r="A5711" s="4">
        <v>4500181890</v>
      </c>
    </row>
    <row r="5712" spans="1:1" x14ac:dyDescent="0.35">
      <c r="A5712" s="4">
        <v>4500181898</v>
      </c>
    </row>
    <row r="5713" spans="1:1" x14ac:dyDescent="0.35">
      <c r="A5713" s="4">
        <v>4500181901</v>
      </c>
    </row>
    <row r="5714" spans="1:1" x14ac:dyDescent="0.35">
      <c r="A5714" s="4">
        <v>4500181908</v>
      </c>
    </row>
    <row r="5715" spans="1:1" x14ac:dyDescent="0.35">
      <c r="A5715" s="4">
        <v>4500181917</v>
      </c>
    </row>
    <row r="5716" spans="1:1" x14ac:dyDescent="0.35">
      <c r="A5716" s="4">
        <v>4500181921</v>
      </c>
    </row>
    <row r="5717" spans="1:1" x14ac:dyDescent="0.35">
      <c r="A5717" s="4">
        <v>4500181934</v>
      </c>
    </row>
    <row r="5718" spans="1:1" x14ac:dyDescent="0.35">
      <c r="A5718" s="4">
        <v>4500181939</v>
      </c>
    </row>
    <row r="5719" spans="1:1" x14ac:dyDescent="0.35">
      <c r="A5719" s="4">
        <v>4500181943</v>
      </c>
    </row>
    <row r="5720" spans="1:1" x14ac:dyDescent="0.35">
      <c r="A5720" s="4">
        <v>4500181948</v>
      </c>
    </row>
    <row r="5721" spans="1:1" x14ac:dyDescent="0.35">
      <c r="A5721" s="4">
        <v>4500181953</v>
      </c>
    </row>
    <row r="5722" spans="1:1" x14ac:dyDescent="0.35">
      <c r="A5722" s="4">
        <v>4500181956</v>
      </c>
    </row>
    <row r="5723" spans="1:1" x14ac:dyDescent="0.35">
      <c r="A5723" s="4">
        <v>4500181962</v>
      </c>
    </row>
    <row r="5724" spans="1:1" x14ac:dyDescent="0.35">
      <c r="A5724" s="4">
        <v>4500181968</v>
      </c>
    </row>
    <row r="5725" spans="1:1" x14ac:dyDescent="0.35">
      <c r="A5725" s="4">
        <v>4500181973</v>
      </c>
    </row>
    <row r="5726" spans="1:1" x14ac:dyDescent="0.35">
      <c r="A5726" s="4">
        <v>4500181978</v>
      </c>
    </row>
    <row r="5727" spans="1:1" x14ac:dyDescent="0.35">
      <c r="A5727" s="4">
        <v>4500181987</v>
      </c>
    </row>
    <row r="5728" spans="1:1" x14ac:dyDescent="0.35">
      <c r="A5728" s="4">
        <v>4500181993</v>
      </c>
    </row>
    <row r="5729" spans="1:1" x14ac:dyDescent="0.35">
      <c r="A5729" s="4">
        <v>4500181998</v>
      </c>
    </row>
    <row r="5730" spans="1:1" x14ac:dyDescent="0.35">
      <c r="A5730" s="4">
        <v>4500182004</v>
      </c>
    </row>
    <row r="5731" spans="1:1" x14ac:dyDescent="0.35">
      <c r="A5731" s="4">
        <v>4500182008</v>
      </c>
    </row>
    <row r="5732" spans="1:1" x14ac:dyDescent="0.35">
      <c r="A5732" s="4">
        <v>4500182012</v>
      </c>
    </row>
    <row r="5733" spans="1:1" x14ac:dyDescent="0.35">
      <c r="A5733" s="4">
        <v>4500182014</v>
      </c>
    </row>
    <row r="5734" spans="1:1" x14ac:dyDescent="0.35">
      <c r="A5734" s="4">
        <v>4500182017</v>
      </c>
    </row>
    <row r="5735" spans="1:1" x14ac:dyDescent="0.35">
      <c r="A5735" s="4">
        <v>4500182018</v>
      </c>
    </row>
    <row r="5736" spans="1:1" x14ac:dyDescent="0.35">
      <c r="A5736" s="4">
        <v>4500182020</v>
      </c>
    </row>
    <row r="5737" spans="1:1" x14ac:dyDescent="0.35">
      <c r="A5737" s="4">
        <v>4500182021</v>
      </c>
    </row>
    <row r="5738" spans="1:1" x14ac:dyDescent="0.35">
      <c r="A5738" s="4">
        <v>4500182028</v>
      </c>
    </row>
    <row r="5739" spans="1:1" x14ac:dyDescent="0.35">
      <c r="A5739" s="4">
        <v>4500182082</v>
      </c>
    </row>
    <row r="5740" spans="1:1" x14ac:dyDescent="0.35">
      <c r="A5740" s="4">
        <v>4500182095</v>
      </c>
    </row>
    <row r="5741" spans="1:1" x14ac:dyDescent="0.35">
      <c r="A5741" s="4">
        <v>4500182102</v>
      </c>
    </row>
    <row r="5742" spans="1:1" x14ac:dyDescent="0.35">
      <c r="A5742" s="4">
        <v>4500182105</v>
      </c>
    </row>
    <row r="5743" spans="1:1" x14ac:dyDescent="0.35">
      <c r="A5743" s="4">
        <v>4500182111</v>
      </c>
    </row>
    <row r="5744" spans="1:1" x14ac:dyDescent="0.35">
      <c r="A5744" s="4">
        <v>4500182118</v>
      </c>
    </row>
    <row r="5745" spans="1:1" x14ac:dyDescent="0.35">
      <c r="A5745" s="4">
        <v>4500182122</v>
      </c>
    </row>
    <row r="5746" spans="1:1" x14ac:dyDescent="0.35">
      <c r="A5746" s="4">
        <v>4500182126</v>
      </c>
    </row>
    <row r="5747" spans="1:1" x14ac:dyDescent="0.35">
      <c r="A5747" s="4">
        <v>4500182131</v>
      </c>
    </row>
    <row r="5748" spans="1:1" x14ac:dyDescent="0.35">
      <c r="A5748" s="4">
        <v>4500182133</v>
      </c>
    </row>
    <row r="5749" spans="1:1" x14ac:dyDescent="0.35">
      <c r="A5749" s="4">
        <v>4500182142</v>
      </c>
    </row>
    <row r="5750" spans="1:1" x14ac:dyDescent="0.35">
      <c r="A5750" s="4">
        <v>4500182144</v>
      </c>
    </row>
    <row r="5751" spans="1:1" x14ac:dyDescent="0.35">
      <c r="A5751" s="4">
        <v>4500182148</v>
      </c>
    </row>
    <row r="5752" spans="1:1" x14ac:dyDescent="0.35">
      <c r="A5752" s="4">
        <v>4500182158</v>
      </c>
    </row>
    <row r="5753" spans="1:1" x14ac:dyDescent="0.35">
      <c r="A5753" s="4">
        <v>4500182163</v>
      </c>
    </row>
    <row r="5754" spans="1:1" x14ac:dyDescent="0.35">
      <c r="A5754" s="4">
        <v>4500182168</v>
      </c>
    </row>
    <row r="5755" spans="1:1" x14ac:dyDescent="0.35">
      <c r="A5755" s="4">
        <v>4500182172</v>
      </c>
    </row>
    <row r="5756" spans="1:1" x14ac:dyDescent="0.35">
      <c r="A5756" s="4">
        <v>4500182178</v>
      </c>
    </row>
    <row r="5757" spans="1:1" x14ac:dyDescent="0.35">
      <c r="A5757" s="4">
        <v>4500182316</v>
      </c>
    </row>
    <row r="5758" spans="1:1" x14ac:dyDescent="0.35">
      <c r="A5758" s="4">
        <v>4500182319</v>
      </c>
    </row>
    <row r="5759" spans="1:1" x14ac:dyDescent="0.35">
      <c r="A5759" s="4">
        <v>4500182323</v>
      </c>
    </row>
    <row r="5760" spans="1:1" x14ac:dyDescent="0.35">
      <c r="A5760" s="4">
        <v>4500182326</v>
      </c>
    </row>
    <row r="5761" spans="1:1" x14ac:dyDescent="0.35">
      <c r="A5761" s="4">
        <v>4500182329</v>
      </c>
    </row>
    <row r="5762" spans="1:1" x14ac:dyDescent="0.35">
      <c r="A5762" s="4">
        <v>4500182333</v>
      </c>
    </row>
    <row r="5763" spans="1:1" x14ac:dyDescent="0.35">
      <c r="A5763" s="4">
        <v>4500182339</v>
      </c>
    </row>
    <row r="5764" spans="1:1" x14ac:dyDescent="0.35">
      <c r="A5764" s="4">
        <v>4500182345</v>
      </c>
    </row>
    <row r="5765" spans="1:1" x14ac:dyDescent="0.35">
      <c r="A5765" s="4">
        <v>4500182349</v>
      </c>
    </row>
    <row r="5766" spans="1:1" x14ac:dyDescent="0.35">
      <c r="A5766" s="4">
        <v>4500182352</v>
      </c>
    </row>
    <row r="5767" spans="1:1" x14ac:dyDescent="0.35">
      <c r="A5767" s="4">
        <v>4500182354</v>
      </c>
    </row>
    <row r="5768" spans="1:1" x14ac:dyDescent="0.35">
      <c r="A5768" s="4">
        <v>4500182357</v>
      </c>
    </row>
    <row r="5769" spans="1:1" x14ac:dyDescent="0.35">
      <c r="A5769" s="4">
        <v>4500182359</v>
      </c>
    </row>
    <row r="5770" spans="1:1" x14ac:dyDescent="0.35">
      <c r="A5770" s="4">
        <v>4500182363</v>
      </c>
    </row>
    <row r="5771" spans="1:1" x14ac:dyDescent="0.35">
      <c r="A5771" s="4">
        <v>4500182365</v>
      </c>
    </row>
    <row r="5772" spans="1:1" x14ac:dyDescent="0.35">
      <c r="A5772" s="4">
        <v>4500182367</v>
      </c>
    </row>
    <row r="5773" spans="1:1" x14ac:dyDescent="0.35">
      <c r="A5773" s="4">
        <v>4500182369</v>
      </c>
    </row>
    <row r="5774" spans="1:1" x14ac:dyDescent="0.35">
      <c r="A5774" s="4">
        <v>4500182371</v>
      </c>
    </row>
    <row r="5775" spans="1:1" x14ac:dyDescent="0.35">
      <c r="A5775" s="4">
        <v>4500182376</v>
      </c>
    </row>
    <row r="5776" spans="1:1" x14ac:dyDescent="0.35">
      <c r="A5776" s="4">
        <v>4500182378</v>
      </c>
    </row>
    <row r="5777" spans="1:1" x14ac:dyDescent="0.35">
      <c r="A5777" s="4">
        <v>4500182382</v>
      </c>
    </row>
    <row r="5778" spans="1:1" x14ac:dyDescent="0.35">
      <c r="A5778" s="4">
        <v>4500182384</v>
      </c>
    </row>
    <row r="5779" spans="1:1" x14ac:dyDescent="0.35">
      <c r="A5779" s="4">
        <v>4500182387</v>
      </c>
    </row>
    <row r="5780" spans="1:1" x14ac:dyDescent="0.35">
      <c r="A5780" s="4">
        <v>4500182388</v>
      </c>
    </row>
    <row r="5781" spans="1:1" x14ac:dyDescent="0.35">
      <c r="A5781" s="4">
        <v>4500182390</v>
      </c>
    </row>
    <row r="5782" spans="1:1" x14ac:dyDescent="0.35">
      <c r="A5782" s="4">
        <v>4500182393</v>
      </c>
    </row>
    <row r="5783" spans="1:1" x14ac:dyDescent="0.35">
      <c r="A5783" s="4">
        <v>4500182395</v>
      </c>
    </row>
    <row r="5784" spans="1:1" x14ac:dyDescent="0.35">
      <c r="A5784" s="4">
        <v>4500182396</v>
      </c>
    </row>
    <row r="5785" spans="1:1" x14ac:dyDescent="0.35">
      <c r="A5785" s="4">
        <v>4500182397</v>
      </c>
    </row>
    <row r="5786" spans="1:1" x14ac:dyDescent="0.35">
      <c r="A5786" s="4">
        <v>4500182398</v>
      </c>
    </row>
    <row r="5787" spans="1:1" x14ac:dyDescent="0.35">
      <c r="A5787" s="4">
        <v>4500182399</v>
      </c>
    </row>
    <row r="5788" spans="1:1" x14ac:dyDescent="0.35">
      <c r="A5788" s="4">
        <v>4500182442</v>
      </c>
    </row>
    <row r="5789" spans="1:1" x14ac:dyDescent="0.35">
      <c r="A5789" s="4">
        <v>4500182456</v>
      </c>
    </row>
    <row r="5790" spans="1:1" x14ac:dyDescent="0.35">
      <c r="A5790" s="4">
        <v>4500182458</v>
      </c>
    </row>
    <row r="5791" spans="1:1" x14ac:dyDescent="0.35">
      <c r="A5791" s="4">
        <v>4500182462</v>
      </c>
    </row>
    <row r="5792" spans="1:1" x14ac:dyDescent="0.35">
      <c r="A5792" s="4">
        <v>4500182465</v>
      </c>
    </row>
    <row r="5793" spans="1:1" x14ac:dyDescent="0.35">
      <c r="A5793" s="4">
        <v>4500182468</v>
      </c>
    </row>
    <row r="5794" spans="1:1" x14ac:dyDescent="0.35">
      <c r="A5794" s="4">
        <v>4500182473</v>
      </c>
    </row>
    <row r="5795" spans="1:1" x14ac:dyDescent="0.35">
      <c r="A5795" s="4">
        <v>4500182477</v>
      </c>
    </row>
    <row r="5796" spans="1:1" x14ac:dyDescent="0.35">
      <c r="A5796" s="4">
        <v>4500182486</v>
      </c>
    </row>
    <row r="5797" spans="1:1" x14ac:dyDescent="0.35">
      <c r="A5797" s="4">
        <v>4500182494</v>
      </c>
    </row>
    <row r="5798" spans="1:1" x14ac:dyDescent="0.35">
      <c r="A5798" s="4">
        <v>4500182500</v>
      </c>
    </row>
    <row r="5799" spans="1:1" x14ac:dyDescent="0.35">
      <c r="A5799" s="4">
        <v>4500182523</v>
      </c>
    </row>
    <row r="5800" spans="1:1" x14ac:dyDescent="0.35">
      <c r="A5800" s="4">
        <v>4500182526</v>
      </c>
    </row>
    <row r="5801" spans="1:1" x14ac:dyDescent="0.35">
      <c r="A5801" s="4">
        <v>4500182530</v>
      </c>
    </row>
    <row r="5802" spans="1:1" x14ac:dyDescent="0.35">
      <c r="A5802" s="4">
        <v>4500182536</v>
      </c>
    </row>
    <row r="5803" spans="1:1" x14ac:dyDescent="0.35">
      <c r="A5803" s="4">
        <v>4500182540</v>
      </c>
    </row>
    <row r="5804" spans="1:1" x14ac:dyDescent="0.35">
      <c r="A5804" s="4">
        <v>4500182553</v>
      </c>
    </row>
    <row r="5805" spans="1:1" x14ac:dyDescent="0.35">
      <c r="A5805" s="4">
        <v>4500182557</v>
      </c>
    </row>
    <row r="5806" spans="1:1" x14ac:dyDescent="0.35">
      <c r="A5806" s="4">
        <v>4500182560</v>
      </c>
    </row>
    <row r="5807" spans="1:1" x14ac:dyDescent="0.35">
      <c r="A5807" s="4">
        <v>4500182562</v>
      </c>
    </row>
    <row r="5808" spans="1:1" x14ac:dyDescent="0.35">
      <c r="A5808" s="4">
        <v>4500182565</v>
      </c>
    </row>
    <row r="5809" spans="1:1" x14ac:dyDescent="0.35">
      <c r="A5809" s="4">
        <v>4500182567</v>
      </c>
    </row>
    <row r="5810" spans="1:1" x14ac:dyDescent="0.35">
      <c r="A5810" s="4">
        <v>4500182569</v>
      </c>
    </row>
    <row r="5811" spans="1:1" x14ac:dyDescent="0.35">
      <c r="A5811" s="4">
        <v>4500182572</v>
      </c>
    </row>
    <row r="5812" spans="1:1" x14ac:dyDescent="0.35">
      <c r="A5812" s="4">
        <v>4500182574</v>
      </c>
    </row>
    <row r="5813" spans="1:1" x14ac:dyDescent="0.35">
      <c r="A5813" s="4">
        <v>4500182649</v>
      </c>
    </row>
    <row r="5814" spans="1:1" x14ac:dyDescent="0.35">
      <c r="A5814" s="4">
        <v>4500182653</v>
      </c>
    </row>
    <row r="5815" spans="1:1" x14ac:dyDescent="0.35">
      <c r="A5815" s="4">
        <v>4500182658</v>
      </c>
    </row>
    <row r="5816" spans="1:1" x14ac:dyDescent="0.35">
      <c r="A5816" s="4">
        <v>4500182665</v>
      </c>
    </row>
    <row r="5817" spans="1:1" x14ac:dyDescent="0.35">
      <c r="A5817" s="4">
        <v>4500182675</v>
      </c>
    </row>
    <row r="5818" spans="1:1" x14ac:dyDescent="0.35">
      <c r="A5818" s="4">
        <v>4500182682</v>
      </c>
    </row>
    <row r="5819" spans="1:1" x14ac:dyDescent="0.35">
      <c r="A5819" s="4">
        <v>4500182684</v>
      </c>
    </row>
    <row r="5820" spans="1:1" x14ac:dyDescent="0.35">
      <c r="A5820" s="4">
        <v>4500182687</v>
      </c>
    </row>
    <row r="5821" spans="1:1" x14ac:dyDescent="0.35">
      <c r="A5821" s="4">
        <v>4500182693</v>
      </c>
    </row>
    <row r="5822" spans="1:1" x14ac:dyDescent="0.35">
      <c r="A5822" s="4">
        <v>4500182697</v>
      </c>
    </row>
    <row r="5823" spans="1:1" x14ac:dyDescent="0.35">
      <c r="A5823" s="4">
        <v>4500182710</v>
      </c>
    </row>
    <row r="5824" spans="1:1" x14ac:dyDescent="0.35">
      <c r="A5824" s="4">
        <v>4500182715</v>
      </c>
    </row>
    <row r="5825" spans="1:1" x14ac:dyDescent="0.35">
      <c r="A5825" s="4">
        <v>4500182719</v>
      </c>
    </row>
    <row r="5826" spans="1:1" x14ac:dyDescent="0.35">
      <c r="A5826" s="4">
        <v>4500182727</v>
      </c>
    </row>
    <row r="5827" spans="1:1" x14ac:dyDescent="0.35">
      <c r="A5827" s="4">
        <v>4500182740</v>
      </c>
    </row>
    <row r="5828" spans="1:1" x14ac:dyDescent="0.35">
      <c r="A5828" s="4">
        <v>4500182748</v>
      </c>
    </row>
    <row r="5829" spans="1:1" x14ac:dyDescent="0.35">
      <c r="A5829" s="4">
        <v>4500182752</v>
      </c>
    </row>
    <row r="5830" spans="1:1" x14ac:dyDescent="0.35">
      <c r="A5830" s="4">
        <v>4500182755</v>
      </c>
    </row>
    <row r="5831" spans="1:1" x14ac:dyDescent="0.35">
      <c r="A5831" s="4">
        <v>4500182761</v>
      </c>
    </row>
    <row r="5832" spans="1:1" x14ac:dyDescent="0.35">
      <c r="A5832" s="4">
        <v>4500182763</v>
      </c>
    </row>
    <row r="5833" spans="1:1" x14ac:dyDescent="0.35">
      <c r="A5833" s="4">
        <v>4500182766</v>
      </c>
    </row>
    <row r="5834" spans="1:1" x14ac:dyDescent="0.35">
      <c r="A5834" s="4">
        <v>4500182768</v>
      </c>
    </row>
    <row r="5835" spans="1:1" x14ac:dyDescent="0.35">
      <c r="A5835" s="4">
        <v>4500182771</v>
      </c>
    </row>
    <row r="5836" spans="1:1" x14ac:dyDescent="0.35">
      <c r="A5836" s="4">
        <v>4500182774</v>
      </c>
    </row>
    <row r="5837" spans="1:1" x14ac:dyDescent="0.35">
      <c r="A5837" s="4">
        <v>4500182778</v>
      </c>
    </row>
    <row r="5838" spans="1:1" x14ac:dyDescent="0.35">
      <c r="A5838" s="4">
        <v>4500182789</v>
      </c>
    </row>
    <row r="5839" spans="1:1" x14ac:dyDescent="0.35">
      <c r="A5839" s="4">
        <v>4500182858</v>
      </c>
    </row>
    <row r="5840" spans="1:1" x14ac:dyDescent="0.35">
      <c r="A5840" s="4">
        <v>4500182862</v>
      </c>
    </row>
    <row r="5841" spans="1:1" x14ac:dyDescent="0.35">
      <c r="A5841" s="4">
        <v>4500182867</v>
      </c>
    </row>
    <row r="5842" spans="1:1" x14ac:dyDescent="0.35">
      <c r="A5842" s="4">
        <v>4500182880</v>
      </c>
    </row>
    <row r="5843" spans="1:1" x14ac:dyDescent="0.35">
      <c r="A5843" s="4">
        <v>4500182886</v>
      </c>
    </row>
    <row r="5844" spans="1:1" x14ac:dyDescent="0.35">
      <c r="A5844" s="4">
        <v>4500182892</v>
      </c>
    </row>
    <row r="5845" spans="1:1" x14ac:dyDescent="0.35">
      <c r="A5845" s="4">
        <v>4500182898</v>
      </c>
    </row>
    <row r="5846" spans="1:1" x14ac:dyDescent="0.35">
      <c r="A5846" s="4">
        <v>4500182901</v>
      </c>
    </row>
    <row r="5847" spans="1:1" x14ac:dyDescent="0.35">
      <c r="A5847" s="4">
        <v>4500182906</v>
      </c>
    </row>
    <row r="5848" spans="1:1" x14ac:dyDescent="0.35">
      <c r="A5848" s="4">
        <v>4500182914</v>
      </c>
    </row>
    <row r="5849" spans="1:1" x14ac:dyDescent="0.35">
      <c r="A5849" s="4">
        <v>4500182917</v>
      </c>
    </row>
    <row r="5850" spans="1:1" x14ac:dyDescent="0.35">
      <c r="A5850" s="4">
        <v>4500182920</v>
      </c>
    </row>
    <row r="5851" spans="1:1" x14ac:dyDescent="0.35">
      <c r="A5851" s="4">
        <v>4500182922</v>
      </c>
    </row>
    <row r="5852" spans="1:1" x14ac:dyDescent="0.35">
      <c r="A5852" s="4">
        <v>4500182925</v>
      </c>
    </row>
    <row r="5853" spans="1:1" x14ac:dyDescent="0.35">
      <c r="A5853" s="4">
        <v>4500182934</v>
      </c>
    </row>
    <row r="5854" spans="1:1" x14ac:dyDescent="0.35">
      <c r="A5854" s="4">
        <v>4500182939</v>
      </c>
    </row>
    <row r="5855" spans="1:1" x14ac:dyDescent="0.35">
      <c r="A5855" s="4">
        <v>4500182945</v>
      </c>
    </row>
    <row r="5856" spans="1:1" x14ac:dyDescent="0.35">
      <c r="A5856" s="4">
        <v>4500182948</v>
      </c>
    </row>
    <row r="5857" spans="1:1" x14ac:dyDescent="0.35">
      <c r="A5857" s="4">
        <v>4500182952</v>
      </c>
    </row>
    <row r="5858" spans="1:1" x14ac:dyDescent="0.35">
      <c r="A5858" s="4">
        <v>4500182956</v>
      </c>
    </row>
    <row r="5859" spans="1:1" x14ac:dyDescent="0.35">
      <c r="A5859" s="4">
        <v>4500182959</v>
      </c>
    </row>
    <row r="5860" spans="1:1" x14ac:dyDescent="0.35">
      <c r="A5860" s="4">
        <v>4500183047</v>
      </c>
    </row>
    <row r="5861" spans="1:1" x14ac:dyDescent="0.35">
      <c r="A5861" s="4">
        <v>4500183050</v>
      </c>
    </row>
    <row r="5862" spans="1:1" x14ac:dyDescent="0.35">
      <c r="A5862" s="4">
        <v>4500183056</v>
      </c>
    </row>
    <row r="5863" spans="1:1" x14ac:dyDescent="0.35">
      <c r="A5863" s="4">
        <v>4500183060</v>
      </c>
    </row>
    <row r="5864" spans="1:1" x14ac:dyDescent="0.35">
      <c r="A5864" s="4">
        <v>4500183064</v>
      </c>
    </row>
    <row r="5865" spans="1:1" x14ac:dyDescent="0.35">
      <c r="A5865" s="4">
        <v>4500183069</v>
      </c>
    </row>
    <row r="5866" spans="1:1" x14ac:dyDescent="0.35">
      <c r="A5866" s="4">
        <v>4500183072</v>
      </c>
    </row>
    <row r="5867" spans="1:1" x14ac:dyDescent="0.35">
      <c r="A5867" s="4">
        <v>4500183084</v>
      </c>
    </row>
    <row r="5868" spans="1:1" x14ac:dyDescent="0.35">
      <c r="A5868" s="4">
        <v>4500183086</v>
      </c>
    </row>
    <row r="5869" spans="1:1" x14ac:dyDescent="0.35">
      <c r="A5869" s="4">
        <v>4500183094</v>
      </c>
    </row>
    <row r="5870" spans="1:1" x14ac:dyDescent="0.35">
      <c r="A5870" s="4">
        <v>4500183100</v>
      </c>
    </row>
    <row r="5871" spans="1:1" x14ac:dyDescent="0.35">
      <c r="A5871" s="4">
        <v>4500183103</v>
      </c>
    </row>
    <row r="5872" spans="1:1" x14ac:dyDescent="0.35">
      <c r="A5872" s="4">
        <v>4500183106</v>
      </c>
    </row>
    <row r="5873" spans="1:1" x14ac:dyDescent="0.35">
      <c r="A5873" s="4">
        <v>4500183110</v>
      </c>
    </row>
    <row r="5874" spans="1:1" x14ac:dyDescent="0.35">
      <c r="A5874" s="4">
        <v>4500183117</v>
      </c>
    </row>
    <row r="5875" spans="1:1" x14ac:dyDescent="0.35">
      <c r="A5875" s="4">
        <v>4500183120</v>
      </c>
    </row>
    <row r="5876" spans="1:1" x14ac:dyDescent="0.35">
      <c r="A5876" s="4">
        <v>4500183125</v>
      </c>
    </row>
    <row r="5877" spans="1:1" x14ac:dyDescent="0.35">
      <c r="A5877" s="4">
        <v>4500183128</v>
      </c>
    </row>
    <row r="5878" spans="1:1" x14ac:dyDescent="0.35">
      <c r="A5878" s="4">
        <v>4500183131</v>
      </c>
    </row>
    <row r="5879" spans="1:1" x14ac:dyDescent="0.35">
      <c r="A5879" s="4">
        <v>4500183134</v>
      </c>
    </row>
    <row r="5880" spans="1:1" x14ac:dyDescent="0.35">
      <c r="A5880" s="4">
        <v>4500183137</v>
      </c>
    </row>
    <row r="5881" spans="1:1" x14ac:dyDescent="0.35">
      <c r="A5881" s="4">
        <v>4500183140</v>
      </c>
    </row>
    <row r="5882" spans="1:1" x14ac:dyDescent="0.35">
      <c r="A5882" s="4">
        <v>4500183247</v>
      </c>
    </row>
    <row r="5883" spans="1:1" x14ac:dyDescent="0.35">
      <c r="A5883" s="4">
        <v>4500183253</v>
      </c>
    </row>
    <row r="5884" spans="1:1" x14ac:dyDescent="0.35">
      <c r="A5884" s="4">
        <v>4500183260</v>
      </c>
    </row>
    <row r="5885" spans="1:1" x14ac:dyDescent="0.35">
      <c r="A5885" s="4">
        <v>4500183273</v>
      </c>
    </row>
    <row r="5886" spans="1:1" x14ac:dyDescent="0.35">
      <c r="A5886" s="4">
        <v>4500183278</v>
      </c>
    </row>
    <row r="5887" spans="1:1" x14ac:dyDescent="0.35">
      <c r="A5887" s="4">
        <v>4500183287</v>
      </c>
    </row>
    <row r="5888" spans="1:1" x14ac:dyDescent="0.35">
      <c r="A5888" s="4">
        <v>4500183291</v>
      </c>
    </row>
    <row r="5889" spans="1:1" x14ac:dyDescent="0.35">
      <c r="A5889" s="4">
        <v>4500183298</v>
      </c>
    </row>
    <row r="5890" spans="1:1" x14ac:dyDescent="0.35">
      <c r="A5890" s="4">
        <v>4500183307</v>
      </c>
    </row>
    <row r="5891" spans="1:1" x14ac:dyDescent="0.35">
      <c r="A5891" s="4">
        <v>4500183308</v>
      </c>
    </row>
    <row r="5892" spans="1:1" x14ac:dyDescent="0.35">
      <c r="A5892" s="4">
        <v>4500183312</v>
      </c>
    </row>
    <row r="5893" spans="1:1" x14ac:dyDescent="0.35">
      <c r="A5893" s="4">
        <v>4500183315</v>
      </c>
    </row>
    <row r="5894" spans="1:1" x14ac:dyDescent="0.35">
      <c r="A5894" s="4">
        <v>4500183321</v>
      </c>
    </row>
    <row r="5895" spans="1:1" x14ac:dyDescent="0.35">
      <c r="A5895" s="4">
        <v>4500183325</v>
      </c>
    </row>
    <row r="5896" spans="1:1" x14ac:dyDescent="0.35">
      <c r="A5896" s="4">
        <v>4500183332</v>
      </c>
    </row>
    <row r="5897" spans="1:1" x14ac:dyDescent="0.35">
      <c r="A5897" s="4">
        <v>4500183334</v>
      </c>
    </row>
    <row r="5898" spans="1:1" x14ac:dyDescent="0.35">
      <c r="A5898" s="4">
        <v>4500183336</v>
      </c>
    </row>
    <row r="5899" spans="1:1" x14ac:dyDescent="0.35">
      <c r="A5899" s="4">
        <v>4500183345</v>
      </c>
    </row>
    <row r="5900" spans="1:1" x14ac:dyDescent="0.35">
      <c r="A5900" s="4">
        <v>4500183352</v>
      </c>
    </row>
    <row r="5901" spans="1:1" x14ac:dyDescent="0.35">
      <c r="A5901" s="4">
        <v>4500183356</v>
      </c>
    </row>
    <row r="5902" spans="1:1" x14ac:dyDescent="0.35">
      <c r="A5902" s="4">
        <v>4500183358</v>
      </c>
    </row>
    <row r="5903" spans="1:1" x14ac:dyDescent="0.35">
      <c r="A5903" s="4">
        <v>4500183362</v>
      </c>
    </row>
    <row r="5904" spans="1:1" x14ac:dyDescent="0.35">
      <c r="A5904" s="4">
        <v>4500183364</v>
      </c>
    </row>
    <row r="5905" spans="1:1" x14ac:dyDescent="0.35">
      <c r="A5905" s="4">
        <v>4500183366</v>
      </c>
    </row>
    <row r="5906" spans="1:1" x14ac:dyDescent="0.35">
      <c r="A5906" s="4">
        <v>4500183367</v>
      </c>
    </row>
    <row r="5907" spans="1:1" x14ac:dyDescent="0.35">
      <c r="A5907" s="4">
        <v>4500183372</v>
      </c>
    </row>
    <row r="5908" spans="1:1" x14ac:dyDescent="0.35">
      <c r="A5908" s="4">
        <v>4500183374</v>
      </c>
    </row>
    <row r="5909" spans="1:1" x14ac:dyDescent="0.35">
      <c r="A5909" s="4">
        <v>4500183377</v>
      </c>
    </row>
    <row r="5910" spans="1:1" x14ac:dyDescent="0.35">
      <c r="A5910" s="4">
        <v>4500183384</v>
      </c>
    </row>
    <row r="5911" spans="1:1" x14ac:dyDescent="0.35">
      <c r="A5911" s="4">
        <v>4500183440</v>
      </c>
    </row>
    <row r="5912" spans="1:1" x14ac:dyDescent="0.35">
      <c r="A5912" s="4">
        <v>4500183451</v>
      </c>
    </row>
    <row r="5913" spans="1:1" x14ac:dyDescent="0.35">
      <c r="A5913" s="4">
        <v>4500183453</v>
      </c>
    </row>
    <row r="5914" spans="1:1" x14ac:dyDescent="0.35">
      <c r="A5914" s="4">
        <v>4500183456</v>
      </c>
    </row>
    <row r="5915" spans="1:1" x14ac:dyDescent="0.35">
      <c r="A5915" s="4">
        <v>4500183459</v>
      </c>
    </row>
    <row r="5916" spans="1:1" x14ac:dyDescent="0.35">
      <c r="A5916" s="4">
        <v>4500183471</v>
      </c>
    </row>
    <row r="5917" spans="1:1" x14ac:dyDescent="0.35">
      <c r="A5917" s="4">
        <v>4500183476</v>
      </c>
    </row>
    <row r="5918" spans="1:1" x14ac:dyDescent="0.35">
      <c r="A5918" s="4">
        <v>4500183478</v>
      </c>
    </row>
    <row r="5919" spans="1:1" x14ac:dyDescent="0.35">
      <c r="A5919" s="4">
        <v>4500183482</v>
      </c>
    </row>
    <row r="5920" spans="1:1" x14ac:dyDescent="0.35">
      <c r="A5920" s="4">
        <v>4500183488</v>
      </c>
    </row>
    <row r="5921" spans="1:1" x14ac:dyDescent="0.35">
      <c r="A5921" s="4">
        <v>4500183491</v>
      </c>
    </row>
    <row r="5922" spans="1:1" x14ac:dyDescent="0.35">
      <c r="A5922" s="4">
        <v>4500183497</v>
      </c>
    </row>
    <row r="5923" spans="1:1" x14ac:dyDescent="0.35">
      <c r="A5923" s="4">
        <v>4500183501</v>
      </c>
    </row>
    <row r="5924" spans="1:1" x14ac:dyDescent="0.35">
      <c r="A5924" s="4">
        <v>4500183507</v>
      </c>
    </row>
    <row r="5925" spans="1:1" x14ac:dyDescent="0.35">
      <c r="A5925" s="4">
        <v>4500183510</v>
      </c>
    </row>
    <row r="5926" spans="1:1" x14ac:dyDescent="0.35">
      <c r="A5926" s="4">
        <v>4500183514</v>
      </c>
    </row>
    <row r="5927" spans="1:1" x14ac:dyDescent="0.35">
      <c r="A5927" s="4">
        <v>4500183519</v>
      </c>
    </row>
    <row r="5928" spans="1:1" x14ac:dyDescent="0.35">
      <c r="A5928" s="4">
        <v>4500183522</v>
      </c>
    </row>
    <row r="5929" spans="1:1" x14ac:dyDescent="0.35">
      <c r="A5929" s="4">
        <v>4500183524</v>
      </c>
    </row>
    <row r="5930" spans="1:1" x14ac:dyDescent="0.35">
      <c r="A5930" s="4">
        <v>4500183526</v>
      </c>
    </row>
    <row r="5931" spans="1:1" x14ac:dyDescent="0.35">
      <c r="A5931" s="4">
        <v>4500183529</v>
      </c>
    </row>
    <row r="5932" spans="1:1" x14ac:dyDescent="0.35">
      <c r="A5932" s="4">
        <v>4500183534</v>
      </c>
    </row>
    <row r="5933" spans="1:1" x14ac:dyDescent="0.35">
      <c r="A5933" s="4">
        <v>4500183541</v>
      </c>
    </row>
    <row r="5934" spans="1:1" x14ac:dyDescent="0.35">
      <c r="A5934" s="4">
        <v>4500183549</v>
      </c>
    </row>
    <row r="5935" spans="1:1" x14ac:dyDescent="0.35">
      <c r="A5935" s="4">
        <v>4500183552</v>
      </c>
    </row>
    <row r="5936" spans="1:1" x14ac:dyDescent="0.35">
      <c r="A5936" s="4">
        <v>4500183555</v>
      </c>
    </row>
    <row r="5937" spans="1:1" x14ac:dyDescent="0.35">
      <c r="A5937" s="4">
        <v>4500183559</v>
      </c>
    </row>
    <row r="5938" spans="1:1" x14ac:dyDescent="0.35">
      <c r="A5938" s="4">
        <v>4500183564</v>
      </c>
    </row>
    <row r="5939" spans="1:1" x14ac:dyDescent="0.35">
      <c r="A5939" s="4">
        <v>4500183567</v>
      </c>
    </row>
    <row r="5940" spans="1:1" x14ac:dyDescent="0.35">
      <c r="A5940" s="4">
        <v>4500183598</v>
      </c>
    </row>
    <row r="5941" spans="1:1" x14ac:dyDescent="0.35">
      <c r="A5941" s="4">
        <v>4500183671</v>
      </c>
    </row>
    <row r="5942" spans="1:1" x14ac:dyDescent="0.35">
      <c r="A5942" s="4">
        <v>4500183676</v>
      </c>
    </row>
    <row r="5943" spans="1:1" x14ac:dyDescent="0.35">
      <c r="A5943" s="4">
        <v>4500183689</v>
      </c>
    </row>
    <row r="5944" spans="1:1" x14ac:dyDescent="0.35">
      <c r="A5944" s="4">
        <v>4500183692</v>
      </c>
    </row>
    <row r="5945" spans="1:1" x14ac:dyDescent="0.35">
      <c r="A5945" s="4">
        <v>4500183695</v>
      </c>
    </row>
    <row r="5946" spans="1:1" x14ac:dyDescent="0.35">
      <c r="A5946" s="4">
        <v>4500183699</v>
      </c>
    </row>
    <row r="5947" spans="1:1" x14ac:dyDescent="0.35">
      <c r="A5947" s="4">
        <v>4500183705</v>
      </c>
    </row>
    <row r="5948" spans="1:1" x14ac:dyDescent="0.35">
      <c r="A5948" s="4">
        <v>4500183710</v>
      </c>
    </row>
    <row r="5949" spans="1:1" x14ac:dyDescent="0.35">
      <c r="A5949" s="4">
        <v>4500183719</v>
      </c>
    </row>
    <row r="5950" spans="1:1" x14ac:dyDescent="0.35">
      <c r="A5950" s="4">
        <v>4500183724</v>
      </c>
    </row>
    <row r="5951" spans="1:1" x14ac:dyDescent="0.35">
      <c r="A5951" s="4">
        <v>4500183734</v>
      </c>
    </row>
    <row r="5952" spans="1:1" x14ac:dyDescent="0.35">
      <c r="A5952" s="4">
        <v>4500183738</v>
      </c>
    </row>
    <row r="5953" spans="1:1" x14ac:dyDescent="0.35">
      <c r="A5953" s="4">
        <v>4500183744</v>
      </c>
    </row>
    <row r="5954" spans="1:1" x14ac:dyDescent="0.35">
      <c r="A5954" s="4">
        <v>4500183748</v>
      </c>
    </row>
    <row r="5955" spans="1:1" x14ac:dyDescent="0.35">
      <c r="A5955" s="4">
        <v>4500183752</v>
      </c>
    </row>
    <row r="5956" spans="1:1" x14ac:dyDescent="0.35">
      <c r="A5956" s="4">
        <v>4500183755</v>
      </c>
    </row>
    <row r="5957" spans="1:1" x14ac:dyDescent="0.35">
      <c r="A5957" s="4">
        <v>4500183760</v>
      </c>
    </row>
    <row r="5958" spans="1:1" x14ac:dyDescent="0.35">
      <c r="A5958" s="4">
        <v>4500183764</v>
      </c>
    </row>
    <row r="5959" spans="1:1" x14ac:dyDescent="0.35">
      <c r="A5959" s="4">
        <v>4500183766</v>
      </c>
    </row>
    <row r="5960" spans="1:1" x14ac:dyDescent="0.35">
      <c r="A5960" s="4">
        <v>4500183769</v>
      </c>
    </row>
    <row r="5961" spans="1:1" x14ac:dyDescent="0.35">
      <c r="A5961" s="4">
        <v>4500183794</v>
      </c>
    </row>
    <row r="5962" spans="1:1" x14ac:dyDescent="0.35">
      <c r="A5962" s="4">
        <v>4500183797</v>
      </c>
    </row>
    <row r="5963" spans="1:1" x14ac:dyDescent="0.35">
      <c r="A5963" s="4">
        <v>4500183874</v>
      </c>
    </row>
    <row r="5964" spans="1:1" x14ac:dyDescent="0.35">
      <c r="A5964" s="4">
        <v>4500183876</v>
      </c>
    </row>
    <row r="5965" spans="1:1" x14ac:dyDescent="0.35">
      <c r="A5965" s="4">
        <v>4500183877</v>
      </c>
    </row>
    <row r="5966" spans="1:1" x14ac:dyDescent="0.35">
      <c r="A5966" s="4">
        <v>4500183879</v>
      </c>
    </row>
    <row r="5967" spans="1:1" x14ac:dyDescent="0.35">
      <c r="A5967" s="4">
        <v>4500183881</v>
      </c>
    </row>
    <row r="5968" spans="1:1" x14ac:dyDescent="0.35">
      <c r="A5968" s="4">
        <v>4500183883</v>
      </c>
    </row>
    <row r="5969" spans="1:1" x14ac:dyDescent="0.35">
      <c r="A5969" s="4">
        <v>4500183885</v>
      </c>
    </row>
    <row r="5970" spans="1:1" x14ac:dyDescent="0.35">
      <c r="A5970" s="4">
        <v>4500183889</v>
      </c>
    </row>
    <row r="5971" spans="1:1" x14ac:dyDescent="0.35">
      <c r="A5971" s="4">
        <v>4500183894</v>
      </c>
    </row>
    <row r="5972" spans="1:1" x14ac:dyDescent="0.35">
      <c r="A5972" s="4">
        <v>4500183898</v>
      </c>
    </row>
    <row r="5973" spans="1:1" x14ac:dyDescent="0.35">
      <c r="A5973" s="4">
        <v>4500183903</v>
      </c>
    </row>
    <row r="5974" spans="1:1" x14ac:dyDescent="0.35">
      <c r="A5974" s="4">
        <v>4500183913</v>
      </c>
    </row>
    <row r="5975" spans="1:1" x14ac:dyDescent="0.35">
      <c r="A5975" s="4">
        <v>4500183917</v>
      </c>
    </row>
    <row r="5976" spans="1:1" x14ac:dyDescent="0.35">
      <c r="A5976" s="4">
        <v>4500183921</v>
      </c>
    </row>
    <row r="5977" spans="1:1" x14ac:dyDescent="0.35">
      <c r="A5977" s="4">
        <v>4500183926</v>
      </c>
    </row>
    <row r="5978" spans="1:1" x14ac:dyDescent="0.35">
      <c r="A5978" s="4">
        <v>4500183929</v>
      </c>
    </row>
    <row r="5979" spans="1:1" x14ac:dyDescent="0.35">
      <c r="A5979" s="4">
        <v>4500183933</v>
      </c>
    </row>
    <row r="5980" spans="1:1" x14ac:dyDescent="0.35">
      <c r="A5980" s="4">
        <v>4500183938</v>
      </c>
    </row>
    <row r="5981" spans="1:1" x14ac:dyDescent="0.35">
      <c r="A5981" s="4">
        <v>4500183940</v>
      </c>
    </row>
    <row r="5982" spans="1:1" x14ac:dyDescent="0.35">
      <c r="A5982" s="4">
        <v>4500183944</v>
      </c>
    </row>
    <row r="5983" spans="1:1" x14ac:dyDescent="0.35">
      <c r="A5983" s="4">
        <v>4500183946</v>
      </c>
    </row>
    <row r="5984" spans="1:1" x14ac:dyDescent="0.35">
      <c r="A5984" s="4">
        <v>4500183951</v>
      </c>
    </row>
    <row r="5985" spans="1:1" x14ac:dyDescent="0.35">
      <c r="A5985" s="4">
        <v>4500183956</v>
      </c>
    </row>
    <row r="5986" spans="1:1" x14ac:dyDescent="0.35">
      <c r="A5986" s="4">
        <v>4500183960</v>
      </c>
    </row>
    <row r="5987" spans="1:1" x14ac:dyDescent="0.35">
      <c r="A5987" s="4">
        <v>4500183964</v>
      </c>
    </row>
    <row r="5988" spans="1:1" x14ac:dyDescent="0.35">
      <c r="A5988" s="4">
        <v>4500183967</v>
      </c>
    </row>
    <row r="5989" spans="1:1" x14ac:dyDescent="0.35">
      <c r="A5989" s="4">
        <v>4500183976</v>
      </c>
    </row>
    <row r="5990" spans="1:1" x14ac:dyDescent="0.35">
      <c r="A5990" s="4">
        <v>4500183979</v>
      </c>
    </row>
    <row r="5991" spans="1:1" x14ac:dyDescent="0.35">
      <c r="A5991" s="4">
        <v>4500183981</v>
      </c>
    </row>
    <row r="5992" spans="1:1" x14ac:dyDescent="0.35">
      <c r="A5992" s="4">
        <v>4500183984</v>
      </c>
    </row>
    <row r="5993" spans="1:1" x14ac:dyDescent="0.35">
      <c r="A5993" s="4">
        <v>4500183987</v>
      </c>
    </row>
    <row r="5994" spans="1:1" x14ac:dyDescent="0.35">
      <c r="A5994" s="4">
        <v>4500183990</v>
      </c>
    </row>
    <row r="5995" spans="1:1" x14ac:dyDescent="0.35">
      <c r="A5995" s="4">
        <v>4500183993</v>
      </c>
    </row>
    <row r="5996" spans="1:1" x14ac:dyDescent="0.35">
      <c r="A5996" s="4">
        <v>4500183995</v>
      </c>
    </row>
    <row r="5997" spans="1:1" x14ac:dyDescent="0.35">
      <c r="A5997" s="4">
        <v>4500183998</v>
      </c>
    </row>
    <row r="5998" spans="1:1" x14ac:dyDescent="0.35">
      <c r="A5998" s="4">
        <v>4500184000</v>
      </c>
    </row>
    <row r="5999" spans="1:1" x14ac:dyDescent="0.35">
      <c r="A5999" s="4">
        <v>4500184003</v>
      </c>
    </row>
    <row r="6000" spans="1:1" x14ac:dyDescent="0.35">
      <c r="A6000" s="4">
        <v>4500184004</v>
      </c>
    </row>
    <row r="6001" spans="1:1" x14ac:dyDescent="0.35">
      <c r="A6001" s="4">
        <v>4500184064</v>
      </c>
    </row>
    <row r="6002" spans="1:1" x14ac:dyDescent="0.35">
      <c r="A6002" s="4">
        <v>4500184065</v>
      </c>
    </row>
    <row r="6003" spans="1:1" x14ac:dyDescent="0.35">
      <c r="A6003" s="4">
        <v>4500184080</v>
      </c>
    </row>
    <row r="6004" spans="1:1" x14ac:dyDescent="0.35">
      <c r="A6004" s="4">
        <v>4500184083</v>
      </c>
    </row>
    <row r="6005" spans="1:1" x14ac:dyDescent="0.35">
      <c r="A6005" s="4">
        <v>4500184089</v>
      </c>
    </row>
    <row r="6006" spans="1:1" x14ac:dyDescent="0.35">
      <c r="A6006" s="4">
        <v>4500184105</v>
      </c>
    </row>
    <row r="6007" spans="1:1" x14ac:dyDescent="0.35">
      <c r="A6007" s="4">
        <v>4500184110</v>
      </c>
    </row>
    <row r="6008" spans="1:1" x14ac:dyDescent="0.35">
      <c r="A6008" s="4">
        <v>4500184115</v>
      </c>
    </row>
    <row r="6009" spans="1:1" x14ac:dyDescent="0.35">
      <c r="A6009" s="4">
        <v>4500184118</v>
      </c>
    </row>
    <row r="6010" spans="1:1" x14ac:dyDescent="0.35">
      <c r="A6010" s="4">
        <v>4500184122</v>
      </c>
    </row>
    <row r="6011" spans="1:1" x14ac:dyDescent="0.35">
      <c r="A6011" s="4">
        <v>4500184128</v>
      </c>
    </row>
    <row r="6012" spans="1:1" x14ac:dyDescent="0.35">
      <c r="A6012" s="4">
        <v>4500184134</v>
      </c>
    </row>
    <row r="6013" spans="1:1" x14ac:dyDescent="0.35">
      <c r="A6013" s="4">
        <v>4500184145</v>
      </c>
    </row>
    <row r="6014" spans="1:1" x14ac:dyDescent="0.35">
      <c r="A6014" s="4">
        <v>4500184151</v>
      </c>
    </row>
    <row r="6015" spans="1:1" x14ac:dyDescent="0.35">
      <c r="A6015" s="4">
        <v>4500184154</v>
      </c>
    </row>
    <row r="6016" spans="1:1" x14ac:dyDescent="0.35">
      <c r="A6016" s="4">
        <v>4500184156</v>
      </c>
    </row>
    <row r="6017" spans="1:1" x14ac:dyDescent="0.35">
      <c r="A6017" s="4">
        <v>4500184158</v>
      </c>
    </row>
    <row r="6018" spans="1:1" x14ac:dyDescent="0.35">
      <c r="A6018" s="4">
        <v>4500184159</v>
      </c>
    </row>
    <row r="6019" spans="1:1" x14ac:dyDescent="0.35">
      <c r="A6019" s="4">
        <v>4500184160</v>
      </c>
    </row>
    <row r="6020" spans="1:1" x14ac:dyDescent="0.35">
      <c r="A6020" s="4">
        <v>4500184164</v>
      </c>
    </row>
    <row r="6021" spans="1:1" x14ac:dyDescent="0.35">
      <c r="A6021" s="4">
        <v>4500184166</v>
      </c>
    </row>
    <row r="6022" spans="1:1" x14ac:dyDescent="0.35">
      <c r="A6022" s="4">
        <v>4500184178</v>
      </c>
    </row>
    <row r="6023" spans="1:1" x14ac:dyDescent="0.35">
      <c r="A6023" s="4">
        <v>4500184182</v>
      </c>
    </row>
    <row r="6024" spans="1:1" x14ac:dyDescent="0.35">
      <c r="A6024" s="4">
        <v>4500184184</v>
      </c>
    </row>
    <row r="6025" spans="1:1" x14ac:dyDescent="0.35">
      <c r="A6025" s="4">
        <v>4500184187</v>
      </c>
    </row>
    <row r="6026" spans="1:1" x14ac:dyDescent="0.35">
      <c r="A6026" s="4">
        <v>4500184253</v>
      </c>
    </row>
    <row r="6027" spans="1:1" x14ac:dyDescent="0.35">
      <c r="A6027" s="4">
        <v>4500184256</v>
      </c>
    </row>
    <row r="6028" spans="1:1" x14ac:dyDescent="0.35">
      <c r="A6028" s="4">
        <v>4500184259</v>
      </c>
    </row>
    <row r="6029" spans="1:1" x14ac:dyDescent="0.35">
      <c r="A6029" s="4">
        <v>4500184266</v>
      </c>
    </row>
    <row r="6030" spans="1:1" x14ac:dyDescent="0.35">
      <c r="A6030" s="4">
        <v>4500184271</v>
      </c>
    </row>
    <row r="6031" spans="1:1" x14ac:dyDescent="0.35">
      <c r="A6031" s="4">
        <v>4500184274</v>
      </c>
    </row>
    <row r="6032" spans="1:1" x14ac:dyDescent="0.35">
      <c r="A6032" s="4">
        <v>4500184283</v>
      </c>
    </row>
    <row r="6033" spans="1:1" x14ac:dyDescent="0.35">
      <c r="A6033" s="4">
        <v>4500184289</v>
      </c>
    </row>
    <row r="6034" spans="1:1" x14ac:dyDescent="0.35">
      <c r="A6034" s="4">
        <v>4500184299</v>
      </c>
    </row>
    <row r="6035" spans="1:1" x14ac:dyDescent="0.35">
      <c r="A6035" s="4">
        <v>4500184303</v>
      </c>
    </row>
    <row r="6036" spans="1:1" x14ac:dyDescent="0.35">
      <c r="A6036" s="4">
        <v>4500184308</v>
      </c>
    </row>
    <row r="6037" spans="1:1" x14ac:dyDescent="0.35">
      <c r="A6037" s="4">
        <v>4500184313</v>
      </c>
    </row>
    <row r="6038" spans="1:1" x14ac:dyDescent="0.35">
      <c r="A6038" s="4">
        <v>4500184315</v>
      </c>
    </row>
    <row r="6039" spans="1:1" x14ac:dyDescent="0.35">
      <c r="A6039" s="4">
        <v>4500184318</v>
      </c>
    </row>
    <row r="6040" spans="1:1" x14ac:dyDescent="0.35">
      <c r="A6040" s="4">
        <v>4500184329</v>
      </c>
    </row>
    <row r="6041" spans="1:1" x14ac:dyDescent="0.35">
      <c r="A6041" s="4">
        <v>4500184334</v>
      </c>
    </row>
    <row r="6042" spans="1:1" x14ac:dyDescent="0.35">
      <c r="A6042" s="4">
        <v>4500184340</v>
      </c>
    </row>
    <row r="6043" spans="1:1" x14ac:dyDescent="0.35">
      <c r="A6043" s="4">
        <v>4500184347</v>
      </c>
    </row>
    <row r="6044" spans="1:1" x14ac:dyDescent="0.35">
      <c r="A6044" s="4">
        <v>4500184354</v>
      </c>
    </row>
    <row r="6045" spans="1:1" x14ac:dyDescent="0.35">
      <c r="A6045" s="4">
        <v>4500184369</v>
      </c>
    </row>
    <row r="6046" spans="1:1" x14ac:dyDescent="0.35">
      <c r="A6046" s="4">
        <v>4500184372</v>
      </c>
    </row>
    <row r="6047" spans="1:1" x14ac:dyDescent="0.35">
      <c r="A6047" s="4">
        <v>4500184374</v>
      </c>
    </row>
    <row r="6048" spans="1:1" x14ac:dyDescent="0.35">
      <c r="A6048" s="4">
        <v>4500184375</v>
      </c>
    </row>
    <row r="6049" spans="1:1" x14ac:dyDescent="0.35">
      <c r="A6049" s="4">
        <v>4500184376</v>
      </c>
    </row>
    <row r="6050" spans="1:1" x14ac:dyDescent="0.35">
      <c r="A6050" s="4">
        <v>4500184377</v>
      </c>
    </row>
    <row r="6051" spans="1:1" x14ac:dyDescent="0.35">
      <c r="A6051" s="4">
        <v>4500184475</v>
      </c>
    </row>
    <row r="6052" spans="1:1" x14ac:dyDescent="0.35">
      <c r="A6052" s="4">
        <v>4500184479</v>
      </c>
    </row>
    <row r="6053" spans="1:1" x14ac:dyDescent="0.35">
      <c r="A6053" s="4">
        <v>4500184480</v>
      </c>
    </row>
    <row r="6054" spans="1:1" x14ac:dyDescent="0.35">
      <c r="A6054" s="4">
        <v>4500184483</v>
      </c>
    </row>
    <row r="6055" spans="1:1" x14ac:dyDescent="0.35">
      <c r="A6055" s="4">
        <v>4500184486</v>
      </c>
    </row>
    <row r="6056" spans="1:1" x14ac:dyDescent="0.35">
      <c r="A6056" s="4">
        <v>4500184488</v>
      </c>
    </row>
    <row r="6057" spans="1:1" x14ac:dyDescent="0.35">
      <c r="A6057" s="4">
        <v>4500184491</v>
      </c>
    </row>
    <row r="6058" spans="1:1" x14ac:dyDescent="0.35">
      <c r="A6058" s="4">
        <v>4500184494</v>
      </c>
    </row>
    <row r="6059" spans="1:1" x14ac:dyDescent="0.35">
      <c r="A6059" s="4">
        <v>4500184497</v>
      </c>
    </row>
    <row r="6060" spans="1:1" x14ac:dyDescent="0.35">
      <c r="A6060" s="4">
        <v>4500184500</v>
      </c>
    </row>
    <row r="6061" spans="1:1" x14ac:dyDescent="0.35">
      <c r="A6061" s="4">
        <v>4500184502</v>
      </c>
    </row>
    <row r="6062" spans="1:1" x14ac:dyDescent="0.35">
      <c r="A6062" s="4">
        <v>4500184503</v>
      </c>
    </row>
    <row r="6063" spans="1:1" x14ac:dyDescent="0.35">
      <c r="A6063" s="4">
        <v>4500184505</v>
      </c>
    </row>
    <row r="6064" spans="1:1" x14ac:dyDescent="0.35">
      <c r="A6064" s="4">
        <v>4500184506</v>
      </c>
    </row>
    <row r="6065" spans="1:1" x14ac:dyDescent="0.35">
      <c r="A6065" s="4">
        <v>4500184509</v>
      </c>
    </row>
    <row r="6066" spans="1:1" x14ac:dyDescent="0.35">
      <c r="A6066" s="4">
        <v>4500184513</v>
      </c>
    </row>
    <row r="6067" spans="1:1" x14ac:dyDescent="0.35">
      <c r="A6067" s="4">
        <v>4500184516</v>
      </c>
    </row>
    <row r="6068" spans="1:1" x14ac:dyDescent="0.35">
      <c r="A6068" s="4">
        <v>4500184522</v>
      </c>
    </row>
    <row r="6069" spans="1:1" x14ac:dyDescent="0.35">
      <c r="A6069" s="4">
        <v>4500184525</v>
      </c>
    </row>
    <row r="6070" spans="1:1" x14ac:dyDescent="0.35">
      <c r="A6070" s="4">
        <v>4500184529</v>
      </c>
    </row>
    <row r="6071" spans="1:1" x14ac:dyDescent="0.35">
      <c r="A6071" s="4">
        <v>4500184532</v>
      </c>
    </row>
    <row r="6072" spans="1:1" x14ac:dyDescent="0.35">
      <c r="A6072" s="4">
        <v>4500184534</v>
      </c>
    </row>
    <row r="6073" spans="1:1" x14ac:dyDescent="0.35">
      <c r="A6073" s="4">
        <v>4500184537</v>
      </c>
    </row>
    <row r="6074" spans="1:1" x14ac:dyDescent="0.35">
      <c r="A6074" s="4">
        <v>4500184543</v>
      </c>
    </row>
    <row r="6075" spans="1:1" x14ac:dyDescent="0.35">
      <c r="A6075" s="4">
        <v>4500184545</v>
      </c>
    </row>
    <row r="6076" spans="1:1" x14ac:dyDescent="0.35">
      <c r="A6076" s="4">
        <v>4500184548</v>
      </c>
    </row>
    <row r="6077" spans="1:1" x14ac:dyDescent="0.35">
      <c r="A6077" s="4">
        <v>4500184549</v>
      </c>
    </row>
    <row r="6078" spans="1:1" x14ac:dyDescent="0.35">
      <c r="A6078" s="4">
        <v>4500184552</v>
      </c>
    </row>
    <row r="6079" spans="1:1" x14ac:dyDescent="0.35">
      <c r="A6079" s="4">
        <v>4500184556</v>
      </c>
    </row>
    <row r="6080" spans="1:1" x14ac:dyDescent="0.35">
      <c r="A6080" s="4">
        <v>4500184568</v>
      </c>
    </row>
    <row r="6081" spans="1:1" x14ac:dyDescent="0.35">
      <c r="A6081" s="4">
        <v>4500184571</v>
      </c>
    </row>
    <row r="6082" spans="1:1" x14ac:dyDescent="0.35">
      <c r="A6082" s="4">
        <v>4500184639</v>
      </c>
    </row>
    <row r="6083" spans="1:1" x14ac:dyDescent="0.35">
      <c r="A6083" s="4">
        <v>4500184642</v>
      </c>
    </row>
    <row r="6084" spans="1:1" x14ac:dyDescent="0.35">
      <c r="A6084" s="4">
        <v>4500184647</v>
      </c>
    </row>
    <row r="6085" spans="1:1" x14ac:dyDescent="0.35">
      <c r="A6085" s="4">
        <v>4500184651</v>
      </c>
    </row>
    <row r="6086" spans="1:1" x14ac:dyDescent="0.35">
      <c r="A6086" s="4">
        <v>4500184655</v>
      </c>
    </row>
    <row r="6087" spans="1:1" x14ac:dyDescent="0.35">
      <c r="A6087" s="4">
        <v>4500184659</v>
      </c>
    </row>
    <row r="6088" spans="1:1" x14ac:dyDescent="0.35">
      <c r="A6088" s="4">
        <v>4500184663</v>
      </c>
    </row>
    <row r="6089" spans="1:1" x14ac:dyDescent="0.35">
      <c r="A6089" s="4">
        <v>4500184667</v>
      </c>
    </row>
    <row r="6090" spans="1:1" x14ac:dyDescent="0.35">
      <c r="A6090" s="4">
        <v>4500184671</v>
      </c>
    </row>
    <row r="6091" spans="1:1" x14ac:dyDescent="0.35">
      <c r="A6091" s="4">
        <v>4500184675</v>
      </c>
    </row>
    <row r="6092" spans="1:1" x14ac:dyDescent="0.35">
      <c r="A6092" s="4">
        <v>4500184680</v>
      </c>
    </row>
    <row r="6093" spans="1:1" x14ac:dyDescent="0.35">
      <c r="A6093" s="4">
        <v>4500184688</v>
      </c>
    </row>
    <row r="6094" spans="1:1" x14ac:dyDescent="0.35">
      <c r="A6094" s="4">
        <v>4500184691</v>
      </c>
    </row>
    <row r="6095" spans="1:1" x14ac:dyDescent="0.35">
      <c r="A6095" s="4">
        <v>4500184694</v>
      </c>
    </row>
    <row r="6096" spans="1:1" x14ac:dyDescent="0.35">
      <c r="A6096" s="4">
        <v>4500184696</v>
      </c>
    </row>
    <row r="6097" spans="1:1" x14ac:dyDescent="0.35">
      <c r="A6097" s="4">
        <v>4500184701</v>
      </c>
    </row>
    <row r="6098" spans="1:1" x14ac:dyDescent="0.35">
      <c r="A6098" s="4">
        <v>4500184708</v>
      </c>
    </row>
    <row r="6099" spans="1:1" x14ac:dyDescent="0.35">
      <c r="A6099" s="4">
        <v>4500184711</v>
      </c>
    </row>
    <row r="6100" spans="1:1" x14ac:dyDescent="0.35">
      <c r="A6100" s="4">
        <v>4500184715</v>
      </c>
    </row>
    <row r="6101" spans="1:1" x14ac:dyDescent="0.35">
      <c r="A6101" s="4">
        <v>4500184719</v>
      </c>
    </row>
    <row r="6102" spans="1:1" x14ac:dyDescent="0.35">
      <c r="A6102" s="4">
        <v>4500184725</v>
      </c>
    </row>
    <row r="6103" spans="1:1" x14ac:dyDescent="0.35">
      <c r="A6103" s="4">
        <v>4500184729</v>
      </c>
    </row>
    <row r="6104" spans="1:1" x14ac:dyDescent="0.35">
      <c r="A6104" s="4">
        <v>4500184732</v>
      </c>
    </row>
    <row r="6105" spans="1:1" x14ac:dyDescent="0.35">
      <c r="A6105" s="4">
        <v>4500184738</v>
      </c>
    </row>
    <row r="6106" spans="1:1" x14ac:dyDescent="0.35">
      <c r="A6106" s="4">
        <v>4500184850</v>
      </c>
    </row>
    <row r="6107" spans="1:1" x14ac:dyDescent="0.35">
      <c r="A6107" s="4">
        <v>4500184858</v>
      </c>
    </row>
    <row r="6108" spans="1:1" x14ac:dyDescent="0.35">
      <c r="A6108" s="4">
        <v>4500184860</v>
      </c>
    </row>
    <row r="6109" spans="1:1" x14ac:dyDescent="0.35">
      <c r="A6109" s="4">
        <v>4500184866</v>
      </c>
    </row>
    <row r="6110" spans="1:1" x14ac:dyDescent="0.35">
      <c r="A6110" s="4">
        <v>4500184870</v>
      </c>
    </row>
    <row r="6111" spans="1:1" x14ac:dyDescent="0.35">
      <c r="A6111" s="4">
        <v>4500184874</v>
      </c>
    </row>
    <row r="6112" spans="1:1" x14ac:dyDescent="0.35">
      <c r="A6112" s="4">
        <v>4500184878</v>
      </c>
    </row>
    <row r="6113" spans="1:1" x14ac:dyDescent="0.35">
      <c r="A6113" s="4">
        <v>4500184885</v>
      </c>
    </row>
    <row r="6114" spans="1:1" x14ac:dyDescent="0.35">
      <c r="A6114" s="4">
        <v>4500184890</v>
      </c>
    </row>
    <row r="6115" spans="1:1" x14ac:dyDescent="0.35">
      <c r="A6115" s="4">
        <v>4500184897</v>
      </c>
    </row>
    <row r="6116" spans="1:1" x14ac:dyDescent="0.35">
      <c r="A6116" s="4">
        <v>4500184901</v>
      </c>
    </row>
    <row r="6117" spans="1:1" x14ac:dyDescent="0.35">
      <c r="A6117" s="4">
        <v>4500184906</v>
      </c>
    </row>
    <row r="6118" spans="1:1" x14ac:dyDescent="0.35">
      <c r="A6118" s="4">
        <v>4500184910</v>
      </c>
    </row>
    <row r="6119" spans="1:1" x14ac:dyDescent="0.35">
      <c r="A6119" s="4">
        <v>4500184915</v>
      </c>
    </row>
    <row r="6120" spans="1:1" x14ac:dyDescent="0.35">
      <c r="A6120" s="4">
        <v>4500184919</v>
      </c>
    </row>
    <row r="6121" spans="1:1" x14ac:dyDescent="0.35">
      <c r="A6121" s="4">
        <v>4500184923</v>
      </c>
    </row>
    <row r="6122" spans="1:1" x14ac:dyDescent="0.35">
      <c r="A6122" s="4">
        <v>4500184928</v>
      </c>
    </row>
    <row r="6123" spans="1:1" x14ac:dyDescent="0.35">
      <c r="A6123" s="4">
        <v>4500184931</v>
      </c>
    </row>
    <row r="6124" spans="1:1" x14ac:dyDescent="0.35">
      <c r="A6124" s="4">
        <v>4500184934</v>
      </c>
    </row>
    <row r="6125" spans="1:1" x14ac:dyDescent="0.35">
      <c r="A6125" s="4">
        <v>4500184937</v>
      </c>
    </row>
    <row r="6126" spans="1:1" x14ac:dyDescent="0.35">
      <c r="A6126" s="4">
        <v>4500184942</v>
      </c>
    </row>
    <row r="6127" spans="1:1" x14ac:dyDescent="0.35">
      <c r="A6127" s="4">
        <v>4500184945</v>
      </c>
    </row>
    <row r="6128" spans="1:1" x14ac:dyDescent="0.35">
      <c r="A6128" s="4">
        <v>4500184948</v>
      </c>
    </row>
    <row r="6129" spans="1:1" x14ac:dyDescent="0.35">
      <c r="A6129" s="4">
        <v>4500184950</v>
      </c>
    </row>
    <row r="6130" spans="1:1" x14ac:dyDescent="0.35">
      <c r="A6130" s="4">
        <v>4500184952</v>
      </c>
    </row>
    <row r="6131" spans="1:1" x14ac:dyDescent="0.35">
      <c r="A6131" s="4">
        <v>4500184954</v>
      </c>
    </row>
    <row r="6132" spans="1:1" x14ac:dyDescent="0.35">
      <c r="A6132" s="4">
        <v>4500184957</v>
      </c>
    </row>
    <row r="6133" spans="1:1" x14ac:dyDescent="0.35">
      <c r="A6133" s="4">
        <v>4500184959</v>
      </c>
    </row>
    <row r="6134" spans="1:1" x14ac:dyDescent="0.35">
      <c r="A6134" s="4">
        <v>4500184961</v>
      </c>
    </row>
    <row r="6135" spans="1:1" x14ac:dyDescent="0.35">
      <c r="A6135" s="4">
        <v>4500184963</v>
      </c>
    </row>
    <row r="6136" spans="1:1" x14ac:dyDescent="0.35">
      <c r="A6136" s="4">
        <v>4500184966</v>
      </c>
    </row>
    <row r="6137" spans="1:1" x14ac:dyDescent="0.35">
      <c r="A6137" s="4">
        <v>4500184968</v>
      </c>
    </row>
    <row r="6138" spans="1:1" x14ac:dyDescent="0.35">
      <c r="A6138" s="4">
        <v>4500184971</v>
      </c>
    </row>
    <row r="6139" spans="1:1" x14ac:dyDescent="0.35">
      <c r="A6139" s="4">
        <v>4500184972</v>
      </c>
    </row>
    <row r="6140" spans="1:1" x14ac:dyDescent="0.35">
      <c r="A6140" s="4">
        <v>4500184988</v>
      </c>
    </row>
    <row r="6141" spans="1:1" x14ac:dyDescent="0.35">
      <c r="A6141" s="4">
        <v>4500184989</v>
      </c>
    </row>
    <row r="6142" spans="1:1" x14ac:dyDescent="0.35">
      <c r="A6142" s="4">
        <v>4500184990</v>
      </c>
    </row>
    <row r="6143" spans="1:1" x14ac:dyDescent="0.35">
      <c r="A6143" s="4">
        <v>4500185062</v>
      </c>
    </row>
    <row r="6144" spans="1:1" x14ac:dyDescent="0.35">
      <c r="A6144" s="4">
        <v>4500185073</v>
      </c>
    </row>
    <row r="6145" spans="1:1" x14ac:dyDescent="0.35">
      <c r="A6145" s="4">
        <v>4500185076</v>
      </c>
    </row>
    <row r="6146" spans="1:1" x14ac:dyDescent="0.35">
      <c r="A6146" s="4">
        <v>4500185082</v>
      </c>
    </row>
    <row r="6147" spans="1:1" x14ac:dyDescent="0.35">
      <c r="A6147" s="4">
        <v>4500185085</v>
      </c>
    </row>
    <row r="6148" spans="1:1" x14ac:dyDescent="0.35">
      <c r="A6148" s="4">
        <v>4500185094</v>
      </c>
    </row>
    <row r="6149" spans="1:1" x14ac:dyDescent="0.35">
      <c r="A6149" s="4">
        <v>4500185100</v>
      </c>
    </row>
    <row r="6150" spans="1:1" x14ac:dyDescent="0.35">
      <c r="A6150" s="4">
        <v>4500185106</v>
      </c>
    </row>
    <row r="6151" spans="1:1" x14ac:dyDescent="0.35">
      <c r="A6151" s="4">
        <v>4500185114</v>
      </c>
    </row>
    <row r="6152" spans="1:1" x14ac:dyDescent="0.35">
      <c r="A6152" s="4">
        <v>4500185122</v>
      </c>
    </row>
    <row r="6153" spans="1:1" x14ac:dyDescent="0.35">
      <c r="A6153" s="4">
        <v>4500185126</v>
      </c>
    </row>
    <row r="6154" spans="1:1" x14ac:dyDescent="0.35">
      <c r="A6154" s="4">
        <v>4500185129</v>
      </c>
    </row>
    <row r="6155" spans="1:1" x14ac:dyDescent="0.35">
      <c r="A6155" s="4">
        <v>4500185133</v>
      </c>
    </row>
    <row r="6156" spans="1:1" x14ac:dyDescent="0.35">
      <c r="A6156" s="4">
        <v>4500185137</v>
      </c>
    </row>
    <row r="6157" spans="1:1" x14ac:dyDescent="0.35">
      <c r="A6157" s="4">
        <v>4500185142</v>
      </c>
    </row>
    <row r="6158" spans="1:1" x14ac:dyDescent="0.35">
      <c r="A6158" s="4">
        <v>4500185145</v>
      </c>
    </row>
    <row r="6159" spans="1:1" x14ac:dyDescent="0.35">
      <c r="A6159" s="4">
        <v>4500185153</v>
      </c>
    </row>
    <row r="6160" spans="1:1" x14ac:dyDescent="0.35">
      <c r="A6160" s="4">
        <v>4500185157</v>
      </c>
    </row>
    <row r="6161" spans="1:1" x14ac:dyDescent="0.35">
      <c r="A6161" s="4">
        <v>4500185165</v>
      </c>
    </row>
    <row r="6162" spans="1:1" x14ac:dyDescent="0.35">
      <c r="A6162" s="4">
        <v>4500185166</v>
      </c>
    </row>
    <row r="6163" spans="1:1" x14ac:dyDescent="0.35">
      <c r="A6163" s="4">
        <v>4500185171</v>
      </c>
    </row>
    <row r="6164" spans="1:1" x14ac:dyDescent="0.35">
      <c r="A6164" s="4">
        <v>4500185173</v>
      </c>
    </row>
    <row r="6165" spans="1:1" x14ac:dyDescent="0.35">
      <c r="A6165" s="4">
        <v>4500185176</v>
      </c>
    </row>
    <row r="6166" spans="1:1" x14ac:dyDescent="0.35">
      <c r="A6166" s="4">
        <v>4500185178</v>
      </c>
    </row>
    <row r="6167" spans="1:1" x14ac:dyDescent="0.35">
      <c r="A6167" s="4">
        <v>4500185185</v>
      </c>
    </row>
    <row r="6168" spans="1:1" x14ac:dyDescent="0.35">
      <c r="A6168" s="4">
        <v>4500185239</v>
      </c>
    </row>
    <row r="6169" spans="1:1" x14ac:dyDescent="0.35">
      <c r="A6169" s="4">
        <v>4500185243</v>
      </c>
    </row>
    <row r="6170" spans="1:1" x14ac:dyDescent="0.35">
      <c r="A6170" s="4">
        <v>4500185248</v>
      </c>
    </row>
    <row r="6171" spans="1:1" x14ac:dyDescent="0.35">
      <c r="A6171" s="4">
        <v>4500185263</v>
      </c>
    </row>
    <row r="6172" spans="1:1" x14ac:dyDescent="0.35">
      <c r="A6172" s="4">
        <v>4500185269</v>
      </c>
    </row>
    <row r="6173" spans="1:1" x14ac:dyDescent="0.35">
      <c r="A6173" s="4">
        <v>4500185280</v>
      </c>
    </row>
    <row r="6174" spans="1:1" x14ac:dyDescent="0.35">
      <c r="A6174" s="4">
        <v>4500185285</v>
      </c>
    </row>
    <row r="6175" spans="1:1" x14ac:dyDescent="0.35">
      <c r="A6175" s="4">
        <v>4500185293</v>
      </c>
    </row>
    <row r="6176" spans="1:1" x14ac:dyDescent="0.35">
      <c r="A6176" s="4">
        <v>4500185300</v>
      </c>
    </row>
    <row r="6177" spans="1:1" x14ac:dyDescent="0.35">
      <c r="A6177" s="4">
        <v>4500185304</v>
      </c>
    </row>
    <row r="6178" spans="1:1" x14ac:dyDescent="0.35">
      <c r="A6178" s="4">
        <v>4500185307</v>
      </c>
    </row>
    <row r="6179" spans="1:1" x14ac:dyDescent="0.35">
      <c r="A6179" s="4">
        <v>4500185324</v>
      </c>
    </row>
    <row r="6180" spans="1:1" x14ac:dyDescent="0.35">
      <c r="A6180" s="4">
        <v>4500185328</v>
      </c>
    </row>
    <row r="6181" spans="1:1" x14ac:dyDescent="0.35">
      <c r="A6181" s="4">
        <v>4500185334</v>
      </c>
    </row>
    <row r="6182" spans="1:1" x14ac:dyDescent="0.35">
      <c r="A6182" s="4">
        <v>4500185338</v>
      </c>
    </row>
    <row r="6183" spans="1:1" x14ac:dyDescent="0.35">
      <c r="A6183" s="4">
        <v>4500185342</v>
      </c>
    </row>
    <row r="6184" spans="1:1" x14ac:dyDescent="0.35">
      <c r="A6184" s="4">
        <v>4500185345</v>
      </c>
    </row>
    <row r="6185" spans="1:1" x14ac:dyDescent="0.35">
      <c r="A6185" s="4">
        <v>4500185348</v>
      </c>
    </row>
    <row r="6186" spans="1:1" x14ac:dyDescent="0.35">
      <c r="A6186" s="4">
        <v>4500185355</v>
      </c>
    </row>
    <row r="6187" spans="1:1" x14ac:dyDescent="0.35">
      <c r="A6187" s="4">
        <v>4500185357</v>
      </c>
    </row>
    <row r="6188" spans="1:1" x14ac:dyDescent="0.35">
      <c r="A6188" s="4">
        <v>4500185359</v>
      </c>
    </row>
    <row r="6189" spans="1:1" x14ac:dyDescent="0.35">
      <c r="A6189" s="4">
        <v>4500185361</v>
      </c>
    </row>
    <row r="6190" spans="1:1" x14ac:dyDescent="0.35">
      <c r="A6190" s="4">
        <v>4500185362</v>
      </c>
    </row>
    <row r="6191" spans="1:1" x14ac:dyDescent="0.35">
      <c r="A6191" s="4">
        <v>4500185363</v>
      </c>
    </row>
    <row r="6192" spans="1:1" x14ac:dyDescent="0.35">
      <c r="A6192" s="4">
        <v>4500185365</v>
      </c>
    </row>
    <row r="6193" spans="1:1" x14ac:dyDescent="0.35">
      <c r="A6193" s="4">
        <v>4500185366</v>
      </c>
    </row>
    <row r="6194" spans="1:1" x14ac:dyDescent="0.35">
      <c r="A6194" s="4">
        <v>4500185367</v>
      </c>
    </row>
    <row r="6195" spans="1:1" x14ac:dyDescent="0.35">
      <c r="A6195" s="4">
        <v>4500185368</v>
      </c>
    </row>
    <row r="6196" spans="1:1" x14ac:dyDescent="0.35">
      <c r="A6196" s="4">
        <v>4500185369</v>
      </c>
    </row>
    <row r="6197" spans="1:1" x14ac:dyDescent="0.35">
      <c r="A6197" s="4">
        <v>4500185371</v>
      </c>
    </row>
    <row r="6198" spans="1:1" x14ac:dyDescent="0.35">
      <c r="A6198" s="4">
        <v>4500185372</v>
      </c>
    </row>
    <row r="6199" spans="1:1" x14ac:dyDescent="0.35">
      <c r="A6199" s="4">
        <v>4500185374</v>
      </c>
    </row>
    <row r="6200" spans="1:1" x14ac:dyDescent="0.35">
      <c r="A6200" s="4">
        <v>4500185375</v>
      </c>
    </row>
    <row r="6201" spans="1:1" x14ac:dyDescent="0.35">
      <c r="A6201" s="4">
        <v>4500185377</v>
      </c>
    </row>
    <row r="6202" spans="1:1" x14ac:dyDescent="0.35">
      <c r="A6202" s="4">
        <v>4500185378</v>
      </c>
    </row>
    <row r="6203" spans="1:1" x14ac:dyDescent="0.35">
      <c r="A6203" s="4">
        <v>4500185380</v>
      </c>
    </row>
    <row r="6204" spans="1:1" x14ac:dyDescent="0.35">
      <c r="A6204" s="4">
        <v>4500185381</v>
      </c>
    </row>
    <row r="6205" spans="1:1" x14ac:dyDescent="0.35">
      <c r="A6205" s="4">
        <v>4500185382</v>
      </c>
    </row>
    <row r="6206" spans="1:1" x14ac:dyDescent="0.35">
      <c r="A6206" s="4">
        <v>4500185383</v>
      </c>
    </row>
    <row r="6207" spans="1:1" x14ac:dyDescent="0.35">
      <c r="A6207" s="4">
        <v>4500185384</v>
      </c>
    </row>
    <row r="6208" spans="1:1" x14ac:dyDescent="0.35">
      <c r="A6208" s="4">
        <v>4500185385</v>
      </c>
    </row>
    <row r="6209" spans="1:1" x14ac:dyDescent="0.35">
      <c r="A6209" s="4">
        <v>4500185392</v>
      </c>
    </row>
    <row r="6210" spans="1:1" x14ac:dyDescent="0.35">
      <c r="A6210" s="4">
        <v>4500185466</v>
      </c>
    </row>
    <row r="6211" spans="1:1" x14ac:dyDescent="0.35">
      <c r="A6211" s="4">
        <v>4500185474</v>
      </c>
    </row>
    <row r="6212" spans="1:1" x14ac:dyDescent="0.35">
      <c r="A6212" s="4">
        <v>4500185479</v>
      </c>
    </row>
    <row r="6213" spans="1:1" x14ac:dyDescent="0.35">
      <c r="A6213" s="4">
        <v>4500185482</v>
      </c>
    </row>
    <row r="6214" spans="1:1" x14ac:dyDescent="0.35">
      <c r="A6214" s="4">
        <v>4500185485</v>
      </c>
    </row>
    <row r="6215" spans="1:1" x14ac:dyDescent="0.35">
      <c r="A6215" s="4">
        <v>4500185491</v>
      </c>
    </row>
    <row r="6216" spans="1:1" x14ac:dyDescent="0.35">
      <c r="A6216" s="4">
        <v>4500185496</v>
      </c>
    </row>
    <row r="6217" spans="1:1" x14ac:dyDescent="0.35">
      <c r="A6217" s="4">
        <v>4500185502</v>
      </c>
    </row>
    <row r="6218" spans="1:1" x14ac:dyDescent="0.35">
      <c r="A6218" s="4">
        <v>4500185505</v>
      </c>
    </row>
    <row r="6219" spans="1:1" x14ac:dyDescent="0.35">
      <c r="A6219" s="4">
        <v>4500185508</v>
      </c>
    </row>
    <row r="6220" spans="1:1" x14ac:dyDescent="0.35">
      <c r="A6220" s="4">
        <v>4500185512</v>
      </c>
    </row>
    <row r="6221" spans="1:1" x14ac:dyDescent="0.35">
      <c r="A6221" s="4">
        <v>4500185524</v>
      </c>
    </row>
    <row r="6222" spans="1:1" x14ac:dyDescent="0.35">
      <c r="A6222" s="4">
        <v>4500185527</v>
      </c>
    </row>
    <row r="6223" spans="1:1" x14ac:dyDescent="0.35">
      <c r="A6223" s="4">
        <v>4500185531</v>
      </c>
    </row>
    <row r="6224" spans="1:1" x14ac:dyDescent="0.35">
      <c r="A6224" s="4">
        <v>4500185534</v>
      </c>
    </row>
    <row r="6225" spans="1:1" x14ac:dyDescent="0.35">
      <c r="A6225" s="4">
        <v>4500185535</v>
      </c>
    </row>
    <row r="6226" spans="1:1" x14ac:dyDescent="0.35">
      <c r="A6226" s="4">
        <v>4500185584</v>
      </c>
    </row>
    <row r="6227" spans="1:1" x14ac:dyDescent="0.35">
      <c r="A6227" s="4">
        <v>4500185656</v>
      </c>
    </row>
    <row r="6228" spans="1:1" x14ac:dyDescent="0.35">
      <c r="A6228" s="4">
        <v>4500185660</v>
      </c>
    </row>
    <row r="6229" spans="1:1" x14ac:dyDescent="0.35">
      <c r="A6229" s="4">
        <v>4500185663</v>
      </c>
    </row>
    <row r="6230" spans="1:1" x14ac:dyDescent="0.35">
      <c r="A6230" s="4">
        <v>4500185667</v>
      </c>
    </row>
    <row r="6231" spans="1:1" x14ac:dyDescent="0.35">
      <c r="A6231" s="4">
        <v>4500185671</v>
      </c>
    </row>
    <row r="6232" spans="1:1" x14ac:dyDescent="0.35">
      <c r="A6232" s="4">
        <v>4500185675</v>
      </c>
    </row>
    <row r="6233" spans="1:1" x14ac:dyDescent="0.35">
      <c r="A6233" s="4">
        <v>4500185683</v>
      </c>
    </row>
    <row r="6234" spans="1:1" x14ac:dyDescent="0.35">
      <c r="A6234" s="4">
        <v>4500185686</v>
      </c>
    </row>
    <row r="6235" spans="1:1" x14ac:dyDescent="0.35">
      <c r="A6235" s="4">
        <v>4500185689</v>
      </c>
    </row>
    <row r="6236" spans="1:1" x14ac:dyDescent="0.35">
      <c r="A6236" s="4">
        <v>4500185697</v>
      </c>
    </row>
    <row r="6237" spans="1:1" x14ac:dyDescent="0.35">
      <c r="A6237" s="4">
        <v>4500185703</v>
      </c>
    </row>
    <row r="6238" spans="1:1" x14ac:dyDescent="0.35">
      <c r="A6238" s="4">
        <v>4500185711</v>
      </c>
    </row>
    <row r="6239" spans="1:1" x14ac:dyDescent="0.35">
      <c r="A6239" s="4">
        <v>4500185731</v>
      </c>
    </row>
    <row r="6240" spans="1:1" x14ac:dyDescent="0.35">
      <c r="A6240" s="4">
        <v>4500185737</v>
      </c>
    </row>
    <row r="6241" spans="1:1" x14ac:dyDescent="0.35">
      <c r="A6241" s="4">
        <v>4500185743</v>
      </c>
    </row>
    <row r="6242" spans="1:1" x14ac:dyDescent="0.35">
      <c r="A6242" s="4">
        <v>4500185748</v>
      </c>
    </row>
    <row r="6243" spans="1:1" x14ac:dyDescent="0.35">
      <c r="A6243" s="4">
        <v>4500185755</v>
      </c>
    </row>
    <row r="6244" spans="1:1" x14ac:dyDescent="0.35">
      <c r="A6244" s="4">
        <v>4500185760</v>
      </c>
    </row>
    <row r="6245" spans="1:1" x14ac:dyDescent="0.35">
      <c r="A6245" s="4">
        <v>4500185764</v>
      </c>
    </row>
    <row r="6246" spans="1:1" x14ac:dyDescent="0.35">
      <c r="A6246" s="4">
        <v>4500185766</v>
      </c>
    </row>
    <row r="6247" spans="1:1" x14ac:dyDescent="0.35">
      <c r="A6247" s="4">
        <v>4500185768</v>
      </c>
    </row>
    <row r="6248" spans="1:1" x14ac:dyDescent="0.35">
      <c r="A6248" s="4">
        <v>4500185769</v>
      </c>
    </row>
    <row r="6249" spans="1:1" x14ac:dyDescent="0.35">
      <c r="A6249" s="4">
        <v>4500185772</v>
      </c>
    </row>
    <row r="6250" spans="1:1" x14ac:dyDescent="0.35">
      <c r="A6250" s="4">
        <v>4500185778</v>
      </c>
    </row>
    <row r="6251" spans="1:1" x14ac:dyDescent="0.35">
      <c r="A6251" s="4">
        <v>4500185781</v>
      </c>
    </row>
    <row r="6252" spans="1:1" x14ac:dyDescent="0.35">
      <c r="A6252" s="4">
        <v>4500185786</v>
      </c>
    </row>
    <row r="6253" spans="1:1" x14ac:dyDescent="0.35">
      <c r="A6253" s="4">
        <v>4500185787</v>
      </c>
    </row>
    <row r="6254" spans="1:1" x14ac:dyDescent="0.35">
      <c r="A6254" s="4">
        <v>4500185790</v>
      </c>
    </row>
    <row r="6255" spans="1:1" x14ac:dyDescent="0.35">
      <c r="A6255" s="4">
        <v>4500185793</v>
      </c>
    </row>
    <row r="6256" spans="1:1" x14ac:dyDescent="0.35">
      <c r="A6256" s="4">
        <v>4500185796</v>
      </c>
    </row>
    <row r="6257" spans="1:1" x14ac:dyDescent="0.35">
      <c r="A6257" s="4">
        <v>4500185797</v>
      </c>
    </row>
    <row r="6258" spans="1:1" x14ac:dyDescent="0.35">
      <c r="A6258" s="4">
        <v>4500185798</v>
      </c>
    </row>
    <row r="6259" spans="1:1" x14ac:dyDescent="0.35">
      <c r="A6259" s="4">
        <v>4500185799</v>
      </c>
    </row>
    <row r="6260" spans="1:1" x14ac:dyDescent="0.35">
      <c r="A6260" s="4">
        <v>4500185899</v>
      </c>
    </row>
    <row r="6261" spans="1:1" x14ac:dyDescent="0.35">
      <c r="A6261" s="4">
        <v>4500185903</v>
      </c>
    </row>
    <row r="6262" spans="1:1" x14ac:dyDescent="0.35">
      <c r="A6262" s="4">
        <v>4500185908</v>
      </c>
    </row>
    <row r="6263" spans="1:1" x14ac:dyDescent="0.35">
      <c r="A6263" s="4">
        <v>4500185914</v>
      </c>
    </row>
    <row r="6264" spans="1:1" x14ac:dyDescent="0.35">
      <c r="A6264" s="4">
        <v>4500185919</v>
      </c>
    </row>
    <row r="6265" spans="1:1" x14ac:dyDescent="0.35">
      <c r="A6265" s="4">
        <v>4500185923</v>
      </c>
    </row>
    <row r="6266" spans="1:1" x14ac:dyDescent="0.35">
      <c r="A6266" s="4">
        <v>4500185927</v>
      </c>
    </row>
    <row r="6267" spans="1:1" x14ac:dyDescent="0.35">
      <c r="A6267" s="4">
        <v>4500185932</v>
      </c>
    </row>
    <row r="6268" spans="1:1" x14ac:dyDescent="0.35">
      <c r="A6268" s="4">
        <v>4500185935</v>
      </c>
    </row>
    <row r="6269" spans="1:1" x14ac:dyDescent="0.35">
      <c r="A6269" s="4">
        <v>4500185939</v>
      </c>
    </row>
    <row r="6270" spans="1:1" x14ac:dyDescent="0.35">
      <c r="A6270" s="4">
        <v>4500185944</v>
      </c>
    </row>
    <row r="6271" spans="1:1" x14ac:dyDescent="0.35">
      <c r="A6271" s="4">
        <v>4500185948</v>
      </c>
    </row>
    <row r="6272" spans="1:1" x14ac:dyDescent="0.35">
      <c r="A6272" s="4">
        <v>4500185952</v>
      </c>
    </row>
    <row r="6273" spans="1:1" x14ac:dyDescent="0.35">
      <c r="A6273" s="4">
        <v>4500185963</v>
      </c>
    </row>
    <row r="6274" spans="1:1" x14ac:dyDescent="0.35">
      <c r="A6274" s="4">
        <v>4500185970</v>
      </c>
    </row>
    <row r="6275" spans="1:1" x14ac:dyDescent="0.35">
      <c r="A6275" s="4">
        <v>4500185978</v>
      </c>
    </row>
    <row r="6276" spans="1:1" x14ac:dyDescent="0.35">
      <c r="A6276" s="4">
        <v>4500185981</v>
      </c>
    </row>
    <row r="6277" spans="1:1" x14ac:dyDescent="0.35">
      <c r="A6277" s="4">
        <v>4500185984</v>
      </c>
    </row>
    <row r="6278" spans="1:1" x14ac:dyDescent="0.35">
      <c r="A6278" s="4">
        <v>4500185987</v>
      </c>
    </row>
    <row r="6279" spans="1:1" x14ac:dyDescent="0.35">
      <c r="A6279" s="4">
        <v>4500185991</v>
      </c>
    </row>
    <row r="6280" spans="1:1" x14ac:dyDescent="0.35">
      <c r="A6280" s="4">
        <v>4500185993</v>
      </c>
    </row>
    <row r="6281" spans="1:1" x14ac:dyDescent="0.35">
      <c r="A6281" s="4">
        <v>4500185999</v>
      </c>
    </row>
    <row r="6282" spans="1:1" x14ac:dyDescent="0.35">
      <c r="A6282" s="4">
        <v>4500186002</v>
      </c>
    </row>
    <row r="6283" spans="1:1" x14ac:dyDescent="0.35">
      <c r="A6283" s="4">
        <v>4500186004</v>
      </c>
    </row>
    <row r="6284" spans="1:1" x14ac:dyDescent="0.35">
      <c r="A6284" s="4">
        <v>4500186105</v>
      </c>
    </row>
    <row r="6285" spans="1:1" x14ac:dyDescent="0.35">
      <c r="A6285" s="4">
        <v>4500186112</v>
      </c>
    </row>
    <row r="6286" spans="1:1" x14ac:dyDescent="0.35">
      <c r="A6286" s="4">
        <v>4500186117</v>
      </c>
    </row>
    <row r="6287" spans="1:1" x14ac:dyDescent="0.35">
      <c r="A6287" s="4">
        <v>4500186138</v>
      </c>
    </row>
    <row r="6288" spans="1:1" x14ac:dyDescent="0.35">
      <c r="A6288" s="4">
        <v>4500186150</v>
      </c>
    </row>
    <row r="6289" spans="1:1" x14ac:dyDescent="0.35">
      <c r="A6289" s="4">
        <v>4500186155</v>
      </c>
    </row>
    <row r="6290" spans="1:1" x14ac:dyDescent="0.35">
      <c r="A6290" s="4">
        <v>4500186161</v>
      </c>
    </row>
    <row r="6291" spans="1:1" x14ac:dyDescent="0.35">
      <c r="A6291" s="4">
        <v>4500186165</v>
      </c>
    </row>
    <row r="6292" spans="1:1" x14ac:dyDescent="0.35">
      <c r="A6292" s="4">
        <v>4500186168</v>
      </c>
    </row>
    <row r="6293" spans="1:1" x14ac:dyDescent="0.35">
      <c r="A6293" s="4">
        <v>4500186176</v>
      </c>
    </row>
    <row r="6294" spans="1:1" x14ac:dyDescent="0.35">
      <c r="A6294" s="4">
        <v>4500186182</v>
      </c>
    </row>
    <row r="6295" spans="1:1" x14ac:dyDescent="0.35">
      <c r="A6295" s="4">
        <v>4500186185</v>
      </c>
    </row>
    <row r="6296" spans="1:1" x14ac:dyDescent="0.35">
      <c r="A6296" s="4">
        <v>4500186187</v>
      </c>
    </row>
    <row r="6297" spans="1:1" x14ac:dyDescent="0.35">
      <c r="A6297" s="4">
        <v>4500186188</v>
      </c>
    </row>
    <row r="6298" spans="1:1" x14ac:dyDescent="0.35">
      <c r="A6298" s="4">
        <v>4500186192</v>
      </c>
    </row>
    <row r="6299" spans="1:1" x14ac:dyDescent="0.35">
      <c r="A6299" s="4">
        <v>4500186193</v>
      </c>
    </row>
    <row r="6300" spans="1:1" x14ac:dyDescent="0.35">
      <c r="A6300" s="4">
        <v>4500186195</v>
      </c>
    </row>
    <row r="6301" spans="1:1" x14ac:dyDescent="0.35">
      <c r="A6301" s="4">
        <v>4500186197</v>
      </c>
    </row>
    <row r="6302" spans="1:1" x14ac:dyDescent="0.35">
      <c r="A6302" s="4">
        <v>4500186199</v>
      </c>
    </row>
    <row r="6303" spans="1:1" x14ac:dyDescent="0.35">
      <c r="A6303" s="4">
        <v>4500186202</v>
      </c>
    </row>
    <row r="6304" spans="1:1" x14ac:dyDescent="0.35">
      <c r="A6304" s="4">
        <v>4500186204</v>
      </c>
    </row>
    <row r="6305" spans="1:1" x14ac:dyDescent="0.35">
      <c r="A6305" s="4">
        <v>4500186217</v>
      </c>
    </row>
    <row r="6306" spans="1:1" x14ac:dyDescent="0.35">
      <c r="A6306" s="4">
        <v>4500186218</v>
      </c>
    </row>
    <row r="6307" spans="1:1" x14ac:dyDescent="0.35">
      <c r="A6307" s="4">
        <v>4500186299</v>
      </c>
    </row>
    <row r="6308" spans="1:1" x14ac:dyDescent="0.35">
      <c r="A6308" s="4">
        <v>4500186303</v>
      </c>
    </row>
    <row r="6309" spans="1:1" x14ac:dyDescent="0.35">
      <c r="A6309" s="4">
        <v>4500186306</v>
      </c>
    </row>
    <row r="6310" spans="1:1" x14ac:dyDescent="0.35">
      <c r="A6310" s="4">
        <v>4500186312</v>
      </c>
    </row>
    <row r="6311" spans="1:1" x14ac:dyDescent="0.35">
      <c r="A6311" s="4">
        <v>4500186319</v>
      </c>
    </row>
    <row r="6312" spans="1:1" x14ac:dyDescent="0.35">
      <c r="A6312" s="4">
        <v>4500186321</v>
      </c>
    </row>
    <row r="6313" spans="1:1" x14ac:dyDescent="0.35">
      <c r="A6313" s="4">
        <v>4500186325</v>
      </c>
    </row>
    <row r="6314" spans="1:1" x14ac:dyDescent="0.35">
      <c r="A6314" s="4">
        <v>4500186333</v>
      </c>
    </row>
    <row r="6315" spans="1:1" x14ac:dyDescent="0.35">
      <c r="A6315" s="4">
        <v>4500186335</v>
      </c>
    </row>
    <row r="6316" spans="1:1" x14ac:dyDescent="0.35">
      <c r="A6316" s="4">
        <v>4500186339</v>
      </c>
    </row>
    <row r="6317" spans="1:1" x14ac:dyDescent="0.35">
      <c r="A6317" s="4">
        <v>4500186343</v>
      </c>
    </row>
    <row r="6318" spans="1:1" x14ac:dyDescent="0.35">
      <c r="A6318" s="4">
        <v>4500186354</v>
      </c>
    </row>
    <row r="6319" spans="1:1" x14ac:dyDescent="0.35">
      <c r="A6319" s="4">
        <v>4500186358</v>
      </c>
    </row>
    <row r="6320" spans="1:1" x14ac:dyDescent="0.35">
      <c r="A6320" s="4">
        <v>4500186365</v>
      </c>
    </row>
    <row r="6321" spans="1:1" x14ac:dyDescent="0.35">
      <c r="A6321" s="4">
        <v>4500186372</v>
      </c>
    </row>
    <row r="6322" spans="1:1" x14ac:dyDescent="0.35">
      <c r="A6322" s="4">
        <v>4500186379</v>
      </c>
    </row>
    <row r="6323" spans="1:1" x14ac:dyDescent="0.35">
      <c r="A6323" s="4">
        <v>4500186385</v>
      </c>
    </row>
    <row r="6324" spans="1:1" x14ac:dyDescent="0.35">
      <c r="A6324" s="4">
        <v>4500186388</v>
      </c>
    </row>
    <row r="6325" spans="1:1" x14ac:dyDescent="0.35">
      <c r="A6325" s="4">
        <v>4500186398</v>
      </c>
    </row>
    <row r="6326" spans="1:1" x14ac:dyDescent="0.35">
      <c r="A6326" s="4">
        <v>4500186402</v>
      </c>
    </row>
    <row r="6327" spans="1:1" x14ac:dyDescent="0.35">
      <c r="A6327" s="4">
        <v>4500186405</v>
      </c>
    </row>
    <row r="6328" spans="1:1" x14ac:dyDescent="0.35">
      <c r="A6328" s="4">
        <v>4500186412</v>
      </c>
    </row>
    <row r="6329" spans="1:1" x14ac:dyDescent="0.35">
      <c r="A6329" s="4">
        <v>4500186417</v>
      </c>
    </row>
    <row r="6330" spans="1:1" x14ac:dyDescent="0.35">
      <c r="A6330" s="4">
        <v>4500186427</v>
      </c>
    </row>
    <row r="6331" spans="1:1" x14ac:dyDescent="0.35">
      <c r="A6331" s="4">
        <v>4500186431</v>
      </c>
    </row>
    <row r="6332" spans="1:1" x14ac:dyDescent="0.35">
      <c r="A6332" s="4">
        <v>4500186433</v>
      </c>
    </row>
    <row r="6333" spans="1:1" x14ac:dyDescent="0.35">
      <c r="A6333" s="4">
        <v>4500186435</v>
      </c>
    </row>
    <row r="6334" spans="1:1" x14ac:dyDescent="0.35">
      <c r="A6334" s="4">
        <v>4500186438</v>
      </c>
    </row>
    <row r="6335" spans="1:1" x14ac:dyDescent="0.35">
      <c r="A6335" s="4">
        <v>4500186442</v>
      </c>
    </row>
    <row r="6336" spans="1:1" x14ac:dyDescent="0.35">
      <c r="A6336" s="4">
        <v>4500186504</v>
      </c>
    </row>
    <row r="6337" spans="1:1" x14ac:dyDescent="0.35">
      <c r="A6337" s="4">
        <v>4500186557</v>
      </c>
    </row>
    <row r="6338" spans="1:1" x14ac:dyDescent="0.35">
      <c r="A6338" s="4">
        <v>4500186561</v>
      </c>
    </row>
    <row r="6339" spans="1:1" x14ac:dyDescent="0.35">
      <c r="A6339" s="4">
        <v>4500186565</v>
      </c>
    </row>
    <row r="6340" spans="1:1" x14ac:dyDescent="0.35">
      <c r="A6340" s="4">
        <v>4500186569</v>
      </c>
    </row>
    <row r="6341" spans="1:1" x14ac:dyDescent="0.35">
      <c r="A6341" s="4">
        <v>4500186581</v>
      </c>
    </row>
    <row r="6342" spans="1:1" x14ac:dyDescent="0.35">
      <c r="A6342" s="4">
        <v>4500186588</v>
      </c>
    </row>
    <row r="6343" spans="1:1" x14ac:dyDescent="0.35">
      <c r="A6343" s="4">
        <v>4500186589</v>
      </c>
    </row>
    <row r="6344" spans="1:1" x14ac:dyDescent="0.35">
      <c r="A6344" s="4">
        <v>4500186593</v>
      </c>
    </row>
    <row r="6345" spans="1:1" x14ac:dyDescent="0.35">
      <c r="A6345" s="4">
        <v>4500186597</v>
      </c>
    </row>
    <row r="6346" spans="1:1" x14ac:dyDescent="0.35">
      <c r="A6346" s="4">
        <v>4500186600</v>
      </c>
    </row>
    <row r="6347" spans="1:1" x14ac:dyDescent="0.35">
      <c r="A6347" s="4">
        <v>4500186603</v>
      </c>
    </row>
    <row r="6348" spans="1:1" x14ac:dyDescent="0.35">
      <c r="A6348" s="4">
        <v>4500186608</v>
      </c>
    </row>
    <row r="6349" spans="1:1" x14ac:dyDescent="0.35">
      <c r="A6349" s="4">
        <v>4500186612</v>
      </c>
    </row>
    <row r="6350" spans="1:1" x14ac:dyDescent="0.35">
      <c r="A6350" s="4">
        <v>4500186618</v>
      </c>
    </row>
    <row r="6351" spans="1:1" x14ac:dyDescent="0.35">
      <c r="A6351" s="4">
        <v>4500186620</v>
      </c>
    </row>
    <row r="6352" spans="1:1" x14ac:dyDescent="0.35">
      <c r="A6352" s="4">
        <v>4500186622</v>
      </c>
    </row>
    <row r="6353" spans="1:1" x14ac:dyDescent="0.35">
      <c r="A6353" s="4">
        <v>4500186625</v>
      </c>
    </row>
    <row r="6354" spans="1:1" x14ac:dyDescent="0.35">
      <c r="A6354" s="4">
        <v>4500186627</v>
      </c>
    </row>
    <row r="6355" spans="1:1" x14ac:dyDescent="0.35">
      <c r="A6355" s="4">
        <v>4500186631</v>
      </c>
    </row>
    <row r="6356" spans="1:1" x14ac:dyDescent="0.35">
      <c r="A6356" s="4">
        <v>4500186635</v>
      </c>
    </row>
    <row r="6357" spans="1:1" x14ac:dyDescent="0.35">
      <c r="A6357" s="4">
        <v>4500186637</v>
      </c>
    </row>
    <row r="6358" spans="1:1" x14ac:dyDescent="0.35">
      <c r="A6358" s="4">
        <v>4500186640</v>
      </c>
    </row>
    <row r="6359" spans="1:1" x14ac:dyDescent="0.35">
      <c r="A6359" s="4">
        <v>4500186643</v>
      </c>
    </row>
    <row r="6360" spans="1:1" x14ac:dyDescent="0.35">
      <c r="A6360" s="4">
        <v>4500186644</v>
      </c>
    </row>
    <row r="6361" spans="1:1" x14ac:dyDescent="0.35">
      <c r="A6361" s="4">
        <v>4500186648</v>
      </c>
    </row>
    <row r="6362" spans="1:1" x14ac:dyDescent="0.35">
      <c r="A6362" s="4">
        <v>4500186649</v>
      </c>
    </row>
    <row r="6363" spans="1:1" x14ac:dyDescent="0.35">
      <c r="A6363" s="4">
        <v>4500186651</v>
      </c>
    </row>
    <row r="6364" spans="1:1" x14ac:dyDescent="0.35">
      <c r="A6364" s="4">
        <v>4500186652</v>
      </c>
    </row>
    <row r="6365" spans="1:1" x14ac:dyDescent="0.35">
      <c r="A6365" s="4">
        <v>4500186654</v>
      </c>
    </row>
    <row r="6366" spans="1:1" x14ac:dyDescent="0.35">
      <c r="A6366" s="4">
        <v>4500186655</v>
      </c>
    </row>
    <row r="6367" spans="1:1" x14ac:dyDescent="0.35">
      <c r="A6367" s="4">
        <v>4500186657</v>
      </c>
    </row>
    <row r="6368" spans="1:1" x14ac:dyDescent="0.35">
      <c r="A6368" s="4">
        <v>4500186659</v>
      </c>
    </row>
    <row r="6369" spans="1:1" x14ac:dyDescent="0.35">
      <c r="A6369" s="4">
        <v>4500186660</v>
      </c>
    </row>
    <row r="6370" spans="1:1" x14ac:dyDescent="0.35">
      <c r="A6370" s="4">
        <v>4500186661</v>
      </c>
    </row>
    <row r="6371" spans="1:1" x14ac:dyDescent="0.35">
      <c r="A6371" s="4">
        <v>4500186663</v>
      </c>
    </row>
    <row r="6372" spans="1:1" x14ac:dyDescent="0.35">
      <c r="A6372" s="4">
        <v>4500186664</v>
      </c>
    </row>
    <row r="6373" spans="1:1" x14ac:dyDescent="0.35">
      <c r="A6373" s="4">
        <v>4500186680</v>
      </c>
    </row>
    <row r="6374" spans="1:1" x14ac:dyDescent="0.35">
      <c r="A6374" s="4">
        <v>4500186764</v>
      </c>
    </row>
    <row r="6375" spans="1:1" x14ac:dyDescent="0.35">
      <c r="A6375" s="4">
        <v>4500186768</v>
      </c>
    </row>
    <row r="6376" spans="1:1" x14ac:dyDescent="0.35">
      <c r="A6376" s="4">
        <v>4500186772</v>
      </c>
    </row>
    <row r="6377" spans="1:1" x14ac:dyDescent="0.35">
      <c r="A6377" s="4">
        <v>4500186775</v>
      </c>
    </row>
    <row r="6378" spans="1:1" x14ac:dyDescent="0.35">
      <c r="A6378" s="4">
        <v>4500186783</v>
      </c>
    </row>
    <row r="6379" spans="1:1" x14ac:dyDescent="0.35">
      <c r="A6379" s="4">
        <v>4500186786</v>
      </c>
    </row>
    <row r="6380" spans="1:1" x14ac:dyDescent="0.35">
      <c r="A6380" s="4">
        <v>4500186790</v>
      </c>
    </row>
    <row r="6381" spans="1:1" x14ac:dyDescent="0.35">
      <c r="A6381" s="4">
        <v>4500186793</v>
      </c>
    </row>
    <row r="6382" spans="1:1" x14ac:dyDescent="0.35">
      <c r="A6382" s="4">
        <v>4500186796</v>
      </c>
    </row>
    <row r="6383" spans="1:1" x14ac:dyDescent="0.35">
      <c r="A6383" s="4">
        <v>4500186798</v>
      </c>
    </row>
    <row r="6384" spans="1:1" x14ac:dyDescent="0.35">
      <c r="A6384" s="4">
        <v>4500186812</v>
      </c>
    </row>
    <row r="6385" spans="1:1" x14ac:dyDescent="0.35">
      <c r="A6385" s="4">
        <v>4500186817</v>
      </c>
    </row>
    <row r="6386" spans="1:1" x14ac:dyDescent="0.35">
      <c r="A6386" s="4">
        <v>4500186820</v>
      </c>
    </row>
    <row r="6387" spans="1:1" x14ac:dyDescent="0.35">
      <c r="A6387" s="4">
        <v>4500186824</v>
      </c>
    </row>
    <row r="6388" spans="1:1" x14ac:dyDescent="0.35">
      <c r="A6388" s="4">
        <v>4500186833</v>
      </c>
    </row>
    <row r="6389" spans="1:1" x14ac:dyDescent="0.35">
      <c r="A6389" s="4">
        <v>4500186836</v>
      </c>
    </row>
    <row r="6390" spans="1:1" x14ac:dyDescent="0.35">
      <c r="A6390" s="4">
        <v>4500186844</v>
      </c>
    </row>
    <row r="6391" spans="1:1" x14ac:dyDescent="0.35">
      <c r="A6391" s="4">
        <v>4500186856</v>
      </c>
    </row>
    <row r="6392" spans="1:1" x14ac:dyDescent="0.35">
      <c r="A6392" s="4">
        <v>4500186862</v>
      </c>
    </row>
    <row r="6393" spans="1:1" x14ac:dyDescent="0.35">
      <c r="A6393" s="4">
        <v>4500186866</v>
      </c>
    </row>
    <row r="6394" spans="1:1" x14ac:dyDescent="0.35">
      <c r="A6394" s="4">
        <v>4500186878</v>
      </c>
    </row>
    <row r="6395" spans="1:1" x14ac:dyDescent="0.35">
      <c r="A6395" s="4">
        <v>4500186883</v>
      </c>
    </row>
    <row r="6396" spans="1:1" x14ac:dyDescent="0.35">
      <c r="A6396" s="4">
        <v>4500186884</v>
      </c>
    </row>
    <row r="6397" spans="1:1" x14ac:dyDescent="0.35">
      <c r="A6397" s="4">
        <v>4500186888</v>
      </c>
    </row>
    <row r="6398" spans="1:1" x14ac:dyDescent="0.35">
      <c r="A6398" s="4">
        <v>4500186890</v>
      </c>
    </row>
    <row r="6399" spans="1:1" x14ac:dyDescent="0.35">
      <c r="A6399" s="4">
        <v>4500186891</v>
      </c>
    </row>
    <row r="6400" spans="1:1" x14ac:dyDescent="0.35">
      <c r="A6400" s="4">
        <v>4500186892</v>
      </c>
    </row>
    <row r="6401" spans="1:1" x14ac:dyDescent="0.35">
      <c r="A6401" s="4">
        <v>4500186894</v>
      </c>
    </row>
    <row r="6402" spans="1:1" x14ac:dyDescent="0.35">
      <c r="A6402" s="4">
        <v>4500186897</v>
      </c>
    </row>
    <row r="6403" spans="1:1" x14ac:dyDescent="0.35">
      <c r="A6403" s="4">
        <v>4500186899</v>
      </c>
    </row>
    <row r="6404" spans="1:1" x14ac:dyDescent="0.35">
      <c r="A6404" s="4">
        <v>4500186907</v>
      </c>
    </row>
    <row r="6405" spans="1:1" x14ac:dyDescent="0.35">
      <c r="A6405" s="4">
        <v>4500186909</v>
      </c>
    </row>
    <row r="6406" spans="1:1" x14ac:dyDescent="0.35">
      <c r="A6406" s="4">
        <v>4500186995</v>
      </c>
    </row>
    <row r="6407" spans="1:1" x14ac:dyDescent="0.35">
      <c r="A6407" s="4">
        <v>4500187000</v>
      </c>
    </row>
    <row r="6408" spans="1:1" x14ac:dyDescent="0.35">
      <c r="A6408" s="4">
        <v>4500187004</v>
      </c>
    </row>
    <row r="6409" spans="1:1" x14ac:dyDescent="0.35">
      <c r="A6409" s="4">
        <v>4500187008</v>
      </c>
    </row>
    <row r="6410" spans="1:1" x14ac:dyDescent="0.35">
      <c r="A6410" s="4">
        <v>4500187012</v>
      </c>
    </row>
    <row r="6411" spans="1:1" x14ac:dyDescent="0.35">
      <c r="A6411" s="4">
        <v>4500187017</v>
      </c>
    </row>
    <row r="6412" spans="1:1" x14ac:dyDescent="0.35">
      <c r="A6412" s="4">
        <v>4500187021</v>
      </c>
    </row>
    <row r="6413" spans="1:1" x14ac:dyDescent="0.35">
      <c r="A6413" s="4">
        <v>4500187025</v>
      </c>
    </row>
    <row r="6414" spans="1:1" x14ac:dyDescent="0.35">
      <c r="A6414" s="4">
        <v>4500187031</v>
      </c>
    </row>
    <row r="6415" spans="1:1" x14ac:dyDescent="0.35">
      <c r="A6415" s="4">
        <v>4500187037</v>
      </c>
    </row>
    <row r="6416" spans="1:1" x14ac:dyDescent="0.35">
      <c r="A6416" s="4">
        <v>4500187041</v>
      </c>
    </row>
    <row r="6417" spans="1:1" x14ac:dyDescent="0.35">
      <c r="A6417" s="4">
        <v>4500187045</v>
      </c>
    </row>
    <row r="6418" spans="1:1" x14ac:dyDescent="0.35">
      <c r="A6418" s="4">
        <v>4500187051</v>
      </c>
    </row>
    <row r="6419" spans="1:1" x14ac:dyDescent="0.35">
      <c r="A6419" s="4">
        <v>4500187070</v>
      </c>
    </row>
    <row r="6420" spans="1:1" x14ac:dyDescent="0.35">
      <c r="A6420" s="4">
        <v>4500187074</v>
      </c>
    </row>
    <row r="6421" spans="1:1" x14ac:dyDescent="0.35">
      <c r="A6421" s="4">
        <v>4500187078</v>
      </c>
    </row>
    <row r="6422" spans="1:1" x14ac:dyDescent="0.35">
      <c r="A6422" s="4">
        <v>4500187084</v>
      </c>
    </row>
    <row r="6423" spans="1:1" x14ac:dyDescent="0.35">
      <c r="A6423" s="4">
        <v>4500187088</v>
      </c>
    </row>
    <row r="6424" spans="1:1" x14ac:dyDescent="0.35">
      <c r="A6424" s="4">
        <v>4500187090</v>
      </c>
    </row>
    <row r="6425" spans="1:1" x14ac:dyDescent="0.35">
      <c r="A6425" s="4">
        <v>4500187092</v>
      </c>
    </row>
    <row r="6426" spans="1:1" x14ac:dyDescent="0.35">
      <c r="A6426" s="4">
        <v>4500187094</v>
      </c>
    </row>
    <row r="6427" spans="1:1" x14ac:dyDescent="0.35">
      <c r="A6427" s="4">
        <v>4500187098</v>
      </c>
    </row>
    <row r="6428" spans="1:1" x14ac:dyDescent="0.35">
      <c r="A6428" s="4">
        <v>4500187100</v>
      </c>
    </row>
    <row r="6429" spans="1:1" x14ac:dyDescent="0.35">
      <c r="A6429" s="4">
        <v>4500187103</v>
      </c>
    </row>
    <row r="6430" spans="1:1" x14ac:dyDescent="0.35">
      <c r="A6430" s="4">
        <v>4500187135</v>
      </c>
    </row>
    <row r="6431" spans="1:1" x14ac:dyDescent="0.35">
      <c r="A6431" s="4">
        <v>4500187212</v>
      </c>
    </row>
    <row r="6432" spans="1:1" x14ac:dyDescent="0.35">
      <c r="A6432" s="4">
        <v>4500187219</v>
      </c>
    </row>
    <row r="6433" spans="1:1" x14ac:dyDescent="0.35">
      <c r="A6433" s="4">
        <v>4500187221</v>
      </c>
    </row>
    <row r="6434" spans="1:1" x14ac:dyDescent="0.35">
      <c r="A6434" s="4">
        <v>4500187227</v>
      </c>
    </row>
    <row r="6435" spans="1:1" x14ac:dyDescent="0.35">
      <c r="A6435" s="4">
        <v>4500187232</v>
      </c>
    </row>
    <row r="6436" spans="1:1" x14ac:dyDescent="0.35">
      <c r="A6436" s="4">
        <v>4500187235</v>
      </c>
    </row>
    <row r="6437" spans="1:1" x14ac:dyDescent="0.35">
      <c r="A6437" s="4">
        <v>4500187238</v>
      </c>
    </row>
    <row r="6438" spans="1:1" x14ac:dyDescent="0.35">
      <c r="A6438" s="4">
        <v>4500187241</v>
      </c>
    </row>
    <row r="6439" spans="1:1" x14ac:dyDescent="0.35">
      <c r="A6439" s="4">
        <v>4500187243</v>
      </c>
    </row>
    <row r="6440" spans="1:1" x14ac:dyDescent="0.35">
      <c r="A6440" s="4">
        <v>4500187248</v>
      </c>
    </row>
    <row r="6441" spans="1:1" x14ac:dyDescent="0.35">
      <c r="A6441" s="4">
        <v>4500187254</v>
      </c>
    </row>
    <row r="6442" spans="1:1" x14ac:dyDescent="0.35">
      <c r="A6442" s="4">
        <v>4500187256</v>
      </c>
    </row>
    <row r="6443" spans="1:1" x14ac:dyDescent="0.35">
      <c r="A6443" s="4">
        <v>4500187259</v>
      </c>
    </row>
    <row r="6444" spans="1:1" x14ac:dyDescent="0.35">
      <c r="A6444" s="4">
        <v>4500187265</v>
      </c>
    </row>
    <row r="6445" spans="1:1" x14ac:dyDescent="0.35">
      <c r="A6445" s="4">
        <v>4500187270</v>
      </c>
    </row>
    <row r="6446" spans="1:1" x14ac:dyDescent="0.35">
      <c r="A6446" s="4">
        <v>4500187273</v>
      </c>
    </row>
    <row r="6447" spans="1:1" x14ac:dyDescent="0.35">
      <c r="A6447" s="4">
        <v>4500187275</v>
      </c>
    </row>
    <row r="6448" spans="1:1" x14ac:dyDescent="0.35">
      <c r="A6448" s="4">
        <v>4500187280</v>
      </c>
    </row>
    <row r="6449" spans="1:1" x14ac:dyDescent="0.35">
      <c r="A6449" s="4">
        <v>4500187282</v>
      </c>
    </row>
    <row r="6450" spans="1:1" x14ac:dyDescent="0.35">
      <c r="A6450" s="4">
        <v>4500187283</v>
      </c>
    </row>
    <row r="6451" spans="1:1" x14ac:dyDescent="0.35">
      <c r="A6451" s="4">
        <v>4500187286</v>
      </c>
    </row>
    <row r="6452" spans="1:1" x14ac:dyDescent="0.35">
      <c r="A6452" s="4">
        <v>4500187290</v>
      </c>
    </row>
    <row r="6453" spans="1:1" x14ac:dyDescent="0.35">
      <c r="A6453" s="4">
        <v>4500187295</v>
      </c>
    </row>
    <row r="6454" spans="1:1" x14ac:dyDescent="0.35">
      <c r="A6454" s="4">
        <v>4500187297</v>
      </c>
    </row>
    <row r="6455" spans="1:1" x14ac:dyDescent="0.35">
      <c r="A6455" s="4">
        <v>4500187304</v>
      </c>
    </row>
    <row r="6456" spans="1:1" x14ac:dyDescent="0.35">
      <c r="A6456" s="4">
        <v>4500187307</v>
      </c>
    </row>
    <row r="6457" spans="1:1" x14ac:dyDescent="0.35">
      <c r="A6457" s="4">
        <v>4500187309</v>
      </c>
    </row>
    <row r="6458" spans="1:1" x14ac:dyDescent="0.35">
      <c r="A6458" s="4">
        <v>4500187312</v>
      </c>
    </row>
    <row r="6459" spans="1:1" x14ac:dyDescent="0.35">
      <c r="A6459" s="4">
        <v>4500187316</v>
      </c>
    </row>
    <row r="6460" spans="1:1" x14ac:dyDescent="0.35">
      <c r="A6460" s="4">
        <v>4500187349</v>
      </c>
    </row>
    <row r="6461" spans="1:1" x14ac:dyDescent="0.35">
      <c r="A6461" s="4">
        <v>4500187439</v>
      </c>
    </row>
    <row r="6462" spans="1:1" x14ac:dyDescent="0.35">
      <c r="A6462" s="4">
        <v>4500187452</v>
      </c>
    </row>
    <row r="6463" spans="1:1" x14ac:dyDescent="0.35">
      <c r="A6463" s="4">
        <v>4500187458</v>
      </c>
    </row>
    <row r="6464" spans="1:1" x14ac:dyDescent="0.35">
      <c r="A6464" s="4">
        <v>4500187475</v>
      </c>
    </row>
    <row r="6465" spans="1:1" x14ac:dyDescent="0.35">
      <c r="A6465" s="4">
        <v>4500187487</v>
      </c>
    </row>
    <row r="6466" spans="1:1" x14ac:dyDescent="0.35">
      <c r="A6466" s="4">
        <v>4500187491</v>
      </c>
    </row>
    <row r="6467" spans="1:1" x14ac:dyDescent="0.35">
      <c r="A6467" s="4">
        <v>4500187495</v>
      </c>
    </row>
    <row r="6468" spans="1:1" x14ac:dyDescent="0.35">
      <c r="A6468" s="4">
        <v>4500187513</v>
      </c>
    </row>
    <row r="6469" spans="1:1" x14ac:dyDescent="0.35">
      <c r="A6469" s="4">
        <v>4500187517</v>
      </c>
    </row>
    <row r="6470" spans="1:1" x14ac:dyDescent="0.35">
      <c r="A6470" s="4">
        <v>4500187519</v>
      </c>
    </row>
    <row r="6471" spans="1:1" x14ac:dyDescent="0.35">
      <c r="A6471" s="4">
        <v>4500187523</v>
      </c>
    </row>
    <row r="6472" spans="1:1" x14ac:dyDescent="0.35">
      <c r="A6472" s="4">
        <v>4500187527</v>
      </c>
    </row>
    <row r="6473" spans="1:1" x14ac:dyDescent="0.35">
      <c r="A6473" s="4">
        <v>4500187530</v>
      </c>
    </row>
    <row r="6474" spans="1:1" x14ac:dyDescent="0.35">
      <c r="A6474" s="4">
        <v>4500187536</v>
      </c>
    </row>
    <row r="6475" spans="1:1" x14ac:dyDescent="0.35">
      <c r="A6475" s="4">
        <v>4500187540</v>
      </c>
    </row>
    <row r="6476" spans="1:1" x14ac:dyDescent="0.35">
      <c r="A6476" s="4">
        <v>4500187541</v>
      </c>
    </row>
    <row r="6477" spans="1:1" x14ac:dyDescent="0.35">
      <c r="A6477" s="4">
        <v>4500187542</v>
      </c>
    </row>
    <row r="6478" spans="1:1" x14ac:dyDescent="0.35">
      <c r="A6478" s="4">
        <v>4500187549</v>
      </c>
    </row>
    <row r="6479" spans="1:1" x14ac:dyDescent="0.35">
      <c r="A6479" s="4">
        <v>4500187554</v>
      </c>
    </row>
    <row r="6480" spans="1:1" x14ac:dyDescent="0.35">
      <c r="A6480" s="4">
        <v>4500187559</v>
      </c>
    </row>
    <row r="6481" spans="1:1" x14ac:dyDescent="0.35">
      <c r="A6481" s="4">
        <v>4500187560</v>
      </c>
    </row>
    <row r="6482" spans="1:1" x14ac:dyDescent="0.35">
      <c r="A6482" s="4">
        <v>4500187562</v>
      </c>
    </row>
    <row r="6483" spans="1:1" x14ac:dyDescent="0.35">
      <c r="A6483" s="4">
        <v>4500187564</v>
      </c>
    </row>
    <row r="6484" spans="1:1" x14ac:dyDescent="0.35">
      <c r="A6484" s="4">
        <v>4500187566</v>
      </c>
    </row>
    <row r="6485" spans="1:1" x14ac:dyDescent="0.35">
      <c r="A6485" s="4">
        <v>4500187567</v>
      </c>
    </row>
    <row r="6486" spans="1:1" x14ac:dyDescent="0.35">
      <c r="A6486" s="4">
        <v>4500187568</v>
      </c>
    </row>
    <row r="6487" spans="1:1" x14ac:dyDescent="0.35">
      <c r="A6487" s="4">
        <v>4500187569</v>
      </c>
    </row>
    <row r="6488" spans="1:1" x14ac:dyDescent="0.35">
      <c r="A6488" s="4">
        <v>4500187570</v>
      </c>
    </row>
    <row r="6489" spans="1:1" x14ac:dyDescent="0.35">
      <c r="A6489" s="4">
        <v>4500187572</v>
      </c>
    </row>
    <row r="6490" spans="1:1" x14ac:dyDescent="0.35">
      <c r="A6490" s="4">
        <v>4500187647</v>
      </c>
    </row>
    <row r="6491" spans="1:1" x14ac:dyDescent="0.35">
      <c r="A6491" s="4">
        <v>4500187652</v>
      </c>
    </row>
    <row r="6492" spans="1:1" x14ac:dyDescent="0.35">
      <c r="A6492" s="4">
        <v>4500187658</v>
      </c>
    </row>
    <row r="6493" spans="1:1" x14ac:dyDescent="0.35">
      <c r="A6493" s="4">
        <v>4500187671</v>
      </c>
    </row>
    <row r="6494" spans="1:1" x14ac:dyDescent="0.35">
      <c r="A6494" s="4">
        <v>4500187681</v>
      </c>
    </row>
    <row r="6495" spans="1:1" x14ac:dyDescent="0.35">
      <c r="A6495" s="4">
        <v>4500187686</v>
      </c>
    </row>
    <row r="6496" spans="1:1" x14ac:dyDescent="0.35">
      <c r="A6496" s="4">
        <v>4500187697</v>
      </c>
    </row>
    <row r="6497" spans="1:1" x14ac:dyDescent="0.35">
      <c r="A6497" s="4">
        <v>4500187700</v>
      </c>
    </row>
    <row r="6498" spans="1:1" x14ac:dyDescent="0.35">
      <c r="A6498" s="4">
        <v>4500187707</v>
      </c>
    </row>
    <row r="6499" spans="1:1" x14ac:dyDescent="0.35">
      <c r="A6499" s="4">
        <v>4500187711</v>
      </c>
    </row>
    <row r="6500" spans="1:1" x14ac:dyDescent="0.35">
      <c r="A6500" s="4">
        <v>4500187716</v>
      </c>
    </row>
    <row r="6501" spans="1:1" x14ac:dyDescent="0.35">
      <c r="A6501" s="4">
        <v>4500187719</v>
      </c>
    </row>
    <row r="6502" spans="1:1" x14ac:dyDescent="0.35">
      <c r="A6502" s="4">
        <v>4500187721</v>
      </c>
    </row>
    <row r="6503" spans="1:1" x14ac:dyDescent="0.35">
      <c r="A6503" s="4">
        <v>4500187725</v>
      </c>
    </row>
    <row r="6504" spans="1:1" x14ac:dyDescent="0.35">
      <c r="A6504" s="4">
        <v>4500187727</v>
      </c>
    </row>
    <row r="6505" spans="1:1" x14ac:dyDescent="0.35">
      <c r="A6505" s="4">
        <v>4500187729</v>
      </c>
    </row>
    <row r="6506" spans="1:1" x14ac:dyDescent="0.35">
      <c r="A6506" s="4">
        <v>4500187735</v>
      </c>
    </row>
    <row r="6507" spans="1:1" x14ac:dyDescent="0.35">
      <c r="A6507" s="4">
        <v>4500187737</v>
      </c>
    </row>
    <row r="6508" spans="1:1" x14ac:dyDescent="0.35">
      <c r="A6508" s="4">
        <v>4500187739</v>
      </c>
    </row>
    <row r="6509" spans="1:1" x14ac:dyDescent="0.35">
      <c r="A6509" s="4">
        <v>4500187742</v>
      </c>
    </row>
    <row r="6510" spans="1:1" x14ac:dyDescent="0.35">
      <c r="A6510" s="4">
        <v>4500187744</v>
      </c>
    </row>
    <row r="6511" spans="1:1" x14ac:dyDescent="0.35">
      <c r="A6511" s="4">
        <v>4500187748</v>
      </c>
    </row>
    <row r="6512" spans="1:1" x14ac:dyDescent="0.35">
      <c r="A6512" s="4">
        <v>4500187750</v>
      </c>
    </row>
    <row r="6513" spans="1:1" x14ac:dyDescent="0.35">
      <c r="A6513" s="4">
        <v>4500187754</v>
      </c>
    </row>
    <row r="6514" spans="1:1" x14ac:dyDescent="0.35">
      <c r="A6514" s="4">
        <v>4500187755</v>
      </c>
    </row>
    <row r="6515" spans="1:1" x14ac:dyDescent="0.35">
      <c r="A6515" s="4">
        <v>4500187756</v>
      </c>
    </row>
    <row r="6516" spans="1:1" x14ac:dyDescent="0.35">
      <c r="A6516" s="4">
        <v>4500187757</v>
      </c>
    </row>
    <row r="6517" spans="1:1" x14ac:dyDescent="0.35">
      <c r="A6517" s="4">
        <v>4500187838</v>
      </c>
    </row>
    <row r="6518" spans="1:1" x14ac:dyDescent="0.35">
      <c r="A6518" s="4">
        <v>4500187844</v>
      </c>
    </row>
    <row r="6519" spans="1:1" x14ac:dyDescent="0.35">
      <c r="A6519" s="4">
        <v>4500187848</v>
      </c>
    </row>
    <row r="6520" spans="1:1" x14ac:dyDescent="0.35">
      <c r="A6520" s="4">
        <v>4500187853</v>
      </c>
    </row>
    <row r="6521" spans="1:1" x14ac:dyDescent="0.35">
      <c r="A6521" s="4">
        <v>4500187867</v>
      </c>
    </row>
    <row r="6522" spans="1:1" x14ac:dyDescent="0.35">
      <c r="A6522" s="4">
        <v>4500187870</v>
      </c>
    </row>
    <row r="6523" spans="1:1" x14ac:dyDescent="0.35">
      <c r="A6523" s="4">
        <v>4500187876</v>
      </c>
    </row>
    <row r="6524" spans="1:1" x14ac:dyDescent="0.35">
      <c r="A6524" s="4">
        <v>4500187887</v>
      </c>
    </row>
    <row r="6525" spans="1:1" x14ac:dyDescent="0.35">
      <c r="A6525" s="4">
        <v>4500187890</v>
      </c>
    </row>
    <row r="6526" spans="1:1" x14ac:dyDescent="0.35">
      <c r="A6526" s="4">
        <v>4500187894</v>
      </c>
    </row>
    <row r="6527" spans="1:1" x14ac:dyDescent="0.35">
      <c r="A6527" s="4">
        <v>4500187898</v>
      </c>
    </row>
    <row r="6528" spans="1:1" x14ac:dyDescent="0.35">
      <c r="A6528" s="4">
        <v>4500187901</v>
      </c>
    </row>
    <row r="6529" spans="1:1" x14ac:dyDescent="0.35">
      <c r="A6529" s="4">
        <v>4500187907</v>
      </c>
    </row>
    <row r="6530" spans="1:1" x14ac:dyDescent="0.35">
      <c r="A6530" s="4">
        <v>4500187912</v>
      </c>
    </row>
    <row r="6531" spans="1:1" x14ac:dyDescent="0.35">
      <c r="A6531" s="4">
        <v>4500187920</v>
      </c>
    </row>
    <row r="6532" spans="1:1" x14ac:dyDescent="0.35">
      <c r="A6532" s="4">
        <v>4500187924</v>
      </c>
    </row>
    <row r="6533" spans="1:1" x14ac:dyDescent="0.35">
      <c r="A6533" s="4">
        <v>4500187928</v>
      </c>
    </row>
    <row r="6534" spans="1:1" x14ac:dyDescent="0.35">
      <c r="A6534" s="4">
        <v>4500187932</v>
      </c>
    </row>
    <row r="6535" spans="1:1" x14ac:dyDescent="0.35">
      <c r="A6535" s="4">
        <v>4500187936</v>
      </c>
    </row>
    <row r="6536" spans="1:1" x14ac:dyDescent="0.35">
      <c r="A6536" s="4">
        <v>4500187939</v>
      </c>
    </row>
    <row r="6537" spans="1:1" x14ac:dyDescent="0.35">
      <c r="A6537" s="4">
        <v>4500187942</v>
      </c>
    </row>
    <row r="6538" spans="1:1" x14ac:dyDescent="0.35">
      <c r="A6538" s="4">
        <v>4500187946</v>
      </c>
    </row>
    <row r="6539" spans="1:1" x14ac:dyDescent="0.35">
      <c r="A6539" s="4">
        <v>4500187949</v>
      </c>
    </row>
    <row r="6540" spans="1:1" x14ac:dyDescent="0.35">
      <c r="A6540" s="4">
        <v>4500187954</v>
      </c>
    </row>
    <row r="6541" spans="1:1" x14ac:dyDescent="0.35">
      <c r="A6541" s="4">
        <v>4500187961</v>
      </c>
    </row>
    <row r="6542" spans="1:1" x14ac:dyDescent="0.35">
      <c r="A6542" s="4">
        <v>4500187962</v>
      </c>
    </row>
    <row r="6543" spans="1:1" x14ac:dyDescent="0.35">
      <c r="A6543" s="4">
        <v>4500187963</v>
      </c>
    </row>
    <row r="6544" spans="1:1" x14ac:dyDescent="0.35">
      <c r="A6544" s="4">
        <v>4500187964</v>
      </c>
    </row>
    <row r="6545" spans="1:1" x14ac:dyDescent="0.35">
      <c r="A6545" s="4">
        <v>4500187965</v>
      </c>
    </row>
    <row r="6546" spans="1:1" x14ac:dyDescent="0.35">
      <c r="A6546" s="4">
        <v>4500187966</v>
      </c>
    </row>
    <row r="6547" spans="1:1" x14ac:dyDescent="0.35">
      <c r="A6547" s="4">
        <v>4500187967</v>
      </c>
    </row>
    <row r="6548" spans="1:1" x14ac:dyDescent="0.35">
      <c r="A6548" s="4">
        <v>4500187968</v>
      </c>
    </row>
    <row r="6549" spans="1:1" x14ac:dyDescent="0.35">
      <c r="A6549" s="4">
        <v>4500187969</v>
      </c>
    </row>
    <row r="6550" spans="1:1" x14ac:dyDescent="0.35">
      <c r="A6550" s="4">
        <v>4500188056</v>
      </c>
    </row>
    <row r="6551" spans="1:1" x14ac:dyDescent="0.35">
      <c r="A6551" s="4">
        <v>4500188061</v>
      </c>
    </row>
    <row r="6552" spans="1:1" x14ac:dyDescent="0.35">
      <c r="A6552" s="4">
        <v>4500188069</v>
      </c>
    </row>
    <row r="6553" spans="1:1" x14ac:dyDescent="0.35">
      <c r="A6553" s="4">
        <v>4500188072</v>
      </c>
    </row>
    <row r="6554" spans="1:1" x14ac:dyDescent="0.35">
      <c r="A6554" s="4">
        <v>4500188083</v>
      </c>
    </row>
    <row r="6555" spans="1:1" x14ac:dyDescent="0.35">
      <c r="A6555" s="4">
        <v>4500188086</v>
      </c>
    </row>
    <row r="6556" spans="1:1" x14ac:dyDescent="0.35">
      <c r="A6556" s="4">
        <v>4500188091</v>
      </c>
    </row>
    <row r="6557" spans="1:1" x14ac:dyDescent="0.35">
      <c r="A6557" s="4">
        <v>4500188100</v>
      </c>
    </row>
    <row r="6558" spans="1:1" x14ac:dyDescent="0.35">
      <c r="A6558" s="4">
        <v>4500188108</v>
      </c>
    </row>
    <row r="6559" spans="1:1" x14ac:dyDescent="0.35">
      <c r="A6559" s="4">
        <v>4500188111</v>
      </c>
    </row>
    <row r="6560" spans="1:1" x14ac:dyDescent="0.35">
      <c r="A6560" s="4">
        <v>4500188120</v>
      </c>
    </row>
    <row r="6561" spans="1:1" x14ac:dyDescent="0.35">
      <c r="A6561" s="4">
        <v>4500188126</v>
      </c>
    </row>
    <row r="6562" spans="1:1" x14ac:dyDescent="0.35">
      <c r="A6562" s="4">
        <v>4500188138</v>
      </c>
    </row>
    <row r="6563" spans="1:1" x14ac:dyDescent="0.35">
      <c r="A6563" s="4">
        <v>4500188140</v>
      </c>
    </row>
    <row r="6564" spans="1:1" x14ac:dyDescent="0.35">
      <c r="A6564" s="4">
        <v>4500188143</v>
      </c>
    </row>
    <row r="6565" spans="1:1" x14ac:dyDescent="0.35">
      <c r="A6565" s="4">
        <v>4500188150</v>
      </c>
    </row>
    <row r="6566" spans="1:1" x14ac:dyDescent="0.35">
      <c r="A6566" s="4">
        <v>4500188155</v>
      </c>
    </row>
    <row r="6567" spans="1:1" x14ac:dyDescent="0.35">
      <c r="A6567" s="4">
        <v>4500188159</v>
      </c>
    </row>
    <row r="6568" spans="1:1" x14ac:dyDescent="0.35">
      <c r="A6568" s="4">
        <v>4500188161</v>
      </c>
    </row>
    <row r="6569" spans="1:1" x14ac:dyDescent="0.35">
      <c r="A6569" s="4">
        <v>4500188163</v>
      </c>
    </row>
    <row r="6570" spans="1:1" x14ac:dyDescent="0.35">
      <c r="A6570" s="4">
        <v>4500188164</v>
      </c>
    </row>
    <row r="6571" spans="1:1" x14ac:dyDescent="0.35">
      <c r="A6571" s="4">
        <v>4500188165</v>
      </c>
    </row>
    <row r="6572" spans="1:1" x14ac:dyDescent="0.35">
      <c r="A6572" s="4">
        <v>4500188166</v>
      </c>
    </row>
    <row r="6573" spans="1:1" x14ac:dyDescent="0.35">
      <c r="A6573" s="4">
        <v>4500188167</v>
      </c>
    </row>
    <row r="6574" spans="1:1" x14ac:dyDescent="0.35">
      <c r="A6574" s="4">
        <v>4500188168</v>
      </c>
    </row>
    <row r="6575" spans="1:1" x14ac:dyDescent="0.35">
      <c r="A6575" s="4">
        <v>4500188169</v>
      </c>
    </row>
    <row r="6576" spans="1:1" x14ac:dyDescent="0.35">
      <c r="A6576" s="4">
        <v>4500188170</v>
      </c>
    </row>
    <row r="6577" spans="1:1" x14ac:dyDescent="0.35">
      <c r="A6577" s="4">
        <v>4500188171</v>
      </c>
    </row>
    <row r="6578" spans="1:1" x14ac:dyDescent="0.35">
      <c r="A6578" s="4">
        <v>4500188189</v>
      </c>
    </row>
    <row r="6579" spans="1:1" x14ac:dyDescent="0.35">
      <c r="A6579" s="4">
        <v>4500188250</v>
      </c>
    </row>
    <row r="6580" spans="1:1" x14ac:dyDescent="0.35">
      <c r="A6580" s="4">
        <v>4500188255</v>
      </c>
    </row>
    <row r="6581" spans="1:1" x14ac:dyDescent="0.35">
      <c r="A6581" s="4">
        <v>4500188260</v>
      </c>
    </row>
    <row r="6582" spans="1:1" x14ac:dyDescent="0.35">
      <c r="A6582" s="4">
        <v>4500188264</v>
      </c>
    </row>
    <row r="6583" spans="1:1" x14ac:dyDescent="0.35">
      <c r="A6583" s="4">
        <v>4500188268</v>
      </c>
    </row>
    <row r="6584" spans="1:1" x14ac:dyDescent="0.35">
      <c r="A6584" s="4">
        <v>4500188275</v>
      </c>
    </row>
    <row r="6585" spans="1:1" x14ac:dyDescent="0.35">
      <c r="A6585" s="4">
        <v>4500188284</v>
      </c>
    </row>
    <row r="6586" spans="1:1" x14ac:dyDescent="0.35">
      <c r="A6586" s="4">
        <v>4500188287</v>
      </c>
    </row>
    <row r="6587" spans="1:1" x14ac:dyDescent="0.35">
      <c r="A6587" s="4">
        <v>4500188290</v>
      </c>
    </row>
    <row r="6588" spans="1:1" x14ac:dyDescent="0.35">
      <c r="A6588" s="4">
        <v>4500188296</v>
      </c>
    </row>
    <row r="6589" spans="1:1" x14ac:dyDescent="0.35">
      <c r="A6589" s="4">
        <v>4500188307</v>
      </c>
    </row>
    <row r="6590" spans="1:1" x14ac:dyDescent="0.35">
      <c r="A6590" s="4">
        <v>4500188309</v>
      </c>
    </row>
    <row r="6591" spans="1:1" x14ac:dyDescent="0.35">
      <c r="A6591" s="4">
        <v>4500188310</v>
      </c>
    </row>
    <row r="6592" spans="1:1" x14ac:dyDescent="0.35">
      <c r="A6592" s="4">
        <v>4500188313</v>
      </c>
    </row>
    <row r="6593" spans="1:1" x14ac:dyDescent="0.35">
      <c r="A6593" s="4">
        <v>4500188316</v>
      </c>
    </row>
    <row r="6594" spans="1:1" x14ac:dyDescent="0.35">
      <c r="A6594" s="4">
        <v>4500188319</v>
      </c>
    </row>
    <row r="6595" spans="1:1" x14ac:dyDescent="0.35">
      <c r="A6595" s="4">
        <v>4500188395</v>
      </c>
    </row>
    <row r="6596" spans="1:1" x14ac:dyDescent="0.35">
      <c r="A6596" s="4">
        <v>4500188396</v>
      </c>
    </row>
    <row r="6597" spans="1:1" x14ac:dyDescent="0.35">
      <c r="A6597" s="4">
        <v>4500188397</v>
      </c>
    </row>
    <row r="6598" spans="1:1" x14ac:dyDescent="0.35">
      <c r="A6598" s="4">
        <v>4500188442</v>
      </c>
    </row>
    <row r="6599" spans="1:1" x14ac:dyDescent="0.35">
      <c r="A6599" s="4">
        <v>4500188444</v>
      </c>
    </row>
    <row r="6600" spans="1:1" x14ac:dyDescent="0.35">
      <c r="A6600" s="4">
        <v>4500188453</v>
      </c>
    </row>
    <row r="6601" spans="1:1" x14ac:dyDescent="0.35">
      <c r="A6601" s="4">
        <v>4500188459</v>
      </c>
    </row>
    <row r="6602" spans="1:1" x14ac:dyDescent="0.35">
      <c r="A6602" s="4">
        <v>4500188478</v>
      </c>
    </row>
    <row r="6603" spans="1:1" x14ac:dyDescent="0.35">
      <c r="A6603" s="4">
        <v>4500188483</v>
      </c>
    </row>
    <row r="6604" spans="1:1" x14ac:dyDescent="0.35">
      <c r="A6604" s="4">
        <v>4500188486</v>
      </c>
    </row>
    <row r="6605" spans="1:1" x14ac:dyDescent="0.35">
      <c r="A6605" s="4">
        <v>4500188490</v>
      </c>
    </row>
    <row r="6606" spans="1:1" x14ac:dyDescent="0.35">
      <c r="A6606" s="4">
        <v>4500188492</v>
      </c>
    </row>
    <row r="6607" spans="1:1" x14ac:dyDescent="0.35">
      <c r="A6607" s="4">
        <v>4500188496</v>
      </c>
    </row>
    <row r="6608" spans="1:1" x14ac:dyDescent="0.35">
      <c r="A6608" s="4">
        <v>4500188498</v>
      </c>
    </row>
    <row r="6609" spans="1:1" x14ac:dyDescent="0.35">
      <c r="A6609" s="4">
        <v>4500188500</v>
      </c>
    </row>
    <row r="6610" spans="1:1" x14ac:dyDescent="0.35">
      <c r="A6610" s="4">
        <v>4500188503</v>
      </c>
    </row>
    <row r="6611" spans="1:1" x14ac:dyDescent="0.35">
      <c r="A6611" s="4">
        <v>4500188505</v>
      </c>
    </row>
    <row r="6612" spans="1:1" x14ac:dyDescent="0.35">
      <c r="A6612" s="4">
        <v>4500188515</v>
      </c>
    </row>
    <row r="6613" spans="1:1" x14ac:dyDescent="0.35">
      <c r="A6613" s="4">
        <v>4500188525</v>
      </c>
    </row>
    <row r="6614" spans="1:1" x14ac:dyDescent="0.35">
      <c r="A6614" s="4">
        <v>4500188527</v>
      </c>
    </row>
    <row r="6615" spans="1:1" x14ac:dyDescent="0.35">
      <c r="A6615" s="4">
        <v>4500188529</v>
      </c>
    </row>
    <row r="6616" spans="1:1" x14ac:dyDescent="0.35">
      <c r="A6616" s="4">
        <v>4500188530</v>
      </c>
    </row>
    <row r="6617" spans="1:1" x14ac:dyDescent="0.35">
      <c r="A6617" s="4">
        <v>4500188535</v>
      </c>
    </row>
    <row r="6618" spans="1:1" x14ac:dyDescent="0.35">
      <c r="A6618" s="4">
        <v>4500188538</v>
      </c>
    </row>
    <row r="6619" spans="1:1" x14ac:dyDescent="0.35">
      <c r="A6619" s="4">
        <v>4500188545</v>
      </c>
    </row>
    <row r="6620" spans="1:1" x14ac:dyDescent="0.35">
      <c r="A6620" s="4">
        <v>4500188547</v>
      </c>
    </row>
    <row r="6621" spans="1:1" x14ac:dyDescent="0.35">
      <c r="A6621" s="4">
        <v>4500188549</v>
      </c>
    </row>
    <row r="6622" spans="1:1" x14ac:dyDescent="0.35">
      <c r="A6622" s="4">
        <v>4500188552</v>
      </c>
    </row>
    <row r="6623" spans="1:1" x14ac:dyDescent="0.35">
      <c r="A6623" s="4">
        <v>4500188554</v>
      </c>
    </row>
    <row r="6624" spans="1:1" x14ac:dyDescent="0.35">
      <c r="A6624" s="4">
        <v>4500188556</v>
      </c>
    </row>
    <row r="6625" spans="1:1" x14ac:dyDescent="0.35">
      <c r="A6625" s="4">
        <v>4500188557</v>
      </c>
    </row>
    <row r="6626" spans="1:1" x14ac:dyDescent="0.35">
      <c r="A6626" s="4">
        <v>4500188637</v>
      </c>
    </row>
    <row r="6627" spans="1:1" x14ac:dyDescent="0.35">
      <c r="A6627" s="4">
        <v>4500188641</v>
      </c>
    </row>
    <row r="6628" spans="1:1" x14ac:dyDescent="0.35">
      <c r="A6628" s="4">
        <v>4500188646</v>
      </c>
    </row>
    <row r="6629" spans="1:1" x14ac:dyDescent="0.35">
      <c r="A6629" s="4">
        <v>4500188655</v>
      </c>
    </row>
    <row r="6630" spans="1:1" x14ac:dyDescent="0.35">
      <c r="A6630" s="4">
        <v>4500188660</v>
      </c>
    </row>
    <row r="6631" spans="1:1" x14ac:dyDescent="0.35">
      <c r="A6631" s="4">
        <v>4500188665</v>
      </c>
    </row>
    <row r="6632" spans="1:1" x14ac:dyDescent="0.35">
      <c r="A6632" s="4">
        <v>4500188669</v>
      </c>
    </row>
    <row r="6633" spans="1:1" x14ac:dyDescent="0.35">
      <c r="A6633" s="4">
        <v>4500188677</v>
      </c>
    </row>
    <row r="6634" spans="1:1" x14ac:dyDescent="0.35">
      <c r="A6634" s="4">
        <v>4500188680</v>
      </c>
    </row>
    <row r="6635" spans="1:1" x14ac:dyDescent="0.35">
      <c r="A6635" s="4">
        <v>4500188685</v>
      </c>
    </row>
    <row r="6636" spans="1:1" x14ac:dyDescent="0.35">
      <c r="A6636" s="4">
        <v>4500188696</v>
      </c>
    </row>
    <row r="6637" spans="1:1" x14ac:dyDescent="0.35">
      <c r="A6637" s="4">
        <v>4500188699</v>
      </c>
    </row>
    <row r="6638" spans="1:1" x14ac:dyDescent="0.35">
      <c r="A6638" s="4">
        <v>4500188703</v>
      </c>
    </row>
    <row r="6639" spans="1:1" x14ac:dyDescent="0.35">
      <c r="A6639" s="4">
        <v>4500188711</v>
      </c>
    </row>
    <row r="6640" spans="1:1" x14ac:dyDescent="0.35">
      <c r="A6640" s="4">
        <v>4500188715</v>
      </c>
    </row>
    <row r="6641" spans="1:1" x14ac:dyDescent="0.35">
      <c r="A6641" s="4">
        <v>4500188719</v>
      </c>
    </row>
    <row r="6642" spans="1:1" x14ac:dyDescent="0.35">
      <c r="A6642" s="4">
        <v>4500188727</v>
      </c>
    </row>
    <row r="6643" spans="1:1" x14ac:dyDescent="0.35">
      <c r="A6643" s="4">
        <v>4500188731</v>
      </c>
    </row>
    <row r="6644" spans="1:1" x14ac:dyDescent="0.35">
      <c r="A6644" s="4">
        <v>4500188734</v>
      </c>
    </row>
    <row r="6645" spans="1:1" x14ac:dyDescent="0.35">
      <c r="A6645" s="4">
        <v>4500188737</v>
      </c>
    </row>
    <row r="6646" spans="1:1" x14ac:dyDescent="0.35">
      <c r="A6646" s="4">
        <v>4500188739</v>
      </c>
    </row>
    <row r="6647" spans="1:1" x14ac:dyDescent="0.35">
      <c r="A6647" s="4">
        <v>4500188745</v>
      </c>
    </row>
    <row r="6648" spans="1:1" x14ac:dyDescent="0.35">
      <c r="A6648" s="4">
        <v>4500188748</v>
      </c>
    </row>
    <row r="6649" spans="1:1" x14ac:dyDescent="0.35">
      <c r="A6649" s="4">
        <v>4500188749</v>
      </c>
    </row>
    <row r="6650" spans="1:1" x14ac:dyDescent="0.35">
      <c r="A6650" s="4">
        <v>4500188752</v>
      </c>
    </row>
    <row r="6651" spans="1:1" x14ac:dyDescent="0.35">
      <c r="A6651" s="4">
        <v>4500188797</v>
      </c>
    </row>
    <row r="6652" spans="1:1" x14ac:dyDescent="0.35">
      <c r="A6652" s="4">
        <v>4500188850</v>
      </c>
    </row>
    <row r="6653" spans="1:1" x14ac:dyDescent="0.35">
      <c r="A6653" s="4">
        <v>4500188854</v>
      </c>
    </row>
    <row r="6654" spans="1:1" x14ac:dyDescent="0.35">
      <c r="A6654" s="4">
        <v>4500188859</v>
      </c>
    </row>
    <row r="6655" spans="1:1" x14ac:dyDescent="0.35">
      <c r="A6655" s="4">
        <v>4500188863</v>
      </c>
    </row>
    <row r="6656" spans="1:1" x14ac:dyDescent="0.35">
      <c r="A6656" s="4">
        <v>4500188875</v>
      </c>
    </row>
    <row r="6657" spans="1:1" x14ac:dyDescent="0.35">
      <c r="A6657" s="4">
        <v>4500188878</v>
      </c>
    </row>
    <row r="6658" spans="1:1" x14ac:dyDescent="0.35">
      <c r="A6658" s="4">
        <v>4500188888</v>
      </c>
    </row>
    <row r="6659" spans="1:1" x14ac:dyDescent="0.35">
      <c r="A6659" s="4">
        <v>4500188892</v>
      </c>
    </row>
    <row r="6660" spans="1:1" x14ac:dyDescent="0.35">
      <c r="A6660" s="4">
        <v>4500188902</v>
      </c>
    </row>
    <row r="6661" spans="1:1" x14ac:dyDescent="0.35">
      <c r="A6661" s="4">
        <v>4500188907</v>
      </c>
    </row>
    <row r="6662" spans="1:1" x14ac:dyDescent="0.35">
      <c r="A6662" s="4">
        <v>4500188909</v>
      </c>
    </row>
    <row r="6663" spans="1:1" x14ac:dyDescent="0.35">
      <c r="A6663" s="4">
        <v>4500188921</v>
      </c>
    </row>
    <row r="6664" spans="1:1" x14ac:dyDescent="0.35">
      <c r="A6664" s="4">
        <v>4500188925</v>
      </c>
    </row>
    <row r="6665" spans="1:1" x14ac:dyDescent="0.35">
      <c r="A6665" s="4">
        <v>4500188928</v>
      </c>
    </row>
    <row r="6666" spans="1:1" x14ac:dyDescent="0.35">
      <c r="A6666" s="4">
        <v>4500188930</v>
      </c>
    </row>
    <row r="6667" spans="1:1" x14ac:dyDescent="0.35">
      <c r="A6667" s="4">
        <v>4500188935</v>
      </c>
    </row>
    <row r="6668" spans="1:1" x14ac:dyDescent="0.35">
      <c r="A6668" s="4">
        <v>4500188937</v>
      </c>
    </row>
    <row r="6669" spans="1:1" x14ac:dyDescent="0.35">
      <c r="A6669" s="4">
        <v>4500188939</v>
      </c>
    </row>
    <row r="6670" spans="1:1" x14ac:dyDescent="0.35">
      <c r="A6670" s="4">
        <v>4500188941</v>
      </c>
    </row>
    <row r="6671" spans="1:1" x14ac:dyDescent="0.35">
      <c r="A6671" s="4">
        <v>4500188943</v>
      </c>
    </row>
    <row r="6672" spans="1:1" x14ac:dyDescent="0.35">
      <c r="A6672" s="4">
        <v>4500188948</v>
      </c>
    </row>
    <row r="6673" spans="1:1" x14ac:dyDescent="0.35">
      <c r="A6673" s="4">
        <v>4500188950</v>
      </c>
    </row>
    <row r="6674" spans="1:1" x14ac:dyDescent="0.35">
      <c r="A6674" s="4">
        <v>4500188952</v>
      </c>
    </row>
    <row r="6675" spans="1:1" x14ac:dyDescent="0.35">
      <c r="A6675" s="4">
        <v>4500188955</v>
      </c>
    </row>
    <row r="6676" spans="1:1" x14ac:dyDescent="0.35">
      <c r="A6676" s="4">
        <v>4500188959</v>
      </c>
    </row>
    <row r="6677" spans="1:1" x14ac:dyDescent="0.35">
      <c r="A6677" s="4">
        <v>4500188962</v>
      </c>
    </row>
    <row r="6678" spans="1:1" x14ac:dyDescent="0.35">
      <c r="A6678" s="4">
        <v>4500188991</v>
      </c>
    </row>
    <row r="6679" spans="1:1" x14ac:dyDescent="0.35">
      <c r="A6679" s="4">
        <v>4500189076</v>
      </c>
    </row>
    <row r="6680" spans="1:1" x14ac:dyDescent="0.35">
      <c r="A6680" s="4">
        <v>4500189077</v>
      </c>
    </row>
    <row r="6681" spans="1:1" x14ac:dyDescent="0.35">
      <c r="A6681" s="4">
        <v>4500189081</v>
      </c>
    </row>
    <row r="6682" spans="1:1" x14ac:dyDescent="0.35">
      <c r="A6682" s="4">
        <v>4500189085</v>
      </c>
    </row>
    <row r="6683" spans="1:1" x14ac:dyDescent="0.35">
      <c r="A6683" s="4">
        <v>4500189091</v>
      </c>
    </row>
    <row r="6684" spans="1:1" x14ac:dyDescent="0.35">
      <c r="A6684" s="4">
        <v>4500189097</v>
      </c>
    </row>
    <row r="6685" spans="1:1" x14ac:dyDescent="0.35">
      <c r="A6685" s="4">
        <v>4500189103</v>
      </c>
    </row>
    <row r="6686" spans="1:1" x14ac:dyDescent="0.35">
      <c r="A6686" s="4">
        <v>4500189107</v>
      </c>
    </row>
    <row r="6687" spans="1:1" x14ac:dyDescent="0.35">
      <c r="A6687" s="4">
        <v>4500189114</v>
      </c>
    </row>
    <row r="6688" spans="1:1" x14ac:dyDescent="0.35">
      <c r="A6688" s="4">
        <v>4500189118</v>
      </c>
    </row>
    <row r="6689" spans="1:1" x14ac:dyDescent="0.35">
      <c r="A6689" s="4">
        <v>4500189122</v>
      </c>
    </row>
    <row r="6690" spans="1:1" x14ac:dyDescent="0.35">
      <c r="A6690" s="4">
        <v>4500189124</v>
      </c>
    </row>
    <row r="6691" spans="1:1" x14ac:dyDescent="0.35">
      <c r="A6691" s="4">
        <v>4500189127</v>
      </c>
    </row>
    <row r="6692" spans="1:1" x14ac:dyDescent="0.35">
      <c r="A6692" s="4">
        <v>4500189130</v>
      </c>
    </row>
    <row r="6693" spans="1:1" x14ac:dyDescent="0.35">
      <c r="A6693" s="4">
        <v>4500189135</v>
      </c>
    </row>
    <row r="6694" spans="1:1" x14ac:dyDescent="0.35">
      <c r="A6694" s="4">
        <v>4500189142</v>
      </c>
    </row>
    <row r="6695" spans="1:1" x14ac:dyDescent="0.35">
      <c r="A6695" s="4">
        <v>4500189145</v>
      </c>
    </row>
    <row r="6696" spans="1:1" x14ac:dyDescent="0.35">
      <c r="A6696" s="4">
        <v>4500189149</v>
      </c>
    </row>
    <row r="6697" spans="1:1" x14ac:dyDescent="0.35">
      <c r="A6697" s="4">
        <v>4500189152</v>
      </c>
    </row>
    <row r="6698" spans="1:1" x14ac:dyDescent="0.35">
      <c r="A6698" s="4">
        <v>4500189157</v>
      </c>
    </row>
    <row r="6699" spans="1:1" x14ac:dyDescent="0.35">
      <c r="A6699" s="4">
        <v>4500189160</v>
      </c>
    </row>
    <row r="6700" spans="1:1" x14ac:dyDescent="0.35">
      <c r="A6700" s="4">
        <v>4500189164</v>
      </c>
    </row>
    <row r="6701" spans="1:1" x14ac:dyDescent="0.35">
      <c r="A6701" s="4">
        <v>4500189166</v>
      </c>
    </row>
    <row r="6702" spans="1:1" x14ac:dyDescent="0.35">
      <c r="A6702" s="4">
        <v>4500189171</v>
      </c>
    </row>
    <row r="6703" spans="1:1" x14ac:dyDescent="0.35">
      <c r="A6703" s="4">
        <v>4500189176</v>
      </c>
    </row>
    <row r="6704" spans="1:1" x14ac:dyDescent="0.35">
      <c r="A6704" s="4">
        <v>4500189177</v>
      </c>
    </row>
    <row r="6705" spans="1:1" x14ac:dyDescent="0.35">
      <c r="A6705" s="4">
        <v>4500189179</v>
      </c>
    </row>
    <row r="6706" spans="1:1" x14ac:dyDescent="0.35">
      <c r="A6706" s="4">
        <v>4500189181</v>
      </c>
    </row>
    <row r="6707" spans="1:1" x14ac:dyDescent="0.35">
      <c r="A6707" s="4">
        <v>4500189182</v>
      </c>
    </row>
    <row r="6708" spans="1:1" x14ac:dyDescent="0.35">
      <c r="A6708" s="4">
        <v>4500189294</v>
      </c>
    </row>
    <row r="6709" spans="1:1" x14ac:dyDescent="0.35">
      <c r="A6709" s="4">
        <v>4500189297</v>
      </c>
    </row>
    <row r="6710" spans="1:1" x14ac:dyDescent="0.35">
      <c r="A6710" s="4">
        <v>4500189299</v>
      </c>
    </row>
    <row r="6711" spans="1:1" x14ac:dyDescent="0.35">
      <c r="A6711" s="4">
        <v>4500189301</v>
      </c>
    </row>
    <row r="6712" spans="1:1" x14ac:dyDescent="0.35">
      <c r="A6712" s="4">
        <v>4500189303</v>
      </c>
    </row>
    <row r="6713" spans="1:1" x14ac:dyDescent="0.35">
      <c r="A6713" s="4">
        <v>4500189310</v>
      </c>
    </row>
    <row r="6714" spans="1:1" x14ac:dyDescent="0.35">
      <c r="A6714" s="4">
        <v>4500189315</v>
      </c>
    </row>
    <row r="6715" spans="1:1" x14ac:dyDescent="0.35">
      <c r="A6715" s="4">
        <v>4500189324</v>
      </c>
    </row>
    <row r="6716" spans="1:1" x14ac:dyDescent="0.35">
      <c r="A6716" s="4">
        <v>4500189329</v>
      </c>
    </row>
    <row r="6717" spans="1:1" x14ac:dyDescent="0.35">
      <c r="A6717" s="4">
        <v>4500189332</v>
      </c>
    </row>
    <row r="6718" spans="1:1" x14ac:dyDescent="0.35">
      <c r="A6718" s="4">
        <v>4500189335</v>
      </c>
    </row>
    <row r="6719" spans="1:1" x14ac:dyDescent="0.35">
      <c r="A6719" s="4">
        <v>4500189344</v>
      </c>
    </row>
    <row r="6720" spans="1:1" x14ac:dyDescent="0.35">
      <c r="A6720" s="4">
        <v>4500189345</v>
      </c>
    </row>
    <row r="6721" spans="1:1" x14ac:dyDescent="0.35">
      <c r="A6721" s="4">
        <v>4500189347</v>
      </c>
    </row>
    <row r="6722" spans="1:1" x14ac:dyDescent="0.35">
      <c r="A6722" s="4">
        <v>4500189348</v>
      </c>
    </row>
    <row r="6723" spans="1:1" x14ac:dyDescent="0.35">
      <c r="A6723" s="4">
        <v>4500189350</v>
      </c>
    </row>
    <row r="6724" spans="1:1" x14ac:dyDescent="0.35">
      <c r="A6724" s="4">
        <v>4500189354</v>
      </c>
    </row>
    <row r="6725" spans="1:1" x14ac:dyDescent="0.35">
      <c r="A6725" s="4">
        <v>4500189471</v>
      </c>
    </row>
    <row r="6726" spans="1:1" x14ac:dyDescent="0.35">
      <c r="A6726" s="4">
        <v>4500189473</v>
      </c>
    </row>
    <row r="6727" spans="1:1" x14ac:dyDescent="0.35">
      <c r="A6727" s="4">
        <v>4500189480</v>
      </c>
    </row>
    <row r="6728" spans="1:1" x14ac:dyDescent="0.35">
      <c r="A6728" s="4">
        <v>4500189481</v>
      </c>
    </row>
    <row r="6729" spans="1:1" x14ac:dyDescent="0.35">
      <c r="A6729" s="4">
        <v>4500189484</v>
      </c>
    </row>
    <row r="6730" spans="1:1" x14ac:dyDescent="0.35">
      <c r="A6730" s="4">
        <v>4500189487</v>
      </c>
    </row>
    <row r="6731" spans="1:1" x14ac:dyDescent="0.35">
      <c r="A6731" s="4">
        <v>4500189497</v>
      </c>
    </row>
    <row r="6732" spans="1:1" x14ac:dyDescent="0.35">
      <c r="A6732" s="4">
        <v>4500189501</v>
      </c>
    </row>
    <row r="6733" spans="1:1" x14ac:dyDescent="0.35">
      <c r="A6733" s="4">
        <v>4500189509</v>
      </c>
    </row>
    <row r="6734" spans="1:1" x14ac:dyDescent="0.35">
      <c r="A6734" s="4">
        <v>4500189515</v>
      </c>
    </row>
    <row r="6735" spans="1:1" x14ac:dyDescent="0.35">
      <c r="A6735" s="4">
        <v>4500189523</v>
      </c>
    </row>
    <row r="6736" spans="1:1" x14ac:dyDescent="0.35">
      <c r="A6736" s="4">
        <v>4500189527</v>
      </c>
    </row>
    <row r="6737" spans="1:1" x14ac:dyDescent="0.35">
      <c r="A6737" s="4">
        <v>4500189540</v>
      </c>
    </row>
    <row r="6738" spans="1:1" x14ac:dyDescent="0.35">
      <c r="A6738" s="4">
        <v>4500189543</v>
      </c>
    </row>
    <row r="6739" spans="1:1" x14ac:dyDescent="0.35">
      <c r="A6739" s="4">
        <v>4500189546</v>
      </c>
    </row>
    <row r="6740" spans="1:1" x14ac:dyDescent="0.35">
      <c r="A6740" s="4">
        <v>4500189550</v>
      </c>
    </row>
    <row r="6741" spans="1:1" x14ac:dyDescent="0.35">
      <c r="A6741" s="4">
        <v>4500189551</v>
      </c>
    </row>
    <row r="6742" spans="1:1" x14ac:dyDescent="0.35">
      <c r="A6742" s="4">
        <v>4500189553</v>
      </c>
    </row>
    <row r="6743" spans="1:1" x14ac:dyDescent="0.35">
      <c r="A6743" s="4">
        <v>4500189555</v>
      </c>
    </row>
    <row r="6744" spans="1:1" x14ac:dyDescent="0.35">
      <c r="A6744" s="4">
        <v>4500189557</v>
      </c>
    </row>
    <row r="6745" spans="1:1" x14ac:dyDescent="0.35">
      <c r="A6745" s="4">
        <v>4500189558</v>
      </c>
    </row>
    <row r="6746" spans="1:1" x14ac:dyDescent="0.35">
      <c r="A6746" s="4">
        <v>4500189560</v>
      </c>
    </row>
    <row r="6747" spans="1:1" x14ac:dyDescent="0.35">
      <c r="A6747" s="4">
        <v>4500189603</v>
      </c>
    </row>
    <row r="6748" spans="1:1" x14ac:dyDescent="0.35">
      <c r="A6748" s="4">
        <v>4500189674</v>
      </c>
    </row>
    <row r="6749" spans="1:1" x14ac:dyDescent="0.35">
      <c r="A6749" s="4">
        <v>4500189678</v>
      </c>
    </row>
    <row r="6750" spans="1:1" x14ac:dyDescent="0.35">
      <c r="A6750" s="4">
        <v>4500189681</v>
      </c>
    </row>
    <row r="6751" spans="1:1" x14ac:dyDescent="0.35">
      <c r="A6751" s="4">
        <v>4500189687</v>
      </c>
    </row>
    <row r="6752" spans="1:1" x14ac:dyDescent="0.35">
      <c r="A6752" s="4">
        <v>4500189690</v>
      </c>
    </row>
    <row r="6753" spans="1:1" x14ac:dyDescent="0.35">
      <c r="A6753" s="4">
        <v>4500189694</v>
      </c>
    </row>
    <row r="6754" spans="1:1" x14ac:dyDescent="0.35">
      <c r="A6754" s="4">
        <v>4500189699</v>
      </c>
    </row>
    <row r="6755" spans="1:1" x14ac:dyDescent="0.35">
      <c r="A6755" s="4">
        <v>4500189703</v>
      </c>
    </row>
    <row r="6756" spans="1:1" x14ac:dyDescent="0.35">
      <c r="A6756" s="4">
        <v>4500189705</v>
      </c>
    </row>
    <row r="6757" spans="1:1" x14ac:dyDescent="0.35">
      <c r="A6757" s="4">
        <v>4500189710</v>
      </c>
    </row>
    <row r="6758" spans="1:1" x14ac:dyDescent="0.35">
      <c r="A6758" s="4">
        <v>4500189715</v>
      </c>
    </row>
    <row r="6759" spans="1:1" x14ac:dyDescent="0.35">
      <c r="A6759" s="4">
        <v>4500189717</v>
      </c>
    </row>
    <row r="6760" spans="1:1" x14ac:dyDescent="0.35">
      <c r="A6760" s="4">
        <v>4500189720</v>
      </c>
    </row>
    <row r="6761" spans="1:1" x14ac:dyDescent="0.35">
      <c r="A6761" s="4">
        <v>4500189723</v>
      </c>
    </row>
    <row r="6762" spans="1:1" x14ac:dyDescent="0.35">
      <c r="A6762" s="4">
        <v>4500189727</v>
      </c>
    </row>
    <row r="6763" spans="1:1" x14ac:dyDescent="0.35">
      <c r="A6763" s="4">
        <v>4500189732</v>
      </c>
    </row>
    <row r="6764" spans="1:1" x14ac:dyDescent="0.35">
      <c r="A6764" s="4">
        <v>4500189736</v>
      </c>
    </row>
    <row r="6765" spans="1:1" x14ac:dyDescent="0.35">
      <c r="A6765" s="4">
        <v>4500189741</v>
      </c>
    </row>
    <row r="6766" spans="1:1" x14ac:dyDescent="0.35">
      <c r="A6766" s="4">
        <v>4500189745</v>
      </c>
    </row>
    <row r="6767" spans="1:1" x14ac:dyDescent="0.35">
      <c r="A6767" s="4">
        <v>4500189748</v>
      </c>
    </row>
    <row r="6768" spans="1:1" x14ac:dyDescent="0.35">
      <c r="A6768" s="4">
        <v>4500189752</v>
      </c>
    </row>
    <row r="6769" spans="1:1" x14ac:dyDescent="0.35">
      <c r="A6769" s="4">
        <v>4500189763</v>
      </c>
    </row>
    <row r="6770" spans="1:1" x14ac:dyDescent="0.35">
      <c r="A6770" s="4">
        <v>4500189766</v>
      </c>
    </row>
    <row r="6771" spans="1:1" x14ac:dyDescent="0.35">
      <c r="A6771" s="4">
        <v>4500189768</v>
      </c>
    </row>
    <row r="6772" spans="1:1" x14ac:dyDescent="0.35">
      <c r="A6772" s="4">
        <v>4500189771</v>
      </c>
    </row>
    <row r="6773" spans="1:1" x14ac:dyDescent="0.35">
      <c r="A6773" s="4">
        <v>4500189773</v>
      </c>
    </row>
    <row r="6774" spans="1:1" x14ac:dyDescent="0.35">
      <c r="A6774" s="4">
        <v>4500189776</v>
      </c>
    </row>
    <row r="6775" spans="1:1" x14ac:dyDescent="0.35">
      <c r="A6775" s="4">
        <v>4500189778</v>
      </c>
    </row>
    <row r="6776" spans="1:1" x14ac:dyDescent="0.35">
      <c r="A6776" s="4">
        <v>4500189781</v>
      </c>
    </row>
    <row r="6777" spans="1:1" x14ac:dyDescent="0.35">
      <c r="A6777" s="4">
        <v>4500189784</v>
      </c>
    </row>
    <row r="6778" spans="1:1" x14ac:dyDescent="0.35">
      <c r="A6778" s="4">
        <v>4500189803</v>
      </c>
    </row>
    <row r="6779" spans="1:1" x14ac:dyDescent="0.35">
      <c r="A6779" s="4">
        <v>4500189814</v>
      </c>
    </row>
    <row r="6780" spans="1:1" x14ac:dyDescent="0.35">
      <c r="A6780" s="4">
        <v>4500189863</v>
      </c>
    </row>
    <row r="6781" spans="1:1" x14ac:dyDescent="0.35">
      <c r="A6781" s="4">
        <v>4500189890</v>
      </c>
    </row>
    <row r="6782" spans="1:1" x14ac:dyDescent="0.35">
      <c r="A6782" s="4">
        <v>4500189893</v>
      </c>
    </row>
    <row r="6783" spans="1:1" x14ac:dyDescent="0.35">
      <c r="A6783" s="4">
        <v>4500189897</v>
      </c>
    </row>
    <row r="6784" spans="1:1" x14ac:dyDescent="0.35">
      <c r="A6784" s="4">
        <v>4500189902</v>
      </c>
    </row>
    <row r="6785" spans="1:1" x14ac:dyDescent="0.35">
      <c r="A6785" s="4">
        <v>4500189909</v>
      </c>
    </row>
    <row r="6786" spans="1:1" x14ac:dyDescent="0.35">
      <c r="A6786" s="4">
        <v>4500189912</v>
      </c>
    </row>
    <row r="6787" spans="1:1" x14ac:dyDescent="0.35">
      <c r="A6787" s="4">
        <v>4500189924</v>
      </c>
    </row>
    <row r="6788" spans="1:1" x14ac:dyDescent="0.35">
      <c r="A6788" s="4">
        <v>4500189927</v>
      </c>
    </row>
    <row r="6789" spans="1:1" x14ac:dyDescent="0.35">
      <c r="A6789" s="4">
        <v>4500189930</v>
      </c>
    </row>
    <row r="6790" spans="1:1" x14ac:dyDescent="0.35">
      <c r="A6790" s="4">
        <v>4500189935</v>
      </c>
    </row>
    <row r="6791" spans="1:1" x14ac:dyDescent="0.35">
      <c r="A6791" s="4">
        <v>4500189941</v>
      </c>
    </row>
    <row r="6792" spans="1:1" x14ac:dyDescent="0.35">
      <c r="A6792" s="4">
        <v>4500189946</v>
      </c>
    </row>
    <row r="6793" spans="1:1" x14ac:dyDescent="0.35">
      <c r="A6793" s="4">
        <v>4500189949</v>
      </c>
    </row>
    <row r="6794" spans="1:1" x14ac:dyDescent="0.35">
      <c r="A6794" s="4">
        <v>4500189952</v>
      </c>
    </row>
    <row r="6795" spans="1:1" x14ac:dyDescent="0.35">
      <c r="A6795" s="4">
        <v>4500189963</v>
      </c>
    </row>
    <row r="6796" spans="1:1" x14ac:dyDescent="0.35">
      <c r="A6796" s="4">
        <v>4500189967</v>
      </c>
    </row>
    <row r="6797" spans="1:1" x14ac:dyDescent="0.35">
      <c r="A6797" s="4">
        <v>4500189970</v>
      </c>
    </row>
    <row r="6798" spans="1:1" x14ac:dyDescent="0.35">
      <c r="A6798" s="4">
        <v>4500189972</v>
      </c>
    </row>
    <row r="6799" spans="1:1" x14ac:dyDescent="0.35">
      <c r="A6799" s="4">
        <v>4500189975</v>
      </c>
    </row>
    <row r="6800" spans="1:1" x14ac:dyDescent="0.35">
      <c r="A6800" s="4">
        <v>4500189978</v>
      </c>
    </row>
    <row r="6801" spans="1:1" x14ac:dyDescent="0.35">
      <c r="A6801" s="4">
        <v>4500189982</v>
      </c>
    </row>
    <row r="6802" spans="1:1" x14ac:dyDescent="0.35">
      <c r="A6802" s="4">
        <v>4500189986</v>
      </c>
    </row>
    <row r="6803" spans="1:1" x14ac:dyDescent="0.35">
      <c r="A6803" s="4">
        <v>4500190002</v>
      </c>
    </row>
    <row r="6804" spans="1:1" x14ac:dyDescent="0.35">
      <c r="A6804" s="4">
        <v>4500190007</v>
      </c>
    </row>
    <row r="6805" spans="1:1" x14ac:dyDescent="0.35">
      <c r="A6805" s="4">
        <v>4500190018</v>
      </c>
    </row>
    <row r="6806" spans="1:1" x14ac:dyDescent="0.35">
      <c r="A6806" s="4">
        <v>4500190023</v>
      </c>
    </row>
    <row r="6807" spans="1:1" x14ac:dyDescent="0.35">
      <c r="A6807" s="4">
        <v>4500190026</v>
      </c>
    </row>
    <row r="6808" spans="1:1" x14ac:dyDescent="0.35">
      <c r="A6808" s="4">
        <v>4500190027</v>
      </c>
    </row>
    <row r="6809" spans="1:1" x14ac:dyDescent="0.35">
      <c r="A6809" s="4">
        <v>4500190029</v>
      </c>
    </row>
    <row r="6810" spans="1:1" x14ac:dyDescent="0.35">
      <c r="A6810" s="4">
        <v>4500190031</v>
      </c>
    </row>
    <row r="6811" spans="1:1" x14ac:dyDescent="0.35">
      <c r="A6811" s="4">
        <v>4500190034</v>
      </c>
    </row>
    <row r="6812" spans="1:1" x14ac:dyDescent="0.35">
      <c r="A6812" s="4">
        <v>4500190035</v>
      </c>
    </row>
    <row r="6813" spans="1:1" x14ac:dyDescent="0.35">
      <c r="A6813" s="4">
        <v>4500190037</v>
      </c>
    </row>
    <row r="6814" spans="1:1" x14ac:dyDescent="0.35">
      <c r="A6814" s="4">
        <v>4500190040</v>
      </c>
    </row>
    <row r="6815" spans="1:1" x14ac:dyDescent="0.35">
      <c r="A6815" s="4">
        <v>4500190180</v>
      </c>
    </row>
    <row r="6816" spans="1:1" x14ac:dyDescent="0.35">
      <c r="A6816" s="4">
        <v>4500190184</v>
      </c>
    </row>
    <row r="6817" spans="1:1" x14ac:dyDescent="0.35">
      <c r="A6817" s="4">
        <v>4500190186</v>
      </c>
    </row>
    <row r="6818" spans="1:1" x14ac:dyDescent="0.35">
      <c r="A6818" s="4">
        <v>4500190187</v>
      </c>
    </row>
    <row r="6819" spans="1:1" x14ac:dyDescent="0.35">
      <c r="A6819" s="4">
        <v>4500190190</v>
      </c>
    </row>
    <row r="6820" spans="1:1" x14ac:dyDescent="0.35">
      <c r="A6820" s="4">
        <v>4500190193</v>
      </c>
    </row>
    <row r="6821" spans="1:1" x14ac:dyDescent="0.35">
      <c r="A6821" s="4">
        <v>4500190197</v>
      </c>
    </row>
    <row r="6822" spans="1:1" x14ac:dyDescent="0.35">
      <c r="A6822" s="4">
        <v>4500190201</v>
      </c>
    </row>
    <row r="6823" spans="1:1" x14ac:dyDescent="0.35">
      <c r="A6823" s="4">
        <v>4500190206</v>
      </c>
    </row>
    <row r="6824" spans="1:1" x14ac:dyDescent="0.35">
      <c r="A6824" s="4">
        <v>4500190217</v>
      </c>
    </row>
    <row r="6825" spans="1:1" x14ac:dyDescent="0.35">
      <c r="A6825" s="4">
        <v>4500190221</v>
      </c>
    </row>
    <row r="6826" spans="1:1" x14ac:dyDescent="0.35">
      <c r="A6826" s="4">
        <v>4500190225</v>
      </c>
    </row>
    <row r="6827" spans="1:1" x14ac:dyDescent="0.35">
      <c r="A6827" s="4">
        <v>4500190227</v>
      </c>
    </row>
    <row r="6828" spans="1:1" x14ac:dyDescent="0.35">
      <c r="A6828" s="4">
        <v>4500190230</v>
      </c>
    </row>
    <row r="6829" spans="1:1" x14ac:dyDescent="0.35">
      <c r="A6829" s="4">
        <v>4500190232</v>
      </c>
    </row>
    <row r="6830" spans="1:1" x14ac:dyDescent="0.35">
      <c r="A6830" s="4">
        <v>4500190234</v>
      </c>
    </row>
    <row r="6831" spans="1:1" x14ac:dyDescent="0.35">
      <c r="A6831" s="4">
        <v>4500190261</v>
      </c>
    </row>
    <row r="6832" spans="1:1" x14ac:dyDescent="0.35">
      <c r="A6832" s="4">
        <v>4500190284</v>
      </c>
    </row>
    <row r="6833" spans="1:1" x14ac:dyDescent="0.35">
      <c r="A6833" s="4">
        <v>4500190326</v>
      </c>
    </row>
    <row r="6834" spans="1:1" x14ac:dyDescent="0.35">
      <c r="A6834" s="4">
        <v>4500190332</v>
      </c>
    </row>
    <row r="6835" spans="1:1" x14ac:dyDescent="0.35">
      <c r="A6835" s="4">
        <v>4500190336</v>
      </c>
    </row>
    <row r="6836" spans="1:1" x14ac:dyDescent="0.35">
      <c r="A6836" s="4">
        <v>4500190347</v>
      </c>
    </row>
    <row r="6837" spans="1:1" x14ac:dyDescent="0.35">
      <c r="A6837" s="4">
        <v>4500190363</v>
      </c>
    </row>
    <row r="6838" spans="1:1" x14ac:dyDescent="0.35">
      <c r="A6838" s="4">
        <v>4500190366</v>
      </c>
    </row>
    <row r="6839" spans="1:1" x14ac:dyDescent="0.35">
      <c r="A6839" s="4">
        <v>4500190372</v>
      </c>
    </row>
    <row r="6840" spans="1:1" x14ac:dyDescent="0.35">
      <c r="A6840" s="4">
        <v>4500190376</v>
      </c>
    </row>
    <row r="6841" spans="1:1" x14ac:dyDescent="0.35">
      <c r="A6841" s="4">
        <v>4500190396</v>
      </c>
    </row>
    <row r="6842" spans="1:1" x14ac:dyDescent="0.35">
      <c r="A6842" s="4">
        <v>4500190416</v>
      </c>
    </row>
    <row r="6843" spans="1:1" x14ac:dyDescent="0.35">
      <c r="A6843" s="4">
        <v>4500190423</v>
      </c>
    </row>
    <row r="6844" spans="1:1" x14ac:dyDescent="0.35">
      <c r="A6844" s="4">
        <v>4500190427</v>
      </c>
    </row>
    <row r="6845" spans="1:1" x14ac:dyDescent="0.35">
      <c r="A6845" s="4">
        <v>4500190432</v>
      </c>
    </row>
    <row r="6846" spans="1:1" x14ac:dyDescent="0.35">
      <c r="A6846" s="4">
        <v>4500190470</v>
      </c>
    </row>
    <row r="6847" spans="1:1" x14ac:dyDescent="0.35">
      <c r="A6847" s="4">
        <v>4500190522</v>
      </c>
    </row>
    <row r="6848" spans="1:1" x14ac:dyDescent="0.35">
      <c r="A6848" s="4">
        <v>4500190526</v>
      </c>
    </row>
    <row r="6849" spans="1:1" x14ac:dyDescent="0.35">
      <c r="A6849" s="4">
        <v>4500190531</v>
      </c>
    </row>
    <row r="6850" spans="1:1" x14ac:dyDescent="0.35">
      <c r="A6850" s="4">
        <v>4500190535</v>
      </c>
    </row>
    <row r="6851" spans="1:1" x14ac:dyDescent="0.35">
      <c r="A6851" s="4">
        <v>4500190545</v>
      </c>
    </row>
    <row r="6852" spans="1:1" x14ac:dyDescent="0.35">
      <c r="A6852" s="4">
        <v>4500190549</v>
      </c>
    </row>
    <row r="6853" spans="1:1" x14ac:dyDescent="0.35">
      <c r="A6853" s="4">
        <v>4500190555</v>
      </c>
    </row>
    <row r="6854" spans="1:1" x14ac:dyDescent="0.35">
      <c r="A6854" s="4">
        <v>4500190559</v>
      </c>
    </row>
    <row r="6855" spans="1:1" x14ac:dyDescent="0.35">
      <c r="A6855" s="4">
        <v>4500190571</v>
      </c>
    </row>
    <row r="6856" spans="1:1" x14ac:dyDescent="0.35">
      <c r="A6856" s="4">
        <v>4500190576</v>
      </c>
    </row>
    <row r="6857" spans="1:1" x14ac:dyDescent="0.35">
      <c r="A6857" s="4">
        <v>4500190584</v>
      </c>
    </row>
    <row r="6858" spans="1:1" x14ac:dyDescent="0.35">
      <c r="A6858" s="4">
        <v>4500190593</v>
      </c>
    </row>
    <row r="6859" spans="1:1" x14ac:dyDescent="0.35">
      <c r="A6859" s="4">
        <v>4500190596</v>
      </c>
    </row>
    <row r="6860" spans="1:1" x14ac:dyDescent="0.35">
      <c r="A6860" s="4">
        <v>4500190599</v>
      </c>
    </row>
    <row r="6861" spans="1:1" x14ac:dyDescent="0.35">
      <c r="A6861" s="4">
        <v>4500190602</v>
      </c>
    </row>
    <row r="6862" spans="1:1" x14ac:dyDescent="0.35">
      <c r="A6862" s="4">
        <v>4500190609</v>
      </c>
    </row>
    <row r="6863" spans="1:1" x14ac:dyDescent="0.35">
      <c r="A6863" s="4">
        <v>4500190612</v>
      </c>
    </row>
    <row r="6864" spans="1:1" x14ac:dyDescent="0.35">
      <c r="A6864" s="4">
        <v>4500190614</v>
      </c>
    </row>
    <row r="6865" spans="1:1" x14ac:dyDescent="0.35">
      <c r="A6865" s="4">
        <v>4500190619</v>
      </c>
    </row>
    <row r="6866" spans="1:1" x14ac:dyDescent="0.35">
      <c r="A6866" s="4">
        <v>4500190623</v>
      </c>
    </row>
    <row r="6867" spans="1:1" x14ac:dyDescent="0.35">
      <c r="A6867" s="4">
        <v>4500190627</v>
      </c>
    </row>
    <row r="6868" spans="1:1" x14ac:dyDescent="0.35">
      <c r="A6868" s="4">
        <v>4500190631</v>
      </c>
    </row>
    <row r="6869" spans="1:1" x14ac:dyDescent="0.35">
      <c r="A6869" s="4">
        <v>4500190635</v>
      </c>
    </row>
    <row r="6870" spans="1:1" x14ac:dyDescent="0.35">
      <c r="A6870" s="4">
        <v>4500190637</v>
      </c>
    </row>
    <row r="6871" spans="1:1" x14ac:dyDescent="0.35">
      <c r="A6871" s="4">
        <v>4500190642</v>
      </c>
    </row>
    <row r="6872" spans="1:1" x14ac:dyDescent="0.35">
      <c r="A6872" s="4">
        <v>4500190652</v>
      </c>
    </row>
    <row r="6873" spans="1:1" x14ac:dyDescent="0.35">
      <c r="A6873" s="4">
        <v>4500190656</v>
      </c>
    </row>
    <row r="6874" spans="1:1" x14ac:dyDescent="0.35">
      <c r="A6874" s="4">
        <v>4500190657</v>
      </c>
    </row>
    <row r="6875" spans="1:1" x14ac:dyDescent="0.35">
      <c r="A6875" s="4">
        <v>4500190663</v>
      </c>
    </row>
    <row r="6876" spans="1:1" x14ac:dyDescent="0.35">
      <c r="A6876" s="4">
        <v>4500190664</v>
      </c>
    </row>
    <row r="6877" spans="1:1" x14ac:dyDescent="0.35">
      <c r="A6877" s="4">
        <v>4500190728</v>
      </c>
    </row>
    <row r="6878" spans="1:1" x14ac:dyDescent="0.35">
      <c r="A6878" s="4">
        <v>4500190832</v>
      </c>
    </row>
    <row r="6879" spans="1:1" x14ac:dyDescent="0.35">
      <c r="A6879" s="4">
        <v>4500190835</v>
      </c>
    </row>
    <row r="6880" spans="1:1" x14ac:dyDescent="0.35">
      <c r="A6880" s="4">
        <v>4500190838</v>
      </c>
    </row>
    <row r="6881" spans="1:1" x14ac:dyDescent="0.35">
      <c r="A6881" s="4">
        <v>4500190841</v>
      </c>
    </row>
    <row r="6882" spans="1:1" x14ac:dyDescent="0.35">
      <c r="A6882" s="4">
        <v>4500190844</v>
      </c>
    </row>
    <row r="6883" spans="1:1" x14ac:dyDescent="0.35">
      <c r="A6883" s="4">
        <v>4500190847</v>
      </c>
    </row>
    <row r="6884" spans="1:1" x14ac:dyDescent="0.35">
      <c r="A6884" s="4">
        <v>4500190850</v>
      </c>
    </row>
    <row r="6885" spans="1:1" x14ac:dyDescent="0.35">
      <c r="A6885" s="4">
        <v>4500190854</v>
      </c>
    </row>
    <row r="6886" spans="1:1" x14ac:dyDescent="0.35">
      <c r="A6886" s="4">
        <v>4500190857</v>
      </c>
    </row>
    <row r="6887" spans="1:1" x14ac:dyDescent="0.35">
      <c r="A6887" s="4">
        <v>4500190861</v>
      </c>
    </row>
    <row r="6888" spans="1:1" x14ac:dyDescent="0.35">
      <c r="A6888" s="4">
        <v>4500190866</v>
      </c>
    </row>
    <row r="6889" spans="1:1" x14ac:dyDescent="0.35">
      <c r="A6889" s="4">
        <v>4500190870</v>
      </c>
    </row>
    <row r="6890" spans="1:1" x14ac:dyDescent="0.35">
      <c r="A6890" s="4">
        <v>4500190872</v>
      </c>
    </row>
    <row r="6891" spans="1:1" x14ac:dyDescent="0.35">
      <c r="A6891" s="4">
        <v>4500190876</v>
      </c>
    </row>
    <row r="6892" spans="1:1" x14ac:dyDescent="0.35">
      <c r="A6892" s="4">
        <v>4500190877</v>
      </c>
    </row>
    <row r="6893" spans="1:1" x14ac:dyDescent="0.35">
      <c r="A6893" s="4">
        <v>4500190879</v>
      </c>
    </row>
    <row r="6894" spans="1:1" x14ac:dyDescent="0.35">
      <c r="A6894" s="4">
        <v>4500190880</v>
      </c>
    </row>
    <row r="6895" spans="1:1" x14ac:dyDescent="0.35">
      <c r="A6895" s="4">
        <v>4500190882</v>
      </c>
    </row>
    <row r="6896" spans="1:1" x14ac:dyDescent="0.35">
      <c r="A6896" s="4">
        <v>4500190883</v>
      </c>
    </row>
    <row r="6897" spans="1:1" x14ac:dyDescent="0.35">
      <c r="A6897" s="4">
        <v>4500190885</v>
      </c>
    </row>
    <row r="6898" spans="1:1" x14ac:dyDescent="0.35">
      <c r="A6898" s="4">
        <v>4500190886</v>
      </c>
    </row>
    <row r="6899" spans="1:1" x14ac:dyDescent="0.35">
      <c r="A6899" s="4">
        <v>4500190887</v>
      </c>
    </row>
    <row r="6900" spans="1:1" x14ac:dyDescent="0.35">
      <c r="A6900" s="4">
        <v>4500190888</v>
      </c>
    </row>
    <row r="6901" spans="1:1" x14ac:dyDescent="0.35">
      <c r="A6901" s="4">
        <v>4500190889</v>
      </c>
    </row>
    <row r="6902" spans="1:1" x14ac:dyDescent="0.35">
      <c r="A6902" s="4">
        <v>4500190890</v>
      </c>
    </row>
    <row r="6903" spans="1:1" x14ac:dyDescent="0.35">
      <c r="A6903" s="4">
        <v>4500190891</v>
      </c>
    </row>
    <row r="6904" spans="1:1" x14ac:dyDescent="0.35">
      <c r="A6904" s="4">
        <v>4500190892</v>
      </c>
    </row>
    <row r="6905" spans="1:1" x14ac:dyDescent="0.35">
      <c r="A6905" s="4">
        <v>4500190893</v>
      </c>
    </row>
    <row r="6906" spans="1:1" x14ac:dyDescent="0.35">
      <c r="A6906" s="4">
        <v>4500190894</v>
      </c>
    </row>
    <row r="6907" spans="1:1" x14ac:dyDescent="0.35">
      <c r="A6907" s="4">
        <v>4500190973</v>
      </c>
    </row>
    <row r="6908" spans="1:1" x14ac:dyDescent="0.35">
      <c r="A6908" s="4">
        <v>4500190975</v>
      </c>
    </row>
    <row r="6909" spans="1:1" x14ac:dyDescent="0.35">
      <c r="A6909" s="4">
        <v>4500190978</v>
      </c>
    </row>
    <row r="6910" spans="1:1" x14ac:dyDescent="0.35">
      <c r="A6910" s="4">
        <v>4500190981</v>
      </c>
    </row>
    <row r="6911" spans="1:1" x14ac:dyDescent="0.35">
      <c r="A6911" s="4">
        <v>4500190991</v>
      </c>
    </row>
    <row r="6912" spans="1:1" x14ac:dyDescent="0.35">
      <c r="A6912" s="4">
        <v>4500190993</v>
      </c>
    </row>
    <row r="6913" spans="1:1" x14ac:dyDescent="0.35">
      <c r="A6913" s="4">
        <v>4500190998</v>
      </c>
    </row>
    <row r="6914" spans="1:1" x14ac:dyDescent="0.35">
      <c r="A6914" s="4">
        <v>4500191000</v>
      </c>
    </row>
    <row r="6915" spans="1:1" x14ac:dyDescent="0.35">
      <c r="A6915" s="4">
        <v>4500191001</v>
      </c>
    </row>
    <row r="6916" spans="1:1" x14ac:dyDescent="0.35">
      <c r="A6916" s="4">
        <v>4500191004</v>
      </c>
    </row>
    <row r="6917" spans="1:1" x14ac:dyDescent="0.35">
      <c r="A6917" s="4">
        <v>4500191009</v>
      </c>
    </row>
    <row r="6918" spans="1:1" x14ac:dyDescent="0.35">
      <c r="A6918" s="4">
        <v>4500191012</v>
      </c>
    </row>
    <row r="6919" spans="1:1" x14ac:dyDescent="0.35">
      <c r="A6919" s="4">
        <v>4500191017</v>
      </c>
    </row>
    <row r="6920" spans="1:1" x14ac:dyDescent="0.35">
      <c r="A6920" s="4">
        <v>4500191021</v>
      </c>
    </row>
    <row r="6921" spans="1:1" x14ac:dyDescent="0.35">
      <c r="A6921" s="4">
        <v>4500191024</v>
      </c>
    </row>
    <row r="6922" spans="1:1" x14ac:dyDescent="0.35">
      <c r="A6922" s="4">
        <v>4500191028</v>
      </c>
    </row>
    <row r="6923" spans="1:1" x14ac:dyDescent="0.35">
      <c r="A6923" s="4">
        <v>4500191031</v>
      </c>
    </row>
    <row r="6924" spans="1:1" x14ac:dyDescent="0.35">
      <c r="A6924" s="4">
        <v>4500191034</v>
      </c>
    </row>
    <row r="6925" spans="1:1" x14ac:dyDescent="0.35">
      <c r="A6925" s="4">
        <v>4500191037</v>
      </c>
    </row>
    <row r="6926" spans="1:1" x14ac:dyDescent="0.35">
      <c r="A6926" s="4">
        <v>4500191039</v>
      </c>
    </row>
    <row r="6927" spans="1:1" x14ac:dyDescent="0.35">
      <c r="A6927" s="4">
        <v>4500191043</v>
      </c>
    </row>
    <row r="6928" spans="1:1" x14ac:dyDescent="0.35">
      <c r="A6928" s="4">
        <v>4500191054</v>
      </c>
    </row>
    <row r="6929" spans="1:1" x14ac:dyDescent="0.35">
      <c r="A6929" s="4">
        <v>4500191062</v>
      </c>
    </row>
    <row r="6930" spans="1:1" x14ac:dyDescent="0.35">
      <c r="A6930" s="4">
        <v>4500191065</v>
      </c>
    </row>
    <row r="6931" spans="1:1" x14ac:dyDescent="0.35">
      <c r="A6931" s="4">
        <v>4500191262</v>
      </c>
    </row>
    <row r="6932" spans="1:1" x14ac:dyDescent="0.35">
      <c r="A6932" s="4">
        <v>4500191266</v>
      </c>
    </row>
    <row r="6933" spans="1:1" x14ac:dyDescent="0.35">
      <c r="A6933" s="4">
        <v>4500191269</v>
      </c>
    </row>
    <row r="6934" spans="1:1" x14ac:dyDescent="0.35">
      <c r="A6934" s="4">
        <v>4500191272</v>
      </c>
    </row>
    <row r="6935" spans="1:1" x14ac:dyDescent="0.35">
      <c r="A6935" s="4">
        <v>4500191275</v>
      </c>
    </row>
    <row r="6936" spans="1:1" x14ac:dyDescent="0.35">
      <c r="A6936" s="4">
        <v>4500191280</v>
      </c>
    </row>
    <row r="6937" spans="1:1" x14ac:dyDescent="0.35">
      <c r="A6937" s="4">
        <v>4500191281</v>
      </c>
    </row>
    <row r="6938" spans="1:1" x14ac:dyDescent="0.35">
      <c r="A6938" s="4">
        <v>4500191284</v>
      </c>
    </row>
    <row r="6939" spans="1:1" x14ac:dyDescent="0.35">
      <c r="A6939" s="4">
        <v>4500191287</v>
      </c>
    </row>
    <row r="6940" spans="1:1" x14ac:dyDescent="0.35">
      <c r="A6940" s="4">
        <v>4500191290</v>
      </c>
    </row>
    <row r="6941" spans="1:1" x14ac:dyDescent="0.35">
      <c r="A6941" s="4">
        <v>4500191293</v>
      </c>
    </row>
    <row r="6942" spans="1:1" x14ac:dyDescent="0.35">
      <c r="A6942" s="4">
        <v>4500191298</v>
      </c>
    </row>
    <row r="6943" spans="1:1" x14ac:dyDescent="0.35">
      <c r="A6943" s="4">
        <v>4500191301</v>
      </c>
    </row>
    <row r="6944" spans="1:1" x14ac:dyDescent="0.35">
      <c r="A6944" s="4">
        <v>4500191304</v>
      </c>
    </row>
    <row r="6945" spans="1:1" x14ac:dyDescent="0.35">
      <c r="A6945" s="4">
        <v>4500191308</v>
      </c>
    </row>
    <row r="6946" spans="1:1" x14ac:dyDescent="0.35">
      <c r="A6946" s="4">
        <v>4500191311</v>
      </c>
    </row>
    <row r="6947" spans="1:1" x14ac:dyDescent="0.35">
      <c r="A6947" s="4">
        <v>4500191314</v>
      </c>
    </row>
    <row r="6948" spans="1:1" x14ac:dyDescent="0.35">
      <c r="A6948" s="4">
        <v>4500191315</v>
      </c>
    </row>
    <row r="6949" spans="1:1" x14ac:dyDescent="0.35">
      <c r="A6949" s="4">
        <v>4500191316</v>
      </c>
    </row>
    <row r="6950" spans="1:1" x14ac:dyDescent="0.35">
      <c r="A6950" s="4">
        <v>4500191317</v>
      </c>
    </row>
    <row r="6951" spans="1:1" x14ac:dyDescent="0.35">
      <c r="A6951" s="4">
        <v>4500191318</v>
      </c>
    </row>
    <row r="6952" spans="1:1" x14ac:dyDescent="0.35">
      <c r="A6952" s="4">
        <v>4500191319</v>
      </c>
    </row>
    <row r="6953" spans="1:1" x14ac:dyDescent="0.35">
      <c r="A6953" s="4">
        <v>4500191320</v>
      </c>
    </row>
    <row r="6954" spans="1:1" x14ac:dyDescent="0.35">
      <c r="A6954" s="4">
        <v>4500191321</v>
      </c>
    </row>
    <row r="6955" spans="1:1" x14ac:dyDescent="0.35">
      <c r="A6955" s="4">
        <v>4500191322</v>
      </c>
    </row>
    <row r="6956" spans="1:1" x14ac:dyDescent="0.35">
      <c r="A6956" s="4">
        <v>4500191323</v>
      </c>
    </row>
    <row r="6957" spans="1:1" x14ac:dyDescent="0.35">
      <c r="A6957" s="4">
        <v>4500191324</v>
      </c>
    </row>
    <row r="6958" spans="1:1" x14ac:dyDescent="0.35">
      <c r="A6958" s="4">
        <v>4500191325</v>
      </c>
    </row>
    <row r="6959" spans="1:1" x14ac:dyDescent="0.35">
      <c r="A6959" s="4">
        <v>4500191326</v>
      </c>
    </row>
    <row r="6960" spans="1:1" x14ac:dyDescent="0.35">
      <c r="A6960" s="4">
        <v>4500191391</v>
      </c>
    </row>
    <row r="6961" spans="1:1" x14ac:dyDescent="0.35">
      <c r="A6961" s="4">
        <v>4500191392</v>
      </c>
    </row>
    <row r="6962" spans="1:1" x14ac:dyDescent="0.35">
      <c r="A6962" s="4">
        <v>4500191394</v>
      </c>
    </row>
    <row r="6963" spans="1:1" x14ac:dyDescent="0.35">
      <c r="A6963" s="4">
        <v>4500191398</v>
      </c>
    </row>
    <row r="6964" spans="1:1" x14ac:dyDescent="0.35">
      <c r="A6964" s="4">
        <v>4500191400</v>
      </c>
    </row>
    <row r="6965" spans="1:1" x14ac:dyDescent="0.35">
      <c r="A6965" s="4">
        <v>4500191403</v>
      </c>
    </row>
    <row r="6966" spans="1:1" x14ac:dyDescent="0.35">
      <c r="A6966" s="4">
        <v>4500191408</v>
      </c>
    </row>
    <row r="6967" spans="1:1" x14ac:dyDescent="0.35">
      <c r="A6967" s="4">
        <v>4500191411</v>
      </c>
    </row>
    <row r="6968" spans="1:1" x14ac:dyDescent="0.35">
      <c r="A6968" s="4">
        <v>4500191415</v>
      </c>
    </row>
    <row r="6969" spans="1:1" x14ac:dyDescent="0.35">
      <c r="A6969" s="4">
        <v>4500191418</v>
      </c>
    </row>
    <row r="6970" spans="1:1" x14ac:dyDescent="0.35">
      <c r="A6970" s="4">
        <v>4500191423</v>
      </c>
    </row>
    <row r="6971" spans="1:1" x14ac:dyDescent="0.35">
      <c r="A6971" s="4">
        <v>4500191429</v>
      </c>
    </row>
    <row r="6972" spans="1:1" x14ac:dyDescent="0.35">
      <c r="A6972" s="4">
        <v>4500191432</v>
      </c>
    </row>
    <row r="6973" spans="1:1" x14ac:dyDescent="0.35">
      <c r="A6973" s="4">
        <v>4500191435</v>
      </c>
    </row>
    <row r="6974" spans="1:1" x14ac:dyDescent="0.35">
      <c r="A6974" s="4">
        <v>4500191438</v>
      </c>
    </row>
    <row r="6975" spans="1:1" x14ac:dyDescent="0.35">
      <c r="A6975" s="4">
        <v>4500191440</v>
      </c>
    </row>
    <row r="6976" spans="1:1" x14ac:dyDescent="0.35">
      <c r="A6976" s="4">
        <v>4500191444</v>
      </c>
    </row>
    <row r="6977" spans="1:1" x14ac:dyDescent="0.35">
      <c r="A6977" s="4">
        <v>4500191448</v>
      </c>
    </row>
    <row r="6978" spans="1:1" x14ac:dyDescent="0.35">
      <c r="A6978" s="4">
        <v>4500191452</v>
      </c>
    </row>
    <row r="6979" spans="1:1" x14ac:dyDescent="0.35">
      <c r="A6979" s="4">
        <v>4500191457</v>
      </c>
    </row>
    <row r="6980" spans="1:1" x14ac:dyDescent="0.35">
      <c r="A6980" s="4">
        <v>4500191464</v>
      </c>
    </row>
    <row r="6981" spans="1:1" x14ac:dyDescent="0.35">
      <c r="A6981" s="4">
        <v>4500191475</v>
      </c>
    </row>
    <row r="6982" spans="1:1" x14ac:dyDescent="0.35">
      <c r="A6982" s="4">
        <v>4500191477</v>
      </c>
    </row>
    <row r="6983" spans="1:1" x14ac:dyDescent="0.35">
      <c r="A6983" s="4">
        <v>4500191480</v>
      </c>
    </row>
    <row r="6984" spans="1:1" x14ac:dyDescent="0.35">
      <c r="A6984" s="4">
        <v>4500191484</v>
      </c>
    </row>
    <row r="6985" spans="1:1" x14ac:dyDescent="0.35">
      <c r="A6985" s="4">
        <v>4500191492</v>
      </c>
    </row>
    <row r="6986" spans="1:1" x14ac:dyDescent="0.35">
      <c r="A6986" s="4">
        <v>4500191497</v>
      </c>
    </row>
    <row r="6987" spans="1:1" x14ac:dyDescent="0.35">
      <c r="A6987" s="4">
        <v>4500191502</v>
      </c>
    </row>
    <row r="6988" spans="1:1" x14ac:dyDescent="0.35">
      <c r="A6988" s="4">
        <v>4500191600</v>
      </c>
    </row>
    <row r="6989" spans="1:1" x14ac:dyDescent="0.35">
      <c r="A6989" s="4">
        <v>4500191627</v>
      </c>
    </row>
    <row r="6990" spans="1:1" x14ac:dyDescent="0.35">
      <c r="A6990" s="4">
        <v>4500191632</v>
      </c>
    </row>
    <row r="6991" spans="1:1" x14ac:dyDescent="0.35">
      <c r="A6991" s="4">
        <v>4500191636</v>
      </c>
    </row>
    <row r="6992" spans="1:1" x14ac:dyDescent="0.35">
      <c r="A6992" s="4">
        <v>4500191646</v>
      </c>
    </row>
    <row r="6993" spans="1:1" x14ac:dyDescent="0.35">
      <c r="A6993" s="4">
        <v>4500191651</v>
      </c>
    </row>
    <row r="6994" spans="1:1" x14ac:dyDescent="0.35">
      <c r="A6994" s="4">
        <v>4500191656</v>
      </c>
    </row>
    <row r="6995" spans="1:1" x14ac:dyDescent="0.35">
      <c r="A6995" s="4">
        <v>4500191662</v>
      </c>
    </row>
    <row r="6996" spans="1:1" x14ac:dyDescent="0.35">
      <c r="A6996" s="4">
        <v>4500191679</v>
      </c>
    </row>
    <row r="6997" spans="1:1" x14ac:dyDescent="0.35">
      <c r="A6997" s="4">
        <v>4500191710</v>
      </c>
    </row>
    <row r="6998" spans="1:1" x14ac:dyDescent="0.35">
      <c r="A6998" s="4">
        <v>4500191715</v>
      </c>
    </row>
    <row r="6999" spans="1:1" x14ac:dyDescent="0.35">
      <c r="A6999" s="4">
        <v>4500191716</v>
      </c>
    </row>
    <row r="7000" spans="1:1" x14ac:dyDescent="0.35">
      <c r="A7000" s="4">
        <v>4500191718</v>
      </c>
    </row>
    <row r="7001" spans="1:1" x14ac:dyDescent="0.35">
      <c r="A7001" s="4">
        <v>4500191719</v>
      </c>
    </row>
    <row r="7002" spans="1:1" x14ac:dyDescent="0.35">
      <c r="A7002" s="4">
        <v>4500191720</v>
      </c>
    </row>
    <row r="7003" spans="1:1" x14ac:dyDescent="0.35">
      <c r="A7003" s="4">
        <v>4500191722</v>
      </c>
    </row>
    <row r="7004" spans="1:1" x14ac:dyDescent="0.35">
      <c r="A7004" s="4">
        <v>4500191723</v>
      </c>
    </row>
    <row r="7005" spans="1:1" x14ac:dyDescent="0.35">
      <c r="A7005" s="4">
        <v>4500191802</v>
      </c>
    </row>
    <row r="7006" spans="1:1" x14ac:dyDescent="0.35">
      <c r="A7006" s="4">
        <v>4500191805</v>
      </c>
    </row>
    <row r="7007" spans="1:1" x14ac:dyDescent="0.35">
      <c r="A7007" s="4">
        <v>4500191808</v>
      </c>
    </row>
    <row r="7008" spans="1:1" x14ac:dyDescent="0.35">
      <c r="A7008" s="4">
        <v>4500191811</v>
      </c>
    </row>
    <row r="7009" spans="1:1" x14ac:dyDescent="0.35">
      <c r="A7009" s="4">
        <v>4500191829</v>
      </c>
    </row>
    <row r="7010" spans="1:1" x14ac:dyDescent="0.35">
      <c r="A7010" s="4">
        <v>4500191839</v>
      </c>
    </row>
    <row r="7011" spans="1:1" x14ac:dyDescent="0.35">
      <c r="A7011" s="4">
        <v>4500191847</v>
      </c>
    </row>
    <row r="7012" spans="1:1" x14ac:dyDescent="0.35">
      <c r="A7012" s="4">
        <v>4500191852</v>
      </c>
    </row>
    <row r="7013" spans="1:1" x14ac:dyDescent="0.35">
      <c r="A7013" s="4">
        <v>4500191858</v>
      </c>
    </row>
    <row r="7014" spans="1:1" x14ac:dyDescent="0.35">
      <c r="A7014" s="4">
        <v>4500191862</v>
      </c>
    </row>
    <row r="7015" spans="1:1" x14ac:dyDescent="0.35">
      <c r="A7015" s="4">
        <v>4500191870</v>
      </c>
    </row>
    <row r="7016" spans="1:1" x14ac:dyDescent="0.35">
      <c r="A7016" s="4">
        <v>4500191875</v>
      </c>
    </row>
    <row r="7017" spans="1:1" x14ac:dyDescent="0.35">
      <c r="A7017" s="4">
        <v>4500191879</v>
      </c>
    </row>
    <row r="7018" spans="1:1" x14ac:dyDescent="0.35">
      <c r="A7018" s="4">
        <v>4500191883</v>
      </c>
    </row>
    <row r="7019" spans="1:1" x14ac:dyDescent="0.35">
      <c r="A7019" s="4">
        <v>4500191887</v>
      </c>
    </row>
    <row r="7020" spans="1:1" x14ac:dyDescent="0.35">
      <c r="A7020" s="4">
        <v>4500191891</v>
      </c>
    </row>
    <row r="7021" spans="1:1" x14ac:dyDescent="0.35">
      <c r="A7021" s="4">
        <v>4500191894</v>
      </c>
    </row>
    <row r="7022" spans="1:1" x14ac:dyDescent="0.35">
      <c r="A7022" s="4">
        <v>4500191899</v>
      </c>
    </row>
    <row r="7023" spans="1:1" x14ac:dyDescent="0.35">
      <c r="A7023" s="4">
        <v>4500191903</v>
      </c>
    </row>
    <row r="7024" spans="1:1" x14ac:dyDescent="0.35">
      <c r="A7024" s="4">
        <v>4500191906</v>
      </c>
    </row>
    <row r="7025" spans="1:1" x14ac:dyDescent="0.35">
      <c r="A7025" s="4">
        <v>4500191908</v>
      </c>
    </row>
    <row r="7026" spans="1:1" x14ac:dyDescent="0.35">
      <c r="A7026" s="4">
        <v>4500191913</v>
      </c>
    </row>
    <row r="7027" spans="1:1" x14ac:dyDescent="0.35">
      <c r="A7027" s="4">
        <v>4500191915</v>
      </c>
    </row>
    <row r="7028" spans="1:1" x14ac:dyDescent="0.35">
      <c r="A7028" s="4">
        <v>4500191916</v>
      </c>
    </row>
    <row r="7029" spans="1:1" x14ac:dyDescent="0.35">
      <c r="A7029" s="4">
        <v>4500191918</v>
      </c>
    </row>
    <row r="7030" spans="1:1" x14ac:dyDescent="0.35">
      <c r="A7030" s="4">
        <v>4500191923</v>
      </c>
    </row>
    <row r="7031" spans="1:1" x14ac:dyDescent="0.35">
      <c r="A7031" s="4">
        <v>4500191925</v>
      </c>
    </row>
    <row r="7032" spans="1:1" x14ac:dyDescent="0.35">
      <c r="A7032" s="4">
        <v>4500191927</v>
      </c>
    </row>
    <row r="7033" spans="1:1" x14ac:dyDescent="0.35">
      <c r="A7033" s="4">
        <v>4500191930</v>
      </c>
    </row>
    <row r="7034" spans="1:1" x14ac:dyDescent="0.35">
      <c r="A7034" s="4">
        <v>4500192044</v>
      </c>
    </row>
    <row r="7035" spans="1:1" x14ac:dyDescent="0.35">
      <c r="A7035" s="4">
        <v>4500192050</v>
      </c>
    </row>
    <row r="7036" spans="1:1" x14ac:dyDescent="0.35">
      <c r="A7036" s="4">
        <v>4500192055</v>
      </c>
    </row>
    <row r="7037" spans="1:1" x14ac:dyDescent="0.35">
      <c r="A7037" s="4">
        <v>4500192060</v>
      </c>
    </row>
    <row r="7038" spans="1:1" x14ac:dyDescent="0.35">
      <c r="A7038" s="4">
        <v>4500192065</v>
      </c>
    </row>
    <row r="7039" spans="1:1" x14ac:dyDescent="0.35">
      <c r="A7039" s="4">
        <v>4500192071</v>
      </c>
    </row>
    <row r="7040" spans="1:1" x14ac:dyDescent="0.35">
      <c r="A7040" s="4">
        <v>4500192077</v>
      </c>
    </row>
    <row r="7041" spans="1:1" x14ac:dyDescent="0.35">
      <c r="A7041" s="4">
        <v>4500192083</v>
      </c>
    </row>
    <row r="7042" spans="1:1" x14ac:dyDescent="0.35">
      <c r="A7042" s="4">
        <v>4500192088</v>
      </c>
    </row>
    <row r="7043" spans="1:1" x14ac:dyDescent="0.35">
      <c r="A7043" s="4">
        <v>4500192091</v>
      </c>
    </row>
    <row r="7044" spans="1:1" x14ac:dyDescent="0.35">
      <c r="A7044" s="4">
        <v>4500192094</v>
      </c>
    </row>
    <row r="7045" spans="1:1" x14ac:dyDescent="0.35">
      <c r="A7045" s="4">
        <v>4500192104</v>
      </c>
    </row>
    <row r="7046" spans="1:1" x14ac:dyDescent="0.35">
      <c r="A7046" s="4">
        <v>4500192107</v>
      </c>
    </row>
    <row r="7047" spans="1:1" x14ac:dyDescent="0.35">
      <c r="A7047" s="4">
        <v>4500192109</v>
      </c>
    </row>
    <row r="7048" spans="1:1" x14ac:dyDescent="0.35">
      <c r="A7048" s="4">
        <v>4500192113</v>
      </c>
    </row>
    <row r="7049" spans="1:1" x14ac:dyDescent="0.35">
      <c r="A7049" s="4">
        <v>4500192121</v>
      </c>
    </row>
    <row r="7050" spans="1:1" x14ac:dyDescent="0.35">
      <c r="A7050" s="4">
        <v>4500192125</v>
      </c>
    </row>
    <row r="7051" spans="1:1" x14ac:dyDescent="0.35">
      <c r="A7051" s="4">
        <v>4500192128</v>
      </c>
    </row>
    <row r="7052" spans="1:1" x14ac:dyDescent="0.35">
      <c r="A7052" s="4">
        <v>4500192135</v>
      </c>
    </row>
    <row r="7053" spans="1:1" x14ac:dyDescent="0.35">
      <c r="A7053" s="4">
        <v>4500192141</v>
      </c>
    </row>
    <row r="7054" spans="1:1" x14ac:dyDescent="0.35">
      <c r="A7054" s="4">
        <v>4500192144</v>
      </c>
    </row>
    <row r="7055" spans="1:1" x14ac:dyDescent="0.35">
      <c r="A7055" s="4">
        <v>4500192147</v>
      </c>
    </row>
    <row r="7056" spans="1:1" x14ac:dyDescent="0.35">
      <c r="A7056" s="4">
        <v>4500192159</v>
      </c>
    </row>
    <row r="7057" spans="1:1" x14ac:dyDescent="0.35">
      <c r="A7057" s="4">
        <v>4500192161</v>
      </c>
    </row>
    <row r="7058" spans="1:1" x14ac:dyDescent="0.35">
      <c r="A7058" s="4">
        <v>4500192164</v>
      </c>
    </row>
    <row r="7059" spans="1:1" x14ac:dyDescent="0.35">
      <c r="A7059" s="4">
        <v>4500192166</v>
      </c>
    </row>
    <row r="7060" spans="1:1" x14ac:dyDescent="0.35">
      <c r="A7060" s="4">
        <v>4500192168</v>
      </c>
    </row>
    <row r="7061" spans="1:1" x14ac:dyDescent="0.35">
      <c r="A7061" s="4">
        <v>4500192169</v>
      </c>
    </row>
    <row r="7062" spans="1:1" x14ac:dyDescent="0.35">
      <c r="A7062" s="4">
        <v>4500192174</v>
      </c>
    </row>
    <row r="7063" spans="1:1" x14ac:dyDescent="0.35">
      <c r="A7063" s="4">
        <v>4500192273</v>
      </c>
    </row>
    <row r="7064" spans="1:1" x14ac:dyDescent="0.35">
      <c r="A7064" s="4">
        <v>4500192280</v>
      </c>
    </row>
    <row r="7065" spans="1:1" x14ac:dyDescent="0.35">
      <c r="A7065" s="4">
        <v>4500192285</v>
      </c>
    </row>
    <row r="7066" spans="1:1" x14ac:dyDescent="0.35">
      <c r="A7066" s="4">
        <v>4500192289</v>
      </c>
    </row>
    <row r="7067" spans="1:1" x14ac:dyDescent="0.35">
      <c r="A7067" s="4">
        <v>4500192291</v>
      </c>
    </row>
    <row r="7068" spans="1:1" x14ac:dyDescent="0.35">
      <c r="A7068" s="4">
        <v>4500192296</v>
      </c>
    </row>
    <row r="7069" spans="1:1" x14ac:dyDescent="0.35">
      <c r="A7069" s="4">
        <v>4500192299</v>
      </c>
    </row>
    <row r="7070" spans="1:1" x14ac:dyDescent="0.35">
      <c r="A7070" s="4">
        <v>4500192304</v>
      </c>
    </row>
    <row r="7071" spans="1:1" x14ac:dyDescent="0.35">
      <c r="A7071" s="4">
        <v>4500192309</v>
      </c>
    </row>
    <row r="7072" spans="1:1" x14ac:dyDescent="0.35">
      <c r="A7072" s="4">
        <v>4500192314</v>
      </c>
    </row>
    <row r="7073" spans="1:1" x14ac:dyDescent="0.35">
      <c r="A7073" s="4">
        <v>4500192319</v>
      </c>
    </row>
    <row r="7074" spans="1:1" x14ac:dyDescent="0.35">
      <c r="A7074" s="4">
        <v>4500192324</v>
      </c>
    </row>
    <row r="7075" spans="1:1" x14ac:dyDescent="0.35">
      <c r="A7075" s="4">
        <v>4500192332</v>
      </c>
    </row>
    <row r="7076" spans="1:1" x14ac:dyDescent="0.35">
      <c r="A7076" s="4">
        <v>4500192336</v>
      </c>
    </row>
    <row r="7077" spans="1:1" x14ac:dyDescent="0.35">
      <c r="A7077" s="4">
        <v>4500192344</v>
      </c>
    </row>
    <row r="7078" spans="1:1" x14ac:dyDescent="0.35">
      <c r="A7078" s="4">
        <v>4500192350</v>
      </c>
    </row>
    <row r="7079" spans="1:1" x14ac:dyDescent="0.35">
      <c r="A7079" s="4">
        <v>4500192353</v>
      </c>
    </row>
    <row r="7080" spans="1:1" x14ac:dyDescent="0.35">
      <c r="A7080" s="4">
        <v>4500192356</v>
      </c>
    </row>
    <row r="7081" spans="1:1" x14ac:dyDescent="0.35">
      <c r="A7081" s="4">
        <v>4500192361</v>
      </c>
    </row>
    <row r="7082" spans="1:1" x14ac:dyDescent="0.35">
      <c r="A7082" s="4">
        <v>4500192362</v>
      </c>
    </row>
    <row r="7083" spans="1:1" x14ac:dyDescent="0.35">
      <c r="A7083" s="4">
        <v>4500192364</v>
      </c>
    </row>
    <row r="7084" spans="1:1" x14ac:dyDescent="0.35">
      <c r="A7084" s="4">
        <v>4500192366</v>
      </c>
    </row>
    <row r="7085" spans="1:1" x14ac:dyDescent="0.35">
      <c r="A7085" s="4">
        <v>4500192368</v>
      </c>
    </row>
    <row r="7086" spans="1:1" x14ac:dyDescent="0.35">
      <c r="A7086" s="4">
        <v>4500192370</v>
      </c>
    </row>
    <row r="7087" spans="1:1" x14ac:dyDescent="0.35">
      <c r="A7087" s="4">
        <v>4500192372</v>
      </c>
    </row>
    <row r="7088" spans="1:1" x14ac:dyDescent="0.35">
      <c r="A7088" s="4">
        <v>4500192390</v>
      </c>
    </row>
    <row r="7089" spans="1:1" x14ac:dyDescent="0.35">
      <c r="A7089" s="4">
        <v>4500192392</v>
      </c>
    </row>
    <row r="7090" spans="1:1" x14ac:dyDescent="0.35">
      <c r="A7090" s="4">
        <v>4500192393</v>
      </c>
    </row>
    <row r="7091" spans="1:1" x14ac:dyDescent="0.35">
      <c r="A7091" s="4">
        <v>4500192394</v>
      </c>
    </row>
    <row r="7092" spans="1:1" x14ac:dyDescent="0.35">
      <c r="A7092" s="4">
        <v>4500192399</v>
      </c>
    </row>
    <row r="7093" spans="1:1" x14ac:dyDescent="0.35">
      <c r="A7093" s="4">
        <v>4500192457</v>
      </c>
    </row>
    <row r="7094" spans="1:1" x14ac:dyDescent="0.35">
      <c r="A7094" s="4">
        <v>4500192459</v>
      </c>
    </row>
    <row r="7095" spans="1:1" x14ac:dyDescent="0.35">
      <c r="A7095" s="4">
        <v>4500192463</v>
      </c>
    </row>
    <row r="7096" spans="1:1" x14ac:dyDescent="0.35">
      <c r="A7096" s="4">
        <v>4500192468</v>
      </c>
    </row>
    <row r="7097" spans="1:1" x14ac:dyDescent="0.35">
      <c r="A7097" s="4">
        <v>4500192474</v>
      </c>
    </row>
    <row r="7098" spans="1:1" x14ac:dyDescent="0.35">
      <c r="A7098" s="4">
        <v>4500192481</v>
      </c>
    </row>
    <row r="7099" spans="1:1" x14ac:dyDescent="0.35">
      <c r="A7099" s="4">
        <v>4500192488</v>
      </c>
    </row>
    <row r="7100" spans="1:1" x14ac:dyDescent="0.35">
      <c r="A7100" s="4">
        <v>4500192493</v>
      </c>
    </row>
    <row r="7101" spans="1:1" x14ac:dyDescent="0.35">
      <c r="A7101" s="4">
        <v>4500192501</v>
      </c>
    </row>
    <row r="7102" spans="1:1" x14ac:dyDescent="0.35">
      <c r="A7102" s="4">
        <v>4500192518</v>
      </c>
    </row>
    <row r="7103" spans="1:1" x14ac:dyDescent="0.35">
      <c r="A7103" s="4">
        <v>4500192536</v>
      </c>
    </row>
    <row r="7104" spans="1:1" x14ac:dyDescent="0.35">
      <c r="A7104" s="4">
        <v>4500192540</v>
      </c>
    </row>
    <row r="7105" spans="1:1" x14ac:dyDescent="0.35">
      <c r="A7105" s="4">
        <v>4500192544</v>
      </c>
    </row>
    <row r="7106" spans="1:1" x14ac:dyDescent="0.35">
      <c r="A7106" s="4">
        <v>4500192548</v>
      </c>
    </row>
    <row r="7107" spans="1:1" x14ac:dyDescent="0.35">
      <c r="A7107" s="4">
        <v>4500192552</v>
      </c>
    </row>
    <row r="7108" spans="1:1" x14ac:dyDescent="0.35">
      <c r="A7108" s="4">
        <v>4500192554</v>
      </c>
    </row>
    <row r="7109" spans="1:1" x14ac:dyDescent="0.35">
      <c r="A7109" s="4">
        <v>4500192560</v>
      </c>
    </row>
    <row r="7110" spans="1:1" x14ac:dyDescent="0.35">
      <c r="A7110" s="4">
        <v>4500192592</v>
      </c>
    </row>
    <row r="7111" spans="1:1" x14ac:dyDescent="0.35">
      <c r="A7111" s="4">
        <v>4500192595</v>
      </c>
    </row>
    <row r="7112" spans="1:1" x14ac:dyDescent="0.35">
      <c r="A7112" s="4">
        <v>4500192607</v>
      </c>
    </row>
    <row r="7113" spans="1:1" x14ac:dyDescent="0.35">
      <c r="A7113" s="4">
        <v>4500192609</v>
      </c>
    </row>
    <row r="7114" spans="1:1" x14ac:dyDescent="0.35">
      <c r="A7114" s="4">
        <v>4500192611</v>
      </c>
    </row>
    <row r="7115" spans="1:1" x14ac:dyDescent="0.35">
      <c r="A7115" s="4">
        <v>4500192614</v>
      </c>
    </row>
    <row r="7116" spans="1:1" x14ac:dyDescent="0.35">
      <c r="A7116" s="4">
        <v>4500192615</v>
      </c>
    </row>
    <row r="7117" spans="1:1" x14ac:dyDescent="0.35">
      <c r="A7117" s="4">
        <v>4500192616</v>
      </c>
    </row>
    <row r="7118" spans="1:1" x14ac:dyDescent="0.35">
      <c r="A7118" s="4">
        <v>4500192617</v>
      </c>
    </row>
    <row r="7119" spans="1:1" x14ac:dyDescent="0.35">
      <c r="A7119" s="4">
        <v>4500192619</v>
      </c>
    </row>
    <row r="7120" spans="1:1" x14ac:dyDescent="0.35">
      <c r="A7120" s="4">
        <v>4500192620</v>
      </c>
    </row>
    <row r="7121" spans="1:1" x14ac:dyDescent="0.35">
      <c r="A7121" s="4">
        <v>4500192712</v>
      </c>
    </row>
    <row r="7122" spans="1:1" x14ac:dyDescent="0.35">
      <c r="A7122" s="4">
        <v>4500192718</v>
      </c>
    </row>
    <row r="7123" spans="1:1" x14ac:dyDescent="0.35">
      <c r="A7123" s="4">
        <v>4500192723</v>
      </c>
    </row>
    <row r="7124" spans="1:1" x14ac:dyDescent="0.35">
      <c r="A7124" s="4">
        <v>4500192728</v>
      </c>
    </row>
    <row r="7125" spans="1:1" x14ac:dyDescent="0.35">
      <c r="A7125" s="4">
        <v>4500192734</v>
      </c>
    </row>
    <row r="7126" spans="1:1" x14ac:dyDescent="0.35">
      <c r="A7126" s="4">
        <v>4500192737</v>
      </c>
    </row>
    <row r="7127" spans="1:1" x14ac:dyDescent="0.35">
      <c r="A7127" s="4">
        <v>4500192739</v>
      </c>
    </row>
    <row r="7128" spans="1:1" x14ac:dyDescent="0.35">
      <c r="A7128" s="4">
        <v>4500192741</v>
      </c>
    </row>
    <row r="7129" spans="1:1" x14ac:dyDescent="0.35">
      <c r="A7129" s="4">
        <v>4500192747</v>
      </c>
    </row>
    <row r="7130" spans="1:1" x14ac:dyDescent="0.35">
      <c r="A7130" s="4">
        <v>4500192751</v>
      </c>
    </row>
    <row r="7131" spans="1:1" x14ac:dyDescent="0.35">
      <c r="A7131" s="4">
        <v>4500192754</v>
      </c>
    </row>
    <row r="7132" spans="1:1" x14ac:dyDescent="0.35">
      <c r="A7132" s="4">
        <v>4500192759</v>
      </c>
    </row>
    <row r="7133" spans="1:1" x14ac:dyDescent="0.35">
      <c r="A7133" s="4">
        <v>4500192768</v>
      </c>
    </row>
    <row r="7134" spans="1:1" x14ac:dyDescent="0.35">
      <c r="A7134" s="4">
        <v>4500192773</v>
      </c>
    </row>
    <row r="7135" spans="1:1" x14ac:dyDescent="0.35">
      <c r="A7135" s="4">
        <v>4500192777</v>
      </c>
    </row>
    <row r="7136" spans="1:1" x14ac:dyDescent="0.35">
      <c r="A7136" s="4">
        <v>4500192793</v>
      </c>
    </row>
    <row r="7137" spans="1:1" x14ac:dyDescent="0.35">
      <c r="A7137" s="4">
        <v>4500192798</v>
      </c>
    </row>
    <row r="7138" spans="1:1" x14ac:dyDescent="0.35">
      <c r="A7138" s="4">
        <v>4500192807</v>
      </c>
    </row>
    <row r="7139" spans="1:1" x14ac:dyDescent="0.35">
      <c r="A7139" s="4">
        <v>4500192813</v>
      </c>
    </row>
    <row r="7140" spans="1:1" x14ac:dyDescent="0.35">
      <c r="A7140" s="4">
        <v>4500192814</v>
      </c>
    </row>
    <row r="7141" spans="1:1" x14ac:dyDescent="0.35">
      <c r="A7141" s="4">
        <v>4500192817</v>
      </c>
    </row>
    <row r="7142" spans="1:1" x14ac:dyDescent="0.35">
      <c r="A7142" s="4">
        <v>4500192824</v>
      </c>
    </row>
    <row r="7143" spans="1:1" x14ac:dyDescent="0.35">
      <c r="A7143" s="4">
        <v>4500192827</v>
      </c>
    </row>
    <row r="7144" spans="1:1" x14ac:dyDescent="0.35">
      <c r="A7144" s="4">
        <v>4500192829</v>
      </c>
    </row>
    <row r="7145" spans="1:1" x14ac:dyDescent="0.35">
      <c r="A7145" s="4">
        <v>4500192831</v>
      </c>
    </row>
    <row r="7146" spans="1:1" x14ac:dyDescent="0.35">
      <c r="A7146" s="4">
        <v>4500192835</v>
      </c>
    </row>
    <row r="7147" spans="1:1" x14ac:dyDescent="0.35">
      <c r="A7147" s="4">
        <v>4500192839</v>
      </c>
    </row>
    <row r="7148" spans="1:1" x14ac:dyDescent="0.35">
      <c r="A7148" s="4">
        <v>4500192841</v>
      </c>
    </row>
    <row r="7149" spans="1:1" x14ac:dyDescent="0.35">
      <c r="A7149" s="4">
        <v>4500192843</v>
      </c>
    </row>
    <row r="7150" spans="1:1" x14ac:dyDescent="0.35">
      <c r="A7150" s="4">
        <v>4500192845</v>
      </c>
    </row>
    <row r="7151" spans="1:1" x14ac:dyDescent="0.35">
      <c r="A7151" s="4">
        <v>4500192846</v>
      </c>
    </row>
    <row r="7152" spans="1:1" x14ac:dyDescent="0.35">
      <c r="A7152" s="4">
        <v>4500192848</v>
      </c>
    </row>
    <row r="7153" spans="1:1" x14ac:dyDescent="0.35">
      <c r="A7153" s="4">
        <v>4500192927</v>
      </c>
    </row>
    <row r="7154" spans="1:1" x14ac:dyDescent="0.35">
      <c r="A7154" s="4">
        <v>4500192990</v>
      </c>
    </row>
    <row r="7155" spans="1:1" x14ac:dyDescent="0.35">
      <c r="A7155" s="4">
        <v>4500192996</v>
      </c>
    </row>
    <row r="7156" spans="1:1" x14ac:dyDescent="0.35">
      <c r="A7156" s="4">
        <v>4500193002</v>
      </c>
    </row>
    <row r="7157" spans="1:1" x14ac:dyDescent="0.35">
      <c r="A7157" s="4">
        <v>4500193009</v>
      </c>
    </row>
    <row r="7158" spans="1:1" x14ac:dyDescent="0.35">
      <c r="A7158" s="4">
        <v>4500193013</v>
      </c>
    </row>
    <row r="7159" spans="1:1" x14ac:dyDescent="0.35">
      <c r="A7159" s="4">
        <v>4500193025</v>
      </c>
    </row>
    <row r="7160" spans="1:1" x14ac:dyDescent="0.35">
      <c r="A7160" s="4">
        <v>4500193033</v>
      </c>
    </row>
    <row r="7161" spans="1:1" x14ac:dyDescent="0.35">
      <c r="A7161" s="4">
        <v>4500193045</v>
      </c>
    </row>
    <row r="7162" spans="1:1" x14ac:dyDescent="0.35">
      <c r="A7162" s="4">
        <v>4500193046</v>
      </c>
    </row>
    <row r="7163" spans="1:1" x14ac:dyDescent="0.35">
      <c r="A7163" s="4">
        <v>4500193048</v>
      </c>
    </row>
    <row r="7164" spans="1:1" x14ac:dyDescent="0.35">
      <c r="A7164" s="4">
        <v>4500193051</v>
      </c>
    </row>
    <row r="7165" spans="1:1" x14ac:dyDescent="0.35">
      <c r="A7165" s="4">
        <v>4500193053</v>
      </c>
    </row>
    <row r="7166" spans="1:1" x14ac:dyDescent="0.35">
      <c r="A7166" s="4">
        <v>4500193057</v>
      </c>
    </row>
    <row r="7167" spans="1:1" x14ac:dyDescent="0.35">
      <c r="A7167" s="4">
        <v>4500193059</v>
      </c>
    </row>
    <row r="7168" spans="1:1" x14ac:dyDescent="0.35">
      <c r="A7168" s="4">
        <v>4500193061</v>
      </c>
    </row>
    <row r="7169" spans="1:1" x14ac:dyDescent="0.35">
      <c r="A7169" s="4">
        <v>4500193064</v>
      </c>
    </row>
    <row r="7170" spans="1:1" x14ac:dyDescent="0.35">
      <c r="A7170" s="4">
        <v>4500193066</v>
      </c>
    </row>
    <row r="7171" spans="1:1" x14ac:dyDescent="0.35">
      <c r="A7171" s="4">
        <v>4500193068</v>
      </c>
    </row>
    <row r="7172" spans="1:1" x14ac:dyDescent="0.35">
      <c r="A7172" s="4">
        <v>4500193071</v>
      </c>
    </row>
    <row r="7173" spans="1:1" x14ac:dyDescent="0.35">
      <c r="A7173" s="4">
        <v>4500193072</v>
      </c>
    </row>
    <row r="7174" spans="1:1" x14ac:dyDescent="0.35">
      <c r="A7174" s="4">
        <v>4500193076</v>
      </c>
    </row>
    <row r="7175" spans="1:1" x14ac:dyDescent="0.35">
      <c r="A7175" s="4">
        <v>4500193081</v>
      </c>
    </row>
    <row r="7176" spans="1:1" x14ac:dyDescent="0.35">
      <c r="A7176" s="4">
        <v>4500193082</v>
      </c>
    </row>
    <row r="7177" spans="1:1" x14ac:dyDescent="0.35">
      <c r="A7177" s="4">
        <v>4500193084</v>
      </c>
    </row>
    <row r="7178" spans="1:1" x14ac:dyDescent="0.35">
      <c r="A7178" s="4">
        <v>4500193085</v>
      </c>
    </row>
    <row r="7179" spans="1:1" x14ac:dyDescent="0.35">
      <c r="A7179" s="4">
        <v>4500193087</v>
      </c>
    </row>
    <row r="7180" spans="1:1" x14ac:dyDescent="0.35">
      <c r="A7180" s="4">
        <v>4500193088</v>
      </c>
    </row>
    <row r="7181" spans="1:1" x14ac:dyDescent="0.35">
      <c r="A7181" s="4">
        <v>4500193089</v>
      </c>
    </row>
    <row r="7182" spans="1:1" x14ac:dyDescent="0.35">
      <c r="A7182" s="4">
        <v>4500193186</v>
      </c>
    </row>
    <row r="7183" spans="1:1" x14ac:dyDescent="0.35">
      <c r="A7183" s="4">
        <v>4500193192</v>
      </c>
    </row>
    <row r="7184" spans="1:1" x14ac:dyDescent="0.35">
      <c r="A7184" s="4">
        <v>4500193201</v>
      </c>
    </row>
    <row r="7185" spans="1:1" x14ac:dyDescent="0.35">
      <c r="A7185" s="4">
        <v>4500193208</v>
      </c>
    </row>
    <row r="7186" spans="1:1" x14ac:dyDescent="0.35">
      <c r="A7186" s="4">
        <v>4500193211</v>
      </c>
    </row>
    <row r="7187" spans="1:1" x14ac:dyDescent="0.35">
      <c r="A7187" s="4">
        <v>4500193227</v>
      </c>
    </row>
    <row r="7188" spans="1:1" x14ac:dyDescent="0.35">
      <c r="A7188" s="4">
        <v>4500193232</v>
      </c>
    </row>
    <row r="7189" spans="1:1" x14ac:dyDescent="0.35">
      <c r="A7189" s="4">
        <v>4500193233</v>
      </c>
    </row>
    <row r="7190" spans="1:1" x14ac:dyDescent="0.35">
      <c r="A7190" s="4">
        <v>4500193237</v>
      </c>
    </row>
    <row r="7191" spans="1:1" x14ac:dyDescent="0.35">
      <c r="A7191" s="4">
        <v>4500193247</v>
      </c>
    </row>
    <row r="7192" spans="1:1" x14ac:dyDescent="0.35">
      <c r="A7192" s="4">
        <v>4500193250</v>
      </c>
    </row>
    <row r="7193" spans="1:1" x14ac:dyDescent="0.35">
      <c r="A7193" s="4">
        <v>4500193252</v>
      </c>
    </row>
    <row r="7194" spans="1:1" x14ac:dyDescent="0.35">
      <c r="A7194" s="4">
        <v>4500193260</v>
      </c>
    </row>
    <row r="7195" spans="1:1" x14ac:dyDescent="0.35">
      <c r="A7195" s="4">
        <v>4500193264</v>
      </c>
    </row>
    <row r="7196" spans="1:1" x14ac:dyDescent="0.35">
      <c r="A7196" s="4">
        <v>4500193268</v>
      </c>
    </row>
    <row r="7197" spans="1:1" x14ac:dyDescent="0.35">
      <c r="A7197" s="4">
        <v>4500193272</v>
      </c>
    </row>
    <row r="7198" spans="1:1" x14ac:dyDescent="0.35">
      <c r="A7198" s="4">
        <v>4500193275</v>
      </c>
    </row>
    <row r="7199" spans="1:1" x14ac:dyDescent="0.35">
      <c r="A7199" s="4">
        <v>4500193279</v>
      </c>
    </row>
    <row r="7200" spans="1:1" x14ac:dyDescent="0.35">
      <c r="A7200" s="4">
        <v>4500193288</v>
      </c>
    </row>
    <row r="7201" spans="1:1" x14ac:dyDescent="0.35">
      <c r="A7201" s="4">
        <v>4500193290</v>
      </c>
    </row>
    <row r="7202" spans="1:1" x14ac:dyDescent="0.35">
      <c r="A7202" s="4">
        <v>4500193303</v>
      </c>
    </row>
    <row r="7203" spans="1:1" x14ac:dyDescent="0.35">
      <c r="A7203" s="4">
        <v>4500193308</v>
      </c>
    </row>
    <row r="7204" spans="1:1" x14ac:dyDescent="0.35">
      <c r="A7204" s="4">
        <v>4500193312</v>
      </c>
    </row>
    <row r="7205" spans="1:1" x14ac:dyDescent="0.35">
      <c r="A7205" s="4">
        <v>4500193317</v>
      </c>
    </row>
    <row r="7206" spans="1:1" x14ac:dyDescent="0.35">
      <c r="A7206" s="4">
        <v>4500193320</v>
      </c>
    </row>
    <row r="7207" spans="1:1" x14ac:dyDescent="0.35">
      <c r="A7207" s="4">
        <v>4500193328</v>
      </c>
    </row>
    <row r="7208" spans="1:1" x14ac:dyDescent="0.35">
      <c r="A7208" s="4">
        <v>4500193338</v>
      </c>
    </row>
    <row r="7209" spans="1:1" x14ac:dyDescent="0.35">
      <c r="A7209" s="4">
        <v>4500193340</v>
      </c>
    </row>
    <row r="7210" spans="1:1" x14ac:dyDescent="0.35">
      <c r="A7210" s="4">
        <v>4500193343</v>
      </c>
    </row>
    <row r="7211" spans="1:1" x14ac:dyDescent="0.35">
      <c r="A7211" s="4">
        <v>4500193346</v>
      </c>
    </row>
    <row r="7212" spans="1:1" x14ac:dyDescent="0.35">
      <c r="A7212" s="4">
        <v>4500193347</v>
      </c>
    </row>
    <row r="7213" spans="1:1" x14ac:dyDescent="0.35">
      <c r="A7213" s="4">
        <v>4500193349</v>
      </c>
    </row>
    <row r="7214" spans="1:1" x14ac:dyDescent="0.35">
      <c r="A7214" s="4">
        <v>4500193354</v>
      </c>
    </row>
    <row r="7215" spans="1:1" x14ac:dyDescent="0.35">
      <c r="A7215" s="4">
        <v>4500193358</v>
      </c>
    </row>
    <row r="7216" spans="1:1" x14ac:dyDescent="0.35">
      <c r="A7216" s="4">
        <v>4500193370</v>
      </c>
    </row>
    <row r="7217" spans="1:1" x14ac:dyDescent="0.35">
      <c r="A7217" s="4">
        <v>4500193427</v>
      </c>
    </row>
    <row r="7218" spans="1:1" x14ac:dyDescent="0.35">
      <c r="A7218" s="4">
        <v>4500193431</v>
      </c>
    </row>
    <row r="7219" spans="1:1" x14ac:dyDescent="0.35">
      <c r="A7219" s="4">
        <v>4500193434</v>
      </c>
    </row>
    <row r="7220" spans="1:1" x14ac:dyDescent="0.35">
      <c r="A7220" s="4">
        <v>4500193439</v>
      </c>
    </row>
    <row r="7221" spans="1:1" x14ac:dyDescent="0.35">
      <c r="A7221" s="4">
        <v>4500193444</v>
      </c>
    </row>
    <row r="7222" spans="1:1" x14ac:dyDescent="0.35">
      <c r="A7222" s="4">
        <v>4500193453</v>
      </c>
    </row>
    <row r="7223" spans="1:1" x14ac:dyDescent="0.35">
      <c r="A7223" s="4">
        <v>4500193458</v>
      </c>
    </row>
    <row r="7224" spans="1:1" x14ac:dyDescent="0.35">
      <c r="A7224" s="4">
        <v>4500193464</v>
      </c>
    </row>
    <row r="7225" spans="1:1" x14ac:dyDescent="0.35">
      <c r="A7225" s="4">
        <v>4500193469</v>
      </c>
    </row>
    <row r="7226" spans="1:1" x14ac:dyDescent="0.35">
      <c r="A7226" s="4">
        <v>4500193474</v>
      </c>
    </row>
    <row r="7227" spans="1:1" x14ac:dyDescent="0.35">
      <c r="A7227" s="4">
        <v>4500193484</v>
      </c>
    </row>
    <row r="7228" spans="1:1" x14ac:dyDescent="0.35">
      <c r="A7228" s="4">
        <v>4500193489</v>
      </c>
    </row>
    <row r="7229" spans="1:1" x14ac:dyDescent="0.35">
      <c r="A7229" s="4">
        <v>4500193495</v>
      </c>
    </row>
    <row r="7230" spans="1:1" x14ac:dyDescent="0.35">
      <c r="A7230" s="4">
        <v>4500193500</v>
      </c>
    </row>
    <row r="7231" spans="1:1" x14ac:dyDescent="0.35">
      <c r="A7231" s="4">
        <v>4500193505</v>
      </c>
    </row>
    <row r="7232" spans="1:1" x14ac:dyDescent="0.35">
      <c r="A7232" s="4">
        <v>4500193510</v>
      </c>
    </row>
    <row r="7233" spans="1:1" x14ac:dyDescent="0.35">
      <c r="A7233" s="4">
        <v>4500193514</v>
      </c>
    </row>
    <row r="7234" spans="1:1" x14ac:dyDescent="0.35">
      <c r="A7234" s="4">
        <v>4500193554</v>
      </c>
    </row>
    <row r="7235" spans="1:1" x14ac:dyDescent="0.35">
      <c r="A7235" s="4">
        <v>4500193555</v>
      </c>
    </row>
    <row r="7236" spans="1:1" x14ac:dyDescent="0.35">
      <c r="A7236" s="4">
        <v>4500193629</v>
      </c>
    </row>
    <row r="7237" spans="1:1" x14ac:dyDescent="0.35">
      <c r="A7237" s="4">
        <v>4500193631</v>
      </c>
    </row>
    <row r="7238" spans="1:1" x14ac:dyDescent="0.35">
      <c r="A7238" s="4">
        <v>4500193634</v>
      </c>
    </row>
    <row r="7239" spans="1:1" x14ac:dyDescent="0.35">
      <c r="A7239" s="4">
        <v>4500193638</v>
      </c>
    </row>
    <row r="7240" spans="1:1" x14ac:dyDescent="0.35">
      <c r="A7240" s="4">
        <v>4500193642</v>
      </c>
    </row>
    <row r="7241" spans="1:1" x14ac:dyDescent="0.35">
      <c r="A7241" s="4">
        <v>4500193645</v>
      </c>
    </row>
    <row r="7242" spans="1:1" x14ac:dyDescent="0.35">
      <c r="A7242" s="4">
        <v>4500193648</v>
      </c>
    </row>
    <row r="7243" spans="1:1" x14ac:dyDescent="0.35">
      <c r="A7243" s="4">
        <v>4500193651</v>
      </c>
    </row>
    <row r="7244" spans="1:1" x14ac:dyDescent="0.35">
      <c r="A7244" s="4">
        <v>4500193654</v>
      </c>
    </row>
    <row r="7245" spans="1:1" x14ac:dyDescent="0.35">
      <c r="A7245" s="4">
        <v>4500193657</v>
      </c>
    </row>
    <row r="7246" spans="1:1" x14ac:dyDescent="0.35">
      <c r="A7246" s="4">
        <v>4500193660</v>
      </c>
    </row>
    <row r="7247" spans="1:1" x14ac:dyDescent="0.35">
      <c r="A7247" s="4">
        <v>4500193662</v>
      </c>
    </row>
    <row r="7248" spans="1:1" x14ac:dyDescent="0.35">
      <c r="A7248" s="4">
        <v>4500193666</v>
      </c>
    </row>
    <row r="7249" spans="1:1" x14ac:dyDescent="0.35">
      <c r="A7249" s="4">
        <v>4500193670</v>
      </c>
    </row>
    <row r="7250" spans="1:1" x14ac:dyDescent="0.35">
      <c r="A7250" s="4">
        <v>4500193672</v>
      </c>
    </row>
    <row r="7251" spans="1:1" x14ac:dyDescent="0.35">
      <c r="A7251" s="4">
        <v>4500193676</v>
      </c>
    </row>
    <row r="7252" spans="1:1" x14ac:dyDescent="0.35">
      <c r="A7252" s="4">
        <v>4500193679</v>
      </c>
    </row>
    <row r="7253" spans="1:1" x14ac:dyDescent="0.35">
      <c r="A7253" s="4">
        <v>4500193683</v>
      </c>
    </row>
    <row r="7254" spans="1:1" x14ac:dyDescent="0.35">
      <c r="A7254" s="4">
        <v>4500193694</v>
      </c>
    </row>
    <row r="7255" spans="1:1" x14ac:dyDescent="0.35">
      <c r="A7255" s="4">
        <v>4500193697</v>
      </c>
    </row>
    <row r="7256" spans="1:1" x14ac:dyDescent="0.35">
      <c r="A7256" s="4">
        <v>4500193700</v>
      </c>
    </row>
    <row r="7257" spans="1:1" x14ac:dyDescent="0.35">
      <c r="A7257" s="4">
        <v>4500193706</v>
      </c>
    </row>
    <row r="7258" spans="1:1" x14ac:dyDescent="0.35">
      <c r="A7258" s="4">
        <v>4500193713</v>
      </c>
    </row>
    <row r="7259" spans="1:1" x14ac:dyDescent="0.35">
      <c r="A7259" s="4">
        <v>4500193717</v>
      </c>
    </row>
    <row r="7260" spans="1:1" x14ac:dyDescent="0.35">
      <c r="A7260" s="4">
        <v>4500193721</v>
      </c>
    </row>
    <row r="7261" spans="1:1" x14ac:dyDescent="0.35">
      <c r="A7261" s="4">
        <v>4500193725</v>
      </c>
    </row>
    <row r="7262" spans="1:1" x14ac:dyDescent="0.35">
      <c r="A7262" s="4">
        <v>4500193729</v>
      </c>
    </row>
    <row r="7263" spans="1:1" x14ac:dyDescent="0.35">
      <c r="A7263" s="4">
        <v>4500193783</v>
      </c>
    </row>
    <row r="7264" spans="1:1" x14ac:dyDescent="0.35">
      <c r="A7264" s="4">
        <v>4500193785</v>
      </c>
    </row>
    <row r="7265" spans="1:1" x14ac:dyDescent="0.35">
      <c r="A7265" s="4">
        <v>4500193786</v>
      </c>
    </row>
    <row r="7266" spans="1:1" x14ac:dyDescent="0.35">
      <c r="A7266" s="4">
        <v>4500193857</v>
      </c>
    </row>
    <row r="7267" spans="1:1" x14ac:dyDescent="0.35">
      <c r="A7267" s="4">
        <v>4500193864</v>
      </c>
    </row>
    <row r="7268" spans="1:1" x14ac:dyDescent="0.35">
      <c r="A7268" s="4">
        <v>4500193868</v>
      </c>
    </row>
    <row r="7269" spans="1:1" x14ac:dyDescent="0.35">
      <c r="A7269" s="4">
        <v>4500193878</v>
      </c>
    </row>
    <row r="7270" spans="1:1" x14ac:dyDescent="0.35">
      <c r="A7270" s="4">
        <v>4500193880</v>
      </c>
    </row>
    <row r="7271" spans="1:1" x14ac:dyDescent="0.35">
      <c r="A7271" s="4">
        <v>4500193883</v>
      </c>
    </row>
    <row r="7272" spans="1:1" x14ac:dyDescent="0.35">
      <c r="A7272" s="4">
        <v>4500193887</v>
      </c>
    </row>
    <row r="7273" spans="1:1" x14ac:dyDescent="0.35">
      <c r="A7273" s="4">
        <v>4500193902</v>
      </c>
    </row>
    <row r="7274" spans="1:1" x14ac:dyDescent="0.35">
      <c r="A7274" s="4">
        <v>4500193908</v>
      </c>
    </row>
    <row r="7275" spans="1:1" x14ac:dyDescent="0.35">
      <c r="A7275" s="4">
        <v>4500193911</v>
      </c>
    </row>
    <row r="7276" spans="1:1" x14ac:dyDescent="0.35">
      <c r="A7276" s="4">
        <v>4500193915</v>
      </c>
    </row>
    <row r="7277" spans="1:1" x14ac:dyDescent="0.35">
      <c r="A7277" s="4">
        <v>4500193919</v>
      </c>
    </row>
    <row r="7278" spans="1:1" x14ac:dyDescent="0.35">
      <c r="A7278" s="4">
        <v>4500193922</v>
      </c>
    </row>
    <row r="7279" spans="1:1" x14ac:dyDescent="0.35">
      <c r="A7279" s="4">
        <v>4500193925</v>
      </c>
    </row>
    <row r="7280" spans="1:1" x14ac:dyDescent="0.35">
      <c r="A7280" s="4">
        <v>4500193928</v>
      </c>
    </row>
    <row r="7281" spans="1:1" x14ac:dyDescent="0.35">
      <c r="A7281" s="4">
        <v>4500193935</v>
      </c>
    </row>
    <row r="7282" spans="1:1" x14ac:dyDescent="0.35">
      <c r="A7282" s="4">
        <v>4500193945</v>
      </c>
    </row>
    <row r="7283" spans="1:1" x14ac:dyDescent="0.35">
      <c r="A7283" s="4">
        <v>4500193956</v>
      </c>
    </row>
    <row r="7284" spans="1:1" x14ac:dyDescent="0.35">
      <c r="A7284" s="4">
        <v>4500193960</v>
      </c>
    </row>
    <row r="7285" spans="1:1" x14ac:dyDescent="0.35">
      <c r="A7285" s="4">
        <v>4500193962</v>
      </c>
    </row>
    <row r="7286" spans="1:1" x14ac:dyDescent="0.35">
      <c r="A7286" s="4">
        <v>4500193968</v>
      </c>
    </row>
    <row r="7287" spans="1:1" x14ac:dyDescent="0.35">
      <c r="A7287" s="4">
        <v>4500193973</v>
      </c>
    </row>
    <row r="7288" spans="1:1" x14ac:dyDescent="0.35">
      <c r="A7288" s="4">
        <v>4500193975</v>
      </c>
    </row>
    <row r="7289" spans="1:1" x14ac:dyDescent="0.35">
      <c r="A7289" s="4">
        <v>4500193979</v>
      </c>
    </row>
    <row r="7290" spans="1:1" x14ac:dyDescent="0.35">
      <c r="A7290" s="4">
        <v>4500193981</v>
      </c>
    </row>
    <row r="7291" spans="1:1" x14ac:dyDescent="0.35">
      <c r="A7291" s="4">
        <v>4500193983</v>
      </c>
    </row>
    <row r="7292" spans="1:1" x14ac:dyDescent="0.35">
      <c r="A7292" s="4">
        <v>4500194056</v>
      </c>
    </row>
    <row r="7293" spans="1:1" x14ac:dyDescent="0.35">
      <c r="A7293" s="4">
        <v>4500194058</v>
      </c>
    </row>
    <row r="7294" spans="1:1" x14ac:dyDescent="0.35">
      <c r="A7294" s="4">
        <v>4500194061</v>
      </c>
    </row>
    <row r="7295" spans="1:1" x14ac:dyDescent="0.35">
      <c r="A7295" s="4">
        <v>4500194062</v>
      </c>
    </row>
    <row r="7296" spans="1:1" x14ac:dyDescent="0.35">
      <c r="A7296" s="4">
        <v>4500194065</v>
      </c>
    </row>
    <row r="7297" spans="1:1" x14ac:dyDescent="0.35">
      <c r="A7297" s="4">
        <v>4500194073</v>
      </c>
    </row>
    <row r="7298" spans="1:1" x14ac:dyDescent="0.35">
      <c r="A7298" s="4">
        <v>4500194078</v>
      </c>
    </row>
    <row r="7299" spans="1:1" x14ac:dyDescent="0.35">
      <c r="A7299" s="4">
        <v>4500194082</v>
      </c>
    </row>
    <row r="7300" spans="1:1" x14ac:dyDescent="0.35">
      <c r="A7300" s="4">
        <v>4500194091</v>
      </c>
    </row>
    <row r="7301" spans="1:1" x14ac:dyDescent="0.35">
      <c r="A7301" s="4">
        <v>4500194100</v>
      </c>
    </row>
    <row r="7302" spans="1:1" x14ac:dyDescent="0.35">
      <c r="A7302" s="4">
        <v>4500194104</v>
      </c>
    </row>
    <row r="7303" spans="1:1" x14ac:dyDescent="0.35">
      <c r="A7303" s="4">
        <v>4500194109</v>
      </c>
    </row>
    <row r="7304" spans="1:1" x14ac:dyDescent="0.35">
      <c r="A7304" s="4">
        <v>4500194122</v>
      </c>
    </row>
    <row r="7305" spans="1:1" x14ac:dyDescent="0.35">
      <c r="A7305" s="4">
        <v>4500194139</v>
      </c>
    </row>
    <row r="7306" spans="1:1" x14ac:dyDescent="0.35">
      <c r="A7306" s="4">
        <v>4500194144</v>
      </c>
    </row>
    <row r="7307" spans="1:1" x14ac:dyDescent="0.35">
      <c r="A7307" s="4">
        <v>4500194148</v>
      </c>
    </row>
    <row r="7308" spans="1:1" x14ac:dyDescent="0.35">
      <c r="A7308" s="4">
        <v>4500194154</v>
      </c>
    </row>
    <row r="7309" spans="1:1" x14ac:dyDescent="0.35">
      <c r="A7309" s="4">
        <v>4500194158</v>
      </c>
    </row>
    <row r="7310" spans="1:1" x14ac:dyDescent="0.35">
      <c r="A7310" s="4">
        <v>4500194164</v>
      </c>
    </row>
    <row r="7311" spans="1:1" x14ac:dyDescent="0.35">
      <c r="A7311" s="4">
        <v>4500194171</v>
      </c>
    </row>
    <row r="7312" spans="1:1" x14ac:dyDescent="0.35">
      <c r="A7312" s="4">
        <v>4500194305</v>
      </c>
    </row>
    <row r="7313" spans="1:1" x14ac:dyDescent="0.35">
      <c r="A7313" s="4">
        <v>4500194308</v>
      </c>
    </row>
    <row r="7314" spans="1:1" x14ac:dyDescent="0.35">
      <c r="A7314" s="4">
        <v>4500194310</v>
      </c>
    </row>
    <row r="7315" spans="1:1" x14ac:dyDescent="0.35">
      <c r="A7315" s="4">
        <v>4500194313</v>
      </c>
    </row>
    <row r="7316" spans="1:1" x14ac:dyDescent="0.35">
      <c r="A7316" s="4">
        <v>4500194321</v>
      </c>
    </row>
    <row r="7317" spans="1:1" x14ac:dyDescent="0.35">
      <c r="A7317" s="4">
        <v>4500194324</v>
      </c>
    </row>
    <row r="7318" spans="1:1" x14ac:dyDescent="0.35">
      <c r="A7318" s="4">
        <v>4500194332</v>
      </c>
    </row>
    <row r="7319" spans="1:1" x14ac:dyDescent="0.35">
      <c r="A7319" s="4">
        <v>4500194337</v>
      </c>
    </row>
    <row r="7320" spans="1:1" x14ac:dyDescent="0.35">
      <c r="A7320" s="4">
        <v>4500194341</v>
      </c>
    </row>
    <row r="7321" spans="1:1" x14ac:dyDescent="0.35">
      <c r="A7321" s="4">
        <v>4500194346</v>
      </c>
    </row>
    <row r="7322" spans="1:1" x14ac:dyDescent="0.35">
      <c r="A7322" s="4">
        <v>4500194365</v>
      </c>
    </row>
    <row r="7323" spans="1:1" x14ac:dyDescent="0.35">
      <c r="A7323" s="4">
        <v>4500194370</v>
      </c>
    </row>
    <row r="7324" spans="1:1" x14ac:dyDescent="0.35">
      <c r="A7324" s="4">
        <v>4500194374</v>
      </c>
    </row>
    <row r="7325" spans="1:1" x14ac:dyDescent="0.35">
      <c r="A7325" s="4">
        <v>4500194377</v>
      </c>
    </row>
    <row r="7326" spans="1:1" x14ac:dyDescent="0.35">
      <c r="A7326" s="4">
        <v>4500194379</v>
      </c>
    </row>
    <row r="7327" spans="1:1" x14ac:dyDescent="0.35">
      <c r="A7327" s="4">
        <v>4500194386</v>
      </c>
    </row>
    <row r="7328" spans="1:1" x14ac:dyDescent="0.35">
      <c r="A7328" s="4">
        <v>4500194388</v>
      </c>
    </row>
    <row r="7329" spans="1:1" x14ac:dyDescent="0.35">
      <c r="A7329" s="4">
        <v>4500194389</v>
      </c>
    </row>
    <row r="7330" spans="1:1" x14ac:dyDescent="0.35">
      <c r="A7330" s="4">
        <v>4500194390</v>
      </c>
    </row>
    <row r="7331" spans="1:1" x14ac:dyDescent="0.35">
      <c r="A7331" s="4">
        <v>4500194391</v>
      </c>
    </row>
    <row r="7332" spans="1:1" x14ac:dyDescent="0.35">
      <c r="A7332" s="4">
        <v>4500194392</v>
      </c>
    </row>
    <row r="7333" spans="1:1" x14ac:dyDescent="0.35">
      <c r="A7333" s="4">
        <v>4500194393</v>
      </c>
    </row>
    <row r="7334" spans="1:1" x14ac:dyDescent="0.35">
      <c r="A7334" s="4">
        <v>4500194395</v>
      </c>
    </row>
    <row r="7335" spans="1:1" x14ac:dyDescent="0.35">
      <c r="A7335" s="4">
        <v>4500194396</v>
      </c>
    </row>
    <row r="7336" spans="1:1" x14ac:dyDescent="0.35">
      <c r="A7336" s="4">
        <v>4500194398</v>
      </c>
    </row>
    <row r="7337" spans="1:1" x14ac:dyDescent="0.35">
      <c r="A7337" s="4">
        <v>4500194399</v>
      </c>
    </row>
    <row r="7338" spans="1:1" x14ac:dyDescent="0.35">
      <c r="A7338" s="4">
        <v>4500194402</v>
      </c>
    </row>
    <row r="7339" spans="1:1" x14ac:dyDescent="0.35">
      <c r="A7339" s="4">
        <v>4500194403</v>
      </c>
    </row>
    <row r="7340" spans="1:1" x14ac:dyDescent="0.35">
      <c r="A7340" s="4">
        <v>4500194466</v>
      </c>
    </row>
    <row r="7341" spans="1:1" x14ac:dyDescent="0.35">
      <c r="A7341" s="4">
        <v>4500194470</v>
      </c>
    </row>
    <row r="7342" spans="1:1" x14ac:dyDescent="0.35">
      <c r="A7342" s="4">
        <v>4500194475</v>
      </c>
    </row>
    <row r="7343" spans="1:1" x14ac:dyDescent="0.35">
      <c r="A7343" s="4">
        <v>4500194481</v>
      </c>
    </row>
    <row r="7344" spans="1:1" x14ac:dyDescent="0.35">
      <c r="A7344" s="4">
        <v>4500194486</v>
      </c>
    </row>
    <row r="7345" spans="1:1" x14ac:dyDescent="0.35">
      <c r="A7345" s="4">
        <v>4500194491</v>
      </c>
    </row>
    <row r="7346" spans="1:1" x14ac:dyDescent="0.35">
      <c r="A7346" s="4">
        <v>4500194497</v>
      </c>
    </row>
    <row r="7347" spans="1:1" x14ac:dyDescent="0.35">
      <c r="A7347" s="4">
        <v>4500194502</v>
      </c>
    </row>
    <row r="7348" spans="1:1" x14ac:dyDescent="0.35">
      <c r="A7348" s="4">
        <v>4500194509</v>
      </c>
    </row>
    <row r="7349" spans="1:1" x14ac:dyDescent="0.35">
      <c r="A7349" s="4">
        <v>4500194523</v>
      </c>
    </row>
    <row r="7350" spans="1:1" x14ac:dyDescent="0.35">
      <c r="A7350" s="4">
        <v>4500194529</v>
      </c>
    </row>
    <row r="7351" spans="1:1" x14ac:dyDescent="0.35">
      <c r="A7351" s="4">
        <v>4500194533</v>
      </c>
    </row>
    <row r="7352" spans="1:1" x14ac:dyDescent="0.35">
      <c r="A7352" s="4">
        <v>4500194536</v>
      </c>
    </row>
    <row r="7353" spans="1:1" x14ac:dyDescent="0.35">
      <c r="A7353" s="4">
        <v>4500194538</v>
      </c>
    </row>
    <row r="7354" spans="1:1" x14ac:dyDescent="0.35">
      <c r="A7354" s="4">
        <v>4500194540</v>
      </c>
    </row>
    <row r="7355" spans="1:1" x14ac:dyDescent="0.35">
      <c r="A7355" s="4">
        <v>4500194542</v>
      </c>
    </row>
    <row r="7356" spans="1:1" x14ac:dyDescent="0.35">
      <c r="A7356" s="4">
        <v>4500194546</v>
      </c>
    </row>
    <row r="7357" spans="1:1" x14ac:dyDescent="0.35">
      <c r="A7357" s="4">
        <v>4500194549</v>
      </c>
    </row>
    <row r="7358" spans="1:1" x14ac:dyDescent="0.35">
      <c r="A7358" s="4">
        <v>4500194552</v>
      </c>
    </row>
    <row r="7359" spans="1:1" x14ac:dyDescent="0.35">
      <c r="A7359" s="4">
        <v>4500194562</v>
      </c>
    </row>
    <row r="7360" spans="1:1" x14ac:dyDescent="0.35">
      <c r="A7360" s="4">
        <v>4500194566</v>
      </c>
    </row>
    <row r="7361" spans="1:1" x14ac:dyDescent="0.35">
      <c r="A7361" s="4">
        <v>4500194569</v>
      </c>
    </row>
    <row r="7362" spans="1:1" x14ac:dyDescent="0.35">
      <c r="A7362" s="4">
        <v>4500194575</v>
      </c>
    </row>
    <row r="7363" spans="1:1" x14ac:dyDescent="0.35">
      <c r="A7363" s="4">
        <v>4500194578</v>
      </c>
    </row>
    <row r="7364" spans="1:1" x14ac:dyDescent="0.35">
      <c r="A7364" s="4">
        <v>4500194581</v>
      </c>
    </row>
    <row r="7365" spans="1:1" x14ac:dyDescent="0.35">
      <c r="A7365" s="4">
        <v>4500194584</v>
      </c>
    </row>
    <row r="7366" spans="1:1" x14ac:dyDescent="0.35">
      <c r="A7366" s="4">
        <v>4500194588</v>
      </c>
    </row>
    <row r="7367" spans="1:1" x14ac:dyDescent="0.35">
      <c r="A7367" s="4">
        <v>4500194591</v>
      </c>
    </row>
    <row r="7368" spans="1:1" x14ac:dyDescent="0.35">
      <c r="A7368" s="4">
        <v>4500194709</v>
      </c>
    </row>
    <row r="7369" spans="1:1" x14ac:dyDescent="0.35">
      <c r="A7369" s="4">
        <v>4500194715</v>
      </c>
    </row>
    <row r="7370" spans="1:1" x14ac:dyDescent="0.35">
      <c r="A7370" s="4">
        <v>4500194726</v>
      </c>
    </row>
    <row r="7371" spans="1:1" x14ac:dyDescent="0.35">
      <c r="A7371" s="4">
        <v>4500194736</v>
      </c>
    </row>
    <row r="7372" spans="1:1" x14ac:dyDescent="0.35">
      <c r="A7372" s="4">
        <v>4500194748</v>
      </c>
    </row>
    <row r="7373" spans="1:1" x14ac:dyDescent="0.35">
      <c r="A7373" s="4">
        <v>4500194759</v>
      </c>
    </row>
    <row r="7374" spans="1:1" x14ac:dyDescent="0.35">
      <c r="A7374" s="4">
        <v>4500194762</v>
      </c>
    </row>
    <row r="7375" spans="1:1" x14ac:dyDescent="0.35">
      <c r="A7375" s="4">
        <v>4500194769</v>
      </c>
    </row>
    <row r="7376" spans="1:1" x14ac:dyDescent="0.35">
      <c r="A7376" s="4">
        <v>4500194778</v>
      </c>
    </row>
    <row r="7377" spans="1:1" x14ac:dyDescent="0.35">
      <c r="A7377" s="4">
        <v>4500194781</v>
      </c>
    </row>
    <row r="7378" spans="1:1" x14ac:dyDescent="0.35">
      <c r="A7378" s="4">
        <v>4500194785</v>
      </c>
    </row>
    <row r="7379" spans="1:1" x14ac:dyDescent="0.35">
      <c r="A7379" s="4">
        <v>4500194790</v>
      </c>
    </row>
    <row r="7380" spans="1:1" x14ac:dyDescent="0.35">
      <c r="A7380" s="4">
        <v>4500194794</v>
      </c>
    </row>
    <row r="7381" spans="1:1" x14ac:dyDescent="0.35">
      <c r="A7381" s="4">
        <v>4500194800</v>
      </c>
    </row>
    <row r="7382" spans="1:1" x14ac:dyDescent="0.35">
      <c r="A7382" s="4">
        <v>4500194805</v>
      </c>
    </row>
    <row r="7383" spans="1:1" x14ac:dyDescent="0.35">
      <c r="A7383" s="4">
        <v>4500194814</v>
      </c>
    </row>
    <row r="7384" spans="1:1" x14ac:dyDescent="0.35">
      <c r="A7384" s="4">
        <v>4500194823</v>
      </c>
    </row>
    <row r="7385" spans="1:1" x14ac:dyDescent="0.35">
      <c r="A7385" s="4">
        <v>4500194828</v>
      </c>
    </row>
    <row r="7386" spans="1:1" x14ac:dyDescent="0.35">
      <c r="A7386" s="4">
        <v>4500194829</v>
      </c>
    </row>
    <row r="7387" spans="1:1" x14ac:dyDescent="0.35">
      <c r="A7387" s="4">
        <v>4500194830</v>
      </c>
    </row>
    <row r="7388" spans="1:1" x14ac:dyDescent="0.35">
      <c r="A7388" s="4">
        <v>4500194831</v>
      </c>
    </row>
    <row r="7389" spans="1:1" x14ac:dyDescent="0.35">
      <c r="A7389" s="4">
        <v>4500194834</v>
      </c>
    </row>
    <row r="7390" spans="1:1" x14ac:dyDescent="0.35">
      <c r="A7390" s="4">
        <v>4500194898</v>
      </c>
    </row>
    <row r="7391" spans="1:1" x14ac:dyDescent="0.35">
      <c r="A7391" s="4">
        <v>4500194901</v>
      </c>
    </row>
    <row r="7392" spans="1:1" x14ac:dyDescent="0.35">
      <c r="A7392" s="4">
        <v>4500194907</v>
      </c>
    </row>
    <row r="7393" spans="1:1" x14ac:dyDescent="0.35">
      <c r="A7393" s="4">
        <v>4500194910</v>
      </c>
    </row>
    <row r="7394" spans="1:1" x14ac:dyDescent="0.35">
      <c r="A7394" s="4">
        <v>4500194912</v>
      </c>
    </row>
    <row r="7395" spans="1:1" x14ac:dyDescent="0.35">
      <c r="A7395" s="4">
        <v>4500194915</v>
      </c>
    </row>
    <row r="7396" spans="1:1" x14ac:dyDescent="0.35">
      <c r="A7396" s="4">
        <v>4500194918</v>
      </c>
    </row>
    <row r="7397" spans="1:1" x14ac:dyDescent="0.35">
      <c r="A7397" s="4">
        <v>4500194922</v>
      </c>
    </row>
    <row r="7398" spans="1:1" x14ac:dyDescent="0.35">
      <c r="A7398" s="4">
        <v>4500194924</v>
      </c>
    </row>
    <row r="7399" spans="1:1" x14ac:dyDescent="0.35">
      <c r="A7399" s="4">
        <v>4500194926</v>
      </c>
    </row>
    <row r="7400" spans="1:1" x14ac:dyDescent="0.35">
      <c r="A7400" s="4">
        <v>4500194929</v>
      </c>
    </row>
    <row r="7401" spans="1:1" x14ac:dyDescent="0.35">
      <c r="A7401" s="4">
        <v>4500194934</v>
      </c>
    </row>
    <row r="7402" spans="1:1" x14ac:dyDescent="0.35">
      <c r="A7402" s="4">
        <v>4500194936</v>
      </c>
    </row>
    <row r="7403" spans="1:1" x14ac:dyDescent="0.35">
      <c r="A7403" s="4">
        <v>4500194940</v>
      </c>
    </row>
    <row r="7404" spans="1:1" x14ac:dyDescent="0.35">
      <c r="A7404" s="4">
        <v>4500194941</v>
      </c>
    </row>
    <row r="7405" spans="1:1" x14ac:dyDescent="0.35">
      <c r="A7405" s="4">
        <v>4500194942</v>
      </c>
    </row>
    <row r="7406" spans="1:1" x14ac:dyDescent="0.35">
      <c r="A7406" s="4">
        <v>4500194944</v>
      </c>
    </row>
    <row r="7407" spans="1:1" x14ac:dyDescent="0.35">
      <c r="A7407" s="4">
        <v>4500194946</v>
      </c>
    </row>
    <row r="7408" spans="1:1" x14ac:dyDescent="0.35">
      <c r="A7408" s="4">
        <v>4500194955</v>
      </c>
    </row>
    <row r="7409" spans="1:1" x14ac:dyDescent="0.35">
      <c r="A7409" s="4">
        <v>4500194962</v>
      </c>
    </row>
    <row r="7410" spans="1:1" x14ac:dyDescent="0.35">
      <c r="A7410" s="4">
        <v>4500194966</v>
      </c>
    </row>
    <row r="7411" spans="1:1" x14ac:dyDescent="0.35">
      <c r="A7411" s="4">
        <v>4500194976</v>
      </c>
    </row>
    <row r="7412" spans="1:1" x14ac:dyDescent="0.35">
      <c r="A7412" s="4">
        <v>4500194980</v>
      </c>
    </row>
    <row r="7413" spans="1:1" x14ac:dyDescent="0.35">
      <c r="A7413" s="4">
        <v>4500195072</v>
      </c>
    </row>
    <row r="7414" spans="1:1" x14ac:dyDescent="0.35">
      <c r="A7414" s="4">
        <v>4500195088</v>
      </c>
    </row>
    <row r="7415" spans="1:1" x14ac:dyDescent="0.35">
      <c r="A7415" s="4">
        <v>4500195091</v>
      </c>
    </row>
    <row r="7416" spans="1:1" x14ac:dyDescent="0.35">
      <c r="A7416" s="4">
        <v>4500195095</v>
      </c>
    </row>
    <row r="7417" spans="1:1" x14ac:dyDescent="0.35">
      <c r="A7417" s="4">
        <v>4500195099</v>
      </c>
    </row>
    <row r="7418" spans="1:1" x14ac:dyDescent="0.35">
      <c r="A7418" s="4">
        <v>4500195104</v>
      </c>
    </row>
    <row r="7419" spans="1:1" x14ac:dyDescent="0.35">
      <c r="A7419" s="4">
        <v>4500195107</v>
      </c>
    </row>
    <row r="7420" spans="1:1" x14ac:dyDescent="0.35">
      <c r="A7420" s="4">
        <v>4500195111</v>
      </c>
    </row>
    <row r="7421" spans="1:1" x14ac:dyDescent="0.35">
      <c r="A7421" s="4">
        <v>4500195114</v>
      </c>
    </row>
    <row r="7422" spans="1:1" x14ac:dyDescent="0.35">
      <c r="A7422" s="4">
        <v>4500195120</v>
      </c>
    </row>
    <row r="7423" spans="1:1" x14ac:dyDescent="0.35">
      <c r="A7423" s="4">
        <v>4500195121</v>
      </c>
    </row>
    <row r="7424" spans="1:1" x14ac:dyDescent="0.35">
      <c r="A7424" s="4">
        <v>4500195125</v>
      </c>
    </row>
    <row r="7425" spans="1:1" x14ac:dyDescent="0.35">
      <c r="A7425" s="4">
        <v>4500195128</v>
      </c>
    </row>
    <row r="7426" spans="1:1" x14ac:dyDescent="0.35">
      <c r="A7426" s="4">
        <v>4500195131</v>
      </c>
    </row>
    <row r="7427" spans="1:1" x14ac:dyDescent="0.35">
      <c r="A7427" s="4">
        <v>4500195136</v>
      </c>
    </row>
    <row r="7428" spans="1:1" x14ac:dyDescent="0.35">
      <c r="A7428" s="4">
        <v>4500195144</v>
      </c>
    </row>
    <row r="7429" spans="1:1" x14ac:dyDescent="0.35">
      <c r="A7429" s="4">
        <v>4500195150</v>
      </c>
    </row>
    <row r="7430" spans="1:1" x14ac:dyDescent="0.35">
      <c r="A7430" s="4">
        <v>4500195155</v>
      </c>
    </row>
    <row r="7431" spans="1:1" x14ac:dyDescent="0.35">
      <c r="A7431" s="4">
        <v>4500195160</v>
      </c>
    </row>
    <row r="7432" spans="1:1" x14ac:dyDescent="0.35">
      <c r="A7432" s="4">
        <v>4500195164</v>
      </c>
    </row>
    <row r="7433" spans="1:1" x14ac:dyDescent="0.35">
      <c r="A7433" s="4">
        <v>4500195171</v>
      </c>
    </row>
    <row r="7434" spans="1:1" x14ac:dyDescent="0.35">
      <c r="A7434" s="4">
        <v>4500195174</v>
      </c>
    </row>
    <row r="7435" spans="1:1" x14ac:dyDescent="0.35">
      <c r="A7435" s="4">
        <v>4500195176</v>
      </c>
    </row>
    <row r="7436" spans="1:1" x14ac:dyDescent="0.35">
      <c r="A7436" s="4">
        <v>4500195179</v>
      </c>
    </row>
    <row r="7437" spans="1:1" x14ac:dyDescent="0.35">
      <c r="A7437" s="4">
        <v>4500195230</v>
      </c>
    </row>
    <row r="7438" spans="1:1" x14ac:dyDescent="0.35">
      <c r="A7438" s="4">
        <v>4500195283</v>
      </c>
    </row>
    <row r="7439" spans="1:1" x14ac:dyDescent="0.35">
      <c r="A7439" s="4">
        <v>4500195292</v>
      </c>
    </row>
    <row r="7440" spans="1:1" x14ac:dyDescent="0.35">
      <c r="A7440" s="4">
        <v>4500195300</v>
      </c>
    </row>
    <row r="7441" spans="1:1" x14ac:dyDescent="0.35">
      <c r="A7441" s="4">
        <v>4500195305</v>
      </c>
    </row>
    <row r="7442" spans="1:1" x14ac:dyDescent="0.35">
      <c r="A7442" s="4">
        <v>4500195310</v>
      </c>
    </row>
    <row r="7443" spans="1:1" x14ac:dyDescent="0.35">
      <c r="A7443" s="4">
        <v>4500195314</v>
      </c>
    </row>
    <row r="7444" spans="1:1" x14ac:dyDescent="0.35">
      <c r="A7444" s="4">
        <v>4500195318</v>
      </c>
    </row>
    <row r="7445" spans="1:1" x14ac:dyDescent="0.35">
      <c r="A7445" s="4">
        <v>4500195322</v>
      </c>
    </row>
    <row r="7446" spans="1:1" x14ac:dyDescent="0.35">
      <c r="A7446" s="4">
        <v>4500195327</v>
      </c>
    </row>
    <row r="7447" spans="1:1" x14ac:dyDescent="0.35">
      <c r="A7447" s="4">
        <v>4500195332</v>
      </c>
    </row>
    <row r="7448" spans="1:1" x14ac:dyDescent="0.35">
      <c r="A7448" s="4">
        <v>4500195335</v>
      </c>
    </row>
    <row r="7449" spans="1:1" x14ac:dyDescent="0.35">
      <c r="A7449" s="4">
        <v>4500195337</v>
      </c>
    </row>
    <row r="7450" spans="1:1" x14ac:dyDescent="0.35">
      <c r="A7450" s="4">
        <v>4500195342</v>
      </c>
    </row>
    <row r="7451" spans="1:1" x14ac:dyDescent="0.35">
      <c r="A7451" s="4">
        <v>4500195345</v>
      </c>
    </row>
    <row r="7452" spans="1:1" x14ac:dyDescent="0.35">
      <c r="A7452" s="4">
        <v>4500195349</v>
      </c>
    </row>
    <row r="7453" spans="1:1" x14ac:dyDescent="0.35">
      <c r="A7453" s="4">
        <v>4500195352</v>
      </c>
    </row>
    <row r="7454" spans="1:1" x14ac:dyDescent="0.35">
      <c r="A7454" s="4">
        <v>4500195356</v>
      </c>
    </row>
    <row r="7455" spans="1:1" x14ac:dyDescent="0.35">
      <c r="A7455" s="4">
        <v>4500195370</v>
      </c>
    </row>
    <row r="7456" spans="1:1" x14ac:dyDescent="0.35">
      <c r="A7456" s="4">
        <v>4500195375</v>
      </c>
    </row>
    <row r="7457" spans="1:1" x14ac:dyDescent="0.35">
      <c r="A7457" s="4">
        <v>4500195384</v>
      </c>
    </row>
    <row r="7458" spans="1:1" x14ac:dyDescent="0.35">
      <c r="A7458" s="4">
        <v>4500195390</v>
      </c>
    </row>
    <row r="7459" spans="1:1" x14ac:dyDescent="0.35">
      <c r="A7459" s="4">
        <v>4500195392</v>
      </c>
    </row>
    <row r="7460" spans="1:1" x14ac:dyDescent="0.35">
      <c r="A7460" s="4">
        <v>4500195397</v>
      </c>
    </row>
    <row r="7461" spans="1:1" x14ac:dyDescent="0.35">
      <c r="A7461" s="4">
        <v>4500195460</v>
      </c>
    </row>
    <row r="7462" spans="1:1" x14ac:dyDescent="0.35">
      <c r="A7462" s="4">
        <v>4500195516</v>
      </c>
    </row>
    <row r="7463" spans="1:1" x14ac:dyDescent="0.35">
      <c r="A7463" s="4">
        <v>4500195520</v>
      </c>
    </row>
    <row r="7464" spans="1:1" x14ac:dyDescent="0.35">
      <c r="A7464" s="4">
        <v>4500195524</v>
      </c>
    </row>
    <row r="7465" spans="1:1" x14ac:dyDescent="0.35">
      <c r="A7465" s="4">
        <v>4500195526</v>
      </c>
    </row>
    <row r="7466" spans="1:1" x14ac:dyDescent="0.35">
      <c r="A7466" s="4">
        <v>4500195530</v>
      </c>
    </row>
    <row r="7467" spans="1:1" x14ac:dyDescent="0.35">
      <c r="A7467" s="4">
        <v>4500195535</v>
      </c>
    </row>
    <row r="7468" spans="1:1" x14ac:dyDescent="0.35">
      <c r="A7468" s="4">
        <v>4500195537</v>
      </c>
    </row>
    <row r="7469" spans="1:1" x14ac:dyDescent="0.35">
      <c r="A7469" s="4">
        <v>4500195541</v>
      </c>
    </row>
    <row r="7470" spans="1:1" x14ac:dyDescent="0.35">
      <c r="A7470" s="4">
        <v>4500195545</v>
      </c>
    </row>
    <row r="7471" spans="1:1" x14ac:dyDescent="0.35">
      <c r="A7471" s="4">
        <v>4500195548</v>
      </c>
    </row>
    <row r="7472" spans="1:1" x14ac:dyDescent="0.35">
      <c r="A7472" s="4">
        <v>4500195551</v>
      </c>
    </row>
    <row r="7473" spans="1:1" x14ac:dyDescent="0.35">
      <c r="A7473" s="4">
        <v>4500195558</v>
      </c>
    </row>
    <row r="7474" spans="1:1" x14ac:dyDescent="0.35">
      <c r="A7474" s="4">
        <v>4500195573</v>
      </c>
    </row>
    <row r="7475" spans="1:1" x14ac:dyDescent="0.35">
      <c r="A7475" s="4">
        <v>4500195577</v>
      </c>
    </row>
    <row r="7476" spans="1:1" x14ac:dyDescent="0.35">
      <c r="A7476" s="4">
        <v>4500195582</v>
      </c>
    </row>
    <row r="7477" spans="1:1" x14ac:dyDescent="0.35">
      <c r="A7477" s="4">
        <v>4500195584</v>
      </c>
    </row>
    <row r="7478" spans="1:1" x14ac:dyDescent="0.35">
      <c r="A7478" s="4">
        <v>4500195643</v>
      </c>
    </row>
    <row r="7479" spans="1:1" x14ac:dyDescent="0.35">
      <c r="A7479" s="4">
        <v>4500195696</v>
      </c>
    </row>
    <row r="7480" spans="1:1" x14ac:dyDescent="0.35">
      <c r="A7480" s="4">
        <v>4500195699</v>
      </c>
    </row>
    <row r="7481" spans="1:1" x14ac:dyDescent="0.35">
      <c r="A7481" s="4">
        <v>4500195703</v>
      </c>
    </row>
    <row r="7482" spans="1:1" x14ac:dyDescent="0.35">
      <c r="A7482" s="4">
        <v>4500195707</v>
      </c>
    </row>
    <row r="7483" spans="1:1" x14ac:dyDescent="0.35">
      <c r="A7483" s="4">
        <v>4500195713</v>
      </c>
    </row>
    <row r="7484" spans="1:1" x14ac:dyDescent="0.35">
      <c r="A7484" s="4">
        <v>4500195719</v>
      </c>
    </row>
    <row r="7485" spans="1:1" x14ac:dyDescent="0.35">
      <c r="A7485" s="4">
        <v>4500195731</v>
      </c>
    </row>
    <row r="7486" spans="1:1" x14ac:dyDescent="0.35">
      <c r="A7486" s="4">
        <v>4500195736</v>
      </c>
    </row>
    <row r="7487" spans="1:1" x14ac:dyDescent="0.35">
      <c r="A7487" s="4">
        <v>4500195742</v>
      </c>
    </row>
    <row r="7488" spans="1:1" x14ac:dyDescent="0.35">
      <c r="A7488" s="4">
        <v>4500195747</v>
      </c>
    </row>
    <row r="7489" spans="1:1" x14ac:dyDescent="0.35">
      <c r="A7489" s="4">
        <v>4500195750</v>
      </c>
    </row>
    <row r="7490" spans="1:1" x14ac:dyDescent="0.35">
      <c r="A7490" s="4">
        <v>4500195769</v>
      </c>
    </row>
    <row r="7491" spans="1:1" x14ac:dyDescent="0.35">
      <c r="A7491" s="4">
        <v>4500195775</v>
      </c>
    </row>
    <row r="7492" spans="1:1" x14ac:dyDescent="0.35">
      <c r="A7492" s="4">
        <v>4500195779</v>
      </c>
    </row>
    <row r="7493" spans="1:1" x14ac:dyDescent="0.35">
      <c r="A7493" s="4">
        <v>4500195785</v>
      </c>
    </row>
    <row r="7494" spans="1:1" x14ac:dyDescent="0.35">
      <c r="A7494" s="4">
        <v>4500195789</v>
      </c>
    </row>
    <row r="7495" spans="1:1" x14ac:dyDescent="0.35">
      <c r="A7495" s="4">
        <v>4500195795</v>
      </c>
    </row>
    <row r="7496" spans="1:1" x14ac:dyDescent="0.35">
      <c r="A7496" s="4">
        <v>4500195807</v>
      </c>
    </row>
    <row r="7497" spans="1:1" x14ac:dyDescent="0.35">
      <c r="A7497" s="4">
        <v>4500195811</v>
      </c>
    </row>
    <row r="7498" spans="1:1" x14ac:dyDescent="0.35">
      <c r="A7498" s="4">
        <v>4500195818</v>
      </c>
    </row>
    <row r="7499" spans="1:1" x14ac:dyDescent="0.35">
      <c r="A7499" s="4">
        <v>4500195825</v>
      </c>
    </row>
    <row r="7500" spans="1:1" x14ac:dyDescent="0.35">
      <c r="A7500" s="4">
        <v>4500195831</v>
      </c>
    </row>
    <row r="7501" spans="1:1" x14ac:dyDescent="0.35">
      <c r="A7501" s="4">
        <v>4500195834</v>
      </c>
    </row>
    <row r="7502" spans="1:1" x14ac:dyDescent="0.35">
      <c r="A7502" s="4">
        <v>4500195836</v>
      </c>
    </row>
    <row r="7503" spans="1:1" x14ac:dyDescent="0.35">
      <c r="A7503" s="4">
        <v>4500195925</v>
      </c>
    </row>
    <row r="7504" spans="1:1" x14ac:dyDescent="0.35">
      <c r="A7504" s="4">
        <v>4500195932</v>
      </c>
    </row>
    <row r="7505" spans="1:1" x14ac:dyDescent="0.35">
      <c r="A7505" s="4">
        <v>4500195941</v>
      </c>
    </row>
    <row r="7506" spans="1:1" x14ac:dyDescent="0.35">
      <c r="A7506" s="4">
        <v>4500195946</v>
      </c>
    </row>
    <row r="7507" spans="1:1" x14ac:dyDescent="0.35">
      <c r="A7507" s="4">
        <v>4500195950</v>
      </c>
    </row>
    <row r="7508" spans="1:1" x14ac:dyDescent="0.35">
      <c r="A7508" s="4">
        <v>4500195955</v>
      </c>
    </row>
    <row r="7509" spans="1:1" x14ac:dyDescent="0.35">
      <c r="A7509" s="4">
        <v>4500195962</v>
      </c>
    </row>
    <row r="7510" spans="1:1" x14ac:dyDescent="0.35">
      <c r="A7510" s="4">
        <v>4500195969</v>
      </c>
    </row>
    <row r="7511" spans="1:1" x14ac:dyDescent="0.35">
      <c r="A7511" s="4">
        <v>4500195975</v>
      </c>
    </row>
    <row r="7512" spans="1:1" x14ac:dyDescent="0.35">
      <c r="A7512" s="4">
        <v>4500195993</v>
      </c>
    </row>
    <row r="7513" spans="1:1" x14ac:dyDescent="0.35">
      <c r="A7513" s="4">
        <v>4500196002</v>
      </c>
    </row>
    <row r="7514" spans="1:1" x14ac:dyDescent="0.35">
      <c r="A7514" s="4">
        <v>4500196007</v>
      </c>
    </row>
    <row r="7515" spans="1:1" x14ac:dyDescent="0.35">
      <c r="A7515" s="4">
        <v>4500196015</v>
      </c>
    </row>
    <row r="7516" spans="1:1" x14ac:dyDescent="0.35">
      <c r="A7516" s="4">
        <v>4500196037</v>
      </c>
    </row>
    <row r="7517" spans="1:1" x14ac:dyDescent="0.35">
      <c r="A7517" s="4">
        <v>4500196043</v>
      </c>
    </row>
    <row r="7518" spans="1:1" x14ac:dyDescent="0.35">
      <c r="A7518" s="4">
        <v>4500196045</v>
      </c>
    </row>
    <row r="7519" spans="1:1" x14ac:dyDescent="0.35">
      <c r="A7519" s="4">
        <v>4500196046</v>
      </c>
    </row>
    <row r="7520" spans="1:1" x14ac:dyDescent="0.35">
      <c r="A7520" s="4">
        <v>4500196048</v>
      </c>
    </row>
    <row r="7521" spans="1:1" x14ac:dyDescent="0.35">
      <c r="A7521" s="4">
        <v>4500196049</v>
      </c>
    </row>
    <row r="7522" spans="1:1" x14ac:dyDescent="0.35">
      <c r="A7522" s="4">
        <v>4500196050</v>
      </c>
    </row>
    <row r="7523" spans="1:1" x14ac:dyDescent="0.35">
      <c r="A7523" s="4">
        <v>4500196052</v>
      </c>
    </row>
    <row r="7524" spans="1:1" x14ac:dyDescent="0.35">
      <c r="A7524" s="4">
        <v>4500196059</v>
      </c>
    </row>
    <row r="7525" spans="1:1" x14ac:dyDescent="0.35">
      <c r="A7525" s="4">
        <v>4500196061</v>
      </c>
    </row>
    <row r="7526" spans="1:1" x14ac:dyDescent="0.35">
      <c r="A7526" s="4">
        <v>4500196062</v>
      </c>
    </row>
    <row r="7527" spans="1:1" x14ac:dyDescent="0.35">
      <c r="A7527" s="4">
        <v>4500196118</v>
      </c>
    </row>
    <row r="7528" spans="1:1" x14ac:dyDescent="0.35">
      <c r="A7528" s="4">
        <v>4500196122</v>
      </c>
    </row>
    <row r="7529" spans="1:1" x14ac:dyDescent="0.35">
      <c r="A7529" s="4">
        <v>4500196123</v>
      </c>
    </row>
    <row r="7530" spans="1:1" x14ac:dyDescent="0.35">
      <c r="A7530" s="4">
        <v>4500196126</v>
      </c>
    </row>
    <row r="7531" spans="1:1" x14ac:dyDescent="0.35">
      <c r="A7531" s="4">
        <v>4500196128</v>
      </c>
    </row>
    <row r="7532" spans="1:1" x14ac:dyDescent="0.35">
      <c r="A7532" s="4">
        <v>4500196130</v>
      </c>
    </row>
    <row r="7533" spans="1:1" x14ac:dyDescent="0.35">
      <c r="A7533" s="4">
        <v>4500196132</v>
      </c>
    </row>
    <row r="7534" spans="1:1" x14ac:dyDescent="0.35">
      <c r="A7534" s="4">
        <v>4500196134</v>
      </c>
    </row>
    <row r="7535" spans="1:1" x14ac:dyDescent="0.35">
      <c r="A7535" s="4">
        <v>4500196139</v>
      </c>
    </row>
    <row r="7536" spans="1:1" x14ac:dyDescent="0.35">
      <c r="A7536" s="4">
        <v>4500196147</v>
      </c>
    </row>
    <row r="7537" spans="1:1" x14ac:dyDescent="0.35">
      <c r="A7537" s="4">
        <v>4500196154</v>
      </c>
    </row>
    <row r="7538" spans="1:1" x14ac:dyDescent="0.35">
      <c r="A7538" s="4">
        <v>4500196161</v>
      </c>
    </row>
    <row r="7539" spans="1:1" x14ac:dyDescent="0.35">
      <c r="A7539" s="4">
        <v>4500196169</v>
      </c>
    </row>
    <row r="7540" spans="1:1" x14ac:dyDescent="0.35">
      <c r="A7540" s="4">
        <v>4500196175</v>
      </c>
    </row>
    <row r="7541" spans="1:1" x14ac:dyDescent="0.35">
      <c r="A7541" s="4">
        <v>4500196182</v>
      </c>
    </row>
    <row r="7542" spans="1:1" x14ac:dyDescent="0.35">
      <c r="A7542" s="4">
        <v>4500196185</v>
      </c>
    </row>
    <row r="7543" spans="1:1" x14ac:dyDescent="0.35">
      <c r="A7543" s="4">
        <v>4500196191</v>
      </c>
    </row>
    <row r="7544" spans="1:1" x14ac:dyDescent="0.35">
      <c r="A7544" s="4">
        <v>4500196203</v>
      </c>
    </row>
    <row r="7545" spans="1:1" x14ac:dyDescent="0.35">
      <c r="A7545" s="4">
        <v>4500196212</v>
      </c>
    </row>
    <row r="7546" spans="1:1" x14ac:dyDescent="0.35">
      <c r="A7546" s="4">
        <v>4500196214</v>
      </c>
    </row>
    <row r="7547" spans="1:1" x14ac:dyDescent="0.35">
      <c r="A7547" s="4">
        <v>4500196217</v>
      </c>
    </row>
    <row r="7548" spans="1:1" x14ac:dyDescent="0.35">
      <c r="A7548" s="4">
        <v>4500196222</v>
      </c>
    </row>
    <row r="7549" spans="1:1" x14ac:dyDescent="0.35">
      <c r="A7549" s="4">
        <v>4500196224</v>
      </c>
    </row>
    <row r="7550" spans="1:1" x14ac:dyDescent="0.35">
      <c r="A7550" s="4">
        <v>4500196226</v>
      </c>
    </row>
    <row r="7551" spans="1:1" x14ac:dyDescent="0.35">
      <c r="A7551" s="4">
        <v>4500196228</v>
      </c>
    </row>
    <row r="7552" spans="1:1" x14ac:dyDescent="0.35">
      <c r="A7552" s="4">
        <v>4500196230</v>
      </c>
    </row>
    <row r="7553" spans="1:1" x14ac:dyDescent="0.35">
      <c r="A7553" s="4">
        <v>4500196332</v>
      </c>
    </row>
    <row r="7554" spans="1:1" x14ac:dyDescent="0.35">
      <c r="A7554" s="4">
        <v>4500196336</v>
      </c>
    </row>
    <row r="7555" spans="1:1" x14ac:dyDescent="0.35">
      <c r="A7555" s="4">
        <v>4500196344</v>
      </c>
    </row>
    <row r="7556" spans="1:1" x14ac:dyDescent="0.35">
      <c r="A7556" s="4">
        <v>4500196354</v>
      </c>
    </row>
    <row r="7557" spans="1:1" x14ac:dyDescent="0.35">
      <c r="A7557" s="4">
        <v>4500196361</v>
      </c>
    </row>
    <row r="7558" spans="1:1" x14ac:dyDescent="0.35">
      <c r="A7558" s="4">
        <v>4500196365</v>
      </c>
    </row>
    <row r="7559" spans="1:1" x14ac:dyDescent="0.35">
      <c r="A7559" s="4">
        <v>4500196379</v>
      </c>
    </row>
    <row r="7560" spans="1:1" x14ac:dyDescent="0.35">
      <c r="A7560" s="4">
        <v>4500196386</v>
      </c>
    </row>
    <row r="7561" spans="1:1" x14ac:dyDescent="0.35">
      <c r="A7561" s="4">
        <v>4500196404</v>
      </c>
    </row>
    <row r="7562" spans="1:1" x14ac:dyDescent="0.35">
      <c r="A7562" s="4">
        <v>4500196407</v>
      </c>
    </row>
    <row r="7563" spans="1:1" x14ac:dyDescent="0.35">
      <c r="A7563" s="4">
        <v>4500196410</v>
      </c>
    </row>
    <row r="7564" spans="1:1" x14ac:dyDescent="0.35">
      <c r="A7564" s="4">
        <v>4500196411</v>
      </c>
    </row>
    <row r="7565" spans="1:1" x14ac:dyDescent="0.35">
      <c r="A7565" s="4">
        <v>4500196415</v>
      </c>
    </row>
    <row r="7566" spans="1:1" x14ac:dyDescent="0.35">
      <c r="A7566" s="4">
        <v>4500196419</v>
      </c>
    </row>
    <row r="7567" spans="1:1" x14ac:dyDescent="0.35">
      <c r="A7567" s="4">
        <v>4500196421</v>
      </c>
    </row>
    <row r="7568" spans="1:1" x14ac:dyDescent="0.35">
      <c r="A7568" s="4">
        <v>4500196423</v>
      </c>
    </row>
    <row r="7569" spans="1:1" x14ac:dyDescent="0.35">
      <c r="A7569" s="4">
        <v>4500196426</v>
      </c>
    </row>
    <row r="7570" spans="1:1" x14ac:dyDescent="0.35">
      <c r="A7570" s="4">
        <v>4500196432</v>
      </c>
    </row>
    <row r="7571" spans="1:1" x14ac:dyDescent="0.35">
      <c r="A7571" s="4">
        <v>4500196435</v>
      </c>
    </row>
    <row r="7572" spans="1:1" x14ac:dyDescent="0.35">
      <c r="A7572" s="4">
        <v>4500196437</v>
      </c>
    </row>
    <row r="7573" spans="1:1" x14ac:dyDescent="0.35">
      <c r="A7573" s="4">
        <v>4500196440</v>
      </c>
    </row>
    <row r="7574" spans="1:1" x14ac:dyDescent="0.35">
      <c r="A7574" s="4">
        <v>4500196444</v>
      </c>
    </row>
    <row r="7575" spans="1:1" x14ac:dyDescent="0.35">
      <c r="A7575" s="4">
        <v>4500196448</v>
      </c>
    </row>
    <row r="7576" spans="1:1" x14ac:dyDescent="0.35">
      <c r="A7576" s="4">
        <v>4500196450</v>
      </c>
    </row>
    <row r="7577" spans="1:1" x14ac:dyDescent="0.35">
      <c r="A7577" s="4">
        <v>4500196451</v>
      </c>
    </row>
    <row r="7578" spans="1:1" x14ac:dyDescent="0.35">
      <c r="A7578" s="4">
        <v>4500196453</v>
      </c>
    </row>
    <row r="7579" spans="1:1" x14ac:dyDescent="0.35">
      <c r="A7579" s="4">
        <v>4500196455</v>
      </c>
    </row>
    <row r="7580" spans="1:1" x14ac:dyDescent="0.35">
      <c r="A7580" s="4">
        <v>4500196457</v>
      </c>
    </row>
    <row r="7581" spans="1:1" x14ac:dyDescent="0.35">
      <c r="A7581" s="4">
        <v>4500196458</v>
      </c>
    </row>
    <row r="7582" spans="1:1" x14ac:dyDescent="0.35">
      <c r="A7582" s="4">
        <v>4500196460</v>
      </c>
    </row>
    <row r="7583" spans="1:1" x14ac:dyDescent="0.35">
      <c r="A7583" s="4">
        <v>4500196468</v>
      </c>
    </row>
    <row r="7584" spans="1:1" x14ac:dyDescent="0.35">
      <c r="A7584" s="4">
        <v>4500196469</v>
      </c>
    </row>
    <row r="7585" spans="1:1" x14ac:dyDescent="0.35">
      <c r="A7585" s="4">
        <v>4500196470</v>
      </c>
    </row>
    <row r="7586" spans="1:1" x14ac:dyDescent="0.35">
      <c r="A7586" s="4">
        <v>4500196496</v>
      </c>
    </row>
    <row r="7587" spans="1:1" x14ac:dyDescent="0.35">
      <c r="A7587" s="4">
        <v>4500196571</v>
      </c>
    </row>
    <row r="7588" spans="1:1" x14ac:dyDescent="0.35">
      <c r="A7588" s="4">
        <v>4500196577</v>
      </c>
    </row>
    <row r="7589" spans="1:1" x14ac:dyDescent="0.35">
      <c r="A7589" s="4">
        <v>4500196582</v>
      </c>
    </row>
    <row r="7590" spans="1:1" x14ac:dyDescent="0.35">
      <c r="A7590" s="4">
        <v>4500196588</v>
      </c>
    </row>
    <row r="7591" spans="1:1" x14ac:dyDescent="0.35">
      <c r="A7591" s="4">
        <v>4500196596</v>
      </c>
    </row>
    <row r="7592" spans="1:1" x14ac:dyDescent="0.35">
      <c r="A7592" s="4">
        <v>4500196602</v>
      </c>
    </row>
    <row r="7593" spans="1:1" x14ac:dyDescent="0.35">
      <c r="A7593" s="4">
        <v>4500196607</v>
      </c>
    </row>
    <row r="7594" spans="1:1" x14ac:dyDescent="0.35">
      <c r="A7594" s="4">
        <v>4500196609</v>
      </c>
    </row>
    <row r="7595" spans="1:1" x14ac:dyDescent="0.35">
      <c r="A7595" s="4">
        <v>4500196614</v>
      </c>
    </row>
    <row r="7596" spans="1:1" x14ac:dyDescent="0.35">
      <c r="A7596" s="4">
        <v>4500196617</v>
      </c>
    </row>
    <row r="7597" spans="1:1" x14ac:dyDescent="0.35">
      <c r="A7597" s="4">
        <v>4500196623</v>
      </c>
    </row>
    <row r="7598" spans="1:1" x14ac:dyDescent="0.35">
      <c r="A7598" s="4">
        <v>4500196629</v>
      </c>
    </row>
    <row r="7599" spans="1:1" x14ac:dyDescent="0.35">
      <c r="A7599" s="4">
        <v>4500196634</v>
      </c>
    </row>
    <row r="7600" spans="1:1" x14ac:dyDescent="0.35">
      <c r="A7600" s="4">
        <v>4500196638</v>
      </c>
    </row>
    <row r="7601" spans="1:1" x14ac:dyDescent="0.35">
      <c r="A7601" s="4">
        <v>4500196642</v>
      </c>
    </row>
    <row r="7602" spans="1:1" x14ac:dyDescent="0.35">
      <c r="A7602" s="4">
        <v>4500196647</v>
      </c>
    </row>
    <row r="7603" spans="1:1" x14ac:dyDescent="0.35">
      <c r="A7603" s="4">
        <v>4500196650</v>
      </c>
    </row>
    <row r="7604" spans="1:1" x14ac:dyDescent="0.35">
      <c r="A7604" s="4">
        <v>4500196655</v>
      </c>
    </row>
    <row r="7605" spans="1:1" x14ac:dyDescent="0.35">
      <c r="A7605" s="4">
        <v>4500196658</v>
      </c>
    </row>
    <row r="7606" spans="1:1" x14ac:dyDescent="0.35">
      <c r="A7606" s="4">
        <v>4500196661</v>
      </c>
    </row>
    <row r="7607" spans="1:1" x14ac:dyDescent="0.35">
      <c r="A7607" s="4">
        <v>4500196663</v>
      </c>
    </row>
    <row r="7608" spans="1:1" x14ac:dyDescent="0.35">
      <c r="A7608" s="4">
        <v>4500196681</v>
      </c>
    </row>
    <row r="7609" spans="1:1" x14ac:dyDescent="0.35">
      <c r="A7609" s="4">
        <v>4500196682</v>
      </c>
    </row>
    <row r="7610" spans="1:1" x14ac:dyDescent="0.35">
      <c r="A7610" s="4">
        <v>4500196748</v>
      </c>
    </row>
    <row r="7611" spans="1:1" x14ac:dyDescent="0.35">
      <c r="A7611" s="4">
        <v>4500196754</v>
      </c>
    </row>
    <row r="7612" spans="1:1" x14ac:dyDescent="0.35">
      <c r="A7612" s="4">
        <v>4500196759</v>
      </c>
    </row>
    <row r="7613" spans="1:1" x14ac:dyDescent="0.35">
      <c r="A7613" s="4">
        <v>4500196770</v>
      </c>
    </row>
    <row r="7614" spans="1:1" x14ac:dyDescent="0.35">
      <c r="A7614" s="4">
        <v>4500196779</v>
      </c>
    </row>
    <row r="7615" spans="1:1" x14ac:dyDescent="0.35">
      <c r="A7615" s="4">
        <v>4500196784</v>
      </c>
    </row>
    <row r="7616" spans="1:1" x14ac:dyDescent="0.35">
      <c r="A7616" s="4">
        <v>4500196791</v>
      </c>
    </row>
    <row r="7617" spans="1:1" x14ac:dyDescent="0.35">
      <c r="A7617" s="4">
        <v>4500196796</v>
      </c>
    </row>
    <row r="7618" spans="1:1" x14ac:dyDescent="0.35">
      <c r="A7618" s="4">
        <v>4500196807</v>
      </c>
    </row>
    <row r="7619" spans="1:1" x14ac:dyDescent="0.35">
      <c r="A7619" s="4">
        <v>4500196811</v>
      </c>
    </row>
    <row r="7620" spans="1:1" x14ac:dyDescent="0.35">
      <c r="A7620" s="4">
        <v>4500196820</v>
      </c>
    </row>
    <row r="7621" spans="1:1" x14ac:dyDescent="0.35">
      <c r="A7621" s="4">
        <v>4500196825</v>
      </c>
    </row>
    <row r="7622" spans="1:1" x14ac:dyDescent="0.35">
      <c r="A7622" s="4">
        <v>4500196828</v>
      </c>
    </row>
    <row r="7623" spans="1:1" x14ac:dyDescent="0.35">
      <c r="A7623" s="4">
        <v>4500196832</v>
      </c>
    </row>
    <row r="7624" spans="1:1" x14ac:dyDescent="0.35">
      <c r="A7624" s="4">
        <v>4500196834</v>
      </c>
    </row>
    <row r="7625" spans="1:1" x14ac:dyDescent="0.35">
      <c r="A7625" s="4">
        <v>4500196839</v>
      </c>
    </row>
    <row r="7626" spans="1:1" x14ac:dyDescent="0.35">
      <c r="A7626" s="4">
        <v>4500196842</v>
      </c>
    </row>
    <row r="7627" spans="1:1" x14ac:dyDescent="0.35">
      <c r="A7627" s="4">
        <v>4500196847</v>
      </c>
    </row>
    <row r="7628" spans="1:1" x14ac:dyDescent="0.35">
      <c r="A7628" s="4">
        <v>4500196851</v>
      </c>
    </row>
    <row r="7629" spans="1:1" x14ac:dyDescent="0.35">
      <c r="A7629" s="4">
        <v>4500196853</v>
      </c>
    </row>
    <row r="7630" spans="1:1" x14ac:dyDescent="0.35">
      <c r="A7630" s="4">
        <v>4500196855</v>
      </c>
    </row>
    <row r="7631" spans="1:1" x14ac:dyDescent="0.35">
      <c r="A7631" s="4">
        <v>4500196858</v>
      </c>
    </row>
    <row r="7632" spans="1:1" x14ac:dyDescent="0.35">
      <c r="A7632" s="4">
        <v>4500196927</v>
      </c>
    </row>
    <row r="7633" spans="1:1" x14ac:dyDescent="0.35">
      <c r="A7633" s="4">
        <v>4500196931</v>
      </c>
    </row>
    <row r="7634" spans="1:1" x14ac:dyDescent="0.35">
      <c r="A7634" s="4">
        <v>4500196933</v>
      </c>
    </row>
    <row r="7635" spans="1:1" x14ac:dyDescent="0.35">
      <c r="A7635" s="4">
        <v>4500196935</v>
      </c>
    </row>
    <row r="7636" spans="1:1" x14ac:dyDescent="0.35">
      <c r="A7636" s="4">
        <v>4500196937</v>
      </c>
    </row>
    <row r="7637" spans="1:1" x14ac:dyDescent="0.35">
      <c r="A7637" s="4">
        <v>4500196939</v>
      </c>
    </row>
    <row r="7638" spans="1:1" x14ac:dyDescent="0.35">
      <c r="A7638" s="4">
        <v>4500196943</v>
      </c>
    </row>
    <row r="7639" spans="1:1" x14ac:dyDescent="0.35">
      <c r="A7639" s="4">
        <v>4500196960</v>
      </c>
    </row>
    <row r="7640" spans="1:1" x14ac:dyDescent="0.35">
      <c r="A7640" s="4">
        <v>4500196973</v>
      </c>
    </row>
    <row r="7641" spans="1:1" x14ac:dyDescent="0.35">
      <c r="A7641" s="4">
        <v>4500196995</v>
      </c>
    </row>
    <row r="7642" spans="1:1" x14ac:dyDescent="0.35">
      <c r="A7642" s="4">
        <v>4500197003</v>
      </c>
    </row>
    <row r="7643" spans="1:1" x14ac:dyDescent="0.35">
      <c r="A7643" s="4">
        <v>4500197020</v>
      </c>
    </row>
    <row r="7644" spans="1:1" x14ac:dyDescent="0.35">
      <c r="A7644" s="4">
        <v>4500197023</v>
      </c>
    </row>
    <row r="7645" spans="1:1" x14ac:dyDescent="0.35">
      <c r="A7645" s="4">
        <v>4500197025</v>
      </c>
    </row>
    <row r="7646" spans="1:1" x14ac:dyDescent="0.35">
      <c r="A7646" s="4">
        <v>4500197028</v>
      </c>
    </row>
    <row r="7647" spans="1:1" x14ac:dyDescent="0.35">
      <c r="A7647" s="4">
        <v>4500197030</v>
      </c>
    </row>
    <row r="7648" spans="1:1" x14ac:dyDescent="0.35">
      <c r="A7648" s="4">
        <v>4500197032</v>
      </c>
    </row>
    <row r="7649" spans="1:1" x14ac:dyDescent="0.35">
      <c r="A7649" s="4">
        <v>4500197034</v>
      </c>
    </row>
    <row r="7650" spans="1:1" x14ac:dyDescent="0.35">
      <c r="A7650" s="4">
        <v>4500197036</v>
      </c>
    </row>
    <row r="7651" spans="1:1" x14ac:dyDescent="0.35">
      <c r="A7651" s="4">
        <v>4500197038</v>
      </c>
    </row>
    <row r="7652" spans="1:1" x14ac:dyDescent="0.35">
      <c r="A7652" s="4">
        <v>4500197039</v>
      </c>
    </row>
    <row r="7653" spans="1:1" x14ac:dyDescent="0.35">
      <c r="A7653" s="4">
        <v>4500197040</v>
      </c>
    </row>
    <row r="7654" spans="1:1" x14ac:dyDescent="0.35">
      <c r="A7654" s="4">
        <v>4500197042</v>
      </c>
    </row>
    <row r="7655" spans="1:1" x14ac:dyDescent="0.35">
      <c r="A7655" s="4">
        <v>4500197044</v>
      </c>
    </row>
    <row r="7656" spans="1:1" x14ac:dyDescent="0.35">
      <c r="A7656" s="4">
        <v>4500197045</v>
      </c>
    </row>
    <row r="7657" spans="1:1" x14ac:dyDescent="0.35">
      <c r="A7657" s="4">
        <v>4500197092</v>
      </c>
    </row>
    <row r="7658" spans="1:1" x14ac:dyDescent="0.35">
      <c r="A7658" s="4">
        <v>4500197093</v>
      </c>
    </row>
    <row r="7659" spans="1:1" x14ac:dyDescent="0.35">
      <c r="A7659" s="4">
        <v>4500197094</v>
      </c>
    </row>
    <row r="7660" spans="1:1" x14ac:dyDescent="0.35">
      <c r="A7660" s="4">
        <v>4500197095</v>
      </c>
    </row>
    <row r="7661" spans="1:1" x14ac:dyDescent="0.35">
      <c r="A7661" s="4">
        <v>4500197127</v>
      </c>
    </row>
    <row r="7662" spans="1:1" x14ac:dyDescent="0.35">
      <c r="A7662" s="4">
        <v>4500197131</v>
      </c>
    </row>
    <row r="7663" spans="1:1" x14ac:dyDescent="0.35">
      <c r="A7663" s="4">
        <v>4500197135</v>
      </c>
    </row>
    <row r="7664" spans="1:1" x14ac:dyDescent="0.35">
      <c r="A7664" s="4">
        <v>4500197139</v>
      </c>
    </row>
    <row r="7665" spans="1:1" x14ac:dyDescent="0.35">
      <c r="A7665" s="4">
        <v>4500197148</v>
      </c>
    </row>
    <row r="7666" spans="1:1" x14ac:dyDescent="0.35">
      <c r="A7666" s="4">
        <v>4500197154</v>
      </c>
    </row>
    <row r="7667" spans="1:1" x14ac:dyDescent="0.35">
      <c r="A7667" s="4">
        <v>4500197159</v>
      </c>
    </row>
    <row r="7668" spans="1:1" x14ac:dyDescent="0.35">
      <c r="A7668" s="4">
        <v>4500197169</v>
      </c>
    </row>
    <row r="7669" spans="1:1" x14ac:dyDescent="0.35">
      <c r="A7669" s="4">
        <v>4500197172</v>
      </c>
    </row>
    <row r="7670" spans="1:1" x14ac:dyDescent="0.35">
      <c r="A7670" s="4">
        <v>4500197177</v>
      </c>
    </row>
    <row r="7671" spans="1:1" x14ac:dyDescent="0.35">
      <c r="A7671" s="4">
        <v>4500197183</v>
      </c>
    </row>
    <row r="7672" spans="1:1" x14ac:dyDescent="0.35">
      <c r="A7672" s="4">
        <v>4500197196</v>
      </c>
    </row>
    <row r="7673" spans="1:1" x14ac:dyDescent="0.35">
      <c r="A7673" s="4">
        <v>4500197201</v>
      </c>
    </row>
    <row r="7674" spans="1:1" x14ac:dyDescent="0.35">
      <c r="A7674" s="4">
        <v>4500197207</v>
      </c>
    </row>
    <row r="7675" spans="1:1" x14ac:dyDescent="0.35">
      <c r="A7675" s="4">
        <v>4500197212</v>
      </c>
    </row>
    <row r="7676" spans="1:1" x14ac:dyDescent="0.35">
      <c r="A7676" s="4">
        <v>4500197217</v>
      </c>
    </row>
    <row r="7677" spans="1:1" x14ac:dyDescent="0.35">
      <c r="A7677" s="4">
        <v>4500197227</v>
      </c>
    </row>
    <row r="7678" spans="1:1" x14ac:dyDescent="0.35">
      <c r="A7678" s="4">
        <v>4500197230</v>
      </c>
    </row>
    <row r="7679" spans="1:1" x14ac:dyDescent="0.35">
      <c r="A7679" s="4">
        <v>4500197232</v>
      </c>
    </row>
    <row r="7680" spans="1:1" x14ac:dyDescent="0.35">
      <c r="A7680" s="4">
        <v>4500197233</v>
      </c>
    </row>
    <row r="7681" spans="1:1" x14ac:dyDescent="0.35">
      <c r="A7681" s="4">
        <v>4500197234</v>
      </c>
    </row>
    <row r="7682" spans="1:1" x14ac:dyDescent="0.35">
      <c r="A7682" s="4">
        <v>4500197235</v>
      </c>
    </row>
    <row r="7683" spans="1:1" x14ac:dyDescent="0.35">
      <c r="A7683" s="4">
        <v>4500197236</v>
      </c>
    </row>
    <row r="7684" spans="1:1" x14ac:dyDescent="0.35">
      <c r="A7684" s="4">
        <v>4500197237</v>
      </c>
    </row>
    <row r="7685" spans="1:1" x14ac:dyDescent="0.35">
      <c r="A7685" s="4">
        <v>4500197238</v>
      </c>
    </row>
    <row r="7686" spans="1:1" x14ac:dyDescent="0.35">
      <c r="A7686" s="4">
        <v>4500197239</v>
      </c>
    </row>
    <row r="7687" spans="1:1" x14ac:dyDescent="0.35">
      <c r="A7687" s="4">
        <v>4500197240</v>
      </c>
    </row>
    <row r="7688" spans="1:1" x14ac:dyDescent="0.35">
      <c r="A7688" s="4">
        <v>4500197241</v>
      </c>
    </row>
    <row r="7689" spans="1:1" x14ac:dyDescent="0.35">
      <c r="A7689" s="4">
        <v>4500197242</v>
      </c>
    </row>
    <row r="7690" spans="1:1" x14ac:dyDescent="0.35">
      <c r="A7690" s="4">
        <v>4500197244</v>
      </c>
    </row>
    <row r="7691" spans="1:1" x14ac:dyDescent="0.35">
      <c r="A7691" s="4">
        <v>4500197297</v>
      </c>
    </row>
    <row r="7692" spans="1:1" x14ac:dyDescent="0.35">
      <c r="A7692" s="4">
        <v>4500197310</v>
      </c>
    </row>
    <row r="7693" spans="1:1" x14ac:dyDescent="0.35">
      <c r="A7693" s="4">
        <v>4500197313</v>
      </c>
    </row>
    <row r="7694" spans="1:1" x14ac:dyDescent="0.35">
      <c r="A7694" s="4">
        <v>4500197316</v>
      </c>
    </row>
    <row r="7695" spans="1:1" x14ac:dyDescent="0.35">
      <c r="A7695" s="4">
        <v>4500197319</v>
      </c>
    </row>
    <row r="7696" spans="1:1" x14ac:dyDescent="0.35">
      <c r="A7696" s="4">
        <v>4500197321</v>
      </c>
    </row>
    <row r="7697" spans="1:1" x14ac:dyDescent="0.35">
      <c r="A7697" s="4">
        <v>4500197327</v>
      </c>
    </row>
    <row r="7698" spans="1:1" x14ac:dyDescent="0.35">
      <c r="A7698" s="4">
        <v>4500197330</v>
      </c>
    </row>
    <row r="7699" spans="1:1" x14ac:dyDescent="0.35">
      <c r="A7699" s="4">
        <v>4500197333</v>
      </c>
    </row>
    <row r="7700" spans="1:1" x14ac:dyDescent="0.35">
      <c r="A7700" s="4">
        <v>4500197341</v>
      </c>
    </row>
    <row r="7701" spans="1:1" x14ac:dyDescent="0.35">
      <c r="A7701" s="4">
        <v>4500197348</v>
      </c>
    </row>
    <row r="7702" spans="1:1" x14ac:dyDescent="0.35">
      <c r="A7702" s="4">
        <v>4500197361</v>
      </c>
    </row>
    <row r="7703" spans="1:1" x14ac:dyDescent="0.35">
      <c r="A7703" s="4">
        <v>4500197368</v>
      </c>
    </row>
    <row r="7704" spans="1:1" x14ac:dyDescent="0.35">
      <c r="A7704" s="4">
        <v>4500197380</v>
      </c>
    </row>
    <row r="7705" spans="1:1" x14ac:dyDescent="0.35">
      <c r="A7705" s="4">
        <v>4500197385</v>
      </c>
    </row>
    <row r="7706" spans="1:1" x14ac:dyDescent="0.35">
      <c r="A7706" s="4">
        <v>4500197393</v>
      </c>
    </row>
    <row r="7707" spans="1:1" x14ac:dyDescent="0.35">
      <c r="A7707" s="4">
        <v>4500197400</v>
      </c>
    </row>
    <row r="7708" spans="1:1" x14ac:dyDescent="0.35">
      <c r="A7708" s="4">
        <v>4500197404</v>
      </c>
    </row>
    <row r="7709" spans="1:1" x14ac:dyDescent="0.35">
      <c r="A7709" s="4">
        <v>4500197410</v>
      </c>
    </row>
    <row r="7710" spans="1:1" x14ac:dyDescent="0.35">
      <c r="A7710" s="4">
        <v>4500197413</v>
      </c>
    </row>
    <row r="7711" spans="1:1" x14ac:dyDescent="0.35">
      <c r="A7711" s="4">
        <v>4500197417</v>
      </c>
    </row>
    <row r="7712" spans="1:1" x14ac:dyDescent="0.35">
      <c r="A7712" s="4">
        <v>4500197421</v>
      </c>
    </row>
    <row r="7713" spans="1:1" x14ac:dyDescent="0.35">
      <c r="A7713" s="4">
        <v>4500197424</v>
      </c>
    </row>
    <row r="7714" spans="1:1" x14ac:dyDescent="0.35">
      <c r="A7714" s="4">
        <v>4500197427</v>
      </c>
    </row>
    <row r="7715" spans="1:1" x14ac:dyDescent="0.35">
      <c r="A7715" s="4">
        <v>4500197430</v>
      </c>
    </row>
    <row r="7716" spans="1:1" x14ac:dyDescent="0.35">
      <c r="A7716" s="4">
        <v>4500197435</v>
      </c>
    </row>
    <row r="7717" spans="1:1" x14ac:dyDescent="0.35">
      <c r="A7717" s="4">
        <v>4500197441</v>
      </c>
    </row>
    <row r="7718" spans="1:1" x14ac:dyDescent="0.35">
      <c r="A7718" s="4">
        <v>4500197446</v>
      </c>
    </row>
    <row r="7719" spans="1:1" x14ac:dyDescent="0.35">
      <c r="A7719" s="4">
        <v>4500197450</v>
      </c>
    </row>
    <row r="7720" spans="1:1" x14ac:dyDescent="0.35">
      <c r="A7720" s="4">
        <v>4500197453</v>
      </c>
    </row>
    <row r="7721" spans="1:1" x14ac:dyDescent="0.35">
      <c r="A7721" s="4">
        <v>4500197455</v>
      </c>
    </row>
    <row r="7722" spans="1:1" x14ac:dyDescent="0.35">
      <c r="A7722" s="4">
        <v>4500197458</v>
      </c>
    </row>
    <row r="7723" spans="1:1" x14ac:dyDescent="0.35">
      <c r="A7723" s="4">
        <v>4500197460</v>
      </c>
    </row>
    <row r="7724" spans="1:1" x14ac:dyDescent="0.35">
      <c r="A7724" s="4">
        <v>4500197462</v>
      </c>
    </row>
    <row r="7725" spans="1:1" x14ac:dyDescent="0.35">
      <c r="A7725" s="4">
        <v>4500197465</v>
      </c>
    </row>
    <row r="7726" spans="1:1" x14ac:dyDescent="0.35">
      <c r="A7726" s="4">
        <v>4500197466</v>
      </c>
    </row>
    <row r="7727" spans="1:1" x14ac:dyDescent="0.35">
      <c r="A7727" s="4">
        <v>4500197467</v>
      </c>
    </row>
    <row r="7728" spans="1:1" x14ac:dyDescent="0.35">
      <c r="A7728" s="4">
        <v>4500197468</v>
      </c>
    </row>
    <row r="7729" spans="1:1" x14ac:dyDescent="0.35">
      <c r="A7729" s="4">
        <v>4500197469</v>
      </c>
    </row>
    <row r="7730" spans="1:1" x14ac:dyDescent="0.35">
      <c r="A7730" s="4">
        <v>4500197470</v>
      </c>
    </row>
    <row r="7731" spans="1:1" x14ac:dyDescent="0.35">
      <c r="A7731" s="4">
        <v>4500197477</v>
      </c>
    </row>
    <row r="7732" spans="1:1" x14ac:dyDescent="0.35">
      <c r="A7732" s="4">
        <v>4500197478</v>
      </c>
    </row>
    <row r="7733" spans="1:1" x14ac:dyDescent="0.35">
      <c r="A7733" s="4">
        <v>4500197531</v>
      </c>
    </row>
    <row r="7734" spans="1:1" x14ac:dyDescent="0.35">
      <c r="A7734" s="4">
        <v>4500197569</v>
      </c>
    </row>
    <row r="7735" spans="1:1" x14ac:dyDescent="0.35">
      <c r="A7735" s="4">
        <v>4500197571</v>
      </c>
    </row>
    <row r="7736" spans="1:1" x14ac:dyDescent="0.35">
      <c r="A7736" s="4">
        <v>4500197578</v>
      </c>
    </row>
    <row r="7737" spans="1:1" x14ac:dyDescent="0.35">
      <c r="A7737" s="4">
        <v>4500197581</v>
      </c>
    </row>
    <row r="7738" spans="1:1" x14ac:dyDescent="0.35">
      <c r="A7738" s="4">
        <v>4500197586</v>
      </c>
    </row>
    <row r="7739" spans="1:1" x14ac:dyDescent="0.35">
      <c r="A7739" s="4">
        <v>4500197590</v>
      </c>
    </row>
    <row r="7740" spans="1:1" x14ac:dyDescent="0.35">
      <c r="A7740" s="4">
        <v>4500197596</v>
      </c>
    </row>
    <row r="7741" spans="1:1" x14ac:dyDescent="0.35">
      <c r="A7741" s="4">
        <v>4500197604</v>
      </c>
    </row>
    <row r="7742" spans="1:1" x14ac:dyDescent="0.35">
      <c r="A7742" s="4">
        <v>4500197609</v>
      </c>
    </row>
    <row r="7743" spans="1:1" x14ac:dyDescent="0.35">
      <c r="A7743" s="4">
        <v>4500197613</v>
      </c>
    </row>
    <row r="7744" spans="1:1" x14ac:dyDescent="0.35">
      <c r="A7744" s="4">
        <v>4500197617</v>
      </c>
    </row>
    <row r="7745" spans="1:1" x14ac:dyDescent="0.35">
      <c r="A7745" s="4">
        <v>4500197620</v>
      </c>
    </row>
    <row r="7746" spans="1:1" x14ac:dyDescent="0.35">
      <c r="A7746" s="4">
        <v>4500197623</v>
      </c>
    </row>
    <row r="7747" spans="1:1" x14ac:dyDescent="0.35">
      <c r="A7747" s="4">
        <v>4500197628</v>
      </c>
    </row>
    <row r="7748" spans="1:1" x14ac:dyDescent="0.35">
      <c r="A7748" s="4">
        <v>4500197639</v>
      </c>
    </row>
    <row r="7749" spans="1:1" x14ac:dyDescent="0.35">
      <c r="A7749" s="4">
        <v>4500197644</v>
      </c>
    </row>
    <row r="7750" spans="1:1" x14ac:dyDescent="0.35">
      <c r="A7750" s="4">
        <v>4500197648</v>
      </c>
    </row>
    <row r="7751" spans="1:1" x14ac:dyDescent="0.35">
      <c r="A7751" s="4">
        <v>4500197655</v>
      </c>
    </row>
    <row r="7752" spans="1:1" x14ac:dyDescent="0.35">
      <c r="A7752" s="4">
        <v>4500197659</v>
      </c>
    </row>
    <row r="7753" spans="1:1" x14ac:dyDescent="0.35">
      <c r="A7753" s="4">
        <v>4500197661</v>
      </c>
    </row>
    <row r="7754" spans="1:1" x14ac:dyDescent="0.35">
      <c r="A7754" s="4">
        <v>4500197664</v>
      </c>
    </row>
    <row r="7755" spans="1:1" x14ac:dyDescent="0.35">
      <c r="A7755" s="4">
        <v>4500197666</v>
      </c>
    </row>
    <row r="7756" spans="1:1" x14ac:dyDescent="0.35">
      <c r="A7756" s="4">
        <v>4500197668</v>
      </c>
    </row>
    <row r="7757" spans="1:1" x14ac:dyDescent="0.35">
      <c r="A7757" s="4">
        <v>4500197669</v>
      </c>
    </row>
    <row r="7758" spans="1:1" x14ac:dyDescent="0.35">
      <c r="A7758" s="4">
        <v>4500197684</v>
      </c>
    </row>
    <row r="7759" spans="1:1" x14ac:dyDescent="0.35">
      <c r="A7759" s="4">
        <v>4500197686</v>
      </c>
    </row>
    <row r="7760" spans="1:1" x14ac:dyDescent="0.35">
      <c r="A7760" s="4">
        <v>4500197736</v>
      </c>
    </row>
    <row r="7761" spans="1:1" x14ac:dyDescent="0.35">
      <c r="A7761" s="4">
        <v>4500197753</v>
      </c>
    </row>
    <row r="7762" spans="1:1" x14ac:dyDescent="0.35">
      <c r="A7762" s="4">
        <v>4500197758</v>
      </c>
    </row>
    <row r="7763" spans="1:1" x14ac:dyDescent="0.35">
      <c r="A7763" s="4">
        <v>4500197764</v>
      </c>
    </row>
    <row r="7764" spans="1:1" x14ac:dyDescent="0.35">
      <c r="A7764" s="4">
        <v>4500197769</v>
      </c>
    </row>
    <row r="7765" spans="1:1" x14ac:dyDescent="0.35">
      <c r="A7765" s="4">
        <v>4500197779</v>
      </c>
    </row>
    <row r="7766" spans="1:1" x14ac:dyDescent="0.35">
      <c r="A7766" s="4">
        <v>4500197786</v>
      </c>
    </row>
    <row r="7767" spans="1:1" x14ac:dyDescent="0.35">
      <c r="A7767" s="4">
        <v>4500197790</v>
      </c>
    </row>
    <row r="7768" spans="1:1" x14ac:dyDescent="0.35">
      <c r="A7768" s="4">
        <v>4500197795</v>
      </c>
    </row>
    <row r="7769" spans="1:1" x14ac:dyDescent="0.35">
      <c r="A7769" s="4">
        <v>4500197807</v>
      </c>
    </row>
    <row r="7770" spans="1:1" x14ac:dyDescent="0.35">
      <c r="A7770" s="4">
        <v>4500197819</v>
      </c>
    </row>
    <row r="7771" spans="1:1" x14ac:dyDescent="0.35">
      <c r="A7771" s="4">
        <v>4500197824</v>
      </c>
    </row>
    <row r="7772" spans="1:1" x14ac:dyDescent="0.35">
      <c r="A7772" s="4">
        <v>4500197827</v>
      </c>
    </row>
    <row r="7773" spans="1:1" x14ac:dyDescent="0.35">
      <c r="A7773" s="4">
        <v>4500197831</v>
      </c>
    </row>
    <row r="7774" spans="1:1" x14ac:dyDescent="0.35">
      <c r="A7774" s="4">
        <v>4500197834</v>
      </c>
    </row>
    <row r="7775" spans="1:1" x14ac:dyDescent="0.35">
      <c r="A7775" s="4">
        <v>4500197839</v>
      </c>
    </row>
    <row r="7776" spans="1:1" x14ac:dyDescent="0.35">
      <c r="A7776" s="4">
        <v>4500197859</v>
      </c>
    </row>
    <row r="7777" spans="1:1" x14ac:dyDescent="0.35">
      <c r="A7777" s="4">
        <v>4500197864</v>
      </c>
    </row>
    <row r="7778" spans="1:1" x14ac:dyDescent="0.35">
      <c r="A7778" s="4">
        <v>4500197865</v>
      </c>
    </row>
    <row r="7779" spans="1:1" x14ac:dyDescent="0.35">
      <c r="A7779" s="4">
        <v>4500197867</v>
      </c>
    </row>
    <row r="7780" spans="1:1" x14ac:dyDescent="0.35">
      <c r="A7780" s="4">
        <v>4500197868</v>
      </c>
    </row>
    <row r="7781" spans="1:1" x14ac:dyDescent="0.35">
      <c r="A7781" s="4">
        <v>4500197870</v>
      </c>
    </row>
    <row r="7782" spans="1:1" x14ac:dyDescent="0.35">
      <c r="A7782" s="4">
        <v>4500197886</v>
      </c>
    </row>
    <row r="7783" spans="1:1" x14ac:dyDescent="0.35">
      <c r="A7783" s="4">
        <v>4500197952</v>
      </c>
    </row>
    <row r="7784" spans="1:1" x14ac:dyDescent="0.35">
      <c r="A7784" s="4">
        <v>4500197955</v>
      </c>
    </row>
    <row r="7785" spans="1:1" x14ac:dyDescent="0.35">
      <c r="A7785" s="4">
        <v>4500197957</v>
      </c>
    </row>
    <row r="7786" spans="1:1" x14ac:dyDescent="0.35">
      <c r="A7786" s="4">
        <v>4500197959</v>
      </c>
    </row>
    <row r="7787" spans="1:1" x14ac:dyDescent="0.35">
      <c r="A7787" s="4">
        <v>4500197960</v>
      </c>
    </row>
    <row r="7788" spans="1:1" x14ac:dyDescent="0.35">
      <c r="A7788" s="4">
        <v>4500197961</v>
      </c>
    </row>
    <row r="7789" spans="1:1" x14ac:dyDescent="0.35">
      <c r="A7789" s="4">
        <v>4500197964</v>
      </c>
    </row>
    <row r="7790" spans="1:1" x14ac:dyDescent="0.35">
      <c r="A7790" s="4">
        <v>4500197967</v>
      </c>
    </row>
    <row r="7791" spans="1:1" x14ac:dyDescent="0.35">
      <c r="A7791" s="4">
        <v>4500197980</v>
      </c>
    </row>
    <row r="7792" spans="1:1" x14ac:dyDescent="0.35">
      <c r="A7792" s="4">
        <v>4500197985</v>
      </c>
    </row>
    <row r="7793" spans="1:1" x14ac:dyDescent="0.35">
      <c r="A7793" s="4">
        <v>4500197998</v>
      </c>
    </row>
    <row r="7794" spans="1:1" x14ac:dyDescent="0.35">
      <c r="A7794" s="4">
        <v>4500198011</v>
      </c>
    </row>
    <row r="7795" spans="1:1" x14ac:dyDescent="0.35">
      <c r="A7795" s="4">
        <v>4500198018</v>
      </c>
    </row>
    <row r="7796" spans="1:1" x14ac:dyDescent="0.35">
      <c r="A7796" s="4">
        <v>4500198026</v>
      </c>
    </row>
    <row r="7797" spans="1:1" x14ac:dyDescent="0.35">
      <c r="A7797" s="4">
        <v>4500198033</v>
      </c>
    </row>
    <row r="7798" spans="1:1" x14ac:dyDescent="0.35">
      <c r="A7798" s="4">
        <v>4500198035</v>
      </c>
    </row>
    <row r="7799" spans="1:1" x14ac:dyDescent="0.35">
      <c r="A7799" s="4">
        <v>4500198036</v>
      </c>
    </row>
    <row r="7800" spans="1:1" x14ac:dyDescent="0.35">
      <c r="A7800" s="4">
        <v>4500198042</v>
      </c>
    </row>
    <row r="7801" spans="1:1" x14ac:dyDescent="0.35">
      <c r="A7801" s="4">
        <v>4500198044</v>
      </c>
    </row>
    <row r="7802" spans="1:1" x14ac:dyDescent="0.35">
      <c r="A7802" s="4">
        <v>4500198050</v>
      </c>
    </row>
    <row r="7803" spans="1:1" x14ac:dyDescent="0.35">
      <c r="A7803" s="4">
        <v>4500198053</v>
      </c>
    </row>
    <row r="7804" spans="1:1" x14ac:dyDescent="0.35">
      <c r="A7804" s="4">
        <v>4500198149</v>
      </c>
    </row>
    <row r="7805" spans="1:1" x14ac:dyDescent="0.35">
      <c r="A7805" s="4">
        <v>4500198154</v>
      </c>
    </row>
    <row r="7806" spans="1:1" x14ac:dyDescent="0.35">
      <c r="A7806" s="4">
        <v>4500198159</v>
      </c>
    </row>
    <row r="7807" spans="1:1" x14ac:dyDescent="0.35">
      <c r="A7807" s="4">
        <v>4500198166</v>
      </c>
    </row>
    <row r="7808" spans="1:1" x14ac:dyDescent="0.35">
      <c r="A7808" s="4">
        <v>4500198169</v>
      </c>
    </row>
    <row r="7809" spans="1:1" x14ac:dyDescent="0.35">
      <c r="A7809" s="4">
        <v>4500198181</v>
      </c>
    </row>
    <row r="7810" spans="1:1" x14ac:dyDescent="0.35">
      <c r="A7810" s="4">
        <v>4500198183</v>
      </c>
    </row>
    <row r="7811" spans="1:1" x14ac:dyDescent="0.35">
      <c r="A7811" s="4">
        <v>4500198198</v>
      </c>
    </row>
    <row r="7812" spans="1:1" x14ac:dyDescent="0.35">
      <c r="A7812" s="4">
        <v>4500198199</v>
      </c>
    </row>
    <row r="7813" spans="1:1" x14ac:dyDescent="0.35">
      <c r="A7813" s="4">
        <v>4500198207</v>
      </c>
    </row>
    <row r="7814" spans="1:1" x14ac:dyDescent="0.35">
      <c r="A7814" s="4">
        <v>4500198222</v>
      </c>
    </row>
    <row r="7815" spans="1:1" x14ac:dyDescent="0.35">
      <c r="A7815" s="4">
        <v>4500198227</v>
      </c>
    </row>
    <row r="7816" spans="1:1" x14ac:dyDescent="0.35">
      <c r="A7816" s="4">
        <v>4500198250</v>
      </c>
    </row>
    <row r="7817" spans="1:1" x14ac:dyDescent="0.35">
      <c r="A7817" s="4">
        <v>4500198254</v>
      </c>
    </row>
    <row r="7818" spans="1:1" x14ac:dyDescent="0.35">
      <c r="A7818" s="4">
        <v>4500198256</v>
      </c>
    </row>
    <row r="7819" spans="1:1" x14ac:dyDescent="0.35">
      <c r="A7819" s="4">
        <v>4500198259</v>
      </c>
    </row>
    <row r="7820" spans="1:1" x14ac:dyDescent="0.35">
      <c r="A7820" s="4">
        <v>4500198264</v>
      </c>
    </row>
    <row r="7821" spans="1:1" x14ac:dyDescent="0.35">
      <c r="A7821" s="4">
        <v>4500198265</v>
      </c>
    </row>
    <row r="7822" spans="1:1" x14ac:dyDescent="0.35">
      <c r="A7822" s="4">
        <v>4500198267</v>
      </c>
    </row>
    <row r="7823" spans="1:1" x14ac:dyDescent="0.35">
      <c r="A7823" s="4">
        <v>4500198286</v>
      </c>
    </row>
    <row r="7824" spans="1:1" x14ac:dyDescent="0.35">
      <c r="A7824" s="4">
        <v>4500198358</v>
      </c>
    </row>
    <row r="7825" spans="1:1" x14ac:dyDescent="0.35">
      <c r="A7825" s="4">
        <v>4500198364</v>
      </c>
    </row>
    <row r="7826" spans="1:1" x14ac:dyDescent="0.35">
      <c r="A7826" s="4">
        <v>4500198369</v>
      </c>
    </row>
    <row r="7827" spans="1:1" x14ac:dyDescent="0.35">
      <c r="A7827" s="4">
        <v>4500198375</v>
      </c>
    </row>
    <row r="7828" spans="1:1" x14ac:dyDescent="0.35">
      <c r="A7828" s="4">
        <v>4500198379</v>
      </c>
    </row>
    <row r="7829" spans="1:1" x14ac:dyDescent="0.35">
      <c r="A7829" s="4">
        <v>4500198387</v>
      </c>
    </row>
    <row r="7830" spans="1:1" x14ac:dyDescent="0.35">
      <c r="A7830" s="4">
        <v>4500198392</v>
      </c>
    </row>
    <row r="7831" spans="1:1" x14ac:dyDescent="0.35">
      <c r="A7831" s="4">
        <v>4500198394</v>
      </c>
    </row>
    <row r="7832" spans="1:1" x14ac:dyDescent="0.35">
      <c r="A7832" s="4">
        <v>4500198398</v>
      </c>
    </row>
    <row r="7833" spans="1:1" x14ac:dyDescent="0.35">
      <c r="A7833" s="4">
        <v>4500198404</v>
      </c>
    </row>
    <row r="7834" spans="1:1" x14ac:dyDescent="0.35">
      <c r="A7834" s="4">
        <v>4500198409</v>
      </c>
    </row>
    <row r="7835" spans="1:1" x14ac:dyDescent="0.35">
      <c r="A7835" s="4">
        <v>4500198414</v>
      </c>
    </row>
    <row r="7836" spans="1:1" x14ac:dyDescent="0.35">
      <c r="A7836" s="4">
        <v>4500198425</v>
      </c>
    </row>
    <row r="7837" spans="1:1" x14ac:dyDescent="0.35">
      <c r="A7837" s="4">
        <v>4500198429</v>
      </c>
    </row>
    <row r="7838" spans="1:1" x14ac:dyDescent="0.35">
      <c r="A7838" s="4">
        <v>4500198433</v>
      </c>
    </row>
    <row r="7839" spans="1:1" x14ac:dyDescent="0.35">
      <c r="A7839" s="4">
        <v>4500198437</v>
      </c>
    </row>
    <row r="7840" spans="1:1" x14ac:dyDescent="0.35">
      <c r="A7840" s="4">
        <v>4500198445</v>
      </c>
    </row>
    <row r="7841" spans="1:1" x14ac:dyDescent="0.35">
      <c r="A7841" s="4">
        <v>4500198448</v>
      </c>
    </row>
    <row r="7842" spans="1:1" x14ac:dyDescent="0.35">
      <c r="A7842" s="4">
        <v>4500198451</v>
      </c>
    </row>
    <row r="7843" spans="1:1" x14ac:dyDescent="0.35">
      <c r="A7843" s="4">
        <v>4500198456</v>
      </c>
    </row>
    <row r="7844" spans="1:1" x14ac:dyDescent="0.35">
      <c r="A7844" s="4">
        <v>4500198458</v>
      </c>
    </row>
    <row r="7845" spans="1:1" x14ac:dyDescent="0.35">
      <c r="A7845" s="4">
        <v>4500198460</v>
      </c>
    </row>
    <row r="7846" spans="1:1" x14ac:dyDescent="0.35">
      <c r="A7846" s="4">
        <v>4500198466</v>
      </c>
    </row>
    <row r="7847" spans="1:1" x14ac:dyDescent="0.35">
      <c r="A7847" s="4">
        <v>4500198468</v>
      </c>
    </row>
    <row r="7848" spans="1:1" x14ac:dyDescent="0.35">
      <c r="A7848" s="4">
        <v>4500198471</v>
      </c>
    </row>
    <row r="7849" spans="1:1" x14ac:dyDescent="0.35">
      <c r="A7849" s="4">
        <v>4500198472</v>
      </c>
    </row>
    <row r="7850" spans="1:1" x14ac:dyDescent="0.35">
      <c r="A7850" s="4">
        <v>4500198476</v>
      </c>
    </row>
    <row r="7851" spans="1:1" x14ac:dyDescent="0.35">
      <c r="A7851" s="4">
        <v>4500198479</v>
      </c>
    </row>
    <row r="7852" spans="1:1" x14ac:dyDescent="0.35">
      <c r="A7852" s="4">
        <v>4500198481</v>
      </c>
    </row>
    <row r="7853" spans="1:1" x14ac:dyDescent="0.35">
      <c r="A7853" s="4">
        <v>4500198483</v>
      </c>
    </row>
    <row r="7854" spans="1:1" x14ac:dyDescent="0.35">
      <c r="A7854" s="4">
        <v>4500198484</v>
      </c>
    </row>
    <row r="7855" spans="1:1" x14ac:dyDescent="0.35">
      <c r="A7855" s="4">
        <v>4500198574</v>
      </c>
    </row>
    <row r="7856" spans="1:1" x14ac:dyDescent="0.35">
      <c r="A7856" s="4">
        <v>4500198579</v>
      </c>
    </row>
    <row r="7857" spans="1:1" x14ac:dyDescent="0.35">
      <c r="A7857" s="4">
        <v>4500198585</v>
      </c>
    </row>
    <row r="7858" spans="1:1" x14ac:dyDescent="0.35">
      <c r="A7858" s="4">
        <v>4500198589</v>
      </c>
    </row>
    <row r="7859" spans="1:1" x14ac:dyDescent="0.35">
      <c r="A7859" s="4">
        <v>4500198596</v>
      </c>
    </row>
    <row r="7860" spans="1:1" x14ac:dyDescent="0.35">
      <c r="A7860" s="4">
        <v>4500198601</v>
      </c>
    </row>
    <row r="7861" spans="1:1" x14ac:dyDescent="0.35">
      <c r="A7861" s="4">
        <v>4500198605</v>
      </c>
    </row>
    <row r="7862" spans="1:1" x14ac:dyDescent="0.35">
      <c r="A7862" s="4">
        <v>4500198609</v>
      </c>
    </row>
    <row r="7863" spans="1:1" x14ac:dyDescent="0.35">
      <c r="A7863" s="4">
        <v>4500198615</v>
      </c>
    </row>
    <row r="7864" spans="1:1" x14ac:dyDescent="0.35">
      <c r="A7864" s="4">
        <v>4500198618</v>
      </c>
    </row>
    <row r="7865" spans="1:1" x14ac:dyDescent="0.35">
      <c r="A7865" s="4">
        <v>4500198621</v>
      </c>
    </row>
    <row r="7866" spans="1:1" x14ac:dyDescent="0.35">
      <c r="A7866" s="4">
        <v>4500198624</v>
      </c>
    </row>
    <row r="7867" spans="1:1" x14ac:dyDescent="0.35">
      <c r="A7867" s="4">
        <v>4500198627</v>
      </c>
    </row>
    <row r="7868" spans="1:1" x14ac:dyDescent="0.35">
      <c r="A7868" s="4">
        <v>4500198629</v>
      </c>
    </row>
    <row r="7869" spans="1:1" x14ac:dyDescent="0.35">
      <c r="A7869" s="4">
        <v>4500198633</v>
      </c>
    </row>
    <row r="7870" spans="1:1" x14ac:dyDescent="0.35">
      <c r="A7870" s="4">
        <v>4500198637</v>
      </c>
    </row>
    <row r="7871" spans="1:1" x14ac:dyDescent="0.35">
      <c r="A7871" s="4">
        <v>4500198640</v>
      </c>
    </row>
    <row r="7872" spans="1:1" x14ac:dyDescent="0.35">
      <c r="A7872" s="4">
        <v>4500198643</v>
      </c>
    </row>
    <row r="7873" spans="1:1" x14ac:dyDescent="0.35">
      <c r="A7873" s="4">
        <v>4500198648</v>
      </c>
    </row>
    <row r="7874" spans="1:1" x14ac:dyDescent="0.35">
      <c r="A7874" s="4">
        <v>4500198653</v>
      </c>
    </row>
    <row r="7875" spans="1:1" x14ac:dyDescent="0.35">
      <c r="A7875" s="4">
        <v>4500198655</v>
      </c>
    </row>
    <row r="7876" spans="1:1" x14ac:dyDescent="0.35">
      <c r="A7876" s="4">
        <v>4500198661</v>
      </c>
    </row>
    <row r="7877" spans="1:1" x14ac:dyDescent="0.35">
      <c r="A7877" s="4">
        <v>4500198663</v>
      </c>
    </row>
    <row r="7878" spans="1:1" x14ac:dyDescent="0.35">
      <c r="A7878" s="4">
        <v>4500198665</v>
      </c>
    </row>
    <row r="7879" spans="1:1" x14ac:dyDescent="0.35">
      <c r="A7879" s="4">
        <v>4500198666</v>
      </c>
    </row>
    <row r="7880" spans="1:1" x14ac:dyDescent="0.35">
      <c r="A7880" s="4">
        <v>4500198667</v>
      </c>
    </row>
    <row r="7881" spans="1:1" x14ac:dyDescent="0.35">
      <c r="A7881" s="4">
        <v>4500198668</v>
      </c>
    </row>
    <row r="7882" spans="1:1" x14ac:dyDescent="0.35">
      <c r="A7882" s="4">
        <v>4500198669</v>
      </c>
    </row>
    <row r="7883" spans="1:1" x14ac:dyDescent="0.35">
      <c r="A7883" s="4">
        <v>4500198670</v>
      </c>
    </row>
    <row r="7884" spans="1:1" x14ac:dyDescent="0.35">
      <c r="A7884" s="4">
        <v>4500198671</v>
      </c>
    </row>
    <row r="7885" spans="1:1" x14ac:dyDescent="0.35">
      <c r="A7885" s="4">
        <v>4500198677</v>
      </c>
    </row>
    <row r="7886" spans="1:1" x14ac:dyDescent="0.35">
      <c r="A7886" s="4">
        <v>4500198678</v>
      </c>
    </row>
    <row r="7887" spans="1:1" x14ac:dyDescent="0.35">
      <c r="A7887" s="4">
        <v>4500198752</v>
      </c>
    </row>
    <row r="7888" spans="1:1" x14ac:dyDescent="0.35">
      <c r="A7888" s="4">
        <v>4500198757</v>
      </c>
    </row>
    <row r="7889" spans="1:1" x14ac:dyDescent="0.35">
      <c r="A7889" s="4">
        <v>4500198762</v>
      </c>
    </row>
    <row r="7890" spans="1:1" x14ac:dyDescent="0.35">
      <c r="A7890" s="4">
        <v>4500198772</v>
      </c>
    </row>
    <row r="7891" spans="1:1" x14ac:dyDescent="0.35">
      <c r="A7891" s="4">
        <v>4500198777</v>
      </c>
    </row>
    <row r="7892" spans="1:1" x14ac:dyDescent="0.35">
      <c r="A7892" s="4">
        <v>4500198782</v>
      </c>
    </row>
    <row r="7893" spans="1:1" x14ac:dyDescent="0.35">
      <c r="A7893" s="4">
        <v>4500198786</v>
      </c>
    </row>
    <row r="7894" spans="1:1" x14ac:dyDescent="0.35">
      <c r="A7894" s="4">
        <v>4500198790</v>
      </c>
    </row>
    <row r="7895" spans="1:1" x14ac:dyDescent="0.35">
      <c r="A7895" s="4">
        <v>4500198795</v>
      </c>
    </row>
    <row r="7896" spans="1:1" x14ac:dyDescent="0.35">
      <c r="A7896" s="4">
        <v>4500198807</v>
      </c>
    </row>
    <row r="7897" spans="1:1" x14ac:dyDescent="0.35">
      <c r="A7897" s="4">
        <v>4500198824</v>
      </c>
    </row>
    <row r="7898" spans="1:1" x14ac:dyDescent="0.35">
      <c r="A7898" s="4">
        <v>4500198828</v>
      </c>
    </row>
    <row r="7899" spans="1:1" x14ac:dyDescent="0.35">
      <c r="A7899" s="4">
        <v>4500198832</v>
      </c>
    </row>
    <row r="7900" spans="1:1" x14ac:dyDescent="0.35">
      <c r="A7900" s="4">
        <v>4500198843</v>
      </c>
    </row>
    <row r="7901" spans="1:1" x14ac:dyDescent="0.35">
      <c r="A7901" s="4">
        <v>4500198847</v>
      </c>
    </row>
    <row r="7902" spans="1:1" x14ac:dyDescent="0.35">
      <c r="A7902" s="4">
        <v>4500198854</v>
      </c>
    </row>
    <row r="7903" spans="1:1" x14ac:dyDescent="0.35">
      <c r="A7903" s="4">
        <v>4500198855</v>
      </c>
    </row>
    <row r="7904" spans="1:1" x14ac:dyDescent="0.35">
      <c r="A7904" s="4">
        <v>4500198857</v>
      </c>
    </row>
    <row r="7905" spans="1:1" x14ac:dyDescent="0.35">
      <c r="A7905" s="4">
        <v>4500198858</v>
      </c>
    </row>
    <row r="7906" spans="1:1" x14ac:dyDescent="0.35">
      <c r="A7906" s="4">
        <v>4500198859</v>
      </c>
    </row>
    <row r="7907" spans="1:1" x14ac:dyDescent="0.35">
      <c r="A7907" s="4">
        <v>4500198860</v>
      </c>
    </row>
    <row r="7908" spans="1:1" x14ac:dyDescent="0.35">
      <c r="A7908" s="4">
        <v>4500198863</v>
      </c>
    </row>
    <row r="7909" spans="1:1" x14ac:dyDescent="0.35">
      <c r="A7909" s="4">
        <v>4500198864</v>
      </c>
    </row>
    <row r="7910" spans="1:1" x14ac:dyDescent="0.35">
      <c r="A7910" s="4">
        <v>4500198865</v>
      </c>
    </row>
    <row r="7911" spans="1:1" x14ac:dyDescent="0.35">
      <c r="A7911" s="4">
        <v>4500198866</v>
      </c>
    </row>
    <row r="7912" spans="1:1" x14ac:dyDescent="0.35">
      <c r="A7912" s="4">
        <v>4500198947</v>
      </c>
    </row>
    <row r="7913" spans="1:1" x14ac:dyDescent="0.35">
      <c r="A7913" s="4">
        <v>4500198951</v>
      </c>
    </row>
    <row r="7914" spans="1:1" x14ac:dyDescent="0.35">
      <c r="A7914" s="4">
        <v>4500198956</v>
      </c>
    </row>
    <row r="7915" spans="1:1" x14ac:dyDescent="0.35">
      <c r="A7915" s="4">
        <v>4500198965</v>
      </c>
    </row>
    <row r="7916" spans="1:1" x14ac:dyDescent="0.35">
      <c r="A7916" s="4">
        <v>4500198969</v>
      </c>
    </row>
    <row r="7917" spans="1:1" x14ac:dyDescent="0.35">
      <c r="A7917" s="4">
        <v>4500198984</v>
      </c>
    </row>
    <row r="7918" spans="1:1" x14ac:dyDescent="0.35">
      <c r="A7918" s="4">
        <v>4500198988</v>
      </c>
    </row>
    <row r="7919" spans="1:1" x14ac:dyDescent="0.35">
      <c r="A7919" s="4">
        <v>4500198999</v>
      </c>
    </row>
    <row r="7920" spans="1:1" x14ac:dyDescent="0.35">
      <c r="A7920" s="4">
        <v>4500199003</v>
      </c>
    </row>
    <row r="7921" spans="1:1" x14ac:dyDescent="0.35">
      <c r="A7921" s="4">
        <v>4500199014</v>
      </c>
    </row>
    <row r="7922" spans="1:1" x14ac:dyDescent="0.35">
      <c r="A7922" s="4">
        <v>4500199018</v>
      </c>
    </row>
    <row r="7923" spans="1:1" x14ac:dyDescent="0.35">
      <c r="A7923" s="4">
        <v>4500199021</v>
      </c>
    </row>
    <row r="7924" spans="1:1" x14ac:dyDescent="0.35">
      <c r="A7924" s="4">
        <v>4500199025</v>
      </c>
    </row>
    <row r="7925" spans="1:1" x14ac:dyDescent="0.35">
      <c r="A7925" s="4">
        <v>4500199030</v>
      </c>
    </row>
    <row r="7926" spans="1:1" x14ac:dyDescent="0.35">
      <c r="A7926" s="4">
        <v>4500199034</v>
      </c>
    </row>
    <row r="7927" spans="1:1" x14ac:dyDescent="0.35">
      <c r="A7927" s="4">
        <v>4500199039</v>
      </c>
    </row>
    <row r="7928" spans="1:1" x14ac:dyDescent="0.35">
      <c r="A7928" s="4">
        <v>4500199043</v>
      </c>
    </row>
    <row r="7929" spans="1:1" x14ac:dyDescent="0.35">
      <c r="A7929" s="4">
        <v>4500199044</v>
      </c>
    </row>
    <row r="7930" spans="1:1" x14ac:dyDescent="0.35">
      <c r="A7930" s="4">
        <v>4500199046</v>
      </c>
    </row>
    <row r="7931" spans="1:1" x14ac:dyDescent="0.35">
      <c r="A7931" s="4">
        <v>4500199048</v>
      </c>
    </row>
    <row r="7932" spans="1:1" x14ac:dyDescent="0.35">
      <c r="A7932" s="4">
        <v>4500199049</v>
      </c>
    </row>
    <row r="7933" spans="1:1" x14ac:dyDescent="0.35">
      <c r="A7933" s="4">
        <v>4500199050</v>
      </c>
    </row>
    <row r="7934" spans="1:1" x14ac:dyDescent="0.35">
      <c r="A7934" s="4">
        <v>4500199052</v>
      </c>
    </row>
    <row r="7935" spans="1:1" x14ac:dyDescent="0.35">
      <c r="A7935" s="4">
        <v>4500199053</v>
      </c>
    </row>
    <row r="7936" spans="1:1" x14ac:dyDescent="0.35">
      <c r="A7936" s="4">
        <v>4500199055</v>
      </c>
    </row>
    <row r="7937" spans="1:1" x14ac:dyDescent="0.35">
      <c r="A7937" s="4">
        <v>4500199056</v>
      </c>
    </row>
    <row r="7938" spans="1:1" x14ac:dyDescent="0.35">
      <c r="A7938" s="4">
        <v>4500199057</v>
      </c>
    </row>
    <row r="7939" spans="1:1" x14ac:dyDescent="0.35">
      <c r="A7939" s="4">
        <v>4500199059</v>
      </c>
    </row>
    <row r="7940" spans="1:1" x14ac:dyDescent="0.35">
      <c r="A7940" s="4">
        <v>4500199060</v>
      </c>
    </row>
    <row r="7941" spans="1:1" x14ac:dyDescent="0.35">
      <c r="A7941" s="4">
        <v>4500199061</v>
      </c>
    </row>
    <row r="7942" spans="1:1" x14ac:dyDescent="0.35">
      <c r="A7942" s="4">
        <v>4500199137</v>
      </c>
    </row>
    <row r="7943" spans="1:1" x14ac:dyDescent="0.35">
      <c r="A7943" s="4">
        <v>4500199140</v>
      </c>
    </row>
    <row r="7944" spans="1:1" x14ac:dyDescent="0.35">
      <c r="A7944" s="4">
        <v>4500199144</v>
      </c>
    </row>
    <row r="7945" spans="1:1" x14ac:dyDescent="0.35">
      <c r="A7945" s="4">
        <v>4500199150</v>
      </c>
    </row>
    <row r="7946" spans="1:1" x14ac:dyDescent="0.35">
      <c r="A7946" s="4">
        <v>4500199156</v>
      </c>
    </row>
    <row r="7947" spans="1:1" x14ac:dyDescent="0.35">
      <c r="A7947" s="4">
        <v>4500199163</v>
      </c>
    </row>
    <row r="7948" spans="1:1" x14ac:dyDescent="0.35">
      <c r="A7948" s="4">
        <v>4500199169</v>
      </c>
    </row>
    <row r="7949" spans="1:1" x14ac:dyDescent="0.35">
      <c r="A7949" s="4">
        <v>4500199177</v>
      </c>
    </row>
    <row r="7950" spans="1:1" x14ac:dyDescent="0.35">
      <c r="A7950" s="4">
        <v>4500199182</v>
      </c>
    </row>
    <row r="7951" spans="1:1" x14ac:dyDescent="0.35">
      <c r="A7951" s="4">
        <v>4500199189</v>
      </c>
    </row>
    <row r="7952" spans="1:1" x14ac:dyDescent="0.35">
      <c r="A7952" s="4">
        <v>4500199196</v>
      </c>
    </row>
    <row r="7953" spans="1:1" x14ac:dyDescent="0.35">
      <c r="A7953" s="4">
        <v>4500199203</v>
      </c>
    </row>
    <row r="7954" spans="1:1" x14ac:dyDescent="0.35">
      <c r="A7954" s="4">
        <v>4500199206</v>
      </c>
    </row>
    <row r="7955" spans="1:1" x14ac:dyDescent="0.35">
      <c r="A7955" s="4">
        <v>4500199210</v>
      </c>
    </row>
    <row r="7956" spans="1:1" x14ac:dyDescent="0.35">
      <c r="A7956" s="4">
        <v>4500199216</v>
      </c>
    </row>
    <row r="7957" spans="1:1" x14ac:dyDescent="0.35">
      <c r="A7957" s="4">
        <v>4500199225</v>
      </c>
    </row>
    <row r="7958" spans="1:1" x14ac:dyDescent="0.35">
      <c r="A7958" s="4">
        <v>4500199237</v>
      </c>
    </row>
    <row r="7959" spans="1:1" x14ac:dyDescent="0.35">
      <c r="A7959" s="4">
        <v>4500199240</v>
      </c>
    </row>
    <row r="7960" spans="1:1" x14ac:dyDescent="0.35">
      <c r="A7960" s="4">
        <v>4500199244</v>
      </c>
    </row>
    <row r="7961" spans="1:1" x14ac:dyDescent="0.35">
      <c r="A7961" s="4">
        <v>4500199248</v>
      </c>
    </row>
    <row r="7962" spans="1:1" x14ac:dyDescent="0.35">
      <c r="A7962" s="4">
        <v>4500199252</v>
      </c>
    </row>
    <row r="7963" spans="1:1" x14ac:dyDescent="0.35">
      <c r="A7963" s="4">
        <v>4500199256</v>
      </c>
    </row>
    <row r="7964" spans="1:1" x14ac:dyDescent="0.35">
      <c r="A7964" s="4">
        <v>4500199261</v>
      </c>
    </row>
    <row r="7965" spans="1:1" x14ac:dyDescent="0.35">
      <c r="A7965" s="4">
        <v>4500199264</v>
      </c>
    </row>
    <row r="7966" spans="1:1" x14ac:dyDescent="0.35">
      <c r="A7966" s="4">
        <v>4500199322</v>
      </c>
    </row>
    <row r="7967" spans="1:1" x14ac:dyDescent="0.35">
      <c r="A7967" s="4">
        <v>4500199360</v>
      </c>
    </row>
    <row r="7968" spans="1:1" x14ac:dyDescent="0.35">
      <c r="A7968" s="4">
        <v>4500199364</v>
      </c>
    </row>
    <row r="7969" spans="1:1" x14ac:dyDescent="0.35">
      <c r="A7969" s="4">
        <v>4500199367</v>
      </c>
    </row>
    <row r="7970" spans="1:1" x14ac:dyDescent="0.35">
      <c r="A7970" s="4">
        <v>4500199372</v>
      </c>
    </row>
    <row r="7971" spans="1:1" x14ac:dyDescent="0.35">
      <c r="A7971" s="4">
        <v>4500199374</v>
      </c>
    </row>
    <row r="7972" spans="1:1" x14ac:dyDescent="0.35">
      <c r="A7972" s="4">
        <v>4500199379</v>
      </c>
    </row>
    <row r="7973" spans="1:1" x14ac:dyDescent="0.35">
      <c r="A7973" s="4">
        <v>4500199382</v>
      </c>
    </row>
    <row r="7974" spans="1:1" x14ac:dyDescent="0.35">
      <c r="A7974" s="4">
        <v>4500199386</v>
      </c>
    </row>
    <row r="7975" spans="1:1" x14ac:dyDescent="0.35">
      <c r="A7975" s="4">
        <v>4500199390</v>
      </c>
    </row>
    <row r="7976" spans="1:1" x14ac:dyDescent="0.35">
      <c r="A7976" s="4">
        <v>4500199392</v>
      </c>
    </row>
    <row r="7977" spans="1:1" x14ac:dyDescent="0.35">
      <c r="A7977" s="4">
        <v>4500199395</v>
      </c>
    </row>
    <row r="7978" spans="1:1" x14ac:dyDescent="0.35">
      <c r="A7978" s="4">
        <v>4500199399</v>
      </c>
    </row>
    <row r="7979" spans="1:1" x14ac:dyDescent="0.35">
      <c r="A7979" s="4">
        <v>4500199405</v>
      </c>
    </row>
    <row r="7980" spans="1:1" x14ac:dyDescent="0.35">
      <c r="A7980" s="4">
        <v>4500199407</v>
      </c>
    </row>
    <row r="7981" spans="1:1" x14ac:dyDescent="0.35">
      <c r="A7981" s="4">
        <v>4500199409</v>
      </c>
    </row>
    <row r="7982" spans="1:1" x14ac:dyDescent="0.35">
      <c r="A7982" s="4">
        <v>4500199414</v>
      </c>
    </row>
    <row r="7983" spans="1:1" x14ac:dyDescent="0.35">
      <c r="A7983" s="4">
        <v>4500199417</v>
      </c>
    </row>
    <row r="7984" spans="1:1" x14ac:dyDescent="0.35">
      <c r="A7984" s="4">
        <v>4500199419</v>
      </c>
    </row>
    <row r="7985" spans="1:1" x14ac:dyDescent="0.35">
      <c r="A7985" s="4">
        <v>4500199422</v>
      </c>
    </row>
    <row r="7986" spans="1:1" x14ac:dyDescent="0.35">
      <c r="A7986" s="4">
        <v>4500199425</v>
      </c>
    </row>
    <row r="7987" spans="1:1" x14ac:dyDescent="0.35">
      <c r="A7987" s="4">
        <v>4500199427</v>
      </c>
    </row>
    <row r="7988" spans="1:1" x14ac:dyDescent="0.35">
      <c r="A7988" s="4">
        <v>4500199430</v>
      </c>
    </row>
    <row r="7989" spans="1:1" x14ac:dyDescent="0.35">
      <c r="A7989" s="4">
        <v>4500199436</v>
      </c>
    </row>
    <row r="7990" spans="1:1" x14ac:dyDescent="0.35">
      <c r="A7990" s="4">
        <v>4500199439</v>
      </c>
    </row>
    <row r="7991" spans="1:1" x14ac:dyDescent="0.35">
      <c r="A7991" s="4">
        <v>4500199442</v>
      </c>
    </row>
    <row r="7992" spans="1:1" x14ac:dyDescent="0.35">
      <c r="A7992" s="4">
        <v>4500199443</v>
      </c>
    </row>
    <row r="7993" spans="1:1" x14ac:dyDescent="0.35">
      <c r="A7993" s="4">
        <v>4500199446</v>
      </c>
    </row>
    <row r="7994" spans="1:1" x14ac:dyDescent="0.35">
      <c r="A7994" s="4">
        <v>4500199447</v>
      </c>
    </row>
    <row r="7995" spans="1:1" x14ac:dyDescent="0.35">
      <c r="A7995" s="4">
        <v>4500199449</v>
      </c>
    </row>
    <row r="7996" spans="1:1" x14ac:dyDescent="0.35">
      <c r="A7996" s="4">
        <v>4500199548</v>
      </c>
    </row>
    <row r="7997" spans="1:1" x14ac:dyDescent="0.35">
      <c r="A7997" s="4">
        <v>4500199553</v>
      </c>
    </row>
    <row r="7998" spans="1:1" x14ac:dyDescent="0.35">
      <c r="A7998" s="4">
        <v>4500199559</v>
      </c>
    </row>
    <row r="7999" spans="1:1" x14ac:dyDescent="0.35">
      <c r="A7999" s="4">
        <v>4500199565</v>
      </c>
    </row>
    <row r="8000" spans="1:1" x14ac:dyDescent="0.35">
      <c r="A8000" s="4">
        <v>4500199570</v>
      </c>
    </row>
    <row r="8001" spans="1:1" x14ac:dyDescent="0.35">
      <c r="A8001" s="4">
        <v>4500199578</v>
      </c>
    </row>
    <row r="8002" spans="1:1" x14ac:dyDescent="0.35">
      <c r="A8002" s="4">
        <v>4500199588</v>
      </c>
    </row>
    <row r="8003" spans="1:1" x14ac:dyDescent="0.35">
      <c r="A8003" s="4">
        <v>4500199592</v>
      </c>
    </row>
    <row r="8004" spans="1:1" x14ac:dyDescent="0.35">
      <c r="A8004" s="4">
        <v>4500199599</v>
      </c>
    </row>
    <row r="8005" spans="1:1" x14ac:dyDescent="0.35">
      <c r="A8005" s="4">
        <v>4500199610</v>
      </c>
    </row>
    <row r="8006" spans="1:1" x14ac:dyDescent="0.35">
      <c r="A8006" s="4">
        <v>4500199620</v>
      </c>
    </row>
    <row r="8007" spans="1:1" x14ac:dyDescent="0.35">
      <c r="A8007" s="4">
        <v>4500199630</v>
      </c>
    </row>
    <row r="8008" spans="1:1" x14ac:dyDescent="0.35">
      <c r="A8008" s="4">
        <v>4500199648</v>
      </c>
    </row>
    <row r="8009" spans="1:1" x14ac:dyDescent="0.35">
      <c r="A8009" s="4">
        <v>4500199652</v>
      </c>
    </row>
    <row r="8010" spans="1:1" x14ac:dyDescent="0.35">
      <c r="A8010" s="4">
        <v>4500199656</v>
      </c>
    </row>
    <row r="8011" spans="1:1" x14ac:dyDescent="0.35">
      <c r="A8011" s="4">
        <v>4500199659</v>
      </c>
    </row>
    <row r="8012" spans="1:1" x14ac:dyDescent="0.35">
      <c r="A8012" s="4">
        <v>4500199662</v>
      </c>
    </row>
    <row r="8013" spans="1:1" x14ac:dyDescent="0.35">
      <c r="A8013" s="4">
        <v>4500199666</v>
      </c>
    </row>
    <row r="8014" spans="1:1" x14ac:dyDescent="0.35">
      <c r="A8014" s="4">
        <v>4500199668</v>
      </c>
    </row>
    <row r="8015" spans="1:1" x14ac:dyDescent="0.35">
      <c r="A8015" s="4">
        <v>4500199671</v>
      </c>
    </row>
    <row r="8016" spans="1:1" x14ac:dyDescent="0.35">
      <c r="A8016" s="4">
        <v>4500199674</v>
      </c>
    </row>
    <row r="8017" spans="1:1" x14ac:dyDescent="0.35">
      <c r="A8017" s="4">
        <v>4500199676</v>
      </c>
    </row>
    <row r="8018" spans="1:1" x14ac:dyDescent="0.35">
      <c r="A8018" s="4">
        <v>4500199677</v>
      </c>
    </row>
    <row r="8019" spans="1:1" x14ac:dyDescent="0.35">
      <c r="A8019" s="4">
        <v>4500199678</v>
      </c>
    </row>
    <row r="8020" spans="1:1" x14ac:dyDescent="0.35">
      <c r="A8020" s="4">
        <v>4500199679</v>
      </c>
    </row>
    <row r="8021" spans="1:1" x14ac:dyDescent="0.35">
      <c r="A8021" s="4">
        <v>4500199681</v>
      </c>
    </row>
    <row r="8022" spans="1:1" x14ac:dyDescent="0.35">
      <c r="A8022" s="4">
        <v>4500199687</v>
      </c>
    </row>
    <row r="8023" spans="1:1" x14ac:dyDescent="0.35">
      <c r="A8023" s="4">
        <v>4500199691</v>
      </c>
    </row>
    <row r="8024" spans="1:1" x14ac:dyDescent="0.35">
      <c r="A8024" s="4">
        <v>4500199692</v>
      </c>
    </row>
    <row r="8025" spans="1:1" x14ac:dyDescent="0.35">
      <c r="A8025" s="4">
        <v>4500199733</v>
      </c>
    </row>
    <row r="8026" spans="1:1" x14ac:dyDescent="0.35">
      <c r="A8026" s="4">
        <v>4500199759</v>
      </c>
    </row>
    <row r="8027" spans="1:1" x14ac:dyDescent="0.35">
      <c r="A8027" s="4">
        <v>4500199764</v>
      </c>
    </row>
    <row r="8028" spans="1:1" x14ac:dyDescent="0.35">
      <c r="A8028" s="4">
        <v>4500199769</v>
      </c>
    </row>
    <row r="8029" spans="1:1" x14ac:dyDescent="0.35">
      <c r="A8029" s="4">
        <v>4500199775</v>
      </c>
    </row>
    <row r="8030" spans="1:1" x14ac:dyDescent="0.35">
      <c r="A8030" s="4">
        <v>4500199789</v>
      </c>
    </row>
    <row r="8031" spans="1:1" x14ac:dyDescent="0.35">
      <c r="A8031" s="4">
        <v>4500199795</v>
      </c>
    </row>
    <row r="8032" spans="1:1" x14ac:dyDescent="0.35">
      <c r="A8032" s="4">
        <v>4500199804</v>
      </c>
    </row>
    <row r="8033" spans="1:1" x14ac:dyDescent="0.35">
      <c r="A8033" s="4">
        <v>4500199807</v>
      </c>
    </row>
    <row r="8034" spans="1:1" x14ac:dyDescent="0.35">
      <c r="A8034" s="4">
        <v>4500199812</v>
      </c>
    </row>
    <row r="8035" spans="1:1" x14ac:dyDescent="0.35">
      <c r="A8035" s="4">
        <v>4500199826</v>
      </c>
    </row>
    <row r="8036" spans="1:1" x14ac:dyDescent="0.35">
      <c r="A8036" s="4">
        <v>4500199831</v>
      </c>
    </row>
    <row r="8037" spans="1:1" x14ac:dyDescent="0.35">
      <c r="A8037" s="4">
        <v>4500199842</v>
      </c>
    </row>
    <row r="8038" spans="1:1" x14ac:dyDescent="0.35">
      <c r="A8038" s="4">
        <v>4500199856</v>
      </c>
    </row>
    <row r="8039" spans="1:1" x14ac:dyDescent="0.35">
      <c r="A8039" s="4">
        <v>4500199867</v>
      </c>
    </row>
    <row r="8040" spans="1:1" x14ac:dyDescent="0.35">
      <c r="A8040" s="4">
        <v>4500199873</v>
      </c>
    </row>
    <row r="8041" spans="1:1" x14ac:dyDescent="0.35">
      <c r="A8041" s="4">
        <v>4500199882</v>
      </c>
    </row>
    <row r="8042" spans="1:1" x14ac:dyDescent="0.35">
      <c r="A8042" s="4">
        <v>4500199883</v>
      </c>
    </row>
    <row r="8043" spans="1:1" x14ac:dyDescent="0.35">
      <c r="A8043" s="4">
        <v>4500199898</v>
      </c>
    </row>
    <row r="8044" spans="1:1" x14ac:dyDescent="0.35">
      <c r="A8044" s="4">
        <v>4500199899</v>
      </c>
    </row>
    <row r="8045" spans="1:1" x14ac:dyDescent="0.35">
      <c r="A8045" s="4">
        <v>4500199952</v>
      </c>
    </row>
    <row r="8046" spans="1:1" x14ac:dyDescent="0.35">
      <c r="A8046" s="4">
        <v>4500199967</v>
      </c>
    </row>
    <row r="8047" spans="1:1" x14ac:dyDescent="0.35">
      <c r="A8047" s="4">
        <v>4500199969</v>
      </c>
    </row>
    <row r="8048" spans="1:1" x14ac:dyDescent="0.35">
      <c r="A8048" s="4">
        <v>4500199974</v>
      </c>
    </row>
    <row r="8049" spans="1:1" x14ac:dyDescent="0.35">
      <c r="A8049" s="4">
        <v>4500199976</v>
      </c>
    </row>
    <row r="8050" spans="1:1" x14ac:dyDescent="0.35">
      <c r="A8050" s="4">
        <v>4500199978</v>
      </c>
    </row>
    <row r="8051" spans="1:1" x14ac:dyDescent="0.35">
      <c r="A8051" s="4">
        <v>4500199986</v>
      </c>
    </row>
    <row r="8052" spans="1:1" x14ac:dyDescent="0.35">
      <c r="A8052" s="4">
        <v>4500199992</v>
      </c>
    </row>
    <row r="8053" spans="1:1" x14ac:dyDescent="0.35">
      <c r="A8053" s="4">
        <v>4500200007</v>
      </c>
    </row>
    <row r="8054" spans="1:1" x14ac:dyDescent="0.35">
      <c r="A8054" s="4">
        <v>4500200021</v>
      </c>
    </row>
    <row r="8055" spans="1:1" x14ac:dyDescent="0.35">
      <c r="A8055" s="4">
        <v>4500200025</v>
      </c>
    </row>
    <row r="8056" spans="1:1" x14ac:dyDescent="0.35">
      <c r="A8056" s="4">
        <v>4500200029</v>
      </c>
    </row>
    <row r="8057" spans="1:1" x14ac:dyDescent="0.35">
      <c r="A8057" s="4">
        <v>4500200037</v>
      </c>
    </row>
    <row r="8058" spans="1:1" x14ac:dyDescent="0.35">
      <c r="A8058" s="4">
        <v>4500200045</v>
      </c>
    </row>
    <row r="8059" spans="1:1" x14ac:dyDescent="0.35">
      <c r="A8059" s="4">
        <v>4500200054</v>
      </c>
    </row>
    <row r="8060" spans="1:1" x14ac:dyDescent="0.35">
      <c r="A8060" s="4">
        <v>4500200062</v>
      </c>
    </row>
    <row r="8061" spans="1:1" x14ac:dyDescent="0.35">
      <c r="A8061" s="4">
        <v>4500200064</v>
      </c>
    </row>
    <row r="8062" spans="1:1" x14ac:dyDescent="0.35">
      <c r="A8062" s="4">
        <v>4500200068</v>
      </c>
    </row>
    <row r="8063" spans="1:1" x14ac:dyDescent="0.35">
      <c r="A8063" s="4">
        <v>4500200071</v>
      </c>
    </row>
    <row r="8064" spans="1:1" x14ac:dyDescent="0.35">
      <c r="A8064" s="4">
        <v>4500200079</v>
      </c>
    </row>
    <row r="8065" spans="1:1" x14ac:dyDescent="0.35">
      <c r="A8065" s="4">
        <v>4500200083</v>
      </c>
    </row>
    <row r="8066" spans="1:1" x14ac:dyDescent="0.35">
      <c r="A8066" s="4">
        <v>4500200093</v>
      </c>
    </row>
    <row r="8067" spans="1:1" x14ac:dyDescent="0.35">
      <c r="A8067" s="4">
        <v>4500200095</v>
      </c>
    </row>
    <row r="8068" spans="1:1" x14ac:dyDescent="0.35">
      <c r="A8068" s="4">
        <v>4500200096</v>
      </c>
    </row>
    <row r="8069" spans="1:1" x14ac:dyDescent="0.35">
      <c r="A8069" s="4">
        <v>4500200098</v>
      </c>
    </row>
    <row r="8070" spans="1:1" x14ac:dyDescent="0.35">
      <c r="A8070" s="4">
        <v>4500200099</v>
      </c>
    </row>
    <row r="8071" spans="1:1" x14ac:dyDescent="0.35">
      <c r="A8071" s="4">
        <v>4500200100</v>
      </c>
    </row>
    <row r="8072" spans="1:1" x14ac:dyDescent="0.35">
      <c r="A8072" s="4">
        <v>4500200102</v>
      </c>
    </row>
    <row r="8073" spans="1:1" x14ac:dyDescent="0.35">
      <c r="A8073" s="4">
        <v>4500200103</v>
      </c>
    </row>
    <row r="8074" spans="1:1" x14ac:dyDescent="0.35">
      <c r="A8074" s="4">
        <v>4500200104</v>
      </c>
    </row>
    <row r="8075" spans="1:1" x14ac:dyDescent="0.35">
      <c r="A8075" s="4">
        <v>4500200105</v>
      </c>
    </row>
    <row r="8076" spans="1:1" x14ac:dyDescent="0.35">
      <c r="A8076" s="4">
        <v>4500200108</v>
      </c>
    </row>
    <row r="8077" spans="1:1" x14ac:dyDescent="0.35">
      <c r="A8077" s="4">
        <v>4500200173</v>
      </c>
    </row>
    <row r="8078" spans="1:1" x14ac:dyDescent="0.35">
      <c r="A8078" s="4">
        <v>4500200177</v>
      </c>
    </row>
    <row r="8079" spans="1:1" x14ac:dyDescent="0.35">
      <c r="A8079" s="4">
        <v>4500200189</v>
      </c>
    </row>
    <row r="8080" spans="1:1" x14ac:dyDescent="0.35">
      <c r="A8080" s="4">
        <v>4500200199</v>
      </c>
    </row>
    <row r="8081" spans="1:1" x14ac:dyDescent="0.35">
      <c r="A8081" s="4">
        <v>4500200202</v>
      </c>
    </row>
    <row r="8082" spans="1:1" x14ac:dyDescent="0.35">
      <c r="A8082" s="4">
        <v>4500200217</v>
      </c>
    </row>
    <row r="8083" spans="1:1" x14ac:dyDescent="0.35">
      <c r="A8083" s="4">
        <v>4500200223</v>
      </c>
    </row>
    <row r="8084" spans="1:1" x14ac:dyDescent="0.35">
      <c r="A8084" s="4">
        <v>4500200231</v>
      </c>
    </row>
    <row r="8085" spans="1:1" x14ac:dyDescent="0.35">
      <c r="A8085" s="4">
        <v>4500200235</v>
      </c>
    </row>
    <row r="8086" spans="1:1" x14ac:dyDescent="0.35">
      <c r="A8086" s="4">
        <v>4500200240</v>
      </c>
    </row>
    <row r="8087" spans="1:1" x14ac:dyDescent="0.35">
      <c r="A8087" s="4">
        <v>4500200245</v>
      </c>
    </row>
    <row r="8088" spans="1:1" x14ac:dyDescent="0.35">
      <c r="A8088" s="4">
        <v>4500200247</v>
      </c>
    </row>
    <row r="8089" spans="1:1" x14ac:dyDescent="0.35">
      <c r="A8089" s="4">
        <v>4500200251</v>
      </c>
    </row>
    <row r="8090" spans="1:1" x14ac:dyDescent="0.35">
      <c r="A8090" s="4">
        <v>4500200311</v>
      </c>
    </row>
    <row r="8091" spans="1:1" x14ac:dyDescent="0.35">
      <c r="A8091" s="4">
        <v>4500200312</v>
      </c>
    </row>
    <row r="8092" spans="1:1" x14ac:dyDescent="0.35">
      <c r="A8092" s="4">
        <v>4500200316</v>
      </c>
    </row>
    <row r="8093" spans="1:1" x14ac:dyDescent="0.35">
      <c r="A8093" s="4">
        <v>4500200384</v>
      </c>
    </row>
    <row r="8094" spans="1:1" x14ac:dyDescent="0.35">
      <c r="A8094" s="4">
        <v>4500200387</v>
      </c>
    </row>
    <row r="8095" spans="1:1" x14ac:dyDescent="0.35">
      <c r="A8095" s="4">
        <v>4500200389</v>
      </c>
    </row>
    <row r="8096" spans="1:1" x14ac:dyDescent="0.35">
      <c r="A8096" s="4">
        <v>4500200392</v>
      </c>
    </row>
    <row r="8097" spans="1:1" x14ac:dyDescent="0.35">
      <c r="A8097" s="4">
        <v>4500200397</v>
      </c>
    </row>
    <row r="8098" spans="1:1" x14ac:dyDescent="0.35">
      <c r="A8098" s="4">
        <v>4500200402</v>
      </c>
    </row>
    <row r="8099" spans="1:1" x14ac:dyDescent="0.35">
      <c r="A8099" s="4">
        <v>4500200404</v>
      </c>
    </row>
    <row r="8100" spans="1:1" x14ac:dyDescent="0.35">
      <c r="A8100" s="4">
        <v>4500200412</v>
      </c>
    </row>
    <row r="8101" spans="1:1" x14ac:dyDescent="0.35">
      <c r="A8101" s="4">
        <v>4500200415</v>
      </c>
    </row>
    <row r="8102" spans="1:1" x14ac:dyDescent="0.35">
      <c r="A8102" s="4">
        <v>4500200424</v>
      </c>
    </row>
    <row r="8103" spans="1:1" x14ac:dyDescent="0.35">
      <c r="A8103" s="4">
        <v>4500200429</v>
      </c>
    </row>
    <row r="8104" spans="1:1" x14ac:dyDescent="0.35">
      <c r="A8104" s="4">
        <v>4500200433</v>
      </c>
    </row>
    <row r="8105" spans="1:1" x14ac:dyDescent="0.35">
      <c r="A8105" s="4">
        <v>4500200439</v>
      </c>
    </row>
    <row r="8106" spans="1:1" x14ac:dyDescent="0.35">
      <c r="A8106" s="4">
        <v>4500200459</v>
      </c>
    </row>
    <row r="8107" spans="1:1" x14ac:dyDescent="0.35">
      <c r="A8107" s="4">
        <v>4500200470</v>
      </c>
    </row>
    <row r="8108" spans="1:1" x14ac:dyDescent="0.35">
      <c r="A8108" s="4">
        <v>4500200473</v>
      </c>
    </row>
    <row r="8109" spans="1:1" x14ac:dyDescent="0.35">
      <c r="A8109" s="4">
        <v>4500200480</v>
      </c>
    </row>
    <row r="8110" spans="1:1" x14ac:dyDescent="0.35">
      <c r="A8110" s="4">
        <v>4500200487</v>
      </c>
    </row>
    <row r="8111" spans="1:1" x14ac:dyDescent="0.35">
      <c r="A8111" s="4">
        <v>4500200492</v>
      </c>
    </row>
    <row r="8112" spans="1:1" x14ac:dyDescent="0.35">
      <c r="A8112" s="4">
        <v>4500200497</v>
      </c>
    </row>
    <row r="8113" spans="1:1" x14ac:dyDescent="0.35">
      <c r="A8113" s="4">
        <v>4500200504</v>
      </c>
    </row>
    <row r="8114" spans="1:1" x14ac:dyDescent="0.35">
      <c r="A8114" s="4">
        <v>4500200509</v>
      </c>
    </row>
    <row r="8115" spans="1:1" x14ac:dyDescent="0.35">
      <c r="A8115" s="4">
        <v>4500200510</v>
      </c>
    </row>
    <row r="8116" spans="1:1" x14ac:dyDescent="0.35">
      <c r="A8116" s="4">
        <v>4500200513</v>
      </c>
    </row>
    <row r="8117" spans="1:1" x14ac:dyDescent="0.35">
      <c r="A8117" s="4">
        <v>4500200518</v>
      </c>
    </row>
    <row r="8118" spans="1:1" x14ac:dyDescent="0.35">
      <c r="A8118" s="4">
        <v>4500200520</v>
      </c>
    </row>
    <row r="8119" spans="1:1" x14ac:dyDescent="0.35">
      <c r="A8119" s="4">
        <v>4500200612</v>
      </c>
    </row>
    <row r="8120" spans="1:1" x14ac:dyDescent="0.35">
      <c r="A8120" s="4">
        <v>4500200618</v>
      </c>
    </row>
    <row r="8121" spans="1:1" x14ac:dyDescent="0.35">
      <c r="A8121" s="4">
        <v>4500200624</v>
      </c>
    </row>
    <row r="8122" spans="1:1" x14ac:dyDescent="0.35">
      <c r="A8122" s="4">
        <v>4500200628</v>
      </c>
    </row>
    <row r="8123" spans="1:1" x14ac:dyDescent="0.35">
      <c r="A8123" s="4">
        <v>4500200634</v>
      </c>
    </row>
    <row r="8124" spans="1:1" x14ac:dyDescent="0.35">
      <c r="A8124" s="4">
        <v>4500200639</v>
      </c>
    </row>
    <row r="8125" spans="1:1" x14ac:dyDescent="0.35">
      <c r="A8125" s="4">
        <v>4500200644</v>
      </c>
    </row>
    <row r="8126" spans="1:1" x14ac:dyDescent="0.35">
      <c r="A8126" s="4">
        <v>4500200648</v>
      </c>
    </row>
    <row r="8127" spans="1:1" x14ac:dyDescent="0.35">
      <c r="A8127" s="4">
        <v>4500200653</v>
      </c>
    </row>
    <row r="8128" spans="1:1" x14ac:dyDescent="0.35">
      <c r="A8128" s="4">
        <v>4500200660</v>
      </c>
    </row>
    <row r="8129" spans="1:1" x14ac:dyDescent="0.35">
      <c r="A8129" s="4">
        <v>4500200663</v>
      </c>
    </row>
    <row r="8130" spans="1:1" x14ac:dyDescent="0.35">
      <c r="A8130" s="4">
        <v>4500200674</v>
      </c>
    </row>
    <row r="8131" spans="1:1" x14ac:dyDescent="0.35">
      <c r="A8131" s="4">
        <v>4500200680</v>
      </c>
    </row>
    <row r="8132" spans="1:1" x14ac:dyDescent="0.35">
      <c r="A8132" s="4">
        <v>4500200684</v>
      </c>
    </row>
    <row r="8133" spans="1:1" x14ac:dyDescent="0.35">
      <c r="A8133" s="4">
        <v>4500200688</v>
      </c>
    </row>
    <row r="8134" spans="1:1" x14ac:dyDescent="0.35">
      <c r="A8134" s="4">
        <v>4500200694</v>
      </c>
    </row>
    <row r="8135" spans="1:1" x14ac:dyDescent="0.35">
      <c r="A8135" s="4">
        <v>4500200698</v>
      </c>
    </row>
    <row r="8136" spans="1:1" x14ac:dyDescent="0.35">
      <c r="A8136" s="4">
        <v>4500200703</v>
      </c>
    </row>
    <row r="8137" spans="1:1" x14ac:dyDescent="0.35">
      <c r="A8137" s="4">
        <v>4500200709</v>
      </c>
    </row>
    <row r="8138" spans="1:1" x14ac:dyDescent="0.35">
      <c r="A8138" s="4">
        <v>4500200714</v>
      </c>
    </row>
    <row r="8139" spans="1:1" x14ac:dyDescent="0.35">
      <c r="A8139" s="4">
        <v>4500200717</v>
      </c>
    </row>
    <row r="8140" spans="1:1" x14ac:dyDescent="0.35">
      <c r="A8140" s="4">
        <v>4500200723</v>
      </c>
    </row>
    <row r="8141" spans="1:1" x14ac:dyDescent="0.35">
      <c r="A8141" s="4">
        <v>4500200726</v>
      </c>
    </row>
    <row r="8142" spans="1:1" x14ac:dyDescent="0.35">
      <c r="A8142" s="4">
        <v>4500200728</v>
      </c>
    </row>
    <row r="8143" spans="1:1" x14ac:dyDescent="0.35">
      <c r="A8143" s="4">
        <v>4500200731</v>
      </c>
    </row>
    <row r="8144" spans="1:1" x14ac:dyDescent="0.35">
      <c r="A8144" s="4">
        <v>4500200734</v>
      </c>
    </row>
    <row r="8145" spans="1:1" x14ac:dyDescent="0.35">
      <c r="A8145" s="4">
        <v>4500200735</v>
      </c>
    </row>
    <row r="8146" spans="1:1" x14ac:dyDescent="0.35">
      <c r="A8146" s="4">
        <v>4500200736</v>
      </c>
    </row>
    <row r="8147" spans="1:1" x14ac:dyDescent="0.35">
      <c r="A8147" s="4">
        <v>4500200737</v>
      </c>
    </row>
    <row r="8148" spans="1:1" x14ac:dyDescent="0.35">
      <c r="A8148" s="4">
        <v>4500200738</v>
      </c>
    </row>
    <row r="8149" spans="1:1" x14ac:dyDescent="0.35">
      <c r="A8149" s="4">
        <v>4500200739</v>
      </c>
    </row>
    <row r="8150" spans="1:1" x14ac:dyDescent="0.35">
      <c r="A8150" s="4">
        <v>4500200745</v>
      </c>
    </row>
    <row r="8151" spans="1:1" x14ac:dyDescent="0.35">
      <c r="A8151" s="4">
        <v>4500200816</v>
      </c>
    </row>
    <row r="8152" spans="1:1" x14ac:dyDescent="0.35">
      <c r="A8152" s="4">
        <v>4500200821</v>
      </c>
    </row>
    <row r="8153" spans="1:1" x14ac:dyDescent="0.35">
      <c r="A8153" s="4">
        <v>4500200827</v>
      </c>
    </row>
    <row r="8154" spans="1:1" x14ac:dyDescent="0.35">
      <c r="A8154" s="4">
        <v>4500200831</v>
      </c>
    </row>
    <row r="8155" spans="1:1" x14ac:dyDescent="0.35">
      <c r="A8155" s="4">
        <v>4500200837</v>
      </c>
    </row>
    <row r="8156" spans="1:1" x14ac:dyDescent="0.35">
      <c r="A8156" s="4">
        <v>4500200845</v>
      </c>
    </row>
    <row r="8157" spans="1:1" x14ac:dyDescent="0.35">
      <c r="A8157" s="4">
        <v>4500200846</v>
      </c>
    </row>
    <row r="8158" spans="1:1" x14ac:dyDescent="0.35">
      <c r="A8158" s="4">
        <v>4500200852</v>
      </c>
    </row>
    <row r="8159" spans="1:1" x14ac:dyDescent="0.35">
      <c r="A8159" s="4">
        <v>4500200856</v>
      </c>
    </row>
    <row r="8160" spans="1:1" x14ac:dyDescent="0.35">
      <c r="A8160" s="4">
        <v>4500200860</v>
      </c>
    </row>
    <row r="8161" spans="1:1" x14ac:dyDescent="0.35">
      <c r="A8161" s="4">
        <v>4500200868</v>
      </c>
    </row>
    <row r="8162" spans="1:1" x14ac:dyDescent="0.35">
      <c r="A8162" s="4">
        <v>4500200887</v>
      </c>
    </row>
    <row r="8163" spans="1:1" x14ac:dyDescent="0.35">
      <c r="A8163" s="4">
        <v>4500200893</v>
      </c>
    </row>
    <row r="8164" spans="1:1" x14ac:dyDescent="0.35">
      <c r="A8164" s="4">
        <v>4500200897</v>
      </c>
    </row>
    <row r="8165" spans="1:1" x14ac:dyDescent="0.35">
      <c r="A8165" s="4">
        <v>4500200907</v>
      </c>
    </row>
    <row r="8166" spans="1:1" x14ac:dyDescent="0.35">
      <c r="A8166" s="4">
        <v>4500200917</v>
      </c>
    </row>
    <row r="8167" spans="1:1" x14ac:dyDescent="0.35">
      <c r="A8167" s="4">
        <v>4500200922</v>
      </c>
    </row>
    <row r="8168" spans="1:1" x14ac:dyDescent="0.35">
      <c r="A8168" s="4">
        <v>4500200925</v>
      </c>
    </row>
    <row r="8169" spans="1:1" x14ac:dyDescent="0.35">
      <c r="A8169" s="4">
        <v>4500200928</v>
      </c>
    </row>
    <row r="8170" spans="1:1" x14ac:dyDescent="0.35">
      <c r="A8170" s="4">
        <v>4500200931</v>
      </c>
    </row>
    <row r="8171" spans="1:1" x14ac:dyDescent="0.35">
      <c r="A8171" s="4">
        <v>4500200933</v>
      </c>
    </row>
    <row r="8172" spans="1:1" x14ac:dyDescent="0.35">
      <c r="A8172" s="4">
        <v>4500200934</v>
      </c>
    </row>
    <row r="8173" spans="1:1" x14ac:dyDescent="0.35">
      <c r="A8173" s="4">
        <v>4500200936</v>
      </c>
    </row>
    <row r="8174" spans="1:1" x14ac:dyDescent="0.35">
      <c r="A8174" s="4">
        <v>4500200937</v>
      </c>
    </row>
    <row r="8175" spans="1:1" x14ac:dyDescent="0.35">
      <c r="A8175" s="4">
        <v>4500200939</v>
      </c>
    </row>
    <row r="8176" spans="1:1" x14ac:dyDescent="0.35">
      <c r="A8176" s="4">
        <v>4500200948</v>
      </c>
    </row>
    <row r="8177" spans="1:1" x14ac:dyDescent="0.35">
      <c r="A8177" s="4">
        <v>4500200956</v>
      </c>
    </row>
    <row r="8178" spans="1:1" x14ac:dyDescent="0.35">
      <c r="A8178" s="4">
        <v>4500201038</v>
      </c>
    </row>
    <row r="8179" spans="1:1" x14ac:dyDescent="0.35">
      <c r="A8179" s="4">
        <v>4500201051</v>
      </c>
    </row>
    <row r="8180" spans="1:1" x14ac:dyDescent="0.35">
      <c r="A8180" s="4">
        <v>4500201057</v>
      </c>
    </row>
    <row r="8181" spans="1:1" x14ac:dyDescent="0.35">
      <c r="A8181" s="4">
        <v>4500201071</v>
      </c>
    </row>
    <row r="8182" spans="1:1" x14ac:dyDescent="0.35">
      <c r="A8182" s="4">
        <v>4500201081</v>
      </c>
    </row>
    <row r="8183" spans="1:1" x14ac:dyDescent="0.35">
      <c r="A8183" s="4">
        <v>4500201086</v>
      </c>
    </row>
    <row r="8184" spans="1:1" x14ac:dyDescent="0.35">
      <c r="A8184" s="4">
        <v>4500201090</v>
      </c>
    </row>
    <row r="8185" spans="1:1" x14ac:dyDescent="0.35">
      <c r="A8185" s="4">
        <v>4500201093</v>
      </c>
    </row>
    <row r="8186" spans="1:1" x14ac:dyDescent="0.35">
      <c r="A8186" s="4">
        <v>4500201105</v>
      </c>
    </row>
    <row r="8187" spans="1:1" x14ac:dyDescent="0.35">
      <c r="A8187" s="4">
        <v>4500201114</v>
      </c>
    </row>
    <row r="8188" spans="1:1" x14ac:dyDescent="0.35">
      <c r="A8188" s="4">
        <v>4500201117</v>
      </c>
    </row>
    <row r="8189" spans="1:1" x14ac:dyDescent="0.35">
      <c r="A8189" s="4">
        <v>4500201123</v>
      </c>
    </row>
    <row r="8190" spans="1:1" x14ac:dyDescent="0.35">
      <c r="A8190" s="4">
        <v>4500201127</v>
      </c>
    </row>
    <row r="8191" spans="1:1" x14ac:dyDescent="0.35">
      <c r="A8191" s="4">
        <v>4500201134</v>
      </c>
    </row>
    <row r="8192" spans="1:1" x14ac:dyDescent="0.35">
      <c r="A8192" s="4">
        <v>4500201136</v>
      </c>
    </row>
    <row r="8193" spans="1:1" x14ac:dyDescent="0.35">
      <c r="A8193" s="4">
        <v>4500201141</v>
      </c>
    </row>
    <row r="8194" spans="1:1" x14ac:dyDescent="0.35">
      <c r="A8194" s="4">
        <v>4500201143</v>
      </c>
    </row>
    <row r="8195" spans="1:1" x14ac:dyDescent="0.35">
      <c r="A8195" s="4">
        <v>4500201145</v>
      </c>
    </row>
    <row r="8196" spans="1:1" x14ac:dyDescent="0.35">
      <c r="A8196" s="4">
        <v>4500201146</v>
      </c>
    </row>
    <row r="8197" spans="1:1" x14ac:dyDescent="0.35">
      <c r="A8197" s="4">
        <v>4500201149</v>
      </c>
    </row>
    <row r="8198" spans="1:1" x14ac:dyDescent="0.35">
      <c r="A8198" s="4">
        <v>4500201159</v>
      </c>
    </row>
    <row r="8199" spans="1:1" x14ac:dyDescent="0.35">
      <c r="A8199" s="4">
        <v>4500201161</v>
      </c>
    </row>
    <row r="8200" spans="1:1" x14ac:dyDescent="0.35">
      <c r="A8200" s="4">
        <v>4500201163</v>
      </c>
    </row>
    <row r="8201" spans="1:1" x14ac:dyDescent="0.35">
      <c r="A8201" s="4">
        <v>4500201164</v>
      </c>
    </row>
    <row r="8202" spans="1:1" x14ac:dyDescent="0.35">
      <c r="A8202" s="4">
        <v>4500201240</v>
      </c>
    </row>
    <row r="8203" spans="1:1" x14ac:dyDescent="0.35">
      <c r="A8203" s="4">
        <v>4500201242</v>
      </c>
    </row>
    <row r="8204" spans="1:1" x14ac:dyDescent="0.35">
      <c r="A8204" s="4">
        <v>4500201245</v>
      </c>
    </row>
    <row r="8205" spans="1:1" x14ac:dyDescent="0.35">
      <c r="A8205" s="4">
        <v>4500201247</v>
      </c>
    </row>
    <row r="8206" spans="1:1" x14ac:dyDescent="0.35">
      <c r="A8206" s="4">
        <v>4500201250</v>
      </c>
    </row>
    <row r="8207" spans="1:1" x14ac:dyDescent="0.35">
      <c r="A8207" s="4">
        <v>4500201251</v>
      </c>
    </row>
    <row r="8208" spans="1:1" x14ac:dyDescent="0.35">
      <c r="A8208" s="4">
        <v>4500201254</v>
      </c>
    </row>
    <row r="8209" spans="1:1" x14ac:dyDescent="0.35">
      <c r="A8209" s="4">
        <v>4500201257</v>
      </c>
    </row>
    <row r="8210" spans="1:1" x14ac:dyDescent="0.35">
      <c r="A8210" s="4">
        <v>4500201260</v>
      </c>
    </row>
    <row r="8211" spans="1:1" x14ac:dyDescent="0.35">
      <c r="A8211" s="4">
        <v>4500201266</v>
      </c>
    </row>
    <row r="8212" spans="1:1" x14ac:dyDescent="0.35">
      <c r="A8212" s="4">
        <v>4500201267</v>
      </c>
    </row>
    <row r="8213" spans="1:1" x14ac:dyDescent="0.35">
      <c r="A8213" s="4">
        <v>4500201273</v>
      </c>
    </row>
    <row r="8214" spans="1:1" x14ac:dyDescent="0.35">
      <c r="A8214" s="4">
        <v>4500201274</v>
      </c>
    </row>
    <row r="8215" spans="1:1" x14ac:dyDescent="0.35">
      <c r="A8215" s="4">
        <v>4500201279</v>
      </c>
    </row>
    <row r="8216" spans="1:1" x14ac:dyDescent="0.35">
      <c r="A8216" s="4">
        <v>4500201287</v>
      </c>
    </row>
    <row r="8217" spans="1:1" x14ac:dyDescent="0.35">
      <c r="A8217" s="4">
        <v>4500201294</v>
      </c>
    </row>
    <row r="8218" spans="1:1" x14ac:dyDescent="0.35">
      <c r="A8218" s="4">
        <v>4500201302</v>
      </c>
    </row>
    <row r="8219" spans="1:1" x14ac:dyDescent="0.35">
      <c r="A8219" s="4">
        <v>4500201306</v>
      </c>
    </row>
    <row r="8220" spans="1:1" x14ac:dyDescent="0.35">
      <c r="A8220" s="4">
        <v>4500201312</v>
      </c>
    </row>
    <row r="8221" spans="1:1" x14ac:dyDescent="0.35">
      <c r="A8221" s="4">
        <v>4500201316</v>
      </c>
    </row>
    <row r="8222" spans="1:1" x14ac:dyDescent="0.35">
      <c r="A8222" s="4">
        <v>4500201319</v>
      </c>
    </row>
    <row r="8223" spans="1:1" x14ac:dyDescent="0.35">
      <c r="A8223" s="4">
        <v>4500201324</v>
      </c>
    </row>
    <row r="8224" spans="1:1" x14ac:dyDescent="0.35">
      <c r="A8224" s="4">
        <v>4500201331</v>
      </c>
    </row>
    <row r="8225" spans="1:1" x14ac:dyDescent="0.35">
      <c r="A8225" s="4">
        <v>4500201337</v>
      </c>
    </row>
    <row r="8226" spans="1:1" x14ac:dyDescent="0.35">
      <c r="A8226" s="4">
        <v>4500201340</v>
      </c>
    </row>
    <row r="8227" spans="1:1" x14ac:dyDescent="0.35">
      <c r="A8227" s="4">
        <v>4500201344</v>
      </c>
    </row>
    <row r="8228" spans="1:1" x14ac:dyDescent="0.35">
      <c r="A8228" s="4">
        <v>4500201347</v>
      </c>
    </row>
    <row r="8229" spans="1:1" x14ac:dyDescent="0.35">
      <c r="A8229" s="4">
        <v>4500201349</v>
      </c>
    </row>
    <row r="8230" spans="1:1" x14ac:dyDescent="0.35">
      <c r="A8230" s="4">
        <v>4500201366</v>
      </c>
    </row>
    <row r="8231" spans="1:1" x14ac:dyDescent="0.35">
      <c r="A8231" s="4">
        <v>4500201441</v>
      </c>
    </row>
    <row r="8232" spans="1:1" x14ac:dyDescent="0.35">
      <c r="A8232" s="4">
        <v>4500201446</v>
      </c>
    </row>
    <row r="8233" spans="1:1" x14ac:dyDescent="0.35">
      <c r="A8233" s="4">
        <v>4500201448</v>
      </c>
    </row>
    <row r="8234" spans="1:1" x14ac:dyDescent="0.35">
      <c r="A8234" s="4">
        <v>4500201450</v>
      </c>
    </row>
    <row r="8235" spans="1:1" x14ac:dyDescent="0.35">
      <c r="A8235" s="4">
        <v>4500201453</v>
      </c>
    </row>
    <row r="8236" spans="1:1" x14ac:dyDescent="0.35">
      <c r="A8236" s="4">
        <v>4500201455</v>
      </c>
    </row>
    <row r="8237" spans="1:1" x14ac:dyDescent="0.35">
      <c r="A8237" s="4">
        <v>4500201457</v>
      </c>
    </row>
    <row r="8238" spans="1:1" x14ac:dyDescent="0.35">
      <c r="A8238" s="4">
        <v>4500201460</v>
      </c>
    </row>
    <row r="8239" spans="1:1" x14ac:dyDescent="0.35">
      <c r="A8239" s="4">
        <v>4500201463</v>
      </c>
    </row>
    <row r="8240" spans="1:1" x14ac:dyDescent="0.35">
      <c r="A8240" s="4">
        <v>4500201465</v>
      </c>
    </row>
    <row r="8241" spans="1:1" x14ac:dyDescent="0.35">
      <c r="A8241" s="4">
        <v>4500201470</v>
      </c>
    </row>
    <row r="8242" spans="1:1" x14ac:dyDescent="0.35">
      <c r="A8242" s="4">
        <v>4500201473</v>
      </c>
    </row>
    <row r="8243" spans="1:1" x14ac:dyDescent="0.35">
      <c r="A8243" s="4">
        <v>4500201478</v>
      </c>
    </row>
    <row r="8244" spans="1:1" x14ac:dyDescent="0.35">
      <c r="A8244" s="4">
        <v>4500201484</v>
      </c>
    </row>
    <row r="8245" spans="1:1" x14ac:dyDescent="0.35">
      <c r="A8245" s="4">
        <v>4500201490</v>
      </c>
    </row>
    <row r="8246" spans="1:1" x14ac:dyDescent="0.35">
      <c r="A8246" s="4">
        <v>4500201505</v>
      </c>
    </row>
    <row r="8247" spans="1:1" x14ac:dyDescent="0.35">
      <c r="A8247" s="4">
        <v>4500201509</v>
      </c>
    </row>
    <row r="8248" spans="1:1" x14ac:dyDescent="0.35">
      <c r="A8248" s="4">
        <v>4500201513</v>
      </c>
    </row>
    <row r="8249" spans="1:1" x14ac:dyDescent="0.35">
      <c r="A8249" s="4">
        <v>4500201518</v>
      </c>
    </row>
    <row r="8250" spans="1:1" x14ac:dyDescent="0.35">
      <c r="A8250" s="4">
        <v>4500201529</v>
      </c>
    </row>
    <row r="8251" spans="1:1" x14ac:dyDescent="0.35">
      <c r="A8251" s="4">
        <v>4500201532</v>
      </c>
    </row>
    <row r="8252" spans="1:1" x14ac:dyDescent="0.35">
      <c r="A8252" s="4">
        <v>4500201540</v>
      </c>
    </row>
    <row r="8253" spans="1:1" x14ac:dyDescent="0.35">
      <c r="A8253" s="4">
        <v>4500201544</v>
      </c>
    </row>
    <row r="8254" spans="1:1" x14ac:dyDescent="0.35">
      <c r="A8254" s="4">
        <v>4500201715</v>
      </c>
    </row>
    <row r="8255" spans="1:1" x14ac:dyDescent="0.35">
      <c r="A8255" s="4">
        <v>4500201719</v>
      </c>
    </row>
    <row r="8256" spans="1:1" x14ac:dyDescent="0.35">
      <c r="A8256" s="4">
        <v>4500201720</v>
      </c>
    </row>
    <row r="8257" spans="1:1" x14ac:dyDescent="0.35">
      <c r="A8257" s="4">
        <v>4500201724</v>
      </c>
    </row>
    <row r="8258" spans="1:1" x14ac:dyDescent="0.35">
      <c r="A8258" s="4">
        <v>4500201731</v>
      </c>
    </row>
    <row r="8259" spans="1:1" x14ac:dyDescent="0.35">
      <c r="A8259" s="4">
        <v>4500201733</v>
      </c>
    </row>
    <row r="8260" spans="1:1" x14ac:dyDescent="0.35">
      <c r="A8260" s="4">
        <v>4500201736</v>
      </c>
    </row>
    <row r="8261" spans="1:1" x14ac:dyDescent="0.35">
      <c r="A8261" s="4">
        <v>4500201738</v>
      </c>
    </row>
    <row r="8262" spans="1:1" x14ac:dyDescent="0.35">
      <c r="A8262" s="4">
        <v>4500201743</v>
      </c>
    </row>
    <row r="8263" spans="1:1" x14ac:dyDescent="0.35">
      <c r="A8263" s="4">
        <v>4500201750</v>
      </c>
    </row>
    <row r="8264" spans="1:1" x14ac:dyDescent="0.35">
      <c r="A8264" s="4">
        <v>4500201755</v>
      </c>
    </row>
    <row r="8265" spans="1:1" x14ac:dyDescent="0.35">
      <c r="A8265" s="4">
        <v>4500201758</v>
      </c>
    </row>
    <row r="8266" spans="1:1" x14ac:dyDescent="0.35">
      <c r="A8266" s="4">
        <v>4500201763</v>
      </c>
    </row>
    <row r="8267" spans="1:1" x14ac:dyDescent="0.35">
      <c r="A8267" s="4">
        <v>4500201769</v>
      </c>
    </row>
    <row r="8268" spans="1:1" x14ac:dyDescent="0.35">
      <c r="A8268" s="4">
        <v>4500201774</v>
      </c>
    </row>
    <row r="8269" spans="1:1" x14ac:dyDescent="0.35">
      <c r="A8269" s="4">
        <v>4500201776</v>
      </c>
    </row>
    <row r="8270" spans="1:1" x14ac:dyDescent="0.35">
      <c r="A8270" s="4">
        <v>4500201777</v>
      </c>
    </row>
    <row r="8271" spans="1:1" x14ac:dyDescent="0.35">
      <c r="A8271" s="4">
        <v>4500201780</v>
      </c>
    </row>
    <row r="8272" spans="1:1" x14ac:dyDescent="0.35">
      <c r="A8272" s="4">
        <v>4500201785</v>
      </c>
    </row>
    <row r="8273" spans="1:1" x14ac:dyDescent="0.35">
      <c r="A8273" s="4">
        <v>4500201788</v>
      </c>
    </row>
    <row r="8274" spans="1:1" x14ac:dyDescent="0.35">
      <c r="A8274" s="4">
        <v>4500201791</v>
      </c>
    </row>
    <row r="8275" spans="1:1" x14ac:dyDescent="0.35">
      <c r="A8275" s="4">
        <v>4500201795</v>
      </c>
    </row>
    <row r="8276" spans="1:1" x14ac:dyDescent="0.35">
      <c r="A8276" s="4">
        <v>4500201797</v>
      </c>
    </row>
    <row r="8277" spans="1:1" x14ac:dyDescent="0.35">
      <c r="A8277" s="4">
        <v>4500201800</v>
      </c>
    </row>
    <row r="8278" spans="1:1" x14ac:dyDescent="0.35">
      <c r="A8278" s="4">
        <v>4500201803</v>
      </c>
    </row>
    <row r="8279" spans="1:1" x14ac:dyDescent="0.35">
      <c r="A8279" s="4">
        <v>4500201807</v>
      </c>
    </row>
    <row r="8280" spans="1:1" x14ac:dyDescent="0.35">
      <c r="A8280" s="4">
        <v>4500201810</v>
      </c>
    </row>
    <row r="8281" spans="1:1" x14ac:dyDescent="0.35">
      <c r="A8281" s="4">
        <v>4500201813</v>
      </c>
    </row>
    <row r="8282" spans="1:1" x14ac:dyDescent="0.35">
      <c r="A8282" s="4">
        <v>4500201817</v>
      </c>
    </row>
    <row r="8283" spans="1:1" x14ac:dyDescent="0.35">
      <c r="A8283" s="4">
        <v>4500201820</v>
      </c>
    </row>
    <row r="8284" spans="1:1" x14ac:dyDescent="0.35">
      <c r="A8284" s="4">
        <v>4500201850</v>
      </c>
    </row>
    <row r="8285" spans="1:1" x14ac:dyDescent="0.35">
      <c r="A8285" s="4">
        <v>4500201852</v>
      </c>
    </row>
    <row r="8286" spans="1:1" x14ac:dyDescent="0.35">
      <c r="A8286" s="4">
        <v>4500201910</v>
      </c>
    </row>
    <row r="8287" spans="1:1" x14ac:dyDescent="0.35">
      <c r="A8287" s="4">
        <v>4500201935</v>
      </c>
    </row>
    <row r="8288" spans="1:1" x14ac:dyDescent="0.35">
      <c r="A8288" s="4">
        <v>4500201937</v>
      </c>
    </row>
    <row r="8289" spans="1:1" x14ac:dyDescent="0.35">
      <c r="A8289" s="4">
        <v>4500201938</v>
      </c>
    </row>
    <row r="8290" spans="1:1" x14ac:dyDescent="0.35">
      <c r="A8290" s="4">
        <v>4500201942</v>
      </c>
    </row>
    <row r="8291" spans="1:1" x14ac:dyDescent="0.35">
      <c r="A8291" s="4">
        <v>4500201945</v>
      </c>
    </row>
    <row r="8292" spans="1:1" x14ac:dyDescent="0.35">
      <c r="A8292" s="4">
        <v>4500201948</v>
      </c>
    </row>
    <row r="8293" spans="1:1" x14ac:dyDescent="0.35">
      <c r="A8293" s="4">
        <v>4500201953</v>
      </c>
    </row>
    <row r="8294" spans="1:1" x14ac:dyDescent="0.35">
      <c r="A8294" s="4">
        <v>4500201954</v>
      </c>
    </row>
    <row r="8295" spans="1:1" x14ac:dyDescent="0.35">
      <c r="A8295" s="4">
        <v>4500201957</v>
      </c>
    </row>
    <row r="8296" spans="1:1" x14ac:dyDescent="0.35">
      <c r="A8296" s="4">
        <v>4500201959</v>
      </c>
    </row>
    <row r="8297" spans="1:1" x14ac:dyDescent="0.35">
      <c r="A8297" s="4">
        <v>4500201968</v>
      </c>
    </row>
    <row r="8298" spans="1:1" x14ac:dyDescent="0.35">
      <c r="A8298" s="4">
        <v>4500201974</v>
      </c>
    </row>
    <row r="8299" spans="1:1" x14ac:dyDescent="0.35">
      <c r="A8299" s="4">
        <v>4500201979</v>
      </c>
    </row>
    <row r="8300" spans="1:1" x14ac:dyDescent="0.35">
      <c r="A8300" s="4">
        <v>4500201983</v>
      </c>
    </row>
    <row r="8301" spans="1:1" x14ac:dyDescent="0.35">
      <c r="A8301" s="4">
        <v>4500201986</v>
      </c>
    </row>
    <row r="8302" spans="1:1" x14ac:dyDescent="0.35">
      <c r="A8302" s="4">
        <v>4500201988</v>
      </c>
    </row>
    <row r="8303" spans="1:1" x14ac:dyDescent="0.35">
      <c r="A8303" s="4">
        <v>4500201992</v>
      </c>
    </row>
    <row r="8304" spans="1:1" x14ac:dyDescent="0.35">
      <c r="A8304" s="4">
        <v>4500201995</v>
      </c>
    </row>
    <row r="8305" spans="1:1" x14ac:dyDescent="0.35">
      <c r="A8305" s="4">
        <v>4500201999</v>
      </c>
    </row>
    <row r="8306" spans="1:1" x14ac:dyDescent="0.35">
      <c r="A8306" s="4">
        <v>4500202004</v>
      </c>
    </row>
    <row r="8307" spans="1:1" x14ac:dyDescent="0.35">
      <c r="A8307" s="4">
        <v>4500202010</v>
      </c>
    </row>
    <row r="8308" spans="1:1" x14ac:dyDescent="0.35">
      <c r="A8308" s="4">
        <v>4500202015</v>
      </c>
    </row>
    <row r="8309" spans="1:1" x14ac:dyDescent="0.35">
      <c r="A8309" s="4">
        <v>4500202018</v>
      </c>
    </row>
    <row r="8310" spans="1:1" x14ac:dyDescent="0.35">
      <c r="A8310" s="4">
        <v>4500202023</v>
      </c>
    </row>
    <row r="8311" spans="1:1" x14ac:dyDescent="0.35">
      <c r="A8311" s="4">
        <v>4500202027</v>
      </c>
    </row>
    <row r="8312" spans="1:1" x14ac:dyDescent="0.35">
      <c r="A8312" s="4">
        <v>4500202031</v>
      </c>
    </row>
    <row r="8313" spans="1:1" x14ac:dyDescent="0.35">
      <c r="A8313" s="4">
        <v>4500202137</v>
      </c>
    </row>
    <row r="8314" spans="1:1" x14ac:dyDescent="0.35">
      <c r="A8314" s="4">
        <v>4500202139</v>
      </c>
    </row>
    <row r="8315" spans="1:1" x14ac:dyDescent="0.35">
      <c r="A8315" s="4">
        <v>4500202150</v>
      </c>
    </row>
    <row r="8316" spans="1:1" x14ac:dyDescent="0.35">
      <c r="A8316" s="4">
        <v>4500202152</v>
      </c>
    </row>
    <row r="8317" spans="1:1" x14ac:dyDescent="0.35">
      <c r="A8317" s="4">
        <v>4500202155</v>
      </c>
    </row>
    <row r="8318" spans="1:1" x14ac:dyDescent="0.35">
      <c r="A8318" s="4">
        <v>4500202160</v>
      </c>
    </row>
    <row r="8319" spans="1:1" x14ac:dyDescent="0.35">
      <c r="A8319" s="4">
        <v>4500202166</v>
      </c>
    </row>
    <row r="8320" spans="1:1" x14ac:dyDescent="0.35">
      <c r="A8320" s="4">
        <v>4500202173</v>
      </c>
    </row>
    <row r="8321" spans="1:1" x14ac:dyDescent="0.35">
      <c r="A8321" s="4">
        <v>4500202185</v>
      </c>
    </row>
    <row r="8322" spans="1:1" x14ac:dyDescent="0.35">
      <c r="A8322" s="4">
        <v>4500202192</v>
      </c>
    </row>
    <row r="8323" spans="1:1" x14ac:dyDescent="0.35">
      <c r="A8323" s="4">
        <v>4500202196</v>
      </c>
    </row>
    <row r="8324" spans="1:1" x14ac:dyDescent="0.35">
      <c r="A8324" s="4">
        <v>4500202199</v>
      </c>
    </row>
    <row r="8325" spans="1:1" x14ac:dyDescent="0.35">
      <c r="A8325" s="4">
        <v>4500202204</v>
      </c>
    </row>
    <row r="8326" spans="1:1" x14ac:dyDescent="0.35">
      <c r="A8326" s="4">
        <v>4500202208</v>
      </c>
    </row>
    <row r="8327" spans="1:1" x14ac:dyDescent="0.35">
      <c r="A8327" s="4">
        <v>4500202216</v>
      </c>
    </row>
    <row r="8328" spans="1:1" x14ac:dyDescent="0.35">
      <c r="A8328" s="4">
        <v>4500202219</v>
      </c>
    </row>
    <row r="8329" spans="1:1" x14ac:dyDescent="0.35">
      <c r="A8329" s="4">
        <v>4500202226</v>
      </c>
    </row>
    <row r="8330" spans="1:1" x14ac:dyDescent="0.35">
      <c r="A8330" s="4">
        <v>4500202230</v>
      </c>
    </row>
    <row r="8331" spans="1:1" x14ac:dyDescent="0.35">
      <c r="A8331" s="4">
        <v>4500202232</v>
      </c>
    </row>
    <row r="8332" spans="1:1" x14ac:dyDescent="0.35">
      <c r="A8332" s="4">
        <v>4500202234</v>
      </c>
    </row>
    <row r="8333" spans="1:1" x14ac:dyDescent="0.35">
      <c r="A8333" s="4">
        <v>4500202236</v>
      </c>
    </row>
    <row r="8334" spans="1:1" x14ac:dyDescent="0.35">
      <c r="A8334" s="4">
        <v>4500202239</v>
      </c>
    </row>
    <row r="8335" spans="1:1" x14ac:dyDescent="0.35">
      <c r="A8335" s="4">
        <v>4500202243</v>
      </c>
    </row>
    <row r="8336" spans="1:1" x14ac:dyDescent="0.35">
      <c r="A8336" s="4">
        <v>4500202249</v>
      </c>
    </row>
    <row r="8337" spans="1:1" x14ac:dyDescent="0.35">
      <c r="A8337" s="4">
        <v>4500202257</v>
      </c>
    </row>
    <row r="8338" spans="1:1" x14ac:dyDescent="0.35">
      <c r="A8338" s="4">
        <v>4500202261</v>
      </c>
    </row>
    <row r="8339" spans="1:1" x14ac:dyDescent="0.35">
      <c r="A8339" s="4">
        <v>4500202265</v>
      </c>
    </row>
    <row r="8340" spans="1:1" x14ac:dyDescent="0.35">
      <c r="A8340" s="4">
        <v>4500202267</v>
      </c>
    </row>
    <row r="8341" spans="1:1" x14ac:dyDescent="0.35">
      <c r="A8341" s="4">
        <v>4500202434</v>
      </c>
    </row>
    <row r="8342" spans="1:1" x14ac:dyDescent="0.35">
      <c r="A8342" s="4">
        <v>4500202440</v>
      </c>
    </row>
    <row r="8343" spans="1:1" x14ac:dyDescent="0.35">
      <c r="A8343" s="4">
        <v>4500202444</v>
      </c>
    </row>
    <row r="8344" spans="1:1" x14ac:dyDescent="0.35">
      <c r="A8344" s="4">
        <v>4500202447</v>
      </c>
    </row>
    <row r="8345" spans="1:1" x14ac:dyDescent="0.35">
      <c r="A8345" s="4">
        <v>4500202450</v>
      </c>
    </row>
    <row r="8346" spans="1:1" x14ac:dyDescent="0.35">
      <c r="A8346" s="4">
        <v>4500202471</v>
      </c>
    </row>
    <row r="8347" spans="1:1" x14ac:dyDescent="0.35">
      <c r="A8347" s="4">
        <v>4500202477</v>
      </c>
    </row>
    <row r="8348" spans="1:1" x14ac:dyDescent="0.35">
      <c r="A8348" s="4">
        <v>4500202479</v>
      </c>
    </row>
    <row r="8349" spans="1:1" x14ac:dyDescent="0.35">
      <c r="A8349" s="4">
        <v>4500202485</v>
      </c>
    </row>
    <row r="8350" spans="1:1" x14ac:dyDescent="0.35">
      <c r="A8350" s="4">
        <v>4500202492</v>
      </c>
    </row>
    <row r="8351" spans="1:1" x14ac:dyDescent="0.35">
      <c r="A8351" s="4">
        <v>4500202496</v>
      </c>
    </row>
    <row r="8352" spans="1:1" x14ac:dyDescent="0.35">
      <c r="A8352" s="4">
        <v>4500202500</v>
      </c>
    </row>
    <row r="8353" spans="1:1" x14ac:dyDescent="0.35">
      <c r="A8353" s="4">
        <v>4500202508</v>
      </c>
    </row>
    <row r="8354" spans="1:1" x14ac:dyDescent="0.35">
      <c r="A8354" s="4">
        <v>4500202513</v>
      </c>
    </row>
    <row r="8355" spans="1:1" x14ac:dyDescent="0.35">
      <c r="A8355" s="4">
        <v>4500202515</v>
      </c>
    </row>
    <row r="8356" spans="1:1" x14ac:dyDescent="0.35">
      <c r="A8356" s="4">
        <v>4500202518</v>
      </c>
    </row>
    <row r="8357" spans="1:1" x14ac:dyDescent="0.35">
      <c r="A8357" s="4">
        <v>4500202520</v>
      </c>
    </row>
    <row r="8358" spans="1:1" x14ac:dyDescent="0.35">
      <c r="A8358" s="4">
        <v>4500202523</v>
      </c>
    </row>
    <row r="8359" spans="1:1" x14ac:dyDescent="0.35">
      <c r="A8359" s="4">
        <v>4500202525</v>
      </c>
    </row>
    <row r="8360" spans="1:1" x14ac:dyDescent="0.35">
      <c r="A8360" s="4">
        <v>4500202526</v>
      </c>
    </row>
    <row r="8361" spans="1:1" x14ac:dyDescent="0.35">
      <c r="A8361" s="4">
        <v>4500202529</v>
      </c>
    </row>
    <row r="8362" spans="1:1" x14ac:dyDescent="0.35">
      <c r="A8362" s="4">
        <v>4500202531</v>
      </c>
    </row>
    <row r="8363" spans="1:1" x14ac:dyDescent="0.35">
      <c r="A8363" s="4">
        <v>4500202535</v>
      </c>
    </row>
    <row r="8364" spans="1:1" x14ac:dyDescent="0.35">
      <c r="A8364" s="4">
        <v>4500202539</v>
      </c>
    </row>
    <row r="8365" spans="1:1" x14ac:dyDescent="0.35">
      <c r="A8365" s="4">
        <v>4500202540</v>
      </c>
    </row>
    <row r="8366" spans="1:1" x14ac:dyDescent="0.35">
      <c r="A8366" s="4">
        <v>4500202542</v>
      </c>
    </row>
    <row r="8367" spans="1:1" x14ac:dyDescent="0.35">
      <c r="A8367" s="4">
        <v>4500202544</v>
      </c>
    </row>
    <row r="8368" spans="1:1" x14ac:dyDescent="0.35">
      <c r="A8368" s="4">
        <v>4500202547</v>
      </c>
    </row>
    <row r="8369" spans="1:1" x14ac:dyDescent="0.35">
      <c r="A8369" s="4">
        <v>4500202549</v>
      </c>
    </row>
    <row r="8370" spans="1:1" x14ac:dyDescent="0.35">
      <c r="A8370" s="4">
        <v>4500202550</v>
      </c>
    </row>
    <row r="8371" spans="1:1" x14ac:dyDescent="0.35">
      <c r="A8371" s="4">
        <v>4500202551</v>
      </c>
    </row>
    <row r="8372" spans="1:1" x14ac:dyDescent="0.35">
      <c r="A8372" s="4">
        <v>4500202552</v>
      </c>
    </row>
    <row r="8373" spans="1:1" x14ac:dyDescent="0.35">
      <c r="A8373" s="4">
        <v>4500202553</v>
      </c>
    </row>
    <row r="8374" spans="1:1" x14ac:dyDescent="0.35">
      <c r="A8374" s="4">
        <v>4500202644</v>
      </c>
    </row>
    <row r="8375" spans="1:1" x14ac:dyDescent="0.35">
      <c r="A8375" s="4">
        <v>4500202650</v>
      </c>
    </row>
    <row r="8376" spans="1:1" x14ac:dyDescent="0.35">
      <c r="A8376" s="4">
        <v>4500202655</v>
      </c>
    </row>
    <row r="8377" spans="1:1" x14ac:dyDescent="0.35">
      <c r="A8377" s="4">
        <v>4500202659</v>
      </c>
    </row>
    <row r="8378" spans="1:1" x14ac:dyDescent="0.35">
      <c r="A8378" s="4">
        <v>4500202665</v>
      </c>
    </row>
    <row r="8379" spans="1:1" x14ac:dyDescent="0.35">
      <c r="A8379" s="4">
        <v>4500202668</v>
      </c>
    </row>
    <row r="8380" spans="1:1" x14ac:dyDescent="0.35">
      <c r="A8380" s="4">
        <v>4500202672</v>
      </c>
    </row>
    <row r="8381" spans="1:1" x14ac:dyDescent="0.35">
      <c r="A8381" s="4">
        <v>4500202679</v>
      </c>
    </row>
    <row r="8382" spans="1:1" x14ac:dyDescent="0.35">
      <c r="A8382" s="4">
        <v>4500202684</v>
      </c>
    </row>
    <row r="8383" spans="1:1" x14ac:dyDescent="0.35">
      <c r="A8383" s="4">
        <v>4500202695</v>
      </c>
    </row>
    <row r="8384" spans="1:1" x14ac:dyDescent="0.35">
      <c r="A8384" s="4">
        <v>4500202700</v>
      </c>
    </row>
    <row r="8385" spans="1:1" x14ac:dyDescent="0.35">
      <c r="A8385" s="4">
        <v>4500202705</v>
      </c>
    </row>
    <row r="8386" spans="1:1" x14ac:dyDescent="0.35">
      <c r="A8386" s="4">
        <v>4500202708</v>
      </c>
    </row>
    <row r="8387" spans="1:1" x14ac:dyDescent="0.35">
      <c r="A8387" s="4">
        <v>4500202716</v>
      </c>
    </row>
    <row r="8388" spans="1:1" x14ac:dyDescent="0.35">
      <c r="A8388" s="4">
        <v>4500202723</v>
      </c>
    </row>
    <row r="8389" spans="1:1" x14ac:dyDescent="0.35">
      <c r="A8389" s="4">
        <v>4500202729</v>
      </c>
    </row>
    <row r="8390" spans="1:1" x14ac:dyDescent="0.35">
      <c r="A8390" s="4">
        <v>4500202734</v>
      </c>
    </row>
    <row r="8391" spans="1:1" x14ac:dyDescent="0.35">
      <c r="A8391" s="4">
        <v>4500202738</v>
      </c>
    </row>
    <row r="8392" spans="1:1" x14ac:dyDescent="0.35">
      <c r="A8392" s="4">
        <v>4500202743</v>
      </c>
    </row>
    <row r="8393" spans="1:1" x14ac:dyDescent="0.35">
      <c r="A8393" s="4">
        <v>4500202746</v>
      </c>
    </row>
    <row r="8394" spans="1:1" x14ac:dyDescent="0.35">
      <c r="A8394" s="4">
        <v>4500202752</v>
      </c>
    </row>
    <row r="8395" spans="1:1" x14ac:dyDescent="0.35">
      <c r="A8395" s="4">
        <v>4500202768</v>
      </c>
    </row>
    <row r="8396" spans="1:1" x14ac:dyDescent="0.35">
      <c r="A8396" s="4">
        <v>4500202771</v>
      </c>
    </row>
    <row r="8397" spans="1:1" x14ac:dyDescent="0.35">
      <c r="A8397" s="4">
        <v>4500202774</v>
      </c>
    </row>
    <row r="8398" spans="1:1" x14ac:dyDescent="0.35">
      <c r="A8398" s="4">
        <v>4500202782</v>
      </c>
    </row>
    <row r="8399" spans="1:1" x14ac:dyDescent="0.35">
      <c r="A8399" s="4">
        <v>4500202789</v>
      </c>
    </row>
    <row r="8400" spans="1:1" x14ac:dyDescent="0.35">
      <c r="A8400" s="4">
        <v>4500202795</v>
      </c>
    </row>
    <row r="8401" spans="1:1" x14ac:dyDescent="0.35">
      <c r="A8401" s="4">
        <v>4500202798</v>
      </c>
    </row>
    <row r="8402" spans="1:1" x14ac:dyDescent="0.35">
      <c r="A8402" s="4">
        <v>4500202802</v>
      </c>
    </row>
    <row r="8403" spans="1:1" x14ac:dyDescent="0.35">
      <c r="A8403" s="4">
        <v>4500202804</v>
      </c>
    </row>
    <row r="8404" spans="1:1" x14ac:dyDescent="0.35">
      <c r="A8404" s="4">
        <v>4500202807</v>
      </c>
    </row>
    <row r="8405" spans="1:1" x14ac:dyDescent="0.35">
      <c r="A8405" s="4">
        <v>4500202809</v>
      </c>
    </row>
    <row r="8406" spans="1:1" x14ac:dyDescent="0.35">
      <c r="A8406" s="4">
        <v>4500202810</v>
      </c>
    </row>
    <row r="8407" spans="1:1" x14ac:dyDescent="0.35">
      <c r="A8407" s="4">
        <v>4500202811</v>
      </c>
    </row>
    <row r="8408" spans="1:1" x14ac:dyDescent="0.35">
      <c r="A8408" s="4">
        <v>4500202813</v>
      </c>
    </row>
    <row r="8409" spans="1:1" x14ac:dyDescent="0.35">
      <c r="A8409" s="4">
        <v>4500202829</v>
      </c>
    </row>
    <row r="8410" spans="1:1" x14ac:dyDescent="0.35">
      <c r="A8410" s="4">
        <v>4500202830</v>
      </c>
    </row>
    <row r="8411" spans="1:1" x14ac:dyDescent="0.35">
      <c r="A8411" s="4">
        <v>4500202940</v>
      </c>
    </row>
    <row r="8412" spans="1:1" x14ac:dyDescent="0.35">
      <c r="A8412" s="4">
        <v>4500202949</v>
      </c>
    </row>
    <row r="8413" spans="1:1" x14ac:dyDescent="0.35">
      <c r="A8413" s="4">
        <v>4500202954</v>
      </c>
    </row>
    <row r="8414" spans="1:1" x14ac:dyDescent="0.35">
      <c r="A8414" s="4">
        <v>4500202958</v>
      </c>
    </row>
    <row r="8415" spans="1:1" x14ac:dyDescent="0.35">
      <c r="A8415" s="4">
        <v>4500202969</v>
      </c>
    </row>
    <row r="8416" spans="1:1" x14ac:dyDescent="0.35">
      <c r="A8416" s="4">
        <v>4500202972</v>
      </c>
    </row>
    <row r="8417" spans="1:1" x14ac:dyDescent="0.35">
      <c r="A8417" s="4">
        <v>4500202975</v>
      </c>
    </row>
    <row r="8418" spans="1:1" x14ac:dyDescent="0.35">
      <c r="A8418" s="4">
        <v>4500202978</v>
      </c>
    </row>
    <row r="8419" spans="1:1" x14ac:dyDescent="0.35">
      <c r="A8419" s="4">
        <v>4500202981</v>
      </c>
    </row>
    <row r="8420" spans="1:1" x14ac:dyDescent="0.35">
      <c r="A8420" s="4">
        <v>4500202987</v>
      </c>
    </row>
    <row r="8421" spans="1:1" x14ac:dyDescent="0.35">
      <c r="A8421" s="4">
        <v>4500202990</v>
      </c>
    </row>
    <row r="8422" spans="1:1" x14ac:dyDescent="0.35">
      <c r="A8422" s="4">
        <v>4500202994</v>
      </c>
    </row>
    <row r="8423" spans="1:1" x14ac:dyDescent="0.35">
      <c r="A8423" s="4">
        <v>4500203002</v>
      </c>
    </row>
    <row r="8424" spans="1:1" x14ac:dyDescent="0.35">
      <c r="A8424" s="4">
        <v>4500203007</v>
      </c>
    </row>
    <row r="8425" spans="1:1" x14ac:dyDescent="0.35">
      <c r="A8425" s="4">
        <v>4500203011</v>
      </c>
    </row>
    <row r="8426" spans="1:1" x14ac:dyDescent="0.35">
      <c r="A8426" s="4">
        <v>4500203014</v>
      </c>
    </row>
    <row r="8427" spans="1:1" x14ac:dyDescent="0.35">
      <c r="A8427" s="4">
        <v>4500203017</v>
      </c>
    </row>
    <row r="8428" spans="1:1" x14ac:dyDescent="0.35">
      <c r="A8428" s="4">
        <v>4500203023</v>
      </c>
    </row>
    <row r="8429" spans="1:1" x14ac:dyDescent="0.35">
      <c r="A8429" s="4">
        <v>4500203034</v>
      </c>
    </row>
    <row r="8430" spans="1:1" x14ac:dyDescent="0.35">
      <c r="A8430" s="4">
        <v>4500203038</v>
      </c>
    </row>
    <row r="8431" spans="1:1" x14ac:dyDescent="0.35">
      <c r="A8431" s="4">
        <v>4500203043</v>
      </c>
    </row>
    <row r="8432" spans="1:1" x14ac:dyDescent="0.35">
      <c r="A8432" s="4">
        <v>4500203050</v>
      </c>
    </row>
    <row r="8433" spans="1:1" x14ac:dyDescent="0.35">
      <c r="A8433" s="4">
        <v>4500203053</v>
      </c>
    </row>
    <row r="8434" spans="1:1" x14ac:dyDescent="0.35">
      <c r="A8434" s="4">
        <v>4500203059</v>
      </c>
    </row>
    <row r="8435" spans="1:1" x14ac:dyDescent="0.35">
      <c r="A8435" s="4">
        <v>4500203064</v>
      </c>
    </row>
    <row r="8436" spans="1:1" x14ac:dyDescent="0.35">
      <c r="A8436" s="4">
        <v>4500203067</v>
      </c>
    </row>
    <row r="8437" spans="1:1" x14ac:dyDescent="0.35">
      <c r="A8437" s="4">
        <v>4500203070</v>
      </c>
    </row>
    <row r="8438" spans="1:1" x14ac:dyDescent="0.35">
      <c r="A8438" s="4">
        <v>4500203080</v>
      </c>
    </row>
    <row r="8439" spans="1:1" x14ac:dyDescent="0.35">
      <c r="A8439" s="4">
        <v>4500203083</v>
      </c>
    </row>
    <row r="8440" spans="1:1" x14ac:dyDescent="0.35">
      <c r="A8440" s="4">
        <v>4500203086</v>
      </c>
    </row>
    <row r="8441" spans="1:1" x14ac:dyDescent="0.35">
      <c r="A8441" s="4">
        <v>4500203088</v>
      </c>
    </row>
    <row r="8442" spans="1:1" x14ac:dyDescent="0.35">
      <c r="A8442" s="4">
        <v>4500203090</v>
      </c>
    </row>
    <row r="8443" spans="1:1" x14ac:dyDescent="0.35">
      <c r="A8443" s="4">
        <v>4500203092</v>
      </c>
    </row>
    <row r="8444" spans="1:1" x14ac:dyDescent="0.35">
      <c r="A8444" s="4">
        <v>4500203094</v>
      </c>
    </row>
    <row r="8445" spans="1:1" x14ac:dyDescent="0.35">
      <c r="A8445" s="4">
        <v>4500203097</v>
      </c>
    </row>
    <row r="8446" spans="1:1" x14ac:dyDescent="0.35">
      <c r="A8446" s="4">
        <v>4500203099</v>
      </c>
    </row>
    <row r="8447" spans="1:1" x14ac:dyDescent="0.35">
      <c r="A8447" s="4">
        <v>4500203101</v>
      </c>
    </row>
    <row r="8448" spans="1:1" x14ac:dyDescent="0.35">
      <c r="A8448" s="4">
        <v>4500203103</v>
      </c>
    </row>
    <row r="8449" spans="1:1" x14ac:dyDescent="0.35">
      <c r="A8449" s="4">
        <v>4500203104</v>
      </c>
    </row>
    <row r="8450" spans="1:1" x14ac:dyDescent="0.35">
      <c r="A8450" s="4">
        <v>4500203119</v>
      </c>
    </row>
    <row r="8451" spans="1:1" x14ac:dyDescent="0.35">
      <c r="A8451" s="4">
        <v>4500203120</v>
      </c>
    </row>
    <row r="8452" spans="1:1" x14ac:dyDescent="0.35">
      <c r="A8452" s="4">
        <v>4500203121</v>
      </c>
    </row>
    <row r="8453" spans="1:1" x14ac:dyDescent="0.35">
      <c r="A8453" s="4">
        <v>4500203126</v>
      </c>
    </row>
    <row r="8454" spans="1:1" x14ac:dyDescent="0.35">
      <c r="A8454" s="4">
        <v>4500203192</v>
      </c>
    </row>
    <row r="8455" spans="1:1" x14ac:dyDescent="0.35">
      <c r="A8455" s="4">
        <v>4500203195</v>
      </c>
    </row>
    <row r="8456" spans="1:1" x14ac:dyDescent="0.35">
      <c r="A8456" s="4">
        <v>4500203197</v>
      </c>
    </row>
    <row r="8457" spans="1:1" x14ac:dyDescent="0.35">
      <c r="A8457" s="4">
        <v>4500203201</v>
      </c>
    </row>
    <row r="8458" spans="1:1" x14ac:dyDescent="0.35">
      <c r="A8458" s="4">
        <v>4500203207</v>
      </c>
    </row>
    <row r="8459" spans="1:1" x14ac:dyDescent="0.35">
      <c r="A8459" s="4">
        <v>4500203213</v>
      </c>
    </row>
    <row r="8460" spans="1:1" x14ac:dyDescent="0.35">
      <c r="A8460" s="4">
        <v>4500203215</v>
      </c>
    </row>
    <row r="8461" spans="1:1" x14ac:dyDescent="0.35">
      <c r="A8461" s="4">
        <v>4500203231</v>
      </c>
    </row>
    <row r="8462" spans="1:1" x14ac:dyDescent="0.35">
      <c r="A8462" s="4">
        <v>4500203237</v>
      </c>
    </row>
    <row r="8463" spans="1:1" x14ac:dyDescent="0.35">
      <c r="A8463" s="4">
        <v>4500203242</v>
      </c>
    </row>
    <row r="8464" spans="1:1" x14ac:dyDescent="0.35">
      <c r="A8464" s="4">
        <v>4500203250</v>
      </c>
    </row>
    <row r="8465" spans="1:1" x14ac:dyDescent="0.35">
      <c r="A8465" s="4">
        <v>4500203253</v>
      </c>
    </row>
    <row r="8466" spans="1:1" x14ac:dyDescent="0.35">
      <c r="A8466" s="4">
        <v>4500203259</v>
      </c>
    </row>
    <row r="8467" spans="1:1" x14ac:dyDescent="0.35">
      <c r="A8467" s="4">
        <v>4500203266</v>
      </c>
    </row>
    <row r="8468" spans="1:1" x14ac:dyDescent="0.35">
      <c r="A8468" s="4">
        <v>4500203272</v>
      </c>
    </row>
    <row r="8469" spans="1:1" x14ac:dyDescent="0.35">
      <c r="A8469" s="4">
        <v>4500203273</v>
      </c>
    </row>
    <row r="8470" spans="1:1" x14ac:dyDescent="0.35">
      <c r="A8470" s="4">
        <v>4500203285</v>
      </c>
    </row>
    <row r="8471" spans="1:1" x14ac:dyDescent="0.35">
      <c r="A8471" s="4">
        <v>4500203288</v>
      </c>
    </row>
    <row r="8472" spans="1:1" x14ac:dyDescent="0.35">
      <c r="A8472" s="4">
        <v>4500203295</v>
      </c>
    </row>
    <row r="8473" spans="1:1" x14ac:dyDescent="0.35">
      <c r="A8473" s="4">
        <v>4500203296</v>
      </c>
    </row>
    <row r="8474" spans="1:1" x14ac:dyDescent="0.35">
      <c r="A8474" s="4">
        <v>4500203302</v>
      </c>
    </row>
    <row r="8475" spans="1:1" x14ac:dyDescent="0.35">
      <c r="A8475" s="4">
        <v>4500203303</v>
      </c>
    </row>
    <row r="8476" spans="1:1" x14ac:dyDescent="0.35">
      <c r="A8476" s="4">
        <v>4500203308</v>
      </c>
    </row>
    <row r="8477" spans="1:1" x14ac:dyDescent="0.35">
      <c r="A8477" s="4">
        <v>4500203322</v>
      </c>
    </row>
    <row r="8478" spans="1:1" x14ac:dyDescent="0.35">
      <c r="A8478" s="4">
        <v>4500203326</v>
      </c>
    </row>
    <row r="8479" spans="1:1" x14ac:dyDescent="0.35">
      <c r="A8479" s="4">
        <v>4500203340</v>
      </c>
    </row>
    <row r="8480" spans="1:1" x14ac:dyDescent="0.35">
      <c r="A8480" s="4">
        <v>4500203342</v>
      </c>
    </row>
    <row r="8481" spans="1:1" x14ac:dyDescent="0.35">
      <c r="A8481" s="4">
        <v>4500203343</v>
      </c>
    </row>
    <row r="8482" spans="1:1" x14ac:dyDescent="0.35">
      <c r="A8482" s="4">
        <v>4500203349</v>
      </c>
    </row>
    <row r="8483" spans="1:1" x14ac:dyDescent="0.35">
      <c r="A8483" s="4">
        <v>4500203351</v>
      </c>
    </row>
    <row r="8484" spans="1:1" x14ac:dyDescent="0.35">
      <c r="A8484" s="4">
        <v>4500203372</v>
      </c>
    </row>
    <row r="8485" spans="1:1" x14ac:dyDescent="0.35">
      <c r="A8485" s="4">
        <v>4500203379</v>
      </c>
    </row>
    <row r="8486" spans="1:1" x14ac:dyDescent="0.35">
      <c r="A8486" s="4">
        <v>4500203396</v>
      </c>
    </row>
    <row r="8487" spans="1:1" x14ac:dyDescent="0.35">
      <c r="A8487" s="4">
        <v>4500203407</v>
      </c>
    </row>
    <row r="8488" spans="1:1" x14ac:dyDescent="0.35">
      <c r="A8488" s="4">
        <v>4500203408</v>
      </c>
    </row>
    <row r="8489" spans="1:1" x14ac:dyDescent="0.35">
      <c r="A8489" s="4">
        <v>4500203410</v>
      </c>
    </row>
    <row r="8490" spans="1:1" x14ac:dyDescent="0.35">
      <c r="A8490" s="4">
        <v>4500203416</v>
      </c>
    </row>
    <row r="8491" spans="1:1" x14ac:dyDescent="0.35">
      <c r="A8491" s="4">
        <v>4500203418</v>
      </c>
    </row>
    <row r="8492" spans="1:1" x14ac:dyDescent="0.35">
      <c r="A8492" s="4">
        <v>4500203420</v>
      </c>
    </row>
    <row r="8493" spans="1:1" x14ac:dyDescent="0.35">
      <c r="A8493" s="4">
        <v>4500203423</v>
      </c>
    </row>
    <row r="8494" spans="1:1" x14ac:dyDescent="0.35">
      <c r="A8494" s="4">
        <v>4500203429</v>
      </c>
    </row>
    <row r="8495" spans="1:1" x14ac:dyDescent="0.35">
      <c r="A8495" s="4">
        <v>4500203430</v>
      </c>
    </row>
    <row r="8496" spans="1:1" x14ac:dyDescent="0.35">
      <c r="A8496" s="4">
        <v>4500203436</v>
      </c>
    </row>
    <row r="8497" spans="1:1" x14ac:dyDescent="0.35">
      <c r="A8497" s="4">
        <v>4500203440</v>
      </c>
    </row>
    <row r="8498" spans="1:1" x14ac:dyDescent="0.35">
      <c r="A8498" s="4">
        <v>4500203442</v>
      </c>
    </row>
    <row r="8499" spans="1:1" x14ac:dyDescent="0.35">
      <c r="A8499" s="4">
        <v>4500203443</v>
      </c>
    </row>
    <row r="8500" spans="1:1" x14ac:dyDescent="0.35">
      <c r="A8500" s="4">
        <v>4500203445</v>
      </c>
    </row>
    <row r="8501" spans="1:1" x14ac:dyDescent="0.35">
      <c r="A8501" s="4">
        <v>4500203446</v>
      </c>
    </row>
    <row r="8502" spans="1:1" x14ac:dyDescent="0.35">
      <c r="A8502" s="4">
        <v>4500203449</v>
      </c>
    </row>
    <row r="8503" spans="1:1" x14ac:dyDescent="0.35">
      <c r="A8503" s="4">
        <v>4500203450</v>
      </c>
    </row>
    <row r="8504" spans="1:1" x14ac:dyDescent="0.35">
      <c r="A8504" s="4">
        <v>4500203453</v>
      </c>
    </row>
    <row r="8505" spans="1:1" x14ac:dyDescent="0.35">
      <c r="A8505" s="4">
        <v>4500203454</v>
      </c>
    </row>
    <row r="8506" spans="1:1" x14ac:dyDescent="0.35">
      <c r="A8506" s="4">
        <v>4500203455</v>
      </c>
    </row>
    <row r="8507" spans="1:1" x14ac:dyDescent="0.35">
      <c r="A8507" s="4">
        <v>4500203456</v>
      </c>
    </row>
    <row r="8508" spans="1:1" x14ac:dyDescent="0.35">
      <c r="A8508" s="4">
        <v>4500203518</v>
      </c>
    </row>
    <row r="8509" spans="1:1" x14ac:dyDescent="0.35">
      <c r="A8509" s="4">
        <v>4500203521</v>
      </c>
    </row>
    <row r="8510" spans="1:1" x14ac:dyDescent="0.35">
      <c r="A8510" s="4">
        <v>4500203524</v>
      </c>
    </row>
    <row r="8511" spans="1:1" x14ac:dyDescent="0.35">
      <c r="A8511" s="4">
        <v>4500203527</v>
      </c>
    </row>
    <row r="8512" spans="1:1" x14ac:dyDescent="0.35">
      <c r="A8512" s="4">
        <v>4500203528</v>
      </c>
    </row>
    <row r="8513" spans="1:1" x14ac:dyDescent="0.35">
      <c r="A8513" s="4">
        <v>4500203530</v>
      </c>
    </row>
    <row r="8514" spans="1:1" x14ac:dyDescent="0.35">
      <c r="A8514" s="4">
        <v>4500203531</v>
      </c>
    </row>
    <row r="8515" spans="1:1" x14ac:dyDescent="0.35">
      <c r="A8515" s="4">
        <v>4500203534</v>
      </c>
    </row>
    <row r="8516" spans="1:1" x14ac:dyDescent="0.35">
      <c r="A8516" s="4">
        <v>4500203535</v>
      </c>
    </row>
    <row r="8517" spans="1:1" x14ac:dyDescent="0.35">
      <c r="A8517" s="4">
        <v>4500203537</v>
      </c>
    </row>
    <row r="8518" spans="1:1" x14ac:dyDescent="0.35">
      <c r="A8518" s="4">
        <v>4500203539</v>
      </c>
    </row>
    <row r="8519" spans="1:1" x14ac:dyDescent="0.35">
      <c r="A8519" s="4">
        <v>4500203634</v>
      </c>
    </row>
    <row r="8520" spans="1:1" x14ac:dyDescent="0.35">
      <c r="A8520" s="4">
        <v>4500203635</v>
      </c>
    </row>
    <row r="8521" spans="1:1" x14ac:dyDescent="0.35">
      <c r="A8521" s="4">
        <v>4500203640</v>
      </c>
    </row>
    <row r="8522" spans="1:1" x14ac:dyDescent="0.35">
      <c r="A8522" s="4">
        <v>4500203645</v>
      </c>
    </row>
    <row r="8523" spans="1:1" x14ac:dyDescent="0.35">
      <c r="A8523" s="4">
        <v>4500203658</v>
      </c>
    </row>
    <row r="8524" spans="1:1" x14ac:dyDescent="0.35">
      <c r="A8524" s="4">
        <v>4500203666</v>
      </c>
    </row>
    <row r="8525" spans="1:1" x14ac:dyDescent="0.35">
      <c r="A8525" s="4">
        <v>4500203671</v>
      </c>
    </row>
    <row r="8526" spans="1:1" x14ac:dyDescent="0.35">
      <c r="A8526" s="4">
        <v>4500203676</v>
      </c>
    </row>
    <row r="8527" spans="1:1" x14ac:dyDescent="0.35">
      <c r="A8527" s="4">
        <v>4500203687</v>
      </c>
    </row>
    <row r="8528" spans="1:1" x14ac:dyDescent="0.35">
      <c r="A8528" s="4">
        <v>4500203690</v>
      </c>
    </row>
    <row r="8529" spans="1:1" x14ac:dyDescent="0.35">
      <c r="A8529" s="4">
        <v>4500203692</v>
      </c>
    </row>
    <row r="8530" spans="1:1" x14ac:dyDescent="0.35">
      <c r="A8530" s="4">
        <v>4500203695</v>
      </c>
    </row>
    <row r="8531" spans="1:1" x14ac:dyDescent="0.35">
      <c r="A8531" s="4">
        <v>4500203700</v>
      </c>
    </row>
    <row r="8532" spans="1:1" x14ac:dyDescent="0.35">
      <c r="A8532" s="4">
        <v>4500203703</v>
      </c>
    </row>
    <row r="8533" spans="1:1" x14ac:dyDescent="0.35">
      <c r="A8533" s="4">
        <v>4500203707</v>
      </c>
    </row>
    <row r="8534" spans="1:1" x14ac:dyDescent="0.35">
      <c r="A8534" s="4">
        <v>4500203710</v>
      </c>
    </row>
    <row r="8535" spans="1:1" x14ac:dyDescent="0.35">
      <c r="A8535" s="4">
        <v>4500203717</v>
      </c>
    </row>
    <row r="8536" spans="1:1" x14ac:dyDescent="0.35">
      <c r="A8536" s="4">
        <v>4500203721</v>
      </c>
    </row>
    <row r="8537" spans="1:1" x14ac:dyDescent="0.35">
      <c r="A8537" s="4">
        <v>4500203724</v>
      </c>
    </row>
    <row r="8538" spans="1:1" x14ac:dyDescent="0.35">
      <c r="A8538" s="4">
        <v>4500203727</v>
      </c>
    </row>
    <row r="8539" spans="1:1" x14ac:dyDescent="0.35">
      <c r="A8539" s="4">
        <v>4500203733</v>
      </c>
    </row>
    <row r="8540" spans="1:1" x14ac:dyDescent="0.35">
      <c r="A8540" s="4">
        <v>4500203735</v>
      </c>
    </row>
    <row r="8541" spans="1:1" x14ac:dyDescent="0.35">
      <c r="A8541" s="4">
        <v>4500203738</v>
      </c>
    </row>
    <row r="8542" spans="1:1" x14ac:dyDescent="0.35">
      <c r="A8542" s="4">
        <v>4500203742</v>
      </c>
    </row>
    <row r="8543" spans="1:1" x14ac:dyDescent="0.35">
      <c r="A8543" s="4">
        <v>4500203896</v>
      </c>
    </row>
    <row r="8544" spans="1:1" x14ac:dyDescent="0.35">
      <c r="A8544" s="4">
        <v>4500203905</v>
      </c>
    </row>
    <row r="8545" spans="1:1" x14ac:dyDescent="0.35">
      <c r="A8545" s="4">
        <v>4500203908</v>
      </c>
    </row>
    <row r="8546" spans="1:1" x14ac:dyDescent="0.35">
      <c r="A8546" s="4">
        <v>4500203911</v>
      </c>
    </row>
    <row r="8547" spans="1:1" x14ac:dyDescent="0.35">
      <c r="A8547" s="4">
        <v>4500203919</v>
      </c>
    </row>
    <row r="8548" spans="1:1" x14ac:dyDescent="0.35">
      <c r="A8548" s="4">
        <v>4500203923</v>
      </c>
    </row>
    <row r="8549" spans="1:1" x14ac:dyDescent="0.35">
      <c r="A8549" s="4">
        <v>4500203930</v>
      </c>
    </row>
    <row r="8550" spans="1:1" x14ac:dyDescent="0.35">
      <c r="A8550" s="4">
        <v>4500203935</v>
      </c>
    </row>
    <row r="8551" spans="1:1" x14ac:dyDescent="0.35">
      <c r="A8551" s="4">
        <v>4500203939</v>
      </c>
    </row>
    <row r="8552" spans="1:1" x14ac:dyDescent="0.35">
      <c r="A8552" s="4">
        <v>4500203944</v>
      </c>
    </row>
    <row r="8553" spans="1:1" x14ac:dyDescent="0.35">
      <c r="A8553" s="4">
        <v>4500203947</v>
      </c>
    </row>
    <row r="8554" spans="1:1" x14ac:dyDescent="0.35">
      <c r="A8554" s="4">
        <v>4500203954</v>
      </c>
    </row>
    <row r="8555" spans="1:1" x14ac:dyDescent="0.35">
      <c r="A8555" s="4">
        <v>4500203966</v>
      </c>
    </row>
    <row r="8556" spans="1:1" x14ac:dyDescent="0.35">
      <c r="A8556" s="4">
        <v>4500203969</v>
      </c>
    </row>
    <row r="8557" spans="1:1" x14ac:dyDescent="0.35">
      <c r="A8557" s="4">
        <v>4500203972</v>
      </c>
    </row>
    <row r="8558" spans="1:1" x14ac:dyDescent="0.35">
      <c r="A8558" s="4">
        <v>4500203978</v>
      </c>
    </row>
    <row r="8559" spans="1:1" x14ac:dyDescent="0.35">
      <c r="A8559" s="4">
        <v>4500203982</v>
      </c>
    </row>
    <row r="8560" spans="1:1" x14ac:dyDescent="0.35">
      <c r="A8560" s="4">
        <v>4500203986</v>
      </c>
    </row>
    <row r="8561" spans="1:1" x14ac:dyDescent="0.35">
      <c r="A8561" s="4">
        <v>4500203989</v>
      </c>
    </row>
    <row r="8562" spans="1:1" x14ac:dyDescent="0.35">
      <c r="A8562" s="4">
        <v>4500203992</v>
      </c>
    </row>
    <row r="8563" spans="1:1" x14ac:dyDescent="0.35">
      <c r="A8563" s="4">
        <v>4500203995</v>
      </c>
    </row>
    <row r="8564" spans="1:1" x14ac:dyDescent="0.35">
      <c r="A8564" s="4">
        <v>4500203997</v>
      </c>
    </row>
    <row r="8565" spans="1:1" x14ac:dyDescent="0.35">
      <c r="A8565" s="4">
        <v>4500203999</v>
      </c>
    </row>
    <row r="8566" spans="1:1" x14ac:dyDescent="0.35">
      <c r="A8566" s="4">
        <v>4500204075</v>
      </c>
    </row>
    <row r="8567" spans="1:1" x14ac:dyDescent="0.35">
      <c r="A8567" s="4">
        <v>4500204113</v>
      </c>
    </row>
    <row r="8568" spans="1:1" x14ac:dyDescent="0.35">
      <c r="A8568" s="4">
        <v>4500204126</v>
      </c>
    </row>
    <row r="8569" spans="1:1" x14ac:dyDescent="0.35">
      <c r="A8569" s="4">
        <v>4500204136</v>
      </c>
    </row>
    <row r="8570" spans="1:1" x14ac:dyDescent="0.35">
      <c r="A8570" s="4">
        <v>4500204139</v>
      </c>
    </row>
    <row r="8571" spans="1:1" x14ac:dyDescent="0.35">
      <c r="A8571" s="4">
        <v>4500204157</v>
      </c>
    </row>
    <row r="8572" spans="1:1" x14ac:dyDescent="0.35">
      <c r="A8572" s="4">
        <v>4500204162</v>
      </c>
    </row>
    <row r="8573" spans="1:1" x14ac:dyDescent="0.35">
      <c r="A8573" s="4">
        <v>4500204169</v>
      </c>
    </row>
    <row r="8574" spans="1:1" x14ac:dyDescent="0.35">
      <c r="A8574" s="4">
        <v>4500204177</v>
      </c>
    </row>
    <row r="8575" spans="1:1" x14ac:dyDescent="0.35">
      <c r="A8575" s="4">
        <v>4500204186</v>
      </c>
    </row>
    <row r="8576" spans="1:1" x14ac:dyDescent="0.35">
      <c r="A8576" s="4">
        <v>4500204195</v>
      </c>
    </row>
    <row r="8577" spans="1:1" x14ac:dyDescent="0.35">
      <c r="A8577" s="4">
        <v>4500204199</v>
      </c>
    </row>
    <row r="8578" spans="1:1" x14ac:dyDescent="0.35">
      <c r="A8578" s="4">
        <v>4500204202</v>
      </c>
    </row>
    <row r="8579" spans="1:1" x14ac:dyDescent="0.35">
      <c r="A8579" s="4">
        <v>4500204205</v>
      </c>
    </row>
    <row r="8580" spans="1:1" x14ac:dyDescent="0.35">
      <c r="A8580" s="4">
        <v>4500204209</v>
      </c>
    </row>
    <row r="8581" spans="1:1" x14ac:dyDescent="0.35">
      <c r="A8581" s="4">
        <v>4500204215</v>
      </c>
    </row>
    <row r="8582" spans="1:1" x14ac:dyDescent="0.35">
      <c r="A8582" s="4">
        <v>4500204217</v>
      </c>
    </row>
    <row r="8583" spans="1:1" x14ac:dyDescent="0.35">
      <c r="A8583" s="4">
        <v>4500204290</v>
      </c>
    </row>
    <row r="8584" spans="1:1" x14ac:dyDescent="0.35">
      <c r="A8584" s="4">
        <v>4500204335</v>
      </c>
    </row>
    <row r="8585" spans="1:1" x14ac:dyDescent="0.35">
      <c r="A8585" s="4">
        <v>4500204346</v>
      </c>
    </row>
    <row r="8586" spans="1:1" x14ac:dyDescent="0.35">
      <c r="A8586" s="4">
        <v>4500204349</v>
      </c>
    </row>
    <row r="8587" spans="1:1" x14ac:dyDescent="0.35">
      <c r="A8587" s="4">
        <v>4500204354</v>
      </c>
    </row>
    <row r="8588" spans="1:1" x14ac:dyDescent="0.35">
      <c r="A8588" s="4">
        <v>4500204359</v>
      </c>
    </row>
    <row r="8589" spans="1:1" x14ac:dyDescent="0.35">
      <c r="A8589" s="4">
        <v>4500204369</v>
      </c>
    </row>
    <row r="8590" spans="1:1" x14ac:dyDescent="0.35">
      <c r="A8590" s="4">
        <v>4500204375</v>
      </c>
    </row>
    <row r="8591" spans="1:1" x14ac:dyDescent="0.35">
      <c r="A8591" s="4">
        <v>4500204378</v>
      </c>
    </row>
    <row r="8592" spans="1:1" x14ac:dyDescent="0.35">
      <c r="A8592" s="4">
        <v>4500204383</v>
      </c>
    </row>
    <row r="8593" spans="1:1" x14ac:dyDescent="0.35">
      <c r="A8593" s="4">
        <v>4500204390</v>
      </c>
    </row>
    <row r="8594" spans="1:1" x14ac:dyDescent="0.35">
      <c r="A8594" s="4">
        <v>4500204398</v>
      </c>
    </row>
    <row r="8595" spans="1:1" x14ac:dyDescent="0.35">
      <c r="A8595" s="4">
        <v>4500204403</v>
      </c>
    </row>
    <row r="8596" spans="1:1" x14ac:dyDescent="0.35">
      <c r="A8596" s="4">
        <v>4500204410</v>
      </c>
    </row>
    <row r="8597" spans="1:1" x14ac:dyDescent="0.35">
      <c r="A8597" s="4">
        <v>4500204413</v>
      </c>
    </row>
    <row r="8598" spans="1:1" x14ac:dyDescent="0.35">
      <c r="A8598" s="4">
        <v>4500204419</v>
      </c>
    </row>
    <row r="8599" spans="1:1" x14ac:dyDescent="0.35">
      <c r="A8599" s="4">
        <v>4500204424</v>
      </c>
    </row>
    <row r="8600" spans="1:1" x14ac:dyDescent="0.35">
      <c r="A8600" s="4">
        <v>4500204428</v>
      </c>
    </row>
    <row r="8601" spans="1:1" x14ac:dyDescent="0.35">
      <c r="A8601" s="4">
        <v>4500204430</v>
      </c>
    </row>
    <row r="8602" spans="1:1" x14ac:dyDescent="0.35">
      <c r="A8602" s="4">
        <v>4500204434</v>
      </c>
    </row>
    <row r="8603" spans="1:1" x14ac:dyDescent="0.35">
      <c r="A8603" s="4">
        <v>4500204436</v>
      </c>
    </row>
    <row r="8604" spans="1:1" x14ac:dyDescent="0.35">
      <c r="A8604" s="4">
        <v>4500204438</v>
      </c>
    </row>
    <row r="8605" spans="1:1" x14ac:dyDescent="0.35">
      <c r="A8605" s="4">
        <v>4500204442</v>
      </c>
    </row>
    <row r="8606" spans="1:1" x14ac:dyDescent="0.35">
      <c r="A8606" s="4">
        <v>4500204446</v>
      </c>
    </row>
    <row r="8607" spans="1:1" x14ac:dyDescent="0.35">
      <c r="A8607" s="4">
        <v>4500204452</v>
      </c>
    </row>
    <row r="8608" spans="1:1" x14ac:dyDescent="0.35">
      <c r="A8608" s="4">
        <v>4500204453</v>
      </c>
    </row>
    <row r="8609" spans="1:1" x14ac:dyDescent="0.35">
      <c r="A8609" s="4">
        <v>4500204455</v>
      </c>
    </row>
    <row r="8610" spans="1:1" x14ac:dyDescent="0.35">
      <c r="A8610" s="4">
        <v>4500204457</v>
      </c>
    </row>
    <row r="8611" spans="1:1" x14ac:dyDescent="0.35">
      <c r="A8611" s="4">
        <v>4500204458</v>
      </c>
    </row>
    <row r="8612" spans="1:1" x14ac:dyDescent="0.35">
      <c r="A8612" s="4">
        <v>4500204459</v>
      </c>
    </row>
    <row r="8613" spans="1:1" x14ac:dyDescent="0.35">
      <c r="A8613" s="4">
        <v>4500204460</v>
      </c>
    </row>
    <row r="8614" spans="1:1" x14ac:dyDescent="0.35">
      <c r="A8614" s="4">
        <v>4500204541</v>
      </c>
    </row>
    <row r="8615" spans="1:1" x14ac:dyDescent="0.35">
      <c r="A8615" s="4">
        <v>4500204544</v>
      </c>
    </row>
    <row r="8616" spans="1:1" x14ac:dyDescent="0.35">
      <c r="A8616" s="4">
        <v>4500204546</v>
      </c>
    </row>
    <row r="8617" spans="1:1" x14ac:dyDescent="0.35">
      <c r="A8617" s="4">
        <v>4500204551</v>
      </c>
    </row>
    <row r="8618" spans="1:1" x14ac:dyDescent="0.35">
      <c r="A8618" s="4">
        <v>4500204557</v>
      </c>
    </row>
    <row r="8619" spans="1:1" x14ac:dyDescent="0.35">
      <c r="A8619" s="4">
        <v>4500204561</v>
      </c>
    </row>
    <row r="8620" spans="1:1" x14ac:dyDescent="0.35">
      <c r="A8620" s="4">
        <v>4500204568</v>
      </c>
    </row>
    <row r="8621" spans="1:1" x14ac:dyDescent="0.35">
      <c r="A8621" s="4">
        <v>4500204575</v>
      </c>
    </row>
    <row r="8622" spans="1:1" x14ac:dyDescent="0.35">
      <c r="A8622" s="4">
        <v>4500204584</v>
      </c>
    </row>
    <row r="8623" spans="1:1" x14ac:dyDescent="0.35">
      <c r="A8623" s="4">
        <v>4500204588</v>
      </c>
    </row>
    <row r="8624" spans="1:1" x14ac:dyDescent="0.35">
      <c r="A8624" s="4">
        <v>4500204593</v>
      </c>
    </row>
    <row r="8625" spans="1:1" x14ac:dyDescent="0.35">
      <c r="A8625" s="4">
        <v>4500204599</v>
      </c>
    </row>
    <row r="8626" spans="1:1" x14ac:dyDescent="0.35">
      <c r="A8626" s="4">
        <v>4500204614</v>
      </c>
    </row>
    <row r="8627" spans="1:1" x14ac:dyDescent="0.35">
      <c r="A8627" s="4">
        <v>4500204621</v>
      </c>
    </row>
    <row r="8628" spans="1:1" x14ac:dyDescent="0.35">
      <c r="A8628" s="4">
        <v>4500204627</v>
      </c>
    </row>
    <row r="8629" spans="1:1" x14ac:dyDescent="0.35">
      <c r="A8629" s="4">
        <v>4500204632</v>
      </c>
    </row>
    <row r="8630" spans="1:1" x14ac:dyDescent="0.35">
      <c r="A8630" s="4">
        <v>4500204638</v>
      </c>
    </row>
    <row r="8631" spans="1:1" x14ac:dyDescent="0.35">
      <c r="A8631" s="4">
        <v>4500204640</v>
      </c>
    </row>
    <row r="8632" spans="1:1" x14ac:dyDescent="0.35">
      <c r="A8632" s="4">
        <v>4500204643</v>
      </c>
    </row>
    <row r="8633" spans="1:1" x14ac:dyDescent="0.35">
      <c r="A8633" s="4">
        <v>4500204645</v>
      </c>
    </row>
    <row r="8634" spans="1:1" x14ac:dyDescent="0.35">
      <c r="A8634" s="4">
        <v>4500204658</v>
      </c>
    </row>
    <row r="8635" spans="1:1" x14ac:dyDescent="0.35">
      <c r="A8635" s="4">
        <v>4500204738</v>
      </c>
    </row>
    <row r="8636" spans="1:1" x14ac:dyDescent="0.35">
      <c r="A8636" s="4">
        <v>4500204743</v>
      </c>
    </row>
    <row r="8637" spans="1:1" x14ac:dyDescent="0.35">
      <c r="A8637" s="4">
        <v>4500204749</v>
      </c>
    </row>
    <row r="8638" spans="1:1" x14ac:dyDescent="0.35">
      <c r="A8638" s="4">
        <v>4500204764</v>
      </c>
    </row>
    <row r="8639" spans="1:1" x14ac:dyDescent="0.35">
      <c r="A8639" s="4">
        <v>4500204768</v>
      </c>
    </row>
    <row r="8640" spans="1:1" x14ac:dyDescent="0.35">
      <c r="A8640" s="4">
        <v>4500204774</v>
      </c>
    </row>
    <row r="8641" spans="1:1" x14ac:dyDescent="0.35">
      <c r="A8641" s="4">
        <v>4500204778</v>
      </c>
    </row>
    <row r="8642" spans="1:1" x14ac:dyDescent="0.35">
      <c r="A8642" s="4">
        <v>4500204789</v>
      </c>
    </row>
    <row r="8643" spans="1:1" x14ac:dyDescent="0.35">
      <c r="A8643" s="4">
        <v>4500204794</v>
      </c>
    </row>
    <row r="8644" spans="1:1" x14ac:dyDescent="0.35">
      <c r="A8644" s="4">
        <v>4500204798</v>
      </c>
    </row>
    <row r="8645" spans="1:1" x14ac:dyDescent="0.35">
      <c r="A8645" s="4">
        <v>4500204804</v>
      </c>
    </row>
    <row r="8646" spans="1:1" x14ac:dyDescent="0.35">
      <c r="A8646" s="4">
        <v>4500204806</v>
      </c>
    </row>
    <row r="8647" spans="1:1" x14ac:dyDescent="0.35">
      <c r="A8647" s="4">
        <v>4500204816</v>
      </c>
    </row>
    <row r="8648" spans="1:1" x14ac:dyDescent="0.35">
      <c r="A8648" s="4">
        <v>4500204826</v>
      </c>
    </row>
    <row r="8649" spans="1:1" x14ac:dyDescent="0.35">
      <c r="A8649" s="4">
        <v>4500204829</v>
      </c>
    </row>
    <row r="8650" spans="1:1" x14ac:dyDescent="0.35">
      <c r="A8650" s="4">
        <v>4500204833</v>
      </c>
    </row>
    <row r="8651" spans="1:1" x14ac:dyDescent="0.35">
      <c r="A8651" s="4">
        <v>4500204840</v>
      </c>
    </row>
    <row r="8652" spans="1:1" x14ac:dyDescent="0.35">
      <c r="A8652" s="4">
        <v>4500204845</v>
      </c>
    </row>
    <row r="8653" spans="1:1" x14ac:dyDescent="0.35">
      <c r="A8653" s="4">
        <v>4500204848</v>
      </c>
    </row>
    <row r="8654" spans="1:1" x14ac:dyDescent="0.35">
      <c r="A8654" s="4">
        <v>4500204891</v>
      </c>
    </row>
    <row r="8655" spans="1:1" x14ac:dyDescent="0.35">
      <c r="A8655" s="4">
        <v>4500204892</v>
      </c>
    </row>
    <row r="8656" spans="1:1" x14ac:dyDescent="0.35">
      <c r="A8656" s="4">
        <v>4500204893</v>
      </c>
    </row>
    <row r="8657" spans="1:1" x14ac:dyDescent="0.35">
      <c r="A8657" s="4">
        <v>4500204894</v>
      </c>
    </row>
    <row r="8658" spans="1:1" x14ac:dyDescent="0.35">
      <c r="A8658" s="4">
        <v>4500204901</v>
      </c>
    </row>
    <row r="8659" spans="1:1" x14ac:dyDescent="0.35">
      <c r="A8659" s="4">
        <v>4500204966</v>
      </c>
    </row>
    <row r="8660" spans="1:1" x14ac:dyDescent="0.35">
      <c r="A8660" s="4">
        <v>4500204972</v>
      </c>
    </row>
    <row r="8661" spans="1:1" x14ac:dyDescent="0.35">
      <c r="A8661" s="4">
        <v>4500204981</v>
      </c>
    </row>
    <row r="8662" spans="1:1" x14ac:dyDescent="0.35">
      <c r="A8662" s="4">
        <v>4500204987</v>
      </c>
    </row>
    <row r="8663" spans="1:1" x14ac:dyDescent="0.35">
      <c r="A8663" s="4">
        <v>4500204990</v>
      </c>
    </row>
    <row r="8664" spans="1:1" x14ac:dyDescent="0.35">
      <c r="A8664" s="4">
        <v>4500204994</v>
      </c>
    </row>
    <row r="8665" spans="1:1" x14ac:dyDescent="0.35">
      <c r="A8665" s="4">
        <v>4500205007</v>
      </c>
    </row>
    <row r="8666" spans="1:1" x14ac:dyDescent="0.35">
      <c r="A8666" s="4">
        <v>4500205014</v>
      </c>
    </row>
    <row r="8667" spans="1:1" x14ac:dyDescent="0.35">
      <c r="A8667" s="4">
        <v>4500205019</v>
      </c>
    </row>
    <row r="8668" spans="1:1" x14ac:dyDescent="0.35">
      <c r="A8668" s="4">
        <v>4500205024</v>
      </c>
    </row>
    <row r="8669" spans="1:1" x14ac:dyDescent="0.35">
      <c r="A8669" s="4">
        <v>4500205029</v>
      </c>
    </row>
    <row r="8670" spans="1:1" x14ac:dyDescent="0.35">
      <c r="A8670" s="4">
        <v>4500205034</v>
      </c>
    </row>
    <row r="8671" spans="1:1" x14ac:dyDescent="0.35">
      <c r="A8671" s="4">
        <v>4500205038</v>
      </c>
    </row>
    <row r="8672" spans="1:1" x14ac:dyDescent="0.35">
      <c r="A8672" s="4">
        <v>4500205047</v>
      </c>
    </row>
    <row r="8673" spans="1:1" x14ac:dyDescent="0.35">
      <c r="A8673" s="4">
        <v>4500205052</v>
      </c>
    </row>
    <row r="8674" spans="1:1" x14ac:dyDescent="0.35">
      <c r="A8674" s="4">
        <v>4500205056</v>
      </c>
    </row>
    <row r="8675" spans="1:1" x14ac:dyDescent="0.35">
      <c r="A8675" s="4">
        <v>4500205058</v>
      </c>
    </row>
    <row r="8676" spans="1:1" x14ac:dyDescent="0.35">
      <c r="A8676" s="4">
        <v>4500205060</v>
      </c>
    </row>
    <row r="8677" spans="1:1" x14ac:dyDescent="0.35">
      <c r="A8677" s="4">
        <v>4500205063</v>
      </c>
    </row>
    <row r="8678" spans="1:1" x14ac:dyDescent="0.35">
      <c r="A8678" s="4">
        <v>4500205067</v>
      </c>
    </row>
    <row r="8679" spans="1:1" x14ac:dyDescent="0.35">
      <c r="A8679" s="4">
        <v>4500205070</v>
      </c>
    </row>
    <row r="8680" spans="1:1" x14ac:dyDescent="0.35">
      <c r="A8680" s="4">
        <v>4500205073</v>
      </c>
    </row>
    <row r="8681" spans="1:1" x14ac:dyDescent="0.35">
      <c r="A8681" s="4">
        <v>4500205075</v>
      </c>
    </row>
    <row r="8682" spans="1:1" x14ac:dyDescent="0.35">
      <c r="A8682" s="4">
        <v>4500205078</v>
      </c>
    </row>
    <row r="8683" spans="1:1" x14ac:dyDescent="0.35">
      <c r="A8683" s="4">
        <v>4500205080</v>
      </c>
    </row>
    <row r="8684" spans="1:1" x14ac:dyDescent="0.35">
      <c r="A8684" s="4">
        <v>4500205082</v>
      </c>
    </row>
    <row r="8685" spans="1:1" x14ac:dyDescent="0.35">
      <c r="A8685" s="4">
        <v>4500205084</v>
      </c>
    </row>
    <row r="8686" spans="1:1" x14ac:dyDescent="0.35">
      <c r="A8686" s="4">
        <v>4500205086</v>
      </c>
    </row>
    <row r="8687" spans="1:1" x14ac:dyDescent="0.35">
      <c r="A8687" s="4">
        <v>4500205088</v>
      </c>
    </row>
    <row r="8688" spans="1:1" x14ac:dyDescent="0.35">
      <c r="A8688" s="4">
        <v>4500205100</v>
      </c>
    </row>
    <row r="8689" spans="1:1" x14ac:dyDescent="0.35">
      <c r="A8689" s="4">
        <v>4500205169</v>
      </c>
    </row>
    <row r="8690" spans="1:1" x14ac:dyDescent="0.35">
      <c r="A8690" s="4">
        <v>4500205173</v>
      </c>
    </row>
    <row r="8691" spans="1:1" x14ac:dyDescent="0.35">
      <c r="A8691" s="4">
        <v>4500205177</v>
      </c>
    </row>
    <row r="8692" spans="1:1" x14ac:dyDescent="0.35">
      <c r="A8692" s="4">
        <v>4500205183</v>
      </c>
    </row>
    <row r="8693" spans="1:1" x14ac:dyDescent="0.35">
      <c r="A8693" s="4">
        <v>4500205191</v>
      </c>
    </row>
    <row r="8694" spans="1:1" x14ac:dyDescent="0.35">
      <c r="A8694" s="4">
        <v>4500205195</v>
      </c>
    </row>
    <row r="8695" spans="1:1" x14ac:dyDescent="0.35">
      <c r="A8695" s="4">
        <v>4500205199</v>
      </c>
    </row>
    <row r="8696" spans="1:1" x14ac:dyDescent="0.35">
      <c r="A8696" s="4">
        <v>4500205205</v>
      </c>
    </row>
    <row r="8697" spans="1:1" x14ac:dyDescent="0.35">
      <c r="A8697" s="4">
        <v>4500205219</v>
      </c>
    </row>
    <row r="8698" spans="1:1" x14ac:dyDescent="0.35">
      <c r="A8698" s="4">
        <v>4500205224</v>
      </c>
    </row>
    <row r="8699" spans="1:1" x14ac:dyDescent="0.35">
      <c r="A8699" s="4">
        <v>4500205234</v>
      </c>
    </row>
    <row r="8700" spans="1:1" x14ac:dyDescent="0.35">
      <c r="A8700" s="4">
        <v>4500205237</v>
      </c>
    </row>
    <row r="8701" spans="1:1" x14ac:dyDescent="0.35">
      <c r="A8701" s="4">
        <v>4500205243</v>
      </c>
    </row>
    <row r="8702" spans="1:1" x14ac:dyDescent="0.35">
      <c r="A8702" s="4">
        <v>4500205248</v>
      </c>
    </row>
    <row r="8703" spans="1:1" x14ac:dyDescent="0.35">
      <c r="A8703" s="4">
        <v>4500205253</v>
      </c>
    </row>
    <row r="8704" spans="1:1" x14ac:dyDescent="0.35">
      <c r="A8704" s="4">
        <v>4500205265</v>
      </c>
    </row>
    <row r="8705" spans="1:1" x14ac:dyDescent="0.35">
      <c r="A8705" s="4">
        <v>4500205269</v>
      </c>
    </row>
    <row r="8706" spans="1:1" x14ac:dyDescent="0.35">
      <c r="A8706" s="4">
        <v>4500205271</v>
      </c>
    </row>
    <row r="8707" spans="1:1" x14ac:dyDescent="0.35">
      <c r="A8707" s="4">
        <v>4500205273</v>
      </c>
    </row>
    <row r="8708" spans="1:1" x14ac:dyDescent="0.35">
      <c r="A8708" s="4">
        <v>4500205275</v>
      </c>
    </row>
    <row r="8709" spans="1:1" x14ac:dyDescent="0.35">
      <c r="A8709" s="4">
        <v>4500205278</v>
      </c>
    </row>
    <row r="8710" spans="1:1" x14ac:dyDescent="0.35">
      <c r="A8710" s="4">
        <v>4500205301</v>
      </c>
    </row>
    <row r="8711" spans="1:1" x14ac:dyDescent="0.35">
      <c r="A8711" s="4">
        <v>4500205385</v>
      </c>
    </row>
    <row r="8712" spans="1:1" x14ac:dyDescent="0.35">
      <c r="A8712" s="4">
        <v>4500205391</v>
      </c>
    </row>
    <row r="8713" spans="1:1" x14ac:dyDescent="0.35">
      <c r="A8713" s="4">
        <v>4500205398</v>
      </c>
    </row>
    <row r="8714" spans="1:1" x14ac:dyDescent="0.35">
      <c r="A8714" s="4">
        <v>4500205403</v>
      </c>
    </row>
    <row r="8715" spans="1:1" x14ac:dyDescent="0.35">
      <c r="A8715" s="4">
        <v>4500205413</v>
      </c>
    </row>
    <row r="8716" spans="1:1" x14ac:dyDescent="0.35">
      <c r="A8716" s="4">
        <v>4500205421</v>
      </c>
    </row>
    <row r="8717" spans="1:1" x14ac:dyDescent="0.35">
      <c r="A8717" s="4">
        <v>4500205425</v>
      </c>
    </row>
    <row r="8718" spans="1:1" x14ac:dyDescent="0.35">
      <c r="A8718" s="4">
        <v>4500205438</v>
      </c>
    </row>
    <row r="8719" spans="1:1" x14ac:dyDescent="0.35">
      <c r="A8719" s="4">
        <v>4500205442</v>
      </c>
    </row>
    <row r="8720" spans="1:1" x14ac:dyDescent="0.35">
      <c r="A8720" s="4">
        <v>4500205449</v>
      </c>
    </row>
    <row r="8721" spans="1:1" x14ac:dyDescent="0.35">
      <c r="A8721" s="4">
        <v>4500205454</v>
      </c>
    </row>
    <row r="8722" spans="1:1" x14ac:dyDescent="0.35">
      <c r="A8722" s="4">
        <v>4500205456</v>
      </c>
    </row>
    <row r="8723" spans="1:1" x14ac:dyDescent="0.35">
      <c r="A8723" s="4">
        <v>4500205463</v>
      </c>
    </row>
    <row r="8724" spans="1:1" x14ac:dyDescent="0.35">
      <c r="A8724" s="4">
        <v>4500205468</v>
      </c>
    </row>
    <row r="8725" spans="1:1" x14ac:dyDescent="0.35">
      <c r="A8725" s="4">
        <v>4500205474</v>
      </c>
    </row>
    <row r="8726" spans="1:1" x14ac:dyDescent="0.35">
      <c r="A8726" s="4">
        <v>4500205479</v>
      </c>
    </row>
    <row r="8727" spans="1:1" x14ac:dyDescent="0.35">
      <c r="A8727" s="4">
        <v>4500205481</v>
      </c>
    </row>
    <row r="8728" spans="1:1" x14ac:dyDescent="0.35">
      <c r="A8728" s="4">
        <v>4500205483</v>
      </c>
    </row>
    <row r="8729" spans="1:1" x14ac:dyDescent="0.35">
      <c r="A8729" s="4">
        <v>4500205485</v>
      </c>
    </row>
    <row r="8730" spans="1:1" x14ac:dyDescent="0.35">
      <c r="A8730" s="4">
        <v>4500205486</v>
      </c>
    </row>
    <row r="8731" spans="1:1" x14ac:dyDescent="0.35">
      <c r="A8731" s="4">
        <v>4500205491</v>
      </c>
    </row>
    <row r="8732" spans="1:1" x14ac:dyDescent="0.35">
      <c r="A8732" s="4">
        <v>4500205493</v>
      </c>
    </row>
    <row r="8733" spans="1:1" x14ac:dyDescent="0.35">
      <c r="A8733" s="4">
        <v>4500205584</v>
      </c>
    </row>
    <row r="8734" spans="1:1" x14ac:dyDescent="0.35">
      <c r="A8734" s="4">
        <v>4500205591</v>
      </c>
    </row>
    <row r="8735" spans="1:1" x14ac:dyDescent="0.35">
      <c r="A8735" s="4">
        <v>4500205597</v>
      </c>
    </row>
    <row r="8736" spans="1:1" x14ac:dyDescent="0.35">
      <c r="A8736" s="4">
        <v>4500205603</v>
      </c>
    </row>
    <row r="8737" spans="1:1" x14ac:dyDescent="0.35">
      <c r="A8737" s="4">
        <v>4500205609</v>
      </c>
    </row>
    <row r="8738" spans="1:1" x14ac:dyDescent="0.35">
      <c r="A8738" s="4">
        <v>4500205612</v>
      </c>
    </row>
    <row r="8739" spans="1:1" x14ac:dyDescent="0.35">
      <c r="A8739" s="4">
        <v>4500205620</v>
      </c>
    </row>
    <row r="8740" spans="1:1" x14ac:dyDescent="0.35">
      <c r="A8740" s="4">
        <v>4500205630</v>
      </c>
    </row>
    <row r="8741" spans="1:1" x14ac:dyDescent="0.35">
      <c r="A8741" s="4">
        <v>4500205633</v>
      </c>
    </row>
    <row r="8742" spans="1:1" x14ac:dyDescent="0.35">
      <c r="A8742" s="4">
        <v>4500205640</v>
      </c>
    </row>
    <row r="8743" spans="1:1" x14ac:dyDescent="0.35">
      <c r="A8743" s="4">
        <v>4500205644</v>
      </c>
    </row>
    <row r="8744" spans="1:1" x14ac:dyDescent="0.35">
      <c r="A8744" s="4">
        <v>4500205650</v>
      </c>
    </row>
    <row r="8745" spans="1:1" x14ac:dyDescent="0.35">
      <c r="A8745" s="4">
        <v>4500205653</v>
      </c>
    </row>
    <row r="8746" spans="1:1" x14ac:dyDescent="0.35">
      <c r="A8746" s="4">
        <v>4500205656</v>
      </c>
    </row>
    <row r="8747" spans="1:1" x14ac:dyDescent="0.35">
      <c r="A8747" s="4">
        <v>4500205670</v>
      </c>
    </row>
    <row r="8748" spans="1:1" x14ac:dyDescent="0.35">
      <c r="A8748" s="4">
        <v>4500205674</v>
      </c>
    </row>
    <row r="8749" spans="1:1" x14ac:dyDescent="0.35">
      <c r="A8749" s="4">
        <v>4500205678</v>
      </c>
    </row>
    <row r="8750" spans="1:1" x14ac:dyDescent="0.35">
      <c r="A8750" s="4">
        <v>4500205681</v>
      </c>
    </row>
    <row r="8751" spans="1:1" x14ac:dyDescent="0.35">
      <c r="A8751" s="4">
        <v>4500205685</v>
      </c>
    </row>
    <row r="8752" spans="1:1" x14ac:dyDescent="0.35">
      <c r="A8752" s="4">
        <v>4500205687</v>
      </c>
    </row>
    <row r="8753" spans="1:1" x14ac:dyDescent="0.35">
      <c r="A8753" s="4">
        <v>4500205690</v>
      </c>
    </row>
    <row r="8754" spans="1:1" x14ac:dyDescent="0.35">
      <c r="A8754" s="4">
        <v>4500205693</v>
      </c>
    </row>
    <row r="8755" spans="1:1" x14ac:dyDescent="0.35">
      <c r="A8755" s="4">
        <v>4500205696</v>
      </c>
    </row>
    <row r="8756" spans="1:1" x14ac:dyDescent="0.35">
      <c r="A8756" s="4">
        <v>4500205698</v>
      </c>
    </row>
    <row r="8757" spans="1:1" x14ac:dyDescent="0.35">
      <c r="A8757" s="4">
        <v>4500205699</v>
      </c>
    </row>
    <row r="8758" spans="1:1" x14ac:dyDescent="0.35">
      <c r="A8758" s="4">
        <v>4500205703</v>
      </c>
    </row>
    <row r="8759" spans="1:1" x14ac:dyDescent="0.35">
      <c r="A8759" s="4">
        <v>4500205706</v>
      </c>
    </row>
    <row r="8760" spans="1:1" x14ac:dyDescent="0.35">
      <c r="A8760" s="4">
        <v>4500205707</v>
      </c>
    </row>
    <row r="8761" spans="1:1" x14ac:dyDescent="0.35">
      <c r="A8761" s="4">
        <v>4500205709</v>
      </c>
    </row>
    <row r="8762" spans="1:1" x14ac:dyDescent="0.35">
      <c r="A8762" s="4">
        <v>4500205724</v>
      </c>
    </row>
    <row r="8763" spans="1:1" x14ac:dyDescent="0.35">
      <c r="A8763" s="4">
        <v>4500205727</v>
      </c>
    </row>
    <row r="8764" spans="1:1" x14ac:dyDescent="0.35">
      <c r="A8764" s="4">
        <v>4500205729</v>
      </c>
    </row>
    <row r="8765" spans="1:1" x14ac:dyDescent="0.35">
      <c r="A8765" s="4">
        <v>4500205730</v>
      </c>
    </row>
    <row r="8766" spans="1:1" x14ac:dyDescent="0.35">
      <c r="A8766" s="4">
        <v>4500205807</v>
      </c>
    </row>
    <row r="8767" spans="1:1" x14ac:dyDescent="0.35">
      <c r="A8767" s="4">
        <v>4500205811</v>
      </c>
    </row>
    <row r="8768" spans="1:1" x14ac:dyDescent="0.35">
      <c r="A8768" s="4">
        <v>4500205813</v>
      </c>
    </row>
    <row r="8769" spans="1:1" x14ac:dyDescent="0.35">
      <c r="A8769" s="4">
        <v>4500205824</v>
      </c>
    </row>
    <row r="8770" spans="1:1" x14ac:dyDescent="0.35">
      <c r="A8770" s="4">
        <v>4500205830</v>
      </c>
    </row>
    <row r="8771" spans="1:1" x14ac:dyDescent="0.35">
      <c r="A8771" s="4">
        <v>4500205839</v>
      </c>
    </row>
    <row r="8772" spans="1:1" x14ac:dyDescent="0.35">
      <c r="A8772" s="4">
        <v>4500205844</v>
      </c>
    </row>
    <row r="8773" spans="1:1" x14ac:dyDescent="0.35">
      <c r="A8773" s="4">
        <v>4500205848</v>
      </c>
    </row>
    <row r="8774" spans="1:1" x14ac:dyDescent="0.35">
      <c r="A8774" s="4">
        <v>4500205855</v>
      </c>
    </row>
    <row r="8775" spans="1:1" x14ac:dyDescent="0.35">
      <c r="A8775" s="4">
        <v>4500205857</v>
      </c>
    </row>
    <row r="8776" spans="1:1" x14ac:dyDescent="0.35">
      <c r="A8776" s="4">
        <v>4500205861</v>
      </c>
    </row>
    <row r="8777" spans="1:1" x14ac:dyDescent="0.35">
      <c r="A8777" s="4">
        <v>4500205863</v>
      </c>
    </row>
    <row r="8778" spans="1:1" x14ac:dyDescent="0.35">
      <c r="A8778" s="4">
        <v>4500205869</v>
      </c>
    </row>
    <row r="8779" spans="1:1" x14ac:dyDescent="0.35">
      <c r="A8779" s="4">
        <v>4500205874</v>
      </c>
    </row>
    <row r="8780" spans="1:1" x14ac:dyDescent="0.35">
      <c r="A8780" s="4">
        <v>4500205877</v>
      </c>
    </row>
    <row r="8781" spans="1:1" x14ac:dyDescent="0.35">
      <c r="A8781" s="4">
        <v>4500205885</v>
      </c>
    </row>
    <row r="8782" spans="1:1" x14ac:dyDescent="0.35">
      <c r="A8782" s="4">
        <v>4500205890</v>
      </c>
    </row>
    <row r="8783" spans="1:1" x14ac:dyDescent="0.35">
      <c r="A8783" s="4">
        <v>4500205896</v>
      </c>
    </row>
    <row r="8784" spans="1:1" x14ac:dyDescent="0.35">
      <c r="A8784" s="4">
        <v>4500206016</v>
      </c>
    </row>
    <row r="8785" spans="1:1" x14ac:dyDescent="0.35">
      <c r="A8785" s="4">
        <v>4500206019</v>
      </c>
    </row>
    <row r="8786" spans="1:1" x14ac:dyDescent="0.35">
      <c r="A8786" s="4">
        <v>4500206031</v>
      </c>
    </row>
    <row r="8787" spans="1:1" x14ac:dyDescent="0.35">
      <c r="A8787" s="4">
        <v>4500206035</v>
      </c>
    </row>
    <row r="8788" spans="1:1" x14ac:dyDescent="0.35">
      <c r="A8788" s="4">
        <v>4500206041</v>
      </c>
    </row>
    <row r="8789" spans="1:1" x14ac:dyDescent="0.35">
      <c r="A8789" s="4">
        <v>4500206043</v>
      </c>
    </row>
    <row r="8790" spans="1:1" x14ac:dyDescent="0.35">
      <c r="A8790" s="4">
        <v>4500206049</v>
      </c>
    </row>
    <row r="8791" spans="1:1" x14ac:dyDescent="0.35">
      <c r="A8791" s="4">
        <v>4500206052</v>
      </c>
    </row>
    <row r="8792" spans="1:1" x14ac:dyDescent="0.35">
      <c r="A8792" s="4">
        <v>4500206056</v>
      </c>
    </row>
    <row r="8793" spans="1:1" x14ac:dyDescent="0.35">
      <c r="A8793" s="4">
        <v>4500206060</v>
      </c>
    </row>
    <row r="8794" spans="1:1" x14ac:dyDescent="0.35">
      <c r="A8794" s="4">
        <v>4500206065</v>
      </c>
    </row>
    <row r="8795" spans="1:1" x14ac:dyDescent="0.35">
      <c r="A8795" s="4">
        <v>4500206071</v>
      </c>
    </row>
    <row r="8796" spans="1:1" x14ac:dyDescent="0.35">
      <c r="A8796" s="4">
        <v>4500206076</v>
      </c>
    </row>
    <row r="8797" spans="1:1" x14ac:dyDescent="0.35">
      <c r="A8797" s="4">
        <v>4500206080</v>
      </c>
    </row>
    <row r="8798" spans="1:1" x14ac:dyDescent="0.35">
      <c r="A8798" s="4">
        <v>4500206084</v>
      </c>
    </row>
    <row r="8799" spans="1:1" x14ac:dyDescent="0.35">
      <c r="A8799" s="4">
        <v>4500206089</v>
      </c>
    </row>
    <row r="8800" spans="1:1" x14ac:dyDescent="0.35">
      <c r="A8800" s="4">
        <v>4500206095</v>
      </c>
    </row>
    <row r="8801" spans="1:1" x14ac:dyDescent="0.35">
      <c r="A8801" s="4">
        <v>4500206104</v>
      </c>
    </row>
    <row r="8802" spans="1:1" x14ac:dyDescent="0.35">
      <c r="A8802" s="4">
        <v>4500206108</v>
      </c>
    </row>
    <row r="8803" spans="1:1" x14ac:dyDescent="0.35">
      <c r="A8803" s="4">
        <v>4500206111</v>
      </c>
    </row>
    <row r="8804" spans="1:1" x14ac:dyDescent="0.35">
      <c r="A8804" s="4">
        <v>4500206119</v>
      </c>
    </row>
    <row r="8805" spans="1:1" x14ac:dyDescent="0.35">
      <c r="A8805" s="4">
        <v>4500206121</v>
      </c>
    </row>
    <row r="8806" spans="1:1" x14ac:dyDescent="0.35">
      <c r="A8806" s="4">
        <v>4500206124</v>
      </c>
    </row>
    <row r="8807" spans="1:1" x14ac:dyDescent="0.35">
      <c r="A8807" s="4">
        <v>4500206126</v>
      </c>
    </row>
    <row r="8808" spans="1:1" x14ac:dyDescent="0.35">
      <c r="A8808" s="4">
        <v>4500206129</v>
      </c>
    </row>
    <row r="8809" spans="1:1" x14ac:dyDescent="0.35">
      <c r="A8809" s="4">
        <v>4500206132</v>
      </c>
    </row>
    <row r="8810" spans="1:1" x14ac:dyDescent="0.35">
      <c r="A8810" s="4">
        <v>4500206133</v>
      </c>
    </row>
    <row r="8811" spans="1:1" x14ac:dyDescent="0.35">
      <c r="A8811" s="4">
        <v>4500206135</v>
      </c>
    </row>
    <row r="8812" spans="1:1" x14ac:dyDescent="0.35">
      <c r="A8812" s="4">
        <v>4500206157</v>
      </c>
    </row>
    <row r="8813" spans="1:1" x14ac:dyDescent="0.35">
      <c r="A8813" s="4">
        <v>4500206160</v>
      </c>
    </row>
    <row r="8814" spans="1:1" x14ac:dyDescent="0.35">
      <c r="A8814" s="4">
        <v>4500206223</v>
      </c>
    </row>
    <row r="8815" spans="1:1" x14ac:dyDescent="0.35">
      <c r="A8815" s="4">
        <v>4500206225</v>
      </c>
    </row>
    <row r="8816" spans="1:1" x14ac:dyDescent="0.35">
      <c r="A8816" s="4">
        <v>4500206231</v>
      </c>
    </row>
    <row r="8817" spans="1:1" x14ac:dyDescent="0.35">
      <c r="A8817" s="4">
        <v>4500206251</v>
      </c>
    </row>
    <row r="8818" spans="1:1" x14ac:dyDescent="0.35">
      <c r="A8818" s="4">
        <v>4500206254</v>
      </c>
    </row>
    <row r="8819" spans="1:1" x14ac:dyDescent="0.35">
      <c r="A8819" s="4">
        <v>4500206259</v>
      </c>
    </row>
    <row r="8820" spans="1:1" x14ac:dyDescent="0.35">
      <c r="A8820" s="4">
        <v>4500206264</v>
      </c>
    </row>
    <row r="8821" spans="1:1" x14ac:dyDescent="0.35">
      <c r="A8821" s="4">
        <v>4500206270</v>
      </c>
    </row>
    <row r="8822" spans="1:1" x14ac:dyDescent="0.35">
      <c r="A8822" s="4">
        <v>4500206276</v>
      </c>
    </row>
    <row r="8823" spans="1:1" x14ac:dyDescent="0.35">
      <c r="A8823" s="4">
        <v>4500206281</v>
      </c>
    </row>
    <row r="8824" spans="1:1" x14ac:dyDescent="0.35">
      <c r="A8824" s="4">
        <v>4500206290</v>
      </c>
    </row>
    <row r="8825" spans="1:1" x14ac:dyDescent="0.35">
      <c r="A8825" s="4">
        <v>4500206298</v>
      </c>
    </row>
    <row r="8826" spans="1:1" x14ac:dyDescent="0.35">
      <c r="A8826" s="4">
        <v>4500206302</v>
      </c>
    </row>
    <row r="8827" spans="1:1" x14ac:dyDescent="0.35">
      <c r="A8827" s="4">
        <v>4500206309</v>
      </c>
    </row>
    <row r="8828" spans="1:1" x14ac:dyDescent="0.35">
      <c r="A8828" s="4">
        <v>4500206315</v>
      </c>
    </row>
    <row r="8829" spans="1:1" x14ac:dyDescent="0.35">
      <c r="A8829" s="4">
        <v>4500206317</v>
      </c>
    </row>
    <row r="8830" spans="1:1" x14ac:dyDescent="0.35">
      <c r="A8830" s="4">
        <v>4500206321</v>
      </c>
    </row>
    <row r="8831" spans="1:1" x14ac:dyDescent="0.35">
      <c r="A8831" s="4">
        <v>4500206326</v>
      </c>
    </row>
    <row r="8832" spans="1:1" x14ac:dyDescent="0.35">
      <c r="A8832" s="4">
        <v>4500206372</v>
      </c>
    </row>
    <row r="8833" spans="1:1" x14ac:dyDescent="0.35">
      <c r="A8833" s="4">
        <v>4500206373</v>
      </c>
    </row>
    <row r="8834" spans="1:1" x14ac:dyDescent="0.35">
      <c r="A8834" s="4">
        <v>4500206442</v>
      </c>
    </row>
    <row r="8835" spans="1:1" x14ac:dyDescent="0.35">
      <c r="A8835" s="4">
        <v>4500206454</v>
      </c>
    </row>
    <row r="8836" spans="1:1" x14ac:dyDescent="0.35">
      <c r="A8836" s="4">
        <v>4500206475</v>
      </c>
    </row>
    <row r="8837" spans="1:1" x14ac:dyDescent="0.35">
      <c r="A8837" s="4">
        <v>4500206480</v>
      </c>
    </row>
    <row r="8838" spans="1:1" x14ac:dyDescent="0.35">
      <c r="A8838" s="4">
        <v>4500206486</v>
      </c>
    </row>
    <row r="8839" spans="1:1" x14ac:dyDescent="0.35">
      <c r="A8839" s="4">
        <v>4500206495</v>
      </c>
    </row>
    <row r="8840" spans="1:1" x14ac:dyDescent="0.35">
      <c r="A8840" s="4">
        <v>4500206498</v>
      </c>
    </row>
    <row r="8841" spans="1:1" x14ac:dyDescent="0.35">
      <c r="A8841" s="4">
        <v>4500206508</v>
      </c>
    </row>
    <row r="8842" spans="1:1" x14ac:dyDescent="0.35">
      <c r="A8842" s="4">
        <v>4500206512</v>
      </c>
    </row>
    <row r="8843" spans="1:1" x14ac:dyDescent="0.35">
      <c r="A8843" s="4">
        <v>4500206516</v>
      </c>
    </row>
    <row r="8844" spans="1:1" x14ac:dyDescent="0.35">
      <c r="A8844" s="4">
        <v>4500206521</v>
      </c>
    </row>
    <row r="8845" spans="1:1" x14ac:dyDescent="0.35">
      <c r="A8845" s="4">
        <v>4500206531</v>
      </c>
    </row>
    <row r="8846" spans="1:1" x14ac:dyDescent="0.35">
      <c r="A8846" s="4">
        <v>4500206535</v>
      </c>
    </row>
    <row r="8847" spans="1:1" x14ac:dyDescent="0.35">
      <c r="A8847" s="4">
        <v>4500206539</v>
      </c>
    </row>
    <row r="8848" spans="1:1" x14ac:dyDescent="0.35">
      <c r="A8848" s="4">
        <v>4500206549</v>
      </c>
    </row>
    <row r="8849" spans="1:1" x14ac:dyDescent="0.35">
      <c r="A8849" s="4">
        <v>4500206551</v>
      </c>
    </row>
    <row r="8850" spans="1:1" x14ac:dyDescent="0.35">
      <c r="A8850" s="4">
        <v>4500206554</v>
      </c>
    </row>
    <row r="8851" spans="1:1" x14ac:dyDescent="0.35">
      <c r="A8851" s="4">
        <v>4500206559</v>
      </c>
    </row>
    <row r="8852" spans="1:1" x14ac:dyDescent="0.35">
      <c r="A8852" s="4">
        <v>4500206562</v>
      </c>
    </row>
    <row r="8853" spans="1:1" x14ac:dyDescent="0.35">
      <c r="A8853" s="4">
        <v>4500206564</v>
      </c>
    </row>
    <row r="8854" spans="1:1" x14ac:dyDescent="0.35">
      <c r="A8854" s="4">
        <v>4500206567</v>
      </c>
    </row>
    <row r="8855" spans="1:1" x14ac:dyDescent="0.35">
      <c r="A8855" s="4">
        <v>4500206571</v>
      </c>
    </row>
    <row r="8856" spans="1:1" x14ac:dyDescent="0.35">
      <c r="A8856" s="4">
        <v>4500206574</v>
      </c>
    </row>
    <row r="8857" spans="1:1" x14ac:dyDescent="0.35">
      <c r="A8857" s="4">
        <v>4500206580</v>
      </c>
    </row>
    <row r="8858" spans="1:1" x14ac:dyDescent="0.35">
      <c r="A8858" s="4">
        <v>4500206581</v>
      </c>
    </row>
    <row r="8859" spans="1:1" x14ac:dyDescent="0.35">
      <c r="A8859" s="4">
        <v>4500206587</v>
      </c>
    </row>
    <row r="8860" spans="1:1" x14ac:dyDescent="0.35">
      <c r="A8860" s="4">
        <v>4500206598</v>
      </c>
    </row>
    <row r="8861" spans="1:1" x14ac:dyDescent="0.35">
      <c r="A8861" s="4">
        <v>4500206604</v>
      </c>
    </row>
    <row r="8862" spans="1:1" x14ac:dyDescent="0.35">
      <c r="A8862" s="4">
        <v>4500206667</v>
      </c>
    </row>
    <row r="8863" spans="1:1" x14ac:dyDescent="0.35">
      <c r="A8863" s="4">
        <v>4500206674</v>
      </c>
    </row>
    <row r="8864" spans="1:1" x14ac:dyDescent="0.35">
      <c r="A8864" s="4">
        <v>4500206679</v>
      </c>
    </row>
    <row r="8865" spans="1:1" x14ac:dyDescent="0.35">
      <c r="A8865" s="4">
        <v>4500206683</v>
      </c>
    </row>
    <row r="8866" spans="1:1" x14ac:dyDescent="0.35">
      <c r="A8866" s="4">
        <v>4500206694</v>
      </c>
    </row>
    <row r="8867" spans="1:1" x14ac:dyDescent="0.35">
      <c r="A8867" s="4">
        <v>4500206711</v>
      </c>
    </row>
    <row r="8868" spans="1:1" x14ac:dyDescent="0.35">
      <c r="A8868" s="4">
        <v>4500206726</v>
      </c>
    </row>
    <row r="8869" spans="1:1" x14ac:dyDescent="0.35">
      <c r="A8869" s="4">
        <v>4500206740</v>
      </c>
    </row>
    <row r="8870" spans="1:1" x14ac:dyDescent="0.35">
      <c r="A8870" s="4">
        <v>4500206747</v>
      </c>
    </row>
    <row r="8871" spans="1:1" x14ac:dyDescent="0.35">
      <c r="A8871" s="4">
        <v>4500206759</v>
      </c>
    </row>
    <row r="8872" spans="1:1" x14ac:dyDescent="0.35">
      <c r="A8872" s="4">
        <v>4500206768</v>
      </c>
    </row>
    <row r="8873" spans="1:1" x14ac:dyDescent="0.35">
      <c r="A8873" s="4">
        <v>4500206774</v>
      </c>
    </row>
    <row r="8874" spans="1:1" x14ac:dyDescent="0.35">
      <c r="A8874" s="4">
        <v>4500206778</v>
      </c>
    </row>
    <row r="8875" spans="1:1" x14ac:dyDescent="0.35">
      <c r="A8875" s="4">
        <v>4500206779</v>
      </c>
    </row>
    <row r="8876" spans="1:1" x14ac:dyDescent="0.35">
      <c r="A8876" s="4">
        <v>4500206788</v>
      </c>
    </row>
    <row r="8877" spans="1:1" x14ac:dyDescent="0.35">
      <c r="A8877" s="4">
        <v>4500206793</v>
      </c>
    </row>
    <row r="8878" spans="1:1" x14ac:dyDescent="0.35">
      <c r="A8878" s="4">
        <v>4500206795</v>
      </c>
    </row>
    <row r="8879" spans="1:1" x14ac:dyDescent="0.35">
      <c r="A8879" s="4">
        <v>4500206796</v>
      </c>
    </row>
    <row r="8880" spans="1:1" x14ac:dyDescent="0.35">
      <c r="A8880" s="4">
        <v>4500206798</v>
      </c>
    </row>
    <row r="8881" spans="1:1" x14ac:dyDescent="0.35">
      <c r="A8881" s="4">
        <v>4500206800</v>
      </c>
    </row>
    <row r="8882" spans="1:1" x14ac:dyDescent="0.35">
      <c r="A8882" s="4">
        <v>4500206801</v>
      </c>
    </row>
    <row r="8883" spans="1:1" x14ac:dyDescent="0.35">
      <c r="A8883" s="4">
        <v>4500206802</v>
      </c>
    </row>
    <row r="8884" spans="1:1" x14ac:dyDescent="0.35">
      <c r="A8884" s="4">
        <v>4500206803</v>
      </c>
    </row>
    <row r="8885" spans="1:1" x14ac:dyDescent="0.35">
      <c r="A8885" s="4">
        <v>4500206804</v>
      </c>
    </row>
    <row r="8886" spans="1:1" x14ac:dyDescent="0.35">
      <c r="A8886" s="4">
        <v>4500206805</v>
      </c>
    </row>
    <row r="8887" spans="1:1" x14ac:dyDescent="0.35">
      <c r="A8887" s="4">
        <v>4500206806</v>
      </c>
    </row>
    <row r="8888" spans="1:1" x14ac:dyDescent="0.35">
      <c r="A8888" s="4">
        <v>4500206807</v>
      </c>
    </row>
    <row r="8889" spans="1:1" x14ac:dyDescent="0.35">
      <c r="A8889" s="4">
        <v>4500206809</v>
      </c>
    </row>
    <row r="8890" spans="1:1" x14ac:dyDescent="0.35">
      <c r="A8890" s="4">
        <v>4500206820</v>
      </c>
    </row>
    <row r="8891" spans="1:1" x14ac:dyDescent="0.35">
      <c r="A8891" s="4">
        <v>4500206822</v>
      </c>
    </row>
    <row r="8892" spans="1:1" x14ac:dyDescent="0.35">
      <c r="A8892" s="4">
        <v>4500206823</v>
      </c>
    </row>
    <row r="8893" spans="1:1" x14ac:dyDescent="0.35">
      <c r="A8893" s="4">
        <v>4500206897</v>
      </c>
    </row>
    <row r="8894" spans="1:1" x14ac:dyDescent="0.35">
      <c r="A8894" s="4">
        <v>4500206904</v>
      </c>
    </row>
    <row r="8895" spans="1:1" x14ac:dyDescent="0.35">
      <c r="A8895" s="4">
        <v>4500206908</v>
      </c>
    </row>
    <row r="8896" spans="1:1" x14ac:dyDescent="0.35">
      <c r="A8896" s="4">
        <v>4500206921</v>
      </c>
    </row>
    <row r="8897" spans="1:1" x14ac:dyDescent="0.35">
      <c r="A8897" s="4">
        <v>4500206930</v>
      </c>
    </row>
    <row r="8898" spans="1:1" x14ac:dyDescent="0.35">
      <c r="A8898" s="4">
        <v>4500206936</v>
      </c>
    </row>
    <row r="8899" spans="1:1" x14ac:dyDescent="0.35">
      <c r="A8899" s="4">
        <v>4500206943</v>
      </c>
    </row>
    <row r="8900" spans="1:1" x14ac:dyDescent="0.35">
      <c r="A8900" s="4">
        <v>4500206946</v>
      </c>
    </row>
    <row r="8901" spans="1:1" x14ac:dyDescent="0.35">
      <c r="A8901" s="4">
        <v>4500206957</v>
      </c>
    </row>
    <row r="8902" spans="1:1" x14ac:dyDescent="0.35">
      <c r="A8902" s="4">
        <v>4500206960</v>
      </c>
    </row>
    <row r="8903" spans="1:1" x14ac:dyDescent="0.35">
      <c r="A8903" s="4">
        <v>4500206972</v>
      </c>
    </row>
    <row r="8904" spans="1:1" x14ac:dyDescent="0.35">
      <c r="A8904" s="4">
        <v>4500206978</v>
      </c>
    </row>
    <row r="8905" spans="1:1" x14ac:dyDescent="0.35">
      <c r="A8905" s="4">
        <v>4500206983</v>
      </c>
    </row>
    <row r="8906" spans="1:1" x14ac:dyDescent="0.35">
      <c r="A8906" s="4">
        <v>4500206987</v>
      </c>
    </row>
    <row r="8907" spans="1:1" x14ac:dyDescent="0.35">
      <c r="A8907" s="4">
        <v>4500206991</v>
      </c>
    </row>
    <row r="8908" spans="1:1" x14ac:dyDescent="0.35">
      <c r="A8908" s="4">
        <v>4500206996</v>
      </c>
    </row>
    <row r="8909" spans="1:1" x14ac:dyDescent="0.35">
      <c r="A8909" s="4">
        <v>4500207012</v>
      </c>
    </row>
    <row r="8910" spans="1:1" x14ac:dyDescent="0.35">
      <c r="A8910" s="4">
        <v>4500207015</v>
      </c>
    </row>
    <row r="8911" spans="1:1" x14ac:dyDescent="0.35">
      <c r="A8911" s="4">
        <v>4500207025</v>
      </c>
    </row>
    <row r="8912" spans="1:1" x14ac:dyDescent="0.35">
      <c r="A8912" s="4">
        <v>4500207027</v>
      </c>
    </row>
    <row r="8913" spans="1:1" x14ac:dyDescent="0.35">
      <c r="A8913" s="4">
        <v>4500207028</v>
      </c>
    </row>
    <row r="8914" spans="1:1" x14ac:dyDescent="0.35">
      <c r="A8914" s="4">
        <v>4500207031</v>
      </c>
    </row>
    <row r="8915" spans="1:1" x14ac:dyDescent="0.35">
      <c r="A8915" s="4">
        <v>4500207033</v>
      </c>
    </row>
    <row r="8916" spans="1:1" x14ac:dyDescent="0.35">
      <c r="A8916" s="4">
        <v>4500207038</v>
      </c>
    </row>
    <row r="8917" spans="1:1" x14ac:dyDescent="0.35">
      <c r="A8917" s="4">
        <v>4500207044</v>
      </c>
    </row>
    <row r="8918" spans="1:1" x14ac:dyDescent="0.35">
      <c r="A8918" s="4">
        <v>4500207046</v>
      </c>
    </row>
    <row r="8919" spans="1:1" x14ac:dyDescent="0.35">
      <c r="A8919" s="4">
        <v>4500207117</v>
      </c>
    </row>
    <row r="8920" spans="1:1" x14ac:dyDescent="0.35">
      <c r="A8920" s="4">
        <v>4500207120</v>
      </c>
    </row>
    <row r="8921" spans="1:1" x14ac:dyDescent="0.35">
      <c r="A8921" s="4">
        <v>4500207128</v>
      </c>
    </row>
    <row r="8922" spans="1:1" x14ac:dyDescent="0.35">
      <c r="A8922" s="4">
        <v>4500207130</v>
      </c>
    </row>
    <row r="8923" spans="1:1" x14ac:dyDescent="0.35">
      <c r="A8923" s="4">
        <v>4500207133</v>
      </c>
    </row>
    <row r="8924" spans="1:1" x14ac:dyDescent="0.35">
      <c r="A8924" s="4">
        <v>4500207137</v>
      </c>
    </row>
    <row r="8925" spans="1:1" x14ac:dyDescent="0.35">
      <c r="A8925" s="4">
        <v>4500207143</v>
      </c>
    </row>
    <row r="8926" spans="1:1" x14ac:dyDescent="0.35">
      <c r="A8926" s="4">
        <v>4500207145</v>
      </c>
    </row>
    <row r="8927" spans="1:1" x14ac:dyDescent="0.35">
      <c r="A8927" s="4">
        <v>4500207150</v>
      </c>
    </row>
    <row r="8928" spans="1:1" x14ac:dyDescent="0.35">
      <c r="A8928" s="4">
        <v>4500207153</v>
      </c>
    </row>
    <row r="8929" spans="1:1" x14ac:dyDescent="0.35">
      <c r="A8929" s="4">
        <v>4500207160</v>
      </c>
    </row>
    <row r="8930" spans="1:1" x14ac:dyDescent="0.35">
      <c r="A8930" s="4">
        <v>4500207169</v>
      </c>
    </row>
    <row r="8931" spans="1:1" x14ac:dyDescent="0.35">
      <c r="A8931" s="4">
        <v>4500207174</v>
      </c>
    </row>
    <row r="8932" spans="1:1" x14ac:dyDescent="0.35">
      <c r="A8932" s="4">
        <v>4500207185</v>
      </c>
    </row>
    <row r="8933" spans="1:1" x14ac:dyDescent="0.35">
      <c r="A8933" s="4">
        <v>4500207187</v>
      </c>
    </row>
    <row r="8934" spans="1:1" x14ac:dyDescent="0.35">
      <c r="A8934" s="4">
        <v>4500207190</v>
      </c>
    </row>
    <row r="8935" spans="1:1" x14ac:dyDescent="0.35">
      <c r="A8935" s="4">
        <v>4500207198</v>
      </c>
    </row>
    <row r="8936" spans="1:1" x14ac:dyDescent="0.35">
      <c r="A8936" s="4">
        <v>4500207203</v>
      </c>
    </row>
    <row r="8937" spans="1:1" x14ac:dyDescent="0.35">
      <c r="A8937" s="4">
        <v>4500207207</v>
      </c>
    </row>
    <row r="8938" spans="1:1" x14ac:dyDescent="0.35">
      <c r="A8938" s="4">
        <v>4500207213</v>
      </c>
    </row>
    <row r="8939" spans="1:1" x14ac:dyDescent="0.35">
      <c r="A8939" s="4">
        <v>4500207221</v>
      </c>
    </row>
    <row r="8940" spans="1:1" x14ac:dyDescent="0.35">
      <c r="A8940" s="4">
        <v>4500207226</v>
      </c>
    </row>
    <row r="8941" spans="1:1" x14ac:dyDescent="0.35">
      <c r="A8941" s="4">
        <v>4500207230</v>
      </c>
    </row>
    <row r="8942" spans="1:1" x14ac:dyDescent="0.35">
      <c r="A8942" s="4">
        <v>4500207232</v>
      </c>
    </row>
    <row r="8943" spans="1:1" x14ac:dyDescent="0.35">
      <c r="A8943" s="4">
        <v>4500207234</v>
      </c>
    </row>
    <row r="8944" spans="1:1" x14ac:dyDescent="0.35">
      <c r="A8944" s="4">
        <v>4500207235</v>
      </c>
    </row>
    <row r="8945" spans="1:1" x14ac:dyDescent="0.35">
      <c r="A8945" s="4">
        <v>4500207237</v>
      </c>
    </row>
    <row r="8946" spans="1:1" x14ac:dyDescent="0.35">
      <c r="A8946" s="4">
        <v>4500207239</v>
      </c>
    </row>
    <row r="8947" spans="1:1" x14ac:dyDescent="0.35">
      <c r="A8947" s="4">
        <v>4500207240</v>
      </c>
    </row>
    <row r="8948" spans="1:1" x14ac:dyDescent="0.35">
      <c r="A8948" s="4">
        <v>4500207245</v>
      </c>
    </row>
    <row r="8949" spans="1:1" x14ac:dyDescent="0.35">
      <c r="A8949" s="4">
        <v>4500207345</v>
      </c>
    </row>
    <row r="8950" spans="1:1" x14ac:dyDescent="0.35">
      <c r="A8950" s="4">
        <v>4500207354</v>
      </c>
    </row>
    <row r="8951" spans="1:1" x14ac:dyDescent="0.35">
      <c r="A8951" s="4">
        <v>4500207359</v>
      </c>
    </row>
    <row r="8952" spans="1:1" x14ac:dyDescent="0.35">
      <c r="A8952" s="4">
        <v>4500207362</v>
      </c>
    </row>
    <row r="8953" spans="1:1" x14ac:dyDescent="0.35">
      <c r="A8953" s="4">
        <v>4500207371</v>
      </c>
    </row>
    <row r="8954" spans="1:1" x14ac:dyDescent="0.35">
      <c r="A8954" s="4">
        <v>4500207375</v>
      </c>
    </row>
    <row r="8955" spans="1:1" x14ac:dyDescent="0.35">
      <c r="A8955" s="4">
        <v>4500207384</v>
      </c>
    </row>
    <row r="8956" spans="1:1" x14ac:dyDescent="0.35">
      <c r="A8956" s="4">
        <v>4500207394</v>
      </c>
    </row>
    <row r="8957" spans="1:1" x14ac:dyDescent="0.35">
      <c r="A8957" s="4">
        <v>4500207398</v>
      </c>
    </row>
    <row r="8958" spans="1:1" x14ac:dyDescent="0.35">
      <c r="A8958" s="4">
        <v>4500207400</v>
      </c>
    </row>
    <row r="8959" spans="1:1" x14ac:dyDescent="0.35">
      <c r="A8959" s="4">
        <v>4500207404</v>
      </c>
    </row>
    <row r="8960" spans="1:1" x14ac:dyDescent="0.35">
      <c r="A8960" s="4">
        <v>4500207415</v>
      </c>
    </row>
    <row r="8961" spans="1:1" x14ac:dyDescent="0.35">
      <c r="A8961" s="4">
        <v>4500207419</v>
      </c>
    </row>
    <row r="8962" spans="1:1" x14ac:dyDescent="0.35">
      <c r="A8962" s="4">
        <v>4500207423</v>
      </c>
    </row>
    <row r="8963" spans="1:1" x14ac:dyDescent="0.35">
      <c r="A8963" s="4">
        <v>4500207427</v>
      </c>
    </row>
    <row r="8964" spans="1:1" x14ac:dyDescent="0.35">
      <c r="A8964" s="4">
        <v>4500207431</v>
      </c>
    </row>
    <row r="8965" spans="1:1" x14ac:dyDescent="0.35">
      <c r="A8965" s="4">
        <v>4500207442</v>
      </c>
    </row>
    <row r="8966" spans="1:1" x14ac:dyDescent="0.35">
      <c r="A8966" s="4">
        <v>4500207445</v>
      </c>
    </row>
    <row r="8967" spans="1:1" x14ac:dyDescent="0.35">
      <c r="A8967" s="4">
        <v>4500207449</v>
      </c>
    </row>
    <row r="8968" spans="1:1" x14ac:dyDescent="0.35">
      <c r="A8968" s="4">
        <v>4500207451</v>
      </c>
    </row>
    <row r="8969" spans="1:1" x14ac:dyDescent="0.35">
      <c r="A8969" s="4">
        <v>4500207452</v>
      </c>
    </row>
    <row r="8970" spans="1:1" x14ac:dyDescent="0.35">
      <c r="A8970" s="4">
        <v>4500207549</v>
      </c>
    </row>
    <row r="8971" spans="1:1" x14ac:dyDescent="0.35">
      <c r="A8971" s="4">
        <v>4500207571</v>
      </c>
    </row>
    <row r="8972" spans="1:1" x14ac:dyDescent="0.35">
      <c r="A8972" s="4">
        <v>4500207588</v>
      </c>
    </row>
    <row r="8973" spans="1:1" x14ac:dyDescent="0.35">
      <c r="A8973" s="4">
        <v>4500207595</v>
      </c>
    </row>
    <row r="8974" spans="1:1" x14ac:dyDescent="0.35">
      <c r="A8974" s="4">
        <v>4500207612</v>
      </c>
    </row>
    <row r="8975" spans="1:1" x14ac:dyDescent="0.35">
      <c r="A8975" s="4">
        <v>4500207616</v>
      </c>
    </row>
    <row r="8976" spans="1:1" x14ac:dyDescent="0.35">
      <c r="A8976" s="4">
        <v>4500207620</v>
      </c>
    </row>
    <row r="8977" spans="1:1" x14ac:dyDescent="0.35">
      <c r="A8977" s="4">
        <v>4500207623</v>
      </c>
    </row>
    <row r="8978" spans="1:1" x14ac:dyDescent="0.35">
      <c r="A8978" s="4">
        <v>4500207625</v>
      </c>
    </row>
    <row r="8979" spans="1:1" x14ac:dyDescent="0.35">
      <c r="A8979" s="4">
        <v>4500207630</v>
      </c>
    </row>
    <row r="8980" spans="1:1" x14ac:dyDescent="0.35">
      <c r="A8980" s="4">
        <v>4500207631</v>
      </c>
    </row>
    <row r="8981" spans="1:1" x14ac:dyDescent="0.35">
      <c r="A8981" s="4">
        <v>4500207632</v>
      </c>
    </row>
    <row r="8982" spans="1:1" x14ac:dyDescent="0.35">
      <c r="A8982" s="4">
        <v>4500207634</v>
      </c>
    </row>
    <row r="8983" spans="1:1" x14ac:dyDescent="0.35">
      <c r="A8983" s="4">
        <v>4500207635</v>
      </c>
    </row>
    <row r="8984" spans="1:1" x14ac:dyDescent="0.35">
      <c r="A8984" s="4">
        <v>4500207637</v>
      </c>
    </row>
    <row r="8985" spans="1:1" x14ac:dyDescent="0.35">
      <c r="A8985" s="4">
        <v>4500207638</v>
      </c>
    </row>
    <row r="8986" spans="1:1" x14ac:dyDescent="0.35">
      <c r="A8986" s="4">
        <v>4500207639</v>
      </c>
    </row>
    <row r="8987" spans="1:1" x14ac:dyDescent="0.35">
      <c r="A8987" s="4">
        <v>4500207726</v>
      </c>
    </row>
    <row r="8988" spans="1:1" x14ac:dyDescent="0.35">
      <c r="A8988" s="4">
        <v>4500207733</v>
      </c>
    </row>
    <row r="8989" spans="1:1" x14ac:dyDescent="0.35">
      <c r="A8989" s="4">
        <v>4500207741</v>
      </c>
    </row>
    <row r="8990" spans="1:1" x14ac:dyDescent="0.35">
      <c r="A8990" s="4">
        <v>4500207748</v>
      </c>
    </row>
    <row r="8991" spans="1:1" x14ac:dyDescent="0.35">
      <c r="A8991" s="4">
        <v>4500207754</v>
      </c>
    </row>
    <row r="8992" spans="1:1" x14ac:dyDescent="0.35">
      <c r="A8992" s="4">
        <v>4500207758</v>
      </c>
    </row>
    <row r="8993" spans="1:1" x14ac:dyDescent="0.35">
      <c r="A8993" s="4">
        <v>4500207774</v>
      </c>
    </row>
    <row r="8994" spans="1:1" x14ac:dyDescent="0.35">
      <c r="A8994" s="4">
        <v>4500207781</v>
      </c>
    </row>
    <row r="8995" spans="1:1" x14ac:dyDescent="0.35">
      <c r="A8995" s="4">
        <v>4500207786</v>
      </c>
    </row>
    <row r="8996" spans="1:1" x14ac:dyDescent="0.35">
      <c r="A8996" s="4">
        <v>4500207791</v>
      </c>
    </row>
    <row r="8997" spans="1:1" x14ac:dyDescent="0.35">
      <c r="A8997" s="4">
        <v>4500207797</v>
      </c>
    </row>
    <row r="8998" spans="1:1" x14ac:dyDescent="0.35">
      <c r="A8998" s="4">
        <v>4500207805</v>
      </c>
    </row>
    <row r="8999" spans="1:1" x14ac:dyDescent="0.35">
      <c r="A8999" s="4">
        <v>4500207810</v>
      </c>
    </row>
    <row r="9000" spans="1:1" x14ac:dyDescent="0.35">
      <c r="A9000" s="4">
        <v>4500207812</v>
      </c>
    </row>
    <row r="9001" spans="1:1" x14ac:dyDescent="0.35">
      <c r="A9001" s="4">
        <v>4500207814</v>
      </c>
    </row>
    <row r="9002" spans="1:1" x14ac:dyDescent="0.35">
      <c r="A9002" s="4">
        <v>4500207816</v>
      </c>
    </row>
    <row r="9003" spans="1:1" x14ac:dyDescent="0.35">
      <c r="A9003" s="4">
        <v>4500207820</v>
      </c>
    </row>
    <row r="9004" spans="1:1" x14ac:dyDescent="0.35">
      <c r="A9004" s="4">
        <v>4500207822</v>
      </c>
    </row>
    <row r="9005" spans="1:1" x14ac:dyDescent="0.35">
      <c r="A9005" s="4">
        <v>4500207823</v>
      </c>
    </row>
    <row r="9006" spans="1:1" x14ac:dyDescent="0.35">
      <c r="A9006" s="4">
        <v>4500207824</v>
      </c>
    </row>
    <row r="9007" spans="1:1" x14ac:dyDescent="0.35">
      <c r="A9007" s="4">
        <v>4500207826</v>
      </c>
    </row>
    <row r="9008" spans="1:1" x14ac:dyDescent="0.35">
      <c r="A9008" s="4">
        <v>4500207828</v>
      </c>
    </row>
    <row r="9009" spans="1:1" x14ac:dyDescent="0.35">
      <c r="A9009" s="4">
        <v>4500207829</v>
      </c>
    </row>
    <row r="9010" spans="1:1" x14ac:dyDescent="0.35">
      <c r="A9010" s="4">
        <v>4500207830</v>
      </c>
    </row>
    <row r="9011" spans="1:1" x14ac:dyDescent="0.35">
      <c r="A9011" s="4">
        <v>4500207831</v>
      </c>
    </row>
    <row r="9012" spans="1:1" x14ac:dyDescent="0.35">
      <c r="A9012" s="4">
        <v>4500207922</v>
      </c>
    </row>
    <row r="9013" spans="1:1" x14ac:dyDescent="0.35">
      <c r="A9013" s="4">
        <v>4500207926</v>
      </c>
    </row>
    <row r="9014" spans="1:1" x14ac:dyDescent="0.35">
      <c r="A9014" s="4">
        <v>4500207936</v>
      </c>
    </row>
    <row r="9015" spans="1:1" x14ac:dyDescent="0.35">
      <c r="A9015" s="4">
        <v>4500207943</v>
      </c>
    </row>
    <row r="9016" spans="1:1" x14ac:dyDescent="0.35">
      <c r="A9016" s="4">
        <v>4500207955</v>
      </c>
    </row>
    <row r="9017" spans="1:1" x14ac:dyDescent="0.35">
      <c r="A9017" s="4">
        <v>4500207966</v>
      </c>
    </row>
    <row r="9018" spans="1:1" x14ac:dyDescent="0.35">
      <c r="A9018" s="4">
        <v>4500207980</v>
      </c>
    </row>
    <row r="9019" spans="1:1" x14ac:dyDescent="0.35">
      <c r="A9019" s="4">
        <v>4500207985</v>
      </c>
    </row>
    <row r="9020" spans="1:1" x14ac:dyDescent="0.35">
      <c r="A9020" s="4">
        <v>4500207992</v>
      </c>
    </row>
    <row r="9021" spans="1:1" x14ac:dyDescent="0.35">
      <c r="A9021" s="4">
        <v>4500207995</v>
      </c>
    </row>
    <row r="9022" spans="1:1" x14ac:dyDescent="0.35">
      <c r="A9022" s="4">
        <v>4500208011</v>
      </c>
    </row>
    <row r="9023" spans="1:1" x14ac:dyDescent="0.35">
      <c r="A9023" s="4">
        <v>4500208014</v>
      </c>
    </row>
    <row r="9024" spans="1:1" x14ac:dyDescent="0.35">
      <c r="A9024" s="4">
        <v>4500208017</v>
      </c>
    </row>
    <row r="9025" spans="1:1" x14ac:dyDescent="0.35">
      <c r="A9025" s="4">
        <v>4500208020</v>
      </c>
    </row>
    <row r="9026" spans="1:1" x14ac:dyDescent="0.35">
      <c r="A9026" s="4">
        <v>4500208024</v>
      </c>
    </row>
    <row r="9027" spans="1:1" x14ac:dyDescent="0.35">
      <c r="A9027" s="4">
        <v>4500208029</v>
      </c>
    </row>
    <row r="9028" spans="1:1" x14ac:dyDescent="0.35">
      <c r="A9028" s="4">
        <v>4500208031</v>
      </c>
    </row>
    <row r="9029" spans="1:1" x14ac:dyDescent="0.35">
      <c r="A9029" s="4">
        <v>4500208034</v>
      </c>
    </row>
    <row r="9030" spans="1:1" x14ac:dyDescent="0.35">
      <c r="A9030" s="4">
        <v>4500208038</v>
      </c>
    </row>
    <row r="9031" spans="1:1" x14ac:dyDescent="0.35">
      <c r="A9031" s="4">
        <v>4500208039</v>
      </c>
    </row>
    <row r="9032" spans="1:1" x14ac:dyDescent="0.35">
      <c r="A9032" s="4">
        <v>4500208040</v>
      </c>
    </row>
    <row r="9033" spans="1:1" x14ac:dyDescent="0.35">
      <c r="A9033" s="4">
        <v>4500208041</v>
      </c>
    </row>
    <row r="9034" spans="1:1" x14ac:dyDescent="0.35">
      <c r="A9034" s="4">
        <v>4500208043</v>
      </c>
    </row>
    <row r="9035" spans="1:1" x14ac:dyDescent="0.35">
      <c r="A9035" s="4">
        <v>4500208044</v>
      </c>
    </row>
    <row r="9036" spans="1:1" x14ac:dyDescent="0.35">
      <c r="A9036" s="4">
        <v>4500208045</v>
      </c>
    </row>
    <row r="9037" spans="1:1" x14ac:dyDescent="0.35">
      <c r="A9037" s="4">
        <v>4500208046</v>
      </c>
    </row>
    <row r="9038" spans="1:1" x14ac:dyDescent="0.35">
      <c r="A9038" s="4">
        <v>4500208048</v>
      </c>
    </row>
    <row r="9039" spans="1:1" x14ac:dyDescent="0.35">
      <c r="A9039" s="4">
        <v>4500208049</v>
      </c>
    </row>
    <row r="9040" spans="1:1" x14ac:dyDescent="0.35">
      <c r="A9040" s="4">
        <v>4500208050</v>
      </c>
    </row>
    <row r="9041" spans="1:1" x14ac:dyDescent="0.35">
      <c r="A9041" s="4">
        <v>4500208139</v>
      </c>
    </row>
    <row r="9042" spans="1:1" x14ac:dyDescent="0.35">
      <c r="A9042" s="4">
        <v>4500208144</v>
      </c>
    </row>
    <row r="9043" spans="1:1" x14ac:dyDescent="0.35">
      <c r="A9043" s="4">
        <v>4500208149</v>
      </c>
    </row>
    <row r="9044" spans="1:1" x14ac:dyDescent="0.35">
      <c r="A9044" s="4">
        <v>4500208155</v>
      </c>
    </row>
    <row r="9045" spans="1:1" x14ac:dyDescent="0.35">
      <c r="A9045" s="4">
        <v>4500208160</v>
      </c>
    </row>
    <row r="9046" spans="1:1" x14ac:dyDescent="0.35">
      <c r="A9046" s="4">
        <v>4500208168</v>
      </c>
    </row>
    <row r="9047" spans="1:1" x14ac:dyDescent="0.35">
      <c r="A9047" s="4">
        <v>4500208173</v>
      </c>
    </row>
    <row r="9048" spans="1:1" x14ac:dyDescent="0.35">
      <c r="A9048" s="4">
        <v>4500208179</v>
      </c>
    </row>
    <row r="9049" spans="1:1" x14ac:dyDescent="0.35">
      <c r="A9049" s="4">
        <v>4500208185</v>
      </c>
    </row>
    <row r="9050" spans="1:1" x14ac:dyDescent="0.35">
      <c r="A9050" s="4">
        <v>4500208188</v>
      </c>
    </row>
    <row r="9051" spans="1:1" x14ac:dyDescent="0.35">
      <c r="A9051" s="4">
        <v>4500208193</v>
      </c>
    </row>
    <row r="9052" spans="1:1" x14ac:dyDescent="0.35">
      <c r="A9052" s="4">
        <v>4500208200</v>
      </c>
    </row>
    <row r="9053" spans="1:1" x14ac:dyDescent="0.35">
      <c r="A9053" s="4">
        <v>4500208205</v>
      </c>
    </row>
    <row r="9054" spans="1:1" x14ac:dyDescent="0.35">
      <c r="A9054" s="4">
        <v>4500208213</v>
      </c>
    </row>
    <row r="9055" spans="1:1" x14ac:dyDescent="0.35">
      <c r="A9055" s="4">
        <v>4500208218</v>
      </c>
    </row>
    <row r="9056" spans="1:1" x14ac:dyDescent="0.35">
      <c r="A9056" s="4">
        <v>4500208223</v>
      </c>
    </row>
    <row r="9057" spans="1:1" x14ac:dyDescent="0.35">
      <c r="A9057" s="4">
        <v>4500208227</v>
      </c>
    </row>
    <row r="9058" spans="1:1" x14ac:dyDescent="0.35">
      <c r="A9058" s="4">
        <v>4500208234</v>
      </c>
    </row>
    <row r="9059" spans="1:1" x14ac:dyDescent="0.35">
      <c r="A9059" s="4">
        <v>4500208239</v>
      </c>
    </row>
    <row r="9060" spans="1:1" x14ac:dyDescent="0.35">
      <c r="A9060" s="4">
        <v>4500208242</v>
      </c>
    </row>
    <row r="9061" spans="1:1" x14ac:dyDescent="0.35">
      <c r="A9061" s="4">
        <v>4500208247</v>
      </c>
    </row>
    <row r="9062" spans="1:1" x14ac:dyDescent="0.35">
      <c r="A9062" s="4">
        <v>4500208251</v>
      </c>
    </row>
    <row r="9063" spans="1:1" x14ac:dyDescent="0.35">
      <c r="A9063" s="4">
        <v>4500208254</v>
      </c>
    </row>
    <row r="9064" spans="1:1" x14ac:dyDescent="0.35">
      <c r="A9064" s="4">
        <v>4500208257</v>
      </c>
    </row>
    <row r="9065" spans="1:1" x14ac:dyDescent="0.35">
      <c r="A9065" s="4">
        <v>4500208260</v>
      </c>
    </row>
    <row r="9066" spans="1:1" x14ac:dyDescent="0.35">
      <c r="A9066" s="4">
        <v>4500208261</v>
      </c>
    </row>
    <row r="9067" spans="1:1" x14ac:dyDescent="0.35">
      <c r="A9067" s="4">
        <v>4500208262</v>
      </c>
    </row>
    <row r="9068" spans="1:1" x14ac:dyDescent="0.35">
      <c r="A9068" s="4">
        <v>4500208263</v>
      </c>
    </row>
    <row r="9069" spans="1:1" x14ac:dyDescent="0.35">
      <c r="A9069" s="4">
        <v>4500208264</v>
      </c>
    </row>
    <row r="9070" spans="1:1" x14ac:dyDescent="0.35">
      <c r="A9070" s="4">
        <v>4500208265</v>
      </c>
    </row>
    <row r="9071" spans="1:1" x14ac:dyDescent="0.35">
      <c r="A9071" s="4">
        <v>4500208266</v>
      </c>
    </row>
    <row r="9072" spans="1:1" x14ac:dyDescent="0.35">
      <c r="A9072" s="4">
        <v>4500208268</v>
      </c>
    </row>
    <row r="9073" spans="1:1" x14ac:dyDescent="0.35">
      <c r="A9073" s="4">
        <v>4500208269</v>
      </c>
    </row>
    <row r="9074" spans="1:1" x14ac:dyDescent="0.35">
      <c r="A9074" s="4">
        <v>4500208270</v>
      </c>
    </row>
    <row r="9075" spans="1:1" x14ac:dyDescent="0.35">
      <c r="A9075" s="4">
        <v>4500208271</v>
      </c>
    </row>
    <row r="9076" spans="1:1" x14ac:dyDescent="0.35">
      <c r="A9076" s="4">
        <v>4500208272</v>
      </c>
    </row>
    <row r="9077" spans="1:1" x14ac:dyDescent="0.35">
      <c r="A9077" s="4">
        <v>4500208273</v>
      </c>
    </row>
    <row r="9078" spans="1:1" x14ac:dyDescent="0.35">
      <c r="A9078" s="4">
        <v>4500208274</v>
      </c>
    </row>
    <row r="9079" spans="1:1" x14ac:dyDescent="0.35">
      <c r="A9079" s="4">
        <v>4500208275</v>
      </c>
    </row>
    <row r="9080" spans="1:1" x14ac:dyDescent="0.35">
      <c r="A9080" s="4">
        <v>4500208276</v>
      </c>
    </row>
    <row r="9081" spans="1:1" x14ac:dyDescent="0.35">
      <c r="A9081" s="4">
        <v>4500208288</v>
      </c>
    </row>
    <row r="9082" spans="1:1" x14ac:dyDescent="0.35">
      <c r="A9082" s="4">
        <v>4500208386</v>
      </c>
    </row>
    <row r="9083" spans="1:1" x14ac:dyDescent="0.35">
      <c r="A9083" s="4">
        <v>4500208391</v>
      </c>
    </row>
    <row r="9084" spans="1:1" x14ac:dyDescent="0.35">
      <c r="A9084" s="4">
        <v>4500208396</v>
      </c>
    </row>
    <row r="9085" spans="1:1" x14ac:dyDescent="0.35">
      <c r="A9085" s="4">
        <v>4500208403</v>
      </c>
    </row>
    <row r="9086" spans="1:1" x14ac:dyDescent="0.35">
      <c r="A9086" s="4">
        <v>4500208406</v>
      </c>
    </row>
    <row r="9087" spans="1:1" x14ac:dyDescent="0.35">
      <c r="A9087" s="4">
        <v>4500208412</v>
      </c>
    </row>
    <row r="9088" spans="1:1" x14ac:dyDescent="0.35">
      <c r="A9088" s="4">
        <v>4500208415</v>
      </c>
    </row>
    <row r="9089" spans="1:1" x14ac:dyDescent="0.35">
      <c r="A9089" s="4">
        <v>4500208420</v>
      </c>
    </row>
    <row r="9090" spans="1:1" x14ac:dyDescent="0.35">
      <c r="A9090" s="4">
        <v>4500208437</v>
      </c>
    </row>
    <row r="9091" spans="1:1" x14ac:dyDescent="0.35">
      <c r="A9091" s="4">
        <v>4500208444</v>
      </c>
    </row>
    <row r="9092" spans="1:1" x14ac:dyDescent="0.35">
      <c r="A9092" s="4">
        <v>4500208448</v>
      </c>
    </row>
    <row r="9093" spans="1:1" x14ac:dyDescent="0.35">
      <c r="A9093" s="4">
        <v>4500208455</v>
      </c>
    </row>
    <row r="9094" spans="1:1" x14ac:dyDescent="0.35">
      <c r="A9094" s="4">
        <v>4500208458</v>
      </c>
    </row>
    <row r="9095" spans="1:1" x14ac:dyDescent="0.35">
      <c r="A9095" s="4">
        <v>4500208462</v>
      </c>
    </row>
    <row r="9096" spans="1:1" x14ac:dyDescent="0.35">
      <c r="A9096" s="4">
        <v>4500208464</v>
      </c>
    </row>
    <row r="9097" spans="1:1" x14ac:dyDescent="0.35">
      <c r="A9097" s="4">
        <v>4500208469</v>
      </c>
    </row>
    <row r="9098" spans="1:1" x14ac:dyDescent="0.35">
      <c r="A9098" s="4">
        <v>4500208486</v>
      </c>
    </row>
    <row r="9099" spans="1:1" x14ac:dyDescent="0.35">
      <c r="A9099" s="4">
        <v>4500208496</v>
      </c>
    </row>
    <row r="9100" spans="1:1" x14ac:dyDescent="0.35">
      <c r="A9100" s="4">
        <v>4500208499</v>
      </c>
    </row>
    <row r="9101" spans="1:1" x14ac:dyDescent="0.35">
      <c r="A9101" s="4">
        <v>4500208502</v>
      </c>
    </row>
    <row r="9102" spans="1:1" x14ac:dyDescent="0.35">
      <c r="A9102" s="4">
        <v>4500208505</v>
      </c>
    </row>
    <row r="9103" spans="1:1" x14ac:dyDescent="0.35">
      <c r="A9103" s="4">
        <v>4500208508</v>
      </c>
    </row>
    <row r="9104" spans="1:1" x14ac:dyDescent="0.35">
      <c r="A9104" s="4">
        <v>4500208509</v>
      </c>
    </row>
    <row r="9105" spans="1:1" x14ac:dyDescent="0.35">
      <c r="A9105" s="4">
        <v>4500208513</v>
      </c>
    </row>
    <row r="9106" spans="1:1" x14ac:dyDescent="0.35">
      <c r="A9106" s="4">
        <v>4500208518</v>
      </c>
    </row>
    <row r="9107" spans="1:1" x14ac:dyDescent="0.35">
      <c r="A9107" s="4">
        <v>4500208520</v>
      </c>
    </row>
    <row r="9108" spans="1:1" x14ac:dyDescent="0.35">
      <c r="A9108" s="4">
        <v>4500208521</v>
      </c>
    </row>
    <row r="9109" spans="1:1" x14ac:dyDescent="0.35">
      <c r="A9109" s="4">
        <v>4500208522</v>
      </c>
    </row>
    <row r="9110" spans="1:1" x14ac:dyDescent="0.35">
      <c r="A9110" s="4">
        <v>4500208529</v>
      </c>
    </row>
    <row r="9111" spans="1:1" x14ac:dyDescent="0.35">
      <c r="A9111" s="4">
        <v>4500208623</v>
      </c>
    </row>
    <row r="9112" spans="1:1" x14ac:dyDescent="0.35">
      <c r="A9112" s="4">
        <v>4500208629</v>
      </c>
    </row>
    <row r="9113" spans="1:1" x14ac:dyDescent="0.35">
      <c r="A9113" s="4">
        <v>4500208632</v>
      </c>
    </row>
    <row r="9114" spans="1:1" x14ac:dyDescent="0.35">
      <c r="A9114" s="4">
        <v>4500208640</v>
      </c>
    </row>
    <row r="9115" spans="1:1" x14ac:dyDescent="0.35">
      <c r="A9115" s="4">
        <v>4500208643</v>
      </c>
    </row>
    <row r="9116" spans="1:1" x14ac:dyDescent="0.35">
      <c r="A9116" s="4">
        <v>4500208647</v>
      </c>
    </row>
    <row r="9117" spans="1:1" x14ac:dyDescent="0.35">
      <c r="A9117" s="4">
        <v>4500208651</v>
      </c>
    </row>
    <row r="9118" spans="1:1" x14ac:dyDescent="0.35">
      <c r="A9118" s="4">
        <v>4500208661</v>
      </c>
    </row>
    <row r="9119" spans="1:1" x14ac:dyDescent="0.35">
      <c r="A9119" s="4">
        <v>4500208666</v>
      </c>
    </row>
    <row r="9120" spans="1:1" x14ac:dyDescent="0.35">
      <c r="A9120" s="4">
        <v>4500208672</v>
      </c>
    </row>
    <row r="9121" spans="1:1" x14ac:dyDescent="0.35">
      <c r="A9121" s="4">
        <v>4500208677</v>
      </c>
    </row>
    <row r="9122" spans="1:1" x14ac:dyDescent="0.35">
      <c r="A9122" s="4">
        <v>4500208689</v>
      </c>
    </row>
    <row r="9123" spans="1:1" x14ac:dyDescent="0.35">
      <c r="A9123" s="4">
        <v>4500208692</v>
      </c>
    </row>
    <row r="9124" spans="1:1" x14ac:dyDescent="0.35">
      <c r="A9124" s="4">
        <v>4500208693</v>
      </c>
    </row>
    <row r="9125" spans="1:1" x14ac:dyDescent="0.35">
      <c r="A9125" s="4">
        <v>4500208699</v>
      </c>
    </row>
    <row r="9126" spans="1:1" x14ac:dyDescent="0.35">
      <c r="A9126" s="4">
        <v>4500208701</v>
      </c>
    </row>
    <row r="9127" spans="1:1" x14ac:dyDescent="0.35">
      <c r="A9127" s="4">
        <v>4500208703</v>
      </c>
    </row>
    <row r="9128" spans="1:1" x14ac:dyDescent="0.35">
      <c r="A9128" s="4">
        <v>4500208706</v>
      </c>
    </row>
    <row r="9129" spans="1:1" x14ac:dyDescent="0.35">
      <c r="A9129" s="4">
        <v>4500208711</v>
      </c>
    </row>
    <row r="9130" spans="1:1" x14ac:dyDescent="0.35">
      <c r="A9130" s="4">
        <v>4500208714</v>
      </c>
    </row>
    <row r="9131" spans="1:1" x14ac:dyDescent="0.35">
      <c r="A9131" s="4">
        <v>4500208716</v>
      </c>
    </row>
    <row r="9132" spans="1:1" x14ac:dyDescent="0.35">
      <c r="A9132" s="4">
        <v>4500208717</v>
      </c>
    </row>
    <row r="9133" spans="1:1" x14ac:dyDescent="0.35">
      <c r="A9133" s="4">
        <v>4500208718</v>
      </c>
    </row>
    <row r="9134" spans="1:1" x14ac:dyDescent="0.35">
      <c r="A9134" s="4">
        <v>4500208719</v>
      </c>
    </row>
    <row r="9135" spans="1:1" x14ac:dyDescent="0.35">
      <c r="A9135" s="4">
        <v>4500208720</v>
      </c>
    </row>
    <row r="9136" spans="1:1" x14ac:dyDescent="0.35">
      <c r="A9136" s="4">
        <v>4500208721</v>
      </c>
    </row>
    <row r="9137" spans="1:1" x14ac:dyDescent="0.35">
      <c r="A9137" s="4">
        <v>4500208723</v>
      </c>
    </row>
    <row r="9138" spans="1:1" x14ac:dyDescent="0.35">
      <c r="A9138" s="4">
        <v>4500208724</v>
      </c>
    </row>
    <row r="9139" spans="1:1" x14ac:dyDescent="0.35">
      <c r="A9139" s="4">
        <v>4500208810</v>
      </c>
    </row>
    <row r="9140" spans="1:1" x14ac:dyDescent="0.35">
      <c r="A9140" s="4">
        <v>4500208815</v>
      </c>
    </row>
    <row r="9141" spans="1:1" x14ac:dyDescent="0.35">
      <c r="A9141" s="4">
        <v>4500208821</v>
      </c>
    </row>
    <row r="9142" spans="1:1" x14ac:dyDescent="0.35">
      <c r="A9142" s="4">
        <v>4500208836</v>
      </c>
    </row>
    <row r="9143" spans="1:1" x14ac:dyDescent="0.35">
      <c r="A9143" s="4">
        <v>4500208842</v>
      </c>
    </row>
    <row r="9144" spans="1:1" x14ac:dyDescent="0.35">
      <c r="A9144" s="4">
        <v>4500208848</v>
      </c>
    </row>
    <row r="9145" spans="1:1" x14ac:dyDescent="0.35">
      <c r="A9145" s="4">
        <v>4500208855</v>
      </c>
    </row>
    <row r="9146" spans="1:1" x14ac:dyDescent="0.35">
      <c r="A9146" s="4">
        <v>4500208862</v>
      </c>
    </row>
    <row r="9147" spans="1:1" x14ac:dyDescent="0.35">
      <c r="A9147" s="4">
        <v>4500208870</v>
      </c>
    </row>
    <row r="9148" spans="1:1" x14ac:dyDescent="0.35">
      <c r="A9148" s="4">
        <v>4500208878</v>
      </c>
    </row>
    <row r="9149" spans="1:1" x14ac:dyDescent="0.35">
      <c r="A9149" s="4">
        <v>4500208886</v>
      </c>
    </row>
    <row r="9150" spans="1:1" x14ac:dyDescent="0.35">
      <c r="A9150" s="4">
        <v>4500208895</v>
      </c>
    </row>
    <row r="9151" spans="1:1" x14ac:dyDescent="0.35">
      <c r="A9151" s="4">
        <v>4500208899</v>
      </c>
    </row>
    <row r="9152" spans="1:1" x14ac:dyDescent="0.35">
      <c r="A9152" s="4">
        <v>4500208909</v>
      </c>
    </row>
    <row r="9153" spans="1:1" x14ac:dyDescent="0.35">
      <c r="A9153" s="4">
        <v>4500208914</v>
      </c>
    </row>
    <row r="9154" spans="1:1" x14ac:dyDescent="0.35">
      <c r="A9154" s="4">
        <v>4500208917</v>
      </c>
    </row>
    <row r="9155" spans="1:1" x14ac:dyDescent="0.35">
      <c r="A9155" s="4">
        <v>4500208920</v>
      </c>
    </row>
    <row r="9156" spans="1:1" x14ac:dyDescent="0.35">
      <c r="A9156" s="4">
        <v>4500208925</v>
      </c>
    </row>
    <row r="9157" spans="1:1" x14ac:dyDescent="0.35">
      <c r="A9157" s="4">
        <v>4500208927</v>
      </c>
    </row>
    <row r="9158" spans="1:1" x14ac:dyDescent="0.35">
      <c r="A9158" s="4">
        <v>4500208928</v>
      </c>
    </row>
    <row r="9159" spans="1:1" x14ac:dyDescent="0.35">
      <c r="A9159" s="4">
        <v>4500208931</v>
      </c>
    </row>
    <row r="9160" spans="1:1" x14ac:dyDescent="0.35">
      <c r="A9160" s="4">
        <v>4500208932</v>
      </c>
    </row>
    <row r="9161" spans="1:1" x14ac:dyDescent="0.35">
      <c r="A9161" s="4">
        <v>4500208933</v>
      </c>
    </row>
    <row r="9162" spans="1:1" x14ac:dyDescent="0.35">
      <c r="A9162" s="4">
        <v>4500208934</v>
      </c>
    </row>
    <row r="9163" spans="1:1" x14ac:dyDescent="0.35">
      <c r="A9163" s="4">
        <v>4500208935</v>
      </c>
    </row>
    <row r="9164" spans="1:1" x14ac:dyDescent="0.35">
      <c r="A9164" s="4">
        <v>4500208937</v>
      </c>
    </row>
    <row r="9165" spans="1:1" x14ac:dyDescent="0.35">
      <c r="A9165" s="4">
        <v>4500208938</v>
      </c>
    </row>
    <row r="9166" spans="1:1" x14ac:dyDescent="0.35">
      <c r="A9166" s="4">
        <v>4500208939</v>
      </c>
    </row>
    <row r="9167" spans="1:1" x14ac:dyDescent="0.35">
      <c r="A9167" s="4">
        <v>4500208940</v>
      </c>
    </row>
    <row r="9168" spans="1:1" x14ac:dyDescent="0.35">
      <c r="A9168" s="4">
        <v>4500209053</v>
      </c>
    </row>
    <row r="9169" spans="1:1" x14ac:dyDescent="0.35">
      <c r="A9169" s="4">
        <v>4500209057</v>
      </c>
    </row>
    <row r="9170" spans="1:1" x14ac:dyDescent="0.35">
      <c r="A9170" s="4">
        <v>4500209063</v>
      </c>
    </row>
    <row r="9171" spans="1:1" x14ac:dyDescent="0.35">
      <c r="A9171" s="4">
        <v>4500209067</v>
      </c>
    </row>
    <row r="9172" spans="1:1" x14ac:dyDescent="0.35">
      <c r="A9172" s="4">
        <v>4500209073</v>
      </c>
    </row>
    <row r="9173" spans="1:1" x14ac:dyDescent="0.35">
      <c r="A9173" s="4">
        <v>4500209077</v>
      </c>
    </row>
    <row r="9174" spans="1:1" x14ac:dyDescent="0.35">
      <c r="A9174" s="4">
        <v>4500209084</v>
      </c>
    </row>
    <row r="9175" spans="1:1" x14ac:dyDescent="0.35">
      <c r="A9175" s="4">
        <v>4500209089</v>
      </c>
    </row>
    <row r="9176" spans="1:1" x14ac:dyDescent="0.35">
      <c r="A9176" s="4">
        <v>4500209094</v>
      </c>
    </row>
    <row r="9177" spans="1:1" x14ac:dyDescent="0.35">
      <c r="A9177" s="4">
        <v>4500209099</v>
      </c>
    </row>
    <row r="9178" spans="1:1" x14ac:dyDescent="0.35">
      <c r="A9178" s="4">
        <v>4500209103</v>
      </c>
    </row>
    <row r="9179" spans="1:1" x14ac:dyDescent="0.35">
      <c r="A9179" s="4">
        <v>4500209107</v>
      </c>
    </row>
    <row r="9180" spans="1:1" x14ac:dyDescent="0.35">
      <c r="A9180" s="4">
        <v>4500209112</v>
      </c>
    </row>
    <row r="9181" spans="1:1" x14ac:dyDescent="0.35">
      <c r="A9181" s="4">
        <v>4500209115</v>
      </c>
    </row>
    <row r="9182" spans="1:1" x14ac:dyDescent="0.35">
      <c r="A9182" s="4">
        <v>4500209118</v>
      </c>
    </row>
    <row r="9183" spans="1:1" x14ac:dyDescent="0.35">
      <c r="A9183" s="4">
        <v>4500209122</v>
      </c>
    </row>
    <row r="9184" spans="1:1" x14ac:dyDescent="0.35">
      <c r="A9184" s="4">
        <v>4500209126</v>
      </c>
    </row>
    <row r="9185" spans="1:1" x14ac:dyDescent="0.35">
      <c r="A9185" s="4">
        <v>4500209128</v>
      </c>
    </row>
    <row r="9186" spans="1:1" x14ac:dyDescent="0.35">
      <c r="A9186" s="4">
        <v>4500209132</v>
      </c>
    </row>
    <row r="9187" spans="1:1" x14ac:dyDescent="0.35">
      <c r="A9187" s="4">
        <v>4500209135</v>
      </c>
    </row>
    <row r="9188" spans="1:1" x14ac:dyDescent="0.35">
      <c r="A9188" s="4">
        <v>4500209138</v>
      </c>
    </row>
    <row r="9189" spans="1:1" x14ac:dyDescent="0.35">
      <c r="A9189" s="4">
        <v>4500209141</v>
      </c>
    </row>
    <row r="9190" spans="1:1" x14ac:dyDescent="0.35">
      <c r="A9190" s="4">
        <v>4500209144</v>
      </c>
    </row>
    <row r="9191" spans="1:1" x14ac:dyDescent="0.35">
      <c r="A9191" s="4">
        <v>4500209148</v>
      </c>
    </row>
    <row r="9192" spans="1:1" x14ac:dyDescent="0.35">
      <c r="A9192" s="4">
        <v>4500209153</v>
      </c>
    </row>
    <row r="9193" spans="1:1" x14ac:dyDescent="0.35">
      <c r="A9193" s="4">
        <v>4500209155</v>
      </c>
    </row>
    <row r="9194" spans="1:1" x14ac:dyDescent="0.35">
      <c r="A9194" s="4">
        <v>4500209158</v>
      </c>
    </row>
    <row r="9195" spans="1:1" x14ac:dyDescent="0.35">
      <c r="A9195" s="4">
        <v>4500209160</v>
      </c>
    </row>
    <row r="9196" spans="1:1" x14ac:dyDescent="0.35">
      <c r="A9196" s="4">
        <v>4500209162</v>
      </c>
    </row>
    <row r="9197" spans="1:1" x14ac:dyDescent="0.35">
      <c r="A9197" s="4">
        <v>4500209164</v>
      </c>
    </row>
    <row r="9198" spans="1:1" x14ac:dyDescent="0.35">
      <c r="A9198" s="4">
        <v>4500209166</v>
      </c>
    </row>
    <row r="9199" spans="1:1" x14ac:dyDescent="0.35">
      <c r="A9199" s="4">
        <v>4500209167</v>
      </c>
    </row>
    <row r="9200" spans="1:1" x14ac:dyDescent="0.35">
      <c r="A9200" s="4">
        <v>4500209174</v>
      </c>
    </row>
    <row r="9201" spans="1:1" x14ac:dyDescent="0.35">
      <c r="A9201" s="4">
        <v>4500209260</v>
      </c>
    </row>
    <row r="9202" spans="1:1" x14ac:dyDescent="0.35">
      <c r="A9202" s="4">
        <v>4500209263</v>
      </c>
    </row>
    <row r="9203" spans="1:1" x14ac:dyDescent="0.35">
      <c r="A9203" s="4">
        <v>4500209269</v>
      </c>
    </row>
    <row r="9204" spans="1:1" x14ac:dyDescent="0.35">
      <c r="A9204" s="4">
        <v>4500209272</v>
      </c>
    </row>
    <row r="9205" spans="1:1" x14ac:dyDescent="0.35">
      <c r="A9205" s="4">
        <v>4500209276</v>
      </c>
    </row>
    <row r="9206" spans="1:1" x14ac:dyDescent="0.35">
      <c r="A9206" s="4">
        <v>4500209282</v>
      </c>
    </row>
    <row r="9207" spans="1:1" x14ac:dyDescent="0.35">
      <c r="A9207" s="4">
        <v>4500209286</v>
      </c>
    </row>
    <row r="9208" spans="1:1" x14ac:dyDescent="0.35">
      <c r="A9208" s="4">
        <v>4500209293</v>
      </c>
    </row>
    <row r="9209" spans="1:1" x14ac:dyDescent="0.35">
      <c r="A9209" s="4">
        <v>4500209297</v>
      </c>
    </row>
    <row r="9210" spans="1:1" x14ac:dyDescent="0.35">
      <c r="A9210" s="4">
        <v>4500209301</v>
      </c>
    </row>
    <row r="9211" spans="1:1" x14ac:dyDescent="0.35">
      <c r="A9211" s="4">
        <v>4500209305</v>
      </c>
    </row>
    <row r="9212" spans="1:1" x14ac:dyDescent="0.35">
      <c r="A9212" s="4">
        <v>4500209311</v>
      </c>
    </row>
    <row r="9213" spans="1:1" x14ac:dyDescent="0.35">
      <c r="A9213" s="4">
        <v>4500209316</v>
      </c>
    </row>
    <row r="9214" spans="1:1" x14ac:dyDescent="0.35">
      <c r="A9214" s="4">
        <v>4500209321</v>
      </c>
    </row>
    <row r="9215" spans="1:1" x14ac:dyDescent="0.35">
      <c r="A9215" s="4">
        <v>4500209327</v>
      </c>
    </row>
    <row r="9216" spans="1:1" x14ac:dyDescent="0.35">
      <c r="A9216" s="4">
        <v>4500209330</v>
      </c>
    </row>
    <row r="9217" spans="1:1" x14ac:dyDescent="0.35">
      <c r="A9217" s="4">
        <v>4500209337</v>
      </c>
    </row>
    <row r="9218" spans="1:1" x14ac:dyDescent="0.35">
      <c r="A9218" s="4">
        <v>4500209344</v>
      </c>
    </row>
    <row r="9219" spans="1:1" x14ac:dyDescent="0.35">
      <c r="A9219" s="4">
        <v>4500209349</v>
      </c>
    </row>
    <row r="9220" spans="1:1" x14ac:dyDescent="0.35">
      <c r="A9220" s="4">
        <v>4500209351</v>
      </c>
    </row>
    <row r="9221" spans="1:1" x14ac:dyDescent="0.35">
      <c r="A9221" s="4">
        <v>4500209356</v>
      </c>
    </row>
    <row r="9222" spans="1:1" x14ac:dyDescent="0.35">
      <c r="A9222" s="4">
        <v>4500209360</v>
      </c>
    </row>
    <row r="9223" spans="1:1" x14ac:dyDescent="0.35">
      <c r="A9223" s="4">
        <v>4500209365</v>
      </c>
    </row>
    <row r="9224" spans="1:1" x14ac:dyDescent="0.35">
      <c r="A9224" s="4">
        <v>4500209369</v>
      </c>
    </row>
    <row r="9225" spans="1:1" x14ac:dyDescent="0.35">
      <c r="A9225" s="4">
        <v>4500209434</v>
      </c>
    </row>
    <row r="9226" spans="1:1" x14ac:dyDescent="0.35">
      <c r="A9226" s="4">
        <v>4500209445</v>
      </c>
    </row>
    <row r="9227" spans="1:1" x14ac:dyDescent="0.35">
      <c r="A9227" s="4">
        <v>4500209449</v>
      </c>
    </row>
    <row r="9228" spans="1:1" x14ac:dyDescent="0.35">
      <c r="A9228" s="4">
        <v>4500209452</v>
      </c>
    </row>
    <row r="9229" spans="1:1" x14ac:dyDescent="0.35">
      <c r="A9229" s="4">
        <v>4500209459</v>
      </c>
    </row>
    <row r="9230" spans="1:1" x14ac:dyDescent="0.35">
      <c r="A9230" s="4">
        <v>4500209467</v>
      </c>
    </row>
    <row r="9231" spans="1:1" x14ac:dyDescent="0.35">
      <c r="A9231" s="4">
        <v>4500209474</v>
      </c>
    </row>
    <row r="9232" spans="1:1" x14ac:dyDescent="0.35">
      <c r="A9232" s="4">
        <v>4500209479</v>
      </c>
    </row>
    <row r="9233" spans="1:1" x14ac:dyDescent="0.35">
      <c r="A9233" s="4">
        <v>4500209482</v>
      </c>
    </row>
    <row r="9234" spans="1:1" x14ac:dyDescent="0.35">
      <c r="A9234" s="4">
        <v>4500209492</v>
      </c>
    </row>
    <row r="9235" spans="1:1" x14ac:dyDescent="0.35">
      <c r="A9235" s="4">
        <v>4500209497</v>
      </c>
    </row>
    <row r="9236" spans="1:1" x14ac:dyDescent="0.35">
      <c r="A9236" s="4">
        <v>4500209507</v>
      </c>
    </row>
    <row r="9237" spans="1:1" x14ac:dyDescent="0.35">
      <c r="A9237" s="4">
        <v>4500209514</v>
      </c>
    </row>
    <row r="9238" spans="1:1" x14ac:dyDescent="0.35">
      <c r="A9238" s="4">
        <v>4500209516</v>
      </c>
    </row>
    <row r="9239" spans="1:1" x14ac:dyDescent="0.35">
      <c r="A9239" s="4">
        <v>4500209520</v>
      </c>
    </row>
    <row r="9240" spans="1:1" x14ac:dyDescent="0.35">
      <c r="A9240" s="4">
        <v>4500209523</v>
      </c>
    </row>
    <row r="9241" spans="1:1" x14ac:dyDescent="0.35">
      <c r="A9241" s="4">
        <v>4500209530</v>
      </c>
    </row>
    <row r="9242" spans="1:1" x14ac:dyDescent="0.35">
      <c r="A9242" s="4">
        <v>4500209534</v>
      </c>
    </row>
    <row r="9243" spans="1:1" x14ac:dyDescent="0.35">
      <c r="A9243" s="4">
        <v>4500209542</v>
      </c>
    </row>
    <row r="9244" spans="1:1" x14ac:dyDescent="0.35">
      <c r="A9244" s="4">
        <v>4500209548</v>
      </c>
    </row>
    <row r="9245" spans="1:1" x14ac:dyDescent="0.35">
      <c r="A9245" s="4">
        <v>4500209550</v>
      </c>
    </row>
    <row r="9246" spans="1:1" x14ac:dyDescent="0.35">
      <c r="A9246" s="4">
        <v>4500209552</v>
      </c>
    </row>
    <row r="9247" spans="1:1" x14ac:dyDescent="0.35">
      <c r="A9247" s="4">
        <v>4500209556</v>
      </c>
    </row>
    <row r="9248" spans="1:1" x14ac:dyDescent="0.35">
      <c r="A9248" s="4">
        <v>4500209564</v>
      </c>
    </row>
    <row r="9249" spans="1:1" x14ac:dyDescent="0.35">
      <c r="A9249" s="4">
        <v>4500209644</v>
      </c>
    </row>
    <row r="9250" spans="1:1" x14ac:dyDescent="0.35">
      <c r="A9250" s="4">
        <v>4500209647</v>
      </c>
    </row>
    <row r="9251" spans="1:1" x14ac:dyDescent="0.35">
      <c r="A9251" s="4">
        <v>4500209649</v>
      </c>
    </row>
    <row r="9252" spans="1:1" x14ac:dyDescent="0.35">
      <c r="A9252" s="4">
        <v>4500209660</v>
      </c>
    </row>
    <row r="9253" spans="1:1" x14ac:dyDescent="0.35">
      <c r="A9253" s="4">
        <v>4500209667</v>
      </c>
    </row>
    <row r="9254" spans="1:1" x14ac:dyDescent="0.35">
      <c r="A9254" s="4">
        <v>4500209673</v>
      </c>
    </row>
    <row r="9255" spans="1:1" x14ac:dyDescent="0.35">
      <c r="A9255" s="4">
        <v>4500209680</v>
      </c>
    </row>
    <row r="9256" spans="1:1" x14ac:dyDescent="0.35">
      <c r="A9256" s="4">
        <v>4500209686</v>
      </c>
    </row>
    <row r="9257" spans="1:1" x14ac:dyDescent="0.35">
      <c r="A9257" s="4">
        <v>4500209691</v>
      </c>
    </row>
    <row r="9258" spans="1:1" x14ac:dyDescent="0.35">
      <c r="A9258" s="4">
        <v>4500209697</v>
      </c>
    </row>
    <row r="9259" spans="1:1" x14ac:dyDescent="0.35">
      <c r="A9259" s="4">
        <v>4500209705</v>
      </c>
    </row>
    <row r="9260" spans="1:1" x14ac:dyDescent="0.35">
      <c r="A9260" s="4">
        <v>4500209709</v>
      </c>
    </row>
    <row r="9261" spans="1:1" x14ac:dyDescent="0.35">
      <c r="A9261" s="4">
        <v>4500209715</v>
      </c>
    </row>
    <row r="9262" spans="1:1" x14ac:dyDescent="0.35">
      <c r="A9262" s="4">
        <v>4500209720</v>
      </c>
    </row>
    <row r="9263" spans="1:1" x14ac:dyDescent="0.35">
      <c r="A9263" s="4">
        <v>4500209729</v>
      </c>
    </row>
    <row r="9264" spans="1:1" x14ac:dyDescent="0.35">
      <c r="A9264" s="4">
        <v>4500209733</v>
      </c>
    </row>
    <row r="9265" spans="1:1" x14ac:dyDescent="0.35">
      <c r="A9265" s="4">
        <v>4500209738</v>
      </c>
    </row>
    <row r="9266" spans="1:1" x14ac:dyDescent="0.35">
      <c r="A9266" s="4">
        <v>4500209756</v>
      </c>
    </row>
    <row r="9267" spans="1:1" x14ac:dyDescent="0.35">
      <c r="A9267" s="4">
        <v>4500209761</v>
      </c>
    </row>
    <row r="9268" spans="1:1" x14ac:dyDescent="0.35">
      <c r="A9268" s="4">
        <v>4500209765</v>
      </c>
    </row>
    <row r="9269" spans="1:1" x14ac:dyDescent="0.35">
      <c r="A9269" s="4">
        <v>4500209768</v>
      </c>
    </row>
    <row r="9270" spans="1:1" x14ac:dyDescent="0.35">
      <c r="A9270" s="4">
        <v>4500209770</v>
      </c>
    </row>
    <row r="9271" spans="1:1" x14ac:dyDescent="0.35">
      <c r="A9271" s="4">
        <v>4500209775</v>
      </c>
    </row>
    <row r="9272" spans="1:1" x14ac:dyDescent="0.35">
      <c r="A9272" s="4">
        <v>4500209778</v>
      </c>
    </row>
    <row r="9273" spans="1:1" x14ac:dyDescent="0.35">
      <c r="A9273" s="4">
        <v>4500209779</v>
      </c>
    </row>
    <row r="9274" spans="1:1" x14ac:dyDescent="0.35">
      <c r="A9274" s="4">
        <v>4500209781</v>
      </c>
    </row>
    <row r="9275" spans="1:1" x14ac:dyDescent="0.35">
      <c r="A9275" s="4">
        <v>4500209794</v>
      </c>
    </row>
    <row r="9276" spans="1:1" x14ac:dyDescent="0.35">
      <c r="A9276" s="4">
        <v>4500209829</v>
      </c>
    </row>
    <row r="9277" spans="1:1" x14ac:dyDescent="0.35">
      <c r="A9277" s="4">
        <v>4500209879</v>
      </c>
    </row>
    <row r="9278" spans="1:1" x14ac:dyDescent="0.35">
      <c r="A9278" s="4">
        <v>4500209881</v>
      </c>
    </row>
    <row r="9279" spans="1:1" x14ac:dyDescent="0.35">
      <c r="A9279" s="4">
        <v>4500209898</v>
      </c>
    </row>
    <row r="9280" spans="1:1" x14ac:dyDescent="0.35">
      <c r="A9280" s="4">
        <v>4500209906</v>
      </c>
    </row>
    <row r="9281" spans="1:1" x14ac:dyDescent="0.35">
      <c r="A9281" s="4">
        <v>4500209912</v>
      </c>
    </row>
    <row r="9282" spans="1:1" x14ac:dyDescent="0.35">
      <c r="A9282" s="4">
        <v>4500209920</v>
      </c>
    </row>
    <row r="9283" spans="1:1" x14ac:dyDescent="0.35">
      <c r="A9283" s="4">
        <v>4500209940</v>
      </c>
    </row>
    <row r="9284" spans="1:1" x14ac:dyDescent="0.35">
      <c r="A9284" s="4">
        <v>4500209943</v>
      </c>
    </row>
    <row r="9285" spans="1:1" x14ac:dyDescent="0.35">
      <c r="A9285" s="4">
        <v>4500209947</v>
      </c>
    </row>
    <row r="9286" spans="1:1" x14ac:dyDescent="0.35">
      <c r="A9286" s="4">
        <v>4500209950</v>
      </c>
    </row>
    <row r="9287" spans="1:1" x14ac:dyDescent="0.35">
      <c r="A9287" s="4">
        <v>4500209952</v>
      </c>
    </row>
    <row r="9288" spans="1:1" x14ac:dyDescent="0.35">
      <c r="A9288" s="4">
        <v>4500209956</v>
      </c>
    </row>
    <row r="9289" spans="1:1" x14ac:dyDescent="0.35">
      <c r="A9289" s="4">
        <v>4500209989</v>
      </c>
    </row>
    <row r="9290" spans="1:1" x14ac:dyDescent="0.35">
      <c r="A9290" s="4">
        <v>4500210020</v>
      </c>
    </row>
    <row r="9291" spans="1:1" x14ac:dyDescent="0.35">
      <c r="A9291" s="4">
        <v>4500210053</v>
      </c>
    </row>
    <row r="9292" spans="1:1" x14ac:dyDescent="0.35">
      <c r="A9292" s="4">
        <v>4500210070</v>
      </c>
    </row>
    <row r="9293" spans="1:1" x14ac:dyDescent="0.35">
      <c r="A9293" s="4">
        <v>4500210075</v>
      </c>
    </row>
    <row r="9294" spans="1:1" x14ac:dyDescent="0.35">
      <c r="A9294" s="4">
        <v>4500210094</v>
      </c>
    </row>
    <row r="9295" spans="1:1" x14ac:dyDescent="0.35">
      <c r="A9295" s="4">
        <v>4500210102</v>
      </c>
    </row>
    <row r="9296" spans="1:1" x14ac:dyDescent="0.35">
      <c r="A9296" s="4">
        <v>4500210112</v>
      </c>
    </row>
    <row r="9297" spans="1:1" x14ac:dyDescent="0.35">
      <c r="A9297" s="4">
        <v>4500210118</v>
      </c>
    </row>
    <row r="9298" spans="1:1" x14ac:dyDescent="0.35">
      <c r="A9298" s="4">
        <v>4500210123</v>
      </c>
    </row>
    <row r="9299" spans="1:1" x14ac:dyDescent="0.35">
      <c r="A9299" s="4">
        <v>4500210125</v>
      </c>
    </row>
    <row r="9300" spans="1:1" x14ac:dyDescent="0.35">
      <c r="A9300" s="4">
        <v>4500210130</v>
      </c>
    </row>
    <row r="9301" spans="1:1" x14ac:dyDescent="0.35">
      <c r="A9301" s="4">
        <v>4500210136</v>
      </c>
    </row>
    <row r="9302" spans="1:1" x14ac:dyDescent="0.35">
      <c r="A9302" s="4">
        <v>4500210140</v>
      </c>
    </row>
    <row r="9303" spans="1:1" x14ac:dyDescent="0.35">
      <c r="A9303" s="4">
        <v>4500210146</v>
      </c>
    </row>
    <row r="9304" spans="1:1" x14ac:dyDescent="0.35">
      <c r="A9304" s="4">
        <v>4500210150</v>
      </c>
    </row>
    <row r="9305" spans="1:1" x14ac:dyDescent="0.35">
      <c r="A9305" s="4">
        <v>4500210159</v>
      </c>
    </row>
    <row r="9306" spans="1:1" x14ac:dyDescent="0.35">
      <c r="A9306" s="4">
        <v>4500210167</v>
      </c>
    </row>
    <row r="9307" spans="1:1" x14ac:dyDescent="0.35">
      <c r="A9307" s="4">
        <v>4500210171</v>
      </c>
    </row>
    <row r="9308" spans="1:1" x14ac:dyDescent="0.35">
      <c r="A9308" s="4">
        <v>4500210173</v>
      </c>
    </row>
    <row r="9309" spans="1:1" x14ac:dyDescent="0.35">
      <c r="A9309" s="4">
        <v>4500210176</v>
      </c>
    </row>
    <row r="9310" spans="1:1" x14ac:dyDescent="0.35">
      <c r="A9310" s="4">
        <v>4500210179</v>
      </c>
    </row>
    <row r="9311" spans="1:1" x14ac:dyDescent="0.35">
      <c r="A9311" s="4">
        <v>4500210181</v>
      </c>
    </row>
    <row r="9312" spans="1:1" x14ac:dyDescent="0.35">
      <c r="A9312" s="4">
        <v>4500210185</v>
      </c>
    </row>
    <row r="9313" spans="1:1" x14ac:dyDescent="0.35">
      <c r="A9313" s="4">
        <v>4500210186</v>
      </c>
    </row>
    <row r="9314" spans="1:1" x14ac:dyDescent="0.35">
      <c r="A9314" s="4">
        <v>4500210190</v>
      </c>
    </row>
    <row r="9315" spans="1:1" x14ac:dyDescent="0.35">
      <c r="A9315" s="4">
        <v>4500210191</v>
      </c>
    </row>
    <row r="9316" spans="1:1" x14ac:dyDescent="0.35">
      <c r="A9316" s="4">
        <v>4500210197</v>
      </c>
    </row>
    <row r="9317" spans="1:1" x14ac:dyDescent="0.35">
      <c r="A9317" s="4">
        <v>4500210268</v>
      </c>
    </row>
    <row r="9318" spans="1:1" x14ac:dyDescent="0.35">
      <c r="A9318" s="4">
        <v>4500210271</v>
      </c>
    </row>
    <row r="9319" spans="1:1" x14ac:dyDescent="0.35">
      <c r="A9319" s="4">
        <v>4500210272</v>
      </c>
    </row>
    <row r="9320" spans="1:1" x14ac:dyDescent="0.35">
      <c r="A9320" s="4">
        <v>4500210277</v>
      </c>
    </row>
    <row r="9321" spans="1:1" x14ac:dyDescent="0.35">
      <c r="A9321" s="4">
        <v>4500210283</v>
      </c>
    </row>
    <row r="9322" spans="1:1" x14ac:dyDescent="0.35">
      <c r="A9322" s="4">
        <v>4500210287</v>
      </c>
    </row>
    <row r="9323" spans="1:1" x14ac:dyDescent="0.35">
      <c r="A9323" s="4">
        <v>4500210298</v>
      </c>
    </row>
    <row r="9324" spans="1:1" x14ac:dyDescent="0.35">
      <c r="A9324" s="4">
        <v>4500210307</v>
      </c>
    </row>
    <row r="9325" spans="1:1" x14ac:dyDescent="0.35">
      <c r="A9325" s="4">
        <v>4500210317</v>
      </c>
    </row>
    <row r="9326" spans="1:1" x14ac:dyDescent="0.35">
      <c r="A9326" s="4">
        <v>4500210322</v>
      </c>
    </row>
    <row r="9327" spans="1:1" x14ac:dyDescent="0.35">
      <c r="A9327" s="4">
        <v>4500210331</v>
      </c>
    </row>
    <row r="9328" spans="1:1" x14ac:dyDescent="0.35">
      <c r="A9328" s="4">
        <v>4500210334</v>
      </c>
    </row>
    <row r="9329" spans="1:1" x14ac:dyDescent="0.35">
      <c r="A9329" s="4">
        <v>4500210339</v>
      </c>
    </row>
    <row r="9330" spans="1:1" x14ac:dyDescent="0.35">
      <c r="A9330" s="4">
        <v>4500210347</v>
      </c>
    </row>
    <row r="9331" spans="1:1" x14ac:dyDescent="0.35">
      <c r="A9331" s="4">
        <v>4500210358</v>
      </c>
    </row>
    <row r="9332" spans="1:1" x14ac:dyDescent="0.35">
      <c r="A9332" s="4">
        <v>4500210361</v>
      </c>
    </row>
    <row r="9333" spans="1:1" x14ac:dyDescent="0.35">
      <c r="A9333" s="4">
        <v>4500210364</v>
      </c>
    </row>
    <row r="9334" spans="1:1" x14ac:dyDescent="0.35">
      <c r="A9334" s="4">
        <v>4500210365</v>
      </c>
    </row>
    <row r="9335" spans="1:1" x14ac:dyDescent="0.35">
      <c r="A9335" s="4">
        <v>4500210366</v>
      </c>
    </row>
    <row r="9336" spans="1:1" x14ac:dyDescent="0.35">
      <c r="A9336" s="4">
        <v>4500210367</v>
      </c>
    </row>
    <row r="9337" spans="1:1" x14ac:dyDescent="0.35">
      <c r="A9337" s="4">
        <v>4500210368</v>
      </c>
    </row>
    <row r="9338" spans="1:1" x14ac:dyDescent="0.35">
      <c r="A9338" s="4">
        <v>4500210369</v>
      </c>
    </row>
    <row r="9339" spans="1:1" x14ac:dyDescent="0.35">
      <c r="A9339" s="4">
        <v>4500210379</v>
      </c>
    </row>
    <row r="9340" spans="1:1" x14ac:dyDescent="0.35">
      <c r="A9340" s="4">
        <v>4500210386</v>
      </c>
    </row>
    <row r="9341" spans="1:1" x14ac:dyDescent="0.35">
      <c r="A9341" s="4">
        <v>4500210410</v>
      </c>
    </row>
    <row r="9342" spans="1:1" x14ac:dyDescent="0.35">
      <c r="A9342" s="4">
        <v>4500210480</v>
      </c>
    </row>
    <row r="9343" spans="1:1" x14ac:dyDescent="0.35">
      <c r="A9343" s="4">
        <v>4500210482</v>
      </c>
    </row>
    <row r="9344" spans="1:1" x14ac:dyDescent="0.35">
      <c r="A9344" s="4">
        <v>4500210485</v>
      </c>
    </row>
    <row r="9345" spans="1:1" x14ac:dyDescent="0.35">
      <c r="A9345" s="4">
        <v>4500210489</v>
      </c>
    </row>
    <row r="9346" spans="1:1" x14ac:dyDescent="0.35">
      <c r="A9346" s="4">
        <v>4500210496</v>
      </c>
    </row>
    <row r="9347" spans="1:1" x14ac:dyDescent="0.35">
      <c r="A9347" s="4">
        <v>4500210500</v>
      </c>
    </row>
    <row r="9348" spans="1:1" x14ac:dyDescent="0.35">
      <c r="A9348" s="4">
        <v>4500210513</v>
      </c>
    </row>
    <row r="9349" spans="1:1" x14ac:dyDescent="0.35">
      <c r="A9349" s="4">
        <v>4500210517</v>
      </c>
    </row>
    <row r="9350" spans="1:1" x14ac:dyDescent="0.35">
      <c r="A9350" s="4">
        <v>4500210531</v>
      </c>
    </row>
    <row r="9351" spans="1:1" x14ac:dyDescent="0.35">
      <c r="A9351" s="4">
        <v>4500210537</v>
      </c>
    </row>
    <row r="9352" spans="1:1" x14ac:dyDescent="0.35">
      <c r="A9352" s="4">
        <v>4500210553</v>
      </c>
    </row>
    <row r="9353" spans="1:1" x14ac:dyDescent="0.35">
      <c r="A9353" s="4">
        <v>4500210556</v>
      </c>
    </row>
    <row r="9354" spans="1:1" x14ac:dyDescent="0.35">
      <c r="A9354" s="4">
        <v>4500210559</v>
      </c>
    </row>
    <row r="9355" spans="1:1" x14ac:dyDescent="0.35">
      <c r="A9355" s="4">
        <v>4500210562</v>
      </c>
    </row>
    <row r="9356" spans="1:1" x14ac:dyDescent="0.35">
      <c r="A9356" s="4">
        <v>4500210569</v>
      </c>
    </row>
    <row r="9357" spans="1:1" x14ac:dyDescent="0.35">
      <c r="A9357" s="4">
        <v>4500210573</v>
      </c>
    </row>
    <row r="9358" spans="1:1" x14ac:dyDescent="0.35">
      <c r="A9358" s="4">
        <v>4500210578</v>
      </c>
    </row>
    <row r="9359" spans="1:1" x14ac:dyDescent="0.35">
      <c r="A9359" s="4">
        <v>4500210582</v>
      </c>
    </row>
    <row r="9360" spans="1:1" x14ac:dyDescent="0.35">
      <c r="A9360" s="4">
        <v>4500210587</v>
      </c>
    </row>
    <row r="9361" spans="1:1" x14ac:dyDescent="0.35">
      <c r="A9361" s="4">
        <v>4500210593</v>
      </c>
    </row>
    <row r="9362" spans="1:1" x14ac:dyDescent="0.35">
      <c r="A9362" s="4">
        <v>4500210597</v>
      </c>
    </row>
    <row r="9363" spans="1:1" x14ac:dyDescent="0.35">
      <c r="A9363" s="4">
        <v>4500210601</v>
      </c>
    </row>
    <row r="9364" spans="1:1" x14ac:dyDescent="0.35">
      <c r="A9364" s="4">
        <v>4500210606</v>
      </c>
    </row>
    <row r="9365" spans="1:1" x14ac:dyDescent="0.35">
      <c r="A9365" s="4">
        <v>4500210610</v>
      </c>
    </row>
    <row r="9366" spans="1:1" x14ac:dyDescent="0.35">
      <c r="A9366" s="4">
        <v>4500210612</v>
      </c>
    </row>
    <row r="9367" spans="1:1" x14ac:dyDescent="0.35">
      <c r="A9367" s="4">
        <v>4500210616</v>
      </c>
    </row>
    <row r="9368" spans="1:1" x14ac:dyDescent="0.35">
      <c r="A9368" s="4">
        <v>4500210619</v>
      </c>
    </row>
    <row r="9369" spans="1:1" x14ac:dyDescent="0.35">
      <c r="A9369" s="4">
        <v>4500210622</v>
      </c>
    </row>
    <row r="9370" spans="1:1" x14ac:dyDescent="0.35">
      <c r="A9370" s="4">
        <v>4500210625</v>
      </c>
    </row>
    <row r="9371" spans="1:1" x14ac:dyDescent="0.35">
      <c r="A9371" s="4">
        <v>4500210648</v>
      </c>
    </row>
    <row r="9372" spans="1:1" x14ac:dyDescent="0.35">
      <c r="A9372" s="4">
        <v>4500210649</v>
      </c>
    </row>
    <row r="9373" spans="1:1" x14ac:dyDescent="0.35">
      <c r="A9373" s="4">
        <v>4500210760</v>
      </c>
    </row>
    <row r="9374" spans="1:1" x14ac:dyDescent="0.35">
      <c r="A9374" s="4">
        <v>4500210765</v>
      </c>
    </row>
    <row r="9375" spans="1:1" x14ac:dyDescent="0.35">
      <c r="A9375" s="4">
        <v>4500210773</v>
      </c>
    </row>
    <row r="9376" spans="1:1" x14ac:dyDescent="0.35">
      <c r="A9376" s="4">
        <v>4500210780</v>
      </c>
    </row>
    <row r="9377" spans="1:1" x14ac:dyDescent="0.35">
      <c r="A9377" s="4">
        <v>4500210781</v>
      </c>
    </row>
    <row r="9378" spans="1:1" x14ac:dyDescent="0.35">
      <c r="A9378" s="4">
        <v>4500210787</v>
      </c>
    </row>
    <row r="9379" spans="1:1" x14ac:dyDescent="0.35">
      <c r="A9379" s="4">
        <v>4500210792</v>
      </c>
    </row>
    <row r="9380" spans="1:1" x14ac:dyDescent="0.35">
      <c r="A9380" s="4">
        <v>4500210797</v>
      </c>
    </row>
    <row r="9381" spans="1:1" x14ac:dyDescent="0.35">
      <c r="A9381" s="4">
        <v>4500210801</v>
      </c>
    </row>
    <row r="9382" spans="1:1" x14ac:dyDescent="0.35">
      <c r="A9382" s="4">
        <v>4500210807</v>
      </c>
    </row>
    <row r="9383" spans="1:1" x14ac:dyDescent="0.35">
      <c r="A9383" s="4">
        <v>4500210811</v>
      </c>
    </row>
    <row r="9384" spans="1:1" x14ac:dyDescent="0.35">
      <c r="A9384" s="4">
        <v>4500210815</v>
      </c>
    </row>
    <row r="9385" spans="1:1" x14ac:dyDescent="0.35">
      <c r="A9385" s="4">
        <v>4500210822</v>
      </c>
    </row>
    <row r="9386" spans="1:1" x14ac:dyDescent="0.35">
      <c r="A9386" s="4">
        <v>4500210828</v>
      </c>
    </row>
    <row r="9387" spans="1:1" x14ac:dyDescent="0.35">
      <c r="A9387" s="4">
        <v>4500210833</v>
      </c>
    </row>
    <row r="9388" spans="1:1" x14ac:dyDescent="0.35">
      <c r="A9388" s="4">
        <v>4500210835</v>
      </c>
    </row>
    <row r="9389" spans="1:1" x14ac:dyDescent="0.35">
      <c r="A9389" s="4">
        <v>4500210838</v>
      </c>
    </row>
    <row r="9390" spans="1:1" x14ac:dyDescent="0.35">
      <c r="A9390" s="4">
        <v>4500210841</v>
      </c>
    </row>
    <row r="9391" spans="1:1" x14ac:dyDescent="0.35">
      <c r="A9391" s="4">
        <v>4500210843</v>
      </c>
    </row>
    <row r="9392" spans="1:1" x14ac:dyDescent="0.35">
      <c r="A9392" s="4">
        <v>4500210848</v>
      </c>
    </row>
    <row r="9393" spans="1:1" x14ac:dyDescent="0.35">
      <c r="A9393" s="4">
        <v>4500210850</v>
      </c>
    </row>
    <row r="9394" spans="1:1" x14ac:dyDescent="0.35">
      <c r="A9394" s="4">
        <v>4500210853</v>
      </c>
    </row>
    <row r="9395" spans="1:1" x14ac:dyDescent="0.35">
      <c r="A9395" s="4">
        <v>4500210855</v>
      </c>
    </row>
    <row r="9396" spans="1:1" x14ac:dyDescent="0.35">
      <c r="A9396" s="4">
        <v>4500210860</v>
      </c>
    </row>
    <row r="9397" spans="1:1" x14ac:dyDescent="0.35">
      <c r="A9397" s="4">
        <v>4500210861</v>
      </c>
    </row>
    <row r="9398" spans="1:1" x14ac:dyDescent="0.35">
      <c r="A9398" s="4">
        <v>4500210862</v>
      </c>
    </row>
    <row r="9399" spans="1:1" x14ac:dyDescent="0.35">
      <c r="A9399" s="4">
        <v>4500210863</v>
      </c>
    </row>
    <row r="9400" spans="1:1" x14ac:dyDescent="0.35">
      <c r="A9400" s="4">
        <v>4500210864</v>
      </c>
    </row>
    <row r="9401" spans="1:1" x14ac:dyDescent="0.35">
      <c r="A9401" s="4">
        <v>4500210865</v>
      </c>
    </row>
    <row r="9402" spans="1:1" x14ac:dyDescent="0.35">
      <c r="A9402" s="4">
        <v>4500210866</v>
      </c>
    </row>
    <row r="9403" spans="1:1" x14ac:dyDescent="0.35">
      <c r="A9403" s="4">
        <v>4500210867</v>
      </c>
    </row>
    <row r="9404" spans="1:1" x14ac:dyDescent="0.35">
      <c r="A9404" s="4">
        <v>4500211049</v>
      </c>
    </row>
    <row r="9405" spans="1:1" x14ac:dyDescent="0.35">
      <c r="A9405" s="4">
        <v>4500211057</v>
      </c>
    </row>
    <row r="9406" spans="1:1" x14ac:dyDescent="0.35">
      <c r="A9406" s="4">
        <v>4500211061</v>
      </c>
    </row>
    <row r="9407" spans="1:1" x14ac:dyDescent="0.35">
      <c r="A9407" s="4">
        <v>4500211068</v>
      </c>
    </row>
    <row r="9408" spans="1:1" x14ac:dyDescent="0.35">
      <c r="A9408" s="4">
        <v>4500211071</v>
      </c>
    </row>
    <row r="9409" spans="1:1" x14ac:dyDescent="0.35">
      <c r="A9409" s="4">
        <v>4500211084</v>
      </c>
    </row>
    <row r="9410" spans="1:1" x14ac:dyDescent="0.35">
      <c r="A9410" s="4">
        <v>4500211090</v>
      </c>
    </row>
    <row r="9411" spans="1:1" x14ac:dyDescent="0.35">
      <c r="A9411" s="4">
        <v>4500211094</v>
      </c>
    </row>
    <row r="9412" spans="1:1" x14ac:dyDescent="0.35">
      <c r="A9412" s="4">
        <v>4500211102</v>
      </c>
    </row>
    <row r="9413" spans="1:1" x14ac:dyDescent="0.35">
      <c r="A9413" s="4">
        <v>4500211110</v>
      </c>
    </row>
    <row r="9414" spans="1:1" x14ac:dyDescent="0.35">
      <c r="A9414" s="4">
        <v>4500211115</v>
      </c>
    </row>
    <row r="9415" spans="1:1" x14ac:dyDescent="0.35">
      <c r="A9415" s="4">
        <v>4500211120</v>
      </c>
    </row>
    <row r="9416" spans="1:1" x14ac:dyDescent="0.35">
      <c r="A9416" s="4">
        <v>4500211129</v>
      </c>
    </row>
    <row r="9417" spans="1:1" x14ac:dyDescent="0.35">
      <c r="A9417" s="4">
        <v>4500211133</v>
      </c>
    </row>
    <row r="9418" spans="1:1" x14ac:dyDescent="0.35">
      <c r="A9418" s="4">
        <v>4500211135</v>
      </c>
    </row>
    <row r="9419" spans="1:1" x14ac:dyDescent="0.35">
      <c r="A9419" s="4">
        <v>4500211136</v>
      </c>
    </row>
    <row r="9420" spans="1:1" x14ac:dyDescent="0.35">
      <c r="A9420" s="4">
        <v>4500211140</v>
      </c>
    </row>
    <row r="9421" spans="1:1" x14ac:dyDescent="0.35">
      <c r="A9421" s="4">
        <v>4500211141</v>
      </c>
    </row>
    <row r="9422" spans="1:1" x14ac:dyDescent="0.35">
      <c r="A9422" s="4">
        <v>4500211143</v>
      </c>
    </row>
    <row r="9423" spans="1:1" x14ac:dyDescent="0.35">
      <c r="A9423" s="4">
        <v>4500211144</v>
      </c>
    </row>
    <row r="9424" spans="1:1" x14ac:dyDescent="0.35">
      <c r="A9424" s="4">
        <v>4500211146</v>
      </c>
    </row>
    <row r="9425" spans="1:1" x14ac:dyDescent="0.35">
      <c r="A9425" s="4">
        <v>4500211148</v>
      </c>
    </row>
    <row r="9426" spans="1:1" x14ac:dyDescent="0.35">
      <c r="A9426" s="4">
        <v>4500211150</v>
      </c>
    </row>
    <row r="9427" spans="1:1" x14ac:dyDescent="0.35">
      <c r="A9427" s="4">
        <v>4500211152</v>
      </c>
    </row>
    <row r="9428" spans="1:1" x14ac:dyDescent="0.35">
      <c r="A9428" s="4">
        <v>4500211153</v>
      </c>
    </row>
    <row r="9429" spans="1:1" x14ac:dyDescent="0.35">
      <c r="A9429" s="4">
        <v>4500211154</v>
      </c>
    </row>
    <row r="9430" spans="1:1" x14ac:dyDescent="0.35">
      <c r="A9430" s="4">
        <v>4500211155</v>
      </c>
    </row>
    <row r="9431" spans="1:1" x14ac:dyDescent="0.35">
      <c r="A9431" s="4">
        <v>4500211156</v>
      </c>
    </row>
    <row r="9432" spans="1:1" x14ac:dyDescent="0.35">
      <c r="A9432" s="4">
        <v>4500211161</v>
      </c>
    </row>
    <row r="9433" spans="1:1" x14ac:dyDescent="0.35">
      <c r="A9433" s="4">
        <v>4500211164</v>
      </c>
    </row>
    <row r="9434" spans="1:1" x14ac:dyDescent="0.35">
      <c r="A9434" s="4">
        <v>4500211194</v>
      </c>
    </row>
    <row r="9435" spans="1:1" x14ac:dyDescent="0.35">
      <c r="A9435" s="4">
        <v>4500211204</v>
      </c>
    </row>
    <row r="9436" spans="1:1" x14ac:dyDescent="0.35">
      <c r="A9436" s="4">
        <v>4500211207</v>
      </c>
    </row>
    <row r="9437" spans="1:1" x14ac:dyDescent="0.35">
      <c r="A9437" s="4">
        <v>4500211221</v>
      </c>
    </row>
    <row r="9438" spans="1:1" x14ac:dyDescent="0.35">
      <c r="A9438" s="4">
        <v>4500211226</v>
      </c>
    </row>
    <row r="9439" spans="1:1" x14ac:dyDescent="0.35">
      <c r="A9439" s="4">
        <v>4500211230</v>
      </c>
    </row>
    <row r="9440" spans="1:1" x14ac:dyDescent="0.35">
      <c r="A9440" s="4">
        <v>4500211246</v>
      </c>
    </row>
    <row r="9441" spans="1:1" x14ac:dyDescent="0.35">
      <c r="A9441" s="4">
        <v>4500211252</v>
      </c>
    </row>
    <row r="9442" spans="1:1" x14ac:dyDescent="0.35">
      <c r="A9442" s="4">
        <v>4500211261</v>
      </c>
    </row>
    <row r="9443" spans="1:1" x14ac:dyDescent="0.35">
      <c r="A9443" s="4">
        <v>4500211270</v>
      </c>
    </row>
    <row r="9444" spans="1:1" x14ac:dyDescent="0.35">
      <c r="A9444" s="4">
        <v>4500211275</v>
      </c>
    </row>
    <row r="9445" spans="1:1" x14ac:dyDescent="0.35">
      <c r="A9445" s="4">
        <v>4500211291</v>
      </c>
    </row>
    <row r="9446" spans="1:1" x14ac:dyDescent="0.35">
      <c r="A9446" s="4">
        <v>4500211293</v>
      </c>
    </row>
    <row r="9447" spans="1:1" x14ac:dyDescent="0.35">
      <c r="A9447" s="4">
        <v>4500211297</v>
      </c>
    </row>
    <row r="9448" spans="1:1" x14ac:dyDescent="0.35">
      <c r="A9448" s="4">
        <v>4500211298</v>
      </c>
    </row>
    <row r="9449" spans="1:1" x14ac:dyDescent="0.35">
      <c r="A9449" s="4">
        <v>4500211299</v>
      </c>
    </row>
    <row r="9450" spans="1:1" x14ac:dyDescent="0.35">
      <c r="A9450" s="4">
        <v>4500211300</v>
      </c>
    </row>
    <row r="9451" spans="1:1" x14ac:dyDescent="0.35">
      <c r="A9451" s="4">
        <v>4500211301</v>
      </c>
    </row>
    <row r="9452" spans="1:1" x14ac:dyDescent="0.35">
      <c r="A9452" s="4">
        <v>4500211304</v>
      </c>
    </row>
    <row r="9453" spans="1:1" x14ac:dyDescent="0.35">
      <c r="A9453" s="4">
        <v>4500211312</v>
      </c>
    </row>
    <row r="9454" spans="1:1" x14ac:dyDescent="0.35">
      <c r="A9454" s="4">
        <v>4500211408</v>
      </c>
    </row>
    <row r="9455" spans="1:1" x14ac:dyDescent="0.35">
      <c r="A9455" s="4">
        <v>4500211409</v>
      </c>
    </row>
    <row r="9456" spans="1:1" x14ac:dyDescent="0.35">
      <c r="A9456" s="4">
        <v>4500211424</v>
      </c>
    </row>
    <row r="9457" spans="1:1" x14ac:dyDescent="0.35">
      <c r="A9457" s="4">
        <v>4500211437</v>
      </c>
    </row>
    <row r="9458" spans="1:1" x14ac:dyDescent="0.35">
      <c r="A9458" s="4">
        <v>4500211448</v>
      </c>
    </row>
    <row r="9459" spans="1:1" x14ac:dyDescent="0.35">
      <c r="A9459" s="4">
        <v>4500211452</v>
      </c>
    </row>
    <row r="9460" spans="1:1" x14ac:dyDescent="0.35">
      <c r="A9460" s="4">
        <v>4500211456</v>
      </c>
    </row>
    <row r="9461" spans="1:1" x14ac:dyDescent="0.35">
      <c r="A9461" s="4">
        <v>4500211462</v>
      </c>
    </row>
    <row r="9462" spans="1:1" x14ac:dyDescent="0.35">
      <c r="A9462" s="4">
        <v>4500211466</v>
      </c>
    </row>
    <row r="9463" spans="1:1" x14ac:dyDescent="0.35">
      <c r="A9463" s="4">
        <v>4500211472</v>
      </c>
    </row>
    <row r="9464" spans="1:1" x14ac:dyDescent="0.35">
      <c r="A9464" s="4">
        <v>4500211482</v>
      </c>
    </row>
    <row r="9465" spans="1:1" x14ac:dyDescent="0.35">
      <c r="A9465" s="4">
        <v>4500211486</v>
      </c>
    </row>
    <row r="9466" spans="1:1" x14ac:dyDescent="0.35">
      <c r="A9466" s="4">
        <v>4500211490</v>
      </c>
    </row>
    <row r="9467" spans="1:1" x14ac:dyDescent="0.35">
      <c r="A9467" s="4">
        <v>4500211492</v>
      </c>
    </row>
    <row r="9468" spans="1:1" x14ac:dyDescent="0.35">
      <c r="A9468" s="4">
        <v>4500211495</v>
      </c>
    </row>
    <row r="9469" spans="1:1" x14ac:dyDescent="0.35">
      <c r="A9469" s="4">
        <v>4500211503</v>
      </c>
    </row>
    <row r="9470" spans="1:1" x14ac:dyDescent="0.35">
      <c r="A9470" s="4">
        <v>4500211506</v>
      </c>
    </row>
    <row r="9471" spans="1:1" x14ac:dyDescent="0.35">
      <c r="A9471" s="4">
        <v>4500211511</v>
      </c>
    </row>
    <row r="9472" spans="1:1" x14ac:dyDescent="0.35">
      <c r="A9472" s="4">
        <v>4500211520</v>
      </c>
    </row>
    <row r="9473" spans="1:1" x14ac:dyDescent="0.35">
      <c r="A9473" s="4">
        <v>4500211521</v>
      </c>
    </row>
    <row r="9474" spans="1:1" x14ac:dyDescent="0.35">
      <c r="A9474" s="4">
        <v>4500211526</v>
      </c>
    </row>
    <row r="9475" spans="1:1" x14ac:dyDescent="0.35">
      <c r="A9475" s="4">
        <v>4500211527</v>
      </c>
    </row>
    <row r="9476" spans="1:1" x14ac:dyDescent="0.35">
      <c r="A9476" s="4">
        <v>4500211533</v>
      </c>
    </row>
    <row r="9477" spans="1:1" x14ac:dyDescent="0.35">
      <c r="A9477" s="4">
        <v>4500211535</v>
      </c>
    </row>
    <row r="9478" spans="1:1" x14ac:dyDescent="0.35">
      <c r="A9478" s="4">
        <v>4500211540</v>
      </c>
    </row>
    <row r="9479" spans="1:1" x14ac:dyDescent="0.35">
      <c r="A9479" s="4">
        <v>4500211543</v>
      </c>
    </row>
    <row r="9480" spans="1:1" x14ac:dyDescent="0.35">
      <c r="A9480" s="4">
        <v>4500211570</v>
      </c>
    </row>
    <row r="9481" spans="1:1" x14ac:dyDescent="0.35">
      <c r="A9481" s="4">
        <v>4500211662</v>
      </c>
    </row>
    <row r="9482" spans="1:1" x14ac:dyDescent="0.35">
      <c r="A9482" s="4">
        <v>4500211669</v>
      </c>
    </row>
    <row r="9483" spans="1:1" x14ac:dyDescent="0.35">
      <c r="A9483" s="4">
        <v>4500211673</v>
      </c>
    </row>
    <row r="9484" spans="1:1" x14ac:dyDescent="0.35">
      <c r="A9484" s="4">
        <v>4500211676</v>
      </c>
    </row>
    <row r="9485" spans="1:1" x14ac:dyDescent="0.35">
      <c r="A9485" s="4">
        <v>4500211680</v>
      </c>
    </row>
    <row r="9486" spans="1:1" x14ac:dyDescent="0.35">
      <c r="A9486" s="4">
        <v>4500211683</v>
      </c>
    </row>
    <row r="9487" spans="1:1" x14ac:dyDescent="0.35">
      <c r="A9487" s="4">
        <v>4500211690</v>
      </c>
    </row>
    <row r="9488" spans="1:1" x14ac:dyDescent="0.35">
      <c r="A9488" s="4">
        <v>4500211695</v>
      </c>
    </row>
    <row r="9489" spans="1:1" x14ac:dyDescent="0.35">
      <c r="A9489" s="4">
        <v>4500211697</v>
      </c>
    </row>
    <row r="9490" spans="1:1" x14ac:dyDescent="0.35">
      <c r="A9490" s="4">
        <v>4500211701</v>
      </c>
    </row>
    <row r="9491" spans="1:1" x14ac:dyDescent="0.35">
      <c r="A9491" s="4">
        <v>4500211710</v>
      </c>
    </row>
    <row r="9492" spans="1:1" x14ac:dyDescent="0.35">
      <c r="A9492" s="4">
        <v>4500211715</v>
      </c>
    </row>
    <row r="9493" spans="1:1" x14ac:dyDescent="0.35">
      <c r="A9493" s="4">
        <v>4500211719</v>
      </c>
    </row>
    <row r="9494" spans="1:1" x14ac:dyDescent="0.35">
      <c r="A9494" s="4">
        <v>4500211722</v>
      </c>
    </row>
    <row r="9495" spans="1:1" x14ac:dyDescent="0.35">
      <c r="A9495" s="4">
        <v>4500211724</v>
      </c>
    </row>
    <row r="9496" spans="1:1" x14ac:dyDescent="0.35">
      <c r="A9496" s="4">
        <v>4500211728</v>
      </c>
    </row>
    <row r="9497" spans="1:1" x14ac:dyDescent="0.35">
      <c r="A9497" s="4">
        <v>4500211732</v>
      </c>
    </row>
    <row r="9498" spans="1:1" x14ac:dyDescent="0.35">
      <c r="A9498" s="4">
        <v>4500211733</v>
      </c>
    </row>
    <row r="9499" spans="1:1" x14ac:dyDescent="0.35">
      <c r="A9499" s="4">
        <v>4500211736</v>
      </c>
    </row>
    <row r="9500" spans="1:1" x14ac:dyDescent="0.35">
      <c r="A9500" s="4">
        <v>4500211739</v>
      </c>
    </row>
    <row r="9501" spans="1:1" x14ac:dyDescent="0.35">
      <c r="A9501" s="4">
        <v>4500211741</v>
      </c>
    </row>
    <row r="9502" spans="1:1" x14ac:dyDescent="0.35">
      <c r="A9502" s="4">
        <v>4500211746</v>
      </c>
    </row>
    <row r="9503" spans="1:1" x14ac:dyDescent="0.35">
      <c r="A9503" s="4">
        <v>4500211750</v>
      </c>
    </row>
    <row r="9504" spans="1:1" x14ac:dyDescent="0.35">
      <c r="A9504" s="4">
        <v>4500211753</v>
      </c>
    </row>
    <row r="9505" spans="1:1" x14ac:dyDescent="0.35">
      <c r="A9505" s="4">
        <v>4500211756</v>
      </c>
    </row>
    <row r="9506" spans="1:1" x14ac:dyDescent="0.35">
      <c r="A9506" s="4">
        <v>4500211758</v>
      </c>
    </row>
    <row r="9507" spans="1:1" x14ac:dyDescent="0.35">
      <c r="A9507" s="4">
        <v>4500211803</v>
      </c>
    </row>
    <row r="9508" spans="1:1" x14ac:dyDescent="0.35">
      <c r="A9508" s="4">
        <v>4500211882</v>
      </c>
    </row>
    <row r="9509" spans="1:1" x14ac:dyDescent="0.35">
      <c r="A9509" s="4">
        <v>4500211895</v>
      </c>
    </row>
    <row r="9510" spans="1:1" x14ac:dyDescent="0.35">
      <c r="A9510" s="4">
        <v>4500211898</v>
      </c>
    </row>
    <row r="9511" spans="1:1" x14ac:dyDescent="0.35">
      <c r="A9511" s="4">
        <v>4500211910</v>
      </c>
    </row>
    <row r="9512" spans="1:1" x14ac:dyDescent="0.35">
      <c r="A9512" s="4">
        <v>4500211913</v>
      </c>
    </row>
    <row r="9513" spans="1:1" x14ac:dyDescent="0.35">
      <c r="A9513" s="4">
        <v>4500211921</v>
      </c>
    </row>
    <row r="9514" spans="1:1" x14ac:dyDescent="0.35">
      <c r="A9514" s="4">
        <v>4500211923</v>
      </c>
    </row>
    <row r="9515" spans="1:1" x14ac:dyDescent="0.35">
      <c r="A9515" s="4">
        <v>4500211926</v>
      </c>
    </row>
    <row r="9516" spans="1:1" x14ac:dyDescent="0.35">
      <c r="A9516" s="4">
        <v>4500211930</v>
      </c>
    </row>
    <row r="9517" spans="1:1" x14ac:dyDescent="0.35">
      <c r="A9517" s="4">
        <v>4500211937</v>
      </c>
    </row>
    <row r="9518" spans="1:1" x14ac:dyDescent="0.35">
      <c r="A9518" s="4">
        <v>4500211942</v>
      </c>
    </row>
    <row r="9519" spans="1:1" x14ac:dyDescent="0.35">
      <c r="A9519" s="4">
        <v>4500211946</v>
      </c>
    </row>
    <row r="9520" spans="1:1" x14ac:dyDescent="0.35">
      <c r="A9520" s="4">
        <v>4500211958</v>
      </c>
    </row>
    <row r="9521" spans="1:1" x14ac:dyDescent="0.35">
      <c r="A9521" s="4">
        <v>4500211962</v>
      </c>
    </row>
    <row r="9522" spans="1:1" x14ac:dyDescent="0.35">
      <c r="A9522" s="4">
        <v>4500211965</v>
      </c>
    </row>
    <row r="9523" spans="1:1" x14ac:dyDescent="0.35">
      <c r="A9523" s="4">
        <v>4500211971</v>
      </c>
    </row>
    <row r="9524" spans="1:1" x14ac:dyDescent="0.35">
      <c r="A9524" s="4">
        <v>4500211983</v>
      </c>
    </row>
    <row r="9525" spans="1:1" x14ac:dyDescent="0.35">
      <c r="A9525" s="4">
        <v>4500211996</v>
      </c>
    </row>
    <row r="9526" spans="1:1" x14ac:dyDescent="0.35">
      <c r="A9526" s="4">
        <v>4500212000</v>
      </c>
    </row>
    <row r="9527" spans="1:1" x14ac:dyDescent="0.35">
      <c r="A9527" s="4">
        <v>4500212003</v>
      </c>
    </row>
    <row r="9528" spans="1:1" x14ac:dyDescent="0.35">
      <c r="A9528" s="4">
        <v>4500212004</v>
      </c>
    </row>
    <row r="9529" spans="1:1" x14ac:dyDescent="0.35">
      <c r="A9529" s="4">
        <v>4500212040</v>
      </c>
    </row>
    <row r="9530" spans="1:1" x14ac:dyDescent="0.35">
      <c r="A9530" s="4">
        <v>4500212145</v>
      </c>
    </row>
    <row r="9531" spans="1:1" x14ac:dyDescent="0.35">
      <c r="A9531" s="4">
        <v>4500212150</v>
      </c>
    </row>
    <row r="9532" spans="1:1" x14ac:dyDescent="0.35">
      <c r="A9532" s="4">
        <v>4500212157</v>
      </c>
    </row>
    <row r="9533" spans="1:1" x14ac:dyDescent="0.35">
      <c r="A9533" s="4">
        <v>4500212166</v>
      </c>
    </row>
    <row r="9534" spans="1:1" x14ac:dyDescent="0.35">
      <c r="A9534" s="4">
        <v>4500212175</v>
      </c>
    </row>
    <row r="9535" spans="1:1" x14ac:dyDescent="0.35">
      <c r="A9535" s="4">
        <v>4500212179</v>
      </c>
    </row>
    <row r="9536" spans="1:1" x14ac:dyDescent="0.35">
      <c r="A9536" s="4">
        <v>4500212183</v>
      </c>
    </row>
    <row r="9537" spans="1:1" x14ac:dyDescent="0.35">
      <c r="A9537" s="4">
        <v>4500212187</v>
      </c>
    </row>
    <row r="9538" spans="1:1" x14ac:dyDescent="0.35">
      <c r="A9538" s="4">
        <v>4500212191</v>
      </c>
    </row>
    <row r="9539" spans="1:1" x14ac:dyDescent="0.35">
      <c r="A9539" s="4">
        <v>4500212195</v>
      </c>
    </row>
    <row r="9540" spans="1:1" x14ac:dyDescent="0.35">
      <c r="A9540" s="4">
        <v>4500212197</v>
      </c>
    </row>
    <row r="9541" spans="1:1" x14ac:dyDescent="0.35">
      <c r="A9541" s="4">
        <v>4500212206</v>
      </c>
    </row>
    <row r="9542" spans="1:1" x14ac:dyDescent="0.35">
      <c r="A9542" s="4">
        <v>4500212209</v>
      </c>
    </row>
    <row r="9543" spans="1:1" x14ac:dyDescent="0.35">
      <c r="A9543" s="4">
        <v>4500212211</v>
      </c>
    </row>
    <row r="9544" spans="1:1" x14ac:dyDescent="0.35">
      <c r="A9544" s="4">
        <v>4500212213</v>
      </c>
    </row>
    <row r="9545" spans="1:1" x14ac:dyDescent="0.35">
      <c r="A9545" s="4">
        <v>4500212215</v>
      </c>
    </row>
    <row r="9546" spans="1:1" x14ac:dyDescent="0.35">
      <c r="A9546" s="4">
        <v>4500212217</v>
      </c>
    </row>
    <row r="9547" spans="1:1" x14ac:dyDescent="0.35">
      <c r="A9547" s="4">
        <v>4500212218</v>
      </c>
    </row>
    <row r="9548" spans="1:1" x14ac:dyDescent="0.35">
      <c r="A9548" s="4">
        <v>4500212220</v>
      </c>
    </row>
    <row r="9549" spans="1:1" x14ac:dyDescent="0.35">
      <c r="A9549" s="4">
        <v>4500212224</v>
      </c>
    </row>
    <row r="9550" spans="1:1" x14ac:dyDescent="0.35">
      <c r="A9550" s="4">
        <v>4500212228</v>
      </c>
    </row>
    <row r="9551" spans="1:1" x14ac:dyDescent="0.35">
      <c r="A9551" s="4">
        <v>4500212232</v>
      </c>
    </row>
    <row r="9552" spans="1:1" x14ac:dyDescent="0.35">
      <c r="A9552" s="4">
        <v>4500212234</v>
      </c>
    </row>
    <row r="9553" spans="1:1" x14ac:dyDescent="0.35">
      <c r="A9553" s="4">
        <v>4500212238</v>
      </c>
    </row>
    <row r="9554" spans="1:1" x14ac:dyDescent="0.35">
      <c r="A9554" s="4">
        <v>4500212242</v>
      </c>
    </row>
    <row r="9555" spans="1:1" x14ac:dyDescent="0.35">
      <c r="A9555" s="4">
        <v>4500212244</v>
      </c>
    </row>
    <row r="9556" spans="1:1" x14ac:dyDescent="0.35">
      <c r="A9556" s="4">
        <v>4500212246</v>
      </c>
    </row>
    <row r="9557" spans="1:1" x14ac:dyDescent="0.35">
      <c r="A9557" s="4">
        <v>4500212257</v>
      </c>
    </row>
    <row r="9558" spans="1:1" x14ac:dyDescent="0.35">
      <c r="A9558" s="4">
        <v>4500212377</v>
      </c>
    </row>
    <row r="9559" spans="1:1" x14ac:dyDescent="0.35">
      <c r="A9559" s="4">
        <v>4500212380</v>
      </c>
    </row>
    <row r="9560" spans="1:1" x14ac:dyDescent="0.35">
      <c r="A9560" s="4">
        <v>4500212385</v>
      </c>
    </row>
    <row r="9561" spans="1:1" x14ac:dyDescent="0.35">
      <c r="A9561" s="4">
        <v>4500212391</v>
      </c>
    </row>
    <row r="9562" spans="1:1" x14ac:dyDescent="0.35">
      <c r="A9562" s="4">
        <v>4500212394</v>
      </c>
    </row>
    <row r="9563" spans="1:1" x14ac:dyDescent="0.35">
      <c r="A9563" s="4">
        <v>4500212400</v>
      </c>
    </row>
    <row r="9564" spans="1:1" x14ac:dyDescent="0.35">
      <c r="A9564" s="4">
        <v>4500212408</v>
      </c>
    </row>
    <row r="9565" spans="1:1" x14ac:dyDescent="0.35">
      <c r="A9565" s="4">
        <v>4500212413</v>
      </c>
    </row>
    <row r="9566" spans="1:1" x14ac:dyDescent="0.35">
      <c r="A9566" s="4">
        <v>4500212422</v>
      </c>
    </row>
    <row r="9567" spans="1:1" x14ac:dyDescent="0.35">
      <c r="A9567" s="4">
        <v>4500212431</v>
      </c>
    </row>
    <row r="9568" spans="1:1" x14ac:dyDescent="0.35">
      <c r="A9568" s="4">
        <v>4500212436</v>
      </c>
    </row>
    <row r="9569" spans="1:1" x14ac:dyDescent="0.35">
      <c r="A9569" s="4">
        <v>4500212443</v>
      </c>
    </row>
    <row r="9570" spans="1:1" x14ac:dyDescent="0.35">
      <c r="A9570" s="4">
        <v>4500212452</v>
      </c>
    </row>
    <row r="9571" spans="1:1" x14ac:dyDescent="0.35">
      <c r="A9571" s="4">
        <v>4500212467</v>
      </c>
    </row>
    <row r="9572" spans="1:1" x14ac:dyDescent="0.35">
      <c r="A9572" s="4">
        <v>4500212471</v>
      </c>
    </row>
    <row r="9573" spans="1:1" x14ac:dyDescent="0.35">
      <c r="A9573" s="4">
        <v>4500212475</v>
      </c>
    </row>
    <row r="9574" spans="1:1" x14ac:dyDescent="0.35">
      <c r="A9574" s="4">
        <v>4500212479</v>
      </c>
    </row>
    <row r="9575" spans="1:1" x14ac:dyDescent="0.35">
      <c r="A9575" s="4">
        <v>4500212489</v>
      </c>
    </row>
    <row r="9576" spans="1:1" x14ac:dyDescent="0.35">
      <c r="A9576" s="4">
        <v>4500212576</v>
      </c>
    </row>
    <row r="9577" spans="1:1" x14ac:dyDescent="0.35">
      <c r="A9577" s="4">
        <v>4500212580</v>
      </c>
    </row>
    <row r="9578" spans="1:1" x14ac:dyDescent="0.35">
      <c r="A9578" s="4">
        <v>4500212584</v>
      </c>
    </row>
    <row r="9579" spans="1:1" x14ac:dyDescent="0.35">
      <c r="A9579" s="4">
        <v>4500212588</v>
      </c>
    </row>
    <row r="9580" spans="1:1" x14ac:dyDescent="0.35">
      <c r="A9580" s="4">
        <v>4500212592</v>
      </c>
    </row>
    <row r="9581" spans="1:1" x14ac:dyDescent="0.35">
      <c r="A9581" s="4">
        <v>4500212596</v>
      </c>
    </row>
    <row r="9582" spans="1:1" x14ac:dyDescent="0.35">
      <c r="A9582" s="4">
        <v>4500212600</v>
      </c>
    </row>
    <row r="9583" spans="1:1" x14ac:dyDescent="0.35">
      <c r="A9583" s="4">
        <v>4500212610</v>
      </c>
    </row>
    <row r="9584" spans="1:1" x14ac:dyDescent="0.35">
      <c r="A9584" s="4">
        <v>4500212614</v>
      </c>
    </row>
    <row r="9585" spans="1:1" x14ac:dyDescent="0.35">
      <c r="A9585" s="4">
        <v>4500212621</v>
      </c>
    </row>
    <row r="9586" spans="1:1" x14ac:dyDescent="0.35">
      <c r="A9586" s="4">
        <v>4500212628</v>
      </c>
    </row>
    <row r="9587" spans="1:1" x14ac:dyDescent="0.35">
      <c r="A9587" s="4">
        <v>4500212632</v>
      </c>
    </row>
    <row r="9588" spans="1:1" x14ac:dyDescent="0.35">
      <c r="A9588" s="4">
        <v>4500212639</v>
      </c>
    </row>
    <row r="9589" spans="1:1" x14ac:dyDescent="0.35">
      <c r="A9589" s="4">
        <v>4500212655</v>
      </c>
    </row>
    <row r="9590" spans="1:1" x14ac:dyDescent="0.35">
      <c r="A9590" s="4">
        <v>4500212661</v>
      </c>
    </row>
    <row r="9591" spans="1:1" x14ac:dyDescent="0.35">
      <c r="A9591" s="4">
        <v>4500212665</v>
      </c>
    </row>
    <row r="9592" spans="1:1" x14ac:dyDescent="0.35">
      <c r="A9592" s="4">
        <v>4500212674</v>
      </c>
    </row>
    <row r="9593" spans="1:1" x14ac:dyDescent="0.35">
      <c r="A9593" s="4">
        <v>4500212679</v>
      </c>
    </row>
    <row r="9594" spans="1:1" x14ac:dyDescent="0.35">
      <c r="A9594" s="4">
        <v>4500212681</v>
      </c>
    </row>
    <row r="9595" spans="1:1" x14ac:dyDescent="0.35">
      <c r="A9595" s="4">
        <v>4500212685</v>
      </c>
    </row>
    <row r="9596" spans="1:1" x14ac:dyDescent="0.35">
      <c r="A9596" s="4">
        <v>4500212687</v>
      </c>
    </row>
    <row r="9597" spans="1:1" x14ac:dyDescent="0.35">
      <c r="A9597" s="4">
        <v>4500212692</v>
      </c>
    </row>
    <row r="9598" spans="1:1" x14ac:dyDescent="0.35">
      <c r="A9598" s="4">
        <v>4500212694</v>
      </c>
    </row>
    <row r="9599" spans="1:1" x14ac:dyDescent="0.35">
      <c r="A9599" s="4">
        <v>4500212699</v>
      </c>
    </row>
    <row r="9600" spans="1:1" x14ac:dyDescent="0.35">
      <c r="A9600" s="4">
        <v>4500212702</v>
      </c>
    </row>
    <row r="9601" spans="1:1" x14ac:dyDescent="0.35">
      <c r="A9601" s="4">
        <v>4500212795</v>
      </c>
    </row>
    <row r="9602" spans="1:1" x14ac:dyDescent="0.35">
      <c r="A9602" s="4">
        <v>4500212800</v>
      </c>
    </row>
    <row r="9603" spans="1:1" x14ac:dyDescent="0.35">
      <c r="A9603" s="4">
        <v>4500212806</v>
      </c>
    </row>
    <row r="9604" spans="1:1" x14ac:dyDescent="0.35">
      <c r="A9604" s="4">
        <v>4500212812</v>
      </c>
    </row>
    <row r="9605" spans="1:1" x14ac:dyDescent="0.35">
      <c r="A9605" s="4">
        <v>4500212816</v>
      </c>
    </row>
    <row r="9606" spans="1:1" x14ac:dyDescent="0.35">
      <c r="A9606" s="4">
        <v>4500212819</v>
      </c>
    </row>
    <row r="9607" spans="1:1" x14ac:dyDescent="0.35">
      <c r="A9607" s="4">
        <v>4500212828</v>
      </c>
    </row>
    <row r="9608" spans="1:1" x14ac:dyDescent="0.35">
      <c r="A9608" s="4">
        <v>4500212833</v>
      </c>
    </row>
    <row r="9609" spans="1:1" x14ac:dyDescent="0.35">
      <c r="A9609" s="4">
        <v>4500212840</v>
      </c>
    </row>
    <row r="9610" spans="1:1" x14ac:dyDescent="0.35">
      <c r="A9610" s="4">
        <v>4500212841</v>
      </c>
    </row>
    <row r="9611" spans="1:1" x14ac:dyDescent="0.35">
      <c r="A9611" s="4">
        <v>4500212846</v>
      </c>
    </row>
    <row r="9612" spans="1:1" x14ac:dyDescent="0.35">
      <c r="A9612" s="4">
        <v>4500212851</v>
      </c>
    </row>
    <row r="9613" spans="1:1" x14ac:dyDescent="0.35">
      <c r="A9613" s="4">
        <v>4500212854</v>
      </c>
    </row>
    <row r="9614" spans="1:1" x14ac:dyDescent="0.35">
      <c r="A9614" s="4">
        <v>4500212858</v>
      </c>
    </row>
    <row r="9615" spans="1:1" x14ac:dyDescent="0.35">
      <c r="A9615" s="4">
        <v>4500212860</v>
      </c>
    </row>
    <row r="9616" spans="1:1" x14ac:dyDescent="0.35">
      <c r="A9616" s="4">
        <v>4500212863</v>
      </c>
    </row>
    <row r="9617" spans="1:1" x14ac:dyDescent="0.35">
      <c r="A9617" s="4">
        <v>4500212868</v>
      </c>
    </row>
    <row r="9618" spans="1:1" x14ac:dyDescent="0.35">
      <c r="A9618" s="4">
        <v>4500212871</v>
      </c>
    </row>
    <row r="9619" spans="1:1" x14ac:dyDescent="0.35">
      <c r="A9619" s="4">
        <v>4500212874</v>
      </c>
    </row>
    <row r="9620" spans="1:1" x14ac:dyDescent="0.35">
      <c r="A9620" s="4">
        <v>4500212877</v>
      </c>
    </row>
    <row r="9621" spans="1:1" x14ac:dyDescent="0.35">
      <c r="A9621" s="4">
        <v>4500212882</v>
      </c>
    </row>
    <row r="9622" spans="1:1" x14ac:dyDescent="0.35">
      <c r="A9622" s="4">
        <v>4500212884</v>
      </c>
    </row>
    <row r="9623" spans="1:1" x14ac:dyDescent="0.35">
      <c r="A9623" s="4">
        <v>4500212887</v>
      </c>
    </row>
    <row r="9624" spans="1:1" x14ac:dyDescent="0.35">
      <c r="A9624" s="4">
        <v>4500212941</v>
      </c>
    </row>
    <row r="9625" spans="1:1" x14ac:dyDescent="0.35">
      <c r="A9625" s="4">
        <v>4500212947</v>
      </c>
    </row>
    <row r="9626" spans="1:1" x14ac:dyDescent="0.35">
      <c r="A9626" s="4">
        <v>4500213038</v>
      </c>
    </row>
    <row r="9627" spans="1:1" x14ac:dyDescent="0.35">
      <c r="A9627" s="4">
        <v>4500213044</v>
      </c>
    </row>
    <row r="9628" spans="1:1" x14ac:dyDescent="0.35">
      <c r="A9628" s="4">
        <v>4500213048</v>
      </c>
    </row>
    <row r="9629" spans="1:1" x14ac:dyDescent="0.35">
      <c r="A9629" s="4">
        <v>4500213060</v>
      </c>
    </row>
    <row r="9630" spans="1:1" x14ac:dyDescent="0.35">
      <c r="A9630" s="4">
        <v>4500213064</v>
      </c>
    </row>
    <row r="9631" spans="1:1" x14ac:dyDescent="0.35">
      <c r="A9631" s="4">
        <v>4500213077</v>
      </c>
    </row>
    <row r="9632" spans="1:1" x14ac:dyDescent="0.35">
      <c r="A9632" s="4">
        <v>4500213081</v>
      </c>
    </row>
    <row r="9633" spans="1:1" x14ac:dyDescent="0.35">
      <c r="A9633" s="4">
        <v>4500213088</v>
      </c>
    </row>
    <row r="9634" spans="1:1" x14ac:dyDescent="0.35">
      <c r="A9634" s="4">
        <v>4500213093</v>
      </c>
    </row>
    <row r="9635" spans="1:1" x14ac:dyDescent="0.35">
      <c r="A9635" s="4">
        <v>4500213100</v>
      </c>
    </row>
    <row r="9636" spans="1:1" x14ac:dyDescent="0.35">
      <c r="A9636" s="4">
        <v>4500213107</v>
      </c>
    </row>
    <row r="9637" spans="1:1" x14ac:dyDescent="0.35">
      <c r="A9637" s="4">
        <v>4500213110</v>
      </c>
    </row>
    <row r="9638" spans="1:1" x14ac:dyDescent="0.35">
      <c r="A9638" s="4">
        <v>4500213113</v>
      </c>
    </row>
    <row r="9639" spans="1:1" x14ac:dyDescent="0.35">
      <c r="A9639" s="4">
        <v>4500213116</v>
      </c>
    </row>
    <row r="9640" spans="1:1" x14ac:dyDescent="0.35">
      <c r="A9640" s="4">
        <v>4500213119</v>
      </c>
    </row>
    <row r="9641" spans="1:1" x14ac:dyDescent="0.35">
      <c r="A9641" s="4">
        <v>4500213123</v>
      </c>
    </row>
    <row r="9642" spans="1:1" x14ac:dyDescent="0.35">
      <c r="A9642" s="4">
        <v>4500213127</v>
      </c>
    </row>
    <row r="9643" spans="1:1" x14ac:dyDescent="0.35">
      <c r="A9643" s="4">
        <v>4500213131</v>
      </c>
    </row>
    <row r="9644" spans="1:1" x14ac:dyDescent="0.35">
      <c r="A9644" s="4">
        <v>4500213137</v>
      </c>
    </row>
    <row r="9645" spans="1:1" x14ac:dyDescent="0.35">
      <c r="A9645" s="4">
        <v>4500213145</v>
      </c>
    </row>
    <row r="9646" spans="1:1" x14ac:dyDescent="0.35">
      <c r="A9646" s="4">
        <v>4500213148</v>
      </c>
    </row>
    <row r="9647" spans="1:1" x14ac:dyDescent="0.35">
      <c r="A9647" s="4">
        <v>4500213151</v>
      </c>
    </row>
    <row r="9648" spans="1:1" x14ac:dyDescent="0.35">
      <c r="A9648" s="4">
        <v>4500213154</v>
      </c>
    </row>
    <row r="9649" spans="1:1" x14ac:dyDescent="0.35">
      <c r="A9649" s="4">
        <v>4500213158</v>
      </c>
    </row>
    <row r="9650" spans="1:1" x14ac:dyDescent="0.35">
      <c r="A9650" s="4">
        <v>4500213258</v>
      </c>
    </row>
    <row r="9651" spans="1:1" x14ac:dyDescent="0.35">
      <c r="A9651" s="4">
        <v>4500213269</v>
      </c>
    </row>
    <row r="9652" spans="1:1" x14ac:dyDescent="0.35">
      <c r="A9652" s="4">
        <v>4500213277</v>
      </c>
    </row>
    <row r="9653" spans="1:1" x14ac:dyDescent="0.35">
      <c r="A9653" s="4">
        <v>4500213287</v>
      </c>
    </row>
    <row r="9654" spans="1:1" x14ac:dyDescent="0.35">
      <c r="A9654" s="4">
        <v>4500213295</v>
      </c>
    </row>
    <row r="9655" spans="1:1" x14ac:dyDescent="0.35">
      <c r="A9655" s="4">
        <v>4500213299</v>
      </c>
    </row>
    <row r="9656" spans="1:1" x14ac:dyDescent="0.35">
      <c r="A9656" s="4">
        <v>4500213310</v>
      </c>
    </row>
    <row r="9657" spans="1:1" x14ac:dyDescent="0.35">
      <c r="A9657" s="4">
        <v>4500213329</v>
      </c>
    </row>
    <row r="9658" spans="1:1" x14ac:dyDescent="0.35">
      <c r="A9658" s="4">
        <v>4500213332</v>
      </c>
    </row>
    <row r="9659" spans="1:1" x14ac:dyDescent="0.35">
      <c r="A9659" s="4">
        <v>4500213334</v>
      </c>
    </row>
    <row r="9660" spans="1:1" x14ac:dyDescent="0.35">
      <c r="A9660" s="4">
        <v>4500213337</v>
      </c>
    </row>
    <row r="9661" spans="1:1" x14ac:dyDescent="0.35">
      <c r="A9661" s="4">
        <v>4500213339</v>
      </c>
    </row>
    <row r="9662" spans="1:1" x14ac:dyDescent="0.35">
      <c r="A9662" s="4">
        <v>4500213344</v>
      </c>
    </row>
    <row r="9663" spans="1:1" x14ac:dyDescent="0.35">
      <c r="A9663" s="4">
        <v>4500213346</v>
      </c>
    </row>
    <row r="9664" spans="1:1" x14ac:dyDescent="0.35">
      <c r="A9664" s="4">
        <v>4500213349</v>
      </c>
    </row>
    <row r="9665" spans="1:1" x14ac:dyDescent="0.35">
      <c r="A9665" s="4">
        <v>4500213350</v>
      </c>
    </row>
    <row r="9666" spans="1:1" x14ac:dyDescent="0.35">
      <c r="A9666" s="4">
        <v>4500213351</v>
      </c>
    </row>
    <row r="9667" spans="1:1" x14ac:dyDescent="0.35">
      <c r="A9667" s="4">
        <v>4500213352</v>
      </c>
    </row>
    <row r="9668" spans="1:1" x14ac:dyDescent="0.35">
      <c r="A9668" s="4">
        <v>4500213353</v>
      </c>
    </row>
    <row r="9669" spans="1:1" x14ac:dyDescent="0.35">
      <c r="A9669" s="4">
        <v>4500213359</v>
      </c>
    </row>
    <row r="9670" spans="1:1" x14ac:dyDescent="0.35">
      <c r="A9670" s="4">
        <v>4500213360</v>
      </c>
    </row>
    <row r="9671" spans="1:1" x14ac:dyDescent="0.35">
      <c r="A9671" s="4">
        <v>4500213363</v>
      </c>
    </row>
    <row r="9672" spans="1:1" x14ac:dyDescent="0.35">
      <c r="A9672" s="4">
        <v>4500213364</v>
      </c>
    </row>
    <row r="9673" spans="1:1" x14ac:dyDescent="0.35">
      <c r="A9673" s="4">
        <v>4500213365</v>
      </c>
    </row>
    <row r="9674" spans="1:1" x14ac:dyDescent="0.35">
      <c r="A9674" s="4">
        <v>4500213366</v>
      </c>
    </row>
    <row r="9675" spans="1:1" x14ac:dyDescent="0.35">
      <c r="A9675" s="4">
        <v>4500213367</v>
      </c>
    </row>
    <row r="9676" spans="1:1" x14ac:dyDescent="0.35">
      <c r="A9676" s="4">
        <v>4500213369</v>
      </c>
    </row>
    <row r="9677" spans="1:1" x14ac:dyDescent="0.35">
      <c r="A9677" s="4">
        <v>4500213450</v>
      </c>
    </row>
    <row r="9678" spans="1:1" x14ac:dyDescent="0.35">
      <c r="A9678" s="4">
        <v>4500213457</v>
      </c>
    </row>
    <row r="9679" spans="1:1" x14ac:dyDescent="0.35">
      <c r="A9679" s="4">
        <v>4500213461</v>
      </c>
    </row>
    <row r="9680" spans="1:1" x14ac:dyDescent="0.35">
      <c r="A9680" s="4">
        <v>4500213466</v>
      </c>
    </row>
    <row r="9681" spans="1:1" x14ac:dyDescent="0.35">
      <c r="A9681" s="4">
        <v>4500213472</v>
      </c>
    </row>
    <row r="9682" spans="1:1" x14ac:dyDescent="0.35">
      <c r="A9682" s="4">
        <v>4500213481</v>
      </c>
    </row>
    <row r="9683" spans="1:1" x14ac:dyDescent="0.35">
      <c r="A9683" s="4">
        <v>4500213487</v>
      </c>
    </row>
    <row r="9684" spans="1:1" x14ac:dyDescent="0.35">
      <c r="A9684" s="4">
        <v>4500213493</v>
      </c>
    </row>
    <row r="9685" spans="1:1" x14ac:dyDescent="0.35">
      <c r="A9685" s="4">
        <v>4500213503</v>
      </c>
    </row>
    <row r="9686" spans="1:1" x14ac:dyDescent="0.35">
      <c r="A9686" s="4">
        <v>4500213513</v>
      </c>
    </row>
    <row r="9687" spans="1:1" x14ac:dyDescent="0.35">
      <c r="A9687" s="4">
        <v>4500213520</v>
      </c>
    </row>
    <row r="9688" spans="1:1" x14ac:dyDescent="0.35">
      <c r="A9688" s="4">
        <v>4500213529</v>
      </c>
    </row>
    <row r="9689" spans="1:1" x14ac:dyDescent="0.35">
      <c r="A9689" s="4">
        <v>4500213533</v>
      </c>
    </row>
    <row r="9690" spans="1:1" x14ac:dyDescent="0.35">
      <c r="A9690" s="4">
        <v>4500213540</v>
      </c>
    </row>
    <row r="9691" spans="1:1" x14ac:dyDescent="0.35">
      <c r="A9691" s="4">
        <v>4500213544</v>
      </c>
    </row>
    <row r="9692" spans="1:1" x14ac:dyDescent="0.35">
      <c r="A9692" s="4">
        <v>4500213549</v>
      </c>
    </row>
    <row r="9693" spans="1:1" x14ac:dyDescent="0.35">
      <c r="A9693" s="4">
        <v>4500213554</v>
      </c>
    </row>
    <row r="9694" spans="1:1" x14ac:dyDescent="0.35">
      <c r="A9694" s="4">
        <v>4500213564</v>
      </c>
    </row>
    <row r="9695" spans="1:1" x14ac:dyDescent="0.35">
      <c r="A9695" s="4">
        <v>4500213566</v>
      </c>
    </row>
    <row r="9696" spans="1:1" x14ac:dyDescent="0.35">
      <c r="A9696" s="4">
        <v>4500213569</v>
      </c>
    </row>
    <row r="9697" spans="1:1" x14ac:dyDescent="0.35">
      <c r="A9697" s="4">
        <v>4500213573</v>
      </c>
    </row>
    <row r="9698" spans="1:1" x14ac:dyDescent="0.35">
      <c r="A9698" s="4">
        <v>4500213575</v>
      </c>
    </row>
    <row r="9699" spans="1:1" x14ac:dyDescent="0.35">
      <c r="A9699" s="4">
        <v>4500213576</v>
      </c>
    </row>
    <row r="9700" spans="1:1" x14ac:dyDescent="0.35">
      <c r="A9700" s="4">
        <v>4500213577</v>
      </c>
    </row>
    <row r="9701" spans="1:1" x14ac:dyDescent="0.35">
      <c r="A9701" s="4">
        <v>4500213578</v>
      </c>
    </row>
    <row r="9702" spans="1:1" x14ac:dyDescent="0.35">
      <c r="A9702" s="4">
        <v>4500213580</v>
      </c>
    </row>
    <row r="9703" spans="1:1" x14ac:dyDescent="0.35">
      <c r="A9703" s="4">
        <v>4500213581</v>
      </c>
    </row>
    <row r="9704" spans="1:1" x14ac:dyDescent="0.35">
      <c r="A9704" s="4">
        <v>4500213583</v>
      </c>
    </row>
    <row r="9705" spans="1:1" x14ac:dyDescent="0.35">
      <c r="A9705" s="4">
        <v>4500213584</v>
      </c>
    </row>
    <row r="9706" spans="1:1" x14ac:dyDescent="0.35">
      <c r="A9706" s="4">
        <v>4500213630</v>
      </c>
    </row>
    <row r="9707" spans="1:1" x14ac:dyDescent="0.35">
      <c r="A9707" s="4">
        <v>4500213631</v>
      </c>
    </row>
    <row r="9708" spans="1:1" x14ac:dyDescent="0.35">
      <c r="A9708" s="4">
        <v>4500213633</v>
      </c>
    </row>
    <row r="9709" spans="1:1" x14ac:dyDescent="0.35">
      <c r="A9709" s="4">
        <v>4500213634</v>
      </c>
    </row>
    <row r="9710" spans="1:1" x14ac:dyDescent="0.35">
      <c r="A9710" s="4">
        <v>4500213638</v>
      </c>
    </row>
    <row r="9711" spans="1:1" x14ac:dyDescent="0.35">
      <c r="A9711" s="4">
        <v>4500213640</v>
      </c>
    </row>
    <row r="9712" spans="1:1" x14ac:dyDescent="0.35">
      <c r="A9712" s="4">
        <v>4500213692</v>
      </c>
    </row>
    <row r="9713" spans="1:1" x14ac:dyDescent="0.35">
      <c r="A9713" s="4">
        <v>4500213695</v>
      </c>
    </row>
    <row r="9714" spans="1:1" x14ac:dyDescent="0.35">
      <c r="A9714" s="4">
        <v>4500213700</v>
      </c>
    </row>
    <row r="9715" spans="1:1" x14ac:dyDescent="0.35">
      <c r="A9715" s="4">
        <v>4500213704</v>
      </c>
    </row>
    <row r="9716" spans="1:1" x14ac:dyDescent="0.35">
      <c r="A9716" s="4">
        <v>4500213718</v>
      </c>
    </row>
    <row r="9717" spans="1:1" x14ac:dyDescent="0.35">
      <c r="A9717" s="4">
        <v>4500213723</v>
      </c>
    </row>
    <row r="9718" spans="1:1" x14ac:dyDescent="0.35">
      <c r="A9718" s="4">
        <v>4500213730</v>
      </c>
    </row>
    <row r="9719" spans="1:1" x14ac:dyDescent="0.35">
      <c r="A9719" s="4">
        <v>4500213738</v>
      </c>
    </row>
    <row r="9720" spans="1:1" x14ac:dyDescent="0.35">
      <c r="A9720" s="4">
        <v>4500213744</v>
      </c>
    </row>
    <row r="9721" spans="1:1" x14ac:dyDescent="0.35">
      <c r="A9721" s="4">
        <v>4500213747</v>
      </c>
    </row>
    <row r="9722" spans="1:1" x14ac:dyDescent="0.35">
      <c r="A9722" s="4">
        <v>4500213752</v>
      </c>
    </row>
    <row r="9723" spans="1:1" x14ac:dyDescent="0.35">
      <c r="A9723" s="4">
        <v>4500213762</v>
      </c>
    </row>
    <row r="9724" spans="1:1" x14ac:dyDescent="0.35">
      <c r="A9724" s="4">
        <v>4500213768</v>
      </c>
    </row>
    <row r="9725" spans="1:1" x14ac:dyDescent="0.35">
      <c r="A9725" s="4">
        <v>4500213772</v>
      </c>
    </row>
    <row r="9726" spans="1:1" x14ac:dyDescent="0.35">
      <c r="A9726" s="4">
        <v>4500213777</v>
      </c>
    </row>
    <row r="9727" spans="1:1" x14ac:dyDescent="0.35">
      <c r="A9727" s="4">
        <v>4500213781</v>
      </c>
    </row>
    <row r="9728" spans="1:1" x14ac:dyDescent="0.35">
      <c r="A9728" s="4">
        <v>4500213784</v>
      </c>
    </row>
    <row r="9729" spans="1:1" x14ac:dyDescent="0.35">
      <c r="A9729" s="4">
        <v>4500213786</v>
      </c>
    </row>
    <row r="9730" spans="1:1" x14ac:dyDescent="0.35">
      <c r="A9730" s="4">
        <v>4500213790</v>
      </c>
    </row>
    <row r="9731" spans="1:1" x14ac:dyDescent="0.35">
      <c r="A9731" s="4">
        <v>4500213794</v>
      </c>
    </row>
    <row r="9732" spans="1:1" x14ac:dyDescent="0.35">
      <c r="A9732" s="4">
        <v>4500213813</v>
      </c>
    </row>
    <row r="9733" spans="1:1" x14ac:dyDescent="0.35">
      <c r="A9733" s="4">
        <v>4500213820</v>
      </c>
    </row>
    <row r="9734" spans="1:1" x14ac:dyDescent="0.35">
      <c r="A9734" s="4">
        <v>4500213903</v>
      </c>
    </row>
    <row r="9735" spans="1:1" x14ac:dyDescent="0.35">
      <c r="A9735" s="4">
        <v>4500213918</v>
      </c>
    </row>
    <row r="9736" spans="1:1" x14ac:dyDescent="0.35">
      <c r="A9736" s="4">
        <v>4500213923</v>
      </c>
    </row>
    <row r="9737" spans="1:1" x14ac:dyDescent="0.35">
      <c r="A9737" s="4">
        <v>4500213927</v>
      </c>
    </row>
    <row r="9738" spans="1:1" x14ac:dyDescent="0.35">
      <c r="A9738" s="4">
        <v>4500213934</v>
      </c>
    </row>
    <row r="9739" spans="1:1" x14ac:dyDescent="0.35">
      <c r="A9739" s="4">
        <v>4500213944</v>
      </c>
    </row>
    <row r="9740" spans="1:1" x14ac:dyDescent="0.35">
      <c r="A9740" s="4">
        <v>4500213949</v>
      </c>
    </row>
    <row r="9741" spans="1:1" x14ac:dyDescent="0.35">
      <c r="A9741" s="4">
        <v>4500213953</v>
      </c>
    </row>
    <row r="9742" spans="1:1" x14ac:dyDescent="0.35">
      <c r="A9742" s="4">
        <v>4500213956</v>
      </c>
    </row>
    <row r="9743" spans="1:1" x14ac:dyDescent="0.35">
      <c r="A9743" s="4">
        <v>4500213958</v>
      </c>
    </row>
    <row r="9744" spans="1:1" x14ac:dyDescent="0.35">
      <c r="A9744" s="4">
        <v>4500213963</v>
      </c>
    </row>
    <row r="9745" spans="1:1" x14ac:dyDescent="0.35">
      <c r="A9745" s="4">
        <v>4500213966</v>
      </c>
    </row>
    <row r="9746" spans="1:1" x14ac:dyDescent="0.35">
      <c r="A9746" s="4">
        <v>4500213970</v>
      </c>
    </row>
    <row r="9747" spans="1:1" x14ac:dyDescent="0.35">
      <c r="A9747" s="4">
        <v>4500213976</v>
      </c>
    </row>
    <row r="9748" spans="1:1" x14ac:dyDescent="0.35">
      <c r="A9748" s="4">
        <v>4500213981</v>
      </c>
    </row>
    <row r="9749" spans="1:1" x14ac:dyDescent="0.35">
      <c r="A9749" s="4">
        <v>4500213985</v>
      </c>
    </row>
    <row r="9750" spans="1:1" x14ac:dyDescent="0.35">
      <c r="A9750" s="4">
        <v>4500213992</v>
      </c>
    </row>
    <row r="9751" spans="1:1" x14ac:dyDescent="0.35">
      <c r="A9751" s="4">
        <v>4500213999</v>
      </c>
    </row>
    <row r="9752" spans="1:1" x14ac:dyDescent="0.35">
      <c r="A9752" s="4">
        <v>4500214001</v>
      </c>
    </row>
    <row r="9753" spans="1:1" x14ac:dyDescent="0.35">
      <c r="A9753" s="4">
        <v>4500214004</v>
      </c>
    </row>
    <row r="9754" spans="1:1" x14ac:dyDescent="0.35">
      <c r="A9754" s="4">
        <v>4500214006</v>
      </c>
    </row>
    <row r="9755" spans="1:1" x14ac:dyDescent="0.35">
      <c r="A9755" s="4">
        <v>4500214117</v>
      </c>
    </row>
    <row r="9756" spans="1:1" x14ac:dyDescent="0.35">
      <c r="A9756" s="4">
        <v>4500214121</v>
      </c>
    </row>
    <row r="9757" spans="1:1" x14ac:dyDescent="0.35">
      <c r="A9757" s="4">
        <v>4500214131</v>
      </c>
    </row>
    <row r="9758" spans="1:1" x14ac:dyDescent="0.35">
      <c r="A9758" s="4">
        <v>4500214142</v>
      </c>
    </row>
    <row r="9759" spans="1:1" x14ac:dyDescent="0.35">
      <c r="A9759" s="4">
        <v>4500214149</v>
      </c>
    </row>
    <row r="9760" spans="1:1" x14ac:dyDescent="0.35">
      <c r="A9760" s="4">
        <v>4500214152</v>
      </c>
    </row>
    <row r="9761" spans="1:1" x14ac:dyDescent="0.35">
      <c r="A9761" s="4">
        <v>4500214173</v>
      </c>
    </row>
    <row r="9762" spans="1:1" x14ac:dyDescent="0.35">
      <c r="A9762" s="4">
        <v>4500214178</v>
      </c>
    </row>
    <row r="9763" spans="1:1" x14ac:dyDescent="0.35">
      <c r="A9763" s="4">
        <v>4500214184</v>
      </c>
    </row>
    <row r="9764" spans="1:1" x14ac:dyDescent="0.35">
      <c r="A9764" s="4">
        <v>4500214191</v>
      </c>
    </row>
    <row r="9765" spans="1:1" x14ac:dyDescent="0.35">
      <c r="A9765" s="4">
        <v>4500214196</v>
      </c>
    </row>
    <row r="9766" spans="1:1" x14ac:dyDescent="0.35">
      <c r="A9766" s="4">
        <v>4500214203</v>
      </c>
    </row>
    <row r="9767" spans="1:1" x14ac:dyDescent="0.35">
      <c r="A9767" s="4">
        <v>4500214210</v>
      </c>
    </row>
    <row r="9768" spans="1:1" x14ac:dyDescent="0.35">
      <c r="A9768" s="4">
        <v>4500214216</v>
      </c>
    </row>
    <row r="9769" spans="1:1" x14ac:dyDescent="0.35">
      <c r="A9769" s="4">
        <v>4500214217</v>
      </c>
    </row>
    <row r="9770" spans="1:1" x14ac:dyDescent="0.35">
      <c r="A9770" s="4">
        <v>4500214218</v>
      </c>
    </row>
    <row r="9771" spans="1:1" x14ac:dyDescent="0.35">
      <c r="A9771" s="4">
        <v>4500214219</v>
      </c>
    </row>
    <row r="9772" spans="1:1" x14ac:dyDescent="0.35">
      <c r="A9772" s="4">
        <v>4500214220</v>
      </c>
    </row>
    <row r="9773" spans="1:1" x14ac:dyDescent="0.35">
      <c r="A9773" s="4">
        <v>4500214221</v>
      </c>
    </row>
    <row r="9774" spans="1:1" x14ac:dyDescent="0.35">
      <c r="A9774" s="4">
        <v>4500214325</v>
      </c>
    </row>
    <row r="9775" spans="1:1" x14ac:dyDescent="0.35">
      <c r="A9775" s="4">
        <v>4500214329</v>
      </c>
    </row>
    <row r="9776" spans="1:1" x14ac:dyDescent="0.35">
      <c r="A9776" s="4">
        <v>4500214333</v>
      </c>
    </row>
    <row r="9777" spans="1:1" x14ac:dyDescent="0.35">
      <c r="A9777" s="4">
        <v>4500214342</v>
      </c>
    </row>
    <row r="9778" spans="1:1" x14ac:dyDescent="0.35">
      <c r="A9778" s="4">
        <v>4500214352</v>
      </c>
    </row>
    <row r="9779" spans="1:1" x14ac:dyDescent="0.35">
      <c r="A9779" s="4">
        <v>4500214357</v>
      </c>
    </row>
    <row r="9780" spans="1:1" x14ac:dyDescent="0.35">
      <c r="A9780" s="4">
        <v>4500214367</v>
      </c>
    </row>
    <row r="9781" spans="1:1" x14ac:dyDescent="0.35">
      <c r="A9781" s="4">
        <v>4500214369</v>
      </c>
    </row>
    <row r="9782" spans="1:1" x14ac:dyDescent="0.35">
      <c r="A9782" s="4">
        <v>4500214375</v>
      </c>
    </row>
    <row r="9783" spans="1:1" x14ac:dyDescent="0.35">
      <c r="A9783" s="4">
        <v>4500214379</v>
      </c>
    </row>
    <row r="9784" spans="1:1" x14ac:dyDescent="0.35">
      <c r="A9784" s="4">
        <v>4500214382</v>
      </c>
    </row>
    <row r="9785" spans="1:1" x14ac:dyDescent="0.35">
      <c r="A9785" s="4">
        <v>4500214390</v>
      </c>
    </row>
    <row r="9786" spans="1:1" x14ac:dyDescent="0.35">
      <c r="A9786" s="4">
        <v>4500214395</v>
      </c>
    </row>
    <row r="9787" spans="1:1" x14ac:dyDescent="0.35">
      <c r="A9787" s="4">
        <v>4500214402</v>
      </c>
    </row>
    <row r="9788" spans="1:1" x14ac:dyDescent="0.35">
      <c r="A9788" s="4">
        <v>4500214407</v>
      </c>
    </row>
    <row r="9789" spans="1:1" x14ac:dyDescent="0.35">
      <c r="A9789" s="4">
        <v>4500214415</v>
      </c>
    </row>
    <row r="9790" spans="1:1" x14ac:dyDescent="0.35">
      <c r="A9790" s="4">
        <v>4500214418</v>
      </c>
    </row>
    <row r="9791" spans="1:1" x14ac:dyDescent="0.35">
      <c r="A9791" s="4">
        <v>4500214422</v>
      </c>
    </row>
    <row r="9792" spans="1:1" x14ac:dyDescent="0.35">
      <c r="A9792" s="4">
        <v>4500214424</v>
      </c>
    </row>
    <row r="9793" spans="1:1" x14ac:dyDescent="0.35">
      <c r="A9793" s="4">
        <v>4500214430</v>
      </c>
    </row>
    <row r="9794" spans="1:1" x14ac:dyDescent="0.35">
      <c r="A9794" s="4">
        <v>4500214434</v>
      </c>
    </row>
    <row r="9795" spans="1:1" x14ac:dyDescent="0.35">
      <c r="A9795" s="4">
        <v>4500214436</v>
      </c>
    </row>
    <row r="9796" spans="1:1" x14ac:dyDescent="0.35">
      <c r="A9796" s="4">
        <v>4500214439</v>
      </c>
    </row>
    <row r="9797" spans="1:1" x14ac:dyDescent="0.35">
      <c r="A9797" s="4">
        <v>4500214440</v>
      </c>
    </row>
    <row r="9798" spans="1:1" x14ac:dyDescent="0.35">
      <c r="A9798" s="4">
        <v>4500214442</v>
      </c>
    </row>
    <row r="9799" spans="1:1" x14ac:dyDescent="0.35">
      <c r="A9799" s="4">
        <v>4500214443</v>
      </c>
    </row>
    <row r="9800" spans="1:1" x14ac:dyDescent="0.35">
      <c r="A9800" s="4">
        <v>4500214449</v>
      </c>
    </row>
    <row r="9801" spans="1:1" x14ac:dyDescent="0.35">
      <c r="A9801" s="4">
        <v>4500214451</v>
      </c>
    </row>
    <row r="9802" spans="1:1" x14ac:dyDescent="0.35">
      <c r="A9802" s="4">
        <v>4500214555</v>
      </c>
    </row>
    <row r="9803" spans="1:1" x14ac:dyDescent="0.35">
      <c r="A9803" s="4">
        <v>4500214560</v>
      </c>
    </row>
    <row r="9804" spans="1:1" x14ac:dyDescent="0.35">
      <c r="A9804" s="4">
        <v>4500214563</v>
      </c>
    </row>
    <row r="9805" spans="1:1" x14ac:dyDescent="0.35">
      <c r="A9805" s="4">
        <v>4500214566</v>
      </c>
    </row>
    <row r="9806" spans="1:1" x14ac:dyDescent="0.35">
      <c r="A9806" s="4">
        <v>4500214570</v>
      </c>
    </row>
    <row r="9807" spans="1:1" x14ac:dyDescent="0.35">
      <c r="A9807" s="4">
        <v>4500214573</v>
      </c>
    </row>
    <row r="9808" spans="1:1" x14ac:dyDescent="0.35">
      <c r="A9808" s="4">
        <v>4500214579</v>
      </c>
    </row>
    <row r="9809" spans="1:1" x14ac:dyDescent="0.35">
      <c r="A9809" s="4">
        <v>4500214584</v>
      </c>
    </row>
    <row r="9810" spans="1:1" x14ac:dyDescent="0.35">
      <c r="A9810" s="4">
        <v>4500214586</v>
      </c>
    </row>
    <row r="9811" spans="1:1" x14ac:dyDescent="0.35">
      <c r="A9811" s="4">
        <v>4500214592</v>
      </c>
    </row>
    <row r="9812" spans="1:1" x14ac:dyDescent="0.35">
      <c r="A9812" s="4">
        <v>4500214597</v>
      </c>
    </row>
    <row r="9813" spans="1:1" x14ac:dyDescent="0.35">
      <c r="A9813" s="4">
        <v>4500214602</v>
      </c>
    </row>
    <row r="9814" spans="1:1" x14ac:dyDescent="0.35">
      <c r="A9814" s="4">
        <v>4500214606</v>
      </c>
    </row>
    <row r="9815" spans="1:1" x14ac:dyDescent="0.35">
      <c r="A9815" s="4">
        <v>4500214610</v>
      </c>
    </row>
    <row r="9816" spans="1:1" x14ac:dyDescent="0.35">
      <c r="A9816" s="4">
        <v>4500214616</v>
      </c>
    </row>
    <row r="9817" spans="1:1" x14ac:dyDescent="0.35">
      <c r="A9817" s="4">
        <v>4500214619</v>
      </c>
    </row>
    <row r="9818" spans="1:1" x14ac:dyDescent="0.35">
      <c r="A9818" s="4">
        <v>4500214623</v>
      </c>
    </row>
    <row r="9819" spans="1:1" x14ac:dyDescent="0.35">
      <c r="A9819" s="4">
        <v>4500214626</v>
      </c>
    </row>
    <row r="9820" spans="1:1" x14ac:dyDescent="0.35">
      <c r="A9820" s="4">
        <v>4500214630</v>
      </c>
    </row>
    <row r="9821" spans="1:1" x14ac:dyDescent="0.35">
      <c r="A9821" s="4">
        <v>4500214637</v>
      </c>
    </row>
    <row r="9822" spans="1:1" x14ac:dyDescent="0.35">
      <c r="A9822" s="4">
        <v>4500214640</v>
      </c>
    </row>
    <row r="9823" spans="1:1" x14ac:dyDescent="0.35">
      <c r="A9823" s="4">
        <v>4500214642</v>
      </c>
    </row>
    <row r="9824" spans="1:1" x14ac:dyDescent="0.35">
      <c r="A9824" s="4">
        <v>4500214643</v>
      </c>
    </row>
    <row r="9825" spans="1:1" x14ac:dyDescent="0.35">
      <c r="A9825" s="4">
        <v>4500214645</v>
      </c>
    </row>
    <row r="9826" spans="1:1" x14ac:dyDescent="0.35">
      <c r="A9826" s="4">
        <v>4500214646</v>
      </c>
    </row>
    <row r="9827" spans="1:1" x14ac:dyDescent="0.35">
      <c r="A9827" s="4">
        <v>4500214648</v>
      </c>
    </row>
    <row r="9828" spans="1:1" x14ac:dyDescent="0.35">
      <c r="A9828" s="4">
        <v>4500214649</v>
      </c>
    </row>
    <row r="9829" spans="1:1" x14ac:dyDescent="0.35">
      <c r="A9829" s="4">
        <v>4500214653</v>
      </c>
    </row>
    <row r="9830" spans="1:1" x14ac:dyDescent="0.35">
      <c r="A9830" s="4">
        <v>4500214654</v>
      </c>
    </row>
    <row r="9831" spans="1:1" x14ac:dyDescent="0.35">
      <c r="A9831" s="4">
        <v>4500214661</v>
      </c>
    </row>
    <row r="9832" spans="1:1" x14ac:dyDescent="0.35">
      <c r="A9832" s="4">
        <v>4500214740</v>
      </c>
    </row>
    <row r="9833" spans="1:1" x14ac:dyDescent="0.35">
      <c r="A9833" s="4">
        <v>4500214756</v>
      </c>
    </row>
    <row r="9834" spans="1:1" x14ac:dyDescent="0.35">
      <c r="A9834" s="4">
        <v>4500214762</v>
      </c>
    </row>
    <row r="9835" spans="1:1" x14ac:dyDescent="0.35">
      <c r="A9835" s="4">
        <v>4500214768</v>
      </c>
    </row>
    <row r="9836" spans="1:1" x14ac:dyDescent="0.35">
      <c r="A9836" s="4">
        <v>4500214780</v>
      </c>
    </row>
    <row r="9837" spans="1:1" x14ac:dyDescent="0.35">
      <c r="A9837" s="4">
        <v>4500214783</v>
      </c>
    </row>
    <row r="9838" spans="1:1" x14ac:dyDescent="0.35">
      <c r="A9838" s="4">
        <v>4500214792</v>
      </c>
    </row>
    <row r="9839" spans="1:1" x14ac:dyDescent="0.35">
      <c r="A9839" s="4">
        <v>4500214795</v>
      </c>
    </row>
    <row r="9840" spans="1:1" x14ac:dyDescent="0.35">
      <c r="A9840" s="4">
        <v>4500214800</v>
      </c>
    </row>
    <row r="9841" spans="1:1" x14ac:dyDescent="0.35">
      <c r="A9841" s="4">
        <v>4500214804</v>
      </c>
    </row>
    <row r="9842" spans="1:1" x14ac:dyDescent="0.35">
      <c r="A9842" s="4">
        <v>4500214806</v>
      </c>
    </row>
    <row r="9843" spans="1:1" x14ac:dyDescent="0.35">
      <c r="A9843" s="4">
        <v>4500214811</v>
      </c>
    </row>
    <row r="9844" spans="1:1" x14ac:dyDescent="0.35">
      <c r="A9844" s="4">
        <v>4500214814</v>
      </c>
    </row>
    <row r="9845" spans="1:1" x14ac:dyDescent="0.35">
      <c r="A9845" s="4">
        <v>4500214819</v>
      </c>
    </row>
    <row r="9846" spans="1:1" x14ac:dyDescent="0.35">
      <c r="A9846" s="4">
        <v>4500214829</v>
      </c>
    </row>
    <row r="9847" spans="1:1" x14ac:dyDescent="0.35">
      <c r="A9847" s="4">
        <v>4500214838</v>
      </c>
    </row>
    <row r="9848" spans="1:1" x14ac:dyDescent="0.35">
      <c r="A9848" s="4">
        <v>4500214840</v>
      </c>
    </row>
    <row r="9849" spans="1:1" x14ac:dyDescent="0.35">
      <c r="A9849" s="4">
        <v>4500214848</v>
      </c>
    </row>
    <row r="9850" spans="1:1" x14ac:dyDescent="0.35">
      <c r="A9850" s="4">
        <v>4500214852</v>
      </c>
    </row>
    <row r="9851" spans="1:1" x14ac:dyDescent="0.35">
      <c r="A9851" s="4">
        <v>4500214855</v>
      </c>
    </row>
    <row r="9852" spans="1:1" x14ac:dyDescent="0.35">
      <c r="A9852" s="4">
        <v>4500214859</v>
      </c>
    </row>
    <row r="9853" spans="1:1" x14ac:dyDescent="0.35">
      <c r="A9853" s="4">
        <v>4500214862</v>
      </c>
    </row>
    <row r="9854" spans="1:1" x14ac:dyDescent="0.35">
      <c r="A9854" s="4">
        <v>4500214870</v>
      </c>
    </row>
    <row r="9855" spans="1:1" x14ac:dyDescent="0.35">
      <c r="A9855" s="4">
        <v>4500214874</v>
      </c>
    </row>
    <row r="9856" spans="1:1" x14ac:dyDescent="0.35">
      <c r="A9856" s="4">
        <v>4500214877</v>
      </c>
    </row>
    <row r="9857" spans="1:1" x14ac:dyDescent="0.35">
      <c r="A9857" s="4">
        <v>4500214893</v>
      </c>
    </row>
    <row r="9858" spans="1:1" x14ac:dyDescent="0.35">
      <c r="A9858" s="4">
        <v>4500214896</v>
      </c>
    </row>
    <row r="9859" spans="1:1" x14ac:dyDescent="0.35">
      <c r="A9859" s="4">
        <v>4500214900</v>
      </c>
    </row>
    <row r="9860" spans="1:1" x14ac:dyDescent="0.35">
      <c r="A9860" s="4">
        <v>4500214992</v>
      </c>
    </row>
    <row r="9861" spans="1:1" x14ac:dyDescent="0.35">
      <c r="A9861" s="4">
        <v>4500215008</v>
      </c>
    </row>
    <row r="9862" spans="1:1" x14ac:dyDescent="0.35">
      <c r="A9862" s="4">
        <v>4500215013</v>
      </c>
    </row>
    <row r="9863" spans="1:1" x14ac:dyDescent="0.35">
      <c r="A9863" s="4">
        <v>4500215018</v>
      </c>
    </row>
    <row r="9864" spans="1:1" x14ac:dyDescent="0.35">
      <c r="A9864" s="4">
        <v>4500215019</v>
      </c>
    </row>
    <row r="9865" spans="1:1" x14ac:dyDescent="0.35">
      <c r="A9865" s="4">
        <v>4500215025</v>
      </c>
    </row>
    <row r="9866" spans="1:1" x14ac:dyDescent="0.35">
      <c r="A9866" s="4">
        <v>4500215030</v>
      </c>
    </row>
    <row r="9867" spans="1:1" x14ac:dyDescent="0.35">
      <c r="A9867" s="4">
        <v>4500215038</v>
      </c>
    </row>
    <row r="9868" spans="1:1" x14ac:dyDescent="0.35">
      <c r="A9868" s="4">
        <v>4500215049</v>
      </c>
    </row>
    <row r="9869" spans="1:1" x14ac:dyDescent="0.35">
      <c r="A9869" s="4">
        <v>4500215054</v>
      </c>
    </row>
    <row r="9870" spans="1:1" x14ac:dyDescent="0.35">
      <c r="A9870" s="4">
        <v>4500215060</v>
      </c>
    </row>
    <row r="9871" spans="1:1" x14ac:dyDescent="0.35">
      <c r="A9871" s="4">
        <v>4500215066</v>
      </c>
    </row>
    <row r="9872" spans="1:1" x14ac:dyDescent="0.35">
      <c r="A9872" s="4">
        <v>4500215074</v>
      </c>
    </row>
    <row r="9873" spans="1:1" x14ac:dyDescent="0.35">
      <c r="A9873" s="4">
        <v>4500215078</v>
      </c>
    </row>
    <row r="9874" spans="1:1" x14ac:dyDescent="0.35">
      <c r="A9874" s="4">
        <v>4500215086</v>
      </c>
    </row>
    <row r="9875" spans="1:1" x14ac:dyDescent="0.35">
      <c r="A9875" s="4">
        <v>4500215091</v>
      </c>
    </row>
    <row r="9876" spans="1:1" x14ac:dyDescent="0.35">
      <c r="A9876" s="4">
        <v>4500215095</v>
      </c>
    </row>
    <row r="9877" spans="1:1" x14ac:dyDescent="0.35">
      <c r="A9877" s="4">
        <v>4500215099</v>
      </c>
    </row>
    <row r="9878" spans="1:1" x14ac:dyDescent="0.35">
      <c r="A9878" s="4">
        <v>4500215104</v>
      </c>
    </row>
    <row r="9879" spans="1:1" x14ac:dyDescent="0.35">
      <c r="A9879" s="4">
        <v>4500215108</v>
      </c>
    </row>
    <row r="9880" spans="1:1" x14ac:dyDescent="0.35">
      <c r="A9880" s="4">
        <v>4500215111</v>
      </c>
    </row>
    <row r="9881" spans="1:1" x14ac:dyDescent="0.35">
      <c r="A9881" s="4">
        <v>4500215130</v>
      </c>
    </row>
    <row r="9882" spans="1:1" x14ac:dyDescent="0.35">
      <c r="A9882" s="4">
        <v>4500215131</v>
      </c>
    </row>
    <row r="9883" spans="1:1" x14ac:dyDescent="0.35">
      <c r="A9883" s="4">
        <v>4500215132</v>
      </c>
    </row>
    <row r="9884" spans="1:1" x14ac:dyDescent="0.35">
      <c r="A9884" s="4">
        <v>4500215254</v>
      </c>
    </row>
    <row r="9885" spans="1:1" x14ac:dyDescent="0.35">
      <c r="A9885" s="4">
        <v>4500215260</v>
      </c>
    </row>
    <row r="9886" spans="1:1" x14ac:dyDescent="0.35">
      <c r="A9886" s="4">
        <v>4500215273</v>
      </c>
    </row>
    <row r="9887" spans="1:1" x14ac:dyDescent="0.35">
      <c r="A9887" s="4">
        <v>4500215287</v>
      </c>
    </row>
    <row r="9888" spans="1:1" x14ac:dyDescent="0.35">
      <c r="A9888" s="4">
        <v>4500215300</v>
      </c>
    </row>
    <row r="9889" spans="1:1" x14ac:dyDescent="0.35">
      <c r="A9889" s="4">
        <v>4500215315</v>
      </c>
    </row>
    <row r="9890" spans="1:1" x14ac:dyDescent="0.35">
      <c r="A9890" s="4">
        <v>4500215319</v>
      </c>
    </row>
    <row r="9891" spans="1:1" x14ac:dyDescent="0.35">
      <c r="A9891" s="4">
        <v>4500215325</v>
      </c>
    </row>
    <row r="9892" spans="1:1" x14ac:dyDescent="0.35">
      <c r="A9892" s="4">
        <v>4500215327</v>
      </c>
    </row>
    <row r="9893" spans="1:1" x14ac:dyDescent="0.35">
      <c r="A9893" s="4">
        <v>4500215331</v>
      </c>
    </row>
    <row r="9894" spans="1:1" x14ac:dyDescent="0.35">
      <c r="A9894" s="4">
        <v>4500215333</v>
      </c>
    </row>
    <row r="9895" spans="1:1" x14ac:dyDescent="0.35">
      <c r="A9895" s="4">
        <v>4500215339</v>
      </c>
    </row>
    <row r="9896" spans="1:1" x14ac:dyDescent="0.35">
      <c r="A9896" s="4">
        <v>4500215341</v>
      </c>
    </row>
    <row r="9897" spans="1:1" x14ac:dyDescent="0.35">
      <c r="A9897" s="4">
        <v>4500215347</v>
      </c>
    </row>
    <row r="9898" spans="1:1" x14ac:dyDescent="0.35">
      <c r="A9898" s="4">
        <v>4500215351</v>
      </c>
    </row>
    <row r="9899" spans="1:1" x14ac:dyDescent="0.35">
      <c r="A9899" s="4">
        <v>4500215353</v>
      </c>
    </row>
    <row r="9900" spans="1:1" x14ac:dyDescent="0.35">
      <c r="A9900" s="4">
        <v>4500215355</v>
      </c>
    </row>
    <row r="9901" spans="1:1" x14ac:dyDescent="0.35">
      <c r="A9901" s="4">
        <v>4500215357</v>
      </c>
    </row>
    <row r="9902" spans="1:1" x14ac:dyDescent="0.35">
      <c r="A9902" s="4">
        <v>4500215362</v>
      </c>
    </row>
    <row r="9903" spans="1:1" x14ac:dyDescent="0.35">
      <c r="A9903" s="4">
        <v>4500215364</v>
      </c>
    </row>
    <row r="9904" spans="1:1" x14ac:dyDescent="0.35">
      <c r="A9904" s="4">
        <v>4500215366</v>
      </c>
    </row>
    <row r="9905" spans="1:1" x14ac:dyDescent="0.35">
      <c r="A9905" s="4">
        <v>4500215452</v>
      </c>
    </row>
    <row r="9906" spans="1:1" x14ac:dyDescent="0.35">
      <c r="A9906" s="4">
        <v>4500215458</v>
      </c>
    </row>
    <row r="9907" spans="1:1" x14ac:dyDescent="0.35">
      <c r="A9907" s="4">
        <v>4500215465</v>
      </c>
    </row>
    <row r="9908" spans="1:1" x14ac:dyDescent="0.35">
      <c r="A9908" s="4">
        <v>4500215477</v>
      </c>
    </row>
    <row r="9909" spans="1:1" x14ac:dyDescent="0.35">
      <c r="A9909" s="4">
        <v>4500215489</v>
      </c>
    </row>
    <row r="9910" spans="1:1" x14ac:dyDescent="0.35">
      <c r="A9910" s="4">
        <v>4500215496</v>
      </c>
    </row>
    <row r="9911" spans="1:1" x14ac:dyDescent="0.35">
      <c r="A9911" s="4">
        <v>4500215502</v>
      </c>
    </row>
    <row r="9912" spans="1:1" x14ac:dyDescent="0.35">
      <c r="A9912" s="4">
        <v>4500215510</v>
      </c>
    </row>
    <row r="9913" spans="1:1" x14ac:dyDescent="0.35">
      <c r="A9913" s="4">
        <v>4500215516</v>
      </c>
    </row>
    <row r="9914" spans="1:1" x14ac:dyDescent="0.35">
      <c r="A9914" s="4">
        <v>4500215522</v>
      </c>
    </row>
    <row r="9915" spans="1:1" x14ac:dyDescent="0.35">
      <c r="A9915" s="4">
        <v>4500215525</v>
      </c>
    </row>
    <row r="9916" spans="1:1" x14ac:dyDescent="0.35">
      <c r="A9916" s="4">
        <v>4500215529</v>
      </c>
    </row>
    <row r="9917" spans="1:1" x14ac:dyDescent="0.35">
      <c r="A9917" s="4">
        <v>4500215534</v>
      </c>
    </row>
    <row r="9918" spans="1:1" x14ac:dyDescent="0.35">
      <c r="A9918" s="4">
        <v>4500215537</v>
      </c>
    </row>
    <row r="9919" spans="1:1" x14ac:dyDescent="0.35">
      <c r="A9919" s="4">
        <v>4500215546</v>
      </c>
    </row>
    <row r="9920" spans="1:1" x14ac:dyDescent="0.35">
      <c r="A9920" s="4">
        <v>4500215547</v>
      </c>
    </row>
    <row r="9921" spans="1:1" x14ac:dyDescent="0.35">
      <c r="A9921" s="4">
        <v>4500215548</v>
      </c>
    </row>
    <row r="9922" spans="1:1" x14ac:dyDescent="0.35">
      <c r="A9922" s="4">
        <v>4500215549</v>
      </c>
    </row>
    <row r="9923" spans="1:1" x14ac:dyDescent="0.35">
      <c r="A9923" s="4">
        <v>4500215550</v>
      </c>
    </row>
    <row r="9924" spans="1:1" x14ac:dyDescent="0.35">
      <c r="A9924" s="4">
        <v>4500215551</v>
      </c>
    </row>
    <row r="9925" spans="1:1" x14ac:dyDescent="0.35">
      <c r="A9925" s="4">
        <v>4500215552</v>
      </c>
    </row>
    <row r="9926" spans="1:1" x14ac:dyDescent="0.35">
      <c r="A9926" s="4">
        <v>4500215559</v>
      </c>
    </row>
    <row r="9927" spans="1:1" x14ac:dyDescent="0.35">
      <c r="A9927" s="4">
        <v>4500215560</v>
      </c>
    </row>
    <row r="9928" spans="1:1" x14ac:dyDescent="0.35">
      <c r="A9928" s="4">
        <v>4500215637</v>
      </c>
    </row>
    <row r="9929" spans="1:1" x14ac:dyDescent="0.35">
      <c r="A9929" s="4">
        <v>4500215640</v>
      </c>
    </row>
    <row r="9930" spans="1:1" x14ac:dyDescent="0.35">
      <c r="A9930" s="4">
        <v>4500215641</v>
      </c>
    </row>
    <row r="9931" spans="1:1" x14ac:dyDescent="0.35">
      <c r="A9931" s="4">
        <v>4500215647</v>
      </c>
    </row>
    <row r="9932" spans="1:1" x14ac:dyDescent="0.35">
      <c r="A9932" s="4">
        <v>4500215653</v>
      </c>
    </row>
    <row r="9933" spans="1:1" x14ac:dyDescent="0.35">
      <c r="A9933" s="4">
        <v>4500215659</v>
      </c>
    </row>
    <row r="9934" spans="1:1" x14ac:dyDescent="0.35">
      <c r="A9934" s="4">
        <v>4500215663</v>
      </c>
    </row>
    <row r="9935" spans="1:1" x14ac:dyDescent="0.35">
      <c r="A9935" s="4">
        <v>4500215665</v>
      </c>
    </row>
    <row r="9936" spans="1:1" x14ac:dyDescent="0.35">
      <c r="A9936" s="4">
        <v>4500215682</v>
      </c>
    </row>
    <row r="9937" spans="1:1" x14ac:dyDescent="0.35">
      <c r="A9937" s="4">
        <v>4500215686</v>
      </c>
    </row>
    <row r="9938" spans="1:1" x14ac:dyDescent="0.35">
      <c r="A9938" s="4">
        <v>4500215689</v>
      </c>
    </row>
    <row r="9939" spans="1:1" x14ac:dyDescent="0.35">
      <c r="A9939" s="4">
        <v>4500215692</v>
      </c>
    </row>
    <row r="9940" spans="1:1" x14ac:dyDescent="0.35">
      <c r="A9940" s="4">
        <v>4500215703</v>
      </c>
    </row>
    <row r="9941" spans="1:1" x14ac:dyDescent="0.35">
      <c r="A9941" s="4">
        <v>4500215707</v>
      </c>
    </row>
    <row r="9942" spans="1:1" x14ac:dyDescent="0.35">
      <c r="A9942" s="4">
        <v>4500215716</v>
      </c>
    </row>
    <row r="9943" spans="1:1" x14ac:dyDescent="0.35">
      <c r="A9943" s="4">
        <v>4500215722</v>
      </c>
    </row>
    <row r="9944" spans="1:1" x14ac:dyDescent="0.35">
      <c r="A9944" s="4">
        <v>4500215727</v>
      </c>
    </row>
    <row r="9945" spans="1:1" x14ac:dyDescent="0.35">
      <c r="A9945" s="4">
        <v>4500215731</v>
      </c>
    </row>
    <row r="9946" spans="1:1" x14ac:dyDescent="0.35">
      <c r="A9946" s="4">
        <v>4500215734</v>
      </c>
    </row>
    <row r="9947" spans="1:1" x14ac:dyDescent="0.35">
      <c r="A9947" s="4">
        <v>4500215741</v>
      </c>
    </row>
    <row r="9948" spans="1:1" x14ac:dyDescent="0.35">
      <c r="A9948" s="4">
        <v>4500215744</v>
      </c>
    </row>
    <row r="9949" spans="1:1" x14ac:dyDescent="0.35">
      <c r="A9949" s="4">
        <v>4500215747</v>
      </c>
    </row>
    <row r="9950" spans="1:1" x14ac:dyDescent="0.35">
      <c r="A9950" s="4">
        <v>4500215751</v>
      </c>
    </row>
    <row r="9951" spans="1:1" x14ac:dyDescent="0.35">
      <c r="A9951" s="4">
        <v>4500215752</v>
      </c>
    </row>
    <row r="9952" spans="1:1" x14ac:dyDescent="0.35">
      <c r="A9952" s="4">
        <v>4500215756</v>
      </c>
    </row>
    <row r="9953" spans="1:1" x14ac:dyDescent="0.35">
      <c r="A9953" s="4">
        <v>4500215761</v>
      </c>
    </row>
    <row r="9954" spans="1:1" x14ac:dyDescent="0.35">
      <c r="A9954" s="4">
        <v>4500215769</v>
      </c>
    </row>
    <row r="9955" spans="1:1" x14ac:dyDescent="0.35">
      <c r="A9955" s="4">
        <v>4500215869</v>
      </c>
    </row>
    <row r="9956" spans="1:1" x14ac:dyDescent="0.35">
      <c r="A9956" s="4">
        <v>4500215876</v>
      </c>
    </row>
    <row r="9957" spans="1:1" x14ac:dyDescent="0.35">
      <c r="A9957" s="4">
        <v>4500215886</v>
      </c>
    </row>
    <row r="9958" spans="1:1" x14ac:dyDescent="0.35">
      <c r="A9958" s="4">
        <v>4500215891</v>
      </c>
    </row>
    <row r="9959" spans="1:1" x14ac:dyDescent="0.35">
      <c r="A9959" s="4">
        <v>4500215897</v>
      </c>
    </row>
    <row r="9960" spans="1:1" x14ac:dyDescent="0.35">
      <c r="A9960" s="4">
        <v>4500215907</v>
      </c>
    </row>
    <row r="9961" spans="1:1" x14ac:dyDescent="0.35">
      <c r="A9961" s="4">
        <v>4500215911</v>
      </c>
    </row>
    <row r="9962" spans="1:1" x14ac:dyDescent="0.35">
      <c r="A9962" s="4">
        <v>4500215914</v>
      </c>
    </row>
    <row r="9963" spans="1:1" x14ac:dyDescent="0.35">
      <c r="A9963" s="4">
        <v>4500215919</v>
      </c>
    </row>
    <row r="9964" spans="1:1" x14ac:dyDescent="0.35">
      <c r="A9964" s="4">
        <v>4500215920</v>
      </c>
    </row>
    <row r="9965" spans="1:1" x14ac:dyDescent="0.35">
      <c r="A9965" s="4">
        <v>4500215924</v>
      </c>
    </row>
    <row r="9966" spans="1:1" x14ac:dyDescent="0.35">
      <c r="A9966" s="4">
        <v>4500215930</v>
      </c>
    </row>
    <row r="9967" spans="1:1" x14ac:dyDescent="0.35">
      <c r="A9967" s="4">
        <v>4500215931</v>
      </c>
    </row>
    <row r="9968" spans="1:1" x14ac:dyDescent="0.35">
      <c r="A9968" s="4">
        <v>4500215935</v>
      </c>
    </row>
    <row r="9969" spans="1:1" x14ac:dyDescent="0.35">
      <c r="A9969" s="4">
        <v>4500215941</v>
      </c>
    </row>
    <row r="9970" spans="1:1" x14ac:dyDescent="0.35">
      <c r="A9970" s="4">
        <v>4500215944</v>
      </c>
    </row>
    <row r="9971" spans="1:1" x14ac:dyDescent="0.35">
      <c r="A9971" s="4">
        <v>4500215951</v>
      </c>
    </row>
    <row r="9972" spans="1:1" x14ac:dyDescent="0.35">
      <c r="A9972" s="4">
        <v>4500215955</v>
      </c>
    </row>
    <row r="9973" spans="1:1" x14ac:dyDescent="0.35">
      <c r="A9973" s="4">
        <v>4500215961</v>
      </c>
    </row>
    <row r="9974" spans="1:1" x14ac:dyDescent="0.35">
      <c r="A9974" s="4">
        <v>4500215967</v>
      </c>
    </row>
    <row r="9975" spans="1:1" x14ac:dyDescent="0.35">
      <c r="A9975" s="4">
        <v>4500215971</v>
      </c>
    </row>
    <row r="9976" spans="1:1" x14ac:dyDescent="0.35">
      <c r="A9976" s="4">
        <v>4500215974</v>
      </c>
    </row>
    <row r="9977" spans="1:1" x14ac:dyDescent="0.35">
      <c r="A9977" s="4">
        <v>4500215977</v>
      </c>
    </row>
    <row r="9978" spans="1:1" x14ac:dyDescent="0.35">
      <c r="A9978" s="4">
        <v>4500215980</v>
      </c>
    </row>
    <row r="9979" spans="1:1" x14ac:dyDescent="0.35">
      <c r="A9979" s="4">
        <v>4500215982</v>
      </c>
    </row>
    <row r="9980" spans="1:1" x14ac:dyDescent="0.35">
      <c r="A9980" s="4">
        <v>4500215987</v>
      </c>
    </row>
    <row r="9981" spans="1:1" x14ac:dyDescent="0.35">
      <c r="A9981" s="4">
        <v>4500215990</v>
      </c>
    </row>
    <row r="9982" spans="1:1" x14ac:dyDescent="0.35">
      <c r="A9982" s="4">
        <v>4500216093</v>
      </c>
    </row>
    <row r="9983" spans="1:1" x14ac:dyDescent="0.35">
      <c r="A9983" s="4">
        <v>4500216099</v>
      </c>
    </row>
    <row r="9984" spans="1:1" x14ac:dyDescent="0.35">
      <c r="A9984" s="4">
        <v>4500216103</v>
      </c>
    </row>
    <row r="9985" spans="1:1" x14ac:dyDescent="0.35">
      <c r="A9985" s="4">
        <v>4500216108</v>
      </c>
    </row>
    <row r="9986" spans="1:1" x14ac:dyDescent="0.35">
      <c r="A9986" s="4">
        <v>4500216110</v>
      </c>
    </row>
    <row r="9987" spans="1:1" x14ac:dyDescent="0.35">
      <c r="A9987" s="4">
        <v>4500216121</v>
      </c>
    </row>
    <row r="9988" spans="1:1" x14ac:dyDescent="0.35">
      <c r="A9988" s="4">
        <v>4500216126</v>
      </c>
    </row>
    <row r="9989" spans="1:1" x14ac:dyDescent="0.35">
      <c r="A9989" s="4">
        <v>4500216140</v>
      </c>
    </row>
    <row r="9990" spans="1:1" x14ac:dyDescent="0.35">
      <c r="A9990" s="4">
        <v>4500216144</v>
      </c>
    </row>
    <row r="9991" spans="1:1" x14ac:dyDescent="0.35">
      <c r="A9991" s="4">
        <v>4500216157</v>
      </c>
    </row>
    <row r="9992" spans="1:1" x14ac:dyDescent="0.35">
      <c r="A9992" s="4">
        <v>4500216159</v>
      </c>
    </row>
    <row r="9993" spans="1:1" x14ac:dyDescent="0.35">
      <c r="A9993" s="4">
        <v>4500216161</v>
      </c>
    </row>
    <row r="9994" spans="1:1" x14ac:dyDescent="0.35">
      <c r="A9994" s="4">
        <v>4500216164</v>
      </c>
    </row>
    <row r="9995" spans="1:1" x14ac:dyDescent="0.35">
      <c r="A9995" s="4">
        <v>4500216166</v>
      </c>
    </row>
    <row r="9996" spans="1:1" x14ac:dyDescent="0.35">
      <c r="A9996" s="4">
        <v>4500216169</v>
      </c>
    </row>
    <row r="9997" spans="1:1" x14ac:dyDescent="0.35">
      <c r="A9997" s="4">
        <v>4500216205</v>
      </c>
    </row>
    <row r="9998" spans="1:1" x14ac:dyDescent="0.35">
      <c r="A9998" s="4">
        <v>4500216312</v>
      </c>
    </row>
    <row r="9999" spans="1:1" x14ac:dyDescent="0.35">
      <c r="A9999" s="4">
        <v>4500216316</v>
      </c>
    </row>
    <row r="10000" spans="1:1" x14ac:dyDescent="0.35">
      <c r="A10000" s="4">
        <v>4500216320</v>
      </c>
    </row>
    <row r="10001" spans="1:1" x14ac:dyDescent="0.35">
      <c r="A10001" s="4">
        <v>4500216328</v>
      </c>
    </row>
    <row r="10002" spans="1:1" x14ac:dyDescent="0.35">
      <c r="A10002" s="4">
        <v>4500216335</v>
      </c>
    </row>
    <row r="10003" spans="1:1" x14ac:dyDescent="0.35">
      <c r="A10003" s="4">
        <v>4500216340</v>
      </c>
    </row>
    <row r="10004" spans="1:1" x14ac:dyDescent="0.35">
      <c r="A10004" s="4">
        <v>4500216343</v>
      </c>
    </row>
    <row r="10005" spans="1:1" x14ac:dyDescent="0.35">
      <c r="A10005" s="4">
        <v>4500216348</v>
      </c>
    </row>
    <row r="10006" spans="1:1" x14ac:dyDescent="0.35">
      <c r="A10006" s="4">
        <v>4500216356</v>
      </c>
    </row>
    <row r="10007" spans="1:1" x14ac:dyDescent="0.35">
      <c r="A10007" s="4">
        <v>4500216368</v>
      </c>
    </row>
    <row r="10008" spans="1:1" x14ac:dyDescent="0.35">
      <c r="A10008" s="4">
        <v>4500216377</v>
      </c>
    </row>
    <row r="10009" spans="1:1" x14ac:dyDescent="0.35">
      <c r="A10009" s="4">
        <v>4500216383</v>
      </c>
    </row>
    <row r="10010" spans="1:1" x14ac:dyDescent="0.35">
      <c r="A10010" s="4">
        <v>4500216393</v>
      </c>
    </row>
    <row r="10011" spans="1:1" x14ac:dyDescent="0.35">
      <c r="A10011" s="4">
        <v>4500216400</v>
      </c>
    </row>
    <row r="10012" spans="1:1" x14ac:dyDescent="0.35">
      <c r="A10012" s="4">
        <v>4500216404</v>
      </c>
    </row>
    <row r="10013" spans="1:1" x14ac:dyDescent="0.35">
      <c r="A10013" s="4">
        <v>4500216411</v>
      </c>
    </row>
    <row r="10014" spans="1:1" x14ac:dyDescent="0.35">
      <c r="A10014" s="4">
        <v>4500216415</v>
      </c>
    </row>
    <row r="10015" spans="1:1" x14ac:dyDescent="0.35">
      <c r="A10015" s="4">
        <v>4500216417</v>
      </c>
    </row>
    <row r="10016" spans="1:1" x14ac:dyDescent="0.35">
      <c r="A10016" s="4">
        <v>4500216420</v>
      </c>
    </row>
    <row r="10017" spans="1:1" x14ac:dyDescent="0.35">
      <c r="A10017" s="4">
        <v>4500216422</v>
      </c>
    </row>
    <row r="10018" spans="1:1" x14ac:dyDescent="0.35">
      <c r="A10018" s="4">
        <v>4500216423</v>
      </c>
    </row>
    <row r="10019" spans="1:1" x14ac:dyDescent="0.35">
      <c r="A10019" s="4">
        <v>4500216425</v>
      </c>
    </row>
    <row r="10020" spans="1:1" x14ac:dyDescent="0.35">
      <c r="A10020" s="4">
        <v>4500216426</v>
      </c>
    </row>
    <row r="10021" spans="1:1" x14ac:dyDescent="0.35">
      <c r="A10021" s="4">
        <v>4500216540</v>
      </c>
    </row>
    <row r="10022" spans="1:1" x14ac:dyDescent="0.35">
      <c r="A10022" s="4">
        <v>4500216550</v>
      </c>
    </row>
    <row r="10023" spans="1:1" x14ac:dyDescent="0.35">
      <c r="A10023" s="4">
        <v>4500216555</v>
      </c>
    </row>
    <row r="10024" spans="1:1" x14ac:dyDescent="0.35">
      <c r="A10024" s="4">
        <v>4500216560</v>
      </c>
    </row>
    <row r="10025" spans="1:1" x14ac:dyDescent="0.35">
      <c r="A10025" s="4">
        <v>4500216568</v>
      </c>
    </row>
    <row r="10026" spans="1:1" x14ac:dyDescent="0.35">
      <c r="A10026" s="4">
        <v>4500216573</v>
      </c>
    </row>
    <row r="10027" spans="1:1" x14ac:dyDescent="0.35">
      <c r="A10027" s="4">
        <v>4500216578</v>
      </c>
    </row>
    <row r="10028" spans="1:1" x14ac:dyDescent="0.35">
      <c r="A10028" s="4">
        <v>4500216585</v>
      </c>
    </row>
    <row r="10029" spans="1:1" x14ac:dyDescent="0.35">
      <c r="A10029" s="4">
        <v>4500216597</v>
      </c>
    </row>
    <row r="10030" spans="1:1" x14ac:dyDescent="0.35">
      <c r="A10030" s="4">
        <v>4500216602</v>
      </c>
    </row>
    <row r="10031" spans="1:1" x14ac:dyDescent="0.35">
      <c r="A10031" s="4">
        <v>4500216606</v>
      </c>
    </row>
    <row r="10032" spans="1:1" x14ac:dyDescent="0.35">
      <c r="A10032" s="4">
        <v>4500216608</v>
      </c>
    </row>
    <row r="10033" spans="1:1" x14ac:dyDescent="0.35">
      <c r="A10033" s="4">
        <v>4500216611</v>
      </c>
    </row>
    <row r="10034" spans="1:1" x14ac:dyDescent="0.35">
      <c r="A10034" s="4">
        <v>4500216615</v>
      </c>
    </row>
    <row r="10035" spans="1:1" x14ac:dyDescent="0.35">
      <c r="A10035" s="4">
        <v>4500216620</v>
      </c>
    </row>
    <row r="10036" spans="1:1" x14ac:dyDescent="0.35">
      <c r="A10036" s="4">
        <v>4500216622</v>
      </c>
    </row>
    <row r="10037" spans="1:1" x14ac:dyDescent="0.35">
      <c r="A10037" s="4">
        <v>4500216624</v>
      </c>
    </row>
    <row r="10038" spans="1:1" x14ac:dyDescent="0.35">
      <c r="A10038" s="4">
        <v>4500216632</v>
      </c>
    </row>
    <row r="10039" spans="1:1" x14ac:dyDescent="0.35">
      <c r="A10039" s="4">
        <v>4500216633</v>
      </c>
    </row>
    <row r="10040" spans="1:1" x14ac:dyDescent="0.35">
      <c r="A10040" s="4">
        <v>4500216634</v>
      </c>
    </row>
    <row r="10041" spans="1:1" x14ac:dyDescent="0.35">
      <c r="A10041" s="4">
        <v>4500216635</v>
      </c>
    </row>
    <row r="10042" spans="1:1" x14ac:dyDescent="0.35">
      <c r="A10042" s="4">
        <v>4500216636</v>
      </c>
    </row>
    <row r="10043" spans="1:1" x14ac:dyDescent="0.35">
      <c r="A10043" s="4">
        <v>4500216637</v>
      </c>
    </row>
    <row r="10044" spans="1:1" x14ac:dyDescent="0.35">
      <c r="A10044" s="4">
        <v>4500216638</v>
      </c>
    </row>
    <row r="10045" spans="1:1" x14ac:dyDescent="0.35">
      <c r="A10045" s="4">
        <v>4500216639</v>
      </c>
    </row>
    <row r="10046" spans="1:1" x14ac:dyDescent="0.35">
      <c r="A10046" s="4">
        <v>4500216640</v>
      </c>
    </row>
    <row r="10047" spans="1:1" x14ac:dyDescent="0.35">
      <c r="A10047" s="4">
        <v>4500216741</v>
      </c>
    </row>
    <row r="10048" spans="1:1" x14ac:dyDescent="0.35">
      <c r="A10048" s="4">
        <v>4500216747</v>
      </c>
    </row>
    <row r="10049" spans="1:1" x14ac:dyDescent="0.35">
      <c r="A10049" s="4">
        <v>4500216752</v>
      </c>
    </row>
    <row r="10050" spans="1:1" x14ac:dyDescent="0.35">
      <c r="A10050" s="4">
        <v>4500216758</v>
      </c>
    </row>
    <row r="10051" spans="1:1" x14ac:dyDescent="0.35">
      <c r="A10051" s="4">
        <v>4500216767</v>
      </c>
    </row>
    <row r="10052" spans="1:1" x14ac:dyDescent="0.35">
      <c r="A10052" s="4">
        <v>4500216775</v>
      </c>
    </row>
    <row r="10053" spans="1:1" x14ac:dyDescent="0.35">
      <c r="A10053" s="4">
        <v>4500216781</v>
      </c>
    </row>
    <row r="10054" spans="1:1" x14ac:dyDescent="0.35">
      <c r="A10054" s="4">
        <v>4500216785</v>
      </c>
    </row>
    <row r="10055" spans="1:1" x14ac:dyDescent="0.35">
      <c r="A10055" s="4">
        <v>4500216790</v>
      </c>
    </row>
    <row r="10056" spans="1:1" x14ac:dyDescent="0.35">
      <c r="A10056" s="4">
        <v>4500216796</v>
      </c>
    </row>
    <row r="10057" spans="1:1" x14ac:dyDescent="0.35">
      <c r="A10057" s="4">
        <v>4500216802</v>
      </c>
    </row>
    <row r="10058" spans="1:1" x14ac:dyDescent="0.35">
      <c r="A10058" s="4">
        <v>4500216805</v>
      </c>
    </row>
    <row r="10059" spans="1:1" x14ac:dyDescent="0.35">
      <c r="A10059" s="4">
        <v>4500216808</v>
      </c>
    </row>
    <row r="10060" spans="1:1" x14ac:dyDescent="0.35">
      <c r="A10060" s="4">
        <v>4500216816</v>
      </c>
    </row>
    <row r="10061" spans="1:1" x14ac:dyDescent="0.35">
      <c r="A10061" s="4">
        <v>4500216819</v>
      </c>
    </row>
    <row r="10062" spans="1:1" x14ac:dyDescent="0.35">
      <c r="A10062" s="4">
        <v>4500216823</v>
      </c>
    </row>
    <row r="10063" spans="1:1" x14ac:dyDescent="0.35">
      <c r="A10063" s="4">
        <v>4500216828</v>
      </c>
    </row>
    <row r="10064" spans="1:1" x14ac:dyDescent="0.35">
      <c r="A10064" s="4">
        <v>4500216832</v>
      </c>
    </row>
    <row r="10065" spans="1:1" x14ac:dyDescent="0.35">
      <c r="A10065" s="4">
        <v>4500216836</v>
      </c>
    </row>
    <row r="10066" spans="1:1" x14ac:dyDescent="0.35">
      <c r="A10066" s="4">
        <v>4500216838</v>
      </c>
    </row>
    <row r="10067" spans="1:1" x14ac:dyDescent="0.35">
      <c r="A10067" s="4">
        <v>4500216843</v>
      </c>
    </row>
    <row r="10068" spans="1:1" x14ac:dyDescent="0.35">
      <c r="A10068" s="4">
        <v>4500216849</v>
      </c>
    </row>
    <row r="10069" spans="1:1" x14ac:dyDescent="0.35">
      <c r="A10069" s="4">
        <v>4500216856</v>
      </c>
    </row>
    <row r="10070" spans="1:1" x14ac:dyDescent="0.35">
      <c r="A10070" s="4">
        <v>4500216859</v>
      </c>
    </row>
    <row r="10071" spans="1:1" x14ac:dyDescent="0.35">
      <c r="A10071" s="4">
        <v>4500216862</v>
      </c>
    </row>
    <row r="10072" spans="1:1" x14ac:dyDescent="0.35">
      <c r="A10072" s="4">
        <v>4500216863</v>
      </c>
    </row>
    <row r="10073" spans="1:1" x14ac:dyDescent="0.35">
      <c r="A10073" s="4">
        <v>4500216865</v>
      </c>
    </row>
    <row r="10074" spans="1:1" x14ac:dyDescent="0.35">
      <c r="A10074" s="4">
        <v>4500216867</v>
      </c>
    </row>
    <row r="10075" spans="1:1" x14ac:dyDescent="0.35">
      <c r="A10075" s="4">
        <v>4500216869</v>
      </c>
    </row>
    <row r="10076" spans="1:1" x14ac:dyDescent="0.35">
      <c r="A10076" s="4">
        <v>4500216872</v>
      </c>
    </row>
    <row r="10077" spans="1:1" x14ac:dyDescent="0.35">
      <c r="A10077" s="4">
        <v>4500216875</v>
      </c>
    </row>
    <row r="10078" spans="1:1" x14ac:dyDescent="0.35">
      <c r="A10078" s="4">
        <v>4500216876</v>
      </c>
    </row>
    <row r="10079" spans="1:1" x14ac:dyDescent="0.35">
      <c r="A10079" s="4">
        <v>4500216877</v>
      </c>
    </row>
    <row r="10080" spans="1:1" x14ac:dyDescent="0.35">
      <c r="A10080" s="4">
        <v>4500216878</v>
      </c>
    </row>
    <row r="10081" spans="1:1" x14ac:dyDescent="0.35">
      <c r="A10081" s="4">
        <v>4500216879</v>
      </c>
    </row>
    <row r="10082" spans="1:1" x14ac:dyDescent="0.35">
      <c r="A10082" s="4">
        <v>4500216880</v>
      </c>
    </row>
    <row r="10083" spans="1:1" x14ac:dyDescent="0.35">
      <c r="A10083" s="4">
        <v>4500216890</v>
      </c>
    </row>
    <row r="10084" spans="1:1" x14ac:dyDescent="0.35">
      <c r="A10084" s="4">
        <v>4500216895</v>
      </c>
    </row>
    <row r="10085" spans="1:1" x14ac:dyDescent="0.35">
      <c r="A10085" s="4">
        <v>4500216909</v>
      </c>
    </row>
    <row r="10086" spans="1:1" x14ac:dyDescent="0.35">
      <c r="A10086" s="4">
        <v>4500216920</v>
      </c>
    </row>
    <row r="10087" spans="1:1" x14ac:dyDescent="0.35">
      <c r="A10087" s="4">
        <v>4500217018</v>
      </c>
    </row>
    <row r="10088" spans="1:1" x14ac:dyDescent="0.35">
      <c r="A10088" s="4">
        <v>4500217035</v>
      </c>
    </row>
    <row r="10089" spans="1:1" x14ac:dyDescent="0.35">
      <c r="A10089" s="4">
        <v>4500217039</v>
      </c>
    </row>
    <row r="10090" spans="1:1" x14ac:dyDescent="0.35">
      <c r="A10090" s="4">
        <v>4500217042</v>
      </c>
    </row>
    <row r="10091" spans="1:1" x14ac:dyDescent="0.35">
      <c r="A10091" s="4">
        <v>4500217048</v>
      </c>
    </row>
    <row r="10092" spans="1:1" x14ac:dyDescent="0.35">
      <c r="A10092" s="4">
        <v>4500217056</v>
      </c>
    </row>
    <row r="10093" spans="1:1" x14ac:dyDescent="0.35">
      <c r="A10093" s="4">
        <v>4500217059</v>
      </c>
    </row>
    <row r="10094" spans="1:1" x14ac:dyDescent="0.35">
      <c r="A10094" s="4">
        <v>4500217065</v>
      </c>
    </row>
    <row r="10095" spans="1:1" x14ac:dyDescent="0.35">
      <c r="A10095" s="4">
        <v>4500217071</v>
      </c>
    </row>
    <row r="10096" spans="1:1" x14ac:dyDescent="0.35">
      <c r="A10096" s="4">
        <v>4500217077</v>
      </c>
    </row>
    <row r="10097" spans="1:1" x14ac:dyDescent="0.35">
      <c r="A10097" s="4">
        <v>4500217082</v>
      </c>
    </row>
    <row r="10098" spans="1:1" x14ac:dyDescent="0.35">
      <c r="A10098" s="4">
        <v>4500217087</v>
      </c>
    </row>
    <row r="10099" spans="1:1" x14ac:dyDescent="0.35">
      <c r="A10099" s="4">
        <v>4500217097</v>
      </c>
    </row>
    <row r="10100" spans="1:1" x14ac:dyDescent="0.35">
      <c r="A10100" s="4">
        <v>4500217102</v>
      </c>
    </row>
    <row r="10101" spans="1:1" x14ac:dyDescent="0.35">
      <c r="A10101" s="4">
        <v>4500217112</v>
      </c>
    </row>
    <row r="10102" spans="1:1" x14ac:dyDescent="0.35">
      <c r="A10102" s="4">
        <v>4500217120</v>
      </c>
    </row>
    <row r="10103" spans="1:1" x14ac:dyDescent="0.35">
      <c r="A10103" s="4">
        <v>4500217123</v>
      </c>
    </row>
    <row r="10104" spans="1:1" x14ac:dyDescent="0.35">
      <c r="A10104" s="4">
        <v>4500217127</v>
      </c>
    </row>
    <row r="10105" spans="1:1" x14ac:dyDescent="0.35">
      <c r="A10105" s="4">
        <v>4500217128</v>
      </c>
    </row>
    <row r="10106" spans="1:1" x14ac:dyDescent="0.35">
      <c r="A10106" s="4">
        <v>4500217131</v>
      </c>
    </row>
    <row r="10107" spans="1:1" x14ac:dyDescent="0.35">
      <c r="A10107" s="4">
        <v>4500217134</v>
      </c>
    </row>
    <row r="10108" spans="1:1" x14ac:dyDescent="0.35">
      <c r="A10108" s="4">
        <v>4500217136</v>
      </c>
    </row>
    <row r="10109" spans="1:1" x14ac:dyDescent="0.35">
      <c r="A10109" s="4">
        <v>4500217138</v>
      </c>
    </row>
    <row r="10110" spans="1:1" x14ac:dyDescent="0.35">
      <c r="A10110" s="4">
        <v>4500217140</v>
      </c>
    </row>
    <row r="10111" spans="1:1" x14ac:dyDescent="0.35">
      <c r="A10111" s="4">
        <v>4500217143</v>
      </c>
    </row>
    <row r="10112" spans="1:1" x14ac:dyDescent="0.35">
      <c r="A10112" s="4">
        <v>4500217145</v>
      </c>
    </row>
    <row r="10113" spans="1:1" x14ac:dyDescent="0.35">
      <c r="A10113" s="4">
        <v>4500217146</v>
      </c>
    </row>
    <row r="10114" spans="1:1" x14ac:dyDescent="0.35">
      <c r="A10114" s="4">
        <v>4500217156</v>
      </c>
    </row>
    <row r="10115" spans="1:1" x14ac:dyDescent="0.35">
      <c r="A10115" s="4">
        <v>4500217252</v>
      </c>
    </row>
    <row r="10116" spans="1:1" x14ac:dyDescent="0.35">
      <c r="A10116" s="4">
        <v>4500217260</v>
      </c>
    </row>
    <row r="10117" spans="1:1" x14ac:dyDescent="0.35">
      <c r="A10117" s="4">
        <v>4500217275</v>
      </c>
    </row>
    <row r="10118" spans="1:1" x14ac:dyDescent="0.35">
      <c r="A10118" s="4">
        <v>4500217297</v>
      </c>
    </row>
    <row r="10119" spans="1:1" x14ac:dyDescent="0.35">
      <c r="A10119" s="4">
        <v>4500217305</v>
      </c>
    </row>
    <row r="10120" spans="1:1" x14ac:dyDescent="0.35">
      <c r="A10120" s="4">
        <v>4500217309</v>
      </c>
    </row>
    <row r="10121" spans="1:1" x14ac:dyDescent="0.35">
      <c r="A10121" s="4">
        <v>4500217318</v>
      </c>
    </row>
    <row r="10122" spans="1:1" x14ac:dyDescent="0.35">
      <c r="A10122" s="4">
        <v>4500217325</v>
      </c>
    </row>
    <row r="10123" spans="1:1" x14ac:dyDescent="0.35">
      <c r="A10123" s="4">
        <v>4500217335</v>
      </c>
    </row>
    <row r="10124" spans="1:1" x14ac:dyDescent="0.35">
      <c r="A10124" s="4">
        <v>4500217344</v>
      </c>
    </row>
    <row r="10125" spans="1:1" x14ac:dyDescent="0.35">
      <c r="A10125" s="4">
        <v>4500217348</v>
      </c>
    </row>
    <row r="10126" spans="1:1" x14ac:dyDescent="0.35">
      <c r="A10126" s="4">
        <v>4500217353</v>
      </c>
    </row>
    <row r="10127" spans="1:1" x14ac:dyDescent="0.35">
      <c r="A10127" s="4">
        <v>4500217366</v>
      </c>
    </row>
    <row r="10128" spans="1:1" x14ac:dyDescent="0.35">
      <c r="A10128" s="4">
        <v>4500217374</v>
      </c>
    </row>
    <row r="10129" spans="1:1" x14ac:dyDescent="0.35">
      <c r="A10129" s="4">
        <v>4500217380</v>
      </c>
    </row>
    <row r="10130" spans="1:1" x14ac:dyDescent="0.35">
      <c r="A10130" s="4">
        <v>4500217382</v>
      </c>
    </row>
    <row r="10131" spans="1:1" x14ac:dyDescent="0.35">
      <c r="A10131" s="4">
        <v>4500217384</v>
      </c>
    </row>
    <row r="10132" spans="1:1" x14ac:dyDescent="0.35">
      <c r="A10132" s="4">
        <v>4500217387</v>
      </c>
    </row>
    <row r="10133" spans="1:1" x14ac:dyDescent="0.35">
      <c r="A10133" s="4">
        <v>4500217388</v>
      </c>
    </row>
    <row r="10134" spans="1:1" x14ac:dyDescent="0.35">
      <c r="A10134" s="4">
        <v>4500217394</v>
      </c>
    </row>
    <row r="10135" spans="1:1" x14ac:dyDescent="0.35">
      <c r="A10135" s="4">
        <v>4500217400</v>
      </c>
    </row>
    <row r="10136" spans="1:1" x14ac:dyDescent="0.35">
      <c r="A10136" s="4">
        <v>4500217485</v>
      </c>
    </row>
    <row r="10137" spans="1:1" x14ac:dyDescent="0.35">
      <c r="A10137" s="4">
        <v>4500217487</v>
      </c>
    </row>
    <row r="10138" spans="1:1" x14ac:dyDescent="0.35">
      <c r="A10138" s="4">
        <v>4500217490</v>
      </c>
    </row>
    <row r="10139" spans="1:1" x14ac:dyDescent="0.35">
      <c r="A10139" s="4">
        <v>4500217493</v>
      </c>
    </row>
    <row r="10140" spans="1:1" x14ac:dyDescent="0.35">
      <c r="A10140" s="4">
        <v>4500217498</v>
      </c>
    </row>
    <row r="10141" spans="1:1" x14ac:dyDescent="0.35">
      <c r="A10141" s="4">
        <v>4500217502</v>
      </c>
    </row>
    <row r="10142" spans="1:1" x14ac:dyDescent="0.35">
      <c r="A10142" s="4">
        <v>4500217513</v>
      </c>
    </row>
    <row r="10143" spans="1:1" x14ac:dyDescent="0.35">
      <c r="A10143" s="4">
        <v>4500217525</v>
      </c>
    </row>
    <row r="10144" spans="1:1" x14ac:dyDescent="0.35">
      <c r="A10144" s="4">
        <v>4500217535</v>
      </c>
    </row>
    <row r="10145" spans="1:1" x14ac:dyDescent="0.35">
      <c r="A10145" s="4">
        <v>4500217540</v>
      </c>
    </row>
    <row r="10146" spans="1:1" x14ac:dyDescent="0.35">
      <c r="A10146" s="4">
        <v>4500217548</v>
      </c>
    </row>
    <row r="10147" spans="1:1" x14ac:dyDescent="0.35">
      <c r="A10147" s="4">
        <v>4500217557</v>
      </c>
    </row>
    <row r="10148" spans="1:1" x14ac:dyDescent="0.35">
      <c r="A10148" s="4">
        <v>4500217566</v>
      </c>
    </row>
    <row r="10149" spans="1:1" x14ac:dyDescent="0.35">
      <c r="A10149" s="4">
        <v>4500217571</v>
      </c>
    </row>
    <row r="10150" spans="1:1" x14ac:dyDescent="0.35">
      <c r="A10150" s="4">
        <v>4500217574</v>
      </c>
    </row>
    <row r="10151" spans="1:1" x14ac:dyDescent="0.35">
      <c r="A10151" s="4">
        <v>4500217577</v>
      </c>
    </row>
    <row r="10152" spans="1:1" x14ac:dyDescent="0.35">
      <c r="A10152" s="4">
        <v>4500217578</v>
      </c>
    </row>
    <row r="10153" spans="1:1" x14ac:dyDescent="0.35">
      <c r="A10153" s="4">
        <v>4500217579</v>
      </c>
    </row>
    <row r="10154" spans="1:1" x14ac:dyDescent="0.35">
      <c r="A10154" s="4">
        <v>4500217580</v>
      </c>
    </row>
    <row r="10155" spans="1:1" x14ac:dyDescent="0.35">
      <c r="A10155" s="4">
        <v>4500217581</v>
      </c>
    </row>
    <row r="10156" spans="1:1" x14ac:dyDescent="0.35">
      <c r="A10156" s="4">
        <v>4500217582</v>
      </c>
    </row>
    <row r="10157" spans="1:1" x14ac:dyDescent="0.35">
      <c r="A10157" s="4">
        <v>4500217583</v>
      </c>
    </row>
    <row r="10158" spans="1:1" x14ac:dyDescent="0.35">
      <c r="A10158" s="4">
        <v>4500217584</v>
      </c>
    </row>
    <row r="10159" spans="1:1" x14ac:dyDescent="0.35">
      <c r="A10159" s="4">
        <v>4500217585</v>
      </c>
    </row>
    <row r="10160" spans="1:1" x14ac:dyDescent="0.35">
      <c r="A10160" s="4">
        <v>4500217586</v>
      </c>
    </row>
    <row r="10161" spans="1:1" x14ac:dyDescent="0.35">
      <c r="A10161" s="4">
        <v>4500217587</v>
      </c>
    </row>
    <row r="10162" spans="1:1" x14ac:dyDescent="0.35">
      <c r="A10162" s="4">
        <v>4500217588</v>
      </c>
    </row>
    <row r="10163" spans="1:1" x14ac:dyDescent="0.35">
      <c r="A10163" s="4">
        <v>4500217589</v>
      </c>
    </row>
    <row r="10164" spans="1:1" x14ac:dyDescent="0.35">
      <c r="A10164" s="4">
        <v>4500217590</v>
      </c>
    </row>
    <row r="10165" spans="1:1" x14ac:dyDescent="0.35">
      <c r="A10165" s="4">
        <v>4500217591</v>
      </c>
    </row>
    <row r="10166" spans="1:1" x14ac:dyDescent="0.35">
      <c r="A10166" s="4">
        <v>4500217693</v>
      </c>
    </row>
    <row r="10167" spans="1:1" x14ac:dyDescent="0.35">
      <c r="A10167" s="4">
        <v>4500217695</v>
      </c>
    </row>
    <row r="10168" spans="1:1" x14ac:dyDescent="0.35">
      <c r="A10168" s="4">
        <v>4500217706</v>
      </c>
    </row>
    <row r="10169" spans="1:1" x14ac:dyDescent="0.35">
      <c r="A10169" s="4">
        <v>4500217710</v>
      </c>
    </row>
    <row r="10170" spans="1:1" x14ac:dyDescent="0.35">
      <c r="A10170" s="4">
        <v>4500217728</v>
      </c>
    </row>
    <row r="10171" spans="1:1" x14ac:dyDescent="0.35">
      <c r="A10171" s="4">
        <v>4500217734</v>
      </c>
    </row>
    <row r="10172" spans="1:1" x14ac:dyDescent="0.35">
      <c r="A10172" s="4">
        <v>4500217736</v>
      </c>
    </row>
    <row r="10173" spans="1:1" x14ac:dyDescent="0.35">
      <c r="A10173" s="4">
        <v>4500217740</v>
      </c>
    </row>
    <row r="10174" spans="1:1" x14ac:dyDescent="0.35">
      <c r="A10174" s="4">
        <v>4500217749</v>
      </c>
    </row>
    <row r="10175" spans="1:1" x14ac:dyDescent="0.35">
      <c r="A10175" s="4">
        <v>4500217757</v>
      </c>
    </row>
    <row r="10176" spans="1:1" x14ac:dyDescent="0.35">
      <c r="A10176" s="4">
        <v>4500217758</v>
      </c>
    </row>
    <row r="10177" spans="1:1" x14ac:dyDescent="0.35">
      <c r="A10177" s="4">
        <v>4500217762</v>
      </c>
    </row>
    <row r="10178" spans="1:1" x14ac:dyDescent="0.35">
      <c r="A10178" s="4">
        <v>4500217764</v>
      </c>
    </row>
    <row r="10179" spans="1:1" x14ac:dyDescent="0.35">
      <c r="A10179" s="4">
        <v>4500217767</v>
      </c>
    </row>
    <row r="10180" spans="1:1" x14ac:dyDescent="0.35">
      <c r="A10180" s="4">
        <v>4500217776</v>
      </c>
    </row>
    <row r="10181" spans="1:1" x14ac:dyDescent="0.35">
      <c r="A10181" s="4">
        <v>4500217785</v>
      </c>
    </row>
    <row r="10182" spans="1:1" x14ac:dyDescent="0.35">
      <c r="A10182" s="4">
        <v>4500217799</v>
      </c>
    </row>
    <row r="10183" spans="1:1" x14ac:dyDescent="0.35">
      <c r="A10183" s="4">
        <v>4500217801</v>
      </c>
    </row>
    <row r="10184" spans="1:1" x14ac:dyDescent="0.35">
      <c r="A10184" s="4">
        <v>4500217803</v>
      </c>
    </row>
    <row r="10185" spans="1:1" x14ac:dyDescent="0.35">
      <c r="A10185" s="4">
        <v>4500217804</v>
      </c>
    </row>
    <row r="10186" spans="1:1" x14ac:dyDescent="0.35">
      <c r="A10186" s="4">
        <v>4500217806</v>
      </c>
    </row>
    <row r="10187" spans="1:1" x14ac:dyDescent="0.35">
      <c r="A10187" s="4">
        <v>4500217807</v>
      </c>
    </row>
    <row r="10188" spans="1:1" x14ac:dyDescent="0.35">
      <c r="A10188" s="4">
        <v>4500217808</v>
      </c>
    </row>
    <row r="10189" spans="1:1" x14ac:dyDescent="0.35">
      <c r="A10189" s="4">
        <v>4500217809</v>
      </c>
    </row>
    <row r="10190" spans="1:1" x14ac:dyDescent="0.35">
      <c r="A10190" s="4">
        <v>4500217832</v>
      </c>
    </row>
    <row r="10191" spans="1:1" x14ac:dyDescent="0.35">
      <c r="A10191" s="4">
        <v>4500217925</v>
      </c>
    </row>
    <row r="10192" spans="1:1" x14ac:dyDescent="0.35">
      <c r="A10192" s="4">
        <v>4500217934</v>
      </c>
    </row>
    <row r="10193" spans="1:1" x14ac:dyDescent="0.35">
      <c r="A10193" s="4">
        <v>4500217939</v>
      </c>
    </row>
    <row r="10194" spans="1:1" x14ac:dyDescent="0.35">
      <c r="A10194" s="4">
        <v>4500217946</v>
      </c>
    </row>
    <row r="10195" spans="1:1" x14ac:dyDescent="0.35">
      <c r="A10195" s="4">
        <v>4500217950</v>
      </c>
    </row>
    <row r="10196" spans="1:1" x14ac:dyDescent="0.35">
      <c r="A10196" s="4">
        <v>4500217955</v>
      </c>
    </row>
    <row r="10197" spans="1:1" x14ac:dyDescent="0.35">
      <c r="A10197" s="4">
        <v>4500217958</v>
      </c>
    </row>
    <row r="10198" spans="1:1" x14ac:dyDescent="0.35">
      <c r="A10198" s="4">
        <v>4500217970</v>
      </c>
    </row>
    <row r="10199" spans="1:1" x14ac:dyDescent="0.35">
      <c r="A10199" s="4">
        <v>4500217976</v>
      </c>
    </row>
    <row r="10200" spans="1:1" x14ac:dyDescent="0.35">
      <c r="A10200" s="4">
        <v>4500217979</v>
      </c>
    </row>
    <row r="10201" spans="1:1" x14ac:dyDescent="0.35">
      <c r="A10201" s="4">
        <v>4500217981</v>
      </c>
    </row>
    <row r="10202" spans="1:1" x14ac:dyDescent="0.35">
      <c r="A10202" s="4">
        <v>4500217986</v>
      </c>
    </row>
    <row r="10203" spans="1:1" x14ac:dyDescent="0.35">
      <c r="A10203" s="4">
        <v>4500217990</v>
      </c>
    </row>
    <row r="10204" spans="1:1" x14ac:dyDescent="0.35">
      <c r="A10204" s="4">
        <v>4500217996</v>
      </c>
    </row>
    <row r="10205" spans="1:1" x14ac:dyDescent="0.35">
      <c r="A10205" s="4">
        <v>4500217999</v>
      </c>
    </row>
    <row r="10206" spans="1:1" x14ac:dyDescent="0.35">
      <c r="A10206" s="4">
        <v>4500218003</v>
      </c>
    </row>
    <row r="10207" spans="1:1" x14ac:dyDescent="0.35">
      <c r="A10207" s="4">
        <v>4500218008</v>
      </c>
    </row>
    <row r="10208" spans="1:1" x14ac:dyDescent="0.35">
      <c r="A10208" s="4">
        <v>4500218016</v>
      </c>
    </row>
    <row r="10209" spans="1:1" x14ac:dyDescent="0.35">
      <c r="A10209" s="4">
        <v>4500218019</v>
      </c>
    </row>
    <row r="10210" spans="1:1" x14ac:dyDescent="0.35">
      <c r="A10210" s="4">
        <v>4500218026</v>
      </c>
    </row>
    <row r="10211" spans="1:1" x14ac:dyDescent="0.35">
      <c r="A10211" s="4">
        <v>4500218032</v>
      </c>
    </row>
    <row r="10212" spans="1:1" x14ac:dyDescent="0.35">
      <c r="A10212" s="4">
        <v>4500218034</v>
      </c>
    </row>
    <row r="10213" spans="1:1" x14ac:dyDescent="0.35">
      <c r="A10213" s="4">
        <v>4500218055</v>
      </c>
    </row>
    <row r="10214" spans="1:1" x14ac:dyDescent="0.35">
      <c r="A10214" s="4">
        <v>4500218057</v>
      </c>
    </row>
    <row r="10215" spans="1:1" x14ac:dyDescent="0.35">
      <c r="A10215" s="4">
        <v>4500218060</v>
      </c>
    </row>
    <row r="10216" spans="1:1" x14ac:dyDescent="0.35">
      <c r="A10216" s="4">
        <v>4500218069</v>
      </c>
    </row>
    <row r="10217" spans="1:1" x14ac:dyDescent="0.35">
      <c r="A10217" s="4">
        <v>4500218141</v>
      </c>
    </row>
    <row r="10218" spans="1:1" x14ac:dyDescent="0.35">
      <c r="A10218" s="4">
        <v>4500218145</v>
      </c>
    </row>
    <row r="10219" spans="1:1" x14ac:dyDescent="0.35">
      <c r="A10219" s="4">
        <v>4500218150</v>
      </c>
    </row>
    <row r="10220" spans="1:1" x14ac:dyDescent="0.35">
      <c r="A10220" s="4">
        <v>4500218154</v>
      </c>
    </row>
    <row r="10221" spans="1:1" x14ac:dyDescent="0.35">
      <c r="A10221" s="4">
        <v>4500218161</v>
      </c>
    </row>
    <row r="10222" spans="1:1" x14ac:dyDescent="0.35">
      <c r="A10222" s="4">
        <v>4500218174</v>
      </c>
    </row>
    <row r="10223" spans="1:1" x14ac:dyDescent="0.35">
      <c r="A10223" s="4">
        <v>4500218177</v>
      </c>
    </row>
    <row r="10224" spans="1:1" x14ac:dyDescent="0.35">
      <c r="A10224" s="4">
        <v>4500218181</v>
      </c>
    </row>
    <row r="10225" spans="1:1" x14ac:dyDescent="0.35">
      <c r="A10225" s="4">
        <v>4500218182</v>
      </c>
    </row>
    <row r="10226" spans="1:1" x14ac:dyDescent="0.35">
      <c r="A10226" s="4">
        <v>4500218185</v>
      </c>
    </row>
    <row r="10227" spans="1:1" x14ac:dyDescent="0.35">
      <c r="A10227" s="4">
        <v>4500218189</v>
      </c>
    </row>
    <row r="10228" spans="1:1" x14ac:dyDescent="0.35">
      <c r="A10228" s="4">
        <v>4500218191</v>
      </c>
    </row>
    <row r="10229" spans="1:1" x14ac:dyDescent="0.35">
      <c r="A10229" s="4">
        <v>4500218196</v>
      </c>
    </row>
    <row r="10230" spans="1:1" x14ac:dyDescent="0.35">
      <c r="A10230" s="4">
        <v>4500218206</v>
      </c>
    </row>
    <row r="10231" spans="1:1" x14ac:dyDescent="0.35">
      <c r="A10231" s="4">
        <v>4500218216</v>
      </c>
    </row>
    <row r="10232" spans="1:1" x14ac:dyDescent="0.35">
      <c r="A10232" s="4">
        <v>4500218219</v>
      </c>
    </row>
    <row r="10233" spans="1:1" x14ac:dyDescent="0.35">
      <c r="A10233" s="4">
        <v>4500218222</v>
      </c>
    </row>
    <row r="10234" spans="1:1" x14ac:dyDescent="0.35">
      <c r="A10234" s="4">
        <v>4500218229</v>
      </c>
    </row>
    <row r="10235" spans="1:1" x14ac:dyDescent="0.35">
      <c r="A10235" s="4">
        <v>4500218244</v>
      </c>
    </row>
    <row r="10236" spans="1:1" x14ac:dyDescent="0.35">
      <c r="A10236" s="4">
        <v>4500218250</v>
      </c>
    </row>
    <row r="10237" spans="1:1" x14ac:dyDescent="0.35">
      <c r="A10237" s="4">
        <v>4500218251</v>
      </c>
    </row>
    <row r="10238" spans="1:1" x14ac:dyDescent="0.35">
      <c r="A10238" s="4">
        <v>4500218355</v>
      </c>
    </row>
    <row r="10239" spans="1:1" x14ac:dyDescent="0.35">
      <c r="A10239" s="4">
        <v>4500218366</v>
      </c>
    </row>
    <row r="10240" spans="1:1" x14ac:dyDescent="0.35">
      <c r="A10240" s="4">
        <v>4500218380</v>
      </c>
    </row>
    <row r="10241" spans="1:1" x14ac:dyDescent="0.35">
      <c r="A10241" s="4">
        <v>4500218386</v>
      </c>
    </row>
    <row r="10242" spans="1:1" x14ac:dyDescent="0.35">
      <c r="A10242" s="4">
        <v>4500218391</v>
      </c>
    </row>
    <row r="10243" spans="1:1" x14ac:dyDescent="0.35">
      <c r="A10243" s="4">
        <v>4500218396</v>
      </c>
    </row>
    <row r="10244" spans="1:1" x14ac:dyDescent="0.35">
      <c r="A10244" s="4">
        <v>4500218403</v>
      </c>
    </row>
    <row r="10245" spans="1:1" x14ac:dyDescent="0.35">
      <c r="A10245" s="4">
        <v>4500218420</v>
      </c>
    </row>
    <row r="10246" spans="1:1" x14ac:dyDescent="0.35">
      <c r="A10246" s="4">
        <v>4500218425</v>
      </c>
    </row>
    <row r="10247" spans="1:1" x14ac:dyDescent="0.35">
      <c r="A10247" s="4">
        <v>4500218436</v>
      </c>
    </row>
    <row r="10248" spans="1:1" x14ac:dyDescent="0.35">
      <c r="A10248" s="4">
        <v>4500218447</v>
      </c>
    </row>
    <row r="10249" spans="1:1" x14ac:dyDescent="0.35">
      <c r="A10249" s="4">
        <v>4500218455</v>
      </c>
    </row>
    <row r="10250" spans="1:1" x14ac:dyDescent="0.35">
      <c r="A10250" s="4">
        <v>4500218458</v>
      </c>
    </row>
    <row r="10251" spans="1:1" x14ac:dyDescent="0.35">
      <c r="A10251" s="4">
        <v>4500218461</v>
      </c>
    </row>
    <row r="10252" spans="1:1" x14ac:dyDescent="0.35">
      <c r="A10252" s="4">
        <v>4500218466</v>
      </c>
    </row>
    <row r="10253" spans="1:1" x14ac:dyDescent="0.35">
      <c r="A10253" s="4">
        <v>4500218467</v>
      </c>
    </row>
    <row r="10254" spans="1:1" x14ac:dyDescent="0.35">
      <c r="A10254" s="4">
        <v>4500218471</v>
      </c>
    </row>
    <row r="10255" spans="1:1" x14ac:dyDescent="0.35">
      <c r="A10255" s="4">
        <v>4500218473</v>
      </c>
    </row>
    <row r="10256" spans="1:1" x14ac:dyDescent="0.35">
      <c r="A10256" s="4">
        <v>4500218475</v>
      </c>
    </row>
    <row r="10257" spans="1:1" x14ac:dyDescent="0.35">
      <c r="A10257" s="4">
        <v>4500218476</v>
      </c>
    </row>
    <row r="10258" spans="1:1" x14ac:dyDescent="0.35">
      <c r="A10258" s="4">
        <v>4500218477</v>
      </c>
    </row>
    <row r="10259" spans="1:1" x14ac:dyDescent="0.35">
      <c r="A10259" s="4">
        <v>4500218479</v>
      </c>
    </row>
    <row r="10260" spans="1:1" x14ac:dyDescent="0.35">
      <c r="A10260" s="4">
        <v>4500218482</v>
      </c>
    </row>
    <row r="10261" spans="1:1" x14ac:dyDescent="0.35">
      <c r="A10261" s="4">
        <v>4500218594</v>
      </c>
    </row>
    <row r="10262" spans="1:1" x14ac:dyDescent="0.35">
      <c r="A10262" s="4">
        <v>4500218601</v>
      </c>
    </row>
    <row r="10263" spans="1:1" x14ac:dyDescent="0.35">
      <c r="A10263" s="4">
        <v>4500218606</v>
      </c>
    </row>
    <row r="10264" spans="1:1" x14ac:dyDescent="0.35">
      <c r="A10264" s="4">
        <v>4500218614</v>
      </c>
    </row>
    <row r="10265" spans="1:1" x14ac:dyDescent="0.35">
      <c r="A10265" s="4">
        <v>4500218623</v>
      </c>
    </row>
    <row r="10266" spans="1:1" x14ac:dyDescent="0.35">
      <c r="A10266" s="4">
        <v>4500218627</v>
      </c>
    </row>
    <row r="10267" spans="1:1" x14ac:dyDescent="0.35">
      <c r="A10267" s="4">
        <v>4500218635</v>
      </c>
    </row>
    <row r="10268" spans="1:1" x14ac:dyDescent="0.35">
      <c r="A10268" s="4">
        <v>4500218638</v>
      </c>
    </row>
    <row r="10269" spans="1:1" x14ac:dyDescent="0.35">
      <c r="A10269" s="4">
        <v>4500218644</v>
      </c>
    </row>
    <row r="10270" spans="1:1" x14ac:dyDescent="0.35">
      <c r="A10270" s="4">
        <v>4500218653</v>
      </c>
    </row>
    <row r="10271" spans="1:1" x14ac:dyDescent="0.35">
      <c r="A10271" s="4">
        <v>4500218661</v>
      </c>
    </row>
    <row r="10272" spans="1:1" x14ac:dyDescent="0.35">
      <c r="A10272" s="4">
        <v>4500218664</v>
      </c>
    </row>
    <row r="10273" spans="1:1" x14ac:dyDescent="0.35">
      <c r="A10273" s="4">
        <v>4500218669</v>
      </c>
    </row>
    <row r="10274" spans="1:1" x14ac:dyDescent="0.35">
      <c r="A10274" s="4">
        <v>4500218673</v>
      </c>
    </row>
    <row r="10275" spans="1:1" x14ac:dyDescent="0.35">
      <c r="A10275" s="4">
        <v>4500218676</v>
      </c>
    </row>
    <row r="10276" spans="1:1" x14ac:dyDescent="0.35">
      <c r="A10276" s="4">
        <v>4500218679</v>
      </c>
    </row>
    <row r="10277" spans="1:1" x14ac:dyDescent="0.35">
      <c r="A10277" s="4">
        <v>4500218680</v>
      </c>
    </row>
    <row r="10278" spans="1:1" x14ac:dyDescent="0.35">
      <c r="A10278" s="4">
        <v>4500218683</v>
      </c>
    </row>
    <row r="10279" spans="1:1" x14ac:dyDescent="0.35">
      <c r="A10279" s="4">
        <v>4500218686</v>
      </c>
    </row>
    <row r="10280" spans="1:1" x14ac:dyDescent="0.35">
      <c r="A10280" s="4">
        <v>4500218690</v>
      </c>
    </row>
    <row r="10281" spans="1:1" x14ac:dyDescent="0.35">
      <c r="A10281" s="4">
        <v>4500218691</v>
      </c>
    </row>
    <row r="10282" spans="1:1" x14ac:dyDescent="0.35">
      <c r="A10282" s="4">
        <v>4500218692</v>
      </c>
    </row>
    <row r="10283" spans="1:1" x14ac:dyDescent="0.35">
      <c r="A10283" s="4">
        <v>4500218693</v>
      </c>
    </row>
    <row r="10284" spans="1:1" x14ac:dyDescent="0.35">
      <c r="A10284" s="4">
        <v>4500218694</v>
      </c>
    </row>
    <row r="10285" spans="1:1" x14ac:dyDescent="0.35">
      <c r="A10285" s="4">
        <v>4500218695</v>
      </c>
    </row>
    <row r="10286" spans="1:1" x14ac:dyDescent="0.35">
      <c r="A10286" s="4">
        <v>4500218696</v>
      </c>
    </row>
    <row r="10287" spans="1:1" x14ac:dyDescent="0.35">
      <c r="A10287" s="4">
        <v>4500218697</v>
      </c>
    </row>
    <row r="10288" spans="1:1" x14ac:dyDescent="0.35">
      <c r="A10288" s="4">
        <v>4500218698</v>
      </c>
    </row>
    <row r="10289" spans="1:1" x14ac:dyDescent="0.35">
      <c r="A10289" s="4">
        <v>4500218699</v>
      </c>
    </row>
    <row r="10290" spans="1:1" x14ac:dyDescent="0.35">
      <c r="A10290" s="4">
        <v>4500218800</v>
      </c>
    </row>
    <row r="10291" spans="1:1" x14ac:dyDescent="0.35">
      <c r="A10291" s="4">
        <v>4500218808</v>
      </c>
    </row>
    <row r="10292" spans="1:1" x14ac:dyDescent="0.35">
      <c r="A10292" s="4">
        <v>4500218820</v>
      </c>
    </row>
    <row r="10293" spans="1:1" x14ac:dyDescent="0.35">
      <c r="A10293" s="4">
        <v>4500218823</v>
      </c>
    </row>
    <row r="10294" spans="1:1" x14ac:dyDescent="0.35">
      <c r="A10294" s="4">
        <v>4500218831</v>
      </c>
    </row>
    <row r="10295" spans="1:1" x14ac:dyDescent="0.35">
      <c r="A10295" s="4">
        <v>4500218840</v>
      </c>
    </row>
    <row r="10296" spans="1:1" x14ac:dyDescent="0.35">
      <c r="A10296" s="4">
        <v>4500218845</v>
      </c>
    </row>
    <row r="10297" spans="1:1" x14ac:dyDescent="0.35">
      <c r="A10297" s="4">
        <v>4500218857</v>
      </c>
    </row>
    <row r="10298" spans="1:1" x14ac:dyDescent="0.35">
      <c r="A10298" s="4">
        <v>4500218866</v>
      </c>
    </row>
    <row r="10299" spans="1:1" x14ac:dyDescent="0.35">
      <c r="A10299" s="4">
        <v>4500218870</v>
      </c>
    </row>
    <row r="10300" spans="1:1" x14ac:dyDescent="0.35">
      <c r="A10300" s="4">
        <v>4500218884</v>
      </c>
    </row>
    <row r="10301" spans="1:1" x14ac:dyDescent="0.35">
      <c r="A10301" s="4">
        <v>4500218889</v>
      </c>
    </row>
    <row r="10302" spans="1:1" x14ac:dyDescent="0.35">
      <c r="A10302" s="4">
        <v>4500218894</v>
      </c>
    </row>
    <row r="10303" spans="1:1" x14ac:dyDescent="0.35">
      <c r="A10303" s="4">
        <v>4500218898</v>
      </c>
    </row>
    <row r="10304" spans="1:1" x14ac:dyDescent="0.35">
      <c r="A10304" s="4">
        <v>4500218904</v>
      </c>
    </row>
    <row r="10305" spans="1:1" x14ac:dyDescent="0.35">
      <c r="A10305" s="4">
        <v>4500218912</v>
      </c>
    </row>
    <row r="10306" spans="1:1" x14ac:dyDescent="0.35">
      <c r="A10306" s="4">
        <v>4500218918</v>
      </c>
    </row>
    <row r="10307" spans="1:1" x14ac:dyDescent="0.35">
      <c r="A10307" s="4">
        <v>4500218926</v>
      </c>
    </row>
    <row r="10308" spans="1:1" x14ac:dyDescent="0.35">
      <c r="A10308" s="4">
        <v>4500218929</v>
      </c>
    </row>
    <row r="10309" spans="1:1" x14ac:dyDescent="0.35">
      <c r="A10309" s="4">
        <v>4500218930</v>
      </c>
    </row>
    <row r="10310" spans="1:1" x14ac:dyDescent="0.35">
      <c r="A10310" s="4">
        <v>4500218932</v>
      </c>
    </row>
    <row r="10311" spans="1:1" x14ac:dyDescent="0.35">
      <c r="A10311" s="4">
        <v>4500218933</v>
      </c>
    </row>
    <row r="10312" spans="1:1" x14ac:dyDescent="0.35">
      <c r="A10312" s="4">
        <v>4500218936</v>
      </c>
    </row>
    <row r="10313" spans="1:1" x14ac:dyDescent="0.35">
      <c r="A10313" s="4">
        <v>4500218937</v>
      </c>
    </row>
    <row r="10314" spans="1:1" x14ac:dyDescent="0.35">
      <c r="A10314" s="4">
        <v>4500219030</v>
      </c>
    </row>
    <row r="10315" spans="1:1" x14ac:dyDescent="0.35">
      <c r="A10315" s="4">
        <v>4500219032</v>
      </c>
    </row>
    <row r="10316" spans="1:1" x14ac:dyDescent="0.35">
      <c r="A10316" s="4">
        <v>4500219037</v>
      </c>
    </row>
    <row r="10317" spans="1:1" x14ac:dyDescent="0.35">
      <c r="A10317" s="4">
        <v>4500219040</v>
      </c>
    </row>
    <row r="10318" spans="1:1" x14ac:dyDescent="0.35">
      <c r="A10318" s="4">
        <v>4500219044</v>
      </c>
    </row>
    <row r="10319" spans="1:1" x14ac:dyDescent="0.35">
      <c r="A10319" s="4">
        <v>4500219057</v>
      </c>
    </row>
    <row r="10320" spans="1:1" x14ac:dyDescent="0.35">
      <c r="A10320" s="4">
        <v>4500219063</v>
      </c>
    </row>
    <row r="10321" spans="1:1" x14ac:dyDescent="0.35">
      <c r="A10321" s="4">
        <v>4500219071</v>
      </c>
    </row>
    <row r="10322" spans="1:1" x14ac:dyDescent="0.35">
      <c r="A10322" s="4">
        <v>4500219079</v>
      </c>
    </row>
    <row r="10323" spans="1:1" x14ac:dyDescent="0.35">
      <c r="A10323" s="4">
        <v>4500219085</v>
      </c>
    </row>
    <row r="10324" spans="1:1" x14ac:dyDescent="0.35">
      <c r="A10324" s="4">
        <v>4500219090</v>
      </c>
    </row>
    <row r="10325" spans="1:1" x14ac:dyDescent="0.35">
      <c r="A10325" s="4">
        <v>4500219094</v>
      </c>
    </row>
    <row r="10326" spans="1:1" x14ac:dyDescent="0.35">
      <c r="A10326" s="4">
        <v>4500219096</v>
      </c>
    </row>
    <row r="10327" spans="1:1" x14ac:dyDescent="0.35">
      <c r="A10327" s="4">
        <v>4500219101</v>
      </c>
    </row>
    <row r="10328" spans="1:1" x14ac:dyDescent="0.35">
      <c r="A10328" s="4">
        <v>4500219106</v>
      </c>
    </row>
    <row r="10329" spans="1:1" x14ac:dyDescent="0.35">
      <c r="A10329" s="4">
        <v>4500219111</v>
      </c>
    </row>
    <row r="10330" spans="1:1" x14ac:dyDescent="0.35">
      <c r="A10330" s="4">
        <v>4500219115</v>
      </c>
    </row>
    <row r="10331" spans="1:1" x14ac:dyDescent="0.35">
      <c r="A10331" s="4">
        <v>4500219120</v>
      </c>
    </row>
    <row r="10332" spans="1:1" x14ac:dyDescent="0.35">
      <c r="A10332" s="4">
        <v>4500219124</v>
      </c>
    </row>
    <row r="10333" spans="1:1" x14ac:dyDescent="0.35">
      <c r="A10333" s="4">
        <v>4500219129</v>
      </c>
    </row>
    <row r="10334" spans="1:1" x14ac:dyDescent="0.35">
      <c r="A10334" s="4">
        <v>4500219133</v>
      </c>
    </row>
    <row r="10335" spans="1:1" x14ac:dyDescent="0.35">
      <c r="A10335" s="4">
        <v>4500219135</v>
      </c>
    </row>
    <row r="10336" spans="1:1" x14ac:dyDescent="0.35">
      <c r="A10336" s="4">
        <v>4500219141</v>
      </c>
    </row>
    <row r="10337" spans="1:1" x14ac:dyDescent="0.35">
      <c r="A10337" s="4">
        <v>4500219143</v>
      </c>
    </row>
    <row r="10338" spans="1:1" x14ac:dyDescent="0.35">
      <c r="A10338" s="4">
        <v>4500219145</v>
      </c>
    </row>
    <row r="10339" spans="1:1" x14ac:dyDescent="0.35">
      <c r="A10339" s="4">
        <v>4500219147</v>
      </c>
    </row>
    <row r="10340" spans="1:1" x14ac:dyDescent="0.35">
      <c r="A10340" s="4">
        <v>4500219251</v>
      </c>
    </row>
    <row r="10341" spans="1:1" x14ac:dyDescent="0.35">
      <c r="A10341" s="4">
        <v>4500219257</v>
      </c>
    </row>
    <row r="10342" spans="1:1" x14ac:dyDescent="0.35">
      <c r="A10342" s="4">
        <v>4500219264</v>
      </c>
    </row>
    <row r="10343" spans="1:1" x14ac:dyDescent="0.35">
      <c r="A10343" s="4">
        <v>4500219269</v>
      </c>
    </row>
    <row r="10344" spans="1:1" x14ac:dyDescent="0.35">
      <c r="A10344" s="4">
        <v>4500219274</v>
      </c>
    </row>
    <row r="10345" spans="1:1" x14ac:dyDescent="0.35">
      <c r="A10345" s="4">
        <v>4500219279</v>
      </c>
    </row>
    <row r="10346" spans="1:1" x14ac:dyDescent="0.35">
      <c r="A10346" s="4">
        <v>4500219289</v>
      </c>
    </row>
    <row r="10347" spans="1:1" x14ac:dyDescent="0.35">
      <c r="A10347" s="4">
        <v>4500219299</v>
      </c>
    </row>
    <row r="10348" spans="1:1" x14ac:dyDescent="0.35">
      <c r="A10348" s="4">
        <v>4500219303</v>
      </c>
    </row>
    <row r="10349" spans="1:1" x14ac:dyDescent="0.35">
      <c r="A10349" s="4">
        <v>4500219305</v>
      </c>
    </row>
    <row r="10350" spans="1:1" x14ac:dyDescent="0.35">
      <c r="A10350" s="4">
        <v>4500219310</v>
      </c>
    </row>
    <row r="10351" spans="1:1" x14ac:dyDescent="0.35">
      <c r="A10351" s="4">
        <v>4500219320</v>
      </c>
    </row>
    <row r="10352" spans="1:1" x14ac:dyDescent="0.35">
      <c r="A10352" s="4">
        <v>4500219321</v>
      </c>
    </row>
    <row r="10353" spans="1:1" x14ac:dyDescent="0.35">
      <c r="A10353" s="4">
        <v>4500219324</v>
      </c>
    </row>
    <row r="10354" spans="1:1" x14ac:dyDescent="0.35">
      <c r="A10354" s="4">
        <v>4500219328</v>
      </c>
    </row>
    <row r="10355" spans="1:1" x14ac:dyDescent="0.35">
      <c r="A10355" s="4">
        <v>4500219335</v>
      </c>
    </row>
    <row r="10356" spans="1:1" x14ac:dyDescent="0.35">
      <c r="A10356" s="4">
        <v>4500219337</v>
      </c>
    </row>
    <row r="10357" spans="1:1" x14ac:dyDescent="0.35">
      <c r="A10357" s="4">
        <v>4500219343</v>
      </c>
    </row>
    <row r="10358" spans="1:1" x14ac:dyDescent="0.35">
      <c r="A10358" s="4">
        <v>4500219347</v>
      </c>
    </row>
    <row r="10359" spans="1:1" x14ac:dyDescent="0.35">
      <c r="A10359" s="4">
        <v>4500219349</v>
      </c>
    </row>
    <row r="10360" spans="1:1" x14ac:dyDescent="0.35">
      <c r="A10360" s="4">
        <v>4500219351</v>
      </c>
    </row>
    <row r="10361" spans="1:1" x14ac:dyDescent="0.35">
      <c r="A10361" s="4">
        <v>4500219353</v>
      </c>
    </row>
    <row r="10362" spans="1:1" x14ac:dyDescent="0.35">
      <c r="A10362" s="4">
        <v>4500219355</v>
      </c>
    </row>
    <row r="10363" spans="1:1" x14ac:dyDescent="0.35">
      <c r="A10363" s="4">
        <v>4500219484</v>
      </c>
    </row>
    <row r="10364" spans="1:1" x14ac:dyDescent="0.35">
      <c r="A10364" s="4">
        <v>4500219488</v>
      </c>
    </row>
    <row r="10365" spans="1:1" x14ac:dyDescent="0.35">
      <c r="A10365" s="4">
        <v>4500219492</v>
      </c>
    </row>
    <row r="10366" spans="1:1" x14ac:dyDescent="0.35">
      <c r="A10366" s="4">
        <v>4500219500</v>
      </c>
    </row>
    <row r="10367" spans="1:1" x14ac:dyDescent="0.35">
      <c r="A10367" s="4">
        <v>4500219515</v>
      </c>
    </row>
    <row r="10368" spans="1:1" x14ac:dyDescent="0.35">
      <c r="A10368" s="4">
        <v>4500219519</v>
      </c>
    </row>
    <row r="10369" spans="1:1" x14ac:dyDescent="0.35">
      <c r="A10369" s="4">
        <v>4500219523</v>
      </c>
    </row>
    <row r="10370" spans="1:1" x14ac:dyDescent="0.35">
      <c r="A10370" s="4">
        <v>4500219538</v>
      </c>
    </row>
    <row r="10371" spans="1:1" x14ac:dyDescent="0.35">
      <c r="A10371" s="4">
        <v>4500219545</v>
      </c>
    </row>
    <row r="10372" spans="1:1" x14ac:dyDescent="0.35">
      <c r="A10372" s="4">
        <v>4500219549</v>
      </c>
    </row>
    <row r="10373" spans="1:1" x14ac:dyDescent="0.35">
      <c r="A10373" s="4">
        <v>4500219557</v>
      </c>
    </row>
    <row r="10374" spans="1:1" x14ac:dyDescent="0.35">
      <c r="A10374" s="4">
        <v>4500219561</v>
      </c>
    </row>
    <row r="10375" spans="1:1" x14ac:dyDescent="0.35">
      <c r="A10375" s="4">
        <v>4500219566</v>
      </c>
    </row>
    <row r="10376" spans="1:1" x14ac:dyDescent="0.35">
      <c r="A10376" s="4">
        <v>4500219567</v>
      </c>
    </row>
    <row r="10377" spans="1:1" x14ac:dyDescent="0.35">
      <c r="A10377" s="4">
        <v>4500219571</v>
      </c>
    </row>
    <row r="10378" spans="1:1" x14ac:dyDescent="0.35">
      <c r="A10378" s="4">
        <v>4500219576</v>
      </c>
    </row>
    <row r="10379" spans="1:1" x14ac:dyDescent="0.35">
      <c r="A10379" s="4">
        <v>4500219578</v>
      </c>
    </row>
    <row r="10380" spans="1:1" x14ac:dyDescent="0.35">
      <c r="A10380" s="4">
        <v>4500219689</v>
      </c>
    </row>
    <row r="10381" spans="1:1" x14ac:dyDescent="0.35">
      <c r="A10381" s="4">
        <v>4500219695</v>
      </c>
    </row>
    <row r="10382" spans="1:1" x14ac:dyDescent="0.35">
      <c r="A10382" s="4">
        <v>4500219699</v>
      </c>
    </row>
    <row r="10383" spans="1:1" x14ac:dyDescent="0.35">
      <c r="A10383" s="4">
        <v>4500219706</v>
      </c>
    </row>
    <row r="10384" spans="1:1" x14ac:dyDescent="0.35">
      <c r="A10384" s="4">
        <v>4500219712</v>
      </c>
    </row>
    <row r="10385" spans="1:1" x14ac:dyDescent="0.35">
      <c r="A10385" s="4">
        <v>4500219714</v>
      </c>
    </row>
    <row r="10386" spans="1:1" x14ac:dyDescent="0.35">
      <c r="A10386" s="4">
        <v>4500219718</v>
      </c>
    </row>
    <row r="10387" spans="1:1" x14ac:dyDescent="0.35">
      <c r="A10387" s="4">
        <v>4500219721</v>
      </c>
    </row>
    <row r="10388" spans="1:1" x14ac:dyDescent="0.35">
      <c r="A10388" s="4">
        <v>4500219723</v>
      </c>
    </row>
    <row r="10389" spans="1:1" x14ac:dyDescent="0.35">
      <c r="A10389" s="4">
        <v>4500219728</v>
      </c>
    </row>
    <row r="10390" spans="1:1" x14ac:dyDescent="0.35">
      <c r="A10390" s="4">
        <v>4500219733</v>
      </c>
    </row>
    <row r="10391" spans="1:1" x14ac:dyDescent="0.35">
      <c r="A10391" s="4">
        <v>4500219743</v>
      </c>
    </row>
    <row r="10392" spans="1:1" x14ac:dyDescent="0.35">
      <c r="A10392" s="4">
        <v>4500219751</v>
      </c>
    </row>
    <row r="10393" spans="1:1" x14ac:dyDescent="0.35">
      <c r="A10393" s="4">
        <v>4500219765</v>
      </c>
    </row>
    <row r="10394" spans="1:1" x14ac:dyDescent="0.35">
      <c r="A10394" s="4">
        <v>4500219768</v>
      </c>
    </row>
    <row r="10395" spans="1:1" x14ac:dyDescent="0.35">
      <c r="A10395" s="4">
        <v>4500219770</v>
      </c>
    </row>
    <row r="10396" spans="1:1" x14ac:dyDescent="0.35">
      <c r="A10396" s="4">
        <v>4500219772</v>
      </c>
    </row>
    <row r="10397" spans="1:1" x14ac:dyDescent="0.35">
      <c r="A10397" s="4">
        <v>4500219774</v>
      </c>
    </row>
    <row r="10398" spans="1:1" x14ac:dyDescent="0.35">
      <c r="A10398" s="4">
        <v>4500219796</v>
      </c>
    </row>
    <row r="10399" spans="1:1" x14ac:dyDescent="0.35">
      <c r="A10399" s="4">
        <v>4500219873</v>
      </c>
    </row>
    <row r="10400" spans="1:1" x14ac:dyDescent="0.35">
      <c r="A10400" s="4">
        <v>4500219888</v>
      </c>
    </row>
    <row r="10401" spans="1:1" x14ac:dyDescent="0.35">
      <c r="A10401" s="4">
        <v>4500219894</v>
      </c>
    </row>
    <row r="10402" spans="1:1" x14ac:dyDescent="0.35">
      <c r="A10402" s="4">
        <v>4500219899</v>
      </c>
    </row>
    <row r="10403" spans="1:1" x14ac:dyDescent="0.35">
      <c r="A10403" s="4">
        <v>4500219910</v>
      </c>
    </row>
    <row r="10404" spans="1:1" x14ac:dyDescent="0.35">
      <c r="A10404" s="4">
        <v>4500219930</v>
      </c>
    </row>
    <row r="10405" spans="1:1" x14ac:dyDescent="0.35">
      <c r="A10405" s="4">
        <v>4500219941</v>
      </c>
    </row>
    <row r="10406" spans="1:1" x14ac:dyDescent="0.35">
      <c r="A10406" s="4">
        <v>4500219950</v>
      </c>
    </row>
    <row r="10407" spans="1:1" x14ac:dyDescent="0.35">
      <c r="A10407" s="4">
        <v>4500219955</v>
      </c>
    </row>
    <row r="10408" spans="1:1" x14ac:dyDescent="0.35">
      <c r="A10408" s="4">
        <v>4500219965</v>
      </c>
    </row>
    <row r="10409" spans="1:1" x14ac:dyDescent="0.35">
      <c r="A10409" s="4">
        <v>4500219969</v>
      </c>
    </row>
    <row r="10410" spans="1:1" x14ac:dyDescent="0.35">
      <c r="A10410" s="4">
        <v>4500219972</v>
      </c>
    </row>
    <row r="10411" spans="1:1" x14ac:dyDescent="0.35">
      <c r="A10411" s="4">
        <v>4500219979</v>
      </c>
    </row>
    <row r="10412" spans="1:1" x14ac:dyDescent="0.35">
      <c r="A10412" s="4">
        <v>4500219982</v>
      </c>
    </row>
    <row r="10413" spans="1:1" x14ac:dyDescent="0.35">
      <c r="A10413" s="4">
        <v>4500219986</v>
      </c>
    </row>
    <row r="10414" spans="1:1" x14ac:dyDescent="0.35">
      <c r="A10414" s="4">
        <v>4500219992</v>
      </c>
    </row>
    <row r="10415" spans="1:1" x14ac:dyDescent="0.35">
      <c r="A10415" s="4">
        <v>4500219994</v>
      </c>
    </row>
    <row r="10416" spans="1:1" x14ac:dyDescent="0.35">
      <c r="A10416" s="4">
        <v>4500219996</v>
      </c>
    </row>
    <row r="10417" spans="1:1" x14ac:dyDescent="0.35">
      <c r="A10417" s="4">
        <v>4500219997</v>
      </c>
    </row>
    <row r="10418" spans="1:1" x14ac:dyDescent="0.35">
      <c r="A10418" s="4">
        <v>4500219998</v>
      </c>
    </row>
    <row r="10419" spans="1:1" x14ac:dyDescent="0.35">
      <c r="A10419" s="4">
        <v>4500220000</v>
      </c>
    </row>
    <row r="10420" spans="1:1" x14ac:dyDescent="0.35">
      <c r="A10420" s="4">
        <v>4500220002</v>
      </c>
    </row>
    <row r="10421" spans="1:1" x14ac:dyDescent="0.35">
      <c r="A10421" s="4">
        <v>4500220004</v>
      </c>
    </row>
    <row r="10422" spans="1:1" x14ac:dyDescent="0.35">
      <c r="A10422" s="4">
        <v>4500220005</v>
      </c>
    </row>
    <row r="10423" spans="1:1" x14ac:dyDescent="0.35">
      <c r="A10423" s="4">
        <v>4500220006</v>
      </c>
    </row>
    <row r="10424" spans="1:1" x14ac:dyDescent="0.35">
      <c r="A10424" s="4">
        <v>4500220008</v>
      </c>
    </row>
    <row r="10425" spans="1:1" x14ac:dyDescent="0.35">
      <c r="A10425" s="4">
        <v>4500220009</v>
      </c>
    </row>
    <row r="10426" spans="1:1" x14ac:dyDescent="0.35">
      <c r="A10426" s="4">
        <v>4500220017</v>
      </c>
    </row>
    <row r="10427" spans="1:1" x14ac:dyDescent="0.35">
      <c r="A10427" s="4">
        <v>4500220099</v>
      </c>
    </row>
    <row r="10428" spans="1:1" x14ac:dyDescent="0.35">
      <c r="A10428" s="4">
        <v>4500220100</v>
      </c>
    </row>
    <row r="10429" spans="1:1" x14ac:dyDescent="0.35">
      <c r="A10429" s="4">
        <v>4500220102</v>
      </c>
    </row>
    <row r="10430" spans="1:1" x14ac:dyDescent="0.35">
      <c r="A10430" s="4">
        <v>4500220106</v>
      </c>
    </row>
    <row r="10431" spans="1:1" x14ac:dyDescent="0.35">
      <c r="A10431" s="4">
        <v>4500220111</v>
      </c>
    </row>
    <row r="10432" spans="1:1" x14ac:dyDescent="0.35">
      <c r="A10432" s="4">
        <v>4500220119</v>
      </c>
    </row>
    <row r="10433" spans="1:1" x14ac:dyDescent="0.35">
      <c r="A10433" s="4">
        <v>4500220123</v>
      </c>
    </row>
    <row r="10434" spans="1:1" x14ac:dyDescent="0.35">
      <c r="A10434" s="4">
        <v>4500220126</v>
      </c>
    </row>
    <row r="10435" spans="1:1" x14ac:dyDescent="0.35">
      <c r="A10435" s="4">
        <v>4500220130</v>
      </c>
    </row>
    <row r="10436" spans="1:1" x14ac:dyDescent="0.35">
      <c r="A10436" s="4">
        <v>4500220135</v>
      </c>
    </row>
    <row r="10437" spans="1:1" x14ac:dyDescent="0.35">
      <c r="A10437" s="4">
        <v>4500220139</v>
      </c>
    </row>
    <row r="10438" spans="1:1" x14ac:dyDescent="0.35">
      <c r="A10438" s="4">
        <v>4500220141</v>
      </c>
    </row>
    <row r="10439" spans="1:1" x14ac:dyDescent="0.35">
      <c r="A10439" s="4">
        <v>4500220146</v>
      </c>
    </row>
    <row r="10440" spans="1:1" x14ac:dyDescent="0.35">
      <c r="A10440" s="4">
        <v>4500220151</v>
      </c>
    </row>
    <row r="10441" spans="1:1" x14ac:dyDescent="0.35">
      <c r="A10441" s="4">
        <v>4500220156</v>
      </c>
    </row>
    <row r="10442" spans="1:1" x14ac:dyDescent="0.35">
      <c r="A10442" s="4">
        <v>4500220158</v>
      </c>
    </row>
    <row r="10443" spans="1:1" x14ac:dyDescent="0.35">
      <c r="A10443" s="4">
        <v>4500220162</v>
      </c>
    </row>
    <row r="10444" spans="1:1" x14ac:dyDescent="0.35">
      <c r="A10444" s="4">
        <v>4500220287</v>
      </c>
    </row>
    <row r="10445" spans="1:1" x14ac:dyDescent="0.35">
      <c r="A10445" s="4">
        <v>4500220295</v>
      </c>
    </row>
    <row r="10446" spans="1:1" x14ac:dyDescent="0.35">
      <c r="A10446" s="4">
        <v>4500220301</v>
      </c>
    </row>
    <row r="10447" spans="1:1" x14ac:dyDescent="0.35">
      <c r="A10447" s="4">
        <v>4500220308</v>
      </c>
    </row>
    <row r="10448" spans="1:1" x14ac:dyDescent="0.35">
      <c r="A10448" s="4">
        <v>4500220314</v>
      </c>
    </row>
    <row r="10449" spans="1:1" x14ac:dyDescent="0.35">
      <c r="A10449" s="4">
        <v>4500220328</v>
      </c>
    </row>
    <row r="10450" spans="1:1" x14ac:dyDescent="0.35">
      <c r="A10450" s="4">
        <v>4500220336</v>
      </c>
    </row>
    <row r="10451" spans="1:1" x14ac:dyDescent="0.35">
      <c r="A10451" s="4">
        <v>4500220340</v>
      </c>
    </row>
    <row r="10452" spans="1:1" x14ac:dyDescent="0.35">
      <c r="A10452" s="4">
        <v>4500220344</v>
      </c>
    </row>
    <row r="10453" spans="1:1" x14ac:dyDescent="0.35">
      <c r="A10453" s="4">
        <v>4500220348</v>
      </c>
    </row>
    <row r="10454" spans="1:1" x14ac:dyDescent="0.35">
      <c r="A10454" s="4">
        <v>4500220352</v>
      </c>
    </row>
    <row r="10455" spans="1:1" x14ac:dyDescent="0.35">
      <c r="A10455" s="4">
        <v>4500220355</v>
      </c>
    </row>
    <row r="10456" spans="1:1" x14ac:dyDescent="0.35">
      <c r="A10456" s="4">
        <v>4500220359</v>
      </c>
    </row>
    <row r="10457" spans="1:1" x14ac:dyDescent="0.35">
      <c r="A10457" s="4">
        <v>4500220365</v>
      </c>
    </row>
    <row r="10458" spans="1:1" x14ac:dyDescent="0.35">
      <c r="A10458" s="4">
        <v>4500220368</v>
      </c>
    </row>
    <row r="10459" spans="1:1" x14ac:dyDescent="0.35">
      <c r="A10459" s="4">
        <v>4500220371</v>
      </c>
    </row>
    <row r="10460" spans="1:1" x14ac:dyDescent="0.35">
      <c r="A10460" s="4">
        <v>4500220375</v>
      </c>
    </row>
    <row r="10461" spans="1:1" x14ac:dyDescent="0.35">
      <c r="A10461" s="4">
        <v>4500220491</v>
      </c>
    </row>
    <row r="10462" spans="1:1" x14ac:dyDescent="0.35">
      <c r="A10462" s="4">
        <v>4500220497</v>
      </c>
    </row>
    <row r="10463" spans="1:1" x14ac:dyDescent="0.35">
      <c r="A10463" s="4">
        <v>4500220501</v>
      </c>
    </row>
    <row r="10464" spans="1:1" x14ac:dyDescent="0.35">
      <c r="A10464" s="4">
        <v>4500220508</v>
      </c>
    </row>
    <row r="10465" spans="1:1" x14ac:dyDescent="0.35">
      <c r="A10465" s="4">
        <v>4500220516</v>
      </c>
    </row>
    <row r="10466" spans="1:1" x14ac:dyDescent="0.35">
      <c r="A10466" s="4">
        <v>4500220526</v>
      </c>
    </row>
    <row r="10467" spans="1:1" x14ac:dyDescent="0.35">
      <c r="A10467" s="4">
        <v>4500220529</v>
      </c>
    </row>
    <row r="10468" spans="1:1" x14ac:dyDescent="0.35">
      <c r="A10468" s="4">
        <v>4500220536</v>
      </c>
    </row>
    <row r="10469" spans="1:1" x14ac:dyDescent="0.35">
      <c r="A10469" s="4">
        <v>4500220539</v>
      </c>
    </row>
    <row r="10470" spans="1:1" x14ac:dyDescent="0.35">
      <c r="A10470" s="4">
        <v>4500220542</v>
      </c>
    </row>
    <row r="10471" spans="1:1" x14ac:dyDescent="0.35">
      <c r="A10471" s="4">
        <v>4500220545</v>
      </c>
    </row>
    <row r="10472" spans="1:1" x14ac:dyDescent="0.35">
      <c r="A10472" s="4">
        <v>4500220546</v>
      </c>
    </row>
    <row r="10473" spans="1:1" x14ac:dyDescent="0.35">
      <c r="A10473" s="4">
        <v>4500220553</v>
      </c>
    </row>
    <row r="10474" spans="1:1" x14ac:dyDescent="0.35">
      <c r="A10474" s="4">
        <v>4500220555</v>
      </c>
    </row>
    <row r="10475" spans="1:1" x14ac:dyDescent="0.35">
      <c r="A10475" s="4">
        <v>4500220558</v>
      </c>
    </row>
    <row r="10476" spans="1:1" x14ac:dyDescent="0.35">
      <c r="A10476" s="4">
        <v>4500220563</v>
      </c>
    </row>
    <row r="10477" spans="1:1" x14ac:dyDescent="0.35">
      <c r="A10477" s="4">
        <v>4500220564</v>
      </c>
    </row>
    <row r="10478" spans="1:1" x14ac:dyDescent="0.35">
      <c r="A10478" s="4">
        <v>4500220571</v>
      </c>
    </row>
    <row r="10479" spans="1:1" x14ac:dyDescent="0.35">
      <c r="A10479" s="4">
        <v>4500220573</v>
      </c>
    </row>
    <row r="10480" spans="1:1" x14ac:dyDescent="0.35">
      <c r="A10480" s="4">
        <v>4500220657</v>
      </c>
    </row>
    <row r="10481" spans="1:1" x14ac:dyDescent="0.35">
      <c r="A10481" s="4">
        <v>4500220670</v>
      </c>
    </row>
    <row r="10482" spans="1:1" x14ac:dyDescent="0.35">
      <c r="A10482" s="4">
        <v>4500220676</v>
      </c>
    </row>
    <row r="10483" spans="1:1" x14ac:dyDescent="0.35">
      <c r="A10483" s="4">
        <v>4500220683</v>
      </c>
    </row>
    <row r="10484" spans="1:1" x14ac:dyDescent="0.35">
      <c r="A10484" s="4">
        <v>4500220688</v>
      </c>
    </row>
    <row r="10485" spans="1:1" x14ac:dyDescent="0.35">
      <c r="A10485" s="4">
        <v>4500220699</v>
      </c>
    </row>
    <row r="10486" spans="1:1" x14ac:dyDescent="0.35">
      <c r="A10486" s="4">
        <v>4500220702</v>
      </c>
    </row>
    <row r="10487" spans="1:1" x14ac:dyDescent="0.35">
      <c r="A10487" s="4">
        <v>4500220706</v>
      </c>
    </row>
    <row r="10488" spans="1:1" x14ac:dyDescent="0.35">
      <c r="A10488" s="4">
        <v>4500220710</v>
      </c>
    </row>
    <row r="10489" spans="1:1" x14ac:dyDescent="0.35">
      <c r="A10489" s="4">
        <v>4500220712</v>
      </c>
    </row>
    <row r="10490" spans="1:1" x14ac:dyDescent="0.35">
      <c r="A10490" s="4">
        <v>4500220715</v>
      </c>
    </row>
    <row r="10491" spans="1:1" x14ac:dyDescent="0.35">
      <c r="A10491" s="4">
        <v>4500220718</v>
      </c>
    </row>
    <row r="10492" spans="1:1" x14ac:dyDescent="0.35">
      <c r="A10492" s="4">
        <v>4500220719</v>
      </c>
    </row>
    <row r="10493" spans="1:1" x14ac:dyDescent="0.35">
      <c r="A10493" s="4">
        <v>4500220729</v>
      </c>
    </row>
    <row r="10494" spans="1:1" x14ac:dyDescent="0.35">
      <c r="A10494" s="4">
        <v>4500220731</v>
      </c>
    </row>
    <row r="10495" spans="1:1" x14ac:dyDescent="0.35">
      <c r="A10495" s="4">
        <v>4500220733</v>
      </c>
    </row>
    <row r="10496" spans="1:1" x14ac:dyDescent="0.35">
      <c r="A10496" s="4">
        <v>4500220735</v>
      </c>
    </row>
    <row r="10497" spans="1:1" x14ac:dyDescent="0.35">
      <c r="A10497" s="4">
        <v>4500220736</v>
      </c>
    </row>
    <row r="10498" spans="1:1" x14ac:dyDescent="0.35">
      <c r="A10498" s="4">
        <v>4500220737</v>
      </c>
    </row>
    <row r="10499" spans="1:1" x14ac:dyDescent="0.35">
      <c r="A10499" s="4">
        <v>4500220833</v>
      </c>
    </row>
    <row r="10500" spans="1:1" x14ac:dyDescent="0.35">
      <c r="A10500" s="4">
        <v>4500220837</v>
      </c>
    </row>
    <row r="10501" spans="1:1" x14ac:dyDescent="0.35">
      <c r="A10501" s="4">
        <v>4500220843</v>
      </c>
    </row>
    <row r="10502" spans="1:1" x14ac:dyDescent="0.35">
      <c r="A10502" s="4">
        <v>4500220848</v>
      </c>
    </row>
    <row r="10503" spans="1:1" x14ac:dyDescent="0.35">
      <c r="A10503" s="4">
        <v>4500220856</v>
      </c>
    </row>
    <row r="10504" spans="1:1" x14ac:dyDescent="0.35">
      <c r="A10504" s="4">
        <v>4500220861</v>
      </c>
    </row>
    <row r="10505" spans="1:1" x14ac:dyDescent="0.35">
      <c r="A10505" s="4">
        <v>4500220872</v>
      </c>
    </row>
    <row r="10506" spans="1:1" x14ac:dyDescent="0.35">
      <c r="A10506" s="4">
        <v>4500220877</v>
      </c>
    </row>
    <row r="10507" spans="1:1" x14ac:dyDescent="0.35">
      <c r="A10507" s="4">
        <v>4500220904</v>
      </c>
    </row>
    <row r="10508" spans="1:1" x14ac:dyDescent="0.35">
      <c r="A10508" s="4">
        <v>4500220919</v>
      </c>
    </row>
    <row r="10509" spans="1:1" x14ac:dyDescent="0.35">
      <c r="A10509" s="4">
        <v>4500220928</v>
      </c>
    </row>
    <row r="10510" spans="1:1" x14ac:dyDescent="0.35">
      <c r="A10510" s="4">
        <v>4500220941</v>
      </c>
    </row>
    <row r="10511" spans="1:1" x14ac:dyDescent="0.35">
      <c r="A10511" s="4">
        <v>4500220963</v>
      </c>
    </row>
    <row r="10512" spans="1:1" x14ac:dyDescent="0.35">
      <c r="A10512" s="4">
        <v>4500220964</v>
      </c>
    </row>
    <row r="10513" spans="1:1" x14ac:dyDescent="0.35">
      <c r="A10513" s="4">
        <v>4500221043</v>
      </c>
    </row>
    <row r="10514" spans="1:1" x14ac:dyDescent="0.35">
      <c r="A10514" s="4">
        <v>4500221047</v>
      </c>
    </row>
    <row r="10515" spans="1:1" x14ac:dyDescent="0.35">
      <c r="A10515" s="4">
        <v>4500221058</v>
      </c>
    </row>
    <row r="10516" spans="1:1" x14ac:dyDescent="0.35">
      <c r="A10516" s="4">
        <v>4500221066</v>
      </c>
    </row>
    <row r="10517" spans="1:1" x14ac:dyDescent="0.35">
      <c r="A10517" s="4">
        <v>4500221076</v>
      </c>
    </row>
    <row r="10518" spans="1:1" x14ac:dyDescent="0.35">
      <c r="A10518" s="4">
        <v>4500221080</v>
      </c>
    </row>
    <row r="10519" spans="1:1" x14ac:dyDescent="0.35">
      <c r="A10519" s="4">
        <v>4500221083</v>
      </c>
    </row>
    <row r="10520" spans="1:1" x14ac:dyDescent="0.35">
      <c r="A10520" s="4">
        <v>4500221087</v>
      </c>
    </row>
    <row r="10521" spans="1:1" x14ac:dyDescent="0.35">
      <c r="A10521" s="4">
        <v>4500221092</v>
      </c>
    </row>
    <row r="10522" spans="1:1" x14ac:dyDescent="0.35">
      <c r="A10522" s="4">
        <v>4500221095</v>
      </c>
    </row>
    <row r="10523" spans="1:1" x14ac:dyDescent="0.35">
      <c r="A10523" s="4">
        <v>4500221103</v>
      </c>
    </row>
    <row r="10524" spans="1:1" x14ac:dyDescent="0.35">
      <c r="A10524" s="4">
        <v>4500221109</v>
      </c>
    </row>
    <row r="10525" spans="1:1" x14ac:dyDescent="0.35">
      <c r="A10525" s="4">
        <v>4500221111</v>
      </c>
    </row>
    <row r="10526" spans="1:1" x14ac:dyDescent="0.35">
      <c r="A10526" s="4">
        <v>4500221114</v>
      </c>
    </row>
    <row r="10527" spans="1:1" x14ac:dyDescent="0.35">
      <c r="A10527" s="4">
        <v>4500221117</v>
      </c>
    </row>
    <row r="10528" spans="1:1" x14ac:dyDescent="0.35">
      <c r="A10528" s="4">
        <v>4500221121</v>
      </c>
    </row>
    <row r="10529" spans="1:1" x14ac:dyDescent="0.35">
      <c r="A10529" s="4">
        <v>4500221125</v>
      </c>
    </row>
    <row r="10530" spans="1:1" x14ac:dyDescent="0.35">
      <c r="A10530" s="4">
        <v>4500221147</v>
      </c>
    </row>
    <row r="10531" spans="1:1" x14ac:dyDescent="0.35">
      <c r="A10531" s="4">
        <v>4500221220</v>
      </c>
    </row>
    <row r="10532" spans="1:1" x14ac:dyDescent="0.35">
      <c r="A10532" s="4">
        <v>4500221223</v>
      </c>
    </row>
    <row r="10533" spans="1:1" x14ac:dyDescent="0.35">
      <c r="A10533" s="4">
        <v>4500221226</v>
      </c>
    </row>
    <row r="10534" spans="1:1" x14ac:dyDescent="0.35">
      <c r="A10534" s="4">
        <v>4500221230</v>
      </c>
    </row>
    <row r="10535" spans="1:1" x14ac:dyDescent="0.35">
      <c r="A10535" s="4">
        <v>4500221234</v>
      </c>
    </row>
    <row r="10536" spans="1:1" x14ac:dyDescent="0.35">
      <c r="A10536" s="4">
        <v>4500221247</v>
      </c>
    </row>
    <row r="10537" spans="1:1" x14ac:dyDescent="0.35">
      <c r="A10537" s="4">
        <v>4500221251</v>
      </c>
    </row>
    <row r="10538" spans="1:1" x14ac:dyDescent="0.35">
      <c r="A10538" s="4">
        <v>4500221256</v>
      </c>
    </row>
    <row r="10539" spans="1:1" x14ac:dyDescent="0.35">
      <c r="A10539" s="4">
        <v>4500221260</v>
      </c>
    </row>
    <row r="10540" spans="1:1" x14ac:dyDescent="0.35">
      <c r="A10540" s="4">
        <v>4500221262</v>
      </c>
    </row>
    <row r="10541" spans="1:1" x14ac:dyDescent="0.35">
      <c r="A10541" s="4">
        <v>4500221267</v>
      </c>
    </row>
    <row r="10542" spans="1:1" x14ac:dyDescent="0.35">
      <c r="A10542" s="4">
        <v>4500221273</v>
      </c>
    </row>
    <row r="10543" spans="1:1" x14ac:dyDescent="0.35">
      <c r="A10543" s="4">
        <v>4500221275</v>
      </c>
    </row>
    <row r="10544" spans="1:1" x14ac:dyDescent="0.35">
      <c r="A10544" s="4">
        <v>4500221277</v>
      </c>
    </row>
    <row r="10545" spans="1:1" x14ac:dyDescent="0.35">
      <c r="A10545" s="4">
        <v>4500221279</v>
      </c>
    </row>
    <row r="10546" spans="1:1" x14ac:dyDescent="0.35">
      <c r="A10546" s="4">
        <v>4500221284</v>
      </c>
    </row>
    <row r="10547" spans="1:1" x14ac:dyDescent="0.35">
      <c r="A10547" s="4">
        <v>4500221287</v>
      </c>
    </row>
    <row r="10548" spans="1:1" x14ac:dyDescent="0.35">
      <c r="A10548" s="4">
        <v>4500221350</v>
      </c>
    </row>
    <row r="10549" spans="1:1" x14ac:dyDescent="0.35">
      <c r="A10549" s="4">
        <v>4500221432</v>
      </c>
    </row>
    <row r="10550" spans="1:1" x14ac:dyDescent="0.35">
      <c r="A10550" s="4">
        <v>4500221437</v>
      </c>
    </row>
    <row r="10551" spans="1:1" x14ac:dyDescent="0.35">
      <c r="A10551" s="4">
        <v>4500221443</v>
      </c>
    </row>
    <row r="10552" spans="1:1" x14ac:dyDescent="0.35">
      <c r="A10552" s="4">
        <v>4500221450</v>
      </c>
    </row>
    <row r="10553" spans="1:1" x14ac:dyDescent="0.35">
      <c r="A10553" s="4">
        <v>4500221459</v>
      </c>
    </row>
    <row r="10554" spans="1:1" x14ac:dyDescent="0.35">
      <c r="A10554" s="4">
        <v>4500221475</v>
      </c>
    </row>
    <row r="10555" spans="1:1" x14ac:dyDescent="0.35">
      <c r="A10555" s="4">
        <v>4500221478</v>
      </c>
    </row>
    <row r="10556" spans="1:1" x14ac:dyDescent="0.35">
      <c r="A10556" s="4">
        <v>4500221479</v>
      </c>
    </row>
    <row r="10557" spans="1:1" x14ac:dyDescent="0.35">
      <c r="A10557" s="4">
        <v>4500221486</v>
      </c>
    </row>
    <row r="10558" spans="1:1" x14ac:dyDescent="0.35">
      <c r="A10558" s="4">
        <v>4500221488</v>
      </c>
    </row>
    <row r="10559" spans="1:1" x14ac:dyDescent="0.35">
      <c r="A10559" s="4">
        <v>4500221490</v>
      </c>
    </row>
    <row r="10560" spans="1:1" x14ac:dyDescent="0.35">
      <c r="A10560" s="4">
        <v>4500221493</v>
      </c>
    </row>
    <row r="10561" spans="1:1" x14ac:dyDescent="0.35">
      <c r="A10561" s="4">
        <v>4500221496</v>
      </c>
    </row>
    <row r="10562" spans="1:1" x14ac:dyDescent="0.35">
      <c r="A10562" s="4">
        <v>4500221497</v>
      </c>
    </row>
    <row r="10563" spans="1:1" x14ac:dyDescent="0.35">
      <c r="A10563" s="4">
        <v>4500221498</v>
      </c>
    </row>
    <row r="10564" spans="1:1" x14ac:dyDescent="0.35">
      <c r="A10564" s="4">
        <v>4500221501</v>
      </c>
    </row>
    <row r="10565" spans="1:1" x14ac:dyDescent="0.35">
      <c r="A10565" s="4">
        <v>4500221502</v>
      </c>
    </row>
    <row r="10566" spans="1:1" x14ac:dyDescent="0.35">
      <c r="A10566" s="4">
        <v>4500221625</v>
      </c>
    </row>
    <row r="10567" spans="1:1" x14ac:dyDescent="0.35">
      <c r="A10567" s="4">
        <v>4500221629</v>
      </c>
    </row>
    <row r="10568" spans="1:1" x14ac:dyDescent="0.35">
      <c r="A10568" s="4">
        <v>4500221632</v>
      </c>
    </row>
    <row r="10569" spans="1:1" x14ac:dyDescent="0.35">
      <c r="A10569" s="4">
        <v>4500221635</v>
      </c>
    </row>
    <row r="10570" spans="1:1" x14ac:dyDescent="0.35">
      <c r="A10570" s="4">
        <v>4500221639</v>
      </c>
    </row>
    <row r="10571" spans="1:1" x14ac:dyDescent="0.35">
      <c r="A10571" s="4">
        <v>4500221644</v>
      </c>
    </row>
    <row r="10572" spans="1:1" x14ac:dyDescent="0.35">
      <c r="A10572" s="4">
        <v>4500221647</v>
      </c>
    </row>
    <row r="10573" spans="1:1" x14ac:dyDescent="0.35">
      <c r="A10573" s="4">
        <v>4500221648</v>
      </c>
    </row>
    <row r="10574" spans="1:1" x14ac:dyDescent="0.35">
      <c r="A10574" s="4">
        <v>4500221653</v>
      </c>
    </row>
    <row r="10575" spans="1:1" x14ac:dyDescent="0.35">
      <c r="A10575" s="4">
        <v>4500221657</v>
      </c>
    </row>
    <row r="10576" spans="1:1" x14ac:dyDescent="0.35">
      <c r="A10576" s="4">
        <v>4500221659</v>
      </c>
    </row>
    <row r="10577" spans="1:1" x14ac:dyDescent="0.35">
      <c r="A10577" s="4">
        <v>4500221664</v>
      </c>
    </row>
    <row r="10578" spans="1:1" x14ac:dyDescent="0.35">
      <c r="A10578" s="4">
        <v>4500221668</v>
      </c>
    </row>
    <row r="10579" spans="1:1" x14ac:dyDescent="0.35">
      <c r="A10579" s="4">
        <v>4500221672</v>
      </c>
    </row>
    <row r="10580" spans="1:1" x14ac:dyDescent="0.35">
      <c r="A10580" s="4">
        <v>4500221675</v>
      </c>
    </row>
    <row r="10581" spans="1:1" x14ac:dyDescent="0.35">
      <c r="A10581" s="4">
        <v>4500221677</v>
      </c>
    </row>
    <row r="10582" spans="1:1" x14ac:dyDescent="0.35">
      <c r="A10582" s="4">
        <v>4500221679</v>
      </c>
    </row>
    <row r="10583" spans="1:1" x14ac:dyDescent="0.35">
      <c r="A10583" s="4">
        <v>4500221682</v>
      </c>
    </row>
    <row r="10584" spans="1:1" x14ac:dyDescent="0.35">
      <c r="A10584" s="4">
        <v>4500221686</v>
      </c>
    </row>
    <row r="10585" spans="1:1" x14ac:dyDescent="0.35">
      <c r="A10585" s="4">
        <v>4500221688</v>
      </c>
    </row>
    <row r="10586" spans="1:1" x14ac:dyDescent="0.35">
      <c r="A10586" s="4">
        <v>4500221691</v>
      </c>
    </row>
    <row r="10587" spans="1:1" x14ac:dyDescent="0.35">
      <c r="A10587" s="4">
        <v>4500221694</v>
      </c>
    </row>
    <row r="10588" spans="1:1" x14ac:dyDescent="0.35">
      <c r="A10588" s="4">
        <v>4500221697</v>
      </c>
    </row>
    <row r="10589" spans="1:1" x14ac:dyDescent="0.35">
      <c r="A10589" s="4">
        <v>4500221698</v>
      </c>
    </row>
    <row r="10590" spans="1:1" x14ac:dyDescent="0.35">
      <c r="A10590" s="4">
        <v>4500221812</v>
      </c>
    </row>
    <row r="10591" spans="1:1" x14ac:dyDescent="0.35">
      <c r="A10591" s="4">
        <v>4500221816</v>
      </c>
    </row>
    <row r="10592" spans="1:1" x14ac:dyDescent="0.35">
      <c r="A10592" s="4">
        <v>4500221823</v>
      </c>
    </row>
    <row r="10593" spans="1:1" x14ac:dyDescent="0.35">
      <c r="A10593" s="4">
        <v>4500221835</v>
      </c>
    </row>
    <row r="10594" spans="1:1" x14ac:dyDescent="0.35">
      <c r="A10594" s="4">
        <v>4500221840</v>
      </c>
    </row>
    <row r="10595" spans="1:1" x14ac:dyDescent="0.35">
      <c r="A10595" s="4">
        <v>4500221842</v>
      </c>
    </row>
    <row r="10596" spans="1:1" x14ac:dyDescent="0.35">
      <c r="A10596" s="4">
        <v>4500221844</v>
      </c>
    </row>
    <row r="10597" spans="1:1" x14ac:dyDescent="0.35">
      <c r="A10597" s="4">
        <v>4500221850</v>
      </c>
    </row>
    <row r="10598" spans="1:1" x14ac:dyDescent="0.35">
      <c r="A10598" s="4">
        <v>4500221854</v>
      </c>
    </row>
    <row r="10599" spans="1:1" x14ac:dyDescent="0.35">
      <c r="A10599" s="4">
        <v>4500221858</v>
      </c>
    </row>
    <row r="10600" spans="1:1" x14ac:dyDescent="0.35">
      <c r="A10600" s="4">
        <v>4500221862</v>
      </c>
    </row>
    <row r="10601" spans="1:1" x14ac:dyDescent="0.35">
      <c r="A10601" s="4">
        <v>4500221868</v>
      </c>
    </row>
    <row r="10602" spans="1:1" x14ac:dyDescent="0.35">
      <c r="A10602" s="4">
        <v>4500221869</v>
      </c>
    </row>
    <row r="10603" spans="1:1" x14ac:dyDescent="0.35">
      <c r="A10603" s="4">
        <v>4500221874</v>
      </c>
    </row>
    <row r="10604" spans="1:1" x14ac:dyDescent="0.35">
      <c r="A10604" s="4">
        <v>4500221892</v>
      </c>
    </row>
    <row r="10605" spans="1:1" x14ac:dyDescent="0.35">
      <c r="A10605" s="4">
        <v>4500221981</v>
      </c>
    </row>
    <row r="10606" spans="1:1" x14ac:dyDescent="0.35">
      <c r="A10606" s="4">
        <v>4500221984</v>
      </c>
    </row>
    <row r="10607" spans="1:1" x14ac:dyDescent="0.35">
      <c r="A10607" s="4">
        <v>4500221990</v>
      </c>
    </row>
    <row r="10608" spans="1:1" x14ac:dyDescent="0.35">
      <c r="A10608" s="4">
        <v>4500221995</v>
      </c>
    </row>
    <row r="10609" spans="1:1" x14ac:dyDescent="0.35">
      <c r="A10609" s="4">
        <v>4500221999</v>
      </c>
    </row>
    <row r="10610" spans="1:1" x14ac:dyDescent="0.35">
      <c r="A10610" s="4">
        <v>4500222002</v>
      </c>
    </row>
    <row r="10611" spans="1:1" x14ac:dyDescent="0.35">
      <c r="A10611" s="4">
        <v>4500222005</v>
      </c>
    </row>
    <row r="10612" spans="1:1" x14ac:dyDescent="0.35">
      <c r="A10612" s="4">
        <v>4500222008</v>
      </c>
    </row>
    <row r="10613" spans="1:1" x14ac:dyDescent="0.35">
      <c r="A10613" s="4">
        <v>4500222011</v>
      </c>
    </row>
    <row r="10614" spans="1:1" x14ac:dyDescent="0.35">
      <c r="A10614" s="4">
        <v>4500222013</v>
      </c>
    </row>
    <row r="10615" spans="1:1" x14ac:dyDescent="0.35">
      <c r="A10615" s="4">
        <v>4500222016</v>
      </c>
    </row>
    <row r="10616" spans="1:1" x14ac:dyDescent="0.35">
      <c r="A10616" s="4">
        <v>4500222020</v>
      </c>
    </row>
    <row r="10617" spans="1:1" x14ac:dyDescent="0.35">
      <c r="A10617" s="4">
        <v>4500222025</v>
      </c>
    </row>
    <row r="10618" spans="1:1" x14ac:dyDescent="0.35">
      <c r="A10618" s="4">
        <v>4500222028</v>
      </c>
    </row>
    <row r="10619" spans="1:1" x14ac:dyDescent="0.35">
      <c r="A10619" s="4">
        <v>4500222035</v>
      </c>
    </row>
    <row r="10620" spans="1:1" x14ac:dyDescent="0.35">
      <c r="A10620" s="4">
        <v>4500222037</v>
      </c>
    </row>
    <row r="10621" spans="1:1" x14ac:dyDescent="0.35">
      <c r="A10621" s="4">
        <v>4500222039</v>
      </c>
    </row>
    <row r="10622" spans="1:1" x14ac:dyDescent="0.35">
      <c r="A10622" s="4">
        <v>4500222041</v>
      </c>
    </row>
    <row r="10623" spans="1:1" x14ac:dyDescent="0.35">
      <c r="A10623" s="4">
        <v>4500222043</v>
      </c>
    </row>
    <row r="10624" spans="1:1" x14ac:dyDescent="0.35">
      <c r="A10624" s="4">
        <v>4500222045</v>
      </c>
    </row>
    <row r="10625" spans="1:1" x14ac:dyDescent="0.35">
      <c r="A10625" s="4">
        <v>4500222048</v>
      </c>
    </row>
    <row r="10626" spans="1:1" x14ac:dyDescent="0.35">
      <c r="A10626" s="4">
        <v>4500222142</v>
      </c>
    </row>
    <row r="10627" spans="1:1" x14ac:dyDescent="0.35">
      <c r="A10627" s="4">
        <v>4500222147</v>
      </c>
    </row>
    <row r="10628" spans="1:1" x14ac:dyDescent="0.35">
      <c r="A10628" s="4">
        <v>4500222152</v>
      </c>
    </row>
    <row r="10629" spans="1:1" x14ac:dyDescent="0.35">
      <c r="A10629" s="4">
        <v>4500222157</v>
      </c>
    </row>
    <row r="10630" spans="1:1" x14ac:dyDescent="0.35">
      <c r="A10630" s="4">
        <v>4500222161</v>
      </c>
    </row>
    <row r="10631" spans="1:1" x14ac:dyDescent="0.35">
      <c r="A10631" s="4">
        <v>4500222164</v>
      </c>
    </row>
    <row r="10632" spans="1:1" x14ac:dyDescent="0.35">
      <c r="A10632" s="4">
        <v>4500222167</v>
      </c>
    </row>
    <row r="10633" spans="1:1" x14ac:dyDescent="0.35">
      <c r="A10633" s="4">
        <v>4500222173</v>
      </c>
    </row>
    <row r="10634" spans="1:1" x14ac:dyDescent="0.35">
      <c r="A10634" s="4">
        <v>4500222177</v>
      </c>
    </row>
    <row r="10635" spans="1:1" x14ac:dyDescent="0.35">
      <c r="A10635" s="4">
        <v>4500222183</v>
      </c>
    </row>
    <row r="10636" spans="1:1" x14ac:dyDescent="0.35">
      <c r="A10636" s="4">
        <v>4500222187</v>
      </c>
    </row>
    <row r="10637" spans="1:1" x14ac:dyDescent="0.35">
      <c r="A10637" s="4">
        <v>4500222190</v>
      </c>
    </row>
    <row r="10638" spans="1:1" x14ac:dyDescent="0.35">
      <c r="A10638" s="4">
        <v>4500222194</v>
      </c>
    </row>
    <row r="10639" spans="1:1" x14ac:dyDescent="0.35">
      <c r="A10639" s="4">
        <v>4500222196</v>
      </c>
    </row>
    <row r="10640" spans="1:1" x14ac:dyDescent="0.35">
      <c r="A10640" s="4">
        <v>4500222207</v>
      </c>
    </row>
    <row r="10641" spans="1:1" x14ac:dyDescent="0.35">
      <c r="A10641" s="4">
        <v>4500222314</v>
      </c>
    </row>
    <row r="10642" spans="1:1" x14ac:dyDescent="0.35">
      <c r="A10642" s="4">
        <v>4500222318</v>
      </c>
    </row>
    <row r="10643" spans="1:1" x14ac:dyDescent="0.35">
      <c r="A10643" s="4">
        <v>4500222324</v>
      </c>
    </row>
    <row r="10644" spans="1:1" x14ac:dyDescent="0.35">
      <c r="A10644" s="4">
        <v>4500222331</v>
      </c>
    </row>
    <row r="10645" spans="1:1" x14ac:dyDescent="0.35">
      <c r="A10645" s="4">
        <v>4500222338</v>
      </c>
    </row>
    <row r="10646" spans="1:1" x14ac:dyDescent="0.35">
      <c r="A10646" s="4">
        <v>4500222345</v>
      </c>
    </row>
    <row r="10647" spans="1:1" x14ac:dyDescent="0.35">
      <c r="A10647" s="4">
        <v>4500222348</v>
      </c>
    </row>
    <row r="10648" spans="1:1" x14ac:dyDescent="0.35">
      <c r="A10648" s="4">
        <v>4500222355</v>
      </c>
    </row>
    <row r="10649" spans="1:1" x14ac:dyDescent="0.35">
      <c r="A10649" s="4">
        <v>4500222359</v>
      </c>
    </row>
    <row r="10650" spans="1:1" x14ac:dyDescent="0.35">
      <c r="A10650" s="4">
        <v>4500222361</v>
      </c>
    </row>
    <row r="10651" spans="1:1" x14ac:dyDescent="0.35">
      <c r="A10651" s="4">
        <v>4500222364</v>
      </c>
    </row>
    <row r="10652" spans="1:1" x14ac:dyDescent="0.35">
      <c r="A10652" s="4">
        <v>4500222369</v>
      </c>
    </row>
    <row r="10653" spans="1:1" x14ac:dyDescent="0.35">
      <c r="A10653" s="4">
        <v>4500222371</v>
      </c>
    </row>
    <row r="10654" spans="1:1" x14ac:dyDescent="0.35">
      <c r="A10654" s="4">
        <v>4500222484</v>
      </c>
    </row>
    <row r="10655" spans="1:1" x14ac:dyDescent="0.35">
      <c r="A10655" s="4">
        <v>4500222488</v>
      </c>
    </row>
    <row r="10656" spans="1:1" x14ac:dyDescent="0.35">
      <c r="A10656" s="4">
        <v>4500222493</v>
      </c>
    </row>
    <row r="10657" spans="1:1" x14ac:dyDescent="0.35">
      <c r="A10657" s="4">
        <v>4500222496</v>
      </c>
    </row>
    <row r="10658" spans="1:1" x14ac:dyDescent="0.35">
      <c r="A10658" s="4">
        <v>4500222501</v>
      </c>
    </row>
    <row r="10659" spans="1:1" x14ac:dyDescent="0.35">
      <c r="A10659" s="4">
        <v>4500222506</v>
      </c>
    </row>
    <row r="10660" spans="1:1" x14ac:dyDescent="0.35">
      <c r="A10660" s="4">
        <v>4500222510</v>
      </c>
    </row>
    <row r="10661" spans="1:1" x14ac:dyDescent="0.35">
      <c r="A10661" s="4">
        <v>4500222515</v>
      </c>
    </row>
    <row r="10662" spans="1:1" x14ac:dyDescent="0.35">
      <c r="A10662" s="4">
        <v>4500222522</v>
      </c>
    </row>
    <row r="10663" spans="1:1" x14ac:dyDescent="0.35">
      <c r="A10663" s="4">
        <v>4500222526</v>
      </c>
    </row>
    <row r="10664" spans="1:1" x14ac:dyDescent="0.35">
      <c r="A10664" s="4">
        <v>4500222527</v>
      </c>
    </row>
    <row r="10665" spans="1:1" x14ac:dyDescent="0.35">
      <c r="A10665" s="4">
        <v>4500222530</v>
      </c>
    </row>
    <row r="10666" spans="1:1" x14ac:dyDescent="0.35">
      <c r="A10666" s="4">
        <v>4500222537</v>
      </c>
    </row>
    <row r="10667" spans="1:1" x14ac:dyDescent="0.35">
      <c r="A10667" s="4">
        <v>4500222542</v>
      </c>
    </row>
    <row r="10668" spans="1:1" x14ac:dyDescent="0.35">
      <c r="A10668" s="4">
        <v>4500222545</v>
      </c>
    </row>
    <row r="10669" spans="1:1" x14ac:dyDescent="0.35">
      <c r="A10669" s="4">
        <v>4500222546</v>
      </c>
    </row>
    <row r="10670" spans="1:1" x14ac:dyDescent="0.35">
      <c r="A10670" s="4">
        <v>4500222554</v>
      </c>
    </row>
    <row r="10671" spans="1:1" x14ac:dyDescent="0.35">
      <c r="A10671" s="4">
        <v>4500222555</v>
      </c>
    </row>
    <row r="10672" spans="1:1" x14ac:dyDescent="0.35">
      <c r="A10672" s="4">
        <v>4500222556</v>
      </c>
    </row>
    <row r="10673" spans="1:1" x14ac:dyDescent="0.35">
      <c r="A10673" s="4">
        <v>4500222557</v>
      </c>
    </row>
    <row r="10674" spans="1:1" x14ac:dyDescent="0.35">
      <c r="A10674" s="4">
        <v>4500222558</v>
      </c>
    </row>
    <row r="10675" spans="1:1" x14ac:dyDescent="0.35">
      <c r="A10675" s="4">
        <v>4500222561</v>
      </c>
    </row>
    <row r="10676" spans="1:1" x14ac:dyDescent="0.35">
      <c r="A10676" s="4">
        <v>4500222661</v>
      </c>
    </row>
    <row r="10677" spans="1:1" x14ac:dyDescent="0.35">
      <c r="A10677" s="4">
        <v>4500222668</v>
      </c>
    </row>
    <row r="10678" spans="1:1" x14ac:dyDescent="0.35">
      <c r="A10678" s="4">
        <v>4500222672</v>
      </c>
    </row>
    <row r="10679" spans="1:1" x14ac:dyDescent="0.35">
      <c r="A10679" s="4">
        <v>4500222679</v>
      </c>
    </row>
    <row r="10680" spans="1:1" x14ac:dyDescent="0.35">
      <c r="A10680" s="4">
        <v>4500222684</v>
      </c>
    </row>
    <row r="10681" spans="1:1" x14ac:dyDescent="0.35">
      <c r="A10681" s="4">
        <v>4500222690</v>
      </c>
    </row>
    <row r="10682" spans="1:1" x14ac:dyDescent="0.35">
      <c r="A10682" s="4">
        <v>4500222694</v>
      </c>
    </row>
    <row r="10683" spans="1:1" x14ac:dyDescent="0.35">
      <c r="A10683" s="4">
        <v>4500222696</v>
      </c>
    </row>
    <row r="10684" spans="1:1" x14ac:dyDescent="0.35">
      <c r="A10684" s="4">
        <v>4500222698</v>
      </c>
    </row>
    <row r="10685" spans="1:1" x14ac:dyDescent="0.35">
      <c r="A10685" s="4">
        <v>4500222704</v>
      </c>
    </row>
    <row r="10686" spans="1:1" x14ac:dyDescent="0.35">
      <c r="A10686" s="4">
        <v>4500222706</v>
      </c>
    </row>
    <row r="10687" spans="1:1" x14ac:dyDescent="0.35">
      <c r="A10687" s="4">
        <v>4500222708</v>
      </c>
    </row>
    <row r="10688" spans="1:1" x14ac:dyDescent="0.35">
      <c r="A10688" s="4">
        <v>4500222709</v>
      </c>
    </row>
    <row r="10689" spans="1:1" x14ac:dyDescent="0.35">
      <c r="A10689" s="4">
        <v>4500222714</v>
      </c>
    </row>
    <row r="10690" spans="1:1" x14ac:dyDescent="0.35">
      <c r="A10690" s="4">
        <v>4500222719</v>
      </c>
    </row>
    <row r="10691" spans="1:1" x14ac:dyDescent="0.35">
      <c r="A10691" s="4">
        <v>4500222721</v>
      </c>
    </row>
    <row r="10692" spans="1:1" x14ac:dyDescent="0.35">
      <c r="A10692" s="4">
        <v>4500222723</v>
      </c>
    </row>
    <row r="10693" spans="1:1" x14ac:dyDescent="0.35">
      <c r="A10693" s="4">
        <v>4500222725</v>
      </c>
    </row>
    <row r="10694" spans="1:1" x14ac:dyDescent="0.35">
      <c r="A10694" s="4">
        <v>4500222728</v>
      </c>
    </row>
    <row r="10695" spans="1:1" x14ac:dyDescent="0.35">
      <c r="A10695" s="4">
        <v>4500222730</v>
      </c>
    </row>
    <row r="10696" spans="1:1" x14ac:dyDescent="0.35">
      <c r="A10696" s="4">
        <v>4500222732</v>
      </c>
    </row>
    <row r="10697" spans="1:1" x14ac:dyDescent="0.35">
      <c r="A10697" s="4">
        <v>4500222821</v>
      </c>
    </row>
    <row r="10698" spans="1:1" x14ac:dyDescent="0.35">
      <c r="A10698" s="4">
        <v>4500222828</v>
      </c>
    </row>
    <row r="10699" spans="1:1" x14ac:dyDescent="0.35">
      <c r="A10699" s="4">
        <v>4500222834</v>
      </c>
    </row>
    <row r="10700" spans="1:1" x14ac:dyDescent="0.35">
      <c r="A10700" s="4">
        <v>4500222839</v>
      </c>
    </row>
    <row r="10701" spans="1:1" x14ac:dyDescent="0.35">
      <c r="A10701" s="4">
        <v>4500222844</v>
      </c>
    </row>
    <row r="10702" spans="1:1" x14ac:dyDescent="0.35">
      <c r="A10702" s="4">
        <v>4500222848</v>
      </c>
    </row>
    <row r="10703" spans="1:1" x14ac:dyDescent="0.35">
      <c r="A10703" s="4">
        <v>4500222854</v>
      </c>
    </row>
    <row r="10704" spans="1:1" x14ac:dyDescent="0.35">
      <c r="A10704" s="4">
        <v>4500222856</v>
      </c>
    </row>
    <row r="10705" spans="1:1" x14ac:dyDescent="0.35">
      <c r="A10705" s="4">
        <v>4500222860</v>
      </c>
    </row>
    <row r="10706" spans="1:1" x14ac:dyDescent="0.35">
      <c r="A10706" s="4">
        <v>4500222863</v>
      </c>
    </row>
    <row r="10707" spans="1:1" x14ac:dyDescent="0.35">
      <c r="A10707" s="4">
        <v>4500222865</v>
      </c>
    </row>
    <row r="10708" spans="1:1" x14ac:dyDescent="0.35">
      <c r="A10708" s="4">
        <v>4500222869</v>
      </c>
    </row>
    <row r="10709" spans="1:1" x14ac:dyDescent="0.35">
      <c r="A10709" s="4">
        <v>4500222872</v>
      </c>
    </row>
    <row r="10710" spans="1:1" x14ac:dyDescent="0.35">
      <c r="A10710" s="4">
        <v>4500222874</v>
      </c>
    </row>
    <row r="10711" spans="1:1" x14ac:dyDescent="0.35">
      <c r="A10711" s="4">
        <v>4500222875</v>
      </c>
    </row>
    <row r="10712" spans="1:1" x14ac:dyDescent="0.35">
      <c r="A10712" s="4">
        <v>4500222878</v>
      </c>
    </row>
    <row r="10713" spans="1:1" x14ac:dyDescent="0.35">
      <c r="A10713" s="4">
        <v>4500222881</v>
      </c>
    </row>
    <row r="10714" spans="1:1" x14ac:dyDescent="0.35">
      <c r="A10714" s="4">
        <v>4500222883</v>
      </c>
    </row>
    <row r="10715" spans="1:1" x14ac:dyDescent="0.35">
      <c r="A10715" s="4">
        <v>4500222887</v>
      </c>
    </row>
    <row r="10716" spans="1:1" x14ac:dyDescent="0.35">
      <c r="A10716" s="4">
        <v>4500222896</v>
      </c>
    </row>
    <row r="10717" spans="1:1" x14ac:dyDescent="0.35">
      <c r="A10717" s="4">
        <v>4500222898</v>
      </c>
    </row>
    <row r="10718" spans="1:1" x14ac:dyDescent="0.35">
      <c r="A10718" s="4">
        <v>4500222901</v>
      </c>
    </row>
    <row r="10719" spans="1:1" x14ac:dyDescent="0.35">
      <c r="A10719" s="4">
        <v>4500222902</v>
      </c>
    </row>
    <row r="10720" spans="1:1" x14ac:dyDescent="0.35">
      <c r="A10720" s="4">
        <v>4500222903</v>
      </c>
    </row>
    <row r="10721" spans="1:1" x14ac:dyDescent="0.35">
      <c r="A10721" s="4">
        <v>4500222993</v>
      </c>
    </row>
    <row r="10722" spans="1:1" x14ac:dyDescent="0.35">
      <c r="A10722" s="4">
        <v>4500223009</v>
      </c>
    </row>
    <row r="10723" spans="1:1" x14ac:dyDescent="0.35">
      <c r="A10723" s="4">
        <v>4500223014</v>
      </c>
    </row>
    <row r="10724" spans="1:1" x14ac:dyDescent="0.35">
      <c r="A10724" s="4">
        <v>4500223017</v>
      </c>
    </row>
    <row r="10725" spans="1:1" x14ac:dyDescent="0.35">
      <c r="A10725" s="4">
        <v>4500223026</v>
      </c>
    </row>
    <row r="10726" spans="1:1" x14ac:dyDescent="0.35">
      <c r="A10726" s="4">
        <v>4500223028</v>
      </c>
    </row>
    <row r="10727" spans="1:1" x14ac:dyDescent="0.35">
      <c r="A10727" s="4">
        <v>4500223033</v>
      </c>
    </row>
    <row r="10728" spans="1:1" x14ac:dyDescent="0.35">
      <c r="A10728" s="4">
        <v>4500223038</v>
      </c>
    </row>
    <row r="10729" spans="1:1" x14ac:dyDescent="0.35">
      <c r="A10729" s="4">
        <v>4500223040</v>
      </c>
    </row>
    <row r="10730" spans="1:1" x14ac:dyDescent="0.35">
      <c r="A10730" s="4">
        <v>4500223043</v>
      </c>
    </row>
    <row r="10731" spans="1:1" x14ac:dyDescent="0.35">
      <c r="A10731" s="4">
        <v>4500223047</v>
      </c>
    </row>
    <row r="10732" spans="1:1" x14ac:dyDescent="0.35">
      <c r="A10732" s="4">
        <v>4500223059</v>
      </c>
    </row>
    <row r="10733" spans="1:1" x14ac:dyDescent="0.35">
      <c r="A10733" s="4">
        <v>4500223063</v>
      </c>
    </row>
    <row r="10734" spans="1:1" x14ac:dyDescent="0.35">
      <c r="A10734" s="4">
        <v>4500223075</v>
      </c>
    </row>
    <row r="10735" spans="1:1" x14ac:dyDescent="0.35">
      <c r="A10735" s="4">
        <v>4500223175</v>
      </c>
    </row>
    <row r="10736" spans="1:1" x14ac:dyDescent="0.35">
      <c r="A10736" s="4">
        <v>4500223179</v>
      </c>
    </row>
    <row r="10737" spans="1:1" x14ac:dyDescent="0.35">
      <c r="A10737" s="4">
        <v>4500223193</v>
      </c>
    </row>
    <row r="10738" spans="1:1" x14ac:dyDescent="0.35">
      <c r="A10738" s="4">
        <v>4500223196</v>
      </c>
    </row>
    <row r="10739" spans="1:1" x14ac:dyDescent="0.35">
      <c r="A10739" s="4">
        <v>4500223203</v>
      </c>
    </row>
    <row r="10740" spans="1:1" x14ac:dyDescent="0.35">
      <c r="A10740" s="4">
        <v>4500223214</v>
      </c>
    </row>
    <row r="10741" spans="1:1" x14ac:dyDescent="0.35">
      <c r="A10741" s="4">
        <v>4500223218</v>
      </c>
    </row>
    <row r="10742" spans="1:1" x14ac:dyDescent="0.35">
      <c r="A10742" s="4">
        <v>4500223222</v>
      </c>
    </row>
    <row r="10743" spans="1:1" x14ac:dyDescent="0.35">
      <c r="A10743" s="4">
        <v>4500223223</v>
      </c>
    </row>
    <row r="10744" spans="1:1" x14ac:dyDescent="0.35">
      <c r="A10744" s="4">
        <v>4500223225</v>
      </c>
    </row>
    <row r="10745" spans="1:1" x14ac:dyDescent="0.35">
      <c r="A10745" s="4">
        <v>4500223227</v>
      </c>
    </row>
    <row r="10746" spans="1:1" x14ac:dyDescent="0.35">
      <c r="A10746" s="4">
        <v>4500223228</v>
      </c>
    </row>
    <row r="10747" spans="1:1" x14ac:dyDescent="0.35">
      <c r="A10747" s="4">
        <v>4500223229</v>
      </c>
    </row>
    <row r="10748" spans="1:1" x14ac:dyDescent="0.35">
      <c r="A10748" s="4">
        <v>4500223230</v>
      </c>
    </row>
    <row r="10749" spans="1:1" x14ac:dyDescent="0.35">
      <c r="A10749" s="4">
        <v>4500223232</v>
      </c>
    </row>
    <row r="10750" spans="1:1" x14ac:dyDescent="0.35">
      <c r="A10750" s="4">
        <v>4500223233</v>
      </c>
    </row>
    <row r="10751" spans="1:1" x14ac:dyDescent="0.35">
      <c r="A10751" s="4">
        <v>4500223327</v>
      </c>
    </row>
    <row r="10752" spans="1:1" x14ac:dyDescent="0.35">
      <c r="A10752" s="4">
        <v>4500223336</v>
      </c>
    </row>
    <row r="10753" spans="1:1" x14ac:dyDescent="0.35">
      <c r="A10753" s="4">
        <v>4500223342</v>
      </c>
    </row>
    <row r="10754" spans="1:1" x14ac:dyDescent="0.35">
      <c r="A10754" s="4">
        <v>4500223345</v>
      </c>
    </row>
    <row r="10755" spans="1:1" x14ac:dyDescent="0.35">
      <c r="A10755" s="4">
        <v>4500223350</v>
      </c>
    </row>
    <row r="10756" spans="1:1" x14ac:dyDescent="0.35">
      <c r="A10756" s="4">
        <v>4500223355</v>
      </c>
    </row>
    <row r="10757" spans="1:1" x14ac:dyDescent="0.35">
      <c r="A10757" s="4">
        <v>4500223360</v>
      </c>
    </row>
    <row r="10758" spans="1:1" x14ac:dyDescent="0.35">
      <c r="A10758" s="4">
        <v>4500223365</v>
      </c>
    </row>
    <row r="10759" spans="1:1" x14ac:dyDescent="0.35">
      <c r="A10759" s="4">
        <v>4500223370</v>
      </c>
    </row>
    <row r="10760" spans="1:1" x14ac:dyDescent="0.35">
      <c r="A10760" s="4">
        <v>4500223372</v>
      </c>
    </row>
    <row r="10761" spans="1:1" x14ac:dyDescent="0.35">
      <c r="A10761" s="4">
        <v>4500223375</v>
      </c>
    </row>
    <row r="10762" spans="1:1" x14ac:dyDescent="0.35">
      <c r="A10762" s="4">
        <v>4500223377</v>
      </c>
    </row>
    <row r="10763" spans="1:1" x14ac:dyDescent="0.35">
      <c r="A10763" s="4">
        <v>4500223380</v>
      </c>
    </row>
    <row r="10764" spans="1:1" x14ac:dyDescent="0.35">
      <c r="A10764" s="4">
        <v>4500223384</v>
      </c>
    </row>
    <row r="10765" spans="1:1" x14ac:dyDescent="0.35">
      <c r="A10765" s="4">
        <v>4500223395</v>
      </c>
    </row>
    <row r="10766" spans="1:1" x14ac:dyDescent="0.35">
      <c r="A10766" s="4">
        <v>4500223488</v>
      </c>
    </row>
    <row r="10767" spans="1:1" x14ac:dyDescent="0.35">
      <c r="A10767" s="4">
        <v>4500223492</v>
      </c>
    </row>
    <row r="10768" spans="1:1" x14ac:dyDescent="0.35">
      <c r="A10768" s="4">
        <v>4500223498</v>
      </c>
    </row>
    <row r="10769" spans="1:1" x14ac:dyDescent="0.35">
      <c r="A10769" s="4">
        <v>4500223504</v>
      </c>
    </row>
    <row r="10770" spans="1:1" x14ac:dyDescent="0.35">
      <c r="A10770" s="4">
        <v>4500223507</v>
      </c>
    </row>
    <row r="10771" spans="1:1" x14ac:dyDescent="0.35">
      <c r="A10771" s="4">
        <v>4500223510</v>
      </c>
    </row>
    <row r="10772" spans="1:1" x14ac:dyDescent="0.35">
      <c r="A10772" s="4">
        <v>4500223515</v>
      </c>
    </row>
    <row r="10773" spans="1:1" x14ac:dyDescent="0.35">
      <c r="A10773" s="4">
        <v>4500223522</v>
      </c>
    </row>
    <row r="10774" spans="1:1" x14ac:dyDescent="0.35">
      <c r="A10774" s="4">
        <v>4500223525</v>
      </c>
    </row>
    <row r="10775" spans="1:1" x14ac:dyDescent="0.35">
      <c r="A10775" s="4">
        <v>4500223528</v>
      </c>
    </row>
    <row r="10776" spans="1:1" x14ac:dyDescent="0.35">
      <c r="A10776" s="4">
        <v>4500223539</v>
      </c>
    </row>
    <row r="10777" spans="1:1" x14ac:dyDescent="0.35">
      <c r="A10777" s="4">
        <v>4500223542</v>
      </c>
    </row>
    <row r="10778" spans="1:1" x14ac:dyDescent="0.35">
      <c r="A10778" s="4">
        <v>4500223545</v>
      </c>
    </row>
    <row r="10779" spans="1:1" x14ac:dyDescent="0.35">
      <c r="A10779" s="4">
        <v>4500223547</v>
      </c>
    </row>
    <row r="10780" spans="1:1" x14ac:dyDescent="0.35">
      <c r="A10780" s="4">
        <v>4500223549</v>
      </c>
    </row>
    <row r="10781" spans="1:1" x14ac:dyDescent="0.35">
      <c r="A10781" s="4">
        <v>4500223551</v>
      </c>
    </row>
    <row r="10782" spans="1:1" x14ac:dyDescent="0.35">
      <c r="A10782" s="4">
        <v>4500223553</v>
      </c>
    </row>
    <row r="10783" spans="1:1" x14ac:dyDescent="0.35">
      <c r="A10783" s="4">
        <v>4500223554</v>
      </c>
    </row>
    <row r="10784" spans="1:1" x14ac:dyDescent="0.35">
      <c r="A10784" s="4">
        <v>4500223561</v>
      </c>
    </row>
    <row r="10785" spans="1:1" x14ac:dyDescent="0.35">
      <c r="A10785" s="4">
        <v>4500223563</v>
      </c>
    </row>
    <row r="10786" spans="1:1" x14ac:dyDescent="0.35">
      <c r="A10786" s="4">
        <v>4500223565</v>
      </c>
    </row>
    <row r="10787" spans="1:1" x14ac:dyDescent="0.35">
      <c r="A10787" s="4">
        <v>4500223567</v>
      </c>
    </row>
    <row r="10788" spans="1:1" x14ac:dyDescent="0.35">
      <c r="A10788" s="4">
        <v>4500223568</v>
      </c>
    </row>
    <row r="10789" spans="1:1" x14ac:dyDescent="0.35">
      <c r="A10789" s="4">
        <v>4500223569</v>
      </c>
    </row>
    <row r="10790" spans="1:1" x14ac:dyDescent="0.35">
      <c r="A10790" s="4">
        <v>4500223570</v>
      </c>
    </row>
    <row r="10791" spans="1:1" x14ac:dyDescent="0.35">
      <c r="A10791" s="4">
        <v>4500223571</v>
      </c>
    </row>
    <row r="10792" spans="1:1" x14ac:dyDescent="0.35">
      <c r="A10792" s="4">
        <v>4500223672</v>
      </c>
    </row>
    <row r="10793" spans="1:1" x14ac:dyDescent="0.35">
      <c r="A10793" s="4">
        <v>4500223681</v>
      </c>
    </row>
    <row r="10794" spans="1:1" x14ac:dyDescent="0.35">
      <c r="A10794" s="4">
        <v>4500223686</v>
      </c>
    </row>
    <row r="10795" spans="1:1" x14ac:dyDescent="0.35">
      <c r="A10795" s="4">
        <v>4500223690</v>
      </c>
    </row>
    <row r="10796" spans="1:1" x14ac:dyDescent="0.35">
      <c r="A10796" s="4">
        <v>4500223694</v>
      </c>
    </row>
    <row r="10797" spans="1:1" x14ac:dyDescent="0.35">
      <c r="A10797" s="4">
        <v>4500223700</v>
      </c>
    </row>
    <row r="10798" spans="1:1" x14ac:dyDescent="0.35">
      <c r="A10798" s="4">
        <v>4500223704</v>
      </c>
    </row>
    <row r="10799" spans="1:1" x14ac:dyDescent="0.35">
      <c r="A10799" s="4">
        <v>4500223707</v>
      </c>
    </row>
    <row r="10800" spans="1:1" x14ac:dyDescent="0.35">
      <c r="A10800" s="4">
        <v>4500223711</v>
      </c>
    </row>
    <row r="10801" spans="1:1" x14ac:dyDescent="0.35">
      <c r="A10801" s="4">
        <v>4500223715</v>
      </c>
    </row>
    <row r="10802" spans="1:1" x14ac:dyDescent="0.35">
      <c r="A10802" s="4">
        <v>4500223717</v>
      </c>
    </row>
    <row r="10803" spans="1:1" x14ac:dyDescent="0.35">
      <c r="A10803" s="4">
        <v>4500223720</v>
      </c>
    </row>
    <row r="10804" spans="1:1" x14ac:dyDescent="0.35">
      <c r="A10804" s="4">
        <v>4500223722</v>
      </c>
    </row>
    <row r="10805" spans="1:1" x14ac:dyDescent="0.35">
      <c r="A10805" s="4">
        <v>4500223726</v>
      </c>
    </row>
    <row r="10806" spans="1:1" x14ac:dyDescent="0.35">
      <c r="A10806" s="4">
        <v>4500223729</v>
      </c>
    </row>
    <row r="10807" spans="1:1" x14ac:dyDescent="0.35">
      <c r="A10807" s="4">
        <v>4500223731</v>
      </c>
    </row>
    <row r="10808" spans="1:1" x14ac:dyDescent="0.35">
      <c r="A10808" s="4">
        <v>4500223732</v>
      </c>
    </row>
    <row r="10809" spans="1:1" x14ac:dyDescent="0.35">
      <c r="A10809" s="4">
        <v>4500223733</v>
      </c>
    </row>
    <row r="10810" spans="1:1" x14ac:dyDescent="0.35">
      <c r="A10810" s="4">
        <v>4500223734</v>
      </c>
    </row>
    <row r="10811" spans="1:1" x14ac:dyDescent="0.35">
      <c r="A10811" s="4">
        <v>4500223735</v>
      </c>
    </row>
    <row r="10812" spans="1:1" x14ac:dyDescent="0.35">
      <c r="A10812" s="4">
        <v>4500223736</v>
      </c>
    </row>
    <row r="10813" spans="1:1" x14ac:dyDescent="0.35">
      <c r="A10813" s="4">
        <v>4500223737</v>
      </c>
    </row>
    <row r="10814" spans="1:1" x14ac:dyDescent="0.35">
      <c r="A10814" s="4">
        <v>4500223833</v>
      </c>
    </row>
    <row r="10815" spans="1:1" x14ac:dyDescent="0.35">
      <c r="A10815" s="4">
        <v>4500223840</v>
      </c>
    </row>
    <row r="10816" spans="1:1" x14ac:dyDescent="0.35">
      <c r="A10816" s="4">
        <v>4500223845</v>
      </c>
    </row>
    <row r="10817" spans="1:1" x14ac:dyDescent="0.35">
      <c r="A10817" s="4">
        <v>4500223853</v>
      </c>
    </row>
    <row r="10818" spans="1:1" x14ac:dyDescent="0.35">
      <c r="A10818" s="4">
        <v>4500223857</v>
      </c>
    </row>
    <row r="10819" spans="1:1" x14ac:dyDescent="0.35">
      <c r="A10819" s="4">
        <v>4500223863</v>
      </c>
    </row>
    <row r="10820" spans="1:1" x14ac:dyDescent="0.35">
      <c r="A10820" s="4">
        <v>4500223866</v>
      </c>
    </row>
    <row r="10821" spans="1:1" x14ac:dyDescent="0.35">
      <c r="A10821" s="4">
        <v>4500223869</v>
      </c>
    </row>
    <row r="10822" spans="1:1" x14ac:dyDescent="0.35">
      <c r="A10822" s="4">
        <v>4500223879</v>
      </c>
    </row>
    <row r="10823" spans="1:1" x14ac:dyDescent="0.35">
      <c r="A10823" s="4">
        <v>4500223885</v>
      </c>
    </row>
    <row r="10824" spans="1:1" x14ac:dyDescent="0.35">
      <c r="A10824" s="4">
        <v>4500223889</v>
      </c>
    </row>
    <row r="10825" spans="1:1" x14ac:dyDescent="0.35">
      <c r="A10825" s="4">
        <v>4500223892</v>
      </c>
    </row>
    <row r="10826" spans="1:1" x14ac:dyDescent="0.35">
      <c r="A10826" s="4">
        <v>4500223908</v>
      </c>
    </row>
    <row r="10827" spans="1:1" x14ac:dyDescent="0.35">
      <c r="A10827" s="4">
        <v>4500223996</v>
      </c>
    </row>
    <row r="10828" spans="1:1" x14ac:dyDescent="0.35">
      <c r="A10828" s="4">
        <v>4500223999</v>
      </c>
    </row>
    <row r="10829" spans="1:1" x14ac:dyDescent="0.35">
      <c r="A10829" s="4">
        <v>4500224000</v>
      </c>
    </row>
    <row r="10830" spans="1:1" x14ac:dyDescent="0.35">
      <c r="A10830" s="4">
        <v>4500224005</v>
      </c>
    </row>
    <row r="10831" spans="1:1" x14ac:dyDescent="0.35">
      <c r="A10831" s="4">
        <v>4500224026</v>
      </c>
    </row>
    <row r="10832" spans="1:1" x14ac:dyDescent="0.35">
      <c r="A10832" s="4">
        <v>4500224036</v>
      </c>
    </row>
    <row r="10833" spans="1:1" x14ac:dyDescent="0.35">
      <c r="A10833" s="4">
        <v>4500224041</v>
      </c>
    </row>
    <row r="10834" spans="1:1" x14ac:dyDescent="0.35">
      <c r="A10834" s="4">
        <v>4500224043</v>
      </c>
    </row>
    <row r="10835" spans="1:1" x14ac:dyDescent="0.35">
      <c r="A10835" s="4">
        <v>4500224046</v>
      </c>
    </row>
    <row r="10836" spans="1:1" x14ac:dyDescent="0.35">
      <c r="A10836" s="4">
        <v>4500224047</v>
      </c>
    </row>
    <row r="10837" spans="1:1" x14ac:dyDescent="0.35">
      <c r="A10837" s="4">
        <v>4500224048</v>
      </c>
    </row>
    <row r="10838" spans="1:1" x14ac:dyDescent="0.35">
      <c r="A10838" s="4">
        <v>4500224051</v>
      </c>
    </row>
    <row r="10839" spans="1:1" x14ac:dyDescent="0.35">
      <c r="A10839" s="4">
        <v>4500224052</v>
      </c>
    </row>
    <row r="10840" spans="1:1" x14ac:dyDescent="0.35">
      <c r="A10840" s="4">
        <v>4500224056</v>
      </c>
    </row>
    <row r="10841" spans="1:1" x14ac:dyDescent="0.35">
      <c r="A10841" s="4">
        <v>4500224057</v>
      </c>
    </row>
    <row r="10842" spans="1:1" x14ac:dyDescent="0.35">
      <c r="A10842" s="4">
        <v>4500224059</v>
      </c>
    </row>
    <row r="10843" spans="1:1" x14ac:dyDescent="0.35">
      <c r="A10843" s="4">
        <v>4500224060</v>
      </c>
    </row>
    <row r="10844" spans="1:1" x14ac:dyDescent="0.35">
      <c r="A10844" s="4">
        <v>4500224061</v>
      </c>
    </row>
    <row r="10845" spans="1:1" x14ac:dyDescent="0.35">
      <c r="A10845" s="4">
        <v>4500224062</v>
      </c>
    </row>
    <row r="10846" spans="1:1" x14ac:dyDescent="0.35">
      <c r="A10846" s="4">
        <v>4500224064</v>
      </c>
    </row>
    <row r="10847" spans="1:1" x14ac:dyDescent="0.35">
      <c r="A10847" s="4">
        <v>4500224065</v>
      </c>
    </row>
    <row r="10848" spans="1:1" x14ac:dyDescent="0.35">
      <c r="A10848" s="4">
        <v>4500224066</v>
      </c>
    </row>
    <row r="10849" spans="1:1" x14ac:dyDescent="0.35">
      <c r="A10849" s="4">
        <v>4500224070</v>
      </c>
    </row>
    <row r="10850" spans="1:1" x14ac:dyDescent="0.35">
      <c r="A10850" s="4">
        <v>4500224071</v>
      </c>
    </row>
    <row r="10851" spans="1:1" x14ac:dyDescent="0.35">
      <c r="A10851" s="4">
        <v>4500224185</v>
      </c>
    </row>
    <row r="10852" spans="1:1" x14ac:dyDescent="0.35">
      <c r="A10852" s="4">
        <v>4500224188</v>
      </c>
    </row>
    <row r="10853" spans="1:1" x14ac:dyDescent="0.35">
      <c r="A10853" s="4">
        <v>4500224195</v>
      </c>
    </row>
    <row r="10854" spans="1:1" x14ac:dyDescent="0.35">
      <c r="A10854" s="4">
        <v>4500224198</v>
      </c>
    </row>
    <row r="10855" spans="1:1" x14ac:dyDescent="0.35">
      <c r="A10855" s="4">
        <v>4500224207</v>
      </c>
    </row>
    <row r="10856" spans="1:1" x14ac:dyDescent="0.35">
      <c r="A10856" s="4">
        <v>4500224210</v>
      </c>
    </row>
    <row r="10857" spans="1:1" x14ac:dyDescent="0.35">
      <c r="A10857" s="4">
        <v>4500224215</v>
      </c>
    </row>
    <row r="10858" spans="1:1" x14ac:dyDescent="0.35">
      <c r="A10858" s="4">
        <v>4500224219</v>
      </c>
    </row>
    <row r="10859" spans="1:1" x14ac:dyDescent="0.35">
      <c r="A10859" s="4">
        <v>4500224225</v>
      </c>
    </row>
    <row r="10860" spans="1:1" x14ac:dyDescent="0.35">
      <c r="A10860" s="4">
        <v>4500224231</v>
      </c>
    </row>
    <row r="10861" spans="1:1" x14ac:dyDescent="0.35">
      <c r="A10861" s="4">
        <v>4500224238</v>
      </c>
    </row>
    <row r="10862" spans="1:1" x14ac:dyDescent="0.35">
      <c r="A10862" s="4">
        <v>4500224240</v>
      </c>
    </row>
    <row r="10863" spans="1:1" x14ac:dyDescent="0.35">
      <c r="A10863" s="4">
        <v>4500224241</v>
      </c>
    </row>
    <row r="10864" spans="1:1" x14ac:dyDescent="0.35">
      <c r="A10864" s="4">
        <v>4500224242</v>
      </c>
    </row>
    <row r="10865" spans="1:1" x14ac:dyDescent="0.35">
      <c r="A10865" s="4">
        <v>4500224244</v>
      </c>
    </row>
    <row r="10866" spans="1:1" x14ac:dyDescent="0.35">
      <c r="A10866" s="4">
        <v>4500224245</v>
      </c>
    </row>
    <row r="10867" spans="1:1" x14ac:dyDescent="0.35">
      <c r="A10867" s="4">
        <v>4500224248</v>
      </c>
    </row>
    <row r="10868" spans="1:1" x14ac:dyDescent="0.35">
      <c r="A10868" s="4">
        <v>4500224355</v>
      </c>
    </row>
    <row r="10869" spans="1:1" x14ac:dyDescent="0.35">
      <c r="A10869" s="4">
        <v>4500224360</v>
      </c>
    </row>
    <row r="10870" spans="1:1" x14ac:dyDescent="0.35">
      <c r="A10870" s="4">
        <v>4500224361</v>
      </c>
    </row>
    <row r="10871" spans="1:1" x14ac:dyDescent="0.35">
      <c r="A10871" s="4">
        <v>4500224365</v>
      </c>
    </row>
    <row r="10872" spans="1:1" x14ac:dyDescent="0.35">
      <c r="A10872" s="4">
        <v>4500224376</v>
      </c>
    </row>
    <row r="10873" spans="1:1" x14ac:dyDescent="0.35">
      <c r="A10873" s="4">
        <v>4500224381</v>
      </c>
    </row>
    <row r="10874" spans="1:1" x14ac:dyDescent="0.35">
      <c r="A10874" s="4">
        <v>4500224397</v>
      </c>
    </row>
    <row r="10875" spans="1:1" x14ac:dyDescent="0.35">
      <c r="A10875" s="4">
        <v>4500224402</v>
      </c>
    </row>
    <row r="10876" spans="1:1" x14ac:dyDescent="0.35">
      <c r="A10876" s="4">
        <v>4500224411</v>
      </c>
    </row>
    <row r="10877" spans="1:1" x14ac:dyDescent="0.35">
      <c r="A10877" s="4">
        <v>4500224413</v>
      </c>
    </row>
    <row r="10878" spans="1:1" x14ac:dyDescent="0.35">
      <c r="A10878" s="4">
        <v>4500224417</v>
      </c>
    </row>
    <row r="10879" spans="1:1" x14ac:dyDescent="0.35">
      <c r="A10879" s="4">
        <v>4500224420</v>
      </c>
    </row>
    <row r="10880" spans="1:1" x14ac:dyDescent="0.35">
      <c r="A10880" s="4">
        <v>4500224423</v>
      </c>
    </row>
    <row r="10881" spans="1:1" x14ac:dyDescent="0.35">
      <c r="A10881" s="4">
        <v>4500224445</v>
      </c>
    </row>
    <row r="10882" spans="1:1" x14ac:dyDescent="0.35">
      <c r="A10882" s="4">
        <v>4500224553</v>
      </c>
    </row>
    <row r="10883" spans="1:1" x14ac:dyDescent="0.35">
      <c r="A10883" s="4">
        <v>4500224557</v>
      </c>
    </row>
    <row r="10884" spans="1:1" x14ac:dyDescent="0.35">
      <c r="A10884" s="4">
        <v>4500224564</v>
      </c>
    </row>
    <row r="10885" spans="1:1" x14ac:dyDescent="0.35">
      <c r="A10885" s="4">
        <v>4500224568</v>
      </c>
    </row>
    <row r="10886" spans="1:1" x14ac:dyDescent="0.35">
      <c r="A10886" s="4">
        <v>4500224575</v>
      </c>
    </row>
    <row r="10887" spans="1:1" x14ac:dyDescent="0.35">
      <c r="A10887" s="4">
        <v>4500224580</v>
      </c>
    </row>
    <row r="10888" spans="1:1" x14ac:dyDescent="0.35">
      <c r="A10888" s="4">
        <v>4500224584</v>
      </c>
    </row>
    <row r="10889" spans="1:1" x14ac:dyDescent="0.35">
      <c r="A10889" s="4">
        <v>4500224591</v>
      </c>
    </row>
    <row r="10890" spans="1:1" x14ac:dyDescent="0.35">
      <c r="A10890" s="4">
        <v>4500224594</v>
      </c>
    </row>
    <row r="10891" spans="1:1" x14ac:dyDescent="0.35">
      <c r="A10891" s="4">
        <v>4500224598</v>
      </c>
    </row>
    <row r="10892" spans="1:1" x14ac:dyDescent="0.35">
      <c r="A10892" s="4">
        <v>4500224601</v>
      </c>
    </row>
    <row r="10893" spans="1:1" x14ac:dyDescent="0.35">
      <c r="A10893" s="4">
        <v>4500224604</v>
      </c>
    </row>
    <row r="10894" spans="1:1" x14ac:dyDescent="0.35">
      <c r="A10894" s="4">
        <v>4500224611</v>
      </c>
    </row>
    <row r="10895" spans="1:1" x14ac:dyDescent="0.35">
      <c r="A10895" s="4">
        <v>4500224614</v>
      </c>
    </row>
    <row r="10896" spans="1:1" x14ac:dyDescent="0.35">
      <c r="A10896" s="4">
        <v>4500224617</v>
      </c>
    </row>
    <row r="10897" spans="1:1" x14ac:dyDescent="0.35">
      <c r="A10897" s="4">
        <v>4500224620</v>
      </c>
    </row>
    <row r="10898" spans="1:1" x14ac:dyDescent="0.35">
      <c r="A10898" s="4">
        <v>4500224622</v>
      </c>
    </row>
    <row r="10899" spans="1:1" x14ac:dyDescent="0.35">
      <c r="A10899" s="4">
        <v>4500224626</v>
      </c>
    </row>
    <row r="10900" spans="1:1" x14ac:dyDescent="0.35">
      <c r="A10900" s="4">
        <v>4500224629</v>
      </c>
    </row>
    <row r="10901" spans="1:1" x14ac:dyDescent="0.35">
      <c r="A10901" s="4">
        <v>4500224630</v>
      </c>
    </row>
    <row r="10902" spans="1:1" x14ac:dyDescent="0.35">
      <c r="A10902" s="4">
        <v>4500224633</v>
      </c>
    </row>
    <row r="10903" spans="1:1" x14ac:dyDescent="0.35">
      <c r="A10903" s="4">
        <v>4500224645</v>
      </c>
    </row>
    <row r="10904" spans="1:1" x14ac:dyDescent="0.35">
      <c r="A10904" s="4">
        <v>4500224730</v>
      </c>
    </row>
    <row r="10905" spans="1:1" x14ac:dyDescent="0.35">
      <c r="A10905" s="4">
        <v>4500224742</v>
      </c>
    </row>
    <row r="10906" spans="1:1" x14ac:dyDescent="0.35">
      <c r="A10906" s="4">
        <v>4500224752</v>
      </c>
    </row>
    <row r="10907" spans="1:1" x14ac:dyDescent="0.35">
      <c r="A10907" s="4">
        <v>4500224755</v>
      </c>
    </row>
    <row r="10908" spans="1:1" x14ac:dyDescent="0.35">
      <c r="A10908" s="4">
        <v>4500224765</v>
      </c>
    </row>
    <row r="10909" spans="1:1" x14ac:dyDescent="0.35">
      <c r="A10909" s="4">
        <v>4500224774</v>
      </c>
    </row>
    <row r="10910" spans="1:1" x14ac:dyDescent="0.35">
      <c r="A10910" s="4">
        <v>4500224775</v>
      </c>
    </row>
    <row r="10911" spans="1:1" x14ac:dyDescent="0.35">
      <c r="A10911" s="4">
        <v>4500224780</v>
      </c>
    </row>
    <row r="10912" spans="1:1" x14ac:dyDescent="0.35">
      <c r="A10912" s="4">
        <v>4500224790</v>
      </c>
    </row>
    <row r="10913" spans="1:1" x14ac:dyDescent="0.35">
      <c r="A10913" s="4">
        <v>4500224802</v>
      </c>
    </row>
    <row r="10914" spans="1:1" x14ac:dyDescent="0.35">
      <c r="A10914" s="4">
        <v>4500224803</v>
      </c>
    </row>
    <row r="10915" spans="1:1" x14ac:dyDescent="0.35">
      <c r="A10915" s="4">
        <v>4500224895</v>
      </c>
    </row>
    <row r="10916" spans="1:1" x14ac:dyDescent="0.35">
      <c r="A10916" s="4">
        <v>4500224900</v>
      </c>
    </row>
    <row r="10917" spans="1:1" x14ac:dyDescent="0.35">
      <c r="A10917" s="4">
        <v>4500224912</v>
      </c>
    </row>
    <row r="10918" spans="1:1" x14ac:dyDescent="0.35">
      <c r="A10918" s="4">
        <v>4500224919</v>
      </c>
    </row>
    <row r="10919" spans="1:1" x14ac:dyDescent="0.35">
      <c r="A10919" s="4">
        <v>4500224928</v>
      </c>
    </row>
    <row r="10920" spans="1:1" x14ac:dyDescent="0.35">
      <c r="A10920" s="4">
        <v>4500224931</v>
      </c>
    </row>
    <row r="10921" spans="1:1" x14ac:dyDescent="0.35">
      <c r="A10921" s="4">
        <v>4500224933</v>
      </c>
    </row>
    <row r="10922" spans="1:1" x14ac:dyDescent="0.35">
      <c r="A10922" s="4">
        <v>4500224947</v>
      </c>
    </row>
    <row r="10923" spans="1:1" x14ac:dyDescent="0.35">
      <c r="A10923" s="4">
        <v>4500224948</v>
      </c>
    </row>
    <row r="10924" spans="1:1" x14ac:dyDescent="0.35">
      <c r="A10924" s="4">
        <v>4500224949</v>
      </c>
    </row>
    <row r="10925" spans="1:1" x14ac:dyDescent="0.35">
      <c r="A10925" s="4">
        <v>4500224952</v>
      </c>
    </row>
    <row r="10926" spans="1:1" x14ac:dyDescent="0.35">
      <c r="A10926" s="4">
        <v>4500224956</v>
      </c>
    </row>
    <row r="10927" spans="1:1" x14ac:dyDescent="0.35">
      <c r="A10927" s="4">
        <v>4500224957</v>
      </c>
    </row>
    <row r="10928" spans="1:1" x14ac:dyDescent="0.35">
      <c r="A10928" s="4">
        <v>4500224959</v>
      </c>
    </row>
    <row r="10929" spans="1:1" x14ac:dyDescent="0.35">
      <c r="A10929" s="4">
        <v>4500224963</v>
      </c>
    </row>
    <row r="10930" spans="1:1" x14ac:dyDescent="0.35">
      <c r="A10930" s="4">
        <v>4500224964</v>
      </c>
    </row>
    <row r="10931" spans="1:1" x14ac:dyDescent="0.35">
      <c r="A10931" s="4">
        <v>4500224965</v>
      </c>
    </row>
    <row r="10932" spans="1:1" x14ac:dyDescent="0.35">
      <c r="A10932" s="4">
        <v>4500224966</v>
      </c>
    </row>
    <row r="10933" spans="1:1" x14ac:dyDescent="0.35">
      <c r="A10933" s="4">
        <v>4500225062</v>
      </c>
    </row>
    <row r="10934" spans="1:1" x14ac:dyDescent="0.35">
      <c r="A10934" s="4">
        <v>4500225063</v>
      </c>
    </row>
    <row r="10935" spans="1:1" x14ac:dyDescent="0.35">
      <c r="A10935" s="4">
        <v>4500225064</v>
      </c>
    </row>
    <row r="10936" spans="1:1" x14ac:dyDescent="0.35">
      <c r="A10936" s="4">
        <v>4500225065</v>
      </c>
    </row>
    <row r="10937" spans="1:1" x14ac:dyDescent="0.35">
      <c r="A10937" s="4">
        <v>4500225087</v>
      </c>
    </row>
    <row r="10938" spans="1:1" x14ac:dyDescent="0.35">
      <c r="A10938" s="4">
        <v>4500225092</v>
      </c>
    </row>
    <row r="10939" spans="1:1" x14ac:dyDescent="0.35">
      <c r="A10939" s="4">
        <v>4500225097</v>
      </c>
    </row>
    <row r="10940" spans="1:1" x14ac:dyDescent="0.35">
      <c r="A10940" s="4">
        <v>4500225101</v>
      </c>
    </row>
    <row r="10941" spans="1:1" x14ac:dyDescent="0.35">
      <c r="A10941" s="4">
        <v>4500225104</v>
      </c>
    </row>
    <row r="10942" spans="1:1" x14ac:dyDescent="0.35">
      <c r="A10942" s="4">
        <v>4500225107</v>
      </c>
    </row>
    <row r="10943" spans="1:1" x14ac:dyDescent="0.35">
      <c r="A10943" s="4">
        <v>4500225112</v>
      </c>
    </row>
    <row r="10944" spans="1:1" x14ac:dyDescent="0.35">
      <c r="A10944" s="4">
        <v>4500225114</v>
      </c>
    </row>
    <row r="10945" spans="1:1" x14ac:dyDescent="0.35">
      <c r="A10945" s="4">
        <v>4500225116</v>
      </c>
    </row>
    <row r="10946" spans="1:1" x14ac:dyDescent="0.35">
      <c r="A10946" s="4">
        <v>4500225118</v>
      </c>
    </row>
    <row r="10947" spans="1:1" x14ac:dyDescent="0.35">
      <c r="A10947" s="4">
        <v>4500225122</v>
      </c>
    </row>
    <row r="10948" spans="1:1" x14ac:dyDescent="0.35">
      <c r="A10948" s="4">
        <v>4500225129</v>
      </c>
    </row>
    <row r="10949" spans="1:1" x14ac:dyDescent="0.35">
      <c r="A10949" s="4">
        <v>4500225138</v>
      </c>
    </row>
    <row r="10950" spans="1:1" x14ac:dyDescent="0.35">
      <c r="A10950" s="4">
        <v>4500225141</v>
      </c>
    </row>
    <row r="10951" spans="1:1" x14ac:dyDescent="0.35">
      <c r="A10951" s="4">
        <v>4500225143</v>
      </c>
    </row>
    <row r="10952" spans="1:1" x14ac:dyDescent="0.35">
      <c r="A10952" s="4">
        <v>4500225145</v>
      </c>
    </row>
    <row r="10953" spans="1:1" x14ac:dyDescent="0.35">
      <c r="A10953" s="4">
        <v>4500225148</v>
      </c>
    </row>
    <row r="10954" spans="1:1" x14ac:dyDescent="0.35">
      <c r="A10954" s="4">
        <v>4500225151</v>
      </c>
    </row>
    <row r="10955" spans="1:1" x14ac:dyDescent="0.35">
      <c r="A10955" s="4">
        <v>4500225266</v>
      </c>
    </row>
    <row r="10956" spans="1:1" x14ac:dyDescent="0.35">
      <c r="A10956" s="4">
        <v>4500225269</v>
      </c>
    </row>
    <row r="10957" spans="1:1" x14ac:dyDescent="0.35">
      <c r="A10957" s="4">
        <v>4500225278</v>
      </c>
    </row>
    <row r="10958" spans="1:1" x14ac:dyDescent="0.35">
      <c r="A10958" s="4">
        <v>4500225287</v>
      </c>
    </row>
    <row r="10959" spans="1:1" x14ac:dyDescent="0.35">
      <c r="A10959" s="4">
        <v>4500225296</v>
      </c>
    </row>
    <row r="10960" spans="1:1" x14ac:dyDescent="0.35">
      <c r="A10960" s="4">
        <v>4500225306</v>
      </c>
    </row>
    <row r="10961" spans="1:1" x14ac:dyDescent="0.35">
      <c r="A10961" s="4">
        <v>4500225310</v>
      </c>
    </row>
    <row r="10962" spans="1:1" x14ac:dyDescent="0.35">
      <c r="A10962" s="4">
        <v>4500225314</v>
      </c>
    </row>
    <row r="10963" spans="1:1" x14ac:dyDescent="0.35">
      <c r="A10963" s="4">
        <v>4500225317</v>
      </c>
    </row>
    <row r="10964" spans="1:1" x14ac:dyDescent="0.35">
      <c r="A10964" s="4">
        <v>4500225322</v>
      </c>
    </row>
    <row r="10965" spans="1:1" x14ac:dyDescent="0.35">
      <c r="A10965" s="4">
        <v>4500225326</v>
      </c>
    </row>
    <row r="10966" spans="1:1" x14ac:dyDescent="0.35">
      <c r="A10966" s="4">
        <v>4500225329</v>
      </c>
    </row>
    <row r="10967" spans="1:1" x14ac:dyDescent="0.35">
      <c r="A10967" s="4">
        <v>4500225332</v>
      </c>
    </row>
    <row r="10968" spans="1:1" x14ac:dyDescent="0.35">
      <c r="A10968" s="4">
        <v>4500225334</v>
      </c>
    </row>
    <row r="10969" spans="1:1" x14ac:dyDescent="0.35">
      <c r="A10969" s="4">
        <v>4500225335</v>
      </c>
    </row>
    <row r="10970" spans="1:1" x14ac:dyDescent="0.35">
      <c r="A10970" s="4">
        <v>4500225339</v>
      </c>
    </row>
    <row r="10971" spans="1:1" x14ac:dyDescent="0.35">
      <c r="A10971" s="4">
        <v>4500225341</v>
      </c>
    </row>
    <row r="10972" spans="1:1" x14ac:dyDescent="0.35">
      <c r="A10972" s="4">
        <v>4500225342</v>
      </c>
    </row>
    <row r="10973" spans="1:1" x14ac:dyDescent="0.35">
      <c r="A10973" s="4">
        <v>4500225349</v>
      </c>
    </row>
    <row r="10974" spans="1:1" x14ac:dyDescent="0.35">
      <c r="A10974" s="4">
        <v>4500225449</v>
      </c>
    </row>
    <row r="10975" spans="1:1" x14ac:dyDescent="0.35">
      <c r="A10975" s="4">
        <v>4500225454</v>
      </c>
    </row>
    <row r="10976" spans="1:1" x14ac:dyDescent="0.35">
      <c r="A10976" s="4">
        <v>4500225459</v>
      </c>
    </row>
    <row r="10977" spans="1:1" x14ac:dyDescent="0.35">
      <c r="A10977" s="4">
        <v>4500225461</v>
      </c>
    </row>
    <row r="10978" spans="1:1" x14ac:dyDescent="0.35">
      <c r="A10978" s="4">
        <v>4500225464</v>
      </c>
    </row>
    <row r="10979" spans="1:1" x14ac:dyDescent="0.35">
      <c r="A10979" s="4">
        <v>4500225469</v>
      </c>
    </row>
    <row r="10980" spans="1:1" x14ac:dyDescent="0.35">
      <c r="A10980" s="4">
        <v>4500225471</v>
      </c>
    </row>
    <row r="10981" spans="1:1" x14ac:dyDescent="0.35">
      <c r="A10981" s="4">
        <v>4500225474</v>
      </c>
    </row>
    <row r="10982" spans="1:1" x14ac:dyDescent="0.35">
      <c r="A10982" s="4">
        <v>4500225477</v>
      </c>
    </row>
    <row r="10983" spans="1:1" x14ac:dyDescent="0.35">
      <c r="A10983" s="4">
        <v>4500225483</v>
      </c>
    </row>
    <row r="10984" spans="1:1" x14ac:dyDescent="0.35">
      <c r="A10984" s="4">
        <v>4500225487</v>
      </c>
    </row>
    <row r="10985" spans="1:1" x14ac:dyDescent="0.35">
      <c r="A10985" s="4">
        <v>4500225491</v>
      </c>
    </row>
    <row r="10986" spans="1:1" x14ac:dyDescent="0.35">
      <c r="A10986" s="4">
        <v>4500225495</v>
      </c>
    </row>
    <row r="10987" spans="1:1" x14ac:dyDescent="0.35">
      <c r="A10987" s="4">
        <v>4500225499</v>
      </c>
    </row>
    <row r="10988" spans="1:1" x14ac:dyDescent="0.35">
      <c r="A10988" s="4">
        <v>4500225502</v>
      </c>
    </row>
    <row r="10989" spans="1:1" x14ac:dyDescent="0.35">
      <c r="A10989" s="4">
        <v>4500225505</v>
      </c>
    </row>
    <row r="10990" spans="1:1" x14ac:dyDescent="0.35">
      <c r="A10990" s="4">
        <v>4500225515</v>
      </c>
    </row>
    <row r="10991" spans="1:1" x14ac:dyDescent="0.35">
      <c r="A10991" s="4">
        <v>4500225517</v>
      </c>
    </row>
    <row r="10992" spans="1:1" x14ac:dyDescent="0.35">
      <c r="A10992" s="4">
        <v>4500225518</v>
      </c>
    </row>
    <row r="10993" spans="1:1" x14ac:dyDescent="0.35">
      <c r="A10993" s="4">
        <v>4500225519</v>
      </c>
    </row>
    <row r="10994" spans="1:1" x14ac:dyDescent="0.35">
      <c r="A10994" s="4">
        <v>4500225520</v>
      </c>
    </row>
    <row r="10995" spans="1:1" x14ac:dyDescent="0.35">
      <c r="A10995" s="4">
        <v>4500225521</v>
      </c>
    </row>
    <row r="10996" spans="1:1" x14ac:dyDescent="0.35">
      <c r="A10996" s="4">
        <v>4500225522</v>
      </c>
    </row>
    <row r="10997" spans="1:1" x14ac:dyDescent="0.35">
      <c r="A10997" s="4">
        <v>4500225523</v>
      </c>
    </row>
    <row r="10998" spans="1:1" x14ac:dyDescent="0.35">
      <c r="A10998" s="4">
        <v>4500225631</v>
      </c>
    </row>
    <row r="10999" spans="1:1" x14ac:dyDescent="0.35">
      <c r="A10999" s="4">
        <v>4500225636</v>
      </c>
    </row>
    <row r="11000" spans="1:1" x14ac:dyDescent="0.35">
      <c r="A11000" s="4">
        <v>4500225643</v>
      </c>
    </row>
    <row r="11001" spans="1:1" x14ac:dyDescent="0.35">
      <c r="A11001" s="4">
        <v>4500225647</v>
      </c>
    </row>
    <row r="11002" spans="1:1" x14ac:dyDescent="0.35">
      <c r="A11002" s="4">
        <v>4500225650</v>
      </c>
    </row>
    <row r="11003" spans="1:1" x14ac:dyDescent="0.35">
      <c r="A11003" s="4">
        <v>4500225657</v>
      </c>
    </row>
    <row r="11004" spans="1:1" x14ac:dyDescent="0.35">
      <c r="A11004" s="4">
        <v>4500225660</v>
      </c>
    </row>
    <row r="11005" spans="1:1" x14ac:dyDescent="0.35">
      <c r="A11005" s="4">
        <v>4500225664</v>
      </c>
    </row>
    <row r="11006" spans="1:1" x14ac:dyDescent="0.35">
      <c r="A11006" s="4">
        <v>4500225667</v>
      </c>
    </row>
    <row r="11007" spans="1:1" x14ac:dyDescent="0.35">
      <c r="A11007" s="4">
        <v>4500225672</v>
      </c>
    </row>
    <row r="11008" spans="1:1" x14ac:dyDescent="0.35">
      <c r="A11008" s="4">
        <v>4500225675</v>
      </c>
    </row>
    <row r="11009" spans="1:1" x14ac:dyDescent="0.35">
      <c r="A11009" s="4">
        <v>4500225686</v>
      </c>
    </row>
    <row r="11010" spans="1:1" x14ac:dyDescent="0.35">
      <c r="A11010" s="4">
        <v>4500225689</v>
      </c>
    </row>
    <row r="11011" spans="1:1" x14ac:dyDescent="0.35">
      <c r="A11011" s="4">
        <v>4500225695</v>
      </c>
    </row>
    <row r="11012" spans="1:1" x14ac:dyDescent="0.35">
      <c r="A11012" s="4">
        <v>4500225698</v>
      </c>
    </row>
    <row r="11013" spans="1:1" x14ac:dyDescent="0.35">
      <c r="A11013" s="4">
        <v>4500225707</v>
      </c>
    </row>
    <row r="11014" spans="1:1" x14ac:dyDescent="0.35">
      <c r="A11014" s="4">
        <v>4500225709</v>
      </c>
    </row>
    <row r="11015" spans="1:1" x14ac:dyDescent="0.35">
      <c r="A11015" s="4">
        <v>4500225712</v>
      </c>
    </row>
    <row r="11016" spans="1:1" x14ac:dyDescent="0.35">
      <c r="A11016" s="4">
        <v>4500225713</v>
      </c>
    </row>
    <row r="11017" spans="1:1" x14ac:dyDescent="0.35">
      <c r="A11017" s="4">
        <v>4500225714</v>
      </c>
    </row>
    <row r="11018" spans="1:1" x14ac:dyDescent="0.35">
      <c r="A11018" s="4">
        <v>4500225715</v>
      </c>
    </row>
    <row r="11019" spans="1:1" x14ac:dyDescent="0.35">
      <c r="A11019" s="4">
        <v>4500225716</v>
      </c>
    </row>
    <row r="11020" spans="1:1" x14ac:dyDescent="0.35">
      <c r="A11020" s="4">
        <v>4500225717</v>
      </c>
    </row>
    <row r="11021" spans="1:1" x14ac:dyDescent="0.35">
      <c r="A11021" s="4">
        <v>4500225849</v>
      </c>
    </row>
    <row r="11022" spans="1:1" x14ac:dyDescent="0.35">
      <c r="A11022" s="4">
        <v>4500225852</v>
      </c>
    </row>
    <row r="11023" spans="1:1" x14ac:dyDescent="0.35">
      <c r="A11023" s="4">
        <v>4500225855</v>
      </c>
    </row>
    <row r="11024" spans="1:1" x14ac:dyDescent="0.35">
      <c r="A11024" s="4">
        <v>4500225859</v>
      </c>
    </row>
    <row r="11025" spans="1:1" x14ac:dyDescent="0.35">
      <c r="A11025" s="4">
        <v>4500225863</v>
      </c>
    </row>
    <row r="11026" spans="1:1" x14ac:dyDescent="0.35">
      <c r="A11026" s="4">
        <v>4500225867</v>
      </c>
    </row>
    <row r="11027" spans="1:1" x14ac:dyDescent="0.35">
      <c r="A11027" s="4">
        <v>4500225873</v>
      </c>
    </row>
    <row r="11028" spans="1:1" x14ac:dyDescent="0.35">
      <c r="A11028" s="4">
        <v>4500225876</v>
      </c>
    </row>
    <row r="11029" spans="1:1" x14ac:dyDescent="0.35">
      <c r="A11029" s="4">
        <v>4500225883</v>
      </c>
    </row>
    <row r="11030" spans="1:1" x14ac:dyDescent="0.35">
      <c r="A11030" s="4">
        <v>4500225892</v>
      </c>
    </row>
    <row r="11031" spans="1:1" x14ac:dyDescent="0.35">
      <c r="A11031" s="4">
        <v>4500225901</v>
      </c>
    </row>
    <row r="11032" spans="1:1" x14ac:dyDescent="0.35">
      <c r="A11032" s="4">
        <v>4500225904</v>
      </c>
    </row>
    <row r="11033" spans="1:1" x14ac:dyDescent="0.35">
      <c r="A11033" s="4">
        <v>4500225907</v>
      </c>
    </row>
    <row r="11034" spans="1:1" x14ac:dyDescent="0.35">
      <c r="A11034" s="4">
        <v>4500225911</v>
      </c>
    </row>
    <row r="11035" spans="1:1" x14ac:dyDescent="0.35">
      <c r="A11035" s="4">
        <v>4500225917</v>
      </c>
    </row>
    <row r="11036" spans="1:1" x14ac:dyDescent="0.35">
      <c r="A11036" s="4">
        <v>4500225918</v>
      </c>
    </row>
    <row r="11037" spans="1:1" x14ac:dyDescent="0.35">
      <c r="A11037" s="4">
        <v>4500225920</v>
      </c>
    </row>
    <row r="11038" spans="1:1" x14ac:dyDescent="0.35">
      <c r="A11038" s="4">
        <v>4500225921</v>
      </c>
    </row>
    <row r="11039" spans="1:1" x14ac:dyDescent="0.35">
      <c r="A11039" s="4">
        <v>4500225922</v>
      </c>
    </row>
    <row r="11040" spans="1:1" x14ac:dyDescent="0.35">
      <c r="A11040" s="4">
        <v>4500225924</v>
      </c>
    </row>
    <row r="11041" spans="1:1" x14ac:dyDescent="0.35">
      <c r="A11041" s="4">
        <v>4500225926</v>
      </c>
    </row>
    <row r="11042" spans="1:1" x14ac:dyDescent="0.35">
      <c r="A11042" s="4">
        <v>4500225928</v>
      </c>
    </row>
    <row r="11043" spans="1:1" x14ac:dyDescent="0.35">
      <c r="A11043" s="4">
        <v>4500225930</v>
      </c>
    </row>
    <row r="11044" spans="1:1" x14ac:dyDescent="0.35">
      <c r="A11044" s="4">
        <v>4500225936</v>
      </c>
    </row>
    <row r="11045" spans="1:1" x14ac:dyDescent="0.35">
      <c r="A11045" s="4">
        <v>4500226037</v>
      </c>
    </row>
    <row r="11046" spans="1:1" x14ac:dyDescent="0.35">
      <c r="A11046" s="4">
        <v>4500226039</v>
      </c>
    </row>
    <row r="11047" spans="1:1" x14ac:dyDescent="0.35">
      <c r="A11047" s="4">
        <v>4500226042</v>
      </c>
    </row>
    <row r="11048" spans="1:1" x14ac:dyDescent="0.35">
      <c r="A11048" s="4">
        <v>4500226049</v>
      </c>
    </row>
    <row r="11049" spans="1:1" x14ac:dyDescent="0.35">
      <c r="A11049" s="4">
        <v>4500226053</v>
      </c>
    </row>
    <row r="11050" spans="1:1" x14ac:dyDescent="0.35">
      <c r="A11050" s="4">
        <v>4500226058</v>
      </c>
    </row>
    <row r="11051" spans="1:1" x14ac:dyDescent="0.35">
      <c r="A11051" s="4">
        <v>4500226060</v>
      </c>
    </row>
    <row r="11052" spans="1:1" x14ac:dyDescent="0.35">
      <c r="A11052" s="4">
        <v>4500226069</v>
      </c>
    </row>
    <row r="11053" spans="1:1" x14ac:dyDescent="0.35">
      <c r="A11053" s="4">
        <v>4500226073</v>
      </c>
    </row>
    <row r="11054" spans="1:1" x14ac:dyDescent="0.35">
      <c r="A11054" s="4">
        <v>4500226076</v>
      </c>
    </row>
    <row r="11055" spans="1:1" x14ac:dyDescent="0.35">
      <c r="A11055" s="4">
        <v>4500226079</v>
      </c>
    </row>
    <row r="11056" spans="1:1" x14ac:dyDescent="0.35">
      <c r="A11056" s="4">
        <v>4500226082</v>
      </c>
    </row>
    <row r="11057" spans="1:1" x14ac:dyDescent="0.35">
      <c r="A11057" s="4">
        <v>4500226086</v>
      </c>
    </row>
    <row r="11058" spans="1:1" x14ac:dyDescent="0.35">
      <c r="A11058" s="4">
        <v>4500226088</v>
      </c>
    </row>
    <row r="11059" spans="1:1" x14ac:dyDescent="0.35">
      <c r="A11059" s="4">
        <v>4500226104</v>
      </c>
    </row>
    <row r="11060" spans="1:1" x14ac:dyDescent="0.35">
      <c r="A11060" s="4">
        <v>4500226108</v>
      </c>
    </row>
    <row r="11061" spans="1:1" x14ac:dyDescent="0.35">
      <c r="A11061" s="4">
        <v>4500226110</v>
      </c>
    </row>
    <row r="11062" spans="1:1" x14ac:dyDescent="0.35">
      <c r="A11062" s="4">
        <v>4500226114</v>
      </c>
    </row>
    <row r="11063" spans="1:1" x14ac:dyDescent="0.35">
      <c r="A11063" s="4">
        <v>4500226120</v>
      </c>
    </row>
    <row r="11064" spans="1:1" x14ac:dyDescent="0.35">
      <c r="A11064" s="4">
        <v>4500226122</v>
      </c>
    </row>
    <row r="11065" spans="1:1" x14ac:dyDescent="0.35">
      <c r="A11065" s="4">
        <v>4500226125</v>
      </c>
    </row>
    <row r="11066" spans="1:1" x14ac:dyDescent="0.35">
      <c r="A11066" s="4">
        <v>4500226132</v>
      </c>
    </row>
    <row r="11067" spans="1:1" x14ac:dyDescent="0.35">
      <c r="A11067" s="4">
        <v>4500226244</v>
      </c>
    </row>
    <row r="11068" spans="1:1" x14ac:dyDescent="0.35">
      <c r="A11068" s="4">
        <v>4500226249</v>
      </c>
    </row>
    <row r="11069" spans="1:1" x14ac:dyDescent="0.35">
      <c r="A11069" s="4">
        <v>4500226252</v>
      </c>
    </row>
    <row r="11070" spans="1:1" x14ac:dyDescent="0.35">
      <c r="A11070" s="4">
        <v>4500226254</v>
      </c>
    </row>
    <row r="11071" spans="1:1" x14ac:dyDescent="0.35">
      <c r="A11071" s="4">
        <v>4500226260</v>
      </c>
    </row>
    <row r="11072" spans="1:1" x14ac:dyDescent="0.35">
      <c r="A11072" s="4">
        <v>4500226264</v>
      </c>
    </row>
    <row r="11073" spans="1:1" x14ac:dyDescent="0.35">
      <c r="A11073" s="4">
        <v>4500226274</v>
      </c>
    </row>
    <row r="11074" spans="1:1" x14ac:dyDescent="0.35">
      <c r="A11074" s="4">
        <v>4500226280</v>
      </c>
    </row>
    <row r="11075" spans="1:1" x14ac:dyDescent="0.35">
      <c r="A11075" s="4">
        <v>4500226289</v>
      </c>
    </row>
    <row r="11076" spans="1:1" x14ac:dyDescent="0.35">
      <c r="A11076" s="4">
        <v>4500226292</v>
      </c>
    </row>
    <row r="11077" spans="1:1" x14ac:dyDescent="0.35">
      <c r="A11077" s="4">
        <v>4500226294</v>
      </c>
    </row>
    <row r="11078" spans="1:1" x14ac:dyDescent="0.35">
      <c r="A11078" s="4">
        <v>4500226296</v>
      </c>
    </row>
    <row r="11079" spans="1:1" x14ac:dyDescent="0.35">
      <c r="A11079" s="4">
        <v>4500226299</v>
      </c>
    </row>
    <row r="11080" spans="1:1" x14ac:dyDescent="0.35">
      <c r="A11080" s="4">
        <v>4500226301</v>
      </c>
    </row>
    <row r="11081" spans="1:1" x14ac:dyDescent="0.35">
      <c r="A11081" s="4">
        <v>4500226303</v>
      </c>
    </row>
    <row r="11082" spans="1:1" x14ac:dyDescent="0.35">
      <c r="A11082" s="4">
        <v>4500226306</v>
      </c>
    </row>
    <row r="11083" spans="1:1" x14ac:dyDescent="0.35">
      <c r="A11083" s="4">
        <v>4500226309</v>
      </c>
    </row>
    <row r="11084" spans="1:1" x14ac:dyDescent="0.35">
      <c r="A11084" s="4">
        <v>4500226313</v>
      </c>
    </row>
    <row r="11085" spans="1:1" x14ac:dyDescent="0.35">
      <c r="A11085" s="4">
        <v>4500226318</v>
      </c>
    </row>
    <row r="11086" spans="1:1" x14ac:dyDescent="0.35">
      <c r="A11086" s="4">
        <v>4500226323</v>
      </c>
    </row>
    <row r="11087" spans="1:1" x14ac:dyDescent="0.35">
      <c r="A11087" s="4">
        <v>4500226326</v>
      </c>
    </row>
    <row r="11088" spans="1:1" x14ac:dyDescent="0.35">
      <c r="A11088" s="4">
        <v>4500226329</v>
      </c>
    </row>
    <row r="11089" spans="1:1" x14ac:dyDescent="0.35">
      <c r="A11089" s="4">
        <v>4500226334</v>
      </c>
    </row>
    <row r="11090" spans="1:1" x14ac:dyDescent="0.35">
      <c r="A11090" s="4">
        <v>4500226337</v>
      </c>
    </row>
    <row r="11091" spans="1:1" x14ac:dyDescent="0.35">
      <c r="A11091" s="4">
        <v>4500226338</v>
      </c>
    </row>
    <row r="11092" spans="1:1" x14ac:dyDescent="0.35">
      <c r="A11092" s="4">
        <v>4500226340</v>
      </c>
    </row>
    <row r="11093" spans="1:1" x14ac:dyDescent="0.35">
      <c r="A11093" s="4">
        <v>4500226342</v>
      </c>
    </row>
    <row r="11094" spans="1:1" x14ac:dyDescent="0.35">
      <c r="A11094" s="4">
        <v>4500226344</v>
      </c>
    </row>
    <row r="11095" spans="1:1" x14ac:dyDescent="0.35">
      <c r="A11095" s="4">
        <v>4500226349</v>
      </c>
    </row>
    <row r="11096" spans="1:1" x14ac:dyDescent="0.35">
      <c r="A11096" s="4">
        <v>4500226384</v>
      </c>
    </row>
    <row r="11097" spans="1:1" x14ac:dyDescent="0.35">
      <c r="A11097" s="4">
        <v>4500226471</v>
      </c>
    </row>
    <row r="11098" spans="1:1" x14ac:dyDescent="0.35">
      <c r="A11098" s="4">
        <v>4500226473</v>
      </c>
    </row>
    <row r="11099" spans="1:1" x14ac:dyDescent="0.35">
      <c r="A11099" s="4">
        <v>4500226476</v>
      </c>
    </row>
    <row r="11100" spans="1:1" x14ac:dyDescent="0.35">
      <c r="A11100" s="4">
        <v>4500226479</v>
      </c>
    </row>
    <row r="11101" spans="1:1" x14ac:dyDescent="0.35">
      <c r="A11101" s="4">
        <v>4500226482</v>
      </c>
    </row>
    <row r="11102" spans="1:1" x14ac:dyDescent="0.35">
      <c r="A11102" s="4">
        <v>4500226486</v>
      </c>
    </row>
    <row r="11103" spans="1:1" x14ac:dyDescent="0.35">
      <c r="A11103" s="4">
        <v>4500226493</v>
      </c>
    </row>
    <row r="11104" spans="1:1" x14ac:dyDescent="0.35">
      <c r="A11104" s="4">
        <v>4500226498</v>
      </c>
    </row>
    <row r="11105" spans="1:1" x14ac:dyDescent="0.35">
      <c r="A11105" s="4">
        <v>4500226507</v>
      </c>
    </row>
    <row r="11106" spans="1:1" x14ac:dyDescent="0.35">
      <c r="A11106" s="4">
        <v>4500226512</v>
      </c>
    </row>
    <row r="11107" spans="1:1" x14ac:dyDescent="0.35">
      <c r="A11107" s="4">
        <v>4500226520</v>
      </c>
    </row>
    <row r="11108" spans="1:1" x14ac:dyDescent="0.35">
      <c r="A11108" s="4">
        <v>4500226523</v>
      </c>
    </row>
    <row r="11109" spans="1:1" x14ac:dyDescent="0.35">
      <c r="A11109" s="4">
        <v>4500226530</v>
      </c>
    </row>
    <row r="11110" spans="1:1" x14ac:dyDescent="0.35">
      <c r="A11110" s="4">
        <v>4500226537</v>
      </c>
    </row>
    <row r="11111" spans="1:1" x14ac:dyDescent="0.35">
      <c r="A11111" s="4">
        <v>4500226541</v>
      </c>
    </row>
    <row r="11112" spans="1:1" x14ac:dyDescent="0.35">
      <c r="A11112" s="4">
        <v>4500226545</v>
      </c>
    </row>
    <row r="11113" spans="1:1" x14ac:dyDescent="0.35">
      <c r="A11113" s="4">
        <v>4500226549</v>
      </c>
    </row>
    <row r="11114" spans="1:1" x14ac:dyDescent="0.35">
      <c r="A11114" s="4">
        <v>4500226553</v>
      </c>
    </row>
    <row r="11115" spans="1:1" x14ac:dyDescent="0.35">
      <c r="A11115" s="4">
        <v>4500226554</v>
      </c>
    </row>
    <row r="11116" spans="1:1" x14ac:dyDescent="0.35">
      <c r="A11116" s="4">
        <v>4500226555</v>
      </c>
    </row>
    <row r="11117" spans="1:1" x14ac:dyDescent="0.35">
      <c r="A11117" s="4">
        <v>4500226556</v>
      </c>
    </row>
    <row r="11118" spans="1:1" x14ac:dyDescent="0.35">
      <c r="A11118" s="4">
        <v>4500226557</v>
      </c>
    </row>
    <row r="11119" spans="1:1" x14ac:dyDescent="0.35">
      <c r="A11119" s="4">
        <v>4500226559</v>
      </c>
    </row>
    <row r="11120" spans="1:1" x14ac:dyDescent="0.35">
      <c r="A11120" s="4">
        <v>4500226562</v>
      </c>
    </row>
    <row r="11121" spans="1:1" x14ac:dyDescent="0.35">
      <c r="A11121" s="4">
        <v>4500226563</v>
      </c>
    </row>
    <row r="11122" spans="1:1" x14ac:dyDescent="0.35">
      <c r="A11122" s="4">
        <v>4500226564</v>
      </c>
    </row>
    <row r="11123" spans="1:1" x14ac:dyDescent="0.35">
      <c r="A11123" s="4">
        <v>4500226565</v>
      </c>
    </row>
    <row r="11124" spans="1:1" x14ac:dyDescent="0.35">
      <c r="A11124" s="4">
        <v>4500226567</v>
      </c>
    </row>
    <row r="11125" spans="1:1" x14ac:dyDescent="0.35">
      <c r="A11125" s="4">
        <v>4500226568</v>
      </c>
    </row>
    <row r="11126" spans="1:1" x14ac:dyDescent="0.35">
      <c r="A11126" s="4">
        <v>4500226577</v>
      </c>
    </row>
    <row r="11127" spans="1:1" x14ac:dyDescent="0.35">
      <c r="A11127" s="4">
        <v>4500226717</v>
      </c>
    </row>
    <row r="11128" spans="1:1" x14ac:dyDescent="0.35">
      <c r="A11128" s="4">
        <v>4500226725</v>
      </c>
    </row>
    <row r="11129" spans="1:1" x14ac:dyDescent="0.35">
      <c r="A11129" s="4">
        <v>4500226731</v>
      </c>
    </row>
    <row r="11130" spans="1:1" x14ac:dyDescent="0.35">
      <c r="A11130" s="4">
        <v>4500226734</v>
      </c>
    </row>
    <row r="11131" spans="1:1" x14ac:dyDescent="0.35">
      <c r="A11131" s="4">
        <v>4500226739</v>
      </c>
    </row>
    <row r="11132" spans="1:1" x14ac:dyDescent="0.35">
      <c r="A11132" s="4">
        <v>4500226745</v>
      </c>
    </row>
    <row r="11133" spans="1:1" x14ac:dyDescent="0.35">
      <c r="A11133" s="4">
        <v>4500226754</v>
      </c>
    </row>
    <row r="11134" spans="1:1" x14ac:dyDescent="0.35">
      <c r="A11134" s="4">
        <v>4500226760</v>
      </c>
    </row>
    <row r="11135" spans="1:1" x14ac:dyDescent="0.35">
      <c r="A11135" s="4">
        <v>4500226770</v>
      </c>
    </row>
    <row r="11136" spans="1:1" x14ac:dyDescent="0.35">
      <c r="A11136" s="4">
        <v>4500226771</v>
      </c>
    </row>
    <row r="11137" spans="1:1" x14ac:dyDescent="0.35">
      <c r="A11137" s="4">
        <v>4500226772</v>
      </c>
    </row>
    <row r="11138" spans="1:1" x14ac:dyDescent="0.35">
      <c r="A11138" s="4">
        <v>4500226773</v>
      </c>
    </row>
    <row r="11139" spans="1:1" x14ac:dyDescent="0.35">
      <c r="A11139" s="4">
        <v>4500226776</v>
      </c>
    </row>
    <row r="11140" spans="1:1" x14ac:dyDescent="0.35">
      <c r="A11140" s="4">
        <v>4500226794</v>
      </c>
    </row>
    <row r="11141" spans="1:1" x14ac:dyDescent="0.35">
      <c r="A11141" s="4">
        <v>4500226795</v>
      </c>
    </row>
    <row r="11142" spans="1:1" x14ac:dyDescent="0.35">
      <c r="A11142" s="4">
        <v>4500226913</v>
      </c>
    </row>
    <row r="11143" spans="1:1" x14ac:dyDescent="0.35">
      <c r="A11143" s="4">
        <v>4500226924</v>
      </c>
    </row>
    <row r="11144" spans="1:1" x14ac:dyDescent="0.35">
      <c r="A11144" s="4">
        <v>4500226930</v>
      </c>
    </row>
    <row r="11145" spans="1:1" x14ac:dyDescent="0.35">
      <c r="A11145" s="4">
        <v>4500226934</v>
      </c>
    </row>
    <row r="11146" spans="1:1" x14ac:dyDescent="0.35">
      <c r="A11146" s="4">
        <v>4500226943</v>
      </c>
    </row>
    <row r="11147" spans="1:1" x14ac:dyDescent="0.35">
      <c r="A11147" s="4">
        <v>4500226948</v>
      </c>
    </row>
    <row r="11148" spans="1:1" x14ac:dyDescent="0.35">
      <c r="A11148" s="4">
        <v>4500226952</v>
      </c>
    </row>
    <row r="11149" spans="1:1" x14ac:dyDescent="0.35">
      <c r="A11149" s="4">
        <v>4500226954</v>
      </c>
    </row>
    <row r="11150" spans="1:1" x14ac:dyDescent="0.35">
      <c r="A11150" s="4">
        <v>4500226964</v>
      </c>
    </row>
    <row r="11151" spans="1:1" x14ac:dyDescent="0.35">
      <c r="A11151" s="4">
        <v>4500226967</v>
      </c>
    </row>
    <row r="11152" spans="1:1" x14ac:dyDescent="0.35">
      <c r="A11152" s="4">
        <v>4500226969</v>
      </c>
    </row>
    <row r="11153" spans="1:1" x14ac:dyDescent="0.35">
      <c r="A11153" s="4">
        <v>4500226971</v>
      </c>
    </row>
    <row r="11154" spans="1:1" x14ac:dyDescent="0.35">
      <c r="A11154" s="4">
        <v>4500226977</v>
      </c>
    </row>
    <row r="11155" spans="1:1" x14ac:dyDescent="0.35">
      <c r="A11155" s="4">
        <v>4500226980</v>
      </c>
    </row>
    <row r="11156" spans="1:1" x14ac:dyDescent="0.35">
      <c r="A11156" s="4">
        <v>4500226986</v>
      </c>
    </row>
    <row r="11157" spans="1:1" x14ac:dyDescent="0.35">
      <c r="A11157" s="4">
        <v>4500226988</v>
      </c>
    </row>
    <row r="11158" spans="1:1" x14ac:dyDescent="0.35">
      <c r="A11158" s="4">
        <v>4500226989</v>
      </c>
    </row>
    <row r="11159" spans="1:1" x14ac:dyDescent="0.35">
      <c r="A11159" s="4">
        <v>4500226990</v>
      </c>
    </row>
    <row r="11160" spans="1:1" x14ac:dyDescent="0.35">
      <c r="A11160" s="4">
        <v>4500226992</v>
      </c>
    </row>
    <row r="11161" spans="1:1" x14ac:dyDescent="0.35">
      <c r="A11161" s="4">
        <v>4500226994</v>
      </c>
    </row>
    <row r="11162" spans="1:1" x14ac:dyDescent="0.35">
      <c r="A11162" s="4">
        <v>4500226995</v>
      </c>
    </row>
    <row r="11163" spans="1:1" x14ac:dyDescent="0.35">
      <c r="A11163" s="4">
        <v>4500226996</v>
      </c>
    </row>
    <row r="11164" spans="1:1" x14ac:dyDescent="0.35">
      <c r="A11164" s="4">
        <v>4500227117</v>
      </c>
    </row>
    <row r="11165" spans="1:1" x14ac:dyDescent="0.35">
      <c r="A11165" s="4">
        <v>4500227121</v>
      </c>
    </row>
    <row r="11166" spans="1:1" x14ac:dyDescent="0.35">
      <c r="A11166" s="4">
        <v>4500227124</v>
      </c>
    </row>
    <row r="11167" spans="1:1" x14ac:dyDescent="0.35">
      <c r="A11167" s="4">
        <v>4500227129</v>
      </c>
    </row>
    <row r="11168" spans="1:1" x14ac:dyDescent="0.35">
      <c r="A11168" s="4">
        <v>4500227133</v>
      </c>
    </row>
    <row r="11169" spans="1:1" x14ac:dyDescent="0.35">
      <c r="A11169" s="4">
        <v>4500227137</v>
      </c>
    </row>
    <row r="11170" spans="1:1" x14ac:dyDescent="0.35">
      <c r="A11170" s="4">
        <v>4500227144</v>
      </c>
    </row>
    <row r="11171" spans="1:1" x14ac:dyDescent="0.35">
      <c r="A11171" s="4">
        <v>4500227150</v>
      </c>
    </row>
    <row r="11172" spans="1:1" x14ac:dyDescent="0.35">
      <c r="A11172" s="4">
        <v>4500227158</v>
      </c>
    </row>
    <row r="11173" spans="1:1" x14ac:dyDescent="0.35">
      <c r="A11173" s="4">
        <v>4500227161</v>
      </c>
    </row>
    <row r="11174" spans="1:1" x14ac:dyDescent="0.35">
      <c r="A11174" s="4">
        <v>4500227167</v>
      </c>
    </row>
    <row r="11175" spans="1:1" x14ac:dyDescent="0.35">
      <c r="A11175" s="4">
        <v>4500227175</v>
      </c>
    </row>
    <row r="11176" spans="1:1" x14ac:dyDescent="0.35">
      <c r="A11176" s="4">
        <v>4500227177</v>
      </c>
    </row>
    <row r="11177" spans="1:1" x14ac:dyDescent="0.35">
      <c r="A11177" s="4">
        <v>4500227182</v>
      </c>
    </row>
    <row r="11178" spans="1:1" x14ac:dyDescent="0.35">
      <c r="A11178" s="4">
        <v>4500227184</v>
      </c>
    </row>
    <row r="11179" spans="1:1" x14ac:dyDescent="0.35">
      <c r="A11179" s="4">
        <v>4500227189</v>
      </c>
    </row>
    <row r="11180" spans="1:1" x14ac:dyDescent="0.35">
      <c r="A11180" s="4">
        <v>4500227190</v>
      </c>
    </row>
    <row r="11181" spans="1:1" x14ac:dyDescent="0.35">
      <c r="A11181" s="4">
        <v>4500227192</v>
      </c>
    </row>
    <row r="11182" spans="1:1" x14ac:dyDescent="0.35">
      <c r="A11182" s="4">
        <v>4500227195</v>
      </c>
    </row>
    <row r="11183" spans="1:1" x14ac:dyDescent="0.35">
      <c r="A11183" s="4">
        <v>4500227201</v>
      </c>
    </row>
    <row r="11184" spans="1:1" x14ac:dyDescent="0.35">
      <c r="A11184" s="4">
        <v>4500227309</v>
      </c>
    </row>
    <row r="11185" spans="1:1" x14ac:dyDescent="0.35">
      <c r="A11185" s="4">
        <v>4500227312</v>
      </c>
    </row>
    <row r="11186" spans="1:1" x14ac:dyDescent="0.35">
      <c r="A11186" s="4">
        <v>4500227316</v>
      </c>
    </row>
    <row r="11187" spans="1:1" x14ac:dyDescent="0.35">
      <c r="A11187" s="4">
        <v>4500227319</v>
      </c>
    </row>
    <row r="11188" spans="1:1" x14ac:dyDescent="0.35">
      <c r="A11188" s="4">
        <v>4500227324</v>
      </c>
    </row>
    <row r="11189" spans="1:1" x14ac:dyDescent="0.35">
      <c r="A11189" s="4">
        <v>4500227334</v>
      </c>
    </row>
    <row r="11190" spans="1:1" x14ac:dyDescent="0.35">
      <c r="A11190" s="4">
        <v>4500227340</v>
      </c>
    </row>
    <row r="11191" spans="1:1" x14ac:dyDescent="0.35">
      <c r="A11191" s="4">
        <v>4500227344</v>
      </c>
    </row>
    <row r="11192" spans="1:1" x14ac:dyDescent="0.35">
      <c r="A11192" s="4">
        <v>4500227353</v>
      </c>
    </row>
    <row r="11193" spans="1:1" x14ac:dyDescent="0.35">
      <c r="A11193" s="4">
        <v>4500227357</v>
      </c>
    </row>
    <row r="11194" spans="1:1" x14ac:dyDescent="0.35">
      <c r="A11194" s="4">
        <v>4500227364</v>
      </c>
    </row>
    <row r="11195" spans="1:1" x14ac:dyDescent="0.35">
      <c r="A11195" s="4">
        <v>4500227368</v>
      </c>
    </row>
    <row r="11196" spans="1:1" x14ac:dyDescent="0.35">
      <c r="A11196" s="4">
        <v>4500227378</v>
      </c>
    </row>
    <row r="11197" spans="1:1" x14ac:dyDescent="0.35">
      <c r="A11197" s="4">
        <v>4500227391</v>
      </c>
    </row>
    <row r="11198" spans="1:1" x14ac:dyDescent="0.35">
      <c r="A11198" s="4">
        <v>4500227395</v>
      </c>
    </row>
    <row r="11199" spans="1:1" x14ac:dyDescent="0.35">
      <c r="A11199" s="4">
        <v>4500227399</v>
      </c>
    </row>
    <row r="11200" spans="1:1" x14ac:dyDescent="0.35">
      <c r="A11200" s="4">
        <v>4500227404</v>
      </c>
    </row>
    <row r="11201" spans="1:1" x14ac:dyDescent="0.35">
      <c r="A11201" s="4">
        <v>4500227407</v>
      </c>
    </row>
    <row r="11202" spans="1:1" x14ac:dyDescent="0.35">
      <c r="A11202" s="4">
        <v>4500227425</v>
      </c>
    </row>
    <row r="11203" spans="1:1" x14ac:dyDescent="0.35">
      <c r="A11203" s="4">
        <v>4500227440</v>
      </c>
    </row>
    <row r="11204" spans="1:1" x14ac:dyDescent="0.35">
      <c r="A11204" s="4">
        <v>4500227529</v>
      </c>
    </row>
    <row r="11205" spans="1:1" x14ac:dyDescent="0.35">
      <c r="A11205" s="4">
        <v>4500227549</v>
      </c>
    </row>
    <row r="11206" spans="1:1" x14ac:dyDescent="0.35">
      <c r="A11206" s="4">
        <v>4500227554</v>
      </c>
    </row>
    <row r="11207" spans="1:1" x14ac:dyDescent="0.35">
      <c r="A11207" s="4">
        <v>4500227559</v>
      </c>
    </row>
    <row r="11208" spans="1:1" x14ac:dyDescent="0.35">
      <c r="A11208" s="4">
        <v>4500227562</v>
      </c>
    </row>
    <row r="11209" spans="1:1" x14ac:dyDescent="0.35">
      <c r="A11209" s="4">
        <v>4500227566</v>
      </c>
    </row>
    <row r="11210" spans="1:1" x14ac:dyDescent="0.35">
      <c r="A11210" s="4">
        <v>4500227569</v>
      </c>
    </row>
    <row r="11211" spans="1:1" x14ac:dyDescent="0.35">
      <c r="A11211" s="4">
        <v>4500227573</v>
      </c>
    </row>
    <row r="11212" spans="1:1" x14ac:dyDescent="0.35">
      <c r="A11212" s="4">
        <v>4500227577</v>
      </c>
    </row>
    <row r="11213" spans="1:1" x14ac:dyDescent="0.35">
      <c r="A11213" s="4">
        <v>4500227580</v>
      </c>
    </row>
    <row r="11214" spans="1:1" x14ac:dyDescent="0.35">
      <c r="A11214" s="4">
        <v>4500227583</v>
      </c>
    </row>
    <row r="11215" spans="1:1" x14ac:dyDescent="0.35">
      <c r="A11215" s="4">
        <v>4500227584</v>
      </c>
    </row>
    <row r="11216" spans="1:1" x14ac:dyDescent="0.35">
      <c r="A11216" s="4">
        <v>4500227586</v>
      </c>
    </row>
    <row r="11217" spans="1:1" x14ac:dyDescent="0.35">
      <c r="A11217" s="4">
        <v>4500227591</v>
      </c>
    </row>
    <row r="11218" spans="1:1" x14ac:dyDescent="0.35">
      <c r="A11218" s="4">
        <v>4500227598</v>
      </c>
    </row>
    <row r="11219" spans="1:1" x14ac:dyDescent="0.35">
      <c r="A11219" s="4">
        <v>4500227600</v>
      </c>
    </row>
    <row r="11220" spans="1:1" x14ac:dyDescent="0.35">
      <c r="A11220" s="4">
        <v>4500227607</v>
      </c>
    </row>
    <row r="11221" spans="1:1" x14ac:dyDescent="0.35">
      <c r="A11221" s="4">
        <v>4500227610</v>
      </c>
    </row>
    <row r="11222" spans="1:1" x14ac:dyDescent="0.35">
      <c r="A11222" s="4">
        <v>4500227614</v>
      </c>
    </row>
    <row r="11223" spans="1:1" x14ac:dyDescent="0.35">
      <c r="A11223" s="4">
        <v>4500227619</v>
      </c>
    </row>
    <row r="11224" spans="1:1" x14ac:dyDescent="0.35">
      <c r="A11224" s="4">
        <v>4500227620</v>
      </c>
    </row>
    <row r="11225" spans="1:1" x14ac:dyDescent="0.35">
      <c r="A11225" s="4">
        <v>4500227622</v>
      </c>
    </row>
    <row r="11226" spans="1:1" x14ac:dyDescent="0.35">
      <c r="A11226" s="4">
        <v>4500227624</v>
      </c>
    </row>
    <row r="11227" spans="1:1" x14ac:dyDescent="0.35">
      <c r="A11227" s="4">
        <v>4500227627</v>
      </c>
    </row>
    <row r="11228" spans="1:1" x14ac:dyDescent="0.35">
      <c r="A11228" s="4">
        <v>4500227628</v>
      </c>
    </row>
    <row r="11229" spans="1:1" x14ac:dyDescent="0.35">
      <c r="A11229" s="4">
        <v>4500227630</v>
      </c>
    </row>
    <row r="11230" spans="1:1" x14ac:dyDescent="0.35">
      <c r="A11230" s="4">
        <v>4500227633</v>
      </c>
    </row>
    <row r="11231" spans="1:1" x14ac:dyDescent="0.35">
      <c r="A11231" s="4">
        <v>4500227635</v>
      </c>
    </row>
    <row r="11232" spans="1:1" x14ac:dyDescent="0.35">
      <c r="A11232" s="4">
        <v>4500227637</v>
      </c>
    </row>
    <row r="11233" spans="1:1" x14ac:dyDescent="0.35">
      <c r="A11233" s="4">
        <v>4500227638</v>
      </c>
    </row>
    <row r="11234" spans="1:1" x14ac:dyDescent="0.35">
      <c r="A11234" s="4">
        <v>4500227641</v>
      </c>
    </row>
    <row r="11235" spans="1:1" x14ac:dyDescent="0.35">
      <c r="A11235" s="4">
        <v>4500227643</v>
      </c>
    </row>
    <row r="11236" spans="1:1" x14ac:dyDescent="0.35">
      <c r="A11236" s="4">
        <v>4500227646</v>
      </c>
    </row>
    <row r="11237" spans="1:1" x14ac:dyDescent="0.35">
      <c r="A11237" s="4">
        <v>4500227647</v>
      </c>
    </row>
    <row r="11238" spans="1:1" x14ac:dyDescent="0.35">
      <c r="A11238" s="4">
        <v>4500227672</v>
      </c>
    </row>
    <row r="11239" spans="1:1" x14ac:dyDescent="0.35">
      <c r="A11239" s="4">
        <v>4500227763</v>
      </c>
    </row>
    <row r="11240" spans="1:1" x14ac:dyDescent="0.35">
      <c r="A11240" s="4">
        <v>4500227767</v>
      </c>
    </row>
    <row r="11241" spans="1:1" x14ac:dyDescent="0.35">
      <c r="A11241" s="4">
        <v>4500227780</v>
      </c>
    </row>
    <row r="11242" spans="1:1" x14ac:dyDescent="0.35">
      <c r="A11242" s="4">
        <v>4500227786</v>
      </c>
    </row>
    <row r="11243" spans="1:1" x14ac:dyDescent="0.35">
      <c r="A11243" s="4">
        <v>4500227790</v>
      </c>
    </row>
    <row r="11244" spans="1:1" x14ac:dyDescent="0.35">
      <c r="A11244" s="4">
        <v>4500227801</v>
      </c>
    </row>
    <row r="11245" spans="1:1" x14ac:dyDescent="0.35">
      <c r="A11245" s="4">
        <v>4500227805</v>
      </c>
    </row>
    <row r="11246" spans="1:1" x14ac:dyDescent="0.35">
      <c r="A11246" s="4">
        <v>4500227808</v>
      </c>
    </row>
    <row r="11247" spans="1:1" x14ac:dyDescent="0.35">
      <c r="A11247" s="4">
        <v>4500227814</v>
      </c>
    </row>
    <row r="11248" spans="1:1" x14ac:dyDescent="0.35">
      <c r="A11248" s="4">
        <v>4500227820</v>
      </c>
    </row>
    <row r="11249" spans="1:1" x14ac:dyDescent="0.35">
      <c r="A11249" s="4">
        <v>4500227828</v>
      </c>
    </row>
    <row r="11250" spans="1:1" x14ac:dyDescent="0.35">
      <c r="A11250" s="4">
        <v>4500227830</v>
      </c>
    </row>
    <row r="11251" spans="1:1" x14ac:dyDescent="0.35">
      <c r="A11251" s="4">
        <v>4500227834</v>
      </c>
    </row>
    <row r="11252" spans="1:1" x14ac:dyDescent="0.35">
      <c r="A11252" s="4">
        <v>4500227840</v>
      </c>
    </row>
    <row r="11253" spans="1:1" x14ac:dyDescent="0.35">
      <c r="A11253" s="4">
        <v>4500227842</v>
      </c>
    </row>
    <row r="11254" spans="1:1" x14ac:dyDescent="0.35">
      <c r="A11254" s="4">
        <v>4500227844</v>
      </c>
    </row>
    <row r="11255" spans="1:1" x14ac:dyDescent="0.35">
      <c r="A11255" s="4">
        <v>4500227845</v>
      </c>
    </row>
    <row r="11256" spans="1:1" x14ac:dyDescent="0.35">
      <c r="A11256" s="4">
        <v>4500227847</v>
      </c>
    </row>
    <row r="11257" spans="1:1" x14ac:dyDescent="0.35">
      <c r="A11257" s="4">
        <v>4500227851</v>
      </c>
    </row>
    <row r="11258" spans="1:1" x14ac:dyDescent="0.35">
      <c r="A11258" s="4">
        <v>4500227975</v>
      </c>
    </row>
    <row r="11259" spans="1:1" x14ac:dyDescent="0.35">
      <c r="A11259" s="4">
        <v>4500227978</v>
      </c>
    </row>
    <row r="11260" spans="1:1" x14ac:dyDescent="0.35">
      <c r="A11260" s="4">
        <v>4500227989</v>
      </c>
    </row>
    <row r="11261" spans="1:1" x14ac:dyDescent="0.35">
      <c r="A11261" s="4">
        <v>4500228001</v>
      </c>
    </row>
    <row r="11262" spans="1:1" x14ac:dyDescent="0.35">
      <c r="A11262" s="4">
        <v>4500228008</v>
      </c>
    </row>
    <row r="11263" spans="1:1" x14ac:dyDescent="0.35">
      <c r="A11263" s="4">
        <v>4500228013</v>
      </c>
    </row>
    <row r="11264" spans="1:1" x14ac:dyDescent="0.35">
      <c r="A11264" s="4">
        <v>4500228015</v>
      </c>
    </row>
    <row r="11265" spans="1:1" x14ac:dyDescent="0.35">
      <c r="A11265" s="4">
        <v>4500228017</v>
      </c>
    </row>
    <row r="11266" spans="1:1" x14ac:dyDescent="0.35">
      <c r="A11266" s="4">
        <v>4500228026</v>
      </c>
    </row>
    <row r="11267" spans="1:1" x14ac:dyDescent="0.35">
      <c r="A11267" s="4">
        <v>4500228027</v>
      </c>
    </row>
    <row r="11268" spans="1:1" x14ac:dyDescent="0.35">
      <c r="A11268" s="4">
        <v>4500228030</v>
      </c>
    </row>
    <row r="11269" spans="1:1" x14ac:dyDescent="0.35">
      <c r="A11269" s="4">
        <v>4500228034</v>
      </c>
    </row>
    <row r="11270" spans="1:1" x14ac:dyDescent="0.35">
      <c r="A11270" s="4">
        <v>4500228038</v>
      </c>
    </row>
    <row r="11271" spans="1:1" x14ac:dyDescent="0.35">
      <c r="A11271" s="4">
        <v>4500228039</v>
      </c>
    </row>
    <row r="11272" spans="1:1" x14ac:dyDescent="0.35">
      <c r="A11272" s="4">
        <v>4500228041</v>
      </c>
    </row>
    <row r="11273" spans="1:1" x14ac:dyDescent="0.35">
      <c r="A11273" s="4">
        <v>4500228042</v>
      </c>
    </row>
    <row r="11274" spans="1:1" x14ac:dyDescent="0.35">
      <c r="A11274" s="4">
        <v>4500228043</v>
      </c>
    </row>
    <row r="11275" spans="1:1" x14ac:dyDescent="0.35">
      <c r="A11275" s="4">
        <v>4500228044</v>
      </c>
    </row>
    <row r="11276" spans="1:1" x14ac:dyDescent="0.35">
      <c r="A11276" s="4">
        <v>4500228045</v>
      </c>
    </row>
    <row r="11277" spans="1:1" x14ac:dyDescent="0.35">
      <c r="A11277" s="4">
        <v>4500228046</v>
      </c>
    </row>
    <row r="11278" spans="1:1" x14ac:dyDescent="0.35">
      <c r="A11278" s="4">
        <v>4500228048</v>
      </c>
    </row>
    <row r="11279" spans="1:1" x14ac:dyDescent="0.35">
      <c r="A11279" s="4">
        <v>4500228049</v>
      </c>
    </row>
    <row r="11280" spans="1:1" x14ac:dyDescent="0.35">
      <c r="A11280" s="4">
        <v>4500228050</v>
      </c>
    </row>
    <row r="11281" spans="1:1" x14ac:dyDescent="0.35">
      <c r="A11281" s="4">
        <v>4500228151</v>
      </c>
    </row>
    <row r="11282" spans="1:1" x14ac:dyDescent="0.35">
      <c r="A11282" s="4">
        <v>4500228153</v>
      </c>
    </row>
    <row r="11283" spans="1:1" x14ac:dyDescent="0.35">
      <c r="A11283" s="4">
        <v>4500228160</v>
      </c>
    </row>
    <row r="11284" spans="1:1" x14ac:dyDescent="0.35">
      <c r="A11284" s="4">
        <v>4500228164</v>
      </c>
    </row>
    <row r="11285" spans="1:1" x14ac:dyDescent="0.35">
      <c r="A11285" s="4">
        <v>4500228166</v>
      </c>
    </row>
    <row r="11286" spans="1:1" x14ac:dyDescent="0.35">
      <c r="A11286" s="4">
        <v>4500228170</v>
      </c>
    </row>
    <row r="11287" spans="1:1" x14ac:dyDescent="0.35">
      <c r="A11287" s="4">
        <v>4500228183</v>
      </c>
    </row>
    <row r="11288" spans="1:1" x14ac:dyDescent="0.35">
      <c r="A11288" s="4">
        <v>4500228184</v>
      </c>
    </row>
    <row r="11289" spans="1:1" x14ac:dyDescent="0.35">
      <c r="A11289" s="4">
        <v>4500228189</v>
      </c>
    </row>
    <row r="11290" spans="1:1" x14ac:dyDescent="0.35">
      <c r="A11290" s="4">
        <v>4500228192</v>
      </c>
    </row>
    <row r="11291" spans="1:1" x14ac:dyDescent="0.35">
      <c r="A11291" s="4">
        <v>4500228199</v>
      </c>
    </row>
    <row r="11292" spans="1:1" x14ac:dyDescent="0.35">
      <c r="A11292" s="4">
        <v>4500228202</v>
      </c>
    </row>
    <row r="11293" spans="1:1" x14ac:dyDescent="0.35">
      <c r="A11293" s="4">
        <v>4500228209</v>
      </c>
    </row>
    <row r="11294" spans="1:1" x14ac:dyDescent="0.35">
      <c r="A11294" s="4">
        <v>4500228210</v>
      </c>
    </row>
    <row r="11295" spans="1:1" x14ac:dyDescent="0.35">
      <c r="A11295" s="4">
        <v>4500228215</v>
      </c>
    </row>
    <row r="11296" spans="1:1" x14ac:dyDescent="0.35">
      <c r="A11296" s="4">
        <v>4500228225</v>
      </c>
    </row>
    <row r="11297" spans="1:1" x14ac:dyDescent="0.35">
      <c r="A11297" s="4">
        <v>4500228228</v>
      </c>
    </row>
    <row r="11298" spans="1:1" x14ac:dyDescent="0.35">
      <c r="A11298" s="4">
        <v>4500228229</v>
      </c>
    </row>
    <row r="11299" spans="1:1" x14ac:dyDescent="0.35">
      <c r="A11299" s="4">
        <v>4500228232</v>
      </c>
    </row>
    <row r="11300" spans="1:1" x14ac:dyDescent="0.35">
      <c r="A11300" s="4">
        <v>4500228233</v>
      </c>
    </row>
    <row r="11301" spans="1:1" x14ac:dyDescent="0.35">
      <c r="A11301" s="4">
        <v>4500228234</v>
      </c>
    </row>
    <row r="11302" spans="1:1" x14ac:dyDescent="0.35">
      <c r="A11302" s="4">
        <v>4500228235</v>
      </c>
    </row>
    <row r="11303" spans="1:1" x14ac:dyDescent="0.35">
      <c r="A11303" s="4">
        <v>4500228236</v>
      </c>
    </row>
    <row r="11304" spans="1:1" x14ac:dyDescent="0.35">
      <c r="A11304" s="4">
        <v>4500228237</v>
      </c>
    </row>
    <row r="11305" spans="1:1" x14ac:dyDescent="0.35">
      <c r="A11305" s="4">
        <v>4500228238</v>
      </c>
    </row>
    <row r="11306" spans="1:1" x14ac:dyDescent="0.35">
      <c r="A11306" s="4">
        <v>4500228362</v>
      </c>
    </row>
    <row r="11307" spans="1:1" x14ac:dyDescent="0.35">
      <c r="A11307" s="4">
        <v>4500228367</v>
      </c>
    </row>
    <row r="11308" spans="1:1" x14ac:dyDescent="0.35">
      <c r="A11308" s="4">
        <v>4500228370</v>
      </c>
    </row>
    <row r="11309" spans="1:1" x14ac:dyDescent="0.35">
      <c r="A11309" s="4">
        <v>4500228377</v>
      </c>
    </row>
    <row r="11310" spans="1:1" x14ac:dyDescent="0.35">
      <c r="A11310" s="4">
        <v>4500228386</v>
      </c>
    </row>
    <row r="11311" spans="1:1" x14ac:dyDescent="0.35">
      <c r="A11311" s="4">
        <v>4500228390</v>
      </c>
    </row>
    <row r="11312" spans="1:1" x14ac:dyDescent="0.35">
      <c r="A11312" s="4">
        <v>4500228395</v>
      </c>
    </row>
    <row r="11313" spans="1:1" x14ac:dyDescent="0.35">
      <c r="A11313" s="4">
        <v>4500228399</v>
      </c>
    </row>
    <row r="11314" spans="1:1" x14ac:dyDescent="0.35">
      <c r="A11314" s="4">
        <v>4500228403</v>
      </c>
    </row>
    <row r="11315" spans="1:1" x14ac:dyDescent="0.35">
      <c r="A11315" s="4">
        <v>4500228407</v>
      </c>
    </row>
    <row r="11316" spans="1:1" x14ac:dyDescent="0.35">
      <c r="A11316" s="4">
        <v>4500228412</v>
      </c>
    </row>
    <row r="11317" spans="1:1" x14ac:dyDescent="0.35">
      <c r="A11317" s="4">
        <v>4500228421</v>
      </c>
    </row>
    <row r="11318" spans="1:1" x14ac:dyDescent="0.35">
      <c r="A11318" s="4">
        <v>4500228424</v>
      </c>
    </row>
    <row r="11319" spans="1:1" x14ac:dyDescent="0.35">
      <c r="A11319" s="4">
        <v>4500228430</v>
      </c>
    </row>
    <row r="11320" spans="1:1" x14ac:dyDescent="0.35">
      <c r="A11320" s="4">
        <v>4500228435</v>
      </c>
    </row>
    <row r="11321" spans="1:1" x14ac:dyDescent="0.35">
      <c r="A11321" s="4">
        <v>4500228440</v>
      </c>
    </row>
    <row r="11322" spans="1:1" x14ac:dyDescent="0.35">
      <c r="A11322" s="4">
        <v>4500228445</v>
      </c>
    </row>
    <row r="11323" spans="1:1" x14ac:dyDescent="0.35">
      <c r="A11323" s="4">
        <v>4500228449</v>
      </c>
    </row>
    <row r="11324" spans="1:1" x14ac:dyDescent="0.35">
      <c r="A11324" s="4">
        <v>4500228451</v>
      </c>
    </row>
    <row r="11325" spans="1:1" x14ac:dyDescent="0.35">
      <c r="A11325" s="4">
        <v>4500228452</v>
      </c>
    </row>
    <row r="11326" spans="1:1" x14ac:dyDescent="0.35">
      <c r="A11326" s="4">
        <v>4500228454</v>
      </c>
    </row>
    <row r="11327" spans="1:1" x14ac:dyDescent="0.35">
      <c r="A11327" s="4">
        <v>4500228467</v>
      </c>
    </row>
    <row r="11328" spans="1:1" x14ac:dyDescent="0.35">
      <c r="A11328" s="4">
        <v>4500228468</v>
      </c>
    </row>
    <row r="11329" spans="1:1" x14ac:dyDescent="0.35">
      <c r="A11329" s="4">
        <v>4500228579</v>
      </c>
    </row>
    <row r="11330" spans="1:1" x14ac:dyDescent="0.35">
      <c r="A11330" s="4">
        <v>4500228582</v>
      </c>
    </row>
    <row r="11331" spans="1:1" x14ac:dyDescent="0.35">
      <c r="A11331" s="4">
        <v>4500228588</v>
      </c>
    </row>
    <row r="11332" spans="1:1" x14ac:dyDescent="0.35">
      <c r="A11332" s="4">
        <v>4500228594</v>
      </c>
    </row>
    <row r="11333" spans="1:1" x14ac:dyDescent="0.35">
      <c r="A11333" s="4">
        <v>4500228598</v>
      </c>
    </row>
    <row r="11334" spans="1:1" x14ac:dyDescent="0.35">
      <c r="A11334" s="4">
        <v>4500228604</v>
      </c>
    </row>
    <row r="11335" spans="1:1" x14ac:dyDescent="0.35">
      <c r="A11335" s="4">
        <v>4500228608</v>
      </c>
    </row>
    <row r="11336" spans="1:1" x14ac:dyDescent="0.35">
      <c r="A11336" s="4">
        <v>4500228613</v>
      </c>
    </row>
    <row r="11337" spans="1:1" x14ac:dyDescent="0.35">
      <c r="A11337" s="4">
        <v>4500228617</v>
      </c>
    </row>
    <row r="11338" spans="1:1" x14ac:dyDescent="0.35">
      <c r="A11338" s="4">
        <v>4500228620</v>
      </c>
    </row>
    <row r="11339" spans="1:1" x14ac:dyDescent="0.35">
      <c r="A11339" s="4">
        <v>4500228623</v>
      </c>
    </row>
    <row r="11340" spans="1:1" x14ac:dyDescent="0.35">
      <c r="A11340" s="4">
        <v>4500228634</v>
      </c>
    </row>
    <row r="11341" spans="1:1" x14ac:dyDescent="0.35">
      <c r="A11341" s="4">
        <v>4500228638</v>
      </c>
    </row>
    <row r="11342" spans="1:1" x14ac:dyDescent="0.35">
      <c r="A11342" s="4">
        <v>4500228643</v>
      </c>
    </row>
    <row r="11343" spans="1:1" x14ac:dyDescent="0.35">
      <c r="A11343" s="4">
        <v>4500228646</v>
      </c>
    </row>
    <row r="11344" spans="1:1" x14ac:dyDescent="0.35">
      <c r="A11344" s="4">
        <v>4500228649</v>
      </c>
    </row>
    <row r="11345" spans="1:1" x14ac:dyDescent="0.35">
      <c r="A11345" s="4">
        <v>4500228651</v>
      </c>
    </row>
    <row r="11346" spans="1:1" x14ac:dyDescent="0.35">
      <c r="A11346" s="4">
        <v>4500228654</v>
      </c>
    </row>
    <row r="11347" spans="1:1" x14ac:dyDescent="0.35">
      <c r="A11347" s="4">
        <v>4500228657</v>
      </c>
    </row>
    <row r="11348" spans="1:1" x14ac:dyDescent="0.35">
      <c r="A11348" s="4">
        <v>4500228661</v>
      </c>
    </row>
    <row r="11349" spans="1:1" x14ac:dyDescent="0.35">
      <c r="A11349" s="4">
        <v>4500228663</v>
      </c>
    </row>
    <row r="11350" spans="1:1" x14ac:dyDescent="0.35">
      <c r="A11350" s="4">
        <v>4500228664</v>
      </c>
    </row>
    <row r="11351" spans="1:1" x14ac:dyDescent="0.35">
      <c r="A11351" s="4">
        <v>4500228666</v>
      </c>
    </row>
    <row r="11352" spans="1:1" x14ac:dyDescent="0.35">
      <c r="A11352" s="4">
        <v>4500228680</v>
      </c>
    </row>
    <row r="11353" spans="1:1" x14ac:dyDescent="0.35">
      <c r="A11353" s="4">
        <v>4500228790</v>
      </c>
    </row>
    <row r="11354" spans="1:1" x14ac:dyDescent="0.35">
      <c r="A11354" s="4">
        <v>4500228791</v>
      </c>
    </row>
    <row r="11355" spans="1:1" x14ac:dyDescent="0.35">
      <c r="A11355" s="4">
        <v>4500228797</v>
      </c>
    </row>
    <row r="11356" spans="1:1" x14ac:dyDescent="0.35">
      <c r="A11356" s="4">
        <v>4500228802</v>
      </c>
    </row>
    <row r="11357" spans="1:1" x14ac:dyDescent="0.35">
      <c r="A11357" s="4">
        <v>4500228806</v>
      </c>
    </row>
    <row r="11358" spans="1:1" x14ac:dyDescent="0.35">
      <c r="A11358" s="4">
        <v>4500228811</v>
      </c>
    </row>
    <row r="11359" spans="1:1" x14ac:dyDescent="0.35">
      <c r="A11359" s="4">
        <v>4500228814</v>
      </c>
    </row>
    <row r="11360" spans="1:1" x14ac:dyDescent="0.35">
      <c r="A11360" s="4">
        <v>4500228819</v>
      </c>
    </row>
    <row r="11361" spans="1:1" x14ac:dyDescent="0.35">
      <c r="A11361" s="4">
        <v>4500228825</v>
      </c>
    </row>
    <row r="11362" spans="1:1" x14ac:dyDescent="0.35">
      <c r="A11362" s="4">
        <v>4500228837</v>
      </c>
    </row>
    <row r="11363" spans="1:1" x14ac:dyDescent="0.35">
      <c r="A11363" s="4">
        <v>4500228841</v>
      </c>
    </row>
    <row r="11364" spans="1:1" x14ac:dyDescent="0.35">
      <c r="A11364" s="4">
        <v>4500228845</v>
      </c>
    </row>
    <row r="11365" spans="1:1" x14ac:dyDescent="0.35">
      <c r="A11365" s="4">
        <v>4500228850</v>
      </c>
    </row>
    <row r="11366" spans="1:1" x14ac:dyDescent="0.35">
      <c r="A11366" s="4">
        <v>4500228853</v>
      </c>
    </row>
    <row r="11367" spans="1:1" x14ac:dyDescent="0.35">
      <c r="A11367" s="4">
        <v>4500228856</v>
      </c>
    </row>
    <row r="11368" spans="1:1" x14ac:dyDescent="0.35">
      <c r="A11368" s="4">
        <v>4500228866</v>
      </c>
    </row>
    <row r="11369" spans="1:1" x14ac:dyDescent="0.35">
      <c r="A11369" s="4">
        <v>4500228867</v>
      </c>
    </row>
    <row r="11370" spans="1:1" x14ac:dyDescent="0.35">
      <c r="A11370" s="4">
        <v>4500228883</v>
      </c>
    </row>
    <row r="11371" spans="1:1" x14ac:dyDescent="0.35">
      <c r="A11371" s="4">
        <v>4500228990</v>
      </c>
    </row>
    <row r="11372" spans="1:1" x14ac:dyDescent="0.35">
      <c r="A11372" s="4">
        <v>4500228992</v>
      </c>
    </row>
    <row r="11373" spans="1:1" x14ac:dyDescent="0.35">
      <c r="A11373" s="4">
        <v>4500228995</v>
      </c>
    </row>
    <row r="11374" spans="1:1" x14ac:dyDescent="0.35">
      <c r="A11374" s="4">
        <v>4500229001</v>
      </c>
    </row>
    <row r="11375" spans="1:1" x14ac:dyDescent="0.35">
      <c r="A11375" s="4">
        <v>4500229008</v>
      </c>
    </row>
    <row r="11376" spans="1:1" x14ac:dyDescent="0.35">
      <c r="A11376" s="4">
        <v>4500229012</v>
      </c>
    </row>
    <row r="11377" spans="1:1" x14ac:dyDescent="0.35">
      <c r="A11377" s="4">
        <v>4500229022</v>
      </c>
    </row>
    <row r="11378" spans="1:1" x14ac:dyDescent="0.35">
      <c r="A11378" s="4">
        <v>4500229026</v>
      </c>
    </row>
    <row r="11379" spans="1:1" x14ac:dyDescent="0.35">
      <c r="A11379" s="4">
        <v>4500229034</v>
      </c>
    </row>
    <row r="11380" spans="1:1" x14ac:dyDescent="0.35">
      <c r="A11380" s="4">
        <v>4500229035</v>
      </c>
    </row>
    <row r="11381" spans="1:1" x14ac:dyDescent="0.35">
      <c r="A11381" s="4">
        <v>4500229043</v>
      </c>
    </row>
    <row r="11382" spans="1:1" x14ac:dyDescent="0.35">
      <c r="A11382" s="4">
        <v>4500229051</v>
      </c>
    </row>
    <row r="11383" spans="1:1" x14ac:dyDescent="0.35">
      <c r="A11383" s="4">
        <v>4500229066</v>
      </c>
    </row>
    <row r="11384" spans="1:1" x14ac:dyDescent="0.35">
      <c r="A11384" s="4">
        <v>4500229067</v>
      </c>
    </row>
    <row r="11385" spans="1:1" x14ac:dyDescent="0.35">
      <c r="A11385" s="4">
        <v>4500229068</v>
      </c>
    </row>
    <row r="11386" spans="1:1" x14ac:dyDescent="0.35">
      <c r="A11386" s="4">
        <v>4500229071</v>
      </c>
    </row>
    <row r="11387" spans="1:1" x14ac:dyDescent="0.35">
      <c r="A11387" s="4">
        <v>4500229072</v>
      </c>
    </row>
    <row r="11388" spans="1:1" x14ac:dyDescent="0.35">
      <c r="A11388" s="4">
        <v>4500229073</v>
      </c>
    </row>
    <row r="11389" spans="1:1" x14ac:dyDescent="0.35">
      <c r="A11389" s="4">
        <v>4500229074</v>
      </c>
    </row>
    <row r="11390" spans="1:1" x14ac:dyDescent="0.35">
      <c r="A11390" s="4">
        <v>4500229076</v>
      </c>
    </row>
    <row r="11391" spans="1:1" x14ac:dyDescent="0.35">
      <c r="A11391" s="4">
        <v>4500229078</v>
      </c>
    </row>
    <row r="11392" spans="1:1" x14ac:dyDescent="0.35">
      <c r="A11392" s="4">
        <v>4500229201</v>
      </c>
    </row>
    <row r="11393" spans="1:1" x14ac:dyDescent="0.35">
      <c r="A11393" s="4">
        <v>4500229208</v>
      </c>
    </row>
    <row r="11394" spans="1:1" x14ac:dyDescent="0.35">
      <c r="A11394" s="4">
        <v>4500229214</v>
      </c>
    </row>
    <row r="11395" spans="1:1" x14ac:dyDescent="0.35">
      <c r="A11395" s="4">
        <v>4500229221</v>
      </c>
    </row>
    <row r="11396" spans="1:1" x14ac:dyDescent="0.35">
      <c r="A11396" s="4">
        <v>4500229224</v>
      </c>
    </row>
    <row r="11397" spans="1:1" x14ac:dyDescent="0.35">
      <c r="A11397" s="4">
        <v>4500229229</v>
      </c>
    </row>
    <row r="11398" spans="1:1" x14ac:dyDescent="0.35">
      <c r="A11398" s="4">
        <v>4500229253</v>
      </c>
    </row>
    <row r="11399" spans="1:1" x14ac:dyDescent="0.35">
      <c r="A11399" s="4">
        <v>4500229257</v>
      </c>
    </row>
    <row r="11400" spans="1:1" x14ac:dyDescent="0.35">
      <c r="A11400" s="4">
        <v>4500229260</v>
      </c>
    </row>
    <row r="11401" spans="1:1" x14ac:dyDescent="0.35">
      <c r="A11401" s="4">
        <v>4500229266</v>
      </c>
    </row>
    <row r="11402" spans="1:1" x14ac:dyDescent="0.35">
      <c r="A11402" s="4">
        <v>4500229269</v>
      </c>
    </row>
    <row r="11403" spans="1:1" x14ac:dyDescent="0.35">
      <c r="A11403" s="4">
        <v>4500229279</v>
      </c>
    </row>
    <row r="11404" spans="1:1" x14ac:dyDescent="0.35">
      <c r="A11404" s="4">
        <v>4500229281</v>
      </c>
    </row>
    <row r="11405" spans="1:1" x14ac:dyDescent="0.35">
      <c r="A11405" s="4">
        <v>4500229282</v>
      </c>
    </row>
    <row r="11406" spans="1:1" x14ac:dyDescent="0.35">
      <c r="A11406" s="4">
        <v>4500229283</v>
      </c>
    </row>
    <row r="11407" spans="1:1" x14ac:dyDescent="0.35">
      <c r="A11407" s="4">
        <v>4500229285</v>
      </c>
    </row>
    <row r="11408" spans="1:1" x14ac:dyDescent="0.35">
      <c r="A11408" s="4">
        <v>4500229287</v>
      </c>
    </row>
    <row r="11409" spans="1:1" x14ac:dyDescent="0.35">
      <c r="A11409" s="4">
        <v>4500229407</v>
      </c>
    </row>
    <row r="11410" spans="1:1" x14ac:dyDescent="0.35">
      <c r="A11410" s="4">
        <v>4500229412</v>
      </c>
    </row>
    <row r="11411" spans="1:1" x14ac:dyDescent="0.35">
      <c r="A11411" s="4">
        <v>4500229418</v>
      </c>
    </row>
    <row r="11412" spans="1:1" x14ac:dyDescent="0.35">
      <c r="A11412" s="4">
        <v>4500229422</v>
      </c>
    </row>
    <row r="11413" spans="1:1" x14ac:dyDescent="0.35">
      <c r="A11413" s="4">
        <v>4500229423</v>
      </c>
    </row>
    <row r="11414" spans="1:1" x14ac:dyDescent="0.35">
      <c r="A11414" s="4">
        <v>4500229425</v>
      </c>
    </row>
    <row r="11415" spans="1:1" x14ac:dyDescent="0.35">
      <c r="A11415" s="4">
        <v>4500229428</v>
      </c>
    </row>
    <row r="11416" spans="1:1" x14ac:dyDescent="0.35">
      <c r="A11416" s="4">
        <v>4500229429</v>
      </c>
    </row>
    <row r="11417" spans="1:1" x14ac:dyDescent="0.35">
      <c r="A11417" s="4">
        <v>4500229432</v>
      </c>
    </row>
    <row r="11418" spans="1:1" x14ac:dyDescent="0.35">
      <c r="A11418" s="4">
        <v>4500229433</v>
      </c>
    </row>
    <row r="11419" spans="1:1" x14ac:dyDescent="0.35">
      <c r="A11419" s="4">
        <v>4500229438</v>
      </c>
    </row>
    <row r="11420" spans="1:1" x14ac:dyDescent="0.35">
      <c r="A11420" s="4">
        <v>4500229440</v>
      </c>
    </row>
    <row r="11421" spans="1:1" x14ac:dyDescent="0.35">
      <c r="A11421" s="4">
        <v>4500229443</v>
      </c>
    </row>
    <row r="11422" spans="1:1" x14ac:dyDescent="0.35">
      <c r="A11422" s="4">
        <v>4500229448</v>
      </c>
    </row>
    <row r="11423" spans="1:1" x14ac:dyDescent="0.35">
      <c r="A11423" s="4">
        <v>4500229450</v>
      </c>
    </row>
    <row r="11424" spans="1:1" x14ac:dyDescent="0.35">
      <c r="A11424" s="4">
        <v>4500229457</v>
      </c>
    </row>
    <row r="11425" spans="1:1" x14ac:dyDescent="0.35">
      <c r="A11425" s="4">
        <v>4500229459</v>
      </c>
    </row>
    <row r="11426" spans="1:1" x14ac:dyDescent="0.35">
      <c r="A11426" s="4">
        <v>4500229462</v>
      </c>
    </row>
    <row r="11427" spans="1:1" x14ac:dyDescent="0.35">
      <c r="A11427" s="4">
        <v>4500229463</v>
      </c>
    </row>
    <row r="11428" spans="1:1" x14ac:dyDescent="0.35">
      <c r="A11428" s="4">
        <v>4500229472</v>
      </c>
    </row>
    <row r="11429" spans="1:1" x14ac:dyDescent="0.35">
      <c r="A11429" s="4">
        <v>4500229475</v>
      </c>
    </row>
    <row r="11430" spans="1:1" x14ac:dyDescent="0.35">
      <c r="A11430" s="4">
        <v>4500229481</v>
      </c>
    </row>
    <row r="11431" spans="1:1" x14ac:dyDescent="0.35">
      <c r="A11431" s="4">
        <v>4500229485</v>
      </c>
    </row>
    <row r="11432" spans="1:1" x14ac:dyDescent="0.35">
      <c r="A11432" s="4">
        <v>4500229487</v>
      </c>
    </row>
    <row r="11433" spans="1:1" x14ac:dyDescent="0.35">
      <c r="A11433" s="4">
        <v>4500229490</v>
      </c>
    </row>
    <row r="11434" spans="1:1" x14ac:dyDescent="0.35">
      <c r="A11434" s="4">
        <v>4500229493</v>
      </c>
    </row>
    <row r="11435" spans="1:1" x14ac:dyDescent="0.35">
      <c r="A11435" s="4">
        <v>4500229496</v>
      </c>
    </row>
    <row r="11436" spans="1:1" x14ac:dyDescent="0.35">
      <c r="A11436" s="4">
        <v>4500229499</v>
      </c>
    </row>
    <row r="11437" spans="1:1" x14ac:dyDescent="0.35">
      <c r="A11437" s="4">
        <v>4500229612</v>
      </c>
    </row>
    <row r="11438" spans="1:1" x14ac:dyDescent="0.35">
      <c r="A11438" s="4">
        <v>4500229620</v>
      </c>
    </row>
    <row r="11439" spans="1:1" x14ac:dyDescent="0.35">
      <c r="A11439" s="4">
        <v>4500229627</v>
      </c>
    </row>
    <row r="11440" spans="1:1" x14ac:dyDescent="0.35">
      <c r="A11440" s="4">
        <v>4500229631</v>
      </c>
    </row>
    <row r="11441" spans="1:1" x14ac:dyDescent="0.35">
      <c r="A11441" s="4">
        <v>4500229633</v>
      </c>
    </row>
    <row r="11442" spans="1:1" x14ac:dyDescent="0.35">
      <c r="A11442" s="4">
        <v>4500229640</v>
      </c>
    </row>
    <row r="11443" spans="1:1" x14ac:dyDescent="0.35">
      <c r="A11443" s="4">
        <v>4500229645</v>
      </c>
    </row>
    <row r="11444" spans="1:1" x14ac:dyDescent="0.35">
      <c r="A11444" s="4">
        <v>4500229650</v>
      </c>
    </row>
    <row r="11445" spans="1:1" x14ac:dyDescent="0.35">
      <c r="A11445" s="4">
        <v>4500229655</v>
      </c>
    </row>
    <row r="11446" spans="1:1" x14ac:dyDescent="0.35">
      <c r="A11446" s="4">
        <v>4500229658</v>
      </c>
    </row>
    <row r="11447" spans="1:1" x14ac:dyDescent="0.35">
      <c r="A11447" s="4">
        <v>4500229664</v>
      </c>
    </row>
    <row r="11448" spans="1:1" x14ac:dyDescent="0.35">
      <c r="A11448" s="4">
        <v>4500229667</v>
      </c>
    </row>
    <row r="11449" spans="1:1" x14ac:dyDescent="0.35">
      <c r="A11449" s="4">
        <v>4500229671</v>
      </c>
    </row>
    <row r="11450" spans="1:1" x14ac:dyDescent="0.35">
      <c r="A11450" s="4">
        <v>4500229673</v>
      </c>
    </row>
    <row r="11451" spans="1:1" x14ac:dyDescent="0.35">
      <c r="A11451" s="4">
        <v>4500229682</v>
      </c>
    </row>
    <row r="11452" spans="1:1" x14ac:dyDescent="0.35">
      <c r="A11452" s="4">
        <v>4500229688</v>
      </c>
    </row>
    <row r="11453" spans="1:1" x14ac:dyDescent="0.35">
      <c r="A11453" s="4">
        <v>4500229692</v>
      </c>
    </row>
    <row r="11454" spans="1:1" x14ac:dyDescent="0.35">
      <c r="A11454" s="4">
        <v>4500229696</v>
      </c>
    </row>
    <row r="11455" spans="1:1" x14ac:dyDescent="0.35">
      <c r="A11455" s="4">
        <v>4500229699</v>
      </c>
    </row>
    <row r="11456" spans="1:1" x14ac:dyDescent="0.35">
      <c r="A11456" s="4">
        <v>4500229702</v>
      </c>
    </row>
    <row r="11457" spans="1:1" x14ac:dyDescent="0.35">
      <c r="A11457" s="4">
        <v>4500229706</v>
      </c>
    </row>
    <row r="11458" spans="1:1" x14ac:dyDescent="0.35">
      <c r="A11458" s="4">
        <v>4500229707</v>
      </c>
    </row>
    <row r="11459" spans="1:1" x14ac:dyDescent="0.35">
      <c r="A11459" s="4">
        <v>4500229709</v>
      </c>
    </row>
    <row r="11460" spans="1:1" x14ac:dyDescent="0.35">
      <c r="A11460" s="4">
        <v>4500229711</v>
      </c>
    </row>
    <row r="11461" spans="1:1" x14ac:dyDescent="0.35">
      <c r="A11461" s="4">
        <v>4500229714</v>
      </c>
    </row>
    <row r="11462" spans="1:1" x14ac:dyDescent="0.35">
      <c r="A11462" s="4">
        <v>4500229717</v>
      </c>
    </row>
    <row r="11463" spans="1:1" x14ac:dyDescent="0.35">
      <c r="A11463" s="4">
        <v>4500229719</v>
      </c>
    </row>
    <row r="11464" spans="1:1" x14ac:dyDescent="0.35">
      <c r="A11464" s="4">
        <v>4500229721</v>
      </c>
    </row>
    <row r="11465" spans="1:1" x14ac:dyDescent="0.35">
      <c r="A11465" s="4">
        <v>4500229723</v>
      </c>
    </row>
    <row r="11466" spans="1:1" x14ac:dyDescent="0.35">
      <c r="A11466" s="4">
        <v>4500229724</v>
      </c>
    </row>
    <row r="11467" spans="1:1" x14ac:dyDescent="0.35">
      <c r="A11467" s="4">
        <v>4500229734</v>
      </c>
    </row>
    <row r="11468" spans="1:1" x14ac:dyDescent="0.35">
      <c r="A11468" s="4">
        <v>4500229846</v>
      </c>
    </row>
    <row r="11469" spans="1:1" x14ac:dyDescent="0.35">
      <c r="A11469" s="4">
        <v>4500229851</v>
      </c>
    </row>
    <row r="11470" spans="1:1" x14ac:dyDescent="0.35">
      <c r="A11470" s="4">
        <v>4500229855</v>
      </c>
    </row>
    <row r="11471" spans="1:1" x14ac:dyDescent="0.35">
      <c r="A11471" s="4">
        <v>4500229858</v>
      </c>
    </row>
    <row r="11472" spans="1:1" x14ac:dyDescent="0.35">
      <c r="A11472" s="4">
        <v>4500229863</v>
      </c>
    </row>
    <row r="11473" spans="1:1" x14ac:dyDescent="0.35">
      <c r="A11473" s="4">
        <v>4500229866</v>
      </c>
    </row>
    <row r="11474" spans="1:1" x14ac:dyDescent="0.35">
      <c r="A11474" s="4">
        <v>4500229872</v>
      </c>
    </row>
    <row r="11475" spans="1:1" x14ac:dyDescent="0.35">
      <c r="A11475" s="4">
        <v>4500229876</v>
      </c>
    </row>
    <row r="11476" spans="1:1" x14ac:dyDescent="0.35">
      <c r="A11476" s="4">
        <v>4500229880</v>
      </c>
    </row>
    <row r="11477" spans="1:1" x14ac:dyDescent="0.35">
      <c r="A11477" s="4">
        <v>4500229885</v>
      </c>
    </row>
    <row r="11478" spans="1:1" x14ac:dyDescent="0.35">
      <c r="A11478" s="4">
        <v>4500229893</v>
      </c>
    </row>
    <row r="11479" spans="1:1" x14ac:dyDescent="0.35">
      <c r="A11479" s="4">
        <v>4500229897</v>
      </c>
    </row>
    <row r="11480" spans="1:1" x14ac:dyDescent="0.35">
      <c r="A11480" s="4">
        <v>4500229901</v>
      </c>
    </row>
    <row r="11481" spans="1:1" x14ac:dyDescent="0.35">
      <c r="A11481" s="4">
        <v>4500229911</v>
      </c>
    </row>
    <row r="11482" spans="1:1" x14ac:dyDescent="0.35">
      <c r="A11482" s="4">
        <v>4500229912</v>
      </c>
    </row>
    <row r="11483" spans="1:1" x14ac:dyDescent="0.35">
      <c r="A11483" s="4">
        <v>4500229916</v>
      </c>
    </row>
    <row r="11484" spans="1:1" x14ac:dyDescent="0.35">
      <c r="A11484" s="4">
        <v>4500229919</v>
      </c>
    </row>
    <row r="11485" spans="1:1" x14ac:dyDescent="0.35">
      <c r="A11485" s="4">
        <v>4500229920</v>
      </c>
    </row>
    <row r="11486" spans="1:1" x14ac:dyDescent="0.35">
      <c r="A11486" s="4">
        <v>4500229922</v>
      </c>
    </row>
    <row r="11487" spans="1:1" x14ac:dyDescent="0.35">
      <c r="A11487" s="4">
        <v>4500229923</v>
      </c>
    </row>
    <row r="11488" spans="1:1" x14ac:dyDescent="0.35">
      <c r="A11488" s="4">
        <v>4500229925</v>
      </c>
    </row>
    <row r="11489" spans="1:1" x14ac:dyDescent="0.35">
      <c r="A11489" s="4">
        <v>4500230055</v>
      </c>
    </row>
    <row r="11490" spans="1:1" x14ac:dyDescent="0.35">
      <c r="A11490" s="4">
        <v>4500230060</v>
      </c>
    </row>
    <row r="11491" spans="1:1" x14ac:dyDescent="0.35">
      <c r="A11491" s="4">
        <v>4500230069</v>
      </c>
    </row>
    <row r="11492" spans="1:1" x14ac:dyDescent="0.35">
      <c r="A11492" s="4">
        <v>4500230076</v>
      </c>
    </row>
    <row r="11493" spans="1:1" x14ac:dyDescent="0.35">
      <c r="A11493" s="4">
        <v>4500230079</v>
      </c>
    </row>
    <row r="11494" spans="1:1" x14ac:dyDescent="0.35">
      <c r="A11494" s="4">
        <v>4500230082</v>
      </c>
    </row>
    <row r="11495" spans="1:1" x14ac:dyDescent="0.35">
      <c r="A11495" s="4">
        <v>4500230085</v>
      </c>
    </row>
    <row r="11496" spans="1:1" x14ac:dyDescent="0.35">
      <c r="A11496" s="4">
        <v>4500230090</v>
      </c>
    </row>
    <row r="11497" spans="1:1" x14ac:dyDescent="0.35">
      <c r="A11497" s="4">
        <v>4500230096</v>
      </c>
    </row>
    <row r="11498" spans="1:1" x14ac:dyDescent="0.35">
      <c r="A11498" s="4">
        <v>4500230100</v>
      </c>
    </row>
    <row r="11499" spans="1:1" x14ac:dyDescent="0.35">
      <c r="A11499" s="4">
        <v>4500230106</v>
      </c>
    </row>
    <row r="11500" spans="1:1" x14ac:dyDescent="0.35">
      <c r="A11500" s="4">
        <v>4500230109</v>
      </c>
    </row>
    <row r="11501" spans="1:1" x14ac:dyDescent="0.35">
      <c r="A11501" s="4">
        <v>4500230113</v>
      </c>
    </row>
    <row r="11502" spans="1:1" x14ac:dyDescent="0.35">
      <c r="A11502" s="4">
        <v>4500230115</v>
      </c>
    </row>
    <row r="11503" spans="1:1" x14ac:dyDescent="0.35">
      <c r="A11503" s="4">
        <v>4500230117</v>
      </c>
    </row>
    <row r="11504" spans="1:1" x14ac:dyDescent="0.35">
      <c r="A11504" s="4">
        <v>4500230123</v>
      </c>
    </row>
    <row r="11505" spans="1:1" x14ac:dyDescent="0.35">
      <c r="A11505" s="4">
        <v>4500230128</v>
      </c>
    </row>
    <row r="11506" spans="1:1" x14ac:dyDescent="0.35">
      <c r="A11506" s="4">
        <v>4500230133</v>
      </c>
    </row>
    <row r="11507" spans="1:1" x14ac:dyDescent="0.35">
      <c r="A11507" s="4">
        <v>4500230135</v>
      </c>
    </row>
    <row r="11508" spans="1:1" x14ac:dyDescent="0.35">
      <c r="A11508" s="4">
        <v>4500230136</v>
      </c>
    </row>
    <row r="11509" spans="1:1" x14ac:dyDescent="0.35">
      <c r="A11509" s="4">
        <v>4500230147</v>
      </c>
    </row>
    <row r="11510" spans="1:1" x14ac:dyDescent="0.35">
      <c r="A11510" s="4">
        <v>4500230264</v>
      </c>
    </row>
    <row r="11511" spans="1:1" x14ac:dyDescent="0.35">
      <c r="A11511" s="4">
        <v>4500230267</v>
      </c>
    </row>
    <row r="11512" spans="1:1" x14ac:dyDescent="0.35">
      <c r="A11512" s="4">
        <v>4500230275</v>
      </c>
    </row>
    <row r="11513" spans="1:1" x14ac:dyDescent="0.35">
      <c r="A11513" s="4">
        <v>4500230284</v>
      </c>
    </row>
    <row r="11514" spans="1:1" x14ac:dyDescent="0.35">
      <c r="A11514" s="4">
        <v>4500230288</v>
      </c>
    </row>
    <row r="11515" spans="1:1" x14ac:dyDescent="0.35">
      <c r="A11515" s="4">
        <v>4500230294</v>
      </c>
    </row>
    <row r="11516" spans="1:1" x14ac:dyDescent="0.35">
      <c r="A11516" s="4">
        <v>4500230300</v>
      </c>
    </row>
    <row r="11517" spans="1:1" x14ac:dyDescent="0.35">
      <c r="A11517" s="4">
        <v>4500230304</v>
      </c>
    </row>
    <row r="11518" spans="1:1" x14ac:dyDescent="0.35">
      <c r="A11518" s="4">
        <v>4500230309</v>
      </c>
    </row>
    <row r="11519" spans="1:1" x14ac:dyDescent="0.35">
      <c r="A11519" s="4">
        <v>4500230313</v>
      </c>
    </row>
    <row r="11520" spans="1:1" x14ac:dyDescent="0.35">
      <c r="A11520" s="4">
        <v>4500230320</v>
      </c>
    </row>
    <row r="11521" spans="1:1" x14ac:dyDescent="0.35">
      <c r="A11521" s="4">
        <v>4500230327</v>
      </c>
    </row>
    <row r="11522" spans="1:1" x14ac:dyDescent="0.35">
      <c r="A11522" s="4">
        <v>4500230331</v>
      </c>
    </row>
    <row r="11523" spans="1:1" x14ac:dyDescent="0.35">
      <c r="A11523" s="4">
        <v>4500230334</v>
      </c>
    </row>
    <row r="11524" spans="1:1" x14ac:dyDescent="0.35">
      <c r="A11524" s="4">
        <v>4500230337</v>
      </c>
    </row>
    <row r="11525" spans="1:1" x14ac:dyDescent="0.35">
      <c r="A11525" s="4">
        <v>4500230339</v>
      </c>
    </row>
    <row r="11526" spans="1:1" x14ac:dyDescent="0.35">
      <c r="A11526" s="4">
        <v>4500230341</v>
      </c>
    </row>
    <row r="11527" spans="1:1" x14ac:dyDescent="0.35">
      <c r="A11527" s="4">
        <v>4500230345</v>
      </c>
    </row>
    <row r="11528" spans="1:1" x14ac:dyDescent="0.35">
      <c r="A11528" s="4">
        <v>4500230362</v>
      </c>
    </row>
    <row r="11529" spans="1:1" x14ac:dyDescent="0.35">
      <c r="A11529" s="4">
        <v>4500230506</v>
      </c>
    </row>
    <row r="11530" spans="1:1" x14ac:dyDescent="0.35">
      <c r="A11530" s="4">
        <v>4500230509</v>
      </c>
    </row>
    <row r="11531" spans="1:1" x14ac:dyDescent="0.35">
      <c r="A11531" s="4">
        <v>4500230511</v>
      </c>
    </row>
    <row r="11532" spans="1:1" x14ac:dyDescent="0.35">
      <c r="A11532" s="4">
        <v>4500230514</v>
      </c>
    </row>
    <row r="11533" spans="1:1" x14ac:dyDescent="0.35">
      <c r="A11533" s="4">
        <v>4500230516</v>
      </c>
    </row>
    <row r="11534" spans="1:1" x14ac:dyDescent="0.35">
      <c r="A11534" s="4">
        <v>4500230524</v>
      </c>
    </row>
    <row r="11535" spans="1:1" x14ac:dyDescent="0.35">
      <c r="A11535" s="4">
        <v>4500230528</v>
      </c>
    </row>
    <row r="11536" spans="1:1" x14ac:dyDescent="0.35">
      <c r="A11536" s="4">
        <v>4500230531</v>
      </c>
    </row>
    <row r="11537" spans="1:1" x14ac:dyDescent="0.35">
      <c r="A11537" s="4">
        <v>4500230537</v>
      </c>
    </row>
    <row r="11538" spans="1:1" x14ac:dyDescent="0.35">
      <c r="A11538" s="4">
        <v>4500230544</v>
      </c>
    </row>
    <row r="11539" spans="1:1" x14ac:dyDescent="0.35">
      <c r="A11539" s="4">
        <v>4500230546</v>
      </c>
    </row>
    <row r="11540" spans="1:1" x14ac:dyDescent="0.35">
      <c r="A11540" s="4">
        <v>4500230552</v>
      </c>
    </row>
    <row r="11541" spans="1:1" x14ac:dyDescent="0.35">
      <c r="A11541" s="4">
        <v>4500230564</v>
      </c>
    </row>
    <row r="11542" spans="1:1" x14ac:dyDescent="0.35">
      <c r="A11542" s="4">
        <v>4500230567</v>
      </c>
    </row>
    <row r="11543" spans="1:1" x14ac:dyDescent="0.35">
      <c r="A11543" s="4">
        <v>4500230578</v>
      </c>
    </row>
    <row r="11544" spans="1:1" x14ac:dyDescent="0.35">
      <c r="A11544" s="4">
        <v>4500230583</v>
      </c>
    </row>
    <row r="11545" spans="1:1" x14ac:dyDescent="0.35">
      <c r="A11545" s="4">
        <v>4500230587</v>
      </c>
    </row>
    <row r="11546" spans="1:1" x14ac:dyDescent="0.35">
      <c r="A11546" s="4">
        <v>4500230590</v>
      </c>
    </row>
    <row r="11547" spans="1:1" x14ac:dyDescent="0.35">
      <c r="A11547" s="4">
        <v>4500230594</v>
      </c>
    </row>
    <row r="11548" spans="1:1" x14ac:dyDescent="0.35">
      <c r="A11548" s="4">
        <v>4500230597</v>
      </c>
    </row>
    <row r="11549" spans="1:1" x14ac:dyDescent="0.35">
      <c r="A11549" s="4">
        <v>4500230599</v>
      </c>
    </row>
    <row r="11550" spans="1:1" x14ac:dyDescent="0.35">
      <c r="A11550" s="4">
        <v>4500230602</v>
      </c>
    </row>
    <row r="11551" spans="1:1" x14ac:dyDescent="0.35">
      <c r="A11551" s="4">
        <v>4500230726</v>
      </c>
    </row>
    <row r="11552" spans="1:1" x14ac:dyDescent="0.35">
      <c r="A11552" s="4">
        <v>4500230729</v>
      </c>
    </row>
    <row r="11553" spans="1:1" x14ac:dyDescent="0.35">
      <c r="A11553" s="4">
        <v>4500230733</v>
      </c>
    </row>
    <row r="11554" spans="1:1" x14ac:dyDescent="0.35">
      <c r="A11554" s="4">
        <v>4500230738</v>
      </c>
    </row>
    <row r="11555" spans="1:1" x14ac:dyDescent="0.35">
      <c r="A11555" s="4">
        <v>4500230741</v>
      </c>
    </row>
    <row r="11556" spans="1:1" x14ac:dyDescent="0.35">
      <c r="A11556" s="4">
        <v>4500230746</v>
      </c>
    </row>
    <row r="11557" spans="1:1" x14ac:dyDescent="0.35">
      <c r="A11557" s="4">
        <v>4500230751</v>
      </c>
    </row>
    <row r="11558" spans="1:1" x14ac:dyDescent="0.35">
      <c r="A11558" s="4">
        <v>4500230755</v>
      </c>
    </row>
    <row r="11559" spans="1:1" x14ac:dyDescent="0.35">
      <c r="A11559" s="4">
        <v>4500230760</v>
      </c>
    </row>
    <row r="11560" spans="1:1" x14ac:dyDescent="0.35">
      <c r="A11560" s="4">
        <v>4500230763</v>
      </c>
    </row>
    <row r="11561" spans="1:1" x14ac:dyDescent="0.35">
      <c r="A11561" s="4">
        <v>4500230765</v>
      </c>
    </row>
    <row r="11562" spans="1:1" x14ac:dyDescent="0.35">
      <c r="A11562" s="4">
        <v>4500230767</v>
      </c>
    </row>
    <row r="11563" spans="1:1" x14ac:dyDescent="0.35">
      <c r="A11563" s="4">
        <v>4500230769</v>
      </c>
    </row>
    <row r="11564" spans="1:1" x14ac:dyDescent="0.35">
      <c r="A11564" s="4">
        <v>4500230772</v>
      </c>
    </row>
    <row r="11565" spans="1:1" x14ac:dyDescent="0.35">
      <c r="A11565" s="4">
        <v>4500230777</v>
      </c>
    </row>
    <row r="11566" spans="1:1" x14ac:dyDescent="0.35">
      <c r="A11566" s="4">
        <v>4500230779</v>
      </c>
    </row>
    <row r="11567" spans="1:1" x14ac:dyDescent="0.35">
      <c r="A11567" s="4">
        <v>4500230781</v>
      </c>
    </row>
    <row r="11568" spans="1:1" x14ac:dyDescent="0.35">
      <c r="A11568" s="4">
        <v>4500230783</v>
      </c>
    </row>
    <row r="11569" spans="1:1" x14ac:dyDescent="0.35">
      <c r="A11569" s="4">
        <v>4500230922</v>
      </c>
    </row>
    <row r="11570" spans="1:1" x14ac:dyDescent="0.35">
      <c r="A11570" s="4">
        <v>4500230933</v>
      </c>
    </row>
    <row r="11571" spans="1:1" x14ac:dyDescent="0.35">
      <c r="A11571" s="4">
        <v>4500230938</v>
      </c>
    </row>
    <row r="11572" spans="1:1" x14ac:dyDescent="0.35">
      <c r="A11572" s="4">
        <v>4500230943</v>
      </c>
    </row>
    <row r="11573" spans="1:1" x14ac:dyDescent="0.35">
      <c r="A11573" s="4">
        <v>4500230946</v>
      </c>
    </row>
    <row r="11574" spans="1:1" x14ac:dyDescent="0.35">
      <c r="A11574" s="4">
        <v>4500230947</v>
      </c>
    </row>
    <row r="11575" spans="1:1" x14ac:dyDescent="0.35">
      <c r="A11575" s="4">
        <v>4500230950</v>
      </c>
    </row>
    <row r="11576" spans="1:1" x14ac:dyDescent="0.35">
      <c r="A11576" s="4">
        <v>4500230954</v>
      </c>
    </row>
    <row r="11577" spans="1:1" x14ac:dyDescent="0.35">
      <c r="A11577" s="4">
        <v>4500230956</v>
      </c>
    </row>
    <row r="11578" spans="1:1" x14ac:dyDescent="0.35">
      <c r="A11578" s="4">
        <v>4500230958</v>
      </c>
    </row>
    <row r="11579" spans="1:1" x14ac:dyDescent="0.35">
      <c r="A11579" s="4">
        <v>4500230960</v>
      </c>
    </row>
    <row r="11580" spans="1:1" x14ac:dyDescent="0.35">
      <c r="A11580" s="4">
        <v>4500230963</v>
      </c>
    </row>
    <row r="11581" spans="1:1" x14ac:dyDescent="0.35">
      <c r="A11581" s="4">
        <v>4500230967</v>
      </c>
    </row>
    <row r="11582" spans="1:1" x14ac:dyDescent="0.35">
      <c r="A11582" s="4">
        <v>4500230969</v>
      </c>
    </row>
    <row r="11583" spans="1:1" x14ac:dyDescent="0.35">
      <c r="A11583" s="4">
        <v>4500230971</v>
      </c>
    </row>
    <row r="11584" spans="1:1" x14ac:dyDescent="0.35">
      <c r="A11584" s="4">
        <v>4500230972</v>
      </c>
    </row>
    <row r="11585" spans="1:1" x14ac:dyDescent="0.35">
      <c r="A11585" s="4">
        <v>4500230974</v>
      </c>
    </row>
    <row r="11586" spans="1:1" x14ac:dyDescent="0.35">
      <c r="A11586" s="4">
        <v>4500230976</v>
      </c>
    </row>
    <row r="11587" spans="1:1" x14ac:dyDescent="0.35">
      <c r="A11587" s="4">
        <v>4500230978</v>
      </c>
    </row>
    <row r="11588" spans="1:1" x14ac:dyDescent="0.35">
      <c r="A11588" s="4">
        <v>4500230979</v>
      </c>
    </row>
    <row r="11589" spans="1:1" x14ac:dyDescent="0.35">
      <c r="A11589" s="4">
        <v>4500230980</v>
      </c>
    </row>
    <row r="11590" spans="1:1" x14ac:dyDescent="0.35">
      <c r="A11590" s="4">
        <v>4500230982</v>
      </c>
    </row>
    <row r="11591" spans="1:1" x14ac:dyDescent="0.35">
      <c r="A11591" s="4">
        <v>4500231099</v>
      </c>
    </row>
    <row r="11592" spans="1:1" x14ac:dyDescent="0.35">
      <c r="A11592" s="4">
        <v>4500231104</v>
      </c>
    </row>
    <row r="11593" spans="1:1" x14ac:dyDescent="0.35">
      <c r="A11593" s="4">
        <v>4500231112</v>
      </c>
    </row>
    <row r="11594" spans="1:1" x14ac:dyDescent="0.35">
      <c r="A11594" s="4">
        <v>4500231114</v>
      </c>
    </row>
    <row r="11595" spans="1:1" x14ac:dyDescent="0.35">
      <c r="A11595" s="4">
        <v>4500231120</v>
      </c>
    </row>
    <row r="11596" spans="1:1" x14ac:dyDescent="0.35">
      <c r="A11596" s="4">
        <v>4500231123</v>
      </c>
    </row>
    <row r="11597" spans="1:1" x14ac:dyDescent="0.35">
      <c r="A11597" s="4">
        <v>4500231130</v>
      </c>
    </row>
    <row r="11598" spans="1:1" x14ac:dyDescent="0.35">
      <c r="A11598" s="4">
        <v>4500231134</v>
      </c>
    </row>
    <row r="11599" spans="1:1" x14ac:dyDescent="0.35">
      <c r="A11599" s="4">
        <v>4500231137</v>
      </c>
    </row>
    <row r="11600" spans="1:1" x14ac:dyDescent="0.35">
      <c r="A11600" s="4">
        <v>4500231142</v>
      </c>
    </row>
    <row r="11601" spans="1:1" x14ac:dyDescent="0.35">
      <c r="A11601" s="4">
        <v>4500231144</v>
      </c>
    </row>
    <row r="11602" spans="1:1" x14ac:dyDescent="0.35">
      <c r="A11602" s="4">
        <v>4500231145</v>
      </c>
    </row>
    <row r="11603" spans="1:1" x14ac:dyDescent="0.35">
      <c r="A11603" s="4">
        <v>4500231147</v>
      </c>
    </row>
    <row r="11604" spans="1:1" x14ac:dyDescent="0.35">
      <c r="A11604" s="4">
        <v>4500231150</v>
      </c>
    </row>
    <row r="11605" spans="1:1" x14ac:dyDescent="0.35">
      <c r="A11605" s="4">
        <v>4500231151</v>
      </c>
    </row>
    <row r="11606" spans="1:1" x14ac:dyDescent="0.35">
      <c r="A11606" s="4">
        <v>4500231154</v>
      </c>
    </row>
    <row r="11607" spans="1:1" x14ac:dyDescent="0.35">
      <c r="A11607" s="4">
        <v>4500231155</v>
      </c>
    </row>
    <row r="11608" spans="1:1" x14ac:dyDescent="0.35">
      <c r="A11608" s="4">
        <v>4500231157</v>
      </c>
    </row>
    <row r="11609" spans="1:1" x14ac:dyDescent="0.35">
      <c r="A11609" s="4">
        <v>4500231158</v>
      </c>
    </row>
    <row r="11610" spans="1:1" x14ac:dyDescent="0.35">
      <c r="A11610" s="4">
        <v>4500231160</v>
      </c>
    </row>
    <row r="11611" spans="1:1" x14ac:dyDescent="0.35">
      <c r="A11611" s="4">
        <v>4500231161</v>
      </c>
    </row>
    <row r="11612" spans="1:1" x14ac:dyDescent="0.35">
      <c r="A11612" s="4">
        <v>4500231163</v>
      </c>
    </row>
    <row r="11613" spans="1:1" x14ac:dyDescent="0.35">
      <c r="A11613" s="4">
        <v>4500231164</v>
      </c>
    </row>
    <row r="11614" spans="1:1" x14ac:dyDescent="0.35">
      <c r="A11614" s="4">
        <v>4500231166</v>
      </c>
    </row>
    <row r="11615" spans="1:1" x14ac:dyDescent="0.35">
      <c r="A11615" s="4">
        <v>4500231167</v>
      </c>
    </row>
    <row r="11616" spans="1:1" x14ac:dyDescent="0.35">
      <c r="A11616" s="4">
        <v>4500231279</v>
      </c>
    </row>
    <row r="11617" spans="1:1" x14ac:dyDescent="0.35">
      <c r="A11617" s="4">
        <v>4500231281</v>
      </c>
    </row>
    <row r="11618" spans="1:1" x14ac:dyDescent="0.35">
      <c r="A11618" s="4">
        <v>4500231284</v>
      </c>
    </row>
    <row r="11619" spans="1:1" x14ac:dyDescent="0.35">
      <c r="A11619" s="4">
        <v>4500231288</v>
      </c>
    </row>
    <row r="11620" spans="1:1" x14ac:dyDescent="0.35">
      <c r="A11620" s="4">
        <v>4500231292</v>
      </c>
    </row>
    <row r="11621" spans="1:1" x14ac:dyDescent="0.35">
      <c r="A11621" s="4">
        <v>4500231299</v>
      </c>
    </row>
    <row r="11622" spans="1:1" x14ac:dyDescent="0.35">
      <c r="A11622" s="4">
        <v>4500231301</v>
      </c>
    </row>
    <row r="11623" spans="1:1" x14ac:dyDescent="0.35">
      <c r="A11623" s="4">
        <v>4500231307</v>
      </c>
    </row>
    <row r="11624" spans="1:1" x14ac:dyDescent="0.35">
      <c r="A11624" s="4">
        <v>4500231312</v>
      </c>
    </row>
    <row r="11625" spans="1:1" x14ac:dyDescent="0.35">
      <c r="A11625" s="4">
        <v>4500231315</v>
      </c>
    </row>
    <row r="11626" spans="1:1" x14ac:dyDescent="0.35">
      <c r="A11626" s="4">
        <v>4500231320</v>
      </c>
    </row>
    <row r="11627" spans="1:1" x14ac:dyDescent="0.35">
      <c r="A11627" s="4">
        <v>4500231328</v>
      </c>
    </row>
    <row r="11628" spans="1:1" x14ac:dyDescent="0.35">
      <c r="A11628" s="4">
        <v>4500231331</v>
      </c>
    </row>
    <row r="11629" spans="1:1" x14ac:dyDescent="0.35">
      <c r="A11629" s="4">
        <v>4500231332</v>
      </c>
    </row>
    <row r="11630" spans="1:1" x14ac:dyDescent="0.35">
      <c r="A11630" s="4">
        <v>4500231335</v>
      </c>
    </row>
    <row r="11631" spans="1:1" x14ac:dyDescent="0.35">
      <c r="A11631" s="4">
        <v>4500231344</v>
      </c>
    </row>
    <row r="11632" spans="1:1" x14ac:dyDescent="0.35">
      <c r="A11632" s="4">
        <v>4500231351</v>
      </c>
    </row>
    <row r="11633" spans="1:1" x14ac:dyDescent="0.35">
      <c r="A11633" s="4">
        <v>4500231352</v>
      </c>
    </row>
    <row r="11634" spans="1:1" x14ac:dyDescent="0.35">
      <c r="A11634" s="4">
        <v>4500231354</v>
      </c>
    </row>
    <row r="11635" spans="1:1" x14ac:dyDescent="0.35">
      <c r="A11635" s="4">
        <v>4500231355</v>
      </c>
    </row>
    <row r="11636" spans="1:1" x14ac:dyDescent="0.35">
      <c r="A11636" s="4">
        <v>4500231432</v>
      </c>
    </row>
    <row r="11637" spans="1:1" x14ac:dyDescent="0.35">
      <c r="A11637" s="4">
        <v>4500231452</v>
      </c>
    </row>
    <row r="11638" spans="1:1" x14ac:dyDescent="0.35">
      <c r="A11638" s="4">
        <v>4500231456</v>
      </c>
    </row>
    <row r="11639" spans="1:1" x14ac:dyDescent="0.35">
      <c r="A11639" s="4">
        <v>4500231461</v>
      </c>
    </row>
    <row r="11640" spans="1:1" x14ac:dyDescent="0.35">
      <c r="A11640" s="4">
        <v>4500231465</v>
      </c>
    </row>
    <row r="11641" spans="1:1" x14ac:dyDescent="0.35">
      <c r="A11641" s="4">
        <v>4500231470</v>
      </c>
    </row>
    <row r="11642" spans="1:1" x14ac:dyDescent="0.35">
      <c r="A11642" s="4">
        <v>4500231474</v>
      </c>
    </row>
    <row r="11643" spans="1:1" x14ac:dyDescent="0.35">
      <c r="A11643" s="4">
        <v>4500231477</v>
      </c>
    </row>
    <row r="11644" spans="1:1" x14ac:dyDescent="0.35">
      <c r="A11644" s="4">
        <v>4500231485</v>
      </c>
    </row>
    <row r="11645" spans="1:1" x14ac:dyDescent="0.35">
      <c r="A11645" s="4">
        <v>4500231489</v>
      </c>
    </row>
    <row r="11646" spans="1:1" x14ac:dyDescent="0.35">
      <c r="A11646" s="4">
        <v>4500231493</v>
      </c>
    </row>
    <row r="11647" spans="1:1" x14ac:dyDescent="0.35">
      <c r="A11647" s="4">
        <v>4500231498</v>
      </c>
    </row>
    <row r="11648" spans="1:1" x14ac:dyDescent="0.35">
      <c r="A11648" s="4">
        <v>4500231509</v>
      </c>
    </row>
    <row r="11649" spans="1:1" x14ac:dyDescent="0.35">
      <c r="A11649" s="4">
        <v>4500231513</v>
      </c>
    </row>
    <row r="11650" spans="1:1" x14ac:dyDescent="0.35">
      <c r="A11650" s="4">
        <v>4500231530</v>
      </c>
    </row>
    <row r="11651" spans="1:1" x14ac:dyDescent="0.35">
      <c r="A11651" s="4">
        <v>4500231533</v>
      </c>
    </row>
    <row r="11652" spans="1:1" x14ac:dyDescent="0.35">
      <c r="A11652" s="4">
        <v>4500231537</v>
      </c>
    </row>
    <row r="11653" spans="1:1" x14ac:dyDescent="0.35">
      <c r="A11653" s="4">
        <v>4500231540</v>
      </c>
    </row>
    <row r="11654" spans="1:1" x14ac:dyDescent="0.35">
      <c r="A11654" s="4">
        <v>4500231582</v>
      </c>
    </row>
    <row r="11655" spans="1:1" x14ac:dyDescent="0.35">
      <c r="A11655" s="4">
        <v>4500231583</v>
      </c>
    </row>
    <row r="11656" spans="1:1" x14ac:dyDescent="0.35">
      <c r="A11656" s="4">
        <v>4500231694</v>
      </c>
    </row>
    <row r="11657" spans="1:1" x14ac:dyDescent="0.35">
      <c r="A11657" s="4">
        <v>4500231696</v>
      </c>
    </row>
    <row r="11658" spans="1:1" x14ac:dyDescent="0.35">
      <c r="A11658" s="4">
        <v>4500231700</v>
      </c>
    </row>
    <row r="11659" spans="1:1" x14ac:dyDescent="0.35">
      <c r="A11659" s="4">
        <v>4500231703</v>
      </c>
    </row>
    <row r="11660" spans="1:1" x14ac:dyDescent="0.35">
      <c r="A11660" s="4">
        <v>4500231708</v>
      </c>
    </row>
    <row r="11661" spans="1:1" x14ac:dyDescent="0.35">
      <c r="A11661" s="4">
        <v>4500231711</v>
      </c>
    </row>
    <row r="11662" spans="1:1" x14ac:dyDescent="0.35">
      <c r="A11662" s="4">
        <v>4500231714</v>
      </c>
    </row>
    <row r="11663" spans="1:1" x14ac:dyDescent="0.35">
      <c r="A11663" s="4">
        <v>4500231719</v>
      </c>
    </row>
    <row r="11664" spans="1:1" x14ac:dyDescent="0.35">
      <c r="A11664" s="4">
        <v>4500231723</v>
      </c>
    </row>
    <row r="11665" spans="1:1" x14ac:dyDescent="0.35">
      <c r="A11665" s="4">
        <v>4500231730</v>
      </c>
    </row>
    <row r="11666" spans="1:1" x14ac:dyDescent="0.35">
      <c r="A11666" s="4">
        <v>4500231736</v>
      </c>
    </row>
    <row r="11667" spans="1:1" x14ac:dyDescent="0.35">
      <c r="A11667" s="4">
        <v>4500231738</v>
      </c>
    </row>
    <row r="11668" spans="1:1" x14ac:dyDescent="0.35">
      <c r="A11668" s="4">
        <v>4500231742</v>
      </c>
    </row>
    <row r="11669" spans="1:1" x14ac:dyDescent="0.35">
      <c r="A11669" s="4">
        <v>4500231745</v>
      </c>
    </row>
    <row r="11670" spans="1:1" x14ac:dyDescent="0.35">
      <c r="A11670" s="4">
        <v>4500231750</v>
      </c>
    </row>
    <row r="11671" spans="1:1" x14ac:dyDescent="0.35">
      <c r="A11671" s="4">
        <v>4500231752</v>
      </c>
    </row>
    <row r="11672" spans="1:1" x14ac:dyDescent="0.35">
      <c r="A11672" s="4">
        <v>4500231753</v>
      </c>
    </row>
    <row r="11673" spans="1:1" x14ac:dyDescent="0.35">
      <c r="A11673" s="4">
        <v>4500231755</v>
      </c>
    </row>
    <row r="11674" spans="1:1" x14ac:dyDescent="0.35">
      <c r="A11674" s="4">
        <v>4500231757</v>
      </c>
    </row>
    <row r="11675" spans="1:1" x14ac:dyDescent="0.35">
      <c r="A11675" s="4">
        <v>4500231760</v>
      </c>
    </row>
    <row r="11676" spans="1:1" x14ac:dyDescent="0.35">
      <c r="A11676" s="4">
        <v>4500231762</v>
      </c>
    </row>
    <row r="11677" spans="1:1" x14ac:dyDescent="0.35">
      <c r="A11677" s="4">
        <v>4500231764</v>
      </c>
    </row>
    <row r="11678" spans="1:1" x14ac:dyDescent="0.35">
      <c r="A11678" s="4">
        <v>4500231767</v>
      </c>
    </row>
    <row r="11679" spans="1:1" x14ac:dyDescent="0.35">
      <c r="A11679" s="4">
        <v>4500231769</v>
      </c>
    </row>
    <row r="11680" spans="1:1" x14ac:dyDescent="0.35">
      <c r="A11680" s="4">
        <v>4500231772</v>
      </c>
    </row>
    <row r="11681" spans="1:1" x14ac:dyDescent="0.35">
      <c r="A11681" s="4">
        <v>4500231773</v>
      </c>
    </row>
    <row r="11682" spans="1:1" x14ac:dyDescent="0.35">
      <c r="A11682" s="4">
        <v>4500231774</v>
      </c>
    </row>
    <row r="11683" spans="1:1" x14ac:dyDescent="0.35">
      <c r="A11683" s="4">
        <v>4500231775</v>
      </c>
    </row>
    <row r="11684" spans="1:1" x14ac:dyDescent="0.35">
      <c r="A11684" s="4">
        <v>4500231782</v>
      </c>
    </row>
    <row r="11685" spans="1:1" x14ac:dyDescent="0.35">
      <c r="A11685" s="4">
        <v>4500231869</v>
      </c>
    </row>
    <row r="11686" spans="1:1" x14ac:dyDescent="0.35">
      <c r="A11686" s="4">
        <v>4500231871</v>
      </c>
    </row>
    <row r="11687" spans="1:1" x14ac:dyDescent="0.35">
      <c r="A11687" s="4">
        <v>4500231878</v>
      </c>
    </row>
    <row r="11688" spans="1:1" x14ac:dyDescent="0.35">
      <c r="A11688" s="4">
        <v>4500231881</v>
      </c>
    </row>
    <row r="11689" spans="1:1" x14ac:dyDescent="0.35">
      <c r="A11689" s="4">
        <v>4500231884</v>
      </c>
    </row>
    <row r="11690" spans="1:1" x14ac:dyDescent="0.35">
      <c r="A11690" s="4">
        <v>4500231891</v>
      </c>
    </row>
    <row r="11691" spans="1:1" x14ac:dyDescent="0.35">
      <c r="A11691" s="4">
        <v>4500231897</v>
      </c>
    </row>
    <row r="11692" spans="1:1" x14ac:dyDescent="0.35">
      <c r="A11692" s="4">
        <v>4500231900</v>
      </c>
    </row>
    <row r="11693" spans="1:1" x14ac:dyDescent="0.35">
      <c r="A11693" s="4">
        <v>4500231904</v>
      </c>
    </row>
    <row r="11694" spans="1:1" x14ac:dyDescent="0.35">
      <c r="A11694" s="4">
        <v>4500231908</v>
      </c>
    </row>
    <row r="11695" spans="1:1" x14ac:dyDescent="0.35">
      <c r="A11695" s="4">
        <v>4500231913</v>
      </c>
    </row>
    <row r="11696" spans="1:1" x14ac:dyDescent="0.35">
      <c r="A11696" s="4">
        <v>4500231917</v>
      </c>
    </row>
    <row r="11697" spans="1:1" x14ac:dyDescent="0.35">
      <c r="A11697" s="4">
        <v>4500231920</v>
      </c>
    </row>
    <row r="11698" spans="1:1" x14ac:dyDescent="0.35">
      <c r="A11698" s="4">
        <v>4500231923</v>
      </c>
    </row>
    <row r="11699" spans="1:1" x14ac:dyDescent="0.35">
      <c r="A11699" s="4">
        <v>4500231927</v>
      </c>
    </row>
    <row r="11700" spans="1:1" x14ac:dyDescent="0.35">
      <c r="A11700" s="4">
        <v>4500231929</v>
      </c>
    </row>
    <row r="11701" spans="1:1" x14ac:dyDescent="0.35">
      <c r="A11701" s="4">
        <v>4500232063</v>
      </c>
    </row>
    <row r="11702" spans="1:1" x14ac:dyDescent="0.35">
      <c r="A11702" s="4">
        <v>4500232066</v>
      </c>
    </row>
    <row r="11703" spans="1:1" x14ac:dyDescent="0.35">
      <c r="A11703" s="4">
        <v>4500232069</v>
      </c>
    </row>
    <row r="11704" spans="1:1" x14ac:dyDescent="0.35">
      <c r="A11704" s="4">
        <v>4500232073</v>
      </c>
    </row>
    <row r="11705" spans="1:1" x14ac:dyDescent="0.35">
      <c r="A11705" s="4">
        <v>4500232077</v>
      </c>
    </row>
    <row r="11706" spans="1:1" x14ac:dyDescent="0.35">
      <c r="A11706" s="4">
        <v>4500232080</v>
      </c>
    </row>
    <row r="11707" spans="1:1" x14ac:dyDescent="0.35">
      <c r="A11707" s="4">
        <v>4500232086</v>
      </c>
    </row>
    <row r="11708" spans="1:1" x14ac:dyDescent="0.35">
      <c r="A11708" s="4">
        <v>4500232094</v>
      </c>
    </row>
    <row r="11709" spans="1:1" x14ac:dyDescent="0.35">
      <c r="A11709" s="4">
        <v>4500232098</v>
      </c>
    </row>
    <row r="11710" spans="1:1" x14ac:dyDescent="0.35">
      <c r="A11710" s="4">
        <v>4500232101</v>
      </c>
    </row>
    <row r="11711" spans="1:1" x14ac:dyDescent="0.35">
      <c r="A11711" s="4">
        <v>4500232114</v>
      </c>
    </row>
    <row r="11712" spans="1:1" x14ac:dyDescent="0.35">
      <c r="A11712" s="4">
        <v>4500232117</v>
      </c>
    </row>
    <row r="11713" spans="1:1" x14ac:dyDescent="0.35">
      <c r="A11713" s="4">
        <v>4500232124</v>
      </c>
    </row>
    <row r="11714" spans="1:1" x14ac:dyDescent="0.35">
      <c r="A11714" s="4">
        <v>4500232126</v>
      </c>
    </row>
    <row r="11715" spans="1:1" x14ac:dyDescent="0.35">
      <c r="A11715" s="4">
        <v>4500232128</v>
      </c>
    </row>
    <row r="11716" spans="1:1" x14ac:dyDescent="0.35">
      <c r="A11716" s="4">
        <v>4500232129</v>
      </c>
    </row>
    <row r="11717" spans="1:1" x14ac:dyDescent="0.35">
      <c r="A11717" s="4">
        <v>4500232131</v>
      </c>
    </row>
    <row r="11718" spans="1:1" x14ac:dyDescent="0.35">
      <c r="A11718" s="4">
        <v>4500232132</v>
      </c>
    </row>
    <row r="11719" spans="1:1" x14ac:dyDescent="0.35">
      <c r="A11719" s="4">
        <v>4500232133</v>
      </c>
    </row>
    <row r="11720" spans="1:1" x14ac:dyDescent="0.35">
      <c r="A11720" s="4">
        <v>4500232134</v>
      </c>
    </row>
    <row r="11721" spans="1:1" x14ac:dyDescent="0.35">
      <c r="A11721" s="4">
        <v>4500232135</v>
      </c>
    </row>
    <row r="11722" spans="1:1" x14ac:dyDescent="0.35">
      <c r="A11722" s="4">
        <v>4500232139</v>
      </c>
    </row>
    <row r="11723" spans="1:1" x14ac:dyDescent="0.35">
      <c r="A11723" s="4">
        <v>4500232140</v>
      </c>
    </row>
    <row r="11724" spans="1:1" x14ac:dyDescent="0.35">
      <c r="A11724" s="4">
        <v>4500232263</v>
      </c>
    </row>
    <row r="11725" spans="1:1" x14ac:dyDescent="0.35">
      <c r="A11725" s="4">
        <v>4500232266</v>
      </c>
    </row>
    <row r="11726" spans="1:1" x14ac:dyDescent="0.35">
      <c r="A11726" s="4">
        <v>4500232269</v>
      </c>
    </row>
    <row r="11727" spans="1:1" x14ac:dyDescent="0.35">
      <c r="A11727" s="4">
        <v>4500232274</v>
      </c>
    </row>
    <row r="11728" spans="1:1" x14ac:dyDescent="0.35">
      <c r="A11728" s="4">
        <v>4500232278</v>
      </c>
    </row>
    <row r="11729" spans="1:1" x14ac:dyDescent="0.35">
      <c r="A11729" s="4">
        <v>4500232279</v>
      </c>
    </row>
    <row r="11730" spans="1:1" x14ac:dyDescent="0.35">
      <c r="A11730" s="4">
        <v>4500232286</v>
      </c>
    </row>
    <row r="11731" spans="1:1" x14ac:dyDescent="0.35">
      <c r="A11731" s="4">
        <v>4500232289</v>
      </c>
    </row>
    <row r="11732" spans="1:1" x14ac:dyDescent="0.35">
      <c r="A11732" s="4">
        <v>4500232292</v>
      </c>
    </row>
    <row r="11733" spans="1:1" x14ac:dyDescent="0.35">
      <c r="A11733" s="4">
        <v>4500232296</v>
      </c>
    </row>
    <row r="11734" spans="1:1" x14ac:dyDescent="0.35">
      <c r="A11734" s="4">
        <v>4500232300</v>
      </c>
    </row>
    <row r="11735" spans="1:1" x14ac:dyDescent="0.35">
      <c r="A11735" s="4">
        <v>4500232303</v>
      </c>
    </row>
    <row r="11736" spans="1:1" x14ac:dyDescent="0.35">
      <c r="A11736" s="4">
        <v>4500232305</v>
      </c>
    </row>
    <row r="11737" spans="1:1" x14ac:dyDescent="0.35">
      <c r="A11737" s="4">
        <v>4500232307</v>
      </c>
    </row>
    <row r="11738" spans="1:1" x14ac:dyDescent="0.35">
      <c r="A11738" s="4">
        <v>4500232314</v>
      </c>
    </row>
    <row r="11739" spans="1:1" x14ac:dyDescent="0.35">
      <c r="A11739" s="4">
        <v>4500232315</v>
      </c>
    </row>
    <row r="11740" spans="1:1" x14ac:dyDescent="0.35">
      <c r="A11740" s="4">
        <v>4500232317</v>
      </c>
    </row>
    <row r="11741" spans="1:1" x14ac:dyDescent="0.35">
      <c r="A11741" s="4">
        <v>4500232319</v>
      </c>
    </row>
    <row r="11742" spans="1:1" x14ac:dyDescent="0.35">
      <c r="A11742" s="4">
        <v>4500232320</v>
      </c>
    </row>
    <row r="11743" spans="1:1" x14ac:dyDescent="0.35">
      <c r="A11743" s="4">
        <v>4500232321</v>
      </c>
    </row>
    <row r="11744" spans="1:1" x14ac:dyDescent="0.35">
      <c r="A11744" s="4">
        <v>4500232322</v>
      </c>
    </row>
    <row r="11745" spans="1:1" x14ac:dyDescent="0.35">
      <c r="A11745" s="4">
        <v>4500232323</v>
      </c>
    </row>
    <row r="11746" spans="1:1" x14ac:dyDescent="0.35">
      <c r="A11746" s="4">
        <v>4500232325</v>
      </c>
    </row>
    <row r="11747" spans="1:1" x14ac:dyDescent="0.35">
      <c r="A11747" s="4">
        <v>4500232326</v>
      </c>
    </row>
    <row r="11748" spans="1:1" x14ac:dyDescent="0.35">
      <c r="A11748" s="4">
        <v>4500232327</v>
      </c>
    </row>
    <row r="11749" spans="1:1" x14ac:dyDescent="0.35">
      <c r="A11749" s="4">
        <v>4500232467</v>
      </c>
    </row>
    <row r="11750" spans="1:1" x14ac:dyDescent="0.35">
      <c r="A11750" s="4">
        <v>4500232470</v>
      </c>
    </row>
    <row r="11751" spans="1:1" x14ac:dyDescent="0.35">
      <c r="A11751" s="4">
        <v>4500232474</v>
      </c>
    </row>
    <row r="11752" spans="1:1" x14ac:dyDescent="0.35">
      <c r="A11752" s="4">
        <v>4500232476</v>
      </c>
    </row>
    <row r="11753" spans="1:1" x14ac:dyDescent="0.35">
      <c r="A11753" s="4">
        <v>4500232480</v>
      </c>
    </row>
    <row r="11754" spans="1:1" x14ac:dyDescent="0.35">
      <c r="A11754" s="4">
        <v>4500232494</v>
      </c>
    </row>
    <row r="11755" spans="1:1" x14ac:dyDescent="0.35">
      <c r="A11755" s="4">
        <v>4500232496</v>
      </c>
    </row>
    <row r="11756" spans="1:1" x14ac:dyDescent="0.35">
      <c r="A11756" s="4">
        <v>4500232503</v>
      </c>
    </row>
    <row r="11757" spans="1:1" x14ac:dyDescent="0.35">
      <c r="A11757" s="4">
        <v>4500232509</v>
      </c>
    </row>
    <row r="11758" spans="1:1" x14ac:dyDescent="0.35">
      <c r="A11758" s="4">
        <v>4500232514</v>
      </c>
    </row>
    <row r="11759" spans="1:1" x14ac:dyDescent="0.35">
      <c r="A11759" s="4">
        <v>4500232519</v>
      </c>
    </row>
    <row r="11760" spans="1:1" x14ac:dyDescent="0.35">
      <c r="A11760" s="4">
        <v>4500232525</v>
      </c>
    </row>
    <row r="11761" spans="1:1" x14ac:dyDescent="0.35">
      <c r="A11761" s="4">
        <v>4500232530</v>
      </c>
    </row>
    <row r="11762" spans="1:1" x14ac:dyDescent="0.35">
      <c r="A11762" s="4">
        <v>4500232536</v>
      </c>
    </row>
    <row r="11763" spans="1:1" x14ac:dyDescent="0.35">
      <c r="A11763" s="4">
        <v>4500232540</v>
      </c>
    </row>
    <row r="11764" spans="1:1" x14ac:dyDescent="0.35">
      <c r="A11764" s="4">
        <v>4500232541</v>
      </c>
    </row>
    <row r="11765" spans="1:1" x14ac:dyDescent="0.35">
      <c r="A11765" s="4">
        <v>4500232542</v>
      </c>
    </row>
    <row r="11766" spans="1:1" x14ac:dyDescent="0.35">
      <c r="A11766" s="4">
        <v>4500232545</v>
      </c>
    </row>
    <row r="11767" spans="1:1" x14ac:dyDescent="0.35">
      <c r="A11767" s="4">
        <v>4500232550</v>
      </c>
    </row>
    <row r="11768" spans="1:1" x14ac:dyDescent="0.35">
      <c r="A11768" s="4">
        <v>4500232551</v>
      </c>
    </row>
    <row r="11769" spans="1:1" x14ac:dyDescent="0.35">
      <c r="A11769" s="4">
        <v>4500232554</v>
      </c>
    </row>
    <row r="11770" spans="1:1" x14ac:dyDescent="0.35">
      <c r="A11770" s="4">
        <v>4500232556</v>
      </c>
    </row>
    <row r="11771" spans="1:1" x14ac:dyDescent="0.35">
      <c r="A11771" s="4">
        <v>4500232560</v>
      </c>
    </row>
    <row r="11772" spans="1:1" x14ac:dyDescent="0.35">
      <c r="A11772" s="4">
        <v>4500232561</v>
      </c>
    </row>
    <row r="11773" spans="1:1" x14ac:dyDescent="0.35">
      <c r="A11773" s="4">
        <v>4500232563</v>
      </c>
    </row>
    <row r="11774" spans="1:1" x14ac:dyDescent="0.35">
      <c r="A11774" s="4">
        <v>4500232565</v>
      </c>
    </row>
    <row r="11775" spans="1:1" x14ac:dyDescent="0.35">
      <c r="A11775" s="4">
        <v>4500232567</v>
      </c>
    </row>
    <row r="11776" spans="1:1" x14ac:dyDescent="0.35">
      <c r="A11776" s="4">
        <v>4500232569</v>
      </c>
    </row>
    <row r="11777" spans="1:1" x14ac:dyDescent="0.35">
      <c r="A11777" s="4">
        <v>4500232667</v>
      </c>
    </row>
    <row r="11778" spans="1:1" x14ac:dyDescent="0.35">
      <c r="A11778" s="4">
        <v>4500232754</v>
      </c>
    </row>
    <row r="11779" spans="1:1" x14ac:dyDescent="0.35">
      <c r="A11779" s="4">
        <v>4500232755</v>
      </c>
    </row>
    <row r="11780" spans="1:1" x14ac:dyDescent="0.35">
      <c r="A11780" s="4">
        <v>4500232759</v>
      </c>
    </row>
    <row r="11781" spans="1:1" x14ac:dyDescent="0.35">
      <c r="A11781" s="4">
        <v>4500232765</v>
      </c>
    </row>
    <row r="11782" spans="1:1" x14ac:dyDescent="0.35">
      <c r="A11782" s="4">
        <v>4500232775</v>
      </c>
    </row>
    <row r="11783" spans="1:1" x14ac:dyDescent="0.35">
      <c r="A11783" s="4">
        <v>4500232781</v>
      </c>
    </row>
    <row r="11784" spans="1:1" x14ac:dyDescent="0.35">
      <c r="A11784" s="4">
        <v>4500232785</v>
      </c>
    </row>
    <row r="11785" spans="1:1" x14ac:dyDescent="0.35">
      <c r="A11785" s="4">
        <v>4500232791</v>
      </c>
    </row>
    <row r="11786" spans="1:1" x14ac:dyDescent="0.35">
      <c r="A11786" s="4">
        <v>4500232793</v>
      </c>
    </row>
    <row r="11787" spans="1:1" x14ac:dyDescent="0.35">
      <c r="A11787" s="4">
        <v>4500232798</v>
      </c>
    </row>
    <row r="11788" spans="1:1" x14ac:dyDescent="0.35">
      <c r="A11788" s="4">
        <v>4500232801</v>
      </c>
    </row>
    <row r="11789" spans="1:1" x14ac:dyDescent="0.35">
      <c r="A11789" s="4">
        <v>4500232808</v>
      </c>
    </row>
    <row r="11790" spans="1:1" x14ac:dyDescent="0.35">
      <c r="A11790" s="4">
        <v>4500232817</v>
      </c>
    </row>
    <row r="11791" spans="1:1" x14ac:dyDescent="0.35">
      <c r="A11791" s="4">
        <v>4500232819</v>
      </c>
    </row>
    <row r="11792" spans="1:1" x14ac:dyDescent="0.35">
      <c r="A11792" s="4">
        <v>4500232820</v>
      </c>
    </row>
    <row r="11793" spans="1:1" x14ac:dyDescent="0.35">
      <c r="A11793" s="4">
        <v>4500232823</v>
      </c>
    </row>
    <row r="11794" spans="1:1" x14ac:dyDescent="0.35">
      <c r="A11794" s="4">
        <v>4500232826</v>
      </c>
    </row>
    <row r="11795" spans="1:1" x14ac:dyDescent="0.35">
      <c r="A11795" s="4">
        <v>4500232828</v>
      </c>
    </row>
    <row r="11796" spans="1:1" x14ac:dyDescent="0.35">
      <c r="A11796" s="4">
        <v>4500232830</v>
      </c>
    </row>
    <row r="11797" spans="1:1" x14ac:dyDescent="0.35">
      <c r="A11797" s="4">
        <v>4500232956</v>
      </c>
    </row>
    <row r="11798" spans="1:1" x14ac:dyDescent="0.35">
      <c r="A11798" s="4">
        <v>4500232961</v>
      </c>
    </row>
    <row r="11799" spans="1:1" x14ac:dyDescent="0.35">
      <c r="A11799" s="4">
        <v>4500232971</v>
      </c>
    </row>
    <row r="11800" spans="1:1" x14ac:dyDescent="0.35">
      <c r="A11800" s="4">
        <v>4500232977</v>
      </c>
    </row>
    <row r="11801" spans="1:1" x14ac:dyDescent="0.35">
      <c r="A11801" s="4">
        <v>4500232981</v>
      </c>
    </row>
    <row r="11802" spans="1:1" x14ac:dyDescent="0.35">
      <c r="A11802" s="4">
        <v>4500232985</v>
      </c>
    </row>
    <row r="11803" spans="1:1" x14ac:dyDescent="0.35">
      <c r="A11803" s="4">
        <v>4500232990</v>
      </c>
    </row>
    <row r="11804" spans="1:1" x14ac:dyDescent="0.35">
      <c r="A11804" s="4">
        <v>4500232993</v>
      </c>
    </row>
    <row r="11805" spans="1:1" x14ac:dyDescent="0.35">
      <c r="A11805" s="4">
        <v>4500232998</v>
      </c>
    </row>
    <row r="11806" spans="1:1" x14ac:dyDescent="0.35">
      <c r="A11806" s="4">
        <v>4500232999</v>
      </c>
    </row>
    <row r="11807" spans="1:1" x14ac:dyDescent="0.35">
      <c r="A11807" s="4">
        <v>4500233000</v>
      </c>
    </row>
    <row r="11808" spans="1:1" x14ac:dyDescent="0.35">
      <c r="A11808" s="4">
        <v>4500233005</v>
      </c>
    </row>
    <row r="11809" spans="1:1" x14ac:dyDescent="0.35">
      <c r="A11809" s="4">
        <v>4500233010</v>
      </c>
    </row>
    <row r="11810" spans="1:1" x14ac:dyDescent="0.35">
      <c r="A11810" s="4">
        <v>4500233012</v>
      </c>
    </row>
    <row r="11811" spans="1:1" x14ac:dyDescent="0.35">
      <c r="A11811" s="4">
        <v>4500233014</v>
      </c>
    </row>
    <row r="11812" spans="1:1" x14ac:dyDescent="0.35">
      <c r="A11812" s="4">
        <v>4500233016</v>
      </c>
    </row>
    <row r="11813" spans="1:1" x14ac:dyDescent="0.35">
      <c r="A11813" s="4">
        <v>4500233019</v>
      </c>
    </row>
    <row r="11814" spans="1:1" x14ac:dyDescent="0.35">
      <c r="A11814" s="4">
        <v>4500233021</v>
      </c>
    </row>
    <row r="11815" spans="1:1" x14ac:dyDescent="0.35">
      <c r="A11815" s="4">
        <v>4500233032</v>
      </c>
    </row>
    <row r="11816" spans="1:1" x14ac:dyDescent="0.35">
      <c r="A11816" s="4">
        <v>4500233142</v>
      </c>
    </row>
    <row r="11817" spans="1:1" x14ac:dyDescent="0.35">
      <c r="A11817" s="4">
        <v>4500233146</v>
      </c>
    </row>
    <row r="11818" spans="1:1" x14ac:dyDescent="0.35">
      <c r="A11818" s="4">
        <v>4500233149</v>
      </c>
    </row>
    <row r="11819" spans="1:1" x14ac:dyDescent="0.35">
      <c r="A11819" s="4">
        <v>4500233152</v>
      </c>
    </row>
    <row r="11820" spans="1:1" x14ac:dyDescent="0.35">
      <c r="A11820" s="4">
        <v>4500233156</v>
      </c>
    </row>
    <row r="11821" spans="1:1" x14ac:dyDescent="0.35">
      <c r="A11821" s="4">
        <v>4500233159</v>
      </c>
    </row>
    <row r="11822" spans="1:1" x14ac:dyDescent="0.35">
      <c r="A11822" s="4">
        <v>4500233162</v>
      </c>
    </row>
    <row r="11823" spans="1:1" x14ac:dyDescent="0.35">
      <c r="A11823" s="4">
        <v>4500233176</v>
      </c>
    </row>
    <row r="11824" spans="1:1" x14ac:dyDescent="0.35">
      <c r="A11824" s="4">
        <v>4500233179</v>
      </c>
    </row>
    <row r="11825" spans="1:1" x14ac:dyDescent="0.35">
      <c r="A11825" s="4">
        <v>4500233184</v>
      </c>
    </row>
    <row r="11826" spans="1:1" x14ac:dyDescent="0.35">
      <c r="A11826" s="4">
        <v>4500233186</v>
      </c>
    </row>
    <row r="11827" spans="1:1" x14ac:dyDescent="0.35">
      <c r="A11827" s="4">
        <v>4500233187</v>
      </c>
    </row>
    <row r="11828" spans="1:1" x14ac:dyDescent="0.35">
      <c r="A11828" s="4">
        <v>4500233189</v>
      </c>
    </row>
    <row r="11829" spans="1:1" x14ac:dyDescent="0.35">
      <c r="A11829" s="4">
        <v>4500233194</v>
      </c>
    </row>
    <row r="11830" spans="1:1" x14ac:dyDescent="0.35">
      <c r="A11830" s="4">
        <v>4500233197</v>
      </c>
    </row>
    <row r="11831" spans="1:1" x14ac:dyDescent="0.35">
      <c r="A11831" s="4">
        <v>4500233364</v>
      </c>
    </row>
    <row r="11832" spans="1:1" x14ac:dyDescent="0.35">
      <c r="A11832" s="4">
        <v>4500233371</v>
      </c>
    </row>
    <row r="11833" spans="1:1" x14ac:dyDescent="0.35">
      <c r="A11833" s="4">
        <v>4500233377</v>
      </c>
    </row>
    <row r="11834" spans="1:1" x14ac:dyDescent="0.35">
      <c r="A11834" s="4">
        <v>4500233383</v>
      </c>
    </row>
    <row r="11835" spans="1:1" x14ac:dyDescent="0.35">
      <c r="A11835" s="4">
        <v>4500233387</v>
      </c>
    </row>
    <row r="11836" spans="1:1" x14ac:dyDescent="0.35">
      <c r="A11836" s="4">
        <v>4500233391</v>
      </c>
    </row>
    <row r="11837" spans="1:1" x14ac:dyDescent="0.35">
      <c r="A11837" s="4">
        <v>4500233392</v>
      </c>
    </row>
    <row r="11838" spans="1:1" x14ac:dyDescent="0.35">
      <c r="A11838" s="4">
        <v>4500233398</v>
      </c>
    </row>
    <row r="11839" spans="1:1" x14ac:dyDescent="0.35">
      <c r="A11839" s="4">
        <v>4500233401</v>
      </c>
    </row>
    <row r="11840" spans="1:1" x14ac:dyDescent="0.35">
      <c r="A11840" s="4">
        <v>4500233407</v>
      </c>
    </row>
    <row r="11841" spans="1:1" x14ac:dyDescent="0.35">
      <c r="A11841" s="4">
        <v>4500233410</v>
      </c>
    </row>
    <row r="11842" spans="1:1" x14ac:dyDescent="0.35">
      <c r="A11842" s="4">
        <v>4500233414</v>
      </c>
    </row>
    <row r="11843" spans="1:1" x14ac:dyDescent="0.35">
      <c r="A11843" s="4">
        <v>4500233417</v>
      </c>
    </row>
    <row r="11844" spans="1:1" x14ac:dyDescent="0.35">
      <c r="A11844" s="4">
        <v>4500233420</v>
      </c>
    </row>
    <row r="11845" spans="1:1" x14ac:dyDescent="0.35">
      <c r="A11845" s="4">
        <v>4500233421</v>
      </c>
    </row>
    <row r="11846" spans="1:1" x14ac:dyDescent="0.35">
      <c r="A11846" s="4">
        <v>4500233422</v>
      </c>
    </row>
    <row r="11847" spans="1:1" x14ac:dyDescent="0.35">
      <c r="A11847" s="4">
        <v>4500233424</v>
      </c>
    </row>
    <row r="11848" spans="1:1" x14ac:dyDescent="0.35">
      <c r="A11848" s="4">
        <v>4500233425</v>
      </c>
    </row>
    <row r="11849" spans="1:1" x14ac:dyDescent="0.35">
      <c r="A11849" s="4">
        <v>4500233578</v>
      </c>
    </row>
    <row r="11850" spans="1:1" x14ac:dyDescent="0.35">
      <c r="A11850" s="4">
        <v>4500233582</v>
      </c>
    </row>
    <row r="11851" spans="1:1" x14ac:dyDescent="0.35">
      <c r="A11851" s="4">
        <v>4500233591</v>
      </c>
    </row>
    <row r="11852" spans="1:1" x14ac:dyDescent="0.35">
      <c r="A11852" s="4">
        <v>4500233594</v>
      </c>
    </row>
    <row r="11853" spans="1:1" x14ac:dyDescent="0.35">
      <c r="A11853" s="4">
        <v>4500233598</v>
      </c>
    </row>
    <row r="11854" spans="1:1" x14ac:dyDescent="0.35">
      <c r="A11854" s="4">
        <v>4500233602</v>
      </c>
    </row>
    <row r="11855" spans="1:1" x14ac:dyDescent="0.35">
      <c r="A11855" s="4">
        <v>4500233607</v>
      </c>
    </row>
    <row r="11856" spans="1:1" x14ac:dyDescent="0.35">
      <c r="A11856" s="4">
        <v>4500233622</v>
      </c>
    </row>
    <row r="11857" spans="1:1" x14ac:dyDescent="0.35">
      <c r="A11857" s="4">
        <v>4500233627</v>
      </c>
    </row>
    <row r="11858" spans="1:1" x14ac:dyDescent="0.35">
      <c r="A11858" s="4">
        <v>4500233634</v>
      </c>
    </row>
    <row r="11859" spans="1:1" x14ac:dyDescent="0.35">
      <c r="A11859" s="4">
        <v>4500233648</v>
      </c>
    </row>
    <row r="11860" spans="1:1" x14ac:dyDescent="0.35">
      <c r="A11860" s="4">
        <v>4500233651</v>
      </c>
    </row>
    <row r="11861" spans="1:1" x14ac:dyDescent="0.35">
      <c r="A11861" s="4">
        <v>4500233654</v>
      </c>
    </row>
    <row r="11862" spans="1:1" x14ac:dyDescent="0.35">
      <c r="A11862" s="4">
        <v>4500233656</v>
      </c>
    </row>
    <row r="11863" spans="1:1" x14ac:dyDescent="0.35">
      <c r="A11863" s="4">
        <v>4500233658</v>
      </c>
    </row>
    <row r="11864" spans="1:1" x14ac:dyDescent="0.35">
      <c r="A11864" s="4">
        <v>4500233661</v>
      </c>
    </row>
    <row r="11865" spans="1:1" x14ac:dyDescent="0.35">
      <c r="A11865" s="4">
        <v>4500233663</v>
      </c>
    </row>
    <row r="11866" spans="1:1" x14ac:dyDescent="0.35">
      <c r="A11866" s="4">
        <v>4500233664</v>
      </c>
    </row>
    <row r="11867" spans="1:1" x14ac:dyDescent="0.35">
      <c r="A11867" s="4">
        <v>4500233665</v>
      </c>
    </row>
    <row r="11868" spans="1:1" x14ac:dyDescent="0.35">
      <c r="A11868" s="4">
        <v>4500233667</v>
      </c>
    </row>
    <row r="11869" spans="1:1" x14ac:dyDescent="0.35">
      <c r="A11869" s="4">
        <v>4500233668</v>
      </c>
    </row>
    <row r="11870" spans="1:1" x14ac:dyDescent="0.35">
      <c r="A11870" s="4">
        <v>4500233854</v>
      </c>
    </row>
    <row r="11871" spans="1:1" x14ac:dyDescent="0.35">
      <c r="A11871" s="4">
        <v>4500233858</v>
      </c>
    </row>
    <row r="11872" spans="1:1" x14ac:dyDescent="0.35">
      <c r="A11872" s="4">
        <v>4500233861</v>
      </c>
    </row>
    <row r="11873" spans="1:1" x14ac:dyDescent="0.35">
      <c r="A11873" s="4">
        <v>4500233865</v>
      </c>
    </row>
    <row r="11874" spans="1:1" x14ac:dyDescent="0.35">
      <c r="A11874" s="4">
        <v>4500233869</v>
      </c>
    </row>
    <row r="11875" spans="1:1" x14ac:dyDescent="0.35">
      <c r="A11875" s="4">
        <v>4500233873</v>
      </c>
    </row>
    <row r="11876" spans="1:1" x14ac:dyDescent="0.35">
      <c r="A11876" s="4">
        <v>4500233877</v>
      </c>
    </row>
    <row r="11877" spans="1:1" x14ac:dyDescent="0.35">
      <c r="A11877" s="4">
        <v>4500233882</v>
      </c>
    </row>
    <row r="11878" spans="1:1" x14ac:dyDescent="0.35">
      <c r="A11878" s="4">
        <v>4500233887</v>
      </c>
    </row>
    <row r="11879" spans="1:1" x14ac:dyDescent="0.35">
      <c r="A11879" s="4">
        <v>4500233889</v>
      </c>
    </row>
    <row r="11880" spans="1:1" x14ac:dyDescent="0.35">
      <c r="A11880" s="4">
        <v>4500233891</v>
      </c>
    </row>
    <row r="11881" spans="1:1" x14ac:dyDescent="0.35">
      <c r="A11881" s="4">
        <v>4500233893</v>
      </c>
    </row>
    <row r="11882" spans="1:1" x14ac:dyDescent="0.35">
      <c r="A11882" s="4">
        <v>4500233898</v>
      </c>
    </row>
    <row r="11883" spans="1:1" x14ac:dyDescent="0.35">
      <c r="A11883" s="4">
        <v>4500233903</v>
      </c>
    </row>
    <row r="11884" spans="1:1" x14ac:dyDescent="0.35">
      <c r="A11884" s="4">
        <v>4500233906</v>
      </c>
    </row>
    <row r="11885" spans="1:1" x14ac:dyDescent="0.35">
      <c r="A11885" s="4">
        <v>4500233908</v>
      </c>
    </row>
    <row r="11886" spans="1:1" x14ac:dyDescent="0.35">
      <c r="A11886" s="4">
        <v>4500233910</v>
      </c>
    </row>
    <row r="11887" spans="1:1" x14ac:dyDescent="0.35">
      <c r="A11887" s="4">
        <v>4500233912</v>
      </c>
    </row>
    <row r="11888" spans="1:1" x14ac:dyDescent="0.35">
      <c r="A11888" s="4">
        <v>4500233918</v>
      </c>
    </row>
    <row r="11889" spans="1:1" x14ac:dyDescent="0.35">
      <c r="A11889" s="4">
        <v>4500233919</v>
      </c>
    </row>
    <row r="11890" spans="1:1" x14ac:dyDescent="0.35">
      <c r="A11890" s="4">
        <v>4500233920</v>
      </c>
    </row>
    <row r="11891" spans="1:1" x14ac:dyDescent="0.35">
      <c r="A11891" s="4">
        <v>4500233922</v>
      </c>
    </row>
    <row r="11892" spans="1:1" x14ac:dyDescent="0.35">
      <c r="A11892" s="4">
        <v>4500233923</v>
      </c>
    </row>
    <row r="11893" spans="1:1" x14ac:dyDescent="0.35">
      <c r="A11893" s="4">
        <v>4500233928</v>
      </c>
    </row>
    <row r="11894" spans="1:1" x14ac:dyDescent="0.35">
      <c r="A11894" s="4">
        <v>4500234052</v>
      </c>
    </row>
    <row r="11895" spans="1:1" x14ac:dyDescent="0.35">
      <c r="A11895" s="4">
        <v>4500234055</v>
      </c>
    </row>
    <row r="11896" spans="1:1" x14ac:dyDescent="0.35">
      <c r="A11896" s="4">
        <v>4500234058</v>
      </c>
    </row>
    <row r="11897" spans="1:1" x14ac:dyDescent="0.35">
      <c r="A11897" s="4">
        <v>4500234063</v>
      </c>
    </row>
    <row r="11898" spans="1:1" x14ac:dyDescent="0.35">
      <c r="A11898" s="4">
        <v>4500234074</v>
      </c>
    </row>
    <row r="11899" spans="1:1" x14ac:dyDescent="0.35">
      <c r="A11899" s="4">
        <v>4500234076</v>
      </c>
    </row>
    <row r="11900" spans="1:1" x14ac:dyDescent="0.35">
      <c r="A11900" s="4">
        <v>4500234082</v>
      </c>
    </row>
    <row r="11901" spans="1:1" x14ac:dyDescent="0.35">
      <c r="A11901" s="4">
        <v>4500234084</v>
      </c>
    </row>
    <row r="11902" spans="1:1" x14ac:dyDescent="0.35">
      <c r="A11902" s="4">
        <v>4500234088</v>
      </c>
    </row>
    <row r="11903" spans="1:1" x14ac:dyDescent="0.35">
      <c r="A11903" s="4">
        <v>4500234092</v>
      </c>
    </row>
    <row r="11904" spans="1:1" x14ac:dyDescent="0.35">
      <c r="A11904" s="4">
        <v>4500234094</v>
      </c>
    </row>
    <row r="11905" spans="1:1" x14ac:dyDescent="0.35">
      <c r="A11905" s="4">
        <v>4500234099</v>
      </c>
    </row>
    <row r="11906" spans="1:1" x14ac:dyDescent="0.35">
      <c r="A11906" s="4">
        <v>4500234102</v>
      </c>
    </row>
    <row r="11907" spans="1:1" x14ac:dyDescent="0.35">
      <c r="A11907" s="4">
        <v>4500234107</v>
      </c>
    </row>
    <row r="11908" spans="1:1" x14ac:dyDescent="0.35">
      <c r="A11908" s="4">
        <v>4500234110</v>
      </c>
    </row>
    <row r="11909" spans="1:1" x14ac:dyDescent="0.35">
      <c r="A11909" s="4">
        <v>4500234113</v>
      </c>
    </row>
    <row r="11910" spans="1:1" x14ac:dyDescent="0.35">
      <c r="A11910" s="4">
        <v>4500234115</v>
      </c>
    </row>
    <row r="11911" spans="1:1" x14ac:dyDescent="0.35">
      <c r="A11911" s="4">
        <v>4500234119</v>
      </c>
    </row>
    <row r="11912" spans="1:1" x14ac:dyDescent="0.35">
      <c r="A11912" s="4">
        <v>4500234122</v>
      </c>
    </row>
    <row r="11913" spans="1:1" x14ac:dyDescent="0.35">
      <c r="A11913" s="4">
        <v>4500234133</v>
      </c>
    </row>
    <row r="11914" spans="1:1" x14ac:dyDescent="0.35">
      <c r="A11914" s="4">
        <v>4500234238</v>
      </c>
    </row>
    <row r="11915" spans="1:1" x14ac:dyDescent="0.35">
      <c r="A11915" s="4">
        <v>4500234251</v>
      </c>
    </row>
    <row r="11916" spans="1:1" x14ac:dyDescent="0.35">
      <c r="A11916" s="4">
        <v>4500234255</v>
      </c>
    </row>
    <row r="11917" spans="1:1" x14ac:dyDescent="0.35">
      <c r="A11917" s="4">
        <v>4500234256</v>
      </c>
    </row>
    <row r="11918" spans="1:1" x14ac:dyDescent="0.35">
      <c r="A11918" s="4">
        <v>4500234259</v>
      </c>
    </row>
    <row r="11919" spans="1:1" x14ac:dyDescent="0.35">
      <c r="A11919" s="4">
        <v>4500234266</v>
      </c>
    </row>
    <row r="11920" spans="1:1" x14ac:dyDescent="0.35">
      <c r="A11920" s="4">
        <v>4500234270</v>
      </c>
    </row>
    <row r="11921" spans="1:1" x14ac:dyDescent="0.35">
      <c r="A11921" s="4">
        <v>4500234271</v>
      </c>
    </row>
    <row r="11922" spans="1:1" x14ac:dyDescent="0.35">
      <c r="A11922" s="4">
        <v>4500234273</v>
      </c>
    </row>
    <row r="11923" spans="1:1" x14ac:dyDescent="0.35">
      <c r="A11923" s="4">
        <v>4500234276</v>
      </c>
    </row>
    <row r="11924" spans="1:1" x14ac:dyDescent="0.35">
      <c r="A11924" s="4">
        <v>4500234282</v>
      </c>
    </row>
    <row r="11925" spans="1:1" x14ac:dyDescent="0.35">
      <c r="A11925" s="4">
        <v>4500234283</v>
      </c>
    </row>
    <row r="11926" spans="1:1" x14ac:dyDescent="0.35">
      <c r="A11926" s="4">
        <v>4500234286</v>
      </c>
    </row>
    <row r="11927" spans="1:1" x14ac:dyDescent="0.35">
      <c r="A11927" s="4">
        <v>4500234288</v>
      </c>
    </row>
    <row r="11928" spans="1:1" x14ac:dyDescent="0.35">
      <c r="A11928" s="4">
        <v>4500234292</v>
      </c>
    </row>
    <row r="11929" spans="1:1" x14ac:dyDescent="0.35">
      <c r="A11929" s="4">
        <v>4500234296</v>
      </c>
    </row>
    <row r="11930" spans="1:1" x14ac:dyDescent="0.35">
      <c r="A11930" s="4">
        <v>4500234300</v>
      </c>
    </row>
    <row r="11931" spans="1:1" x14ac:dyDescent="0.35">
      <c r="A11931" s="4">
        <v>4500234303</v>
      </c>
    </row>
    <row r="11932" spans="1:1" x14ac:dyDescent="0.35">
      <c r="A11932" s="4">
        <v>4500234308</v>
      </c>
    </row>
    <row r="11933" spans="1:1" x14ac:dyDescent="0.35">
      <c r="A11933" s="4">
        <v>4500234311</v>
      </c>
    </row>
    <row r="11934" spans="1:1" x14ac:dyDescent="0.35">
      <c r="A11934" s="4">
        <v>4500234423</v>
      </c>
    </row>
    <row r="11935" spans="1:1" x14ac:dyDescent="0.35">
      <c r="A11935" s="4">
        <v>4500234434</v>
      </c>
    </row>
    <row r="11936" spans="1:1" x14ac:dyDescent="0.35">
      <c r="A11936" s="4">
        <v>4500234438</v>
      </c>
    </row>
    <row r="11937" spans="1:1" x14ac:dyDescent="0.35">
      <c r="A11937" s="4">
        <v>4500234441</v>
      </c>
    </row>
    <row r="11938" spans="1:1" x14ac:dyDescent="0.35">
      <c r="A11938" s="4">
        <v>4500234451</v>
      </c>
    </row>
    <row r="11939" spans="1:1" x14ac:dyDescent="0.35">
      <c r="A11939" s="4">
        <v>4500234457</v>
      </c>
    </row>
    <row r="11940" spans="1:1" x14ac:dyDescent="0.35">
      <c r="A11940" s="4">
        <v>4500234464</v>
      </c>
    </row>
    <row r="11941" spans="1:1" x14ac:dyDescent="0.35">
      <c r="A11941" s="4">
        <v>4500234468</v>
      </c>
    </row>
    <row r="11942" spans="1:1" x14ac:dyDescent="0.35">
      <c r="A11942" s="4">
        <v>4500234473</v>
      </c>
    </row>
    <row r="11943" spans="1:1" x14ac:dyDescent="0.35">
      <c r="A11943" s="4">
        <v>4500234476</v>
      </c>
    </row>
    <row r="11944" spans="1:1" x14ac:dyDescent="0.35">
      <c r="A11944" s="4">
        <v>4500234477</v>
      </c>
    </row>
    <row r="11945" spans="1:1" x14ac:dyDescent="0.35">
      <c r="A11945" s="4">
        <v>4500234478</v>
      </c>
    </row>
    <row r="11946" spans="1:1" x14ac:dyDescent="0.35">
      <c r="A11946" s="4">
        <v>4500234479</v>
      </c>
    </row>
    <row r="11947" spans="1:1" x14ac:dyDescent="0.35">
      <c r="A11947" s="4">
        <v>4500234480</v>
      </c>
    </row>
    <row r="11948" spans="1:1" x14ac:dyDescent="0.35">
      <c r="A11948" s="4">
        <v>4500234481</v>
      </c>
    </row>
    <row r="11949" spans="1:1" x14ac:dyDescent="0.35">
      <c r="A11949" s="4">
        <v>4500234482</v>
      </c>
    </row>
    <row r="11950" spans="1:1" x14ac:dyDescent="0.35">
      <c r="A11950" s="4">
        <v>4500234483</v>
      </c>
    </row>
    <row r="11951" spans="1:1" x14ac:dyDescent="0.35">
      <c r="A11951" s="4">
        <v>4500234484</v>
      </c>
    </row>
    <row r="11952" spans="1:1" x14ac:dyDescent="0.35">
      <c r="A11952" s="4">
        <v>4500234487</v>
      </c>
    </row>
    <row r="11953" spans="1:1" x14ac:dyDescent="0.35">
      <c r="A11953" s="4">
        <v>4500234488</v>
      </c>
    </row>
    <row r="11954" spans="1:1" x14ac:dyDescent="0.35">
      <c r="A11954" s="4">
        <v>4500234489</v>
      </c>
    </row>
    <row r="11955" spans="1:1" x14ac:dyDescent="0.35">
      <c r="A11955" s="4">
        <v>4500234490</v>
      </c>
    </row>
    <row r="11956" spans="1:1" x14ac:dyDescent="0.35">
      <c r="A11956" s="4">
        <v>4500234491</v>
      </c>
    </row>
    <row r="11957" spans="1:1" x14ac:dyDescent="0.35">
      <c r="A11957" s="4">
        <v>4500234492</v>
      </c>
    </row>
    <row r="11958" spans="1:1" x14ac:dyDescent="0.35">
      <c r="A11958" s="4">
        <v>4500234515</v>
      </c>
    </row>
    <row r="11959" spans="1:1" x14ac:dyDescent="0.35">
      <c r="A11959" s="4">
        <v>4500234592</v>
      </c>
    </row>
    <row r="11960" spans="1:1" x14ac:dyDescent="0.35">
      <c r="A11960" s="4">
        <v>4500234606</v>
      </c>
    </row>
    <row r="11961" spans="1:1" x14ac:dyDescent="0.35">
      <c r="A11961" s="4">
        <v>4500234611</v>
      </c>
    </row>
    <row r="11962" spans="1:1" x14ac:dyDescent="0.35">
      <c r="A11962" s="4">
        <v>4500234619</v>
      </c>
    </row>
    <row r="11963" spans="1:1" x14ac:dyDescent="0.35">
      <c r="A11963" s="4">
        <v>4500234622</v>
      </c>
    </row>
    <row r="11964" spans="1:1" x14ac:dyDescent="0.35">
      <c r="A11964" s="4">
        <v>4500234627</v>
      </c>
    </row>
    <row r="11965" spans="1:1" x14ac:dyDescent="0.35">
      <c r="A11965" s="4">
        <v>4500234631</v>
      </c>
    </row>
    <row r="11966" spans="1:1" x14ac:dyDescent="0.35">
      <c r="A11966" s="4">
        <v>4500234638</v>
      </c>
    </row>
    <row r="11967" spans="1:1" x14ac:dyDescent="0.35">
      <c r="A11967" s="4">
        <v>4500234640</v>
      </c>
    </row>
    <row r="11968" spans="1:1" x14ac:dyDescent="0.35">
      <c r="A11968" s="4">
        <v>4500234644</v>
      </c>
    </row>
    <row r="11969" spans="1:1" x14ac:dyDescent="0.35">
      <c r="A11969" s="4">
        <v>4500234648</v>
      </c>
    </row>
    <row r="11970" spans="1:1" x14ac:dyDescent="0.35">
      <c r="A11970" s="4">
        <v>4500234657</v>
      </c>
    </row>
    <row r="11971" spans="1:1" x14ac:dyDescent="0.35">
      <c r="A11971" s="4">
        <v>4500234661</v>
      </c>
    </row>
    <row r="11972" spans="1:1" x14ac:dyDescent="0.35">
      <c r="A11972" s="4">
        <v>4500234664</v>
      </c>
    </row>
    <row r="11973" spans="1:1" x14ac:dyDescent="0.35">
      <c r="A11973" s="4">
        <v>4500234667</v>
      </c>
    </row>
    <row r="11974" spans="1:1" x14ac:dyDescent="0.35">
      <c r="A11974" s="4">
        <v>4500234672</v>
      </c>
    </row>
    <row r="11975" spans="1:1" x14ac:dyDescent="0.35">
      <c r="A11975" s="4">
        <v>4500234676</v>
      </c>
    </row>
    <row r="11976" spans="1:1" x14ac:dyDescent="0.35">
      <c r="A11976" s="4">
        <v>4500234682</v>
      </c>
    </row>
    <row r="11977" spans="1:1" x14ac:dyDescent="0.35">
      <c r="A11977" s="4">
        <v>4500234684</v>
      </c>
    </row>
    <row r="11978" spans="1:1" x14ac:dyDescent="0.35">
      <c r="A11978" s="4">
        <v>4500234686</v>
      </c>
    </row>
    <row r="11979" spans="1:1" x14ac:dyDescent="0.35">
      <c r="A11979" s="4">
        <v>4500234690</v>
      </c>
    </row>
    <row r="11980" spans="1:1" x14ac:dyDescent="0.35">
      <c r="A11980" s="4">
        <v>4500234695</v>
      </c>
    </row>
    <row r="11981" spans="1:1" x14ac:dyDescent="0.35">
      <c r="A11981" s="4">
        <v>4500234697</v>
      </c>
    </row>
    <row r="11982" spans="1:1" x14ac:dyDescent="0.35">
      <c r="A11982" s="4">
        <v>4500234699</v>
      </c>
    </row>
    <row r="11983" spans="1:1" x14ac:dyDescent="0.35">
      <c r="A11983" s="4">
        <v>4500234701</v>
      </c>
    </row>
    <row r="11984" spans="1:1" x14ac:dyDescent="0.35">
      <c r="A11984" s="4">
        <v>4500234704</v>
      </c>
    </row>
    <row r="11985" spans="1:1" x14ac:dyDescent="0.35">
      <c r="A11985" s="4">
        <v>4500234707</v>
      </c>
    </row>
    <row r="11986" spans="1:1" x14ac:dyDescent="0.35">
      <c r="A11986" s="4">
        <v>4500234798</v>
      </c>
    </row>
    <row r="11987" spans="1:1" x14ac:dyDescent="0.35">
      <c r="A11987" s="4">
        <v>4500234870</v>
      </c>
    </row>
    <row r="11988" spans="1:1" x14ac:dyDescent="0.35">
      <c r="A11988" s="4">
        <v>4500234871</v>
      </c>
    </row>
    <row r="11989" spans="1:1" x14ac:dyDescent="0.35">
      <c r="A11989" s="4">
        <v>4500234874</v>
      </c>
    </row>
    <row r="11990" spans="1:1" x14ac:dyDescent="0.35">
      <c r="A11990" s="4">
        <v>4500234877</v>
      </c>
    </row>
    <row r="11991" spans="1:1" x14ac:dyDescent="0.35">
      <c r="A11991" s="4">
        <v>4500234883</v>
      </c>
    </row>
    <row r="11992" spans="1:1" x14ac:dyDescent="0.35">
      <c r="A11992" s="4">
        <v>4500234888</v>
      </c>
    </row>
    <row r="11993" spans="1:1" x14ac:dyDescent="0.35">
      <c r="A11993" s="4">
        <v>4500234890</v>
      </c>
    </row>
    <row r="11994" spans="1:1" x14ac:dyDescent="0.35">
      <c r="A11994" s="4">
        <v>4500234892</v>
      </c>
    </row>
    <row r="11995" spans="1:1" x14ac:dyDescent="0.35">
      <c r="A11995" s="4">
        <v>4500234895</v>
      </c>
    </row>
    <row r="11996" spans="1:1" x14ac:dyDescent="0.35">
      <c r="A11996" s="4">
        <v>4500234899</v>
      </c>
    </row>
    <row r="11997" spans="1:1" x14ac:dyDescent="0.35">
      <c r="A11997" s="4">
        <v>4500234905</v>
      </c>
    </row>
    <row r="11998" spans="1:1" x14ac:dyDescent="0.35">
      <c r="A11998" s="4">
        <v>4500234908</v>
      </c>
    </row>
    <row r="11999" spans="1:1" x14ac:dyDescent="0.35">
      <c r="A11999" s="4">
        <v>4500234913</v>
      </c>
    </row>
    <row r="12000" spans="1:1" x14ac:dyDescent="0.35">
      <c r="A12000" s="4">
        <v>4500234918</v>
      </c>
    </row>
    <row r="12001" spans="1:1" x14ac:dyDescent="0.35">
      <c r="A12001" s="4">
        <v>4500234921</v>
      </c>
    </row>
    <row r="12002" spans="1:1" x14ac:dyDescent="0.35">
      <c r="A12002" s="4">
        <v>4500234923</v>
      </c>
    </row>
    <row r="12003" spans="1:1" x14ac:dyDescent="0.35">
      <c r="A12003" s="4">
        <v>4500234926</v>
      </c>
    </row>
    <row r="12004" spans="1:1" x14ac:dyDescent="0.35">
      <c r="A12004" s="4">
        <v>4500234929</v>
      </c>
    </row>
    <row r="12005" spans="1:1" x14ac:dyDescent="0.35">
      <c r="A12005" s="4">
        <v>4500234931</v>
      </c>
    </row>
    <row r="12006" spans="1:1" x14ac:dyDescent="0.35">
      <c r="A12006" s="4">
        <v>4500234933</v>
      </c>
    </row>
    <row r="12007" spans="1:1" x14ac:dyDescent="0.35">
      <c r="A12007" s="4">
        <v>4500234934</v>
      </c>
    </row>
    <row r="12008" spans="1:1" x14ac:dyDescent="0.35">
      <c r="A12008" s="4">
        <v>4500234935</v>
      </c>
    </row>
    <row r="12009" spans="1:1" x14ac:dyDescent="0.35">
      <c r="A12009" s="4">
        <v>4500234942</v>
      </c>
    </row>
    <row r="12010" spans="1:1" x14ac:dyDescent="0.35">
      <c r="A12010" s="4">
        <v>4500234943</v>
      </c>
    </row>
    <row r="12011" spans="1:1" x14ac:dyDescent="0.35">
      <c r="A12011" s="4">
        <v>4500235064</v>
      </c>
    </row>
    <row r="12012" spans="1:1" x14ac:dyDescent="0.35">
      <c r="A12012" s="4">
        <v>4500235070</v>
      </c>
    </row>
    <row r="12013" spans="1:1" x14ac:dyDescent="0.35">
      <c r="A12013" s="4">
        <v>4500235074</v>
      </c>
    </row>
    <row r="12014" spans="1:1" x14ac:dyDescent="0.35">
      <c r="A12014" s="4">
        <v>4500235077</v>
      </c>
    </row>
    <row r="12015" spans="1:1" x14ac:dyDescent="0.35">
      <c r="A12015" s="4">
        <v>4500235085</v>
      </c>
    </row>
    <row r="12016" spans="1:1" x14ac:dyDescent="0.35">
      <c r="A12016" s="4">
        <v>4500235095</v>
      </c>
    </row>
    <row r="12017" spans="1:1" x14ac:dyDescent="0.35">
      <c r="A12017" s="4">
        <v>4500235103</v>
      </c>
    </row>
    <row r="12018" spans="1:1" x14ac:dyDescent="0.35">
      <c r="A12018" s="4">
        <v>4500235108</v>
      </c>
    </row>
    <row r="12019" spans="1:1" x14ac:dyDescent="0.35">
      <c r="A12019" s="4">
        <v>4500235110</v>
      </c>
    </row>
    <row r="12020" spans="1:1" x14ac:dyDescent="0.35">
      <c r="A12020" s="4">
        <v>4500235111</v>
      </c>
    </row>
    <row r="12021" spans="1:1" x14ac:dyDescent="0.35">
      <c r="A12021" s="4">
        <v>4500235112</v>
      </c>
    </row>
    <row r="12022" spans="1:1" x14ac:dyDescent="0.35">
      <c r="A12022" s="4">
        <v>4500235114</v>
      </c>
    </row>
    <row r="12023" spans="1:1" x14ac:dyDescent="0.35">
      <c r="A12023" s="4">
        <v>4500235115</v>
      </c>
    </row>
    <row r="12024" spans="1:1" x14ac:dyDescent="0.35">
      <c r="A12024" s="4">
        <v>4500235116</v>
      </c>
    </row>
    <row r="12025" spans="1:1" x14ac:dyDescent="0.35">
      <c r="A12025" s="4">
        <v>4500235117</v>
      </c>
    </row>
    <row r="12026" spans="1:1" x14ac:dyDescent="0.35">
      <c r="A12026" s="4">
        <v>4500235118</v>
      </c>
    </row>
    <row r="12027" spans="1:1" x14ac:dyDescent="0.35">
      <c r="A12027" s="4">
        <v>4500235119</v>
      </c>
    </row>
    <row r="12028" spans="1:1" x14ac:dyDescent="0.35">
      <c r="A12028" s="4">
        <v>4500235228</v>
      </c>
    </row>
    <row r="12029" spans="1:1" x14ac:dyDescent="0.35">
      <c r="A12029" s="4">
        <v>4500235232</v>
      </c>
    </row>
    <row r="12030" spans="1:1" x14ac:dyDescent="0.35">
      <c r="A12030" s="4">
        <v>4500235235</v>
      </c>
    </row>
    <row r="12031" spans="1:1" x14ac:dyDescent="0.35">
      <c r="A12031" s="4">
        <v>4500235239</v>
      </c>
    </row>
    <row r="12032" spans="1:1" x14ac:dyDescent="0.35">
      <c r="A12032" s="4">
        <v>4500235246</v>
      </c>
    </row>
    <row r="12033" spans="1:1" x14ac:dyDescent="0.35">
      <c r="A12033" s="4">
        <v>4500235250</v>
      </c>
    </row>
    <row r="12034" spans="1:1" x14ac:dyDescent="0.35">
      <c r="A12034" s="4">
        <v>4500235258</v>
      </c>
    </row>
    <row r="12035" spans="1:1" x14ac:dyDescent="0.35">
      <c r="A12035" s="4">
        <v>4500235262</v>
      </c>
    </row>
    <row r="12036" spans="1:1" x14ac:dyDescent="0.35">
      <c r="A12036" s="4">
        <v>4500235264</v>
      </c>
    </row>
    <row r="12037" spans="1:1" x14ac:dyDescent="0.35">
      <c r="A12037" s="4">
        <v>4500235269</v>
      </c>
    </row>
    <row r="12038" spans="1:1" x14ac:dyDescent="0.35">
      <c r="A12038" s="4">
        <v>4500235275</v>
      </c>
    </row>
    <row r="12039" spans="1:1" x14ac:dyDescent="0.35">
      <c r="A12039" s="4">
        <v>4500235277</v>
      </c>
    </row>
    <row r="12040" spans="1:1" x14ac:dyDescent="0.35">
      <c r="A12040" s="4">
        <v>4500235283</v>
      </c>
    </row>
    <row r="12041" spans="1:1" x14ac:dyDescent="0.35">
      <c r="A12041" s="4">
        <v>4500235284</v>
      </c>
    </row>
    <row r="12042" spans="1:1" x14ac:dyDescent="0.35">
      <c r="A12042" s="4">
        <v>4500235286</v>
      </c>
    </row>
    <row r="12043" spans="1:1" x14ac:dyDescent="0.35">
      <c r="A12043" s="4">
        <v>4500235290</v>
      </c>
    </row>
    <row r="12044" spans="1:1" x14ac:dyDescent="0.35">
      <c r="A12044" s="4">
        <v>4500235292</v>
      </c>
    </row>
    <row r="12045" spans="1:1" x14ac:dyDescent="0.35">
      <c r="A12045" s="4">
        <v>4500235294</v>
      </c>
    </row>
    <row r="12046" spans="1:1" x14ac:dyDescent="0.35">
      <c r="A12046" s="4">
        <v>4500235295</v>
      </c>
    </row>
    <row r="12047" spans="1:1" x14ac:dyDescent="0.35">
      <c r="A12047" s="4">
        <v>4500235296</v>
      </c>
    </row>
    <row r="12048" spans="1:1" x14ac:dyDescent="0.35">
      <c r="A12048" s="4">
        <v>4500235298</v>
      </c>
    </row>
    <row r="12049" spans="1:1" x14ac:dyDescent="0.35">
      <c r="A12049" s="4">
        <v>4500235299</v>
      </c>
    </row>
    <row r="12050" spans="1:1" x14ac:dyDescent="0.35">
      <c r="A12050" s="4">
        <v>4500235314</v>
      </c>
    </row>
    <row r="12051" spans="1:1" x14ac:dyDescent="0.35">
      <c r="A12051" s="4">
        <v>4500235398</v>
      </c>
    </row>
    <row r="12052" spans="1:1" x14ac:dyDescent="0.35">
      <c r="A12052" s="4">
        <v>4500235417</v>
      </c>
    </row>
    <row r="12053" spans="1:1" x14ac:dyDescent="0.35">
      <c r="A12053" s="4">
        <v>4500235420</v>
      </c>
    </row>
    <row r="12054" spans="1:1" x14ac:dyDescent="0.35">
      <c r="A12054" s="4">
        <v>4500235427</v>
      </c>
    </row>
    <row r="12055" spans="1:1" x14ac:dyDescent="0.35">
      <c r="A12055" s="4">
        <v>4500235431</v>
      </c>
    </row>
    <row r="12056" spans="1:1" x14ac:dyDescent="0.35">
      <c r="A12056" s="4">
        <v>4500235436</v>
      </c>
    </row>
    <row r="12057" spans="1:1" x14ac:dyDescent="0.35">
      <c r="A12057" s="4">
        <v>4500235441</v>
      </c>
    </row>
    <row r="12058" spans="1:1" x14ac:dyDescent="0.35">
      <c r="A12058" s="4">
        <v>4500235446</v>
      </c>
    </row>
    <row r="12059" spans="1:1" x14ac:dyDescent="0.35">
      <c r="A12059" s="4">
        <v>4500235450</v>
      </c>
    </row>
    <row r="12060" spans="1:1" x14ac:dyDescent="0.35">
      <c r="A12060" s="4">
        <v>4500235452</v>
      </c>
    </row>
    <row r="12061" spans="1:1" x14ac:dyDescent="0.35">
      <c r="A12061" s="4">
        <v>4500235460</v>
      </c>
    </row>
    <row r="12062" spans="1:1" x14ac:dyDescent="0.35">
      <c r="A12062" s="4">
        <v>4500235463</v>
      </c>
    </row>
    <row r="12063" spans="1:1" x14ac:dyDescent="0.35">
      <c r="A12063" s="4">
        <v>4500235467</v>
      </c>
    </row>
    <row r="12064" spans="1:1" x14ac:dyDescent="0.35">
      <c r="A12064" s="4">
        <v>4500235470</v>
      </c>
    </row>
    <row r="12065" spans="1:1" x14ac:dyDescent="0.35">
      <c r="A12065" s="4">
        <v>4500235476</v>
      </c>
    </row>
    <row r="12066" spans="1:1" x14ac:dyDescent="0.35">
      <c r="A12066" s="4">
        <v>4500235480</v>
      </c>
    </row>
    <row r="12067" spans="1:1" x14ac:dyDescent="0.35">
      <c r="A12067" s="4">
        <v>4500235482</v>
      </c>
    </row>
    <row r="12068" spans="1:1" x14ac:dyDescent="0.35">
      <c r="A12068" s="4">
        <v>4500235484</v>
      </c>
    </row>
    <row r="12069" spans="1:1" x14ac:dyDescent="0.35">
      <c r="A12069" s="4">
        <v>4500235486</v>
      </c>
    </row>
    <row r="12070" spans="1:1" x14ac:dyDescent="0.35">
      <c r="A12070" s="4">
        <v>4500235487</v>
      </c>
    </row>
    <row r="12071" spans="1:1" x14ac:dyDescent="0.35">
      <c r="A12071" s="4">
        <v>4500235489</v>
      </c>
    </row>
    <row r="12072" spans="1:1" x14ac:dyDescent="0.35">
      <c r="A12072" s="4">
        <v>4500235491</v>
      </c>
    </row>
    <row r="12073" spans="1:1" x14ac:dyDescent="0.35">
      <c r="A12073" s="4">
        <v>4500235492</v>
      </c>
    </row>
    <row r="12074" spans="1:1" x14ac:dyDescent="0.35">
      <c r="A12074" s="4">
        <v>4500235494</v>
      </c>
    </row>
    <row r="12075" spans="1:1" x14ac:dyDescent="0.35">
      <c r="A12075" s="4">
        <v>4500235495</v>
      </c>
    </row>
    <row r="12076" spans="1:1" x14ac:dyDescent="0.35">
      <c r="A12076" s="4">
        <v>4500235496</v>
      </c>
    </row>
    <row r="12077" spans="1:1" x14ac:dyDescent="0.35">
      <c r="A12077" s="4">
        <v>4500235600</v>
      </c>
    </row>
    <row r="12078" spans="1:1" x14ac:dyDescent="0.35">
      <c r="A12078" s="4">
        <v>4500235609</v>
      </c>
    </row>
    <row r="12079" spans="1:1" x14ac:dyDescent="0.35">
      <c r="A12079" s="4">
        <v>4500235620</v>
      </c>
    </row>
    <row r="12080" spans="1:1" x14ac:dyDescent="0.35">
      <c r="A12080" s="4">
        <v>4500235622</v>
      </c>
    </row>
    <row r="12081" spans="1:1" x14ac:dyDescent="0.35">
      <c r="A12081" s="4">
        <v>4500235626</v>
      </c>
    </row>
    <row r="12082" spans="1:1" x14ac:dyDescent="0.35">
      <c r="A12082" s="4">
        <v>4500235633</v>
      </c>
    </row>
    <row r="12083" spans="1:1" x14ac:dyDescent="0.35">
      <c r="A12083" s="4">
        <v>4500235637</v>
      </c>
    </row>
    <row r="12084" spans="1:1" x14ac:dyDescent="0.35">
      <c r="A12084" s="4">
        <v>4500235640</v>
      </c>
    </row>
    <row r="12085" spans="1:1" x14ac:dyDescent="0.35">
      <c r="A12085" s="4">
        <v>4500235644</v>
      </c>
    </row>
    <row r="12086" spans="1:1" x14ac:dyDescent="0.35">
      <c r="A12086" s="4">
        <v>4500235646</v>
      </c>
    </row>
    <row r="12087" spans="1:1" x14ac:dyDescent="0.35">
      <c r="A12087" s="4">
        <v>4500235651</v>
      </c>
    </row>
    <row r="12088" spans="1:1" x14ac:dyDescent="0.35">
      <c r="A12088" s="4">
        <v>4500235655</v>
      </c>
    </row>
    <row r="12089" spans="1:1" x14ac:dyDescent="0.35">
      <c r="A12089" s="4">
        <v>4500235660</v>
      </c>
    </row>
    <row r="12090" spans="1:1" x14ac:dyDescent="0.35">
      <c r="A12090" s="4">
        <v>4500235666</v>
      </c>
    </row>
    <row r="12091" spans="1:1" x14ac:dyDescent="0.35">
      <c r="A12091" s="4">
        <v>4500235683</v>
      </c>
    </row>
    <row r="12092" spans="1:1" x14ac:dyDescent="0.35">
      <c r="A12092" s="4">
        <v>4500235687</v>
      </c>
    </row>
    <row r="12093" spans="1:1" x14ac:dyDescent="0.35">
      <c r="A12093" s="4">
        <v>4500235698</v>
      </c>
    </row>
    <row r="12094" spans="1:1" x14ac:dyDescent="0.35">
      <c r="A12094" s="4">
        <v>4500235699</v>
      </c>
    </row>
    <row r="12095" spans="1:1" x14ac:dyDescent="0.35">
      <c r="A12095" s="4">
        <v>4500235700</v>
      </c>
    </row>
    <row r="12096" spans="1:1" x14ac:dyDescent="0.35">
      <c r="A12096" s="4">
        <v>4500235701</v>
      </c>
    </row>
    <row r="12097" spans="1:1" x14ac:dyDescent="0.35">
      <c r="A12097" s="4">
        <v>4500235751</v>
      </c>
    </row>
    <row r="12098" spans="1:1" x14ac:dyDescent="0.35">
      <c r="A12098" s="4">
        <v>4500235799</v>
      </c>
    </row>
    <row r="12099" spans="1:1" x14ac:dyDescent="0.35">
      <c r="A12099" s="4">
        <v>4500235877</v>
      </c>
    </row>
    <row r="12100" spans="1:1" x14ac:dyDescent="0.35">
      <c r="A12100" s="4">
        <v>4500235885</v>
      </c>
    </row>
    <row r="12101" spans="1:1" x14ac:dyDescent="0.35">
      <c r="A12101" s="4">
        <v>4500235888</v>
      </c>
    </row>
    <row r="12102" spans="1:1" x14ac:dyDescent="0.35">
      <c r="A12102" s="4">
        <v>4500235892</v>
      </c>
    </row>
    <row r="12103" spans="1:1" x14ac:dyDescent="0.35">
      <c r="A12103" s="4">
        <v>4500235897</v>
      </c>
    </row>
    <row r="12104" spans="1:1" x14ac:dyDescent="0.35">
      <c r="A12104" s="4">
        <v>4500235900</v>
      </c>
    </row>
    <row r="12105" spans="1:1" x14ac:dyDescent="0.35">
      <c r="A12105" s="4">
        <v>4500235904</v>
      </c>
    </row>
    <row r="12106" spans="1:1" x14ac:dyDescent="0.35">
      <c r="A12106" s="4">
        <v>4500235911</v>
      </c>
    </row>
    <row r="12107" spans="1:1" x14ac:dyDescent="0.35">
      <c r="A12107" s="4">
        <v>4500235914</v>
      </c>
    </row>
    <row r="12108" spans="1:1" x14ac:dyDescent="0.35">
      <c r="A12108" s="4">
        <v>4500235921</v>
      </c>
    </row>
    <row r="12109" spans="1:1" x14ac:dyDescent="0.35">
      <c r="A12109" s="4">
        <v>4500235925</v>
      </c>
    </row>
    <row r="12110" spans="1:1" x14ac:dyDescent="0.35">
      <c r="A12110" s="4">
        <v>4500235928</v>
      </c>
    </row>
    <row r="12111" spans="1:1" x14ac:dyDescent="0.35">
      <c r="A12111" s="4">
        <v>4500235931</v>
      </c>
    </row>
    <row r="12112" spans="1:1" x14ac:dyDescent="0.35">
      <c r="A12112" s="4">
        <v>4500235942</v>
      </c>
    </row>
    <row r="12113" spans="1:1" x14ac:dyDescent="0.35">
      <c r="A12113" s="4">
        <v>4500236046</v>
      </c>
    </row>
    <row r="12114" spans="1:1" x14ac:dyDescent="0.35">
      <c r="A12114" s="4">
        <v>4500236053</v>
      </c>
    </row>
    <row r="12115" spans="1:1" x14ac:dyDescent="0.35">
      <c r="A12115" s="4">
        <v>4500236057</v>
      </c>
    </row>
    <row r="12116" spans="1:1" x14ac:dyDescent="0.35">
      <c r="A12116" s="4">
        <v>4500236063</v>
      </c>
    </row>
    <row r="12117" spans="1:1" x14ac:dyDescent="0.35">
      <c r="A12117" s="4">
        <v>4500236068</v>
      </c>
    </row>
    <row r="12118" spans="1:1" x14ac:dyDescent="0.35">
      <c r="A12118" s="4">
        <v>4500236071</v>
      </c>
    </row>
    <row r="12119" spans="1:1" x14ac:dyDescent="0.35">
      <c r="A12119" s="4">
        <v>4500236073</v>
      </c>
    </row>
    <row r="12120" spans="1:1" x14ac:dyDescent="0.35">
      <c r="A12120" s="4">
        <v>4500236076</v>
      </c>
    </row>
    <row r="12121" spans="1:1" x14ac:dyDescent="0.35">
      <c r="A12121" s="4">
        <v>4500236079</v>
      </c>
    </row>
    <row r="12122" spans="1:1" x14ac:dyDescent="0.35">
      <c r="A12122" s="4">
        <v>4500236083</v>
      </c>
    </row>
    <row r="12123" spans="1:1" x14ac:dyDescent="0.35">
      <c r="A12123" s="4">
        <v>4500236093</v>
      </c>
    </row>
    <row r="12124" spans="1:1" x14ac:dyDescent="0.35">
      <c r="A12124" s="4">
        <v>4500236106</v>
      </c>
    </row>
    <row r="12125" spans="1:1" x14ac:dyDescent="0.35">
      <c r="A12125" s="4">
        <v>4500236224</v>
      </c>
    </row>
    <row r="12126" spans="1:1" x14ac:dyDescent="0.35">
      <c r="A12126" s="4">
        <v>4500236227</v>
      </c>
    </row>
    <row r="12127" spans="1:1" x14ac:dyDescent="0.35">
      <c r="A12127" s="4">
        <v>4500236232</v>
      </c>
    </row>
    <row r="12128" spans="1:1" x14ac:dyDescent="0.35">
      <c r="A12128" s="4">
        <v>4500236241</v>
      </c>
    </row>
    <row r="12129" spans="1:1" x14ac:dyDescent="0.35">
      <c r="A12129" s="4">
        <v>4500236246</v>
      </c>
    </row>
    <row r="12130" spans="1:1" x14ac:dyDescent="0.35">
      <c r="A12130" s="4">
        <v>4500236258</v>
      </c>
    </row>
    <row r="12131" spans="1:1" x14ac:dyDescent="0.35">
      <c r="A12131" s="4">
        <v>4500236262</v>
      </c>
    </row>
    <row r="12132" spans="1:1" x14ac:dyDescent="0.35">
      <c r="A12132" s="4">
        <v>4500236265</v>
      </c>
    </row>
    <row r="12133" spans="1:1" x14ac:dyDescent="0.35">
      <c r="A12133" s="4">
        <v>4500236266</v>
      </c>
    </row>
    <row r="12134" spans="1:1" x14ac:dyDescent="0.35">
      <c r="A12134" s="4">
        <v>4500236268</v>
      </c>
    </row>
    <row r="12135" spans="1:1" x14ac:dyDescent="0.35">
      <c r="A12135" s="4">
        <v>4500236271</v>
      </c>
    </row>
    <row r="12136" spans="1:1" x14ac:dyDescent="0.35">
      <c r="A12136" s="4">
        <v>4500236273</v>
      </c>
    </row>
    <row r="12137" spans="1:1" x14ac:dyDescent="0.35">
      <c r="A12137" s="4">
        <v>4500236274</v>
      </c>
    </row>
    <row r="12138" spans="1:1" x14ac:dyDescent="0.35">
      <c r="A12138" s="4">
        <v>4500236276</v>
      </c>
    </row>
    <row r="12139" spans="1:1" x14ac:dyDescent="0.35">
      <c r="A12139" s="4">
        <v>4500236278</v>
      </c>
    </row>
    <row r="12140" spans="1:1" x14ac:dyDescent="0.35">
      <c r="A12140" s="4">
        <v>4500236280</v>
      </c>
    </row>
    <row r="12141" spans="1:1" x14ac:dyDescent="0.35">
      <c r="A12141" s="4">
        <v>4500236281</v>
      </c>
    </row>
    <row r="12142" spans="1:1" x14ac:dyDescent="0.35">
      <c r="A12142" s="4">
        <v>4500236283</v>
      </c>
    </row>
    <row r="12143" spans="1:1" x14ac:dyDescent="0.35">
      <c r="A12143" s="4">
        <v>4500236360</v>
      </c>
    </row>
    <row r="12144" spans="1:1" x14ac:dyDescent="0.35">
      <c r="A12144" s="4">
        <v>4500236412</v>
      </c>
    </row>
    <row r="12145" spans="1:1" x14ac:dyDescent="0.35">
      <c r="A12145" s="4">
        <v>4500236420</v>
      </c>
    </row>
    <row r="12146" spans="1:1" x14ac:dyDescent="0.35">
      <c r="A12146" s="4">
        <v>4500236427</v>
      </c>
    </row>
    <row r="12147" spans="1:1" x14ac:dyDescent="0.35">
      <c r="A12147" s="4">
        <v>4500236431</v>
      </c>
    </row>
    <row r="12148" spans="1:1" x14ac:dyDescent="0.35">
      <c r="A12148" s="4">
        <v>4500236434</v>
      </c>
    </row>
    <row r="12149" spans="1:1" x14ac:dyDescent="0.35">
      <c r="A12149" s="4">
        <v>4500236442</v>
      </c>
    </row>
    <row r="12150" spans="1:1" x14ac:dyDescent="0.35">
      <c r="A12150" s="4">
        <v>4500236443</v>
      </c>
    </row>
    <row r="12151" spans="1:1" x14ac:dyDescent="0.35">
      <c r="A12151" s="4">
        <v>4500236448</v>
      </c>
    </row>
    <row r="12152" spans="1:1" x14ac:dyDescent="0.35">
      <c r="A12152" s="4">
        <v>4500236451</v>
      </c>
    </row>
    <row r="12153" spans="1:1" x14ac:dyDescent="0.35">
      <c r="A12153" s="4">
        <v>4500236455</v>
      </c>
    </row>
    <row r="12154" spans="1:1" x14ac:dyDescent="0.35">
      <c r="A12154" s="4">
        <v>4500236458</v>
      </c>
    </row>
    <row r="12155" spans="1:1" x14ac:dyDescent="0.35">
      <c r="A12155" s="4">
        <v>4500236459</v>
      </c>
    </row>
    <row r="12156" spans="1:1" x14ac:dyDescent="0.35">
      <c r="A12156" s="4">
        <v>4500236461</v>
      </c>
    </row>
    <row r="12157" spans="1:1" x14ac:dyDescent="0.35">
      <c r="A12157" s="4">
        <v>4500236463</v>
      </c>
    </row>
    <row r="12158" spans="1:1" x14ac:dyDescent="0.35">
      <c r="A12158" s="4">
        <v>4500236464</v>
      </c>
    </row>
    <row r="12159" spans="1:1" x14ac:dyDescent="0.35">
      <c r="A12159" s="4">
        <v>4500236466</v>
      </c>
    </row>
    <row r="12160" spans="1:1" x14ac:dyDescent="0.35">
      <c r="A12160" s="4">
        <v>4500236614</v>
      </c>
    </row>
    <row r="12161" spans="1:1" x14ac:dyDescent="0.35">
      <c r="A12161" s="4">
        <v>4500236617</v>
      </c>
    </row>
    <row r="12162" spans="1:1" x14ac:dyDescent="0.35">
      <c r="A12162" s="4">
        <v>4500236623</v>
      </c>
    </row>
    <row r="12163" spans="1:1" x14ac:dyDescent="0.35">
      <c r="A12163" s="4">
        <v>4500236628</v>
      </c>
    </row>
    <row r="12164" spans="1:1" x14ac:dyDescent="0.35">
      <c r="A12164" s="4">
        <v>4500236632</v>
      </c>
    </row>
    <row r="12165" spans="1:1" x14ac:dyDescent="0.35">
      <c r="A12165" s="4">
        <v>4500236638</v>
      </c>
    </row>
    <row r="12166" spans="1:1" x14ac:dyDescent="0.35">
      <c r="A12166" s="4">
        <v>4500236646</v>
      </c>
    </row>
    <row r="12167" spans="1:1" x14ac:dyDescent="0.35">
      <c r="A12167" s="4">
        <v>4500236649</v>
      </c>
    </row>
    <row r="12168" spans="1:1" x14ac:dyDescent="0.35">
      <c r="A12168" s="4">
        <v>4500236652</v>
      </c>
    </row>
    <row r="12169" spans="1:1" x14ac:dyDescent="0.35">
      <c r="A12169" s="4">
        <v>4500236655</v>
      </c>
    </row>
    <row r="12170" spans="1:1" x14ac:dyDescent="0.35">
      <c r="A12170" s="4">
        <v>4500236659</v>
      </c>
    </row>
    <row r="12171" spans="1:1" x14ac:dyDescent="0.35">
      <c r="A12171" s="4">
        <v>4500236666</v>
      </c>
    </row>
    <row r="12172" spans="1:1" x14ac:dyDescent="0.35">
      <c r="A12172" s="4">
        <v>4500236677</v>
      </c>
    </row>
    <row r="12173" spans="1:1" x14ac:dyDescent="0.35">
      <c r="A12173" s="4">
        <v>4500236681</v>
      </c>
    </row>
    <row r="12174" spans="1:1" x14ac:dyDescent="0.35">
      <c r="A12174" s="4">
        <v>4500236685</v>
      </c>
    </row>
    <row r="12175" spans="1:1" x14ac:dyDescent="0.35">
      <c r="A12175" s="4">
        <v>4500236689</v>
      </c>
    </row>
    <row r="12176" spans="1:1" x14ac:dyDescent="0.35">
      <c r="A12176" s="4">
        <v>4500236693</v>
      </c>
    </row>
    <row r="12177" spans="1:1" x14ac:dyDescent="0.35">
      <c r="A12177" s="4">
        <v>4500236696</v>
      </c>
    </row>
    <row r="12178" spans="1:1" x14ac:dyDescent="0.35">
      <c r="A12178" s="4">
        <v>4500236699</v>
      </c>
    </row>
    <row r="12179" spans="1:1" x14ac:dyDescent="0.35">
      <c r="A12179" s="4">
        <v>4500236701</v>
      </c>
    </row>
    <row r="12180" spans="1:1" x14ac:dyDescent="0.35">
      <c r="A12180" s="4">
        <v>4500236703</v>
      </c>
    </row>
    <row r="12181" spans="1:1" x14ac:dyDescent="0.35">
      <c r="A12181" s="4">
        <v>4500236704</v>
      </c>
    </row>
    <row r="12182" spans="1:1" x14ac:dyDescent="0.35">
      <c r="A12182" s="4">
        <v>4500236706</v>
      </c>
    </row>
    <row r="12183" spans="1:1" x14ac:dyDescent="0.35">
      <c r="A12183" s="4">
        <v>4500236707</v>
      </c>
    </row>
    <row r="12184" spans="1:1" x14ac:dyDescent="0.35">
      <c r="A12184" s="4">
        <v>4500236709</v>
      </c>
    </row>
    <row r="12185" spans="1:1" x14ac:dyDescent="0.35">
      <c r="A12185" s="4">
        <v>4500236711</v>
      </c>
    </row>
    <row r="12186" spans="1:1" x14ac:dyDescent="0.35">
      <c r="A12186" s="4">
        <v>4500236712</v>
      </c>
    </row>
    <row r="12187" spans="1:1" x14ac:dyDescent="0.35">
      <c r="A12187" s="4">
        <v>4500236714</v>
      </c>
    </row>
    <row r="12188" spans="1:1" x14ac:dyDescent="0.35">
      <c r="A12188" s="4">
        <v>4500236715</v>
      </c>
    </row>
    <row r="12189" spans="1:1" x14ac:dyDescent="0.35">
      <c r="A12189" s="4">
        <v>4500236717</v>
      </c>
    </row>
    <row r="12190" spans="1:1" x14ac:dyDescent="0.35">
      <c r="A12190" s="4">
        <v>4500236768</v>
      </c>
    </row>
    <row r="12191" spans="1:1" x14ac:dyDescent="0.35">
      <c r="A12191" s="4">
        <v>4500236881</v>
      </c>
    </row>
    <row r="12192" spans="1:1" x14ac:dyDescent="0.35">
      <c r="A12192" s="4">
        <v>4500236885</v>
      </c>
    </row>
    <row r="12193" spans="1:1" x14ac:dyDescent="0.35">
      <c r="A12193" s="4">
        <v>4500236889</v>
      </c>
    </row>
    <row r="12194" spans="1:1" x14ac:dyDescent="0.35">
      <c r="A12194" s="4">
        <v>4500236893</v>
      </c>
    </row>
    <row r="12195" spans="1:1" x14ac:dyDescent="0.35">
      <c r="A12195" s="4">
        <v>4500236896</v>
      </c>
    </row>
    <row r="12196" spans="1:1" x14ac:dyDescent="0.35">
      <c r="A12196" s="4">
        <v>4500236900</v>
      </c>
    </row>
    <row r="12197" spans="1:1" x14ac:dyDescent="0.35">
      <c r="A12197" s="4">
        <v>4500236903</v>
      </c>
    </row>
    <row r="12198" spans="1:1" x14ac:dyDescent="0.35">
      <c r="A12198" s="4">
        <v>4500236906</v>
      </c>
    </row>
    <row r="12199" spans="1:1" x14ac:dyDescent="0.35">
      <c r="A12199" s="4">
        <v>4500236913</v>
      </c>
    </row>
    <row r="12200" spans="1:1" x14ac:dyDescent="0.35">
      <c r="A12200" s="4">
        <v>4500236918</v>
      </c>
    </row>
    <row r="12201" spans="1:1" x14ac:dyDescent="0.35">
      <c r="A12201" s="4">
        <v>4500236922</v>
      </c>
    </row>
    <row r="12202" spans="1:1" x14ac:dyDescent="0.35">
      <c r="A12202" s="4">
        <v>4500236926</v>
      </c>
    </row>
    <row r="12203" spans="1:1" x14ac:dyDescent="0.35">
      <c r="A12203" s="4">
        <v>4500236930</v>
      </c>
    </row>
    <row r="12204" spans="1:1" x14ac:dyDescent="0.35">
      <c r="A12204" s="4">
        <v>4500236932</v>
      </c>
    </row>
    <row r="12205" spans="1:1" x14ac:dyDescent="0.35">
      <c r="A12205" s="4">
        <v>4500236934</v>
      </c>
    </row>
    <row r="12206" spans="1:1" x14ac:dyDescent="0.35">
      <c r="A12206" s="4">
        <v>4500236938</v>
      </c>
    </row>
    <row r="12207" spans="1:1" x14ac:dyDescent="0.35">
      <c r="A12207" s="4">
        <v>4500236940</v>
      </c>
    </row>
    <row r="12208" spans="1:1" x14ac:dyDescent="0.35">
      <c r="A12208" s="4">
        <v>4500236945</v>
      </c>
    </row>
    <row r="12209" spans="1:1" x14ac:dyDescent="0.35">
      <c r="A12209" s="4">
        <v>4500236948</v>
      </c>
    </row>
    <row r="12210" spans="1:1" x14ac:dyDescent="0.35">
      <c r="A12210" s="4">
        <v>4500236949</v>
      </c>
    </row>
    <row r="12211" spans="1:1" x14ac:dyDescent="0.35">
      <c r="A12211" s="4">
        <v>4500236950</v>
      </c>
    </row>
    <row r="12212" spans="1:1" x14ac:dyDescent="0.35">
      <c r="A12212" s="4">
        <v>4500236951</v>
      </c>
    </row>
    <row r="12213" spans="1:1" x14ac:dyDescent="0.35">
      <c r="A12213" s="4">
        <v>4500236952</v>
      </c>
    </row>
    <row r="12214" spans="1:1" x14ac:dyDescent="0.35">
      <c r="A12214" s="4">
        <v>4500237061</v>
      </c>
    </row>
    <row r="12215" spans="1:1" x14ac:dyDescent="0.35">
      <c r="A12215" s="4">
        <v>4500237067</v>
      </c>
    </row>
    <row r="12216" spans="1:1" x14ac:dyDescent="0.35">
      <c r="A12216" s="4">
        <v>4500237071</v>
      </c>
    </row>
    <row r="12217" spans="1:1" x14ac:dyDescent="0.35">
      <c r="A12217" s="4">
        <v>4500237075</v>
      </c>
    </row>
    <row r="12218" spans="1:1" x14ac:dyDescent="0.35">
      <c r="A12218" s="4">
        <v>4500237083</v>
      </c>
    </row>
    <row r="12219" spans="1:1" x14ac:dyDescent="0.35">
      <c r="A12219" s="4">
        <v>4500237089</v>
      </c>
    </row>
    <row r="12220" spans="1:1" x14ac:dyDescent="0.35">
      <c r="A12220" s="4">
        <v>4500237092</v>
      </c>
    </row>
    <row r="12221" spans="1:1" x14ac:dyDescent="0.35">
      <c r="A12221" s="4">
        <v>4500237097</v>
      </c>
    </row>
    <row r="12222" spans="1:1" x14ac:dyDescent="0.35">
      <c r="A12222" s="4">
        <v>4500237105</v>
      </c>
    </row>
    <row r="12223" spans="1:1" x14ac:dyDescent="0.35">
      <c r="A12223" s="4">
        <v>4500237110</v>
      </c>
    </row>
    <row r="12224" spans="1:1" x14ac:dyDescent="0.35">
      <c r="A12224" s="4">
        <v>4500237121</v>
      </c>
    </row>
    <row r="12225" spans="1:1" x14ac:dyDescent="0.35">
      <c r="A12225" s="4">
        <v>4500237122</v>
      </c>
    </row>
    <row r="12226" spans="1:1" x14ac:dyDescent="0.35">
      <c r="A12226" s="4">
        <v>4500237123</v>
      </c>
    </row>
    <row r="12227" spans="1:1" x14ac:dyDescent="0.35">
      <c r="A12227" s="4">
        <v>4500237124</v>
      </c>
    </row>
    <row r="12228" spans="1:1" x14ac:dyDescent="0.35">
      <c r="A12228" s="4">
        <v>4500237125</v>
      </c>
    </row>
    <row r="12229" spans="1:1" x14ac:dyDescent="0.35">
      <c r="A12229" s="4">
        <v>4500237128</v>
      </c>
    </row>
    <row r="12230" spans="1:1" x14ac:dyDescent="0.35">
      <c r="A12230" s="4">
        <v>4500237254</v>
      </c>
    </row>
    <row r="12231" spans="1:1" x14ac:dyDescent="0.35">
      <c r="A12231" s="4">
        <v>4500237261</v>
      </c>
    </row>
    <row r="12232" spans="1:1" x14ac:dyDescent="0.35">
      <c r="A12232" s="4">
        <v>4500237269</v>
      </c>
    </row>
    <row r="12233" spans="1:1" x14ac:dyDescent="0.35">
      <c r="A12233" s="4">
        <v>4500237275</v>
      </c>
    </row>
    <row r="12234" spans="1:1" x14ac:dyDescent="0.35">
      <c r="A12234" s="4">
        <v>4500237278</v>
      </c>
    </row>
    <row r="12235" spans="1:1" x14ac:dyDescent="0.35">
      <c r="A12235" s="4">
        <v>4500237280</v>
      </c>
    </row>
    <row r="12236" spans="1:1" x14ac:dyDescent="0.35">
      <c r="A12236" s="4">
        <v>4500237285</v>
      </c>
    </row>
    <row r="12237" spans="1:1" x14ac:dyDescent="0.35">
      <c r="A12237" s="4">
        <v>4500237290</v>
      </c>
    </row>
    <row r="12238" spans="1:1" x14ac:dyDescent="0.35">
      <c r="A12238" s="4">
        <v>4500237297</v>
      </c>
    </row>
    <row r="12239" spans="1:1" x14ac:dyDescent="0.35">
      <c r="A12239" s="4">
        <v>4500237299</v>
      </c>
    </row>
    <row r="12240" spans="1:1" x14ac:dyDescent="0.35">
      <c r="A12240" s="4">
        <v>4500237300</v>
      </c>
    </row>
    <row r="12241" spans="1:1" x14ac:dyDescent="0.35">
      <c r="A12241" s="4">
        <v>4500237302</v>
      </c>
    </row>
    <row r="12242" spans="1:1" x14ac:dyDescent="0.35">
      <c r="A12242" s="4">
        <v>4500237304</v>
      </c>
    </row>
    <row r="12243" spans="1:1" x14ac:dyDescent="0.35">
      <c r="A12243" s="4">
        <v>4500237306</v>
      </c>
    </row>
    <row r="12244" spans="1:1" x14ac:dyDescent="0.35">
      <c r="A12244" s="4">
        <v>4500237307</v>
      </c>
    </row>
    <row r="12245" spans="1:1" x14ac:dyDescent="0.35">
      <c r="A12245" s="4">
        <v>4500237309</v>
      </c>
    </row>
    <row r="12246" spans="1:1" x14ac:dyDescent="0.35">
      <c r="A12246" s="4">
        <v>4500237311</v>
      </c>
    </row>
    <row r="12247" spans="1:1" x14ac:dyDescent="0.35">
      <c r="A12247" s="4">
        <v>4500237312</v>
      </c>
    </row>
    <row r="12248" spans="1:1" x14ac:dyDescent="0.35">
      <c r="A12248" s="4">
        <v>4500237314</v>
      </c>
    </row>
    <row r="12249" spans="1:1" x14ac:dyDescent="0.35">
      <c r="A12249" s="4">
        <v>4500237316</v>
      </c>
    </row>
    <row r="12250" spans="1:1" x14ac:dyDescent="0.35">
      <c r="A12250" s="4">
        <v>4500237317</v>
      </c>
    </row>
    <row r="12251" spans="1:1" x14ac:dyDescent="0.35">
      <c r="A12251" s="4">
        <v>4500237319</v>
      </c>
    </row>
    <row r="12252" spans="1:1" x14ac:dyDescent="0.35">
      <c r="A12252" s="4">
        <v>4500237345</v>
      </c>
    </row>
    <row r="12253" spans="1:1" x14ac:dyDescent="0.35">
      <c r="A12253" s="4">
        <v>4500237443</v>
      </c>
    </row>
    <row r="12254" spans="1:1" x14ac:dyDescent="0.35">
      <c r="A12254" s="4">
        <v>4500237449</v>
      </c>
    </row>
    <row r="12255" spans="1:1" x14ac:dyDescent="0.35">
      <c r="A12255" s="4">
        <v>4500237455</v>
      </c>
    </row>
    <row r="12256" spans="1:1" x14ac:dyDescent="0.35">
      <c r="A12256" s="4">
        <v>4500237459</v>
      </c>
    </row>
    <row r="12257" spans="1:1" x14ac:dyDescent="0.35">
      <c r="A12257" s="4">
        <v>4500237462</v>
      </c>
    </row>
    <row r="12258" spans="1:1" x14ac:dyDescent="0.35">
      <c r="A12258" s="4">
        <v>4500237465</v>
      </c>
    </row>
    <row r="12259" spans="1:1" x14ac:dyDescent="0.35">
      <c r="A12259" s="4">
        <v>4500237474</v>
      </c>
    </row>
    <row r="12260" spans="1:1" x14ac:dyDescent="0.35">
      <c r="A12260" s="4">
        <v>4500237478</v>
      </c>
    </row>
    <row r="12261" spans="1:1" x14ac:dyDescent="0.35">
      <c r="A12261" s="4">
        <v>4500237483</v>
      </c>
    </row>
    <row r="12262" spans="1:1" x14ac:dyDescent="0.35">
      <c r="A12262" s="4">
        <v>4500237489</v>
      </c>
    </row>
    <row r="12263" spans="1:1" x14ac:dyDescent="0.35">
      <c r="A12263" s="4">
        <v>4500237493</v>
      </c>
    </row>
    <row r="12264" spans="1:1" x14ac:dyDescent="0.35">
      <c r="A12264" s="4">
        <v>4500237496</v>
      </c>
    </row>
    <row r="12265" spans="1:1" x14ac:dyDescent="0.35">
      <c r="A12265" s="4">
        <v>4500237497</v>
      </c>
    </row>
    <row r="12266" spans="1:1" x14ac:dyDescent="0.35">
      <c r="A12266" s="4">
        <v>4500237498</v>
      </c>
    </row>
    <row r="12267" spans="1:1" x14ac:dyDescent="0.35">
      <c r="A12267" s="4">
        <v>4500237499</v>
      </c>
    </row>
    <row r="12268" spans="1:1" x14ac:dyDescent="0.35">
      <c r="A12268" s="4">
        <v>4500237500</v>
      </c>
    </row>
    <row r="12269" spans="1:1" x14ac:dyDescent="0.35">
      <c r="A12269" s="4">
        <v>4500237501</v>
      </c>
    </row>
    <row r="12270" spans="1:1" x14ac:dyDescent="0.35">
      <c r="A12270" s="4">
        <v>4500237502</v>
      </c>
    </row>
    <row r="12271" spans="1:1" x14ac:dyDescent="0.35">
      <c r="A12271" s="4">
        <v>4500237600</v>
      </c>
    </row>
    <row r="12272" spans="1:1" x14ac:dyDescent="0.35">
      <c r="A12272" s="4">
        <v>4500237628</v>
      </c>
    </row>
    <row r="12273" spans="1:1" x14ac:dyDescent="0.35">
      <c r="A12273" s="4">
        <v>4500237633</v>
      </c>
    </row>
    <row r="12274" spans="1:1" x14ac:dyDescent="0.35">
      <c r="A12274" s="4">
        <v>4500237640</v>
      </c>
    </row>
    <row r="12275" spans="1:1" x14ac:dyDescent="0.35">
      <c r="A12275" s="4">
        <v>4500237643</v>
      </c>
    </row>
    <row r="12276" spans="1:1" x14ac:dyDescent="0.35">
      <c r="A12276" s="4">
        <v>4500237649</v>
      </c>
    </row>
    <row r="12277" spans="1:1" x14ac:dyDescent="0.35">
      <c r="A12277" s="4">
        <v>4500237660</v>
      </c>
    </row>
    <row r="12278" spans="1:1" x14ac:dyDescent="0.35">
      <c r="A12278" s="4">
        <v>4500237665</v>
      </c>
    </row>
    <row r="12279" spans="1:1" x14ac:dyDescent="0.35">
      <c r="A12279" s="4">
        <v>4500237669</v>
      </c>
    </row>
    <row r="12280" spans="1:1" x14ac:dyDescent="0.35">
      <c r="A12280" s="4">
        <v>4500237672</v>
      </c>
    </row>
    <row r="12281" spans="1:1" x14ac:dyDescent="0.35">
      <c r="A12281" s="4">
        <v>4500237678</v>
      </c>
    </row>
    <row r="12282" spans="1:1" x14ac:dyDescent="0.35">
      <c r="A12282" s="4">
        <v>4500237695</v>
      </c>
    </row>
    <row r="12283" spans="1:1" x14ac:dyDescent="0.35">
      <c r="A12283" s="4">
        <v>4500237705</v>
      </c>
    </row>
    <row r="12284" spans="1:1" x14ac:dyDescent="0.35">
      <c r="A12284" s="4">
        <v>4500237707</v>
      </c>
    </row>
    <row r="12285" spans="1:1" x14ac:dyDescent="0.35">
      <c r="A12285" s="4">
        <v>4500237709</v>
      </c>
    </row>
    <row r="12286" spans="1:1" x14ac:dyDescent="0.35">
      <c r="A12286" s="4">
        <v>4500237711</v>
      </c>
    </row>
    <row r="12287" spans="1:1" x14ac:dyDescent="0.35">
      <c r="A12287" s="4">
        <v>4500237713</v>
      </c>
    </row>
    <row r="12288" spans="1:1" x14ac:dyDescent="0.35">
      <c r="A12288" s="4">
        <v>4500237714</v>
      </c>
    </row>
    <row r="12289" spans="1:1" x14ac:dyDescent="0.35">
      <c r="A12289" s="4">
        <v>4500237778</v>
      </c>
    </row>
    <row r="12290" spans="1:1" x14ac:dyDescent="0.35">
      <c r="A12290" s="4">
        <v>4500237871</v>
      </c>
    </row>
    <row r="12291" spans="1:1" x14ac:dyDescent="0.35">
      <c r="A12291" s="4">
        <v>4500237877</v>
      </c>
    </row>
    <row r="12292" spans="1:1" x14ac:dyDescent="0.35">
      <c r="A12292" s="4">
        <v>4500237881</v>
      </c>
    </row>
    <row r="12293" spans="1:1" x14ac:dyDescent="0.35">
      <c r="A12293" s="4">
        <v>4500237886</v>
      </c>
    </row>
    <row r="12294" spans="1:1" x14ac:dyDescent="0.35">
      <c r="A12294" s="4">
        <v>4500237890</v>
      </c>
    </row>
    <row r="12295" spans="1:1" x14ac:dyDescent="0.35">
      <c r="A12295" s="4">
        <v>4500237893</v>
      </c>
    </row>
    <row r="12296" spans="1:1" x14ac:dyDescent="0.35">
      <c r="A12296" s="4">
        <v>4500237896</v>
      </c>
    </row>
    <row r="12297" spans="1:1" x14ac:dyDescent="0.35">
      <c r="A12297" s="4">
        <v>4500237900</v>
      </c>
    </row>
    <row r="12298" spans="1:1" x14ac:dyDescent="0.35">
      <c r="A12298" s="4">
        <v>4500237904</v>
      </c>
    </row>
    <row r="12299" spans="1:1" x14ac:dyDescent="0.35">
      <c r="A12299" s="4">
        <v>4500237909</v>
      </c>
    </row>
    <row r="12300" spans="1:1" x14ac:dyDescent="0.35">
      <c r="A12300" s="4">
        <v>4500237913</v>
      </c>
    </row>
    <row r="12301" spans="1:1" x14ac:dyDescent="0.35">
      <c r="A12301" s="4">
        <v>4500237916</v>
      </c>
    </row>
    <row r="12302" spans="1:1" x14ac:dyDescent="0.35">
      <c r="A12302" s="4">
        <v>4500237920</v>
      </c>
    </row>
    <row r="12303" spans="1:1" x14ac:dyDescent="0.35">
      <c r="A12303" s="4">
        <v>4500237924</v>
      </c>
    </row>
    <row r="12304" spans="1:1" x14ac:dyDescent="0.35">
      <c r="A12304" s="4">
        <v>4500237926</v>
      </c>
    </row>
    <row r="12305" spans="1:1" x14ac:dyDescent="0.35">
      <c r="A12305" s="4">
        <v>4500237928</v>
      </c>
    </row>
    <row r="12306" spans="1:1" x14ac:dyDescent="0.35">
      <c r="A12306" s="4">
        <v>4500237930</v>
      </c>
    </row>
    <row r="12307" spans="1:1" x14ac:dyDescent="0.35">
      <c r="A12307" s="4">
        <v>4500237931</v>
      </c>
    </row>
    <row r="12308" spans="1:1" x14ac:dyDescent="0.35">
      <c r="A12308" s="4">
        <v>4500237933</v>
      </c>
    </row>
    <row r="12309" spans="1:1" x14ac:dyDescent="0.35">
      <c r="A12309" s="4">
        <v>4500237934</v>
      </c>
    </row>
    <row r="12310" spans="1:1" x14ac:dyDescent="0.35">
      <c r="A12310" s="4">
        <v>4500237935</v>
      </c>
    </row>
    <row r="12311" spans="1:1" x14ac:dyDescent="0.35">
      <c r="A12311" s="4">
        <v>4500237936</v>
      </c>
    </row>
    <row r="12312" spans="1:1" x14ac:dyDescent="0.35">
      <c r="A12312" s="4">
        <v>4500237937</v>
      </c>
    </row>
    <row r="12313" spans="1:1" x14ac:dyDescent="0.35">
      <c r="A12313" s="4">
        <v>4500237938</v>
      </c>
    </row>
    <row r="12314" spans="1:1" x14ac:dyDescent="0.35">
      <c r="A12314" s="4">
        <v>4500237939</v>
      </c>
    </row>
    <row r="12315" spans="1:1" x14ac:dyDescent="0.35">
      <c r="A12315" s="4">
        <v>4500237940</v>
      </c>
    </row>
    <row r="12316" spans="1:1" x14ac:dyDescent="0.35">
      <c r="A12316" s="4">
        <v>4500238049</v>
      </c>
    </row>
    <row r="12317" spans="1:1" x14ac:dyDescent="0.35">
      <c r="A12317" s="4">
        <v>4500238060</v>
      </c>
    </row>
    <row r="12318" spans="1:1" x14ac:dyDescent="0.35">
      <c r="A12318" s="4">
        <v>4500238062</v>
      </c>
    </row>
    <row r="12319" spans="1:1" x14ac:dyDescent="0.35">
      <c r="A12319" s="4">
        <v>4500238073</v>
      </c>
    </row>
    <row r="12320" spans="1:1" x14ac:dyDescent="0.35">
      <c r="A12320" s="4">
        <v>4500238077</v>
      </c>
    </row>
    <row r="12321" spans="1:1" x14ac:dyDescent="0.35">
      <c r="A12321" s="4">
        <v>4500238080</v>
      </c>
    </row>
    <row r="12322" spans="1:1" x14ac:dyDescent="0.35">
      <c r="A12322" s="4">
        <v>4500238086</v>
      </c>
    </row>
    <row r="12323" spans="1:1" x14ac:dyDescent="0.35">
      <c r="A12323" s="4">
        <v>4500238088</v>
      </c>
    </row>
    <row r="12324" spans="1:1" x14ac:dyDescent="0.35">
      <c r="A12324" s="4">
        <v>4500238094</v>
      </c>
    </row>
    <row r="12325" spans="1:1" x14ac:dyDescent="0.35">
      <c r="A12325" s="4">
        <v>4500238099</v>
      </c>
    </row>
    <row r="12326" spans="1:1" x14ac:dyDescent="0.35">
      <c r="A12326" s="4">
        <v>4500238101</v>
      </c>
    </row>
    <row r="12327" spans="1:1" x14ac:dyDescent="0.35">
      <c r="A12327" s="4">
        <v>4500238105</v>
      </c>
    </row>
    <row r="12328" spans="1:1" x14ac:dyDescent="0.35">
      <c r="A12328" s="4">
        <v>4500238111</v>
      </c>
    </row>
    <row r="12329" spans="1:1" x14ac:dyDescent="0.35">
      <c r="A12329" s="4">
        <v>4500238118</v>
      </c>
    </row>
    <row r="12330" spans="1:1" x14ac:dyDescent="0.35">
      <c r="A12330" s="4">
        <v>4500238119</v>
      </c>
    </row>
    <row r="12331" spans="1:1" x14ac:dyDescent="0.35">
      <c r="A12331" s="4">
        <v>4500238121</v>
      </c>
    </row>
    <row r="12332" spans="1:1" x14ac:dyDescent="0.35">
      <c r="A12332" s="4">
        <v>4500238122</v>
      </c>
    </row>
    <row r="12333" spans="1:1" x14ac:dyDescent="0.35">
      <c r="A12333" s="4">
        <v>4500238228</v>
      </c>
    </row>
    <row r="12334" spans="1:1" x14ac:dyDescent="0.35">
      <c r="A12334" s="4">
        <v>4500238232</v>
      </c>
    </row>
    <row r="12335" spans="1:1" x14ac:dyDescent="0.35">
      <c r="A12335" s="4">
        <v>4500238235</v>
      </c>
    </row>
    <row r="12336" spans="1:1" x14ac:dyDescent="0.35">
      <c r="A12336" s="4">
        <v>4500238241</v>
      </c>
    </row>
    <row r="12337" spans="1:1" x14ac:dyDescent="0.35">
      <c r="A12337" s="4">
        <v>4500238242</v>
      </c>
    </row>
    <row r="12338" spans="1:1" x14ac:dyDescent="0.35">
      <c r="A12338" s="4">
        <v>4500238252</v>
      </c>
    </row>
    <row r="12339" spans="1:1" x14ac:dyDescent="0.35">
      <c r="A12339" s="4">
        <v>4500238254</v>
      </c>
    </row>
    <row r="12340" spans="1:1" x14ac:dyDescent="0.35">
      <c r="A12340" s="4">
        <v>4500238258</v>
      </c>
    </row>
    <row r="12341" spans="1:1" x14ac:dyDescent="0.35">
      <c r="A12341" s="4">
        <v>4500238261</v>
      </c>
    </row>
    <row r="12342" spans="1:1" x14ac:dyDescent="0.35">
      <c r="A12342" s="4">
        <v>4500238268</v>
      </c>
    </row>
    <row r="12343" spans="1:1" x14ac:dyDescent="0.35">
      <c r="A12343" s="4">
        <v>4500238271</v>
      </c>
    </row>
    <row r="12344" spans="1:1" x14ac:dyDescent="0.35">
      <c r="A12344" s="4">
        <v>4500238272</v>
      </c>
    </row>
    <row r="12345" spans="1:1" x14ac:dyDescent="0.35">
      <c r="A12345" s="4">
        <v>4500238275</v>
      </c>
    </row>
    <row r="12346" spans="1:1" x14ac:dyDescent="0.35">
      <c r="A12346" s="4">
        <v>4500238276</v>
      </c>
    </row>
    <row r="12347" spans="1:1" x14ac:dyDescent="0.35">
      <c r="A12347" s="4">
        <v>4500238278</v>
      </c>
    </row>
    <row r="12348" spans="1:1" x14ac:dyDescent="0.35">
      <c r="A12348" s="4">
        <v>4500238279</v>
      </c>
    </row>
    <row r="12349" spans="1:1" x14ac:dyDescent="0.35">
      <c r="A12349" s="4">
        <v>4500238281</v>
      </c>
    </row>
    <row r="12350" spans="1:1" x14ac:dyDescent="0.35">
      <c r="A12350" s="4">
        <v>4500238283</v>
      </c>
    </row>
    <row r="12351" spans="1:1" x14ac:dyDescent="0.35">
      <c r="A12351" s="4">
        <v>4500238284</v>
      </c>
    </row>
    <row r="12352" spans="1:1" x14ac:dyDescent="0.35">
      <c r="A12352" s="4">
        <v>4500238287</v>
      </c>
    </row>
    <row r="12353" spans="1:1" x14ac:dyDescent="0.35">
      <c r="A12353" s="4">
        <v>4500238288</v>
      </c>
    </row>
    <row r="12354" spans="1:1" x14ac:dyDescent="0.35">
      <c r="A12354" s="4">
        <v>4500238289</v>
      </c>
    </row>
    <row r="12355" spans="1:1" x14ac:dyDescent="0.35">
      <c r="A12355" s="4">
        <v>4500238290</v>
      </c>
    </row>
    <row r="12356" spans="1:1" x14ac:dyDescent="0.35">
      <c r="A12356" s="4">
        <v>4500238292</v>
      </c>
    </row>
    <row r="12357" spans="1:1" x14ac:dyDescent="0.35">
      <c r="A12357" s="4">
        <v>4500238410</v>
      </c>
    </row>
    <row r="12358" spans="1:1" x14ac:dyDescent="0.35">
      <c r="A12358" s="4">
        <v>4500238413</v>
      </c>
    </row>
    <row r="12359" spans="1:1" x14ac:dyDescent="0.35">
      <c r="A12359" s="4">
        <v>4500238414</v>
      </c>
    </row>
    <row r="12360" spans="1:1" x14ac:dyDescent="0.35">
      <c r="A12360" s="4">
        <v>4500238418</v>
      </c>
    </row>
    <row r="12361" spans="1:1" x14ac:dyDescent="0.35">
      <c r="A12361" s="4">
        <v>4500238422</v>
      </c>
    </row>
    <row r="12362" spans="1:1" x14ac:dyDescent="0.35">
      <c r="A12362" s="4">
        <v>4500238424</v>
      </c>
    </row>
    <row r="12363" spans="1:1" x14ac:dyDescent="0.35">
      <c r="A12363" s="4">
        <v>4500238429</v>
      </c>
    </row>
    <row r="12364" spans="1:1" x14ac:dyDescent="0.35">
      <c r="A12364" s="4">
        <v>4500238443</v>
      </c>
    </row>
    <row r="12365" spans="1:1" x14ac:dyDescent="0.35">
      <c r="A12365" s="4">
        <v>4500238448</v>
      </c>
    </row>
    <row r="12366" spans="1:1" x14ac:dyDescent="0.35">
      <c r="A12366" s="4">
        <v>4500238452</v>
      </c>
    </row>
    <row r="12367" spans="1:1" x14ac:dyDescent="0.35">
      <c r="A12367" s="4">
        <v>4500238456</v>
      </c>
    </row>
    <row r="12368" spans="1:1" x14ac:dyDescent="0.35">
      <c r="A12368" s="4">
        <v>4500238459</v>
      </c>
    </row>
    <row r="12369" spans="1:1" x14ac:dyDescent="0.35">
      <c r="A12369" s="4">
        <v>4500238461</v>
      </c>
    </row>
    <row r="12370" spans="1:1" x14ac:dyDescent="0.35">
      <c r="A12370" s="4">
        <v>4500238462</v>
      </c>
    </row>
    <row r="12371" spans="1:1" x14ac:dyDescent="0.35">
      <c r="A12371" s="4">
        <v>4500238463</v>
      </c>
    </row>
    <row r="12372" spans="1:1" x14ac:dyDescent="0.35">
      <c r="A12372" s="4">
        <v>4500238464</v>
      </c>
    </row>
    <row r="12373" spans="1:1" x14ac:dyDescent="0.35">
      <c r="A12373" s="4">
        <v>4500238472</v>
      </c>
    </row>
    <row r="12374" spans="1:1" x14ac:dyDescent="0.35">
      <c r="A12374" s="4">
        <v>4500238476</v>
      </c>
    </row>
    <row r="12375" spans="1:1" x14ac:dyDescent="0.35">
      <c r="A12375" s="4">
        <v>4500238478</v>
      </c>
    </row>
    <row r="12376" spans="1:1" x14ac:dyDescent="0.35">
      <c r="A12376" s="4">
        <v>4500238480</v>
      </c>
    </row>
    <row r="12377" spans="1:1" x14ac:dyDescent="0.35">
      <c r="A12377" s="4">
        <v>4500238482</v>
      </c>
    </row>
    <row r="12378" spans="1:1" x14ac:dyDescent="0.35">
      <c r="A12378" s="4">
        <v>4500238483</v>
      </c>
    </row>
    <row r="12379" spans="1:1" x14ac:dyDescent="0.35">
      <c r="A12379" s="4">
        <v>4500238484</v>
      </c>
    </row>
    <row r="12380" spans="1:1" x14ac:dyDescent="0.35">
      <c r="A12380" s="4">
        <v>4500238485</v>
      </c>
    </row>
    <row r="12381" spans="1:1" x14ac:dyDescent="0.35">
      <c r="A12381" s="4">
        <v>4500238489</v>
      </c>
    </row>
    <row r="12382" spans="1:1" x14ac:dyDescent="0.35">
      <c r="A12382" s="4">
        <v>4500238614</v>
      </c>
    </row>
    <row r="12383" spans="1:1" x14ac:dyDescent="0.35">
      <c r="A12383" s="4">
        <v>4500238617</v>
      </c>
    </row>
    <row r="12384" spans="1:1" x14ac:dyDescent="0.35">
      <c r="A12384" s="4">
        <v>4500238624</v>
      </c>
    </row>
    <row r="12385" spans="1:1" x14ac:dyDescent="0.35">
      <c r="A12385" s="4">
        <v>4500238627</v>
      </c>
    </row>
    <row r="12386" spans="1:1" x14ac:dyDescent="0.35">
      <c r="A12386" s="4">
        <v>4500238631</v>
      </c>
    </row>
    <row r="12387" spans="1:1" x14ac:dyDescent="0.35">
      <c r="A12387" s="4">
        <v>4500238637</v>
      </c>
    </row>
    <row r="12388" spans="1:1" x14ac:dyDescent="0.35">
      <c r="A12388" s="4">
        <v>4500238641</v>
      </c>
    </row>
    <row r="12389" spans="1:1" x14ac:dyDescent="0.35">
      <c r="A12389" s="4">
        <v>4500238645</v>
      </c>
    </row>
    <row r="12390" spans="1:1" x14ac:dyDescent="0.35">
      <c r="A12390" s="4">
        <v>4500238650</v>
      </c>
    </row>
    <row r="12391" spans="1:1" x14ac:dyDescent="0.35">
      <c r="A12391" s="4">
        <v>4500238653</v>
      </c>
    </row>
    <row r="12392" spans="1:1" x14ac:dyDescent="0.35">
      <c r="A12392" s="4">
        <v>4500238655</v>
      </c>
    </row>
    <row r="12393" spans="1:1" x14ac:dyDescent="0.35">
      <c r="A12393" s="4">
        <v>4500238662</v>
      </c>
    </row>
    <row r="12394" spans="1:1" x14ac:dyDescent="0.35">
      <c r="A12394" s="4">
        <v>4500238664</v>
      </c>
    </row>
    <row r="12395" spans="1:1" x14ac:dyDescent="0.35">
      <c r="A12395" s="4">
        <v>4500238669</v>
      </c>
    </row>
    <row r="12396" spans="1:1" x14ac:dyDescent="0.35">
      <c r="A12396" s="4">
        <v>4500238679</v>
      </c>
    </row>
    <row r="12397" spans="1:1" x14ac:dyDescent="0.35">
      <c r="A12397" s="4">
        <v>4500238681</v>
      </c>
    </row>
    <row r="12398" spans="1:1" x14ac:dyDescent="0.35">
      <c r="A12398" s="4">
        <v>4500238682</v>
      </c>
    </row>
    <row r="12399" spans="1:1" x14ac:dyDescent="0.35">
      <c r="A12399" s="4">
        <v>4500238684</v>
      </c>
    </row>
    <row r="12400" spans="1:1" x14ac:dyDescent="0.35">
      <c r="A12400" s="4">
        <v>4500238687</v>
      </c>
    </row>
    <row r="12401" spans="1:1" x14ac:dyDescent="0.35">
      <c r="A12401" s="4">
        <v>4500238689</v>
      </c>
    </row>
    <row r="12402" spans="1:1" x14ac:dyDescent="0.35">
      <c r="A12402" s="4">
        <v>4500238692</v>
      </c>
    </row>
    <row r="12403" spans="1:1" x14ac:dyDescent="0.35">
      <c r="A12403" s="4">
        <v>4500238829</v>
      </c>
    </row>
    <row r="12404" spans="1:1" x14ac:dyDescent="0.35">
      <c r="A12404" s="4">
        <v>4500238838</v>
      </c>
    </row>
    <row r="12405" spans="1:1" x14ac:dyDescent="0.35">
      <c r="A12405" s="4">
        <v>4500238839</v>
      </c>
    </row>
    <row r="12406" spans="1:1" x14ac:dyDescent="0.35">
      <c r="A12406" s="4">
        <v>4500238841</v>
      </c>
    </row>
    <row r="12407" spans="1:1" x14ac:dyDescent="0.35">
      <c r="A12407" s="4">
        <v>4500238845</v>
      </c>
    </row>
    <row r="12408" spans="1:1" x14ac:dyDescent="0.35">
      <c r="A12408" s="4">
        <v>4500238848</v>
      </c>
    </row>
    <row r="12409" spans="1:1" x14ac:dyDescent="0.35">
      <c r="A12409" s="4">
        <v>4500238853</v>
      </c>
    </row>
    <row r="12410" spans="1:1" x14ac:dyDescent="0.35">
      <c r="A12410" s="4">
        <v>4500238857</v>
      </c>
    </row>
    <row r="12411" spans="1:1" x14ac:dyDescent="0.35">
      <c r="A12411" s="4">
        <v>4500238860</v>
      </c>
    </row>
    <row r="12412" spans="1:1" x14ac:dyDescent="0.35">
      <c r="A12412" s="4">
        <v>4500238864</v>
      </c>
    </row>
    <row r="12413" spans="1:1" x14ac:dyDescent="0.35">
      <c r="A12413" s="4">
        <v>4500238867</v>
      </c>
    </row>
    <row r="12414" spans="1:1" x14ac:dyDescent="0.35">
      <c r="A12414" s="4">
        <v>4500238874</v>
      </c>
    </row>
    <row r="12415" spans="1:1" x14ac:dyDescent="0.35">
      <c r="A12415" s="4">
        <v>4500238878</v>
      </c>
    </row>
    <row r="12416" spans="1:1" x14ac:dyDescent="0.35">
      <c r="A12416" s="4">
        <v>4500238889</v>
      </c>
    </row>
    <row r="12417" spans="1:1" x14ac:dyDescent="0.35">
      <c r="A12417" s="4">
        <v>4500238895</v>
      </c>
    </row>
    <row r="12418" spans="1:1" x14ac:dyDescent="0.35">
      <c r="A12418" s="4">
        <v>4500238899</v>
      </c>
    </row>
    <row r="12419" spans="1:1" x14ac:dyDescent="0.35">
      <c r="A12419" s="4">
        <v>4500238902</v>
      </c>
    </row>
    <row r="12420" spans="1:1" x14ac:dyDescent="0.35">
      <c r="A12420" s="4">
        <v>4500238906</v>
      </c>
    </row>
    <row r="12421" spans="1:1" x14ac:dyDescent="0.35">
      <c r="A12421" s="4">
        <v>4500238908</v>
      </c>
    </row>
    <row r="12422" spans="1:1" x14ac:dyDescent="0.35">
      <c r="A12422" s="4">
        <v>4500238911</v>
      </c>
    </row>
    <row r="12423" spans="1:1" x14ac:dyDescent="0.35">
      <c r="A12423" s="4">
        <v>4500238914</v>
      </c>
    </row>
    <row r="12424" spans="1:1" x14ac:dyDescent="0.35">
      <c r="A12424" s="4">
        <v>4500238917</v>
      </c>
    </row>
    <row r="12425" spans="1:1" x14ac:dyDescent="0.35">
      <c r="A12425" s="4">
        <v>4500238918</v>
      </c>
    </row>
    <row r="12426" spans="1:1" x14ac:dyDescent="0.35">
      <c r="A12426" s="4">
        <v>4500238919</v>
      </c>
    </row>
    <row r="12427" spans="1:1" x14ac:dyDescent="0.35">
      <c r="A12427" s="4">
        <v>4500238920</v>
      </c>
    </row>
    <row r="12428" spans="1:1" x14ac:dyDescent="0.35">
      <c r="A12428" s="4">
        <v>4500238921</v>
      </c>
    </row>
    <row r="12429" spans="1:1" x14ac:dyDescent="0.35">
      <c r="A12429" s="4">
        <v>4500238922</v>
      </c>
    </row>
    <row r="12430" spans="1:1" x14ac:dyDescent="0.35">
      <c r="A12430" s="4">
        <v>4500238923</v>
      </c>
    </row>
    <row r="12431" spans="1:1" x14ac:dyDescent="0.35">
      <c r="A12431" s="4">
        <v>4500239031</v>
      </c>
    </row>
    <row r="12432" spans="1:1" x14ac:dyDescent="0.35">
      <c r="A12432" s="4">
        <v>4500239035</v>
      </c>
    </row>
    <row r="12433" spans="1:1" x14ac:dyDescent="0.35">
      <c r="A12433" s="4">
        <v>4500239039</v>
      </c>
    </row>
    <row r="12434" spans="1:1" x14ac:dyDescent="0.35">
      <c r="A12434" s="4">
        <v>4500239042</v>
      </c>
    </row>
    <row r="12435" spans="1:1" x14ac:dyDescent="0.35">
      <c r="A12435" s="4">
        <v>4500239046</v>
      </c>
    </row>
    <row r="12436" spans="1:1" x14ac:dyDescent="0.35">
      <c r="A12436" s="4">
        <v>4500239052</v>
      </c>
    </row>
    <row r="12437" spans="1:1" x14ac:dyDescent="0.35">
      <c r="A12437" s="4">
        <v>4500239056</v>
      </c>
    </row>
    <row r="12438" spans="1:1" x14ac:dyDescent="0.35">
      <c r="A12438" s="4">
        <v>4500239059</v>
      </c>
    </row>
    <row r="12439" spans="1:1" x14ac:dyDescent="0.35">
      <c r="A12439" s="4">
        <v>4500239071</v>
      </c>
    </row>
    <row r="12440" spans="1:1" x14ac:dyDescent="0.35">
      <c r="A12440" s="4">
        <v>4500239074</v>
      </c>
    </row>
    <row r="12441" spans="1:1" x14ac:dyDescent="0.35">
      <c r="A12441" s="4">
        <v>4500239076</v>
      </c>
    </row>
    <row r="12442" spans="1:1" x14ac:dyDescent="0.35">
      <c r="A12442" s="4">
        <v>4500239082</v>
      </c>
    </row>
    <row r="12443" spans="1:1" x14ac:dyDescent="0.35">
      <c r="A12443" s="4">
        <v>4500239085</v>
      </c>
    </row>
    <row r="12444" spans="1:1" x14ac:dyDescent="0.35">
      <c r="A12444" s="4">
        <v>4500239087</v>
      </c>
    </row>
    <row r="12445" spans="1:1" x14ac:dyDescent="0.35">
      <c r="A12445" s="4">
        <v>4500239092</v>
      </c>
    </row>
    <row r="12446" spans="1:1" x14ac:dyDescent="0.35">
      <c r="A12446" s="4">
        <v>4500239207</v>
      </c>
    </row>
    <row r="12447" spans="1:1" x14ac:dyDescent="0.35">
      <c r="A12447" s="4">
        <v>4500239210</v>
      </c>
    </row>
    <row r="12448" spans="1:1" x14ac:dyDescent="0.35">
      <c r="A12448" s="4">
        <v>4500239213</v>
      </c>
    </row>
    <row r="12449" spans="1:1" x14ac:dyDescent="0.35">
      <c r="A12449" s="4">
        <v>4500239220</v>
      </c>
    </row>
    <row r="12450" spans="1:1" x14ac:dyDescent="0.35">
      <c r="A12450" s="4">
        <v>4500239227</v>
      </c>
    </row>
    <row r="12451" spans="1:1" x14ac:dyDescent="0.35">
      <c r="A12451" s="4">
        <v>4500239229</v>
      </c>
    </row>
    <row r="12452" spans="1:1" x14ac:dyDescent="0.35">
      <c r="A12452" s="4">
        <v>4500239231</v>
      </c>
    </row>
    <row r="12453" spans="1:1" x14ac:dyDescent="0.35">
      <c r="A12453" s="4">
        <v>4500239234</v>
      </c>
    </row>
    <row r="12454" spans="1:1" x14ac:dyDescent="0.35">
      <c r="A12454" s="4">
        <v>4500239235</v>
      </c>
    </row>
    <row r="12455" spans="1:1" x14ac:dyDescent="0.35">
      <c r="A12455" s="4">
        <v>4500239238</v>
      </c>
    </row>
    <row r="12456" spans="1:1" x14ac:dyDescent="0.35">
      <c r="A12456" s="4">
        <v>4500239241</v>
      </c>
    </row>
    <row r="12457" spans="1:1" x14ac:dyDescent="0.35">
      <c r="A12457" s="4">
        <v>4500239243</v>
      </c>
    </row>
    <row r="12458" spans="1:1" x14ac:dyDescent="0.35">
      <c r="A12458" s="4">
        <v>4500239245</v>
      </c>
    </row>
    <row r="12459" spans="1:1" x14ac:dyDescent="0.35">
      <c r="A12459" s="4">
        <v>4500239247</v>
      </c>
    </row>
    <row r="12460" spans="1:1" x14ac:dyDescent="0.35">
      <c r="A12460" s="4">
        <v>4500239250</v>
      </c>
    </row>
    <row r="12461" spans="1:1" x14ac:dyDescent="0.35">
      <c r="A12461" s="4">
        <v>4500239253</v>
      </c>
    </row>
    <row r="12462" spans="1:1" x14ac:dyDescent="0.35">
      <c r="A12462" s="4">
        <v>4500239259</v>
      </c>
    </row>
    <row r="12463" spans="1:1" x14ac:dyDescent="0.35">
      <c r="A12463" s="4">
        <v>4500239263</v>
      </c>
    </row>
    <row r="12464" spans="1:1" x14ac:dyDescent="0.35">
      <c r="A12464" s="4">
        <v>4500239265</v>
      </c>
    </row>
    <row r="12465" spans="1:1" x14ac:dyDescent="0.35">
      <c r="A12465" s="4">
        <v>4500239266</v>
      </c>
    </row>
    <row r="12466" spans="1:1" x14ac:dyDescent="0.35">
      <c r="A12466" s="4">
        <v>4500239268</v>
      </c>
    </row>
    <row r="12467" spans="1:1" x14ac:dyDescent="0.35">
      <c r="A12467" s="4">
        <v>4500239406</v>
      </c>
    </row>
    <row r="12468" spans="1:1" x14ac:dyDescent="0.35">
      <c r="A12468" s="4">
        <v>4500239408</v>
      </c>
    </row>
    <row r="12469" spans="1:1" x14ac:dyDescent="0.35">
      <c r="A12469" s="4">
        <v>4500239413</v>
      </c>
    </row>
    <row r="12470" spans="1:1" x14ac:dyDescent="0.35">
      <c r="A12470" s="4">
        <v>4500239420</v>
      </c>
    </row>
    <row r="12471" spans="1:1" x14ac:dyDescent="0.35">
      <c r="A12471" s="4">
        <v>4500239422</v>
      </c>
    </row>
    <row r="12472" spans="1:1" x14ac:dyDescent="0.35">
      <c r="A12472" s="4">
        <v>4500239425</v>
      </c>
    </row>
    <row r="12473" spans="1:1" x14ac:dyDescent="0.35">
      <c r="A12473" s="4">
        <v>4500239434</v>
      </c>
    </row>
    <row r="12474" spans="1:1" x14ac:dyDescent="0.35">
      <c r="A12474" s="4">
        <v>4500239436</v>
      </c>
    </row>
    <row r="12475" spans="1:1" x14ac:dyDescent="0.35">
      <c r="A12475" s="4">
        <v>4500239439</v>
      </c>
    </row>
    <row r="12476" spans="1:1" x14ac:dyDescent="0.35">
      <c r="A12476" s="4">
        <v>4500239443</v>
      </c>
    </row>
    <row r="12477" spans="1:1" x14ac:dyDescent="0.35">
      <c r="A12477" s="4">
        <v>4500239446</v>
      </c>
    </row>
    <row r="12478" spans="1:1" x14ac:dyDescent="0.35">
      <c r="A12478" s="4">
        <v>4500239449</v>
      </c>
    </row>
    <row r="12479" spans="1:1" x14ac:dyDescent="0.35">
      <c r="A12479" s="4">
        <v>4500239456</v>
      </c>
    </row>
    <row r="12480" spans="1:1" x14ac:dyDescent="0.35">
      <c r="A12480" s="4">
        <v>4500239458</v>
      </c>
    </row>
    <row r="12481" spans="1:1" x14ac:dyDescent="0.35">
      <c r="A12481" s="4">
        <v>4500239460</v>
      </c>
    </row>
    <row r="12482" spans="1:1" x14ac:dyDescent="0.35">
      <c r="A12482" s="4">
        <v>4500239462</v>
      </c>
    </row>
    <row r="12483" spans="1:1" x14ac:dyDescent="0.35">
      <c r="A12483" s="4">
        <v>4500239463</v>
      </c>
    </row>
    <row r="12484" spans="1:1" x14ac:dyDescent="0.35">
      <c r="A12484" s="4">
        <v>4500239464</v>
      </c>
    </row>
    <row r="12485" spans="1:1" x14ac:dyDescent="0.35">
      <c r="A12485" s="4">
        <v>4500239465</v>
      </c>
    </row>
    <row r="12486" spans="1:1" x14ac:dyDescent="0.35">
      <c r="A12486" s="4">
        <v>4500239466</v>
      </c>
    </row>
    <row r="12487" spans="1:1" x14ac:dyDescent="0.35">
      <c r="A12487" s="4">
        <v>4500239467</v>
      </c>
    </row>
    <row r="12488" spans="1:1" x14ac:dyDescent="0.35">
      <c r="A12488" s="4">
        <v>4500239468</v>
      </c>
    </row>
    <row r="12489" spans="1:1" x14ac:dyDescent="0.35">
      <c r="A12489" s="4">
        <v>4500239637</v>
      </c>
    </row>
    <row r="12490" spans="1:1" x14ac:dyDescent="0.35">
      <c r="A12490" s="4">
        <v>4500239640</v>
      </c>
    </row>
    <row r="12491" spans="1:1" x14ac:dyDescent="0.35">
      <c r="A12491" s="4">
        <v>4500239644</v>
      </c>
    </row>
    <row r="12492" spans="1:1" x14ac:dyDescent="0.35">
      <c r="A12492" s="4">
        <v>4500239655</v>
      </c>
    </row>
    <row r="12493" spans="1:1" x14ac:dyDescent="0.35">
      <c r="A12493" s="4">
        <v>4500239658</v>
      </c>
    </row>
    <row r="12494" spans="1:1" x14ac:dyDescent="0.35">
      <c r="A12494" s="4">
        <v>4500239664</v>
      </c>
    </row>
    <row r="12495" spans="1:1" x14ac:dyDescent="0.35">
      <c r="A12495" s="4">
        <v>4500239668</v>
      </c>
    </row>
    <row r="12496" spans="1:1" x14ac:dyDescent="0.35">
      <c r="A12496" s="4">
        <v>4500239671</v>
      </c>
    </row>
    <row r="12497" spans="1:1" x14ac:dyDescent="0.35">
      <c r="A12497" s="4">
        <v>4500239678</v>
      </c>
    </row>
    <row r="12498" spans="1:1" x14ac:dyDescent="0.35">
      <c r="A12498" s="4">
        <v>4500239684</v>
      </c>
    </row>
    <row r="12499" spans="1:1" x14ac:dyDescent="0.35">
      <c r="A12499" s="4">
        <v>4500239691</v>
      </c>
    </row>
    <row r="12500" spans="1:1" x14ac:dyDescent="0.35">
      <c r="A12500" s="4">
        <v>4500239695</v>
      </c>
    </row>
    <row r="12501" spans="1:1" x14ac:dyDescent="0.35">
      <c r="A12501" s="4">
        <v>4500239700</v>
      </c>
    </row>
    <row r="12502" spans="1:1" x14ac:dyDescent="0.35">
      <c r="A12502" s="4">
        <v>4500239711</v>
      </c>
    </row>
    <row r="12503" spans="1:1" x14ac:dyDescent="0.35">
      <c r="A12503" s="4">
        <v>4500239714</v>
      </c>
    </row>
    <row r="12504" spans="1:1" x14ac:dyDescent="0.35">
      <c r="A12504" s="4">
        <v>4500239716</v>
      </c>
    </row>
    <row r="12505" spans="1:1" x14ac:dyDescent="0.35">
      <c r="A12505" s="4">
        <v>4500239719</v>
      </c>
    </row>
    <row r="12506" spans="1:1" x14ac:dyDescent="0.35">
      <c r="A12506" s="4">
        <v>4500239720</v>
      </c>
    </row>
    <row r="12507" spans="1:1" x14ac:dyDescent="0.35">
      <c r="A12507" s="4">
        <v>4500239721</v>
      </c>
    </row>
    <row r="12508" spans="1:1" x14ac:dyDescent="0.35">
      <c r="A12508" s="4">
        <v>4500239723</v>
      </c>
    </row>
    <row r="12509" spans="1:1" x14ac:dyDescent="0.35">
      <c r="A12509" s="4">
        <v>4500239724</v>
      </c>
    </row>
    <row r="12510" spans="1:1" x14ac:dyDescent="0.35">
      <c r="A12510" s="4">
        <v>4500239726</v>
      </c>
    </row>
    <row r="12511" spans="1:1" x14ac:dyDescent="0.35">
      <c r="A12511" s="4">
        <v>4500239759</v>
      </c>
    </row>
    <row r="12512" spans="1:1" x14ac:dyDescent="0.35">
      <c r="A12512" s="4">
        <v>4500239896</v>
      </c>
    </row>
    <row r="12513" spans="1:1" x14ac:dyDescent="0.35">
      <c r="A12513" s="4">
        <v>4500239900</v>
      </c>
    </row>
    <row r="12514" spans="1:1" x14ac:dyDescent="0.35">
      <c r="A12514" s="4">
        <v>4500239904</v>
      </c>
    </row>
    <row r="12515" spans="1:1" x14ac:dyDescent="0.35">
      <c r="A12515" s="4">
        <v>4500239911</v>
      </c>
    </row>
    <row r="12516" spans="1:1" x14ac:dyDescent="0.35">
      <c r="A12516" s="4">
        <v>4500239915</v>
      </c>
    </row>
    <row r="12517" spans="1:1" x14ac:dyDescent="0.35">
      <c r="A12517" s="4">
        <v>4500239918</v>
      </c>
    </row>
    <row r="12518" spans="1:1" x14ac:dyDescent="0.35">
      <c r="A12518" s="4">
        <v>4500239923</v>
      </c>
    </row>
    <row r="12519" spans="1:1" x14ac:dyDescent="0.35">
      <c r="A12519" s="4">
        <v>4500239925</v>
      </c>
    </row>
    <row r="12520" spans="1:1" x14ac:dyDescent="0.35">
      <c r="A12520" s="4">
        <v>4500239932</v>
      </c>
    </row>
    <row r="12521" spans="1:1" x14ac:dyDescent="0.35">
      <c r="A12521" s="4">
        <v>4500239937</v>
      </c>
    </row>
    <row r="12522" spans="1:1" x14ac:dyDescent="0.35">
      <c r="A12522" s="4">
        <v>4500239940</v>
      </c>
    </row>
    <row r="12523" spans="1:1" x14ac:dyDescent="0.35">
      <c r="A12523" s="4">
        <v>4500239946</v>
      </c>
    </row>
    <row r="12524" spans="1:1" x14ac:dyDescent="0.35">
      <c r="A12524" s="4">
        <v>4500239950</v>
      </c>
    </row>
    <row r="12525" spans="1:1" x14ac:dyDescent="0.35">
      <c r="A12525" s="4">
        <v>4500239954</v>
      </c>
    </row>
    <row r="12526" spans="1:1" x14ac:dyDescent="0.35">
      <c r="A12526" s="4">
        <v>4500239958</v>
      </c>
    </row>
    <row r="12527" spans="1:1" x14ac:dyDescent="0.35">
      <c r="A12527" s="4">
        <v>4500239959</v>
      </c>
    </row>
    <row r="12528" spans="1:1" x14ac:dyDescent="0.35">
      <c r="A12528" s="4">
        <v>4500239960</v>
      </c>
    </row>
    <row r="12529" spans="1:1" x14ac:dyDescent="0.35">
      <c r="A12529" s="4">
        <v>4500239961</v>
      </c>
    </row>
    <row r="12530" spans="1:1" x14ac:dyDescent="0.35">
      <c r="A12530" s="4">
        <v>4500239962</v>
      </c>
    </row>
    <row r="12531" spans="1:1" x14ac:dyDescent="0.35">
      <c r="A12531" s="4">
        <v>4500239963</v>
      </c>
    </row>
    <row r="12532" spans="1:1" x14ac:dyDescent="0.35">
      <c r="A12532" s="4">
        <v>4500239965</v>
      </c>
    </row>
    <row r="12533" spans="1:1" x14ac:dyDescent="0.35">
      <c r="A12533" s="4">
        <v>4500239967</v>
      </c>
    </row>
    <row r="12534" spans="1:1" x14ac:dyDescent="0.35">
      <c r="A12534" s="4">
        <v>4500239979</v>
      </c>
    </row>
    <row r="12535" spans="1:1" x14ac:dyDescent="0.35">
      <c r="A12535" s="4">
        <v>4500239980</v>
      </c>
    </row>
    <row r="12536" spans="1:1" x14ac:dyDescent="0.35">
      <c r="A12536" s="4">
        <v>4500239982</v>
      </c>
    </row>
    <row r="12537" spans="1:1" x14ac:dyDescent="0.35">
      <c r="A12537" s="4">
        <v>4500239984</v>
      </c>
    </row>
    <row r="12538" spans="1:1" x14ac:dyDescent="0.35">
      <c r="A12538" s="4">
        <v>4500239985</v>
      </c>
    </row>
    <row r="12539" spans="1:1" x14ac:dyDescent="0.35">
      <c r="A12539" s="4">
        <v>4500240070</v>
      </c>
    </row>
    <row r="12540" spans="1:1" x14ac:dyDescent="0.35">
      <c r="A12540" s="4">
        <v>4500240092</v>
      </c>
    </row>
    <row r="12541" spans="1:1" x14ac:dyDescent="0.35">
      <c r="A12541" s="4">
        <v>4500240097</v>
      </c>
    </row>
    <row r="12542" spans="1:1" x14ac:dyDescent="0.35">
      <c r="A12542" s="4">
        <v>4500240099</v>
      </c>
    </row>
    <row r="12543" spans="1:1" x14ac:dyDescent="0.35">
      <c r="A12543" s="4">
        <v>4500240111</v>
      </c>
    </row>
    <row r="12544" spans="1:1" x14ac:dyDescent="0.35">
      <c r="A12544" s="4">
        <v>4500240116</v>
      </c>
    </row>
    <row r="12545" spans="1:1" x14ac:dyDescent="0.35">
      <c r="A12545" s="4">
        <v>4500240120</v>
      </c>
    </row>
    <row r="12546" spans="1:1" x14ac:dyDescent="0.35">
      <c r="A12546" s="4">
        <v>4500240124</v>
      </c>
    </row>
    <row r="12547" spans="1:1" x14ac:dyDescent="0.35">
      <c r="A12547" s="4">
        <v>4500240128</v>
      </c>
    </row>
    <row r="12548" spans="1:1" x14ac:dyDescent="0.35">
      <c r="A12548" s="4">
        <v>4500240130</v>
      </c>
    </row>
    <row r="12549" spans="1:1" x14ac:dyDescent="0.35">
      <c r="A12549" s="4">
        <v>4500240132</v>
      </c>
    </row>
    <row r="12550" spans="1:1" x14ac:dyDescent="0.35">
      <c r="A12550" s="4">
        <v>4500240133</v>
      </c>
    </row>
    <row r="12551" spans="1:1" x14ac:dyDescent="0.35">
      <c r="A12551" s="4">
        <v>4500240134</v>
      </c>
    </row>
    <row r="12552" spans="1:1" x14ac:dyDescent="0.35">
      <c r="A12552" s="4">
        <v>4500240135</v>
      </c>
    </row>
    <row r="12553" spans="1:1" x14ac:dyDescent="0.35">
      <c r="A12553" s="4">
        <v>4500240136</v>
      </c>
    </row>
    <row r="12554" spans="1:1" x14ac:dyDescent="0.35">
      <c r="A12554" s="4">
        <v>4500240137</v>
      </c>
    </row>
    <row r="12555" spans="1:1" x14ac:dyDescent="0.35">
      <c r="A12555" s="4">
        <v>4500240139</v>
      </c>
    </row>
    <row r="12556" spans="1:1" x14ac:dyDescent="0.35">
      <c r="A12556" s="4">
        <v>4500240142</v>
      </c>
    </row>
    <row r="12557" spans="1:1" x14ac:dyDescent="0.35">
      <c r="A12557" s="4">
        <v>4500240144</v>
      </c>
    </row>
    <row r="12558" spans="1:1" x14ac:dyDescent="0.35">
      <c r="A12558" s="4">
        <v>4500240145</v>
      </c>
    </row>
    <row r="12559" spans="1:1" x14ac:dyDescent="0.35">
      <c r="A12559" s="4">
        <v>4500240146</v>
      </c>
    </row>
    <row r="12560" spans="1:1" x14ac:dyDescent="0.35">
      <c r="A12560" s="4">
        <v>4500240147</v>
      </c>
    </row>
    <row r="12561" spans="1:1" x14ac:dyDescent="0.35">
      <c r="A12561" s="4">
        <v>4500240279</v>
      </c>
    </row>
    <row r="12562" spans="1:1" x14ac:dyDescent="0.35">
      <c r="A12562" s="4">
        <v>4500240285</v>
      </c>
    </row>
    <row r="12563" spans="1:1" x14ac:dyDescent="0.35">
      <c r="A12563" s="4">
        <v>4500240288</v>
      </c>
    </row>
    <row r="12564" spans="1:1" x14ac:dyDescent="0.35">
      <c r="A12564" s="4">
        <v>4500240290</v>
      </c>
    </row>
    <row r="12565" spans="1:1" x14ac:dyDescent="0.35">
      <c r="A12565" s="4">
        <v>4500240306</v>
      </c>
    </row>
    <row r="12566" spans="1:1" x14ac:dyDescent="0.35">
      <c r="A12566" s="4">
        <v>4500240310</v>
      </c>
    </row>
    <row r="12567" spans="1:1" x14ac:dyDescent="0.35">
      <c r="A12567" s="4">
        <v>4500240313</v>
      </c>
    </row>
    <row r="12568" spans="1:1" x14ac:dyDescent="0.35">
      <c r="A12568" s="4">
        <v>4500240322</v>
      </c>
    </row>
    <row r="12569" spans="1:1" x14ac:dyDescent="0.35">
      <c r="A12569" s="4">
        <v>4500240323</v>
      </c>
    </row>
    <row r="12570" spans="1:1" x14ac:dyDescent="0.35">
      <c r="A12570" s="4">
        <v>4500240324</v>
      </c>
    </row>
    <row r="12571" spans="1:1" x14ac:dyDescent="0.35">
      <c r="A12571" s="4">
        <v>4500240326</v>
      </c>
    </row>
    <row r="12572" spans="1:1" x14ac:dyDescent="0.35">
      <c r="A12572" s="4">
        <v>4500240328</v>
      </c>
    </row>
    <row r="12573" spans="1:1" x14ac:dyDescent="0.35">
      <c r="A12573" s="4">
        <v>4500240330</v>
      </c>
    </row>
    <row r="12574" spans="1:1" x14ac:dyDescent="0.35">
      <c r="A12574" s="4">
        <v>4500240331</v>
      </c>
    </row>
    <row r="12575" spans="1:1" x14ac:dyDescent="0.35">
      <c r="A12575" s="4">
        <v>4500240334</v>
      </c>
    </row>
    <row r="12576" spans="1:1" x14ac:dyDescent="0.35">
      <c r="A12576" s="4">
        <v>4500240341</v>
      </c>
    </row>
    <row r="12577" spans="1:1" x14ac:dyDescent="0.35">
      <c r="A12577" s="4">
        <v>4500240342</v>
      </c>
    </row>
    <row r="12578" spans="1:1" x14ac:dyDescent="0.35">
      <c r="A12578" s="4">
        <v>4500240343</v>
      </c>
    </row>
    <row r="12579" spans="1:1" x14ac:dyDescent="0.35">
      <c r="A12579" s="4">
        <v>4500240344</v>
      </c>
    </row>
    <row r="12580" spans="1:1" x14ac:dyDescent="0.35">
      <c r="A12580" s="4">
        <v>4500240346</v>
      </c>
    </row>
    <row r="12581" spans="1:1" x14ac:dyDescent="0.35">
      <c r="A12581" s="4">
        <v>4500240347</v>
      </c>
    </row>
    <row r="12582" spans="1:1" x14ac:dyDescent="0.35">
      <c r="A12582" s="4">
        <v>4500240348</v>
      </c>
    </row>
    <row r="12583" spans="1:1" x14ac:dyDescent="0.35">
      <c r="A12583" s="4">
        <v>4500240349</v>
      </c>
    </row>
    <row r="12584" spans="1:1" x14ac:dyDescent="0.35">
      <c r="A12584" s="4">
        <v>4500240350</v>
      </c>
    </row>
    <row r="12585" spans="1:1" x14ac:dyDescent="0.35">
      <c r="A12585" s="4">
        <v>4500240352</v>
      </c>
    </row>
    <row r="12586" spans="1:1" x14ac:dyDescent="0.35">
      <c r="A12586" s="4">
        <v>4500240353</v>
      </c>
    </row>
    <row r="12587" spans="1:1" x14ac:dyDescent="0.35">
      <c r="A12587" s="4">
        <v>4500240464</v>
      </c>
    </row>
    <row r="12588" spans="1:1" x14ac:dyDescent="0.35">
      <c r="A12588" s="4">
        <v>4500240465</v>
      </c>
    </row>
    <row r="12589" spans="1:1" x14ac:dyDescent="0.35">
      <c r="A12589" s="4">
        <v>4500240468</v>
      </c>
    </row>
    <row r="12590" spans="1:1" x14ac:dyDescent="0.35">
      <c r="A12590" s="4">
        <v>4500240477</v>
      </c>
    </row>
    <row r="12591" spans="1:1" x14ac:dyDescent="0.35">
      <c r="A12591" s="4">
        <v>4500240481</v>
      </c>
    </row>
    <row r="12592" spans="1:1" x14ac:dyDescent="0.35">
      <c r="A12592" s="4">
        <v>4500240487</v>
      </c>
    </row>
    <row r="12593" spans="1:1" x14ac:dyDescent="0.35">
      <c r="A12593" s="4">
        <v>4500240492</v>
      </c>
    </row>
    <row r="12594" spans="1:1" x14ac:dyDescent="0.35">
      <c r="A12594" s="4">
        <v>4500240500</v>
      </c>
    </row>
    <row r="12595" spans="1:1" x14ac:dyDescent="0.35">
      <c r="A12595" s="4">
        <v>4500240503</v>
      </c>
    </row>
    <row r="12596" spans="1:1" x14ac:dyDescent="0.35">
      <c r="A12596" s="4">
        <v>4500240506</v>
      </c>
    </row>
    <row r="12597" spans="1:1" x14ac:dyDescent="0.35">
      <c r="A12597" s="4">
        <v>4500240509</v>
      </c>
    </row>
    <row r="12598" spans="1:1" x14ac:dyDescent="0.35">
      <c r="A12598" s="4">
        <v>4500240513</v>
      </c>
    </row>
    <row r="12599" spans="1:1" x14ac:dyDescent="0.35">
      <c r="A12599" s="4">
        <v>4500240517</v>
      </c>
    </row>
    <row r="12600" spans="1:1" x14ac:dyDescent="0.35">
      <c r="A12600" s="4">
        <v>4500240521</v>
      </c>
    </row>
    <row r="12601" spans="1:1" x14ac:dyDescent="0.35">
      <c r="A12601" s="4">
        <v>4500240524</v>
      </c>
    </row>
    <row r="12602" spans="1:1" x14ac:dyDescent="0.35">
      <c r="A12602" s="4">
        <v>4500240526</v>
      </c>
    </row>
    <row r="12603" spans="1:1" x14ac:dyDescent="0.35">
      <c r="A12603" s="4">
        <v>4500240528</v>
      </c>
    </row>
    <row r="12604" spans="1:1" x14ac:dyDescent="0.35">
      <c r="A12604" s="4">
        <v>4500240529</v>
      </c>
    </row>
    <row r="12605" spans="1:1" x14ac:dyDescent="0.35">
      <c r="A12605" s="4">
        <v>4500240530</v>
      </c>
    </row>
    <row r="12606" spans="1:1" x14ac:dyDescent="0.35">
      <c r="A12606" s="4">
        <v>4500240531</v>
      </c>
    </row>
    <row r="12607" spans="1:1" x14ac:dyDescent="0.35">
      <c r="A12607" s="4">
        <v>4500240532</v>
      </c>
    </row>
    <row r="12608" spans="1:1" x14ac:dyDescent="0.35">
      <c r="A12608" s="4">
        <v>4500240533</v>
      </c>
    </row>
    <row r="12609" spans="1:1" x14ac:dyDescent="0.35">
      <c r="A12609" s="4">
        <v>4500240651</v>
      </c>
    </row>
    <row r="12610" spans="1:1" x14ac:dyDescent="0.35">
      <c r="A12610" s="4">
        <v>4500240654</v>
      </c>
    </row>
    <row r="12611" spans="1:1" x14ac:dyDescent="0.35">
      <c r="A12611" s="4">
        <v>4500240658</v>
      </c>
    </row>
    <row r="12612" spans="1:1" x14ac:dyDescent="0.35">
      <c r="A12612" s="4">
        <v>4500240662</v>
      </c>
    </row>
    <row r="12613" spans="1:1" x14ac:dyDescent="0.35">
      <c r="A12613" s="4">
        <v>4500240667</v>
      </c>
    </row>
    <row r="12614" spans="1:1" x14ac:dyDescent="0.35">
      <c r="A12614" s="4">
        <v>4500240672</v>
      </c>
    </row>
    <row r="12615" spans="1:1" x14ac:dyDescent="0.35">
      <c r="A12615" s="4">
        <v>4500240684</v>
      </c>
    </row>
    <row r="12616" spans="1:1" x14ac:dyDescent="0.35">
      <c r="A12616" s="4">
        <v>4500240687</v>
      </c>
    </row>
    <row r="12617" spans="1:1" x14ac:dyDescent="0.35">
      <c r="A12617" s="4">
        <v>4500240695</v>
      </c>
    </row>
    <row r="12618" spans="1:1" x14ac:dyDescent="0.35">
      <c r="A12618" s="4">
        <v>4500240701</v>
      </c>
    </row>
    <row r="12619" spans="1:1" x14ac:dyDescent="0.35">
      <c r="A12619" s="4">
        <v>4500240715</v>
      </c>
    </row>
    <row r="12620" spans="1:1" x14ac:dyDescent="0.35">
      <c r="A12620" s="4">
        <v>4500240723</v>
      </c>
    </row>
    <row r="12621" spans="1:1" x14ac:dyDescent="0.35">
      <c r="A12621" s="4">
        <v>4500240726</v>
      </c>
    </row>
    <row r="12622" spans="1:1" x14ac:dyDescent="0.35">
      <c r="A12622" s="4">
        <v>4500240730</v>
      </c>
    </row>
    <row r="12623" spans="1:1" x14ac:dyDescent="0.35">
      <c r="A12623" s="4">
        <v>4500240735</v>
      </c>
    </row>
    <row r="12624" spans="1:1" x14ac:dyDescent="0.35">
      <c r="A12624" s="4">
        <v>4500240736</v>
      </c>
    </row>
    <row r="12625" spans="1:1" x14ac:dyDescent="0.35">
      <c r="A12625" s="4">
        <v>4500240737</v>
      </c>
    </row>
    <row r="12626" spans="1:1" x14ac:dyDescent="0.35">
      <c r="A12626" s="4">
        <v>4500240738</v>
      </c>
    </row>
    <row r="12627" spans="1:1" x14ac:dyDescent="0.35">
      <c r="A12627" s="4">
        <v>4500240896</v>
      </c>
    </row>
    <row r="12628" spans="1:1" x14ac:dyDescent="0.35">
      <c r="A12628" s="4">
        <v>4500240901</v>
      </c>
    </row>
    <row r="12629" spans="1:1" x14ac:dyDescent="0.35">
      <c r="A12629" s="4">
        <v>4500240924</v>
      </c>
    </row>
    <row r="12630" spans="1:1" x14ac:dyDescent="0.35">
      <c r="A12630" s="4">
        <v>4500240929</v>
      </c>
    </row>
    <row r="12631" spans="1:1" x14ac:dyDescent="0.35">
      <c r="A12631" s="4">
        <v>4500240933</v>
      </c>
    </row>
    <row r="12632" spans="1:1" x14ac:dyDescent="0.35">
      <c r="A12632" s="4">
        <v>4500240940</v>
      </c>
    </row>
    <row r="12633" spans="1:1" x14ac:dyDescent="0.35">
      <c r="A12633" s="4">
        <v>4500240943</v>
      </c>
    </row>
    <row r="12634" spans="1:1" x14ac:dyDescent="0.35">
      <c r="A12634" s="4">
        <v>4500240948</v>
      </c>
    </row>
    <row r="12635" spans="1:1" x14ac:dyDescent="0.35">
      <c r="A12635" s="4">
        <v>4500240952</v>
      </c>
    </row>
    <row r="12636" spans="1:1" x14ac:dyDescent="0.35">
      <c r="A12636" s="4">
        <v>4500240957</v>
      </c>
    </row>
    <row r="12637" spans="1:1" x14ac:dyDescent="0.35">
      <c r="A12637" s="4">
        <v>4500240958</v>
      </c>
    </row>
    <row r="12638" spans="1:1" x14ac:dyDescent="0.35">
      <c r="A12638" s="4">
        <v>4500240960</v>
      </c>
    </row>
    <row r="12639" spans="1:1" x14ac:dyDescent="0.35">
      <c r="A12639" s="4">
        <v>4500240961</v>
      </c>
    </row>
    <row r="12640" spans="1:1" x14ac:dyDescent="0.35">
      <c r="A12640" s="4">
        <v>4500240962</v>
      </c>
    </row>
    <row r="12641" spans="1:1" x14ac:dyDescent="0.35">
      <c r="A12641" s="4">
        <v>4500240963</v>
      </c>
    </row>
    <row r="12642" spans="1:1" x14ac:dyDescent="0.35">
      <c r="A12642" s="4">
        <v>4500240964</v>
      </c>
    </row>
    <row r="12643" spans="1:1" x14ac:dyDescent="0.35">
      <c r="A12643" s="4">
        <v>4500240965</v>
      </c>
    </row>
    <row r="12644" spans="1:1" x14ac:dyDescent="0.35">
      <c r="A12644" s="4">
        <v>4500240966</v>
      </c>
    </row>
    <row r="12645" spans="1:1" x14ac:dyDescent="0.35">
      <c r="A12645" s="4">
        <v>4500240967</v>
      </c>
    </row>
    <row r="12646" spans="1:1" x14ac:dyDescent="0.35">
      <c r="A12646" s="4">
        <v>4500240968</v>
      </c>
    </row>
    <row r="12647" spans="1:1" x14ac:dyDescent="0.35">
      <c r="A12647" s="4">
        <v>4500240969</v>
      </c>
    </row>
    <row r="12648" spans="1:1" x14ac:dyDescent="0.35">
      <c r="A12648" s="4">
        <v>4500240970</v>
      </c>
    </row>
    <row r="12649" spans="1:1" x14ac:dyDescent="0.35">
      <c r="A12649" s="4">
        <v>4500240971</v>
      </c>
    </row>
    <row r="12650" spans="1:1" x14ac:dyDescent="0.35">
      <c r="A12650" s="4">
        <v>4500240972</v>
      </c>
    </row>
    <row r="12651" spans="1:1" x14ac:dyDescent="0.35">
      <c r="A12651" s="4">
        <v>4500240973</v>
      </c>
    </row>
    <row r="12652" spans="1:1" x14ac:dyDescent="0.35">
      <c r="A12652" s="4">
        <v>4500241066</v>
      </c>
    </row>
    <row r="12653" spans="1:1" x14ac:dyDescent="0.35">
      <c r="A12653" s="4">
        <v>4500241074</v>
      </c>
    </row>
    <row r="12654" spans="1:1" x14ac:dyDescent="0.35">
      <c r="A12654" s="4">
        <v>4500241082</v>
      </c>
    </row>
    <row r="12655" spans="1:1" x14ac:dyDescent="0.35">
      <c r="A12655" s="4">
        <v>4500241085</v>
      </c>
    </row>
    <row r="12656" spans="1:1" x14ac:dyDescent="0.35">
      <c r="A12656" s="4">
        <v>4500241089</v>
      </c>
    </row>
    <row r="12657" spans="1:1" x14ac:dyDescent="0.35">
      <c r="A12657" s="4">
        <v>4500241106</v>
      </c>
    </row>
    <row r="12658" spans="1:1" x14ac:dyDescent="0.35">
      <c r="A12658" s="4">
        <v>4500241112</v>
      </c>
    </row>
    <row r="12659" spans="1:1" x14ac:dyDescent="0.35">
      <c r="A12659" s="4">
        <v>4500241115</v>
      </c>
    </row>
    <row r="12660" spans="1:1" x14ac:dyDescent="0.35">
      <c r="A12660" s="4">
        <v>4500241124</v>
      </c>
    </row>
    <row r="12661" spans="1:1" x14ac:dyDescent="0.35">
      <c r="A12661" s="4">
        <v>4500241126</v>
      </c>
    </row>
    <row r="12662" spans="1:1" x14ac:dyDescent="0.35">
      <c r="A12662" s="4">
        <v>4500241127</v>
      </c>
    </row>
    <row r="12663" spans="1:1" x14ac:dyDescent="0.35">
      <c r="A12663" s="4">
        <v>4500241128</v>
      </c>
    </row>
    <row r="12664" spans="1:1" x14ac:dyDescent="0.35">
      <c r="A12664" s="4">
        <v>4500241137</v>
      </c>
    </row>
    <row r="12665" spans="1:1" x14ac:dyDescent="0.35">
      <c r="A12665" s="4">
        <v>4500241249</v>
      </c>
    </row>
    <row r="12666" spans="1:1" x14ac:dyDescent="0.35">
      <c r="A12666" s="4">
        <v>4500241250</v>
      </c>
    </row>
    <row r="12667" spans="1:1" x14ac:dyDescent="0.35">
      <c r="A12667" s="4">
        <v>4500241252</v>
      </c>
    </row>
    <row r="12668" spans="1:1" x14ac:dyDescent="0.35">
      <c r="A12668" s="4">
        <v>4500241253</v>
      </c>
    </row>
    <row r="12669" spans="1:1" x14ac:dyDescent="0.35">
      <c r="A12669" s="4">
        <v>4500241256</v>
      </c>
    </row>
    <row r="12670" spans="1:1" x14ac:dyDescent="0.35">
      <c r="A12670" s="4">
        <v>4500241259</v>
      </c>
    </row>
    <row r="12671" spans="1:1" x14ac:dyDescent="0.35">
      <c r="A12671" s="4">
        <v>4500241261</v>
      </c>
    </row>
    <row r="12672" spans="1:1" x14ac:dyDescent="0.35">
      <c r="A12672" s="4">
        <v>4500241266</v>
      </c>
    </row>
    <row r="12673" spans="1:1" x14ac:dyDescent="0.35">
      <c r="A12673" s="4">
        <v>4500241272</v>
      </c>
    </row>
    <row r="12674" spans="1:1" x14ac:dyDescent="0.35">
      <c r="A12674" s="4">
        <v>4500241286</v>
      </c>
    </row>
    <row r="12675" spans="1:1" x14ac:dyDescent="0.35">
      <c r="A12675" s="4">
        <v>4500241287</v>
      </c>
    </row>
    <row r="12676" spans="1:1" x14ac:dyDescent="0.35">
      <c r="A12676" s="4">
        <v>4500241289</v>
      </c>
    </row>
    <row r="12677" spans="1:1" x14ac:dyDescent="0.35">
      <c r="A12677" s="4">
        <v>4500241290</v>
      </c>
    </row>
    <row r="12678" spans="1:1" x14ac:dyDescent="0.35">
      <c r="A12678" s="4">
        <v>4500241294</v>
      </c>
    </row>
    <row r="12679" spans="1:1" x14ac:dyDescent="0.35">
      <c r="A12679" s="4">
        <v>4500241297</v>
      </c>
    </row>
    <row r="12680" spans="1:1" x14ac:dyDescent="0.35">
      <c r="A12680" s="4">
        <v>4500241298</v>
      </c>
    </row>
    <row r="12681" spans="1:1" x14ac:dyDescent="0.35">
      <c r="A12681" s="4">
        <v>4500241300</v>
      </c>
    </row>
    <row r="12682" spans="1:1" x14ac:dyDescent="0.35">
      <c r="A12682" s="4">
        <v>4500241302</v>
      </c>
    </row>
    <row r="12683" spans="1:1" x14ac:dyDescent="0.35">
      <c r="A12683" s="4">
        <v>4500241305</v>
      </c>
    </row>
    <row r="12684" spans="1:1" x14ac:dyDescent="0.35">
      <c r="A12684" s="4">
        <v>4500241307</v>
      </c>
    </row>
    <row r="12685" spans="1:1" x14ac:dyDescent="0.35">
      <c r="A12685" s="4">
        <v>4500241311</v>
      </c>
    </row>
    <row r="12686" spans="1:1" x14ac:dyDescent="0.35">
      <c r="A12686" s="4">
        <v>4500241314</v>
      </c>
    </row>
    <row r="12687" spans="1:1" x14ac:dyDescent="0.35">
      <c r="A12687" s="4">
        <v>4500241316</v>
      </c>
    </row>
    <row r="12688" spans="1:1" x14ac:dyDescent="0.35">
      <c r="A12688" s="4">
        <v>4500241317</v>
      </c>
    </row>
    <row r="12689" spans="1:1" x14ac:dyDescent="0.35">
      <c r="A12689" s="4">
        <v>4500241451</v>
      </c>
    </row>
    <row r="12690" spans="1:1" x14ac:dyDescent="0.35">
      <c r="A12690" s="4">
        <v>4500241455</v>
      </c>
    </row>
    <row r="12691" spans="1:1" x14ac:dyDescent="0.35">
      <c r="A12691" s="4">
        <v>4500241457</v>
      </c>
    </row>
    <row r="12692" spans="1:1" x14ac:dyDescent="0.35">
      <c r="A12692" s="4">
        <v>4500241459</v>
      </c>
    </row>
    <row r="12693" spans="1:1" x14ac:dyDescent="0.35">
      <c r="A12693" s="4">
        <v>4500241461</v>
      </c>
    </row>
    <row r="12694" spans="1:1" x14ac:dyDescent="0.35">
      <c r="A12694" s="4">
        <v>4500241464</v>
      </c>
    </row>
    <row r="12695" spans="1:1" x14ac:dyDescent="0.35">
      <c r="A12695" s="4">
        <v>4500241466</v>
      </c>
    </row>
    <row r="12696" spans="1:1" x14ac:dyDescent="0.35">
      <c r="A12696" s="4">
        <v>4500241471</v>
      </c>
    </row>
    <row r="12697" spans="1:1" x14ac:dyDescent="0.35">
      <c r="A12697" s="4">
        <v>4500241474</v>
      </c>
    </row>
    <row r="12698" spans="1:1" x14ac:dyDescent="0.35">
      <c r="A12698" s="4">
        <v>4500241478</v>
      </c>
    </row>
    <row r="12699" spans="1:1" x14ac:dyDescent="0.35">
      <c r="A12699" s="4">
        <v>4500241481</v>
      </c>
    </row>
    <row r="12700" spans="1:1" x14ac:dyDescent="0.35">
      <c r="A12700" s="4">
        <v>4500241483</v>
      </c>
    </row>
    <row r="12701" spans="1:1" x14ac:dyDescent="0.35">
      <c r="A12701" s="4">
        <v>4500241484</v>
      </c>
    </row>
    <row r="12702" spans="1:1" x14ac:dyDescent="0.35">
      <c r="A12702" s="4">
        <v>4500241486</v>
      </c>
    </row>
    <row r="12703" spans="1:1" x14ac:dyDescent="0.35">
      <c r="A12703" s="4">
        <v>4500241488</v>
      </c>
    </row>
    <row r="12704" spans="1:1" x14ac:dyDescent="0.35">
      <c r="A12704" s="4">
        <v>4500241489</v>
      </c>
    </row>
    <row r="12705" spans="1:1" x14ac:dyDescent="0.35">
      <c r="A12705" s="4">
        <v>4500241491</v>
      </c>
    </row>
    <row r="12706" spans="1:1" x14ac:dyDescent="0.35">
      <c r="A12706" s="4">
        <v>4500241492</v>
      </c>
    </row>
    <row r="12707" spans="1:1" x14ac:dyDescent="0.35">
      <c r="A12707" s="4">
        <v>4500241493</v>
      </c>
    </row>
    <row r="12708" spans="1:1" x14ac:dyDescent="0.35">
      <c r="A12708" s="4">
        <v>4500241494</v>
      </c>
    </row>
    <row r="12709" spans="1:1" x14ac:dyDescent="0.35">
      <c r="A12709" s="4">
        <v>4500241495</v>
      </c>
    </row>
    <row r="12710" spans="1:1" x14ac:dyDescent="0.35">
      <c r="A12710" s="4">
        <v>4500241496</v>
      </c>
    </row>
    <row r="12711" spans="1:1" x14ac:dyDescent="0.35">
      <c r="A12711" s="4">
        <v>4500241497</v>
      </c>
    </row>
    <row r="12712" spans="1:1" x14ac:dyDescent="0.35">
      <c r="A12712" s="4">
        <v>4500241615</v>
      </c>
    </row>
    <row r="12713" spans="1:1" x14ac:dyDescent="0.35">
      <c r="A12713" s="4">
        <v>4500241624</v>
      </c>
    </row>
    <row r="12714" spans="1:1" x14ac:dyDescent="0.35">
      <c r="A12714" s="4">
        <v>4500241629</v>
      </c>
    </row>
    <row r="12715" spans="1:1" x14ac:dyDescent="0.35">
      <c r="A12715" s="4">
        <v>4500241633</v>
      </c>
    </row>
    <row r="12716" spans="1:1" x14ac:dyDescent="0.35">
      <c r="A12716" s="4">
        <v>4500241638</v>
      </c>
    </row>
    <row r="12717" spans="1:1" x14ac:dyDescent="0.35">
      <c r="A12717" s="4">
        <v>4500241643</v>
      </c>
    </row>
    <row r="12718" spans="1:1" x14ac:dyDescent="0.35">
      <c r="A12718" s="4">
        <v>4500241646</v>
      </c>
    </row>
    <row r="12719" spans="1:1" x14ac:dyDescent="0.35">
      <c r="A12719" s="4">
        <v>4500241648</v>
      </c>
    </row>
    <row r="12720" spans="1:1" x14ac:dyDescent="0.35">
      <c r="A12720" s="4">
        <v>4500241657</v>
      </c>
    </row>
    <row r="12721" spans="1:1" x14ac:dyDescent="0.35">
      <c r="A12721" s="4">
        <v>4500241660</v>
      </c>
    </row>
    <row r="12722" spans="1:1" x14ac:dyDescent="0.35">
      <c r="A12722" s="4">
        <v>4500241665</v>
      </c>
    </row>
    <row r="12723" spans="1:1" x14ac:dyDescent="0.35">
      <c r="A12723" s="4">
        <v>4500241669</v>
      </c>
    </row>
    <row r="12724" spans="1:1" x14ac:dyDescent="0.35">
      <c r="A12724" s="4">
        <v>4500241675</v>
      </c>
    </row>
    <row r="12725" spans="1:1" x14ac:dyDescent="0.35">
      <c r="A12725" s="4">
        <v>4500241679</v>
      </c>
    </row>
    <row r="12726" spans="1:1" x14ac:dyDescent="0.35">
      <c r="A12726" s="4">
        <v>4500241680</v>
      </c>
    </row>
    <row r="12727" spans="1:1" x14ac:dyDescent="0.35">
      <c r="A12727" s="4">
        <v>4500241682</v>
      </c>
    </row>
    <row r="12728" spans="1:1" x14ac:dyDescent="0.35">
      <c r="A12728" s="4">
        <v>4500241686</v>
      </c>
    </row>
    <row r="12729" spans="1:1" x14ac:dyDescent="0.35">
      <c r="A12729" s="4">
        <v>4500241692</v>
      </c>
    </row>
    <row r="12730" spans="1:1" x14ac:dyDescent="0.35">
      <c r="A12730" s="4">
        <v>4500241696</v>
      </c>
    </row>
    <row r="12731" spans="1:1" x14ac:dyDescent="0.35">
      <c r="A12731" s="4">
        <v>4500241698</v>
      </c>
    </row>
    <row r="12732" spans="1:1" x14ac:dyDescent="0.35">
      <c r="A12732" s="4">
        <v>4500241704</v>
      </c>
    </row>
    <row r="12733" spans="1:1" x14ac:dyDescent="0.35">
      <c r="A12733" s="4">
        <v>4500241706</v>
      </c>
    </row>
    <row r="12734" spans="1:1" x14ac:dyDescent="0.35">
      <c r="A12734" s="4">
        <v>4500241789</v>
      </c>
    </row>
    <row r="12735" spans="1:1" x14ac:dyDescent="0.35">
      <c r="A12735" s="4">
        <v>4500241886</v>
      </c>
    </row>
    <row r="12736" spans="1:1" x14ac:dyDescent="0.35">
      <c r="A12736" s="4">
        <v>4500241890</v>
      </c>
    </row>
    <row r="12737" spans="1:1" x14ac:dyDescent="0.35">
      <c r="A12737" s="4">
        <v>4500241894</v>
      </c>
    </row>
    <row r="12738" spans="1:1" x14ac:dyDescent="0.35">
      <c r="A12738" s="4">
        <v>4500241900</v>
      </c>
    </row>
    <row r="12739" spans="1:1" x14ac:dyDescent="0.35">
      <c r="A12739" s="4">
        <v>4500241903</v>
      </c>
    </row>
    <row r="12740" spans="1:1" x14ac:dyDescent="0.35">
      <c r="A12740" s="4">
        <v>4500241906</v>
      </c>
    </row>
    <row r="12741" spans="1:1" x14ac:dyDescent="0.35">
      <c r="A12741" s="4">
        <v>4500241910</v>
      </c>
    </row>
    <row r="12742" spans="1:1" x14ac:dyDescent="0.35">
      <c r="A12742" s="4">
        <v>4500241914</v>
      </c>
    </row>
    <row r="12743" spans="1:1" x14ac:dyDescent="0.35">
      <c r="A12743" s="4">
        <v>4500241917</v>
      </c>
    </row>
    <row r="12744" spans="1:1" x14ac:dyDescent="0.35">
      <c r="A12744" s="4">
        <v>4500241922</v>
      </c>
    </row>
    <row r="12745" spans="1:1" x14ac:dyDescent="0.35">
      <c r="A12745" s="4">
        <v>4500241924</v>
      </c>
    </row>
    <row r="12746" spans="1:1" x14ac:dyDescent="0.35">
      <c r="A12746" s="4">
        <v>4500241927</v>
      </c>
    </row>
    <row r="12747" spans="1:1" x14ac:dyDescent="0.35">
      <c r="A12747" s="4">
        <v>4500241930</v>
      </c>
    </row>
    <row r="12748" spans="1:1" x14ac:dyDescent="0.35">
      <c r="A12748" s="4">
        <v>4500241934</v>
      </c>
    </row>
    <row r="12749" spans="1:1" x14ac:dyDescent="0.35">
      <c r="A12749" s="4">
        <v>4500241936</v>
      </c>
    </row>
    <row r="12750" spans="1:1" x14ac:dyDescent="0.35">
      <c r="A12750" s="4">
        <v>4500241939</v>
      </c>
    </row>
    <row r="12751" spans="1:1" x14ac:dyDescent="0.35">
      <c r="A12751" s="4">
        <v>4500241945</v>
      </c>
    </row>
    <row r="12752" spans="1:1" x14ac:dyDescent="0.35">
      <c r="A12752" s="4">
        <v>4500241949</v>
      </c>
    </row>
    <row r="12753" spans="1:1" x14ac:dyDescent="0.35">
      <c r="A12753" s="4">
        <v>4500241952</v>
      </c>
    </row>
    <row r="12754" spans="1:1" x14ac:dyDescent="0.35">
      <c r="A12754" s="4">
        <v>4500241954</v>
      </c>
    </row>
    <row r="12755" spans="1:1" x14ac:dyDescent="0.35">
      <c r="A12755" s="4">
        <v>4500241956</v>
      </c>
    </row>
    <row r="12756" spans="1:1" x14ac:dyDescent="0.35">
      <c r="A12756" s="4">
        <v>4500241958</v>
      </c>
    </row>
    <row r="12757" spans="1:1" x14ac:dyDescent="0.35">
      <c r="A12757" s="4">
        <v>4500241962</v>
      </c>
    </row>
    <row r="12758" spans="1:1" x14ac:dyDescent="0.35">
      <c r="A12758" s="4">
        <v>4500241964</v>
      </c>
    </row>
    <row r="12759" spans="1:1" x14ac:dyDescent="0.35">
      <c r="A12759" s="4">
        <v>4500241967</v>
      </c>
    </row>
    <row r="12760" spans="1:1" x14ac:dyDescent="0.35">
      <c r="A12760" s="4">
        <v>4500242082</v>
      </c>
    </row>
    <row r="12761" spans="1:1" x14ac:dyDescent="0.35">
      <c r="A12761" s="4">
        <v>4500242086</v>
      </c>
    </row>
    <row r="12762" spans="1:1" x14ac:dyDescent="0.35">
      <c r="A12762" s="4">
        <v>4500242094</v>
      </c>
    </row>
    <row r="12763" spans="1:1" x14ac:dyDescent="0.35">
      <c r="A12763" s="4">
        <v>4500242098</v>
      </c>
    </row>
    <row r="12764" spans="1:1" x14ac:dyDescent="0.35">
      <c r="A12764" s="4">
        <v>4500242102</v>
      </c>
    </row>
    <row r="12765" spans="1:1" x14ac:dyDescent="0.35">
      <c r="A12765" s="4">
        <v>4500242108</v>
      </c>
    </row>
    <row r="12766" spans="1:1" x14ac:dyDescent="0.35">
      <c r="A12766" s="4">
        <v>4500242114</v>
      </c>
    </row>
    <row r="12767" spans="1:1" x14ac:dyDescent="0.35">
      <c r="A12767" s="4">
        <v>4500242116</v>
      </c>
    </row>
    <row r="12768" spans="1:1" x14ac:dyDescent="0.35">
      <c r="A12768" s="4">
        <v>4500242118</v>
      </c>
    </row>
    <row r="12769" spans="1:1" x14ac:dyDescent="0.35">
      <c r="A12769" s="4">
        <v>4500242122</v>
      </c>
    </row>
    <row r="12770" spans="1:1" x14ac:dyDescent="0.35">
      <c r="A12770" s="4">
        <v>4500242123</v>
      </c>
    </row>
    <row r="12771" spans="1:1" x14ac:dyDescent="0.35">
      <c r="A12771" s="4">
        <v>4500242127</v>
      </c>
    </row>
    <row r="12772" spans="1:1" x14ac:dyDescent="0.35">
      <c r="A12772" s="4">
        <v>4500242129</v>
      </c>
    </row>
    <row r="12773" spans="1:1" x14ac:dyDescent="0.35">
      <c r="A12773" s="4">
        <v>4500242131</v>
      </c>
    </row>
    <row r="12774" spans="1:1" x14ac:dyDescent="0.35">
      <c r="A12774" s="4">
        <v>4500242133</v>
      </c>
    </row>
    <row r="12775" spans="1:1" x14ac:dyDescent="0.35">
      <c r="A12775" s="4">
        <v>4500242134</v>
      </c>
    </row>
    <row r="12776" spans="1:1" x14ac:dyDescent="0.35">
      <c r="A12776" s="4">
        <v>4500242136</v>
      </c>
    </row>
    <row r="12777" spans="1:1" x14ac:dyDescent="0.35">
      <c r="A12777" s="4">
        <v>4500242138</v>
      </c>
    </row>
    <row r="12778" spans="1:1" x14ac:dyDescent="0.35">
      <c r="A12778" s="4">
        <v>4500242139</v>
      </c>
    </row>
    <row r="12779" spans="1:1" x14ac:dyDescent="0.35">
      <c r="A12779" s="4">
        <v>4500242141</v>
      </c>
    </row>
    <row r="12780" spans="1:1" x14ac:dyDescent="0.35">
      <c r="A12780" s="4">
        <v>4500242156</v>
      </c>
    </row>
    <row r="12781" spans="1:1" x14ac:dyDescent="0.35">
      <c r="A12781" s="4">
        <v>4500242157</v>
      </c>
    </row>
    <row r="12782" spans="1:1" x14ac:dyDescent="0.35">
      <c r="A12782" s="4">
        <v>4500242254</v>
      </c>
    </row>
    <row r="12783" spans="1:1" x14ac:dyDescent="0.35">
      <c r="A12783" s="4">
        <v>4500242277</v>
      </c>
    </row>
    <row r="12784" spans="1:1" x14ac:dyDescent="0.35">
      <c r="A12784" s="4">
        <v>4500242278</v>
      </c>
    </row>
    <row r="12785" spans="1:1" x14ac:dyDescent="0.35">
      <c r="A12785" s="4">
        <v>4500242281</v>
      </c>
    </row>
    <row r="12786" spans="1:1" x14ac:dyDescent="0.35">
      <c r="A12786" s="4">
        <v>4500242287</v>
      </c>
    </row>
    <row r="12787" spans="1:1" x14ac:dyDescent="0.35">
      <c r="A12787" s="4">
        <v>4500242291</v>
      </c>
    </row>
    <row r="12788" spans="1:1" x14ac:dyDescent="0.35">
      <c r="A12788" s="4">
        <v>4500242297</v>
      </c>
    </row>
    <row r="12789" spans="1:1" x14ac:dyDescent="0.35">
      <c r="A12789" s="4">
        <v>4500242299</v>
      </c>
    </row>
    <row r="12790" spans="1:1" x14ac:dyDescent="0.35">
      <c r="A12790" s="4">
        <v>4500242306</v>
      </c>
    </row>
    <row r="12791" spans="1:1" x14ac:dyDescent="0.35">
      <c r="A12791" s="4">
        <v>4500242309</v>
      </c>
    </row>
    <row r="12792" spans="1:1" x14ac:dyDescent="0.35">
      <c r="A12792" s="4">
        <v>4500242314</v>
      </c>
    </row>
    <row r="12793" spans="1:1" x14ac:dyDescent="0.35">
      <c r="A12793" s="4">
        <v>4500242315</v>
      </c>
    </row>
    <row r="12794" spans="1:1" x14ac:dyDescent="0.35">
      <c r="A12794" s="4">
        <v>4500242316</v>
      </c>
    </row>
    <row r="12795" spans="1:1" x14ac:dyDescent="0.35">
      <c r="A12795" s="4">
        <v>4500242326</v>
      </c>
    </row>
    <row r="12796" spans="1:1" x14ac:dyDescent="0.35">
      <c r="A12796" s="4">
        <v>4500242328</v>
      </c>
    </row>
    <row r="12797" spans="1:1" x14ac:dyDescent="0.35">
      <c r="A12797" s="4">
        <v>4500242330</v>
      </c>
    </row>
    <row r="12798" spans="1:1" x14ac:dyDescent="0.35">
      <c r="A12798" s="4">
        <v>4500242332</v>
      </c>
    </row>
    <row r="12799" spans="1:1" x14ac:dyDescent="0.35">
      <c r="A12799" s="4">
        <v>4500242335</v>
      </c>
    </row>
    <row r="12800" spans="1:1" x14ac:dyDescent="0.35">
      <c r="A12800" s="4">
        <v>4500242336</v>
      </c>
    </row>
    <row r="12801" spans="1:1" x14ac:dyDescent="0.35">
      <c r="A12801" s="4">
        <v>4500242338</v>
      </c>
    </row>
    <row r="12802" spans="1:1" x14ac:dyDescent="0.35">
      <c r="A12802" s="4">
        <v>4500242340</v>
      </c>
    </row>
    <row r="12803" spans="1:1" x14ac:dyDescent="0.35">
      <c r="A12803" s="4">
        <v>4500242341</v>
      </c>
    </row>
    <row r="12804" spans="1:1" x14ac:dyDescent="0.35">
      <c r="A12804" s="4">
        <v>4500242345</v>
      </c>
    </row>
    <row r="12805" spans="1:1" x14ac:dyDescent="0.35">
      <c r="A12805" s="4">
        <v>4500242346</v>
      </c>
    </row>
    <row r="12806" spans="1:1" x14ac:dyDescent="0.35">
      <c r="A12806" s="4">
        <v>4500242461</v>
      </c>
    </row>
    <row r="12807" spans="1:1" x14ac:dyDescent="0.35">
      <c r="A12807" s="4">
        <v>4500242471</v>
      </c>
    </row>
    <row r="12808" spans="1:1" x14ac:dyDescent="0.35">
      <c r="A12808" s="4">
        <v>4500242474</v>
      </c>
    </row>
    <row r="12809" spans="1:1" x14ac:dyDescent="0.35">
      <c r="A12809" s="4">
        <v>4500242477</v>
      </c>
    </row>
    <row r="12810" spans="1:1" x14ac:dyDescent="0.35">
      <c r="A12810" s="4">
        <v>4500242483</v>
      </c>
    </row>
    <row r="12811" spans="1:1" x14ac:dyDescent="0.35">
      <c r="A12811" s="4">
        <v>4500242490</v>
      </c>
    </row>
    <row r="12812" spans="1:1" x14ac:dyDescent="0.35">
      <c r="A12812" s="4">
        <v>4500242500</v>
      </c>
    </row>
    <row r="12813" spans="1:1" x14ac:dyDescent="0.35">
      <c r="A12813" s="4">
        <v>4500242503</v>
      </c>
    </row>
    <row r="12814" spans="1:1" x14ac:dyDescent="0.35">
      <c r="A12814" s="4">
        <v>4500242506</v>
      </c>
    </row>
    <row r="12815" spans="1:1" x14ac:dyDescent="0.35">
      <c r="A12815" s="4">
        <v>4500242510</v>
      </c>
    </row>
    <row r="12816" spans="1:1" x14ac:dyDescent="0.35">
      <c r="A12816" s="4">
        <v>4500242513</v>
      </c>
    </row>
    <row r="12817" spans="1:1" x14ac:dyDescent="0.35">
      <c r="A12817" s="4">
        <v>4500242518</v>
      </c>
    </row>
    <row r="12818" spans="1:1" x14ac:dyDescent="0.35">
      <c r="A12818" s="4">
        <v>4500242521</v>
      </c>
    </row>
    <row r="12819" spans="1:1" x14ac:dyDescent="0.35">
      <c r="A12819" s="4">
        <v>4500242529</v>
      </c>
    </row>
    <row r="12820" spans="1:1" x14ac:dyDescent="0.35">
      <c r="A12820" s="4">
        <v>4500242531</v>
      </c>
    </row>
    <row r="12821" spans="1:1" x14ac:dyDescent="0.35">
      <c r="A12821" s="4">
        <v>4500242533</v>
      </c>
    </row>
    <row r="12822" spans="1:1" x14ac:dyDescent="0.35">
      <c r="A12822" s="4">
        <v>4500242535</v>
      </c>
    </row>
    <row r="12823" spans="1:1" x14ac:dyDescent="0.35">
      <c r="A12823" s="4">
        <v>4500242539</v>
      </c>
    </row>
    <row r="12824" spans="1:1" x14ac:dyDescent="0.35">
      <c r="A12824" s="4">
        <v>4500242542</v>
      </c>
    </row>
    <row r="12825" spans="1:1" x14ac:dyDescent="0.35">
      <c r="A12825" s="4">
        <v>4500242544</v>
      </c>
    </row>
    <row r="12826" spans="1:1" x14ac:dyDescent="0.35">
      <c r="A12826" s="4">
        <v>4500242562</v>
      </c>
    </row>
    <row r="12827" spans="1:1" x14ac:dyDescent="0.35">
      <c r="A12827" s="4">
        <v>4500242666</v>
      </c>
    </row>
    <row r="12828" spans="1:1" x14ac:dyDescent="0.35">
      <c r="A12828" s="4">
        <v>4500242671</v>
      </c>
    </row>
    <row r="12829" spans="1:1" x14ac:dyDescent="0.35">
      <c r="A12829" s="4">
        <v>4500242674</v>
      </c>
    </row>
    <row r="12830" spans="1:1" x14ac:dyDescent="0.35">
      <c r="A12830" s="4">
        <v>4500242682</v>
      </c>
    </row>
    <row r="12831" spans="1:1" x14ac:dyDescent="0.35">
      <c r="A12831" s="4">
        <v>4500242687</v>
      </c>
    </row>
    <row r="12832" spans="1:1" x14ac:dyDescent="0.35">
      <c r="A12832" s="4">
        <v>4500242689</v>
      </c>
    </row>
    <row r="12833" spans="1:1" x14ac:dyDescent="0.35">
      <c r="A12833" s="4">
        <v>4500242695</v>
      </c>
    </row>
    <row r="12834" spans="1:1" x14ac:dyDescent="0.35">
      <c r="A12834" s="4">
        <v>4500242699</v>
      </c>
    </row>
    <row r="12835" spans="1:1" x14ac:dyDescent="0.35">
      <c r="A12835" s="4">
        <v>4500242703</v>
      </c>
    </row>
    <row r="12836" spans="1:1" x14ac:dyDescent="0.35">
      <c r="A12836" s="4">
        <v>4500242706</v>
      </c>
    </row>
    <row r="12837" spans="1:1" x14ac:dyDescent="0.35">
      <c r="A12837" s="4">
        <v>4500242717</v>
      </c>
    </row>
    <row r="12838" spans="1:1" x14ac:dyDescent="0.35">
      <c r="A12838" s="4">
        <v>4500242719</v>
      </c>
    </row>
    <row r="12839" spans="1:1" x14ac:dyDescent="0.35">
      <c r="A12839" s="4">
        <v>4500242720</v>
      </c>
    </row>
    <row r="12840" spans="1:1" x14ac:dyDescent="0.35">
      <c r="A12840" s="4">
        <v>4500242722</v>
      </c>
    </row>
    <row r="12841" spans="1:1" x14ac:dyDescent="0.35">
      <c r="A12841" s="4">
        <v>4500242725</v>
      </c>
    </row>
    <row r="12842" spans="1:1" x14ac:dyDescent="0.35">
      <c r="A12842" s="4">
        <v>4500242727</v>
      </c>
    </row>
    <row r="12843" spans="1:1" x14ac:dyDescent="0.35">
      <c r="A12843" s="4">
        <v>4500242729</v>
      </c>
    </row>
    <row r="12844" spans="1:1" x14ac:dyDescent="0.35">
      <c r="A12844" s="4">
        <v>4500242731</v>
      </c>
    </row>
    <row r="12845" spans="1:1" x14ac:dyDescent="0.35">
      <c r="A12845" s="4">
        <v>4500242733</v>
      </c>
    </row>
    <row r="12846" spans="1:1" x14ac:dyDescent="0.35">
      <c r="A12846" s="4">
        <v>4500242735</v>
      </c>
    </row>
    <row r="12847" spans="1:1" x14ac:dyDescent="0.35">
      <c r="A12847" s="4">
        <v>4500242737</v>
      </c>
    </row>
    <row r="12848" spans="1:1" x14ac:dyDescent="0.35">
      <c r="A12848" s="4">
        <v>4500242740</v>
      </c>
    </row>
    <row r="12849" spans="1:1" x14ac:dyDescent="0.35">
      <c r="A12849" s="4">
        <v>4500242743</v>
      </c>
    </row>
    <row r="12850" spans="1:1" x14ac:dyDescent="0.35">
      <c r="A12850" s="4">
        <v>4500242907</v>
      </c>
    </row>
    <row r="12851" spans="1:1" x14ac:dyDescent="0.35">
      <c r="A12851" s="4">
        <v>4500242910</v>
      </c>
    </row>
    <row r="12852" spans="1:1" x14ac:dyDescent="0.35">
      <c r="A12852" s="4">
        <v>4500242914</v>
      </c>
    </row>
    <row r="12853" spans="1:1" x14ac:dyDescent="0.35">
      <c r="A12853" s="4">
        <v>4500242923</v>
      </c>
    </row>
    <row r="12854" spans="1:1" x14ac:dyDescent="0.35">
      <c r="A12854" s="4">
        <v>4500242927</v>
      </c>
    </row>
    <row r="12855" spans="1:1" x14ac:dyDescent="0.35">
      <c r="A12855" s="4">
        <v>4500242931</v>
      </c>
    </row>
    <row r="12856" spans="1:1" x14ac:dyDescent="0.35">
      <c r="A12856" s="4">
        <v>4500242935</v>
      </c>
    </row>
    <row r="12857" spans="1:1" x14ac:dyDescent="0.35">
      <c r="A12857" s="4">
        <v>4500242939</v>
      </c>
    </row>
    <row r="12858" spans="1:1" x14ac:dyDescent="0.35">
      <c r="A12858" s="4">
        <v>4500242944</v>
      </c>
    </row>
    <row r="12859" spans="1:1" x14ac:dyDescent="0.35">
      <c r="A12859" s="4">
        <v>4500242947</v>
      </c>
    </row>
    <row r="12860" spans="1:1" x14ac:dyDescent="0.35">
      <c r="A12860" s="4">
        <v>4500242951</v>
      </c>
    </row>
    <row r="12861" spans="1:1" x14ac:dyDescent="0.35">
      <c r="A12861" s="4">
        <v>4500242960</v>
      </c>
    </row>
    <row r="12862" spans="1:1" x14ac:dyDescent="0.35">
      <c r="A12862" s="4">
        <v>4500242963</v>
      </c>
    </row>
    <row r="12863" spans="1:1" x14ac:dyDescent="0.35">
      <c r="A12863" s="4">
        <v>4500242965</v>
      </c>
    </row>
    <row r="12864" spans="1:1" x14ac:dyDescent="0.35">
      <c r="A12864" s="4">
        <v>4500242970</v>
      </c>
    </row>
    <row r="12865" spans="1:1" x14ac:dyDescent="0.35">
      <c r="A12865" s="4">
        <v>4500242971</v>
      </c>
    </row>
    <row r="12866" spans="1:1" x14ac:dyDescent="0.35">
      <c r="A12866" s="4">
        <v>4500242974</v>
      </c>
    </row>
    <row r="12867" spans="1:1" x14ac:dyDescent="0.35">
      <c r="A12867" s="4">
        <v>4500242975</v>
      </c>
    </row>
    <row r="12868" spans="1:1" x14ac:dyDescent="0.35">
      <c r="A12868" s="4">
        <v>4500242977</v>
      </c>
    </row>
    <row r="12869" spans="1:1" x14ac:dyDescent="0.35">
      <c r="A12869" s="4">
        <v>4500242979</v>
      </c>
    </row>
    <row r="12870" spans="1:1" x14ac:dyDescent="0.35">
      <c r="A12870" s="4">
        <v>4500242981</v>
      </c>
    </row>
    <row r="12871" spans="1:1" x14ac:dyDescent="0.35">
      <c r="A12871" s="4">
        <v>4500243100</v>
      </c>
    </row>
    <row r="12872" spans="1:1" x14ac:dyDescent="0.35">
      <c r="A12872" s="4">
        <v>4500243108</v>
      </c>
    </row>
    <row r="12873" spans="1:1" x14ac:dyDescent="0.35">
      <c r="A12873" s="4">
        <v>4500243114</v>
      </c>
    </row>
    <row r="12874" spans="1:1" x14ac:dyDescent="0.35">
      <c r="A12874" s="4">
        <v>4500243120</v>
      </c>
    </row>
    <row r="12875" spans="1:1" x14ac:dyDescent="0.35">
      <c r="A12875" s="4">
        <v>4500243122</v>
      </c>
    </row>
    <row r="12876" spans="1:1" x14ac:dyDescent="0.35">
      <c r="A12876" s="4">
        <v>4500243124</v>
      </c>
    </row>
    <row r="12877" spans="1:1" x14ac:dyDescent="0.35">
      <c r="A12877" s="4">
        <v>4500243126</v>
      </c>
    </row>
    <row r="12878" spans="1:1" x14ac:dyDescent="0.35">
      <c r="A12878" s="4">
        <v>4500243128</v>
      </c>
    </row>
    <row r="12879" spans="1:1" x14ac:dyDescent="0.35">
      <c r="A12879" s="4">
        <v>4500243132</v>
      </c>
    </row>
    <row r="12880" spans="1:1" x14ac:dyDescent="0.35">
      <c r="A12880" s="4">
        <v>4500243134</v>
      </c>
    </row>
    <row r="12881" spans="1:1" x14ac:dyDescent="0.35">
      <c r="A12881" s="4">
        <v>4500243137</v>
      </c>
    </row>
    <row r="12882" spans="1:1" x14ac:dyDescent="0.35">
      <c r="A12882" s="4">
        <v>4500243140</v>
      </c>
    </row>
    <row r="12883" spans="1:1" x14ac:dyDescent="0.35">
      <c r="A12883" s="4">
        <v>4500243141</v>
      </c>
    </row>
    <row r="12884" spans="1:1" x14ac:dyDescent="0.35">
      <c r="A12884" s="4">
        <v>4500243146</v>
      </c>
    </row>
    <row r="12885" spans="1:1" x14ac:dyDescent="0.35">
      <c r="A12885" s="4">
        <v>4500243148</v>
      </c>
    </row>
    <row r="12886" spans="1:1" x14ac:dyDescent="0.35">
      <c r="A12886" s="4">
        <v>4500243149</v>
      </c>
    </row>
    <row r="12887" spans="1:1" x14ac:dyDescent="0.35">
      <c r="A12887" s="4">
        <v>4500243151</v>
      </c>
    </row>
    <row r="12888" spans="1:1" x14ac:dyDescent="0.35">
      <c r="A12888" s="4">
        <v>4500243153</v>
      </c>
    </row>
    <row r="12889" spans="1:1" x14ac:dyDescent="0.35">
      <c r="A12889" s="4">
        <v>4500243154</v>
      </c>
    </row>
    <row r="12890" spans="1:1" x14ac:dyDescent="0.35">
      <c r="A12890" s="4">
        <v>4500243155</v>
      </c>
    </row>
    <row r="12891" spans="1:1" x14ac:dyDescent="0.35">
      <c r="A12891" s="4">
        <v>4500243162</v>
      </c>
    </row>
    <row r="12892" spans="1:1" x14ac:dyDescent="0.35">
      <c r="A12892" s="4">
        <v>4500243267</v>
      </c>
    </row>
    <row r="12893" spans="1:1" x14ac:dyDescent="0.35">
      <c r="A12893" s="4">
        <v>4500243272</v>
      </c>
    </row>
    <row r="12894" spans="1:1" x14ac:dyDescent="0.35">
      <c r="A12894" s="4">
        <v>4500243279</v>
      </c>
    </row>
    <row r="12895" spans="1:1" x14ac:dyDescent="0.35">
      <c r="A12895" s="4">
        <v>4500243286</v>
      </c>
    </row>
    <row r="12896" spans="1:1" x14ac:dyDescent="0.35">
      <c r="A12896" s="4">
        <v>4500243299</v>
      </c>
    </row>
    <row r="12897" spans="1:1" x14ac:dyDescent="0.35">
      <c r="A12897" s="4">
        <v>4500243301</v>
      </c>
    </row>
    <row r="12898" spans="1:1" x14ac:dyDescent="0.35">
      <c r="A12898" s="4">
        <v>4500243309</v>
      </c>
    </row>
    <row r="12899" spans="1:1" x14ac:dyDescent="0.35">
      <c r="A12899" s="4">
        <v>4500243312</v>
      </c>
    </row>
    <row r="12900" spans="1:1" x14ac:dyDescent="0.35">
      <c r="A12900" s="4">
        <v>4500243322</v>
      </c>
    </row>
    <row r="12901" spans="1:1" x14ac:dyDescent="0.35">
      <c r="A12901" s="4">
        <v>4500243325</v>
      </c>
    </row>
    <row r="12902" spans="1:1" x14ac:dyDescent="0.35">
      <c r="A12902" s="4">
        <v>4500243332</v>
      </c>
    </row>
    <row r="12903" spans="1:1" x14ac:dyDescent="0.35">
      <c r="A12903" s="4">
        <v>4500243334</v>
      </c>
    </row>
    <row r="12904" spans="1:1" x14ac:dyDescent="0.35">
      <c r="A12904" s="4">
        <v>4500243336</v>
      </c>
    </row>
    <row r="12905" spans="1:1" x14ac:dyDescent="0.35">
      <c r="A12905" s="4">
        <v>4500243337</v>
      </c>
    </row>
    <row r="12906" spans="1:1" x14ac:dyDescent="0.35">
      <c r="A12906" s="4">
        <v>4500243338</v>
      </c>
    </row>
    <row r="12907" spans="1:1" x14ac:dyDescent="0.35">
      <c r="A12907" s="4">
        <v>4500243340</v>
      </c>
    </row>
    <row r="12908" spans="1:1" x14ac:dyDescent="0.35">
      <c r="A12908" s="4">
        <v>4500243345</v>
      </c>
    </row>
    <row r="12909" spans="1:1" x14ac:dyDescent="0.35">
      <c r="A12909" s="4">
        <v>4500243469</v>
      </c>
    </row>
    <row r="12910" spans="1:1" x14ac:dyDescent="0.35">
      <c r="A12910" s="4">
        <v>4500243472</v>
      </c>
    </row>
    <row r="12911" spans="1:1" x14ac:dyDescent="0.35">
      <c r="A12911" s="4">
        <v>4500243474</v>
      </c>
    </row>
    <row r="12912" spans="1:1" x14ac:dyDescent="0.35">
      <c r="A12912" s="4">
        <v>4500243481</v>
      </c>
    </row>
    <row r="12913" spans="1:1" x14ac:dyDescent="0.35">
      <c r="A12913" s="4">
        <v>4500243488</v>
      </c>
    </row>
    <row r="12914" spans="1:1" x14ac:dyDescent="0.35">
      <c r="A12914" s="4">
        <v>4500243490</v>
      </c>
    </row>
    <row r="12915" spans="1:1" x14ac:dyDescent="0.35">
      <c r="A12915" s="4">
        <v>4500243494</v>
      </c>
    </row>
    <row r="12916" spans="1:1" x14ac:dyDescent="0.35">
      <c r="A12916" s="4">
        <v>4500243497</v>
      </c>
    </row>
    <row r="12917" spans="1:1" x14ac:dyDescent="0.35">
      <c r="A12917" s="4">
        <v>4500243500</v>
      </c>
    </row>
    <row r="12918" spans="1:1" x14ac:dyDescent="0.35">
      <c r="A12918" s="4">
        <v>4500243504</v>
      </c>
    </row>
    <row r="12919" spans="1:1" x14ac:dyDescent="0.35">
      <c r="A12919" s="4">
        <v>4500243507</v>
      </c>
    </row>
    <row r="12920" spans="1:1" x14ac:dyDescent="0.35">
      <c r="A12920" s="4">
        <v>4500243509</v>
      </c>
    </row>
    <row r="12921" spans="1:1" x14ac:dyDescent="0.35">
      <c r="A12921" s="4">
        <v>4500243513</v>
      </c>
    </row>
    <row r="12922" spans="1:1" x14ac:dyDescent="0.35">
      <c r="A12922" s="4">
        <v>4500243516</v>
      </c>
    </row>
    <row r="12923" spans="1:1" x14ac:dyDescent="0.35">
      <c r="A12923" s="4">
        <v>4500243518</v>
      </c>
    </row>
    <row r="12924" spans="1:1" x14ac:dyDescent="0.35">
      <c r="A12924" s="4">
        <v>4500243525</v>
      </c>
    </row>
    <row r="12925" spans="1:1" x14ac:dyDescent="0.35">
      <c r="A12925" s="4">
        <v>4500243527</v>
      </c>
    </row>
    <row r="12926" spans="1:1" x14ac:dyDescent="0.35">
      <c r="A12926" s="4">
        <v>4500243531</v>
      </c>
    </row>
    <row r="12927" spans="1:1" x14ac:dyDescent="0.35">
      <c r="A12927" s="4">
        <v>4500243535</v>
      </c>
    </row>
    <row r="12928" spans="1:1" x14ac:dyDescent="0.35">
      <c r="A12928" s="4">
        <v>4500243537</v>
      </c>
    </row>
    <row r="12929" spans="1:1" x14ac:dyDescent="0.35">
      <c r="A12929" s="4">
        <v>4500243539</v>
      </c>
    </row>
    <row r="12930" spans="1:1" x14ac:dyDescent="0.35">
      <c r="A12930" s="4">
        <v>4500243542</v>
      </c>
    </row>
    <row r="12931" spans="1:1" x14ac:dyDescent="0.35">
      <c r="A12931" s="4">
        <v>4500243545</v>
      </c>
    </row>
    <row r="12932" spans="1:1" x14ac:dyDescent="0.35">
      <c r="A12932" s="4">
        <v>4500243547</v>
      </c>
    </row>
    <row r="12933" spans="1:1" x14ac:dyDescent="0.35">
      <c r="A12933" s="4">
        <v>4500243551</v>
      </c>
    </row>
    <row r="12934" spans="1:1" x14ac:dyDescent="0.35">
      <c r="A12934" s="4">
        <v>4500243552</v>
      </c>
    </row>
    <row r="12935" spans="1:1" x14ac:dyDescent="0.35">
      <c r="A12935" s="4">
        <v>4500243554</v>
      </c>
    </row>
    <row r="12936" spans="1:1" x14ac:dyDescent="0.35">
      <c r="A12936" s="4">
        <v>4500243555</v>
      </c>
    </row>
    <row r="12937" spans="1:1" x14ac:dyDescent="0.35">
      <c r="A12937" s="4">
        <v>4500243556</v>
      </c>
    </row>
    <row r="12938" spans="1:1" x14ac:dyDescent="0.35">
      <c r="A12938" s="4">
        <v>4500243557</v>
      </c>
    </row>
    <row r="12939" spans="1:1" x14ac:dyDescent="0.35">
      <c r="A12939" s="4">
        <v>4500243681</v>
      </c>
    </row>
    <row r="12940" spans="1:1" x14ac:dyDescent="0.35">
      <c r="A12940" s="4">
        <v>4500243685</v>
      </c>
    </row>
    <row r="12941" spans="1:1" x14ac:dyDescent="0.35">
      <c r="A12941" s="4">
        <v>4500243690</v>
      </c>
    </row>
    <row r="12942" spans="1:1" x14ac:dyDescent="0.35">
      <c r="A12942" s="4">
        <v>4500243695</v>
      </c>
    </row>
    <row r="12943" spans="1:1" x14ac:dyDescent="0.35">
      <c r="A12943" s="4">
        <v>4500243700</v>
      </c>
    </row>
    <row r="12944" spans="1:1" x14ac:dyDescent="0.35">
      <c r="A12944" s="4">
        <v>4500243705</v>
      </c>
    </row>
    <row r="12945" spans="1:1" x14ac:dyDescent="0.35">
      <c r="A12945" s="4">
        <v>4500243713</v>
      </c>
    </row>
    <row r="12946" spans="1:1" x14ac:dyDescent="0.35">
      <c r="A12946" s="4">
        <v>4500243717</v>
      </c>
    </row>
    <row r="12947" spans="1:1" x14ac:dyDescent="0.35">
      <c r="A12947" s="4">
        <v>4500243720</v>
      </c>
    </row>
    <row r="12948" spans="1:1" x14ac:dyDescent="0.35">
      <c r="A12948" s="4">
        <v>4500243725</v>
      </c>
    </row>
    <row r="12949" spans="1:1" x14ac:dyDescent="0.35">
      <c r="A12949" s="4">
        <v>4500243728</v>
      </c>
    </row>
    <row r="12950" spans="1:1" x14ac:dyDescent="0.35">
      <c r="A12950" s="4">
        <v>4500243730</v>
      </c>
    </row>
    <row r="12951" spans="1:1" x14ac:dyDescent="0.35">
      <c r="A12951" s="4">
        <v>4500243737</v>
      </c>
    </row>
    <row r="12952" spans="1:1" x14ac:dyDescent="0.35">
      <c r="A12952" s="4">
        <v>4500243747</v>
      </c>
    </row>
    <row r="12953" spans="1:1" x14ac:dyDescent="0.35">
      <c r="A12953" s="4">
        <v>4500243749</v>
      </c>
    </row>
    <row r="12954" spans="1:1" x14ac:dyDescent="0.35">
      <c r="A12954" s="4">
        <v>4500243751</v>
      </c>
    </row>
    <row r="12955" spans="1:1" x14ac:dyDescent="0.35">
      <c r="A12955" s="4">
        <v>4500243754</v>
      </c>
    </row>
    <row r="12956" spans="1:1" x14ac:dyDescent="0.35">
      <c r="A12956" s="4">
        <v>4500243761</v>
      </c>
    </row>
    <row r="12957" spans="1:1" x14ac:dyDescent="0.35">
      <c r="A12957" s="4">
        <v>4500243763</v>
      </c>
    </row>
    <row r="12958" spans="1:1" x14ac:dyDescent="0.35">
      <c r="A12958" s="4">
        <v>4500243765</v>
      </c>
    </row>
    <row r="12959" spans="1:1" x14ac:dyDescent="0.35">
      <c r="A12959" s="4">
        <v>4500243771</v>
      </c>
    </row>
    <row r="12960" spans="1:1" x14ac:dyDescent="0.35">
      <c r="A12960" s="4">
        <v>4500243773</v>
      </c>
    </row>
    <row r="12961" spans="1:1" x14ac:dyDescent="0.35">
      <c r="A12961" s="4">
        <v>4500243775</v>
      </c>
    </row>
    <row r="12962" spans="1:1" x14ac:dyDescent="0.35">
      <c r="A12962" s="4">
        <v>4500243778</v>
      </c>
    </row>
    <row r="12963" spans="1:1" x14ac:dyDescent="0.35">
      <c r="A12963" s="4">
        <v>4500243780</v>
      </c>
    </row>
    <row r="12964" spans="1:1" x14ac:dyDescent="0.35">
      <c r="A12964" s="4">
        <v>4500243784</v>
      </c>
    </row>
    <row r="12965" spans="1:1" x14ac:dyDescent="0.35">
      <c r="A12965" s="4">
        <v>4500243787</v>
      </c>
    </row>
    <row r="12966" spans="1:1" x14ac:dyDescent="0.35">
      <c r="A12966" s="4">
        <v>4500243843</v>
      </c>
    </row>
    <row r="12967" spans="1:1" x14ac:dyDescent="0.35">
      <c r="A12967" s="4">
        <v>4500243968</v>
      </c>
    </row>
    <row r="12968" spans="1:1" x14ac:dyDescent="0.35">
      <c r="A12968" s="4">
        <v>4500243973</v>
      </c>
    </row>
    <row r="12969" spans="1:1" x14ac:dyDescent="0.35">
      <c r="A12969" s="4">
        <v>4500243977</v>
      </c>
    </row>
    <row r="12970" spans="1:1" x14ac:dyDescent="0.35">
      <c r="A12970" s="4">
        <v>4500243983</v>
      </c>
    </row>
    <row r="12971" spans="1:1" x14ac:dyDescent="0.35">
      <c r="A12971" s="4">
        <v>4500243988</v>
      </c>
    </row>
    <row r="12972" spans="1:1" x14ac:dyDescent="0.35">
      <c r="A12972" s="4">
        <v>4500243992</v>
      </c>
    </row>
    <row r="12973" spans="1:1" x14ac:dyDescent="0.35">
      <c r="A12973" s="4">
        <v>4500243999</v>
      </c>
    </row>
    <row r="12974" spans="1:1" x14ac:dyDescent="0.35">
      <c r="A12974" s="4">
        <v>4500244005</v>
      </c>
    </row>
    <row r="12975" spans="1:1" x14ac:dyDescent="0.35">
      <c r="A12975" s="4">
        <v>4500244010</v>
      </c>
    </row>
    <row r="12976" spans="1:1" x14ac:dyDescent="0.35">
      <c r="A12976" s="4">
        <v>4500244012</v>
      </c>
    </row>
    <row r="12977" spans="1:1" x14ac:dyDescent="0.35">
      <c r="A12977" s="4">
        <v>4500244017</v>
      </c>
    </row>
    <row r="12978" spans="1:1" x14ac:dyDescent="0.35">
      <c r="A12978" s="4">
        <v>4500244018</v>
      </c>
    </row>
    <row r="12979" spans="1:1" x14ac:dyDescent="0.35">
      <c r="A12979" s="4">
        <v>4500244021</v>
      </c>
    </row>
    <row r="12980" spans="1:1" x14ac:dyDescent="0.35">
      <c r="A12980" s="4">
        <v>4500244022</v>
      </c>
    </row>
    <row r="12981" spans="1:1" x14ac:dyDescent="0.35">
      <c r="A12981" s="4">
        <v>4500244027</v>
      </c>
    </row>
    <row r="12982" spans="1:1" x14ac:dyDescent="0.35">
      <c r="A12982" s="4">
        <v>4500244028</v>
      </c>
    </row>
    <row r="12983" spans="1:1" x14ac:dyDescent="0.35">
      <c r="A12983" s="4">
        <v>4500244031</v>
      </c>
    </row>
    <row r="12984" spans="1:1" x14ac:dyDescent="0.35">
      <c r="A12984" s="4">
        <v>4500244032</v>
      </c>
    </row>
    <row r="12985" spans="1:1" x14ac:dyDescent="0.35">
      <c r="A12985" s="4">
        <v>4500244033</v>
      </c>
    </row>
    <row r="12986" spans="1:1" x14ac:dyDescent="0.35">
      <c r="A12986" s="4">
        <v>4500244034</v>
      </c>
    </row>
    <row r="12987" spans="1:1" x14ac:dyDescent="0.35">
      <c r="A12987" s="4">
        <v>4500244035</v>
      </c>
    </row>
    <row r="12988" spans="1:1" x14ac:dyDescent="0.35">
      <c r="A12988" s="4">
        <v>4500244036</v>
      </c>
    </row>
    <row r="12989" spans="1:1" x14ac:dyDescent="0.35">
      <c r="A12989" s="4">
        <v>4500244038</v>
      </c>
    </row>
    <row r="12990" spans="1:1" x14ac:dyDescent="0.35">
      <c r="A12990" s="4">
        <v>4500244039</v>
      </c>
    </row>
    <row r="12991" spans="1:1" x14ac:dyDescent="0.35">
      <c r="A12991" s="4">
        <v>4500244040</v>
      </c>
    </row>
    <row r="12992" spans="1:1" x14ac:dyDescent="0.35">
      <c r="A12992" s="4">
        <v>4500244153</v>
      </c>
    </row>
    <row r="12993" spans="1:1" x14ac:dyDescent="0.35">
      <c r="A12993" s="4">
        <v>4500244156</v>
      </c>
    </row>
    <row r="12994" spans="1:1" x14ac:dyDescent="0.35">
      <c r="A12994" s="4">
        <v>4500244167</v>
      </c>
    </row>
    <row r="12995" spans="1:1" x14ac:dyDescent="0.35">
      <c r="A12995" s="4">
        <v>4500244170</v>
      </c>
    </row>
    <row r="12996" spans="1:1" x14ac:dyDescent="0.35">
      <c r="A12996" s="4">
        <v>4500244174</v>
      </c>
    </row>
    <row r="12997" spans="1:1" x14ac:dyDescent="0.35">
      <c r="A12997" s="4">
        <v>4500244178</v>
      </c>
    </row>
    <row r="12998" spans="1:1" x14ac:dyDescent="0.35">
      <c r="A12998" s="4">
        <v>4500244182</v>
      </c>
    </row>
    <row r="12999" spans="1:1" x14ac:dyDescent="0.35">
      <c r="A12999" s="4">
        <v>4500244188</v>
      </c>
    </row>
    <row r="13000" spans="1:1" x14ac:dyDescent="0.35">
      <c r="A13000" s="4">
        <v>4500244189</v>
      </c>
    </row>
    <row r="13001" spans="1:1" x14ac:dyDescent="0.35">
      <c r="A13001" s="4">
        <v>4500244190</v>
      </c>
    </row>
    <row r="13002" spans="1:1" x14ac:dyDescent="0.35">
      <c r="A13002" s="4">
        <v>4500244195</v>
      </c>
    </row>
    <row r="13003" spans="1:1" x14ac:dyDescent="0.35">
      <c r="A13003" s="4">
        <v>4500244202</v>
      </c>
    </row>
    <row r="13004" spans="1:1" x14ac:dyDescent="0.35">
      <c r="A13004" s="4">
        <v>4500244204</v>
      </c>
    </row>
    <row r="13005" spans="1:1" x14ac:dyDescent="0.35">
      <c r="A13005" s="4">
        <v>4500244208</v>
      </c>
    </row>
    <row r="13006" spans="1:1" x14ac:dyDescent="0.35">
      <c r="A13006" s="4">
        <v>4500244211</v>
      </c>
    </row>
    <row r="13007" spans="1:1" x14ac:dyDescent="0.35">
      <c r="A13007" s="4">
        <v>4500244213</v>
      </c>
    </row>
    <row r="13008" spans="1:1" x14ac:dyDescent="0.35">
      <c r="A13008" s="4">
        <v>4500244217</v>
      </c>
    </row>
    <row r="13009" spans="1:1" x14ac:dyDescent="0.35">
      <c r="A13009" s="4">
        <v>4500244219</v>
      </c>
    </row>
    <row r="13010" spans="1:1" x14ac:dyDescent="0.35">
      <c r="A13010" s="4">
        <v>4500244220</v>
      </c>
    </row>
    <row r="13011" spans="1:1" x14ac:dyDescent="0.35">
      <c r="A13011" s="4">
        <v>4500244235</v>
      </c>
    </row>
    <row r="13012" spans="1:1" x14ac:dyDescent="0.35">
      <c r="A13012" s="4">
        <v>4500244339</v>
      </c>
    </row>
    <row r="13013" spans="1:1" x14ac:dyDescent="0.35">
      <c r="A13013" s="4">
        <v>4500244343</v>
      </c>
    </row>
    <row r="13014" spans="1:1" x14ac:dyDescent="0.35">
      <c r="A13014" s="4">
        <v>4500244348</v>
      </c>
    </row>
    <row r="13015" spans="1:1" x14ac:dyDescent="0.35">
      <c r="A13015" s="4">
        <v>4500244357</v>
      </c>
    </row>
    <row r="13016" spans="1:1" x14ac:dyDescent="0.35">
      <c r="A13016" s="4">
        <v>4500244362</v>
      </c>
    </row>
    <row r="13017" spans="1:1" x14ac:dyDescent="0.35">
      <c r="A13017" s="4">
        <v>4500244368</v>
      </c>
    </row>
    <row r="13018" spans="1:1" x14ac:dyDescent="0.35">
      <c r="A13018" s="4">
        <v>4500244373</v>
      </c>
    </row>
    <row r="13019" spans="1:1" x14ac:dyDescent="0.35">
      <c r="A13019" s="4">
        <v>4500244378</v>
      </c>
    </row>
    <row r="13020" spans="1:1" x14ac:dyDescent="0.35">
      <c r="A13020" s="4">
        <v>4500244383</v>
      </c>
    </row>
    <row r="13021" spans="1:1" x14ac:dyDescent="0.35">
      <c r="A13021" s="4">
        <v>4500244386</v>
      </c>
    </row>
    <row r="13022" spans="1:1" x14ac:dyDescent="0.35">
      <c r="A13022" s="4">
        <v>4500244390</v>
      </c>
    </row>
    <row r="13023" spans="1:1" x14ac:dyDescent="0.35">
      <c r="A13023" s="4">
        <v>4500244393</v>
      </c>
    </row>
    <row r="13024" spans="1:1" x14ac:dyDescent="0.35">
      <c r="A13024" s="4">
        <v>4500244396</v>
      </c>
    </row>
    <row r="13025" spans="1:1" x14ac:dyDescent="0.35">
      <c r="A13025" s="4">
        <v>4500244397</v>
      </c>
    </row>
    <row r="13026" spans="1:1" x14ac:dyDescent="0.35">
      <c r="A13026" s="4">
        <v>4500244400</v>
      </c>
    </row>
    <row r="13027" spans="1:1" x14ac:dyDescent="0.35">
      <c r="A13027" s="4">
        <v>4500244402</v>
      </c>
    </row>
    <row r="13028" spans="1:1" x14ac:dyDescent="0.35">
      <c r="A13028" s="4">
        <v>4500244403</v>
      </c>
    </row>
    <row r="13029" spans="1:1" x14ac:dyDescent="0.35">
      <c r="A13029" s="4">
        <v>4500244404</v>
      </c>
    </row>
    <row r="13030" spans="1:1" x14ac:dyDescent="0.35">
      <c r="A13030" s="4">
        <v>4500244405</v>
      </c>
    </row>
    <row r="13031" spans="1:1" x14ac:dyDescent="0.35">
      <c r="A13031" s="4">
        <v>4500244406</v>
      </c>
    </row>
    <row r="13032" spans="1:1" x14ac:dyDescent="0.35">
      <c r="A13032" s="4">
        <v>4500244407</v>
      </c>
    </row>
    <row r="13033" spans="1:1" x14ac:dyDescent="0.35">
      <c r="A13033" s="4">
        <v>4500244408</v>
      </c>
    </row>
    <row r="13034" spans="1:1" x14ac:dyDescent="0.35">
      <c r="A13034" s="4">
        <v>4500244412</v>
      </c>
    </row>
    <row r="13035" spans="1:1" x14ac:dyDescent="0.35">
      <c r="A13035" s="4">
        <v>4500244413</v>
      </c>
    </row>
    <row r="13036" spans="1:1" x14ac:dyDescent="0.35">
      <c r="A13036" s="4">
        <v>4500244415</v>
      </c>
    </row>
    <row r="13037" spans="1:1" x14ac:dyDescent="0.35">
      <c r="A13037" s="4">
        <v>4500244417</v>
      </c>
    </row>
    <row r="13038" spans="1:1" x14ac:dyDescent="0.35">
      <c r="A13038" s="4">
        <v>4500244419</v>
      </c>
    </row>
    <row r="13039" spans="1:1" x14ac:dyDescent="0.35">
      <c r="A13039" s="4">
        <v>4500244420</v>
      </c>
    </row>
    <row r="13040" spans="1:1" x14ac:dyDescent="0.35">
      <c r="A13040" s="4">
        <v>4500244421</v>
      </c>
    </row>
    <row r="13041" spans="1:1" x14ac:dyDescent="0.35">
      <c r="A13041" s="4">
        <v>4500244422</v>
      </c>
    </row>
    <row r="13042" spans="1:1" x14ac:dyDescent="0.35">
      <c r="A13042" s="4">
        <v>4500244423</v>
      </c>
    </row>
    <row r="13043" spans="1:1" x14ac:dyDescent="0.35">
      <c r="A13043" s="4">
        <v>4500244557</v>
      </c>
    </row>
    <row r="13044" spans="1:1" x14ac:dyDescent="0.35">
      <c r="A13044" s="4">
        <v>4500244560</v>
      </c>
    </row>
    <row r="13045" spans="1:1" x14ac:dyDescent="0.35">
      <c r="A13045" s="4">
        <v>4500244563</v>
      </c>
    </row>
    <row r="13046" spans="1:1" x14ac:dyDescent="0.35">
      <c r="A13046" s="4">
        <v>4500244572</v>
      </c>
    </row>
    <row r="13047" spans="1:1" x14ac:dyDescent="0.35">
      <c r="A13047" s="4">
        <v>4500244575</v>
      </c>
    </row>
    <row r="13048" spans="1:1" x14ac:dyDescent="0.35">
      <c r="A13048" s="4">
        <v>4500244580</v>
      </c>
    </row>
    <row r="13049" spans="1:1" x14ac:dyDescent="0.35">
      <c r="A13049" s="4">
        <v>4500244583</v>
      </c>
    </row>
    <row r="13050" spans="1:1" x14ac:dyDescent="0.35">
      <c r="A13050" s="4">
        <v>4500244589</v>
      </c>
    </row>
    <row r="13051" spans="1:1" x14ac:dyDescent="0.35">
      <c r="A13051" s="4">
        <v>4500244591</v>
      </c>
    </row>
    <row r="13052" spans="1:1" x14ac:dyDescent="0.35">
      <c r="A13052" s="4">
        <v>4500244595</v>
      </c>
    </row>
    <row r="13053" spans="1:1" x14ac:dyDescent="0.35">
      <c r="A13053" s="4">
        <v>4500244598</v>
      </c>
    </row>
    <row r="13054" spans="1:1" x14ac:dyDescent="0.35">
      <c r="A13054" s="4">
        <v>4500244601</v>
      </c>
    </row>
    <row r="13055" spans="1:1" x14ac:dyDescent="0.35">
      <c r="A13055" s="4">
        <v>4500244604</v>
      </c>
    </row>
    <row r="13056" spans="1:1" x14ac:dyDescent="0.35">
      <c r="A13056" s="4">
        <v>4500244605</v>
      </c>
    </row>
    <row r="13057" spans="1:1" x14ac:dyDescent="0.35">
      <c r="A13057" s="4">
        <v>4500244606</v>
      </c>
    </row>
    <row r="13058" spans="1:1" x14ac:dyDescent="0.35">
      <c r="A13058" s="4">
        <v>4500244608</v>
      </c>
    </row>
    <row r="13059" spans="1:1" x14ac:dyDescent="0.35">
      <c r="A13059" s="4">
        <v>4500244609</v>
      </c>
    </row>
    <row r="13060" spans="1:1" x14ac:dyDescent="0.35">
      <c r="A13060" s="4">
        <v>4500244611</v>
      </c>
    </row>
    <row r="13061" spans="1:1" x14ac:dyDescent="0.35">
      <c r="A13061" s="4">
        <v>4500244612</v>
      </c>
    </row>
    <row r="13062" spans="1:1" x14ac:dyDescent="0.35">
      <c r="A13062" s="4">
        <v>4500244614</v>
      </c>
    </row>
    <row r="13063" spans="1:1" x14ac:dyDescent="0.35">
      <c r="A13063" s="4">
        <v>4500244616</v>
      </c>
    </row>
    <row r="13064" spans="1:1" x14ac:dyDescent="0.35">
      <c r="A13064" s="4">
        <v>4500244617</v>
      </c>
    </row>
    <row r="13065" spans="1:1" x14ac:dyDescent="0.35">
      <c r="A13065" s="4">
        <v>4500244618</v>
      </c>
    </row>
    <row r="13066" spans="1:1" x14ac:dyDescent="0.35">
      <c r="A13066" s="4">
        <v>4500244619</v>
      </c>
    </row>
    <row r="13067" spans="1:1" x14ac:dyDescent="0.35">
      <c r="A13067" s="4">
        <v>4500244635</v>
      </c>
    </row>
    <row r="13068" spans="1:1" x14ac:dyDescent="0.35">
      <c r="A13068" s="4">
        <v>4500244744</v>
      </c>
    </row>
    <row r="13069" spans="1:1" x14ac:dyDescent="0.35">
      <c r="A13069" s="4">
        <v>4500244749</v>
      </c>
    </row>
    <row r="13070" spans="1:1" x14ac:dyDescent="0.35">
      <c r="A13070" s="4">
        <v>4500244753</v>
      </c>
    </row>
    <row r="13071" spans="1:1" x14ac:dyDescent="0.35">
      <c r="A13071" s="4">
        <v>4500244755</v>
      </c>
    </row>
    <row r="13072" spans="1:1" x14ac:dyDescent="0.35">
      <c r="A13072" s="4">
        <v>4500244763</v>
      </c>
    </row>
    <row r="13073" spans="1:1" x14ac:dyDescent="0.35">
      <c r="A13073" s="4">
        <v>4500244766</v>
      </c>
    </row>
    <row r="13074" spans="1:1" x14ac:dyDescent="0.35">
      <c r="A13074" s="4">
        <v>4500244770</v>
      </c>
    </row>
    <row r="13075" spans="1:1" x14ac:dyDescent="0.35">
      <c r="A13075" s="4">
        <v>4500244778</v>
      </c>
    </row>
    <row r="13076" spans="1:1" x14ac:dyDescent="0.35">
      <c r="A13076" s="4">
        <v>4500244782</v>
      </c>
    </row>
    <row r="13077" spans="1:1" x14ac:dyDescent="0.35">
      <c r="A13077" s="4">
        <v>4500244786</v>
      </c>
    </row>
    <row r="13078" spans="1:1" x14ac:dyDescent="0.35">
      <c r="A13078" s="4">
        <v>4500244789</v>
      </c>
    </row>
    <row r="13079" spans="1:1" x14ac:dyDescent="0.35">
      <c r="A13079" s="4">
        <v>4500244793</v>
      </c>
    </row>
    <row r="13080" spans="1:1" x14ac:dyDescent="0.35">
      <c r="A13080" s="4">
        <v>4500244796</v>
      </c>
    </row>
    <row r="13081" spans="1:1" x14ac:dyDescent="0.35">
      <c r="A13081" s="4">
        <v>4500244801</v>
      </c>
    </row>
    <row r="13082" spans="1:1" x14ac:dyDescent="0.35">
      <c r="A13082" s="4">
        <v>4500244807</v>
      </c>
    </row>
    <row r="13083" spans="1:1" x14ac:dyDescent="0.35">
      <c r="A13083" s="4">
        <v>4500244812</v>
      </c>
    </row>
    <row r="13084" spans="1:1" x14ac:dyDescent="0.35">
      <c r="A13084" s="4">
        <v>4500244819</v>
      </c>
    </row>
    <row r="13085" spans="1:1" x14ac:dyDescent="0.35">
      <c r="A13085" s="4">
        <v>4500244824</v>
      </c>
    </row>
    <row r="13086" spans="1:1" x14ac:dyDescent="0.35">
      <c r="A13086" s="4">
        <v>4500244827</v>
      </c>
    </row>
    <row r="13087" spans="1:1" x14ac:dyDescent="0.35">
      <c r="A13087" s="4">
        <v>4500244828</v>
      </c>
    </row>
    <row r="13088" spans="1:1" x14ac:dyDescent="0.35">
      <c r="A13088" s="4">
        <v>4500244831</v>
      </c>
    </row>
    <row r="13089" spans="1:1" x14ac:dyDescent="0.35">
      <c r="A13089" s="4">
        <v>4500244833</v>
      </c>
    </row>
    <row r="13090" spans="1:1" x14ac:dyDescent="0.35">
      <c r="A13090" s="4">
        <v>4500244840</v>
      </c>
    </row>
    <row r="13091" spans="1:1" x14ac:dyDescent="0.35">
      <c r="A13091" s="4">
        <v>4500244841</v>
      </c>
    </row>
    <row r="13092" spans="1:1" x14ac:dyDescent="0.35">
      <c r="A13092" s="4">
        <v>4500244986</v>
      </c>
    </row>
    <row r="13093" spans="1:1" x14ac:dyDescent="0.35">
      <c r="A13093" s="4">
        <v>4500244987</v>
      </c>
    </row>
    <row r="13094" spans="1:1" x14ac:dyDescent="0.35">
      <c r="A13094" s="4">
        <v>4500244990</v>
      </c>
    </row>
    <row r="13095" spans="1:1" x14ac:dyDescent="0.35">
      <c r="A13095" s="4">
        <v>4500244995</v>
      </c>
    </row>
    <row r="13096" spans="1:1" x14ac:dyDescent="0.35">
      <c r="A13096" s="4">
        <v>4500245002</v>
      </c>
    </row>
    <row r="13097" spans="1:1" x14ac:dyDescent="0.35">
      <c r="A13097" s="4">
        <v>4500245006</v>
      </c>
    </row>
    <row r="13098" spans="1:1" x14ac:dyDescent="0.35">
      <c r="A13098" s="4">
        <v>4500245012</v>
      </c>
    </row>
    <row r="13099" spans="1:1" x14ac:dyDescent="0.35">
      <c r="A13099" s="4">
        <v>4500245016</v>
      </c>
    </row>
    <row r="13100" spans="1:1" x14ac:dyDescent="0.35">
      <c r="A13100" s="4">
        <v>4500245019</v>
      </c>
    </row>
    <row r="13101" spans="1:1" x14ac:dyDescent="0.35">
      <c r="A13101" s="4">
        <v>4500245023</v>
      </c>
    </row>
    <row r="13102" spans="1:1" x14ac:dyDescent="0.35">
      <c r="A13102" s="4">
        <v>4500245027</v>
      </c>
    </row>
    <row r="13103" spans="1:1" x14ac:dyDescent="0.35">
      <c r="A13103" s="4">
        <v>4500245031</v>
      </c>
    </row>
    <row r="13104" spans="1:1" x14ac:dyDescent="0.35">
      <c r="A13104" s="4">
        <v>4500245033</v>
      </c>
    </row>
    <row r="13105" spans="1:1" x14ac:dyDescent="0.35">
      <c r="A13105" s="4">
        <v>4500245036</v>
      </c>
    </row>
    <row r="13106" spans="1:1" x14ac:dyDescent="0.35">
      <c r="A13106" s="4">
        <v>4500245037</v>
      </c>
    </row>
    <row r="13107" spans="1:1" x14ac:dyDescent="0.35">
      <c r="A13107" s="4">
        <v>4500245039</v>
      </c>
    </row>
    <row r="13108" spans="1:1" x14ac:dyDescent="0.35">
      <c r="A13108" s="4">
        <v>4500245041</v>
      </c>
    </row>
    <row r="13109" spans="1:1" x14ac:dyDescent="0.35">
      <c r="A13109" s="4">
        <v>4500245044</v>
      </c>
    </row>
    <row r="13110" spans="1:1" x14ac:dyDescent="0.35">
      <c r="A13110" s="4">
        <v>4500245046</v>
      </c>
    </row>
    <row r="13111" spans="1:1" x14ac:dyDescent="0.35">
      <c r="A13111" s="4">
        <v>4500245048</v>
      </c>
    </row>
    <row r="13112" spans="1:1" x14ac:dyDescent="0.35">
      <c r="A13112" s="4">
        <v>4500245049</v>
      </c>
    </row>
    <row r="13113" spans="1:1" x14ac:dyDescent="0.35">
      <c r="A13113" s="4">
        <v>4500245050</v>
      </c>
    </row>
    <row r="13114" spans="1:1" x14ac:dyDescent="0.35">
      <c r="A13114" s="4">
        <v>4500245051</v>
      </c>
    </row>
    <row r="13115" spans="1:1" x14ac:dyDescent="0.35">
      <c r="A13115" s="4">
        <v>4500245052</v>
      </c>
    </row>
    <row r="13116" spans="1:1" x14ac:dyDescent="0.35">
      <c r="A13116" s="4">
        <v>4500245053</v>
      </c>
    </row>
    <row r="13117" spans="1:1" x14ac:dyDescent="0.35">
      <c r="A13117" s="4">
        <v>4500245054</v>
      </c>
    </row>
    <row r="13118" spans="1:1" x14ac:dyDescent="0.35">
      <c r="A13118" s="4">
        <v>4500245055</v>
      </c>
    </row>
    <row r="13119" spans="1:1" x14ac:dyDescent="0.35">
      <c r="A13119" s="4">
        <v>4500245056</v>
      </c>
    </row>
    <row r="13120" spans="1:1" x14ac:dyDescent="0.35">
      <c r="A13120" s="4">
        <v>4500245057</v>
      </c>
    </row>
    <row r="13121" spans="1:1" x14ac:dyDescent="0.35">
      <c r="A13121" s="4">
        <v>4500245058</v>
      </c>
    </row>
    <row r="13122" spans="1:1" x14ac:dyDescent="0.35">
      <c r="A13122" s="4">
        <v>4500245059</v>
      </c>
    </row>
    <row r="13123" spans="1:1" x14ac:dyDescent="0.35">
      <c r="A13123" s="4">
        <v>4500245060</v>
      </c>
    </row>
    <row r="13124" spans="1:1" x14ac:dyDescent="0.35">
      <c r="A13124" s="4">
        <v>4500245061</v>
      </c>
    </row>
    <row r="13125" spans="1:1" x14ac:dyDescent="0.35">
      <c r="A13125" s="4">
        <v>4500245062</v>
      </c>
    </row>
    <row r="13126" spans="1:1" x14ac:dyDescent="0.35">
      <c r="A13126" s="4">
        <v>4500245082</v>
      </c>
    </row>
    <row r="13127" spans="1:1" x14ac:dyDescent="0.35">
      <c r="A13127" s="4">
        <v>4500245084</v>
      </c>
    </row>
    <row r="13128" spans="1:1" x14ac:dyDescent="0.35">
      <c r="A13128" s="4">
        <v>4500245085</v>
      </c>
    </row>
    <row r="13129" spans="1:1" x14ac:dyDescent="0.35">
      <c r="A13129" s="4">
        <v>4500245093</v>
      </c>
    </row>
    <row r="13130" spans="1:1" x14ac:dyDescent="0.35">
      <c r="A13130" s="4">
        <v>4500245098</v>
      </c>
    </row>
    <row r="13131" spans="1:1" x14ac:dyDescent="0.35">
      <c r="A13131" s="4">
        <v>4500245102</v>
      </c>
    </row>
    <row r="13132" spans="1:1" x14ac:dyDescent="0.35">
      <c r="A13132" s="4">
        <v>4500245105</v>
      </c>
    </row>
    <row r="13133" spans="1:1" x14ac:dyDescent="0.35">
      <c r="A13133" s="4">
        <v>4500245109</v>
      </c>
    </row>
    <row r="13134" spans="1:1" x14ac:dyDescent="0.35">
      <c r="A13134" s="4">
        <v>4500245111</v>
      </c>
    </row>
    <row r="13135" spans="1:1" x14ac:dyDescent="0.35">
      <c r="A13135" s="4">
        <v>4500245138</v>
      </c>
    </row>
    <row r="13136" spans="1:1" x14ac:dyDescent="0.35">
      <c r="A13136" s="4">
        <v>4500245139</v>
      </c>
    </row>
    <row r="13137" spans="1:1" x14ac:dyDescent="0.35">
      <c r="A13137" s="4">
        <v>4500245142</v>
      </c>
    </row>
    <row r="13138" spans="1:1" x14ac:dyDescent="0.35">
      <c r="A13138" s="4">
        <v>4500245171</v>
      </c>
    </row>
    <row r="13139" spans="1:1" x14ac:dyDescent="0.35">
      <c r="A13139" s="4">
        <v>4500245303</v>
      </c>
    </row>
    <row r="13140" spans="1:1" x14ac:dyDescent="0.35">
      <c r="A13140" s="4">
        <v>4500245307</v>
      </c>
    </row>
    <row r="13141" spans="1:1" x14ac:dyDescent="0.35">
      <c r="A13141" s="4">
        <v>4500245309</v>
      </c>
    </row>
    <row r="13142" spans="1:1" x14ac:dyDescent="0.35">
      <c r="A13142" s="4">
        <v>4500245312</v>
      </c>
    </row>
    <row r="13143" spans="1:1" x14ac:dyDescent="0.35">
      <c r="A13143" s="4">
        <v>4500245320</v>
      </c>
    </row>
    <row r="13144" spans="1:1" x14ac:dyDescent="0.35">
      <c r="A13144" s="4">
        <v>4500245328</v>
      </c>
    </row>
    <row r="13145" spans="1:1" x14ac:dyDescent="0.35">
      <c r="A13145" s="4">
        <v>4500245336</v>
      </c>
    </row>
    <row r="13146" spans="1:1" x14ac:dyDescent="0.35">
      <c r="A13146" s="4">
        <v>4500245345</v>
      </c>
    </row>
    <row r="13147" spans="1:1" x14ac:dyDescent="0.35">
      <c r="A13147" s="4">
        <v>4500245353</v>
      </c>
    </row>
    <row r="13148" spans="1:1" x14ac:dyDescent="0.35">
      <c r="A13148" s="4">
        <v>4500245357</v>
      </c>
    </row>
    <row r="13149" spans="1:1" x14ac:dyDescent="0.35">
      <c r="A13149" s="4">
        <v>4500245359</v>
      </c>
    </row>
    <row r="13150" spans="1:1" x14ac:dyDescent="0.35">
      <c r="A13150" s="4">
        <v>4500245364</v>
      </c>
    </row>
    <row r="13151" spans="1:1" x14ac:dyDescent="0.35">
      <c r="A13151" s="4">
        <v>4500245397</v>
      </c>
    </row>
    <row r="13152" spans="1:1" x14ac:dyDescent="0.35">
      <c r="A13152" s="4">
        <v>4500245479</v>
      </c>
    </row>
    <row r="13153" spans="1:1" x14ac:dyDescent="0.35">
      <c r="A13153" s="4">
        <v>4500245483</v>
      </c>
    </row>
    <row r="13154" spans="1:1" x14ac:dyDescent="0.35">
      <c r="A13154" s="4">
        <v>4500245488</v>
      </c>
    </row>
    <row r="13155" spans="1:1" x14ac:dyDescent="0.35">
      <c r="A13155" s="4">
        <v>4500245491</v>
      </c>
    </row>
    <row r="13156" spans="1:1" x14ac:dyDescent="0.35">
      <c r="A13156" s="4">
        <v>4500245492</v>
      </c>
    </row>
    <row r="13157" spans="1:1" x14ac:dyDescent="0.35">
      <c r="A13157" s="4">
        <v>4500245497</v>
      </c>
    </row>
    <row r="13158" spans="1:1" x14ac:dyDescent="0.35">
      <c r="A13158" s="4">
        <v>4500245500</v>
      </c>
    </row>
    <row r="13159" spans="1:1" x14ac:dyDescent="0.35">
      <c r="A13159" s="4">
        <v>4500245504</v>
      </c>
    </row>
    <row r="13160" spans="1:1" x14ac:dyDescent="0.35">
      <c r="A13160" s="4">
        <v>4500245506</v>
      </c>
    </row>
    <row r="13161" spans="1:1" x14ac:dyDescent="0.35">
      <c r="A13161" s="4">
        <v>4500245509</v>
      </c>
    </row>
    <row r="13162" spans="1:1" x14ac:dyDescent="0.35">
      <c r="A13162" s="4">
        <v>4500245511</v>
      </c>
    </row>
    <row r="13163" spans="1:1" x14ac:dyDescent="0.35">
      <c r="A13163" s="4">
        <v>4500245514</v>
      </c>
    </row>
    <row r="13164" spans="1:1" x14ac:dyDescent="0.35">
      <c r="A13164" s="4">
        <v>4500245516</v>
      </c>
    </row>
  </sheetData>
  <autoFilter ref="A10:A13164" xr:uid="{BC1C5EC2-39BA-4383-BBA0-FFDDCF52C301}"/>
  <conditionalFormatting sqref="A11:A2010">
    <cfRule type="expression" dxfId="7" priority="1">
      <formula>MOD(ROW(),2)=1</formula>
    </cfRule>
  </conditionalFormatting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6F54-75A3-4057-8ED2-F4AD837407B0}">
  <dimension ref="A1:D539"/>
  <sheetViews>
    <sheetView showGridLines="0" workbookViewId="0">
      <pane ySplit="10" topLeftCell="A11" activePane="bottomLeft" state="frozen"/>
      <selection pane="bottomLeft" activeCell="M35" sqref="M35"/>
    </sheetView>
  </sheetViews>
  <sheetFormatPr baseColWidth="10" defaultColWidth="11.54296875" defaultRowHeight="14.5" x14ac:dyDescent="0.35"/>
  <cols>
    <col min="1" max="1" width="22.453125" style="1" bestFit="1" customWidth="1"/>
    <col min="2" max="2" width="23.453125" style="1" bestFit="1" customWidth="1"/>
    <col min="3" max="3" width="15.81640625" style="1" bestFit="1" customWidth="1"/>
    <col min="4" max="4" width="17.36328125" style="1" bestFit="1" customWidth="1"/>
    <col min="5" max="16384" width="11.54296875" style="1"/>
  </cols>
  <sheetData>
    <row r="1" spans="1:4" ht="18.5" x14ac:dyDescent="0.45">
      <c r="A1" s="82" t="s">
        <v>3387</v>
      </c>
      <c r="B1" s="82"/>
      <c r="C1" s="82"/>
      <c r="D1" s="82"/>
    </row>
    <row r="2" spans="1:4" x14ac:dyDescent="0.35">
      <c r="A2"/>
      <c r="B2"/>
      <c r="C2"/>
      <c r="D2"/>
    </row>
    <row r="3" spans="1:4" x14ac:dyDescent="0.35">
      <c r="A3" s="29" t="s">
        <v>3232</v>
      </c>
      <c r="B3" s="32">
        <v>529</v>
      </c>
      <c r="C3"/>
      <c r="D3"/>
    </row>
    <row r="4" spans="1:4" x14ac:dyDescent="0.35">
      <c r="A4" s="30" t="s">
        <v>3388</v>
      </c>
      <c r="B4" s="36">
        <v>63239832.950000003</v>
      </c>
      <c r="C4"/>
      <c r="D4"/>
    </row>
    <row r="5" spans="1:4" x14ac:dyDescent="0.35">
      <c r="A5" s="30" t="s">
        <v>3233</v>
      </c>
      <c r="B5" s="37">
        <v>15.22</v>
      </c>
      <c r="C5"/>
      <c r="D5"/>
    </row>
    <row r="6" spans="1:4" x14ac:dyDescent="0.35">
      <c r="A6" s="30" t="s">
        <v>3389</v>
      </c>
      <c r="B6" s="38">
        <v>2192400</v>
      </c>
      <c r="C6"/>
      <c r="D6"/>
    </row>
    <row r="7" spans="1:4" x14ac:dyDescent="0.35">
      <c r="A7" s="30" t="s">
        <v>3239</v>
      </c>
      <c r="B7" s="38">
        <v>8189</v>
      </c>
      <c r="C7"/>
      <c r="D7"/>
    </row>
    <row r="8" spans="1:4" x14ac:dyDescent="0.35">
      <c r="A8" s="31" t="s">
        <v>3237</v>
      </c>
      <c r="B8" s="35" t="s">
        <v>3390</v>
      </c>
      <c r="C8"/>
      <c r="D8"/>
    </row>
    <row r="9" spans="1:4" x14ac:dyDescent="0.35">
      <c r="A9"/>
      <c r="B9"/>
      <c r="C9"/>
      <c r="D9"/>
    </row>
    <row r="10" spans="1:4" x14ac:dyDescent="0.35">
      <c r="A10" s="14" t="s">
        <v>1185</v>
      </c>
      <c r="B10" s="14" t="s">
        <v>3234</v>
      </c>
      <c r="C10" s="14" t="s">
        <v>3235</v>
      </c>
      <c r="D10" s="14" t="s">
        <v>3236</v>
      </c>
    </row>
    <row r="11" spans="1:4" x14ac:dyDescent="0.35">
      <c r="A11" s="8">
        <v>4036674</v>
      </c>
      <c r="B11" s="15">
        <v>2192400</v>
      </c>
      <c r="C11" s="6">
        <v>20</v>
      </c>
      <c r="D11" s="15">
        <v>10.5</v>
      </c>
    </row>
    <row r="12" spans="1:4" x14ac:dyDescent="0.35">
      <c r="A12" s="8">
        <v>4033674</v>
      </c>
      <c r="B12" s="15">
        <v>1909440</v>
      </c>
      <c r="C12" s="6">
        <v>42</v>
      </c>
      <c r="D12" s="15">
        <v>10.62</v>
      </c>
    </row>
    <row r="13" spans="1:4" x14ac:dyDescent="0.35">
      <c r="A13" s="8">
        <v>4002742</v>
      </c>
      <c r="B13" s="15">
        <v>1827730</v>
      </c>
      <c r="C13" s="6">
        <v>16</v>
      </c>
      <c r="D13" s="15">
        <v>25.63</v>
      </c>
    </row>
    <row r="14" spans="1:4" x14ac:dyDescent="0.35">
      <c r="A14" s="8">
        <v>4036677</v>
      </c>
      <c r="B14" s="15">
        <v>1805760</v>
      </c>
      <c r="C14" s="6">
        <v>21</v>
      </c>
      <c r="D14" s="15">
        <v>6.86</v>
      </c>
    </row>
    <row r="15" spans="1:4" x14ac:dyDescent="0.35">
      <c r="A15" s="8">
        <v>4006235</v>
      </c>
      <c r="B15" s="15">
        <v>1632960</v>
      </c>
      <c r="C15" s="6">
        <v>7</v>
      </c>
      <c r="D15" s="15">
        <v>18</v>
      </c>
    </row>
    <row r="16" spans="1:4" x14ac:dyDescent="0.35">
      <c r="A16" s="8">
        <v>4004825</v>
      </c>
      <c r="B16" s="15">
        <v>1374600</v>
      </c>
      <c r="C16" s="6">
        <v>55</v>
      </c>
      <c r="D16" s="15">
        <v>16.8</v>
      </c>
    </row>
    <row r="17" spans="1:4" x14ac:dyDescent="0.35">
      <c r="A17" s="8">
        <v>4033646</v>
      </c>
      <c r="B17" s="15">
        <v>1360800</v>
      </c>
      <c r="C17" s="6">
        <v>11</v>
      </c>
      <c r="D17" s="15">
        <v>10.91</v>
      </c>
    </row>
    <row r="18" spans="1:4" x14ac:dyDescent="0.35">
      <c r="A18" s="8">
        <v>4005583</v>
      </c>
      <c r="B18" s="15">
        <v>1329919.2</v>
      </c>
      <c r="C18" s="6">
        <v>11</v>
      </c>
      <c r="D18" s="15">
        <v>697.73</v>
      </c>
    </row>
    <row r="19" spans="1:4" x14ac:dyDescent="0.35">
      <c r="A19" s="8">
        <v>4000005</v>
      </c>
      <c r="B19" s="15">
        <v>1191779.5</v>
      </c>
      <c r="C19" s="6">
        <v>10</v>
      </c>
      <c r="D19" s="15">
        <v>65</v>
      </c>
    </row>
    <row r="20" spans="1:4" x14ac:dyDescent="0.35">
      <c r="A20" s="8">
        <v>4006561</v>
      </c>
      <c r="B20" s="15">
        <v>938832</v>
      </c>
      <c r="C20" s="6">
        <v>14</v>
      </c>
      <c r="D20" s="15">
        <v>24</v>
      </c>
    </row>
    <row r="21" spans="1:4" x14ac:dyDescent="0.35">
      <c r="A21" s="8">
        <v>4009081</v>
      </c>
      <c r="B21" s="15">
        <v>916510</v>
      </c>
      <c r="C21" s="6">
        <v>30</v>
      </c>
      <c r="D21" s="15">
        <v>7.3</v>
      </c>
    </row>
    <row r="22" spans="1:4" x14ac:dyDescent="0.35">
      <c r="A22" s="8">
        <v>4006560</v>
      </c>
      <c r="B22" s="15">
        <v>887714</v>
      </c>
      <c r="C22" s="6">
        <v>51</v>
      </c>
      <c r="D22" s="15">
        <v>2</v>
      </c>
    </row>
    <row r="23" spans="1:4" x14ac:dyDescent="0.35">
      <c r="A23" s="8">
        <v>4005584</v>
      </c>
      <c r="B23" s="15">
        <v>882723</v>
      </c>
      <c r="C23" s="6">
        <v>28</v>
      </c>
      <c r="D23" s="15">
        <v>201.44</v>
      </c>
    </row>
    <row r="24" spans="1:4" x14ac:dyDescent="0.35">
      <c r="A24" s="8">
        <v>4006758</v>
      </c>
      <c r="B24" s="15">
        <v>877320</v>
      </c>
      <c r="C24" s="6">
        <v>23</v>
      </c>
      <c r="D24" s="15">
        <v>18.61</v>
      </c>
    </row>
    <row r="25" spans="1:4" x14ac:dyDescent="0.35">
      <c r="A25" s="8">
        <v>4009256</v>
      </c>
      <c r="B25" s="15">
        <v>792000</v>
      </c>
      <c r="C25" s="6">
        <v>42</v>
      </c>
      <c r="D25" s="15">
        <v>16</v>
      </c>
    </row>
    <row r="26" spans="1:4" x14ac:dyDescent="0.35">
      <c r="A26" s="8">
        <v>4035973</v>
      </c>
      <c r="B26" s="15">
        <v>748379.73</v>
      </c>
      <c r="C26" s="6">
        <v>33</v>
      </c>
      <c r="D26" s="15">
        <v>82.14</v>
      </c>
    </row>
    <row r="27" spans="1:4" x14ac:dyDescent="0.35">
      <c r="A27" s="8">
        <v>4045333</v>
      </c>
      <c r="B27" s="15">
        <v>719731.5</v>
      </c>
      <c r="C27" s="6">
        <v>1</v>
      </c>
      <c r="D27" s="15">
        <v>50</v>
      </c>
    </row>
    <row r="28" spans="1:4" x14ac:dyDescent="0.35">
      <c r="A28" s="8">
        <v>4000108</v>
      </c>
      <c r="B28" s="15">
        <v>631652</v>
      </c>
      <c r="C28" s="6">
        <v>67</v>
      </c>
      <c r="D28" s="15">
        <v>12.16</v>
      </c>
    </row>
    <row r="29" spans="1:4" x14ac:dyDescent="0.35">
      <c r="A29" s="8">
        <v>4009257</v>
      </c>
      <c r="B29" s="15">
        <v>630600</v>
      </c>
      <c r="C29" s="6">
        <v>32</v>
      </c>
      <c r="D29" s="15">
        <v>20</v>
      </c>
    </row>
    <row r="30" spans="1:4" x14ac:dyDescent="0.35">
      <c r="A30" s="8">
        <v>4045042</v>
      </c>
      <c r="B30" s="15">
        <v>610506.48</v>
      </c>
      <c r="C30" s="6">
        <v>4</v>
      </c>
      <c r="D30" s="15">
        <v>1.25</v>
      </c>
    </row>
    <row r="31" spans="1:4" x14ac:dyDescent="0.35">
      <c r="A31" s="8">
        <v>4001403</v>
      </c>
      <c r="B31" s="15">
        <v>603570</v>
      </c>
      <c r="C31" s="6">
        <v>34</v>
      </c>
      <c r="D31" s="15">
        <v>20.57</v>
      </c>
    </row>
    <row r="32" spans="1:4" x14ac:dyDescent="0.35">
      <c r="A32" s="8">
        <v>4004809</v>
      </c>
      <c r="B32" s="15">
        <v>602640</v>
      </c>
      <c r="C32" s="6">
        <v>9</v>
      </c>
      <c r="D32" s="15">
        <v>12</v>
      </c>
    </row>
    <row r="33" spans="1:4" x14ac:dyDescent="0.35">
      <c r="A33" s="8">
        <v>4035954</v>
      </c>
      <c r="B33" s="15">
        <v>580142.88</v>
      </c>
      <c r="C33" s="6">
        <v>20</v>
      </c>
      <c r="D33" s="15">
        <v>82.96</v>
      </c>
    </row>
    <row r="34" spans="1:4" x14ac:dyDescent="0.35">
      <c r="A34" s="8">
        <v>4006367</v>
      </c>
      <c r="B34" s="15">
        <v>549960</v>
      </c>
      <c r="C34" s="6">
        <v>38</v>
      </c>
      <c r="D34" s="15">
        <v>18.739999999999998</v>
      </c>
    </row>
    <row r="35" spans="1:4" x14ac:dyDescent="0.35">
      <c r="A35" s="8">
        <v>4038558</v>
      </c>
      <c r="B35" s="15">
        <v>523950</v>
      </c>
      <c r="C35" s="6">
        <v>14</v>
      </c>
      <c r="D35" s="15">
        <v>75</v>
      </c>
    </row>
    <row r="36" spans="1:4" x14ac:dyDescent="0.35">
      <c r="A36" s="8">
        <v>4033645</v>
      </c>
      <c r="B36" s="15">
        <v>522000</v>
      </c>
      <c r="C36" s="6">
        <v>4</v>
      </c>
      <c r="D36" s="15">
        <v>12.5</v>
      </c>
    </row>
    <row r="37" spans="1:4" x14ac:dyDescent="0.35">
      <c r="A37" s="8">
        <v>4000023</v>
      </c>
      <c r="B37" s="15">
        <v>515990.4</v>
      </c>
      <c r="C37" s="6">
        <v>17</v>
      </c>
      <c r="D37" s="15">
        <v>48</v>
      </c>
    </row>
    <row r="38" spans="1:4" x14ac:dyDescent="0.35">
      <c r="A38" s="8">
        <v>4035963</v>
      </c>
      <c r="B38" s="15">
        <v>511681.4</v>
      </c>
      <c r="C38" s="6">
        <v>19</v>
      </c>
      <c r="D38" s="15">
        <v>10.7</v>
      </c>
    </row>
    <row r="39" spans="1:4" x14ac:dyDescent="0.35">
      <c r="A39" s="8">
        <v>4036772</v>
      </c>
      <c r="B39" s="15">
        <v>479196</v>
      </c>
      <c r="C39" s="6">
        <v>25</v>
      </c>
      <c r="D39" s="15">
        <v>6.96</v>
      </c>
    </row>
    <row r="40" spans="1:4" x14ac:dyDescent="0.35">
      <c r="A40" s="8">
        <v>4036780</v>
      </c>
      <c r="B40" s="15">
        <v>468096</v>
      </c>
      <c r="C40" s="6">
        <v>37</v>
      </c>
      <c r="D40" s="15">
        <v>7.26</v>
      </c>
    </row>
    <row r="41" spans="1:4" x14ac:dyDescent="0.35">
      <c r="A41" s="8">
        <v>4033706</v>
      </c>
      <c r="B41" s="15">
        <v>454788</v>
      </c>
      <c r="C41" s="6">
        <v>16</v>
      </c>
      <c r="D41" s="15">
        <v>7.06</v>
      </c>
    </row>
    <row r="42" spans="1:4" x14ac:dyDescent="0.35">
      <c r="A42" s="8">
        <v>4006236</v>
      </c>
      <c r="B42" s="15">
        <v>450000</v>
      </c>
      <c r="C42" s="6">
        <v>4</v>
      </c>
      <c r="D42" s="15">
        <v>37.5</v>
      </c>
    </row>
    <row r="43" spans="1:4" x14ac:dyDescent="0.35">
      <c r="A43" s="8">
        <v>4035974</v>
      </c>
      <c r="B43" s="15">
        <v>445560</v>
      </c>
      <c r="C43" s="6">
        <v>14</v>
      </c>
      <c r="D43" s="15">
        <v>7</v>
      </c>
    </row>
    <row r="44" spans="1:4" x14ac:dyDescent="0.35">
      <c r="A44" s="8">
        <v>4008458</v>
      </c>
      <c r="B44" s="15">
        <v>445060</v>
      </c>
      <c r="C44" s="6">
        <v>43</v>
      </c>
      <c r="D44" s="15">
        <v>4.78</v>
      </c>
    </row>
    <row r="45" spans="1:4" x14ac:dyDescent="0.35">
      <c r="A45" s="8">
        <v>4038564</v>
      </c>
      <c r="B45" s="15">
        <v>443381.1</v>
      </c>
      <c r="C45" s="6">
        <v>12</v>
      </c>
      <c r="D45" s="15">
        <v>6.42</v>
      </c>
    </row>
    <row r="46" spans="1:4" x14ac:dyDescent="0.35">
      <c r="A46" s="8">
        <v>4038560</v>
      </c>
      <c r="B46" s="15">
        <v>438632.4</v>
      </c>
      <c r="C46" s="6">
        <v>33</v>
      </c>
      <c r="D46" s="15">
        <v>5.88</v>
      </c>
    </row>
    <row r="47" spans="1:4" x14ac:dyDescent="0.35">
      <c r="A47" s="8">
        <v>4000273</v>
      </c>
      <c r="B47" s="15">
        <v>416540.96</v>
      </c>
      <c r="C47" s="6">
        <v>18</v>
      </c>
      <c r="D47" s="15">
        <v>363.56</v>
      </c>
    </row>
    <row r="48" spans="1:4" x14ac:dyDescent="0.35">
      <c r="A48" s="8">
        <v>4008380</v>
      </c>
      <c r="B48" s="15">
        <v>404276.88</v>
      </c>
      <c r="C48" s="6">
        <v>47</v>
      </c>
      <c r="D48" s="15">
        <v>12.26</v>
      </c>
    </row>
    <row r="49" spans="1:4" x14ac:dyDescent="0.35">
      <c r="A49" s="8">
        <v>4008272</v>
      </c>
      <c r="B49" s="15">
        <v>377905</v>
      </c>
      <c r="C49" s="6">
        <v>40</v>
      </c>
      <c r="D49" s="15">
        <v>1.59</v>
      </c>
    </row>
    <row r="50" spans="1:4" x14ac:dyDescent="0.35">
      <c r="A50" s="8">
        <v>4006012</v>
      </c>
      <c r="B50" s="15">
        <v>364356</v>
      </c>
      <c r="C50" s="6">
        <v>31</v>
      </c>
      <c r="D50" s="15">
        <v>16.03</v>
      </c>
    </row>
    <row r="51" spans="1:4" x14ac:dyDescent="0.35">
      <c r="A51" s="8">
        <v>4009261</v>
      </c>
      <c r="B51" s="15">
        <v>345600</v>
      </c>
      <c r="C51" s="6">
        <v>36</v>
      </c>
      <c r="D51" s="15">
        <v>8</v>
      </c>
    </row>
    <row r="52" spans="1:4" x14ac:dyDescent="0.35">
      <c r="A52" s="8">
        <v>4004150</v>
      </c>
      <c r="B52" s="15">
        <v>342676</v>
      </c>
      <c r="C52" s="6">
        <v>29</v>
      </c>
      <c r="D52" s="15">
        <v>200</v>
      </c>
    </row>
    <row r="53" spans="1:4" x14ac:dyDescent="0.35">
      <c r="A53" s="8">
        <v>4003346</v>
      </c>
      <c r="B53" s="15">
        <v>340851</v>
      </c>
      <c r="C53" s="6">
        <v>33</v>
      </c>
      <c r="D53" s="15">
        <v>10.88</v>
      </c>
    </row>
    <row r="54" spans="1:4" x14ac:dyDescent="0.35">
      <c r="A54" s="8">
        <v>4035971</v>
      </c>
      <c r="B54" s="15">
        <v>337844.6</v>
      </c>
      <c r="C54" s="6">
        <v>18</v>
      </c>
      <c r="D54" s="15">
        <v>48.25</v>
      </c>
    </row>
    <row r="55" spans="1:4" x14ac:dyDescent="0.35">
      <c r="A55" s="8">
        <v>4044466</v>
      </c>
      <c r="B55" s="15">
        <v>336960</v>
      </c>
      <c r="C55" s="6">
        <v>5</v>
      </c>
      <c r="D55" s="15">
        <v>36</v>
      </c>
    </row>
    <row r="56" spans="1:4" x14ac:dyDescent="0.35">
      <c r="A56" s="8">
        <v>4003002</v>
      </c>
      <c r="B56" s="15">
        <v>335872</v>
      </c>
      <c r="C56" s="6">
        <v>29</v>
      </c>
      <c r="D56" s="15">
        <v>50</v>
      </c>
    </row>
    <row r="57" spans="1:4" x14ac:dyDescent="0.35">
      <c r="A57" s="8">
        <v>4009250</v>
      </c>
      <c r="B57" s="15">
        <v>335616</v>
      </c>
      <c r="C57" s="6">
        <v>37</v>
      </c>
      <c r="D57" s="15">
        <v>8</v>
      </c>
    </row>
    <row r="58" spans="1:4" x14ac:dyDescent="0.35">
      <c r="A58" s="8">
        <v>4008438</v>
      </c>
      <c r="B58" s="15">
        <v>330480</v>
      </c>
      <c r="C58" s="6">
        <v>51</v>
      </c>
      <c r="D58" s="15">
        <v>58.82</v>
      </c>
    </row>
    <row r="59" spans="1:4" x14ac:dyDescent="0.35">
      <c r="A59" s="8">
        <v>4036744</v>
      </c>
      <c r="B59" s="15">
        <v>330249.8</v>
      </c>
      <c r="C59" s="6">
        <v>15</v>
      </c>
      <c r="D59" s="15">
        <v>8.99</v>
      </c>
    </row>
    <row r="60" spans="1:4" x14ac:dyDescent="0.35">
      <c r="A60" s="8">
        <v>4008465</v>
      </c>
      <c r="B60" s="15">
        <v>326924</v>
      </c>
      <c r="C60" s="6">
        <v>28</v>
      </c>
      <c r="D60" s="15">
        <v>69.790000000000006</v>
      </c>
    </row>
    <row r="61" spans="1:4" x14ac:dyDescent="0.35">
      <c r="A61" s="8">
        <v>4006368</v>
      </c>
      <c r="B61" s="15">
        <v>317588.8</v>
      </c>
      <c r="C61" s="6">
        <v>40</v>
      </c>
      <c r="D61" s="15">
        <v>10</v>
      </c>
    </row>
    <row r="62" spans="1:4" x14ac:dyDescent="0.35">
      <c r="A62" s="8">
        <v>4008462</v>
      </c>
      <c r="B62" s="15">
        <v>314825</v>
      </c>
      <c r="C62" s="6">
        <v>35</v>
      </c>
      <c r="D62" s="15">
        <v>7</v>
      </c>
    </row>
    <row r="63" spans="1:4" x14ac:dyDescent="0.35">
      <c r="A63" s="8">
        <v>4032343</v>
      </c>
      <c r="B63" s="15">
        <v>313896</v>
      </c>
      <c r="C63" s="6">
        <v>15</v>
      </c>
      <c r="D63" s="15">
        <v>5.2</v>
      </c>
    </row>
    <row r="64" spans="1:4" x14ac:dyDescent="0.35">
      <c r="A64" s="8">
        <v>4002741</v>
      </c>
      <c r="B64" s="15">
        <v>309280</v>
      </c>
      <c r="C64" s="6">
        <v>31</v>
      </c>
      <c r="D64" s="15">
        <v>8.5</v>
      </c>
    </row>
    <row r="65" spans="1:4" x14ac:dyDescent="0.35">
      <c r="A65" s="8">
        <v>4002743</v>
      </c>
      <c r="B65" s="15">
        <v>308160</v>
      </c>
      <c r="C65" s="6">
        <v>14</v>
      </c>
      <c r="D65" s="15">
        <v>9.14</v>
      </c>
    </row>
    <row r="66" spans="1:4" x14ac:dyDescent="0.35">
      <c r="A66" s="8">
        <v>4002745</v>
      </c>
      <c r="B66" s="15">
        <v>303008</v>
      </c>
      <c r="C66" s="6">
        <v>14</v>
      </c>
      <c r="D66" s="15">
        <v>9.14</v>
      </c>
    </row>
    <row r="67" spans="1:4" x14ac:dyDescent="0.35">
      <c r="A67" s="8">
        <v>4036675</v>
      </c>
      <c r="B67" s="15">
        <v>301320</v>
      </c>
      <c r="C67" s="6">
        <v>26</v>
      </c>
      <c r="D67" s="15">
        <v>6.67</v>
      </c>
    </row>
    <row r="68" spans="1:4" x14ac:dyDescent="0.35">
      <c r="A68" s="8">
        <v>4035957</v>
      </c>
      <c r="B68" s="15">
        <v>300446.40000000002</v>
      </c>
      <c r="C68" s="6">
        <v>23</v>
      </c>
      <c r="D68" s="15">
        <v>39.36</v>
      </c>
    </row>
    <row r="69" spans="1:4" x14ac:dyDescent="0.35">
      <c r="A69" s="8">
        <v>4009221</v>
      </c>
      <c r="B69" s="15">
        <v>296400</v>
      </c>
      <c r="C69" s="6">
        <v>11</v>
      </c>
      <c r="D69" s="15">
        <v>12.73</v>
      </c>
    </row>
    <row r="70" spans="1:4" x14ac:dyDescent="0.35">
      <c r="A70" s="8">
        <v>4045081</v>
      </c>
      <c r="B70" s="15">
        <v>294720</v>
      </c>
      <c r="C70" s="6">
        <v>2</v>
      </c>
      <c r="D70" s="15">
        <v>20</v>
      </c>
    </row>
    <row r="71" spans="1:4" x14ac:dyDescent="0.35">
      <c r="A71" s="8">
        <v>4036755</v>
      </c>
      <c r="B71" s="15">
        <v>285450</v>
      </c>
      <c r="C71" s="6">
        <v>9</v>
      </c>
      <c r="D71" s="15">
        <v>6.11</v>
      </c>
    </row>
    <row r="72" spans="1:4" x14ac:dyDescent="0.35">
      <c r="A72" s="8">
        <v>4008280</v>
      </c>
      <c r="B72" s="15">
        <v>276280</v>
      </c>
      <c r="C72" s="6">
        <v>8</v>
      </c>
      <c r="D72" s="15">
        <v>3.63</v>
      </c>
    </row>
    <row r="73" spans="1:4" x14ac:dyDescent="0.35">
      <c r="A73" s="8">
        <v>4002684</v>
      </c>
      <c r="B73" s="15">
        <v>272300</v>
      </c>
      <c r="C73" s="6">
        <v>35</v>
      </c>
      <c r="D73" s="15">
        <v>20</v>
      </c>
    </row>
    <row r="74" spans="1:4" x14ac:dyDescent="0.35">
      <c r="A74" s="8">
        <v>4000024</v>
      </c>
      <c r="B74" s="15">
        <v>270685.44</v>
      </c>
      <c r="C74" s="6">
        <v>9</v>
      </c>
      <c r="D74" s="15">
        <v>48</v>
      </c>
    </row>
    <row r="75" spans="1:4" x14ac:dyDescent="0.35">
      <c r="A75" s="8">
        <v>4009899</v>
      </c>
      <c r="B75" s="15">
        <v>269048</v>
      </c>
      <c r="C75" s="6">
        <v>41</v>
      </c>
      <c r="D75" s="15">
        <v>4</v>
      </c>
    </row>
    <row r="76" spans="1:4" x14ac:dyDescent="0.35">
      <c r="A76" s="8">
        <v>4008096</v>
      </c>
      <c r="B76" s="15">
        <v>264202.8</v>
      </c>
      <c r="C76" s="6">
        <v>29</v>
      </c>
      <c r="D76" s="15">
        <v>14.97</v>
      </c>
    </row>
    <row r="77" spans="1:4" x14ac:dyDescent="0.35">
      <c r="A77" s="8">
        <v>4000314</v>
      </c>
      <c r="B77" s="15">
        <v>261550</v>
      </c>
      <c r="C77" s="6">
        <v>26</v>
      </c>
      <c r="D77" s="15">
        <v>11.92</v>
      </c>
    </row>
    <row r="78" spans="1:4" x14ac:dyDescent="0.35">
      <c r="A78" s="8">
        <v>4002738</v>
      </c>
      <c r="B78" s="15">
        <v>253856</v>
      </c>
      <c r="C78" s="6">
        <v>2</v>
      </c>
      <c r="D78" s="15">
        <v>160</v>
      </c>
    </row>
    <row r="79" spans="1:4" x14ac:dyDescent="0.35">
      <c r="A79" s="8">
        <v>4045338</v>
      </c>
      <c r="B79" s="15">
        <v>253350</v>
      </c>
      <c r="C79" s="6">
        <v>4</v>
      </c>
      <c r="D79" s="15">
        <v>2.5</v>
      </c>
    </row>
    <row r="80" spans="1:4" x14ac:dyDescent="0.35">
      <c r="A80" s="8">
        <v>4008436</v>
      </c>
      <c r="B80" s="15">
        <v>250681.2</v>
      </c>
      <c r="C80" s="6">
        <v>20</v>
      </c>
      <c r="D80" s="15">
        <v>19.399999999999999</v>
      </c>
    </row>
    <row r="81" spans="1:4" x14ac:dyDescent="0.35">
      <c r="A81" s="8">
        <v>4009909</v>
      </c>
      <c r="B81" s="15">
        <v>249216</v>
      </c>
      <c r="C81" s="6">
        <v>58</v>
      </c>
      <c r="D81" s="15">
        <v>4.07</v>
      </c>
    </row>
    <row r="82" spans="1:4" x14ac:dyDescent="0.35">
      <c r="A82" s="8">
        <v>4008121</v>
      </c>
      <c r="B82" s="15">
        <v>236600</v>
      </c>
      <c r="C82" s="6">
        <v>25</v>
      </c>
      <c r="D82" s="15">
        <v>14.56</v>
      </c>
    </row>
    <row r="83" spans="1:4" x14ac:dyDescent="0.35">
      <c r="A83" s="8">
        <v>4036481</v>
      </c>
      <c r="B83" s="15">
        <v>234864.84</v>
      </c>
      <c r="C83" s="6">
        <v>10</v>
      </c>
      <c r="D83" s="15">
        <v>67.3</v>
      </c>
    </row>
    <row r="84" spans="1:4" x14ac:dyDescent="0.35">
      <c r="A84" s="8">
        <v>4006027</v>
      </c>
      <c r="B84" s="15">
        <v>225368</v>
      </c>
      <c r="C84" s="6">
        <v>36</v>
      </c>
      <c r="D84" s="15">
        <v>10</v>
      </c>
    </row>
    <row r="85" spans="1:4" x14ac:dyDescent="0.35">
      <c r="A85" s="8">
        <v>4008212</v>
      </c>
      <c r="B85" s="15">
        <v>216468.8</v>
      </c>
      <c r="C85" s="6">
        <v>11</v>
      </c>
      <c r="D85" s="15">
        <v>2</v>
      </c>
    </row>
    <row r="86" spans="1:4" x14ac:dyDescent="0.35">
      <c r="A86" s="8">
        <v>4006370</v>
      </c>
      <c r="B86" s="15">
        <v>205056</v>
      </c>
      <c r="C86" s="6">
        <v>65</v>
      </c>
      <c r="D86" s="15">
        <v>2</v>
      </c>
    </row>
    <row r="87" spans="1:4" x14ac:dyDescent="0.35">
      <c r="A87" s="8">
        <v>4004360</v>
      </c>
      <c r="B87" s="15">
        <v>203375</v>
      </c>
      <c r="C87" s="6">
        <v>53</v>
      </c>
      <c r="D87" s="15">
        <v>1.06</v>
      </c>
    </row>
    <row r="88" spans="1:4" x14ac:dyDescent="0.35">
      <c r="A88" s="8">
        <v>4005876</v>
      </c>
      <c r="B88" s="15">
        <v>199274</v>
      </c>
      <c r="C88" s="6">
        <v>17</v>
      </c>
      <c r="D88" s="15">
        <v>8.94</v>
      </c>
    </row>
    <row r="89" spans="1:4" x14ac:dyDescent="0.35">
      <c r="A89" s="8">
        <v>4002740</v>
      </c>
      <c r="B89" s="15">
        <v>199064</v>
      </c>
      <c r="C89" s="6">
        <v>20</v>
      </c>
      <c r="D89" s="15">
        <v>8.8000000000000007</v>
      </c>
    </row>
    <row r="90" spans="1:4" x14ac:dyDescent="0.35">
      <c r="A90" s="8">
        <v>4009476</v>
      </c>
      <c r="B90" s="15">
        <v>197625</v>
      </c>
      <c r="C90" s="6">
        <v>15</v>
      </c>
      <c r="D90" s="15">
        <v>25.83</v>
      </c>
    </row>
    <row r="91" spans="1:4" x14ac:dyDescent="0.35">
      <c r="A91" s="8">
        <v>4008213</v>
      </c>
      <c r="B91" s="15">
        <v>196647.7</v>
      </c>
      <c r="C91" s="6">
        <v>10</v>
      </c>
      <c r="D91" s="15">
        <v>2</v>
      </c>
    </row>
    <row r="92" spans="1:4" x14ac:dyDescent="0.35">
      <c r="A92" s="8">
        <v>4035956</v>
      </c>
      <c r="B92" s="15">
        <v>193719.84</v>
      </c>
      <c r="C92" s="6">
        <v>14</v>
      </c>
      <c r="D92" s="15">
        <v>37.409999999999997</v>
      </c>
    </row>
    <row r="93" spans="1:4" x14ac:dyDescent="0.35">
      <c r="A93" s="8">
        <v>4009078</v>
      </c>
      <c r="B93" s="15">
        <v>193480</v>
      </c>
      <c r="C93" s="6">
        <v>5</v>
      </c>
      <c r="D93" s="15">
        <v>1600</v>
      </c>
    </row>
    <row r="94" spans="1:4" x14ac:dyDescent="0.35">
      <c r="A94" s="8">
        <v>4000090</v>
      </c>
      <c r="B94" s="15">
        <v>191655.84</v>
      </c>
      <c r="C94" s="6">
        <v>27</v>
      </c>
      <c r="D94" s="15">
        <v>10.07</v>
      </c>
    </row>
    <row r="95" spans="1:4" x14ac:dyDescent="0.35">
      <c r="A95" s="8">
        <v>4036669</v>
      </c>
      <c r="B95" s="15">
        <v>190095</v>
      </c>
      <c r="C95" s="6">
        <v>25</v>
      </c>
      <c r="D95" s="15">
        <v>5.58</v>
      </c>
    </row>
    <row r="96" spans="1:4" x14ac:dyDescent="0.35">
      <c r="A96" s="8">
        <v>4006450</v>
      </c>
      <c r="B96" s="15">
        <v>189000</v>
      </c>
      <c r="C96" s="6">
        <v>14</v>
      </c>
      <c r="D96" s="15">
        <v>4</v>
      </c>
    </row>
    <row r="97" spans="1:4" x14ac:dyDescent="0.35">
      <c r="A97" s="8">
        <v>4045026</v>
      </c>
      <c r="B97" s="15">
        <v>188349.7</v>
      </c>
      <c r="C97" s="6">
        <v>10</v>
      </c>
      <c r="D97" s="15">
        <v>13</v>
      </c>
    </row>
    <row r="98" spans="1:4" x14ac:dyDescent="0.35">
      <c r="A98" s="8">
        <v>4044449</v>
      </c>
      <c r="B98" s="15">
        <v>180648</v>
      </c>
      <c r="C98" s="6">
        <v>2</v>
      </c>
      <c r="D98" s="15">
        <v>75</v>
      </c>
    </row>
    <row r="99" spans="1:4" x14ac:dyDescent="0.35">
      <c r="A99" s="8">
        <v>4003208</v>
      </c>
      <c r="B99" s="15">
        <v>176670</v>
      </c>
      <c r="C99" s="6">
        <v>23</v>
      </c>
      <c r="D99" s="15">
        <v>12.58</v>
      </c>
    </row>
    <row r="100" spans="1:4" x14ac:dyDescent="0.35">
      <c r="A100" s="8">
        <v>4045373</v>
      </c>
      <c r="B100" s="15">
        <v>174204.9</v>
      </c>
      <c r="C100" s="6">
        <v>1</v>
      </c>
      <c r="D100" s="15">
        <v>10</v>
      </c>
    </row>
    <row r="101" spans="1:4" x14ac:dyDescent="0.35">
      <c r="A101" s="8">
        <v>4045032</v>
      </c>
      <c r="B101" s="15">
        <v>174000</v>
      </c>
      <c r="C101" s="6">
        <v>1</v>
      </c>
      <c r="D101" s="15">
        <v>2</v>
      </c>
    </row>
    <row r="102" spans="1:4" x14ac:dyDescent="0.35">
      <c r="A102" s="8">
        <v>4006210</v>
      </c>
      <c r="B102" s="15">
        <v>171961.3</v>
      </c>
      <c r="C102" s="6">
        <v>43</v>
      </c>
      <c r="D102" s="15">
        <v>7</v>
      </c>
    </row>
    <row r="103" spans="1:4" x14ac:dyDescent="0.35">
      <c r="A103" s="8">
        <v>4036778</v>
      </c>
      <c r="B103" s="15">
        <v>171504</v>
      </c>
      <c r="C103" s="6">
        <v>34</v>
      </c>
      <c r="D103" s="15">
        <v>6.35</v>
      </c>
    </row>
    <row r="104" spans="1:4" x14ac:dyDescent="0.35">
      <c r="A104" s="8">
        <v>4004891</v>
      </c>
      <c r="B104" s="15">
        <v>168740</v>
      </c>
      <c r="C104" s="6">
        <v>30</v>
      </c>
      <c r="D104" s="15">
        <v>7.87</v>
      </c>
    </row>
    <row r="105" spans="1:4" x14ac:dyDescent="0.35">
      <c r="A105" s="8">
        <v>4006023</v>
      </c>
      <c r="B105" s="15">
        <v>167160</v>
      </c>
      <c r="C105" s="6">
        <v>28</v>
      </c>
      <c r="D105" s="15">
        <v>15</v>
      </c>
    </row>
    <row r="106" spans="1:4" x14ac:dyDescent="0.35">
      <c r="A106" s="8">
        <v>4005446</v>
      </c>
      <c r="B106" s="15">
        <v>164800</v>
      </c>
      <c r="C106" s="6">
        <v>11</v>
      </c>
      <c r="D106" s="15">
        <v>4</v>
      </c>
    </row>
    <row r="107" spans="1:4" x14ac:dyDescent="0.35">
      <c r="A107" s="8">
        <v>4000319</v>
      </c>
      <c r="B107" s="15">
        <v>163710</v>
      </c>
      <c r="C107" s="6">
        <v>23</v>
      </c>
      <c r="D107" s="15">
        <v>6</v>
      </c>
    </row>
    <row r="108" spans="1:4" x14ac:dyDescent="0.35">
      <c r="A108" s="8">
        <v>4008448</v>
      </c>
      <c r="B108" s="15">
        <v>159495</v>
      </c>
      <c r="C108" s="6">
        <v>31</v>
      </c>
      <c r="D108" s="15">
        <v>7</v>
      </c>
    </row>
    <row r="109" spans="1:4" x14ac:dyDescent="0.35">
      <c r="A109" s="8">
        <v>4007769</v>
      </c>
      <c r="B109" s="15">
        <v>157320</v>
      </c>
      <c r="C109" s="6">
        <v>21</v>
      </c>
      <c r="D109" s="15">
        <v>5.71</v>
      </c>
    </row>
    <row r="110" spans="1:4" x14ac:dyDescent="0.35">
      <c r="A110" s="8">
        <v>4009223</v>
      </c>
      <c r="B110" s="15">
        <v>150155</v>
      </c>
      <c r="C110" s="6">
        <v>10</v>
      </c>
      <c r="D110" s="15">
        <v>10</v>
      </c>
    </row>
    <row r="111" spans="1:4" x14ac:dyDescent="0.35">
      <c r="A111" s="8">
        <v>4002898</v>
      </c>
      <c r="B111" s="15">
        <v>149688</v>
      </c>
      <c r="C111" s="6">
        <v>33</v>
      </c>
      <c r="D111" s="15">
        <v>24</v>
      </c>
    </row>
    <row r="112" spans="1:4" x14ac:dyDescent="0.35">
      <c r="A112" s="8">
        <v>4038586</v>
      </c>
      <c r="B112" s="15">
        <v>145400</v>
      </c>
      <c r="C112" s="6">
        <v>10</v>
      </c>
      <c r="D112" s="15">
        <v>5</v>
      </c>
    </row>
    <row r="113" spans="1:4" x14ac:dyDescent="0.35">
      <c r="A113" s="8">
        <v>4044461</v>
      </c>
      <c r="B113" s="15">
        <v>143322.12</v>
      </c>
      <c r="C113" s="6">
        <v>2</v>
      </c>
      <c r="D113" s="15">
        <v>12</v>
      </c>
    </row>
    <row r="114" spans="1:4" x14ac:dyDescent="0.35">
      <c r="A114" s="8">
        <v>4002739</v>
      </c>
      <c r="B114" s="15">
        <v>141677.12</v>
      </c>
      <c r="C114" s="6">
        <v>9</v>
      </c>
      <c r="D114" s="15">
        <v>19.559999999999999</v>
      </c>
    </row>
    <row r="115" spans="1:4" x14ac:dyDescent="0.35">
      <c r="A115" s="8">
        <v>4035972</v>
      </c>
      <c r="B115" s="15">
        <v>139501.44</v>
      </c>
      <c r="C115" s="6">
        <v>12</v>
      </c>
      <c r="D115" s="15">
        <v>30.46</v>
      </c>
    </row>
    <row r="116" spans="1:4" x14ac:dyDescent="0.35">
      <c r="A116" s="8">
        <v>4038553</v>
      </c>
      <c r="B116" s="15">
        <v>138956.4</v>
      </c>
      <c r="C116" s="6">
        <v>10</v>
      </c>
      <c r="D116" s="15">
        <v>3.6</v>
      </c>
    </row>
    <row r="117" spans="1:4" x14ac:dyDescent="0.35">
      <c r="A117" s="8">
        <v>4002686</v>
      </c>
      <c r="B117" s="15">
        <v>138198.15</v>
      </c>
      <c r="C117" s="6">
        <v>5</v>
      </c>
      <c r="D117" s="15">
        <v>15</v>
      </c>
    </row>
    <row r="118" spans="1:4" x14ac:dyDescent="0.35">
      <c r="A118" s="8">
        <v>4008247</v>
      </c>
      <c r="B118" s="15">
        <v>135000</v>
      </c>
      <c r="C118" s="6">
        <v>35</v>
      </c>
      <c r="D118" s="15">
        <v>8</v>
      </c>
    </row>
    <row r="119" spans="1:4" x14ac:dyDescent="0.35">
      <c r="A119" s="8">
        <v>4009912</v>
      </c>
      <c r="B119" s="15">
        <v>134528.98000000001</v>
      </c>
      <c r="C119" s="6">
        <v>36</v>
      </c>
      <c r="D119" s="15">
        <v>2.17</v>
      </c>
    </row>
    <row r="120" spans="1:4" x14ac:dyDescent="0.35">
      <c r="A120" s="8">
        <v>4007774</v>
      </c>
      <c r="B120" s="15">
        <v>133740</v>
      </c>
      <c r="C120" s="6">
        <v>22</v>
      </c>
      <c r="D120" s="15">
        <v>8.18</v>
      </c>
    </row>
    <row r="121" spans="1:4" x14ac:dyDescent="0.35">
      <c r="A121" s="8">
        <v>4006771</v>
      </c>
      <c r="B121" s="15">
        <v>131322</v>
      </c>
      <c r="C121" s="6">
        <v>51</v>
      </c>
      <c r="D121" s="15">
        <v>6.12</v>
      </c>
    </row>
    <row r="122" spans="1:4" x14ac:dyDescent="0.35">
      <c r="A122" s="8">
        <v>4004041</v>
      </c>
      <c r="B122" s="15">
        <v>131080</v>
      </c>
      <c r="C122" s="6">
        <v>49</v>
      </c>
      <c r="D122" s="15">
        <v>8</v>
      </c>
    </row>
    <row r="123" spans="1:4" x14ac:dyDescent="0.35">
      <c r="A123" s="8">
        <v>4006088</v>
      </c>
      <c r="B123" s="15">
        <v>130194</v>
      </c>
      <c r="C123" s="6">
        <v>47</v>
      </c>
      <c r="D123" s="15">
        <v>22.06</v>
      </c>
    </row>
    <row r="124" spans="1:4" x14ac:dyDescent="0.35">
      <c r="A124" s="8">
        <v>4009913</v>
      </c>
      <c r="B124" s="15">
        <v>126311.44</v>
      </c>
      <c r="C124" s="6">
        <v>36</v>
      </c>
      <c r="D124" s="15">
        <v>2.0499999999999998</v>
      </c>
    </row>
    <row r="125" spans="1:4" x14ac:dyDescent="0.35">
      <c r="A125" s="8">
        <v>4045025</v>
      </c>
      <c r="B125" s="15">
        <v>124034.92</v>
      </c>
      <c r="C125" s="6">
        <v>9</v>
      </c>
      <c r="D125" s="15">
        <v>4.67</v>
      </c>
    </row>
    <row r="126" spans="1:4" x14ac:dyDescent="0.35">
      <c r="A126" s="8">
        <v>4038574</v>
      </c>
      <c r="B126" s="15">
        <v>123840</v>
      </c>
      <c r="C126" s="6">
        <v>5</v>
      </c>
      <c r="D126" s="15">
        <v>8.4</v>
      </c>
    </row>
    <row r="127" spans="1:4" x14ac:dyDescent="0.35">
      <c r="A127" s="8">
        <v>4005880</v>
      </c>
      <c r="B127" s="15">
        <v>123360</v>
      </c>
      <c r="C127" s="6">
        <v>16</v>
      </c>
      <c r="D127" s="15">
        <v>6</v>
      </c>
    </row>
    <row r="128" spans="1:4" x14ac:dyDescent="0.35">
      <c r="A128" s="8">
        <v>4038567</v>
      </c>
      <c r="B128" s="15">
        <v>122331</v>
      </c>
      <c r="C128" s="6">
        <v>4</v>
      </c>
      <c r="D128" s="15">
        <v>8.5</v>
      </c>
    </row>
    <row r="129" spans="1:4" x14ac:dyDescent="0.35">
      <c r="A129" s="8">
        <v>4036671</v>
      </c>
      <c r="B129" s="15">
        <v>121784</v>
      </c>
      <c r="C129" s="6">
        <v>36</v>
      </c>
      <c r="D129" s="15">
        <v>2.54</v>
      </c>
    </row>
    <row r="130" spans="1:4" x14ac:dyDescent="0.35">
      <c r="A130" s="8">
        <v>4003906</v>
      </c>
      <c r="B130" s="15">
        <v>121680</v>
      </c>
      <c r="C130" s="6">
        <v>22</v>
      </c>
      <c r="D130" s="15">
        <v>23.91</v>
      </c>
    </row>
    <row r="131" spans="1:4" x14ac:dyDescent="0.35">
      <c r="A131" s="8">
        <v>4006451</v>
      </c>
      <c r="B131" s="15">
        <v>121500</v>
      </c>
      <c r="C131" s="6">
        <v>9</v>
      </c>
      <c r="D131" s="15">
        <v>4</v>
      </c>
    </row>
    <row r="132" spans="1:4" x14ac:dyDescent="0.35">
      <c r="A132" s="8">
        <v>4003004</v>
      </c>
      <c r="B132" s="15">
        <v>121348.8</v>
      </c>
      <c r="C132" s="6">
        <v>13</v>
      </c>
      <c r="D132" s="15">
        <v>30</v>
      </c>
    </row>
    <row r="133" spans="1:4" x14ac:dyDescent="0.35">
      <c r="A133" s="8">
        <v>4005791</v>
      </c>
      <c r="B133" s="15">
        <v>120600</v>
      </c>
      <c r="C133" s="6">
        <v>24</v>
      </c>
      <c r="D133" s="15">
        <v>4</v>
      </c>
    </row>
    <row r="134" spans="1:4" x14ac:dyDescent="0.35">
      <c r="A134" s="8">
        <v>4035930</v>
      </c>
      <c r="B134" s="15">
        <v>120180</v>
      </c>
      <c r="C134" s="6">
        <v>29</v>
      </c>
      <c r="D134" s="15">
        <v>5.28</v>
      </c>
    </row>
    <row r="135" spans="1:4" x14ac:dyDescent="0.35">
      <c r="A135" s="8">
        <v>4004039</v>
      </c>
      <c r="B135" s="15">
        <v>120072.28</v>
      </c>
      <c r="C135" s="6">
        <v>22</v>
      </c>
      <c r="D135" s="15">
        <v>5.85</v>
      </c>
    </row>
    <row r="136" spans="1:4" x14ac:dyDescent="0.35">
      <c r="A136" s="8">
        <v>4035935</v>
      </c>
      <c r="B136" s="15">
        <v>117982</v>
      </c>
      <c r="C136" s="6">
        <v>1</v>
      </c>
      <c r="D136" s="15">
        <v>20</v>
      </c>
    </row>
    <row r="137" spans="1:4" x14ac:dyDescent="0.35">
      <c r="A137" s="8">
        <v>4008211</v>
      </c>
      <c r="B137" s="15">
        <v>117884.4</v>
      </c>
      <c r="C137" s="6">
        <v>6</v>
      </c>
      <c r="D137" s="15">
        <v>2</v>
      </c>
    </row>
    <row r="138" spans="1:4" x14ac:dyDescent="0.35">
      <c r="A138" s="8">
        <v>4006778</v>
      </c>
      <c r="B138" s="15">
        <v>116470.75</v>
      </c>
      <c r="C138" s="6">
        <v>18</v>
      </c>
      <c r="D138" s="15">
        <v>6.71</v>
      </c>
    </row>
    <row r="139" spans="1:4" x14ac:dyDescent="0.35">
      <c r="A139" s="8">
        <v>4044460</v>
      </c>
      <c r="B139" s="15">
        <v>115216</v>
      </c>
      <c r="C139" s="6">
        <v>5</v>
      </c>
      <c r="D139" s="15">
        <v>1.33</v>
      </c>
    </row>
    <row r="140" spans="1:4" x14ac:dyDescent="0.35">
      <c r="A140" s="8">
        <v>4000966</v>
      </c>
      <c r="B140" s="15">
        <v>114120</v>
      </c>
      <c r="C140" s="6">
        <v>31</v>
      </c>
      <c r="D140" s="15">
        <v>3.9</v>
      </c>
    </row>
    <row r="141" spans="1:4" x14ac:dyDescent="0.35">
      <c r="A141" s="8">
        <v>4008508</v>
      </c>
      <c r="B141" s="15">
        <v>113966.44</v>
      </c>
      <c r="C141" s="6">
        <v>29</v>
      </c>
      <c r="D141" s="15">
        <v>2.2999999999999998</v>
      </c>
    </row>
    <row r="142" spans="1:4" x14ac:dyDescent="0.35">
      <c r="A142" s="8">
        <v>4008507</v>
      </c>
      <c r="B142" s="15">
        <v>113550.54</v>
      </c>
      <c r="C142" s="6">
        <v>33</v>
      </c>
      <c r="D142" s="15">
        <v>2.11</v>
      </c>
    </row>
    <row r="143" spans="1:4" x14ac:dyDescent="0.35">
      <c r="A143" s="8">
        <v>4008441</v>
      </c>
      <c r="B143" s="15">
        <v>111600</v>
      </c>
      <c r="C143" s="6">
        <v>18</v>
      </c>
      <c r="D143" s="15">
        <v>100</v>
      </c>
    </row>
    <row r="144" spans="1:4" x14ac:dyDescent="0.35">
      <c r="A144" s="8">
        <v>4008099</v>
      </c>
      <c r="B144" s="15">
        <v>107666</v>
      </c>
      <c r="C144" s="6">
        <v>37</v>
      </c>
      <c r="D144" s="15">
        <v>4.1100000000000003</v>
      </c>
    </row>
    <row r="145" spans="1:4" x14ac:dyDescent="0.35">
      <c r="A145" s="8">
        <v>4002277</v>
      </c>
      <c r="B145" s="15">
        <v>107000</v>
      </c>
      <c r="C145" s="6">
        <v>36</v>
      </c>
      <c r="D145" s="15">
        <v>29.72</v>
      </c>
    </row>
    <row r="146" spans="1:4" x14ac:dyDescent="0.35">
      <c r="A146" s="8">
        <v>4035959</v>
      </c>
      <c r="B146" s="15">
        <v>106412.4</v>
      </c>
      <c r="C146" s="6">
        <v>29</v>
      </c>
      <c r="D146" s="15">
        <v>10.78</v>
      </c>
    </row>
    <row r="147" spans="1:4" x14ac:dyDescent="0.35">
      <c r="A147" s="8">
        <v>4003887</v>
      </c>
      <c r="B147" s="15">
        <v>106044.8</v>
      </c>
      <c r="C147" s="6">
        <v>46</v>
      </c>
      <c r="D147" s="15">
        <v>40</v>
      </c>
    </row>
    <row r="148" spans="1:4" x14ac:dyDescent="0.35">
      <c r="A148" s="8">
        <v>4008345</v>
      </c>
      <c r="B148" s="15">
        <v>103740</v>
      </c>
      <c r="C148" s="6">
        <v>35</v>
      </c>
      <c r="D148" s="15">
        <v>6</v>
      </c>
    </row>
    <row r="149" spans="1:4" x14ac:dyDescent="0.35">
      <c r="A149" s="8">
        <v>4002737</v>
      </c>
      <c r="B149" s="15">
        <v>103341.68</v>
      </c>
      <c r="C149" s="6">
        <v>14</v>
      </c>
      <c r="D149" s="15">
        <v>9.14</v>
      </c>
    </row>
    <row r="150" spans="1:4" x14ac:dyDescent="0.35">
      <c r="A150" s="8">
        <v>4009910</v>
      </c>
      <c r="B150" s="15">
        <v>102507</v>
      </c>
      <c r="C150" s="6">
        <v>16</v>
      </c>
      <c r="D150" s="15">
        <v>4.38</v>
      </c>
    </row>
    <row r="151" spans="1:4" x14ac:dyDescent="0.35">
      <c r="A151" s="8">
        <v>4008379</v>
      </c>
      <c r="B151" s="15">
        <v>101463.76</v>
      </c>
      <c r="C151" s="6">
        <v>42</v>
      </c>
      <c r="D151" s="15">
        <v>3.98</v>
      </c>
    </row>
    <row r="152" spans="1:4" x14ac:dyDescent="0.35">
      <c r="A152" s="8">
        <v>4033704</v>
      </c>
      <c r="B152" s="15">
        <v>101425</v>
      </c>
      <c r="C152" s="6">
        <v>13</v>
      </c>
      <c r="D152" s="15">
        <v>2.12</v>
      </c>
    </row>
    <row r="153" spans="1:4" x14ac:dyDescent="0.35">
      <c r="A153" s="8">
        <v>4002292</v>
      </c>
      <c r="B153" s="15">
        <v>100136.7</v>
      </c>
      <c r="C153" s="6">
        <v>21</v>
      </c>
      <c r="D153" s="15">
        <v>5</v>
      </c>
    </row>
    <row r="154" spans="1:4" x14ac:dyDescent="0.35">
      <c r="A154" s="8">
        <v>4006188</v>
      </c>
      <c r="B154" s="15">
        <v>99360</v>
      </c>
      <c r="C154" s="6">
        <v>33</v>
      </c>
      <c r="D154" s="15">
        <v>6.55</v>
      </c>
    </row>
    <row r="155" spans="1:4" x14ac:dyDescent="0.35">
      <c r="A155" s="8">
        <v>4006094</v>
      </c>
      <c r="B155" s="15">
        <v>99108</v>
      </c>
      <c r="C155" s="6">
        <v>40</v>
      </c>
      <c r="D155" s="15">
        <v>6</v>
      </c>
    </row>
    <row r="156" spans="1:4" x14ac:dyDescent="0.35">
      <c r="A156" s="8">
        <v>4036757</v>
      </c>
      <c r="B156" s="15">
        <v>97198.15</v>
      </c>
      <c r="C156" s="6">
        <v>11</v>
      </c>
      <c r="D156" s="15">
        <v>5.45</v>
      </c>
    </row>
    <row r="157" spans="1:4" x14ac:dyDescent="0.35">
      <c r="A157" s="8">
        <v>4032344</v>
      </c>
      <c r="B157" s="15">
        <v>96844</v>
      </c>
      <c r="C157" s="6">
        <v>11</v>
      </c>
      <c r="D157" s="15">
        <v>2</v>
      </c>
    </row>
    <row r="158" spans="1:4" x14ac:dyDescent="0.35">
      <c r="A158" s="8">
        <v>4045337</v>
      </c>
      <c r="B158" s="15">
        <v>96520</v>
      </c>
      <c r="C158" s="6">
        <v>3</v>
      </c>
      <c r="D158" s="15">
        <v>2.67</v>
      </c>
    </row>
    <row r="159" spans="1:4" x14ac:dyDescent="0.35">
      <c r="A159" s="8">
        <v>4035931</v>
      </c>
      <c r="B159" s="15">
        <v>96300</v>
      </c>
      <c r="C159" s="6">
        <v>21</v>
      </c>
      <c r="D159" s="15">
        <v>5.14</v>
      </c>
    </row>
    <row r="160" spans="1:4" x14ac:dyDescent="0.35">
      <c r="A160" s="8">
        <v>4004250</v>
      </c>
      <c r="B160" s="15">
        <v>96000</v>
      </c>
      <c r="C160" s="6">
        <v>5</v>
      </c>
      <c r="D160" s="15">
        <v>15</v>
      </c>
    </row>
    <row r="161" spans="1:4" x14ac:dyDescent="0.35">
      <c r="A161" s="8">
        <v>4009911</v>
      </c>
      <c r="B161" s="15">
        <v>95060</v>
      </c>
      <c r="C161" s="6">
        <v>13</v>
      </c>
      <c r="D161" s="15">
        <v>4</v>
      </c>
    </row>
    <row r="162" spans="1:4" x14ac:dyDescent="0.35">
      <c r="A162" s="8">
        <v>4005955</v>
      </c>
      <c r="B162" s="15">
        <v>94012.44</v>
      </c>
      <c r="C162" s="6">
        <v>24</v>
      </c>
      <c r="D162" s="15">
        <v>11.88</v>
      </c>
    </row>
    <row r="163" spans="1:4" x14ac:dyDescent="0.35">
      <c r="A163" s="8">
        <v>4008079</v>
      </c>
      <c r="B163" s="15">
        <v>93365.4</v>
      </c>
      <c r="C163" s="6">
        <v>25</v>
      </c>
      <c r="D163" s="15">
        <v>10</v>
      </c>
    </row>
    <row r="164" spans="1:4" x14ac:dyDescent="0.35">
      <c r="A164" s="8">
        <v>4006098</v>
      </c>
      <c r="B164" s="15">
        <v>91677</v>
      </c>
      <c r="C164" s="6">
        <v>37</v>
      </c>
      <c r="D164" s="15">
        <v>6</v>
      </c>
    </row>
    <row r="165" spans="1:4" x14ac:dyDescent="0.35">
      <c r="A165" s="8">
        <v>4008506</v>
      </c>
      <c r="B165" s="15">
        <v>90887.08</v>
      </c>
      <c r="C165" s="6">
        <v>31</v>
      </c>
      <c r="D165" s="15">
        <v>2</v>
      </c>
    </row>
    <row r="166" spans="1:4" x14ac:dyDescent="0.35">
      <c r="A166" s="8">
        <v>4009745</v>
      </c>
      <c r="B166" s="15">
        <v>89960</v>
      </c>
      <c r="C166" s="6">
        <v>11</v>
      </c>
      <c r="D166" s="15">
        <v>18.18</v>
      </c>
    </row>
    <row r="167" spans="1:4" x14ac:dyDescent="0.35">
      <c r="A167" s="8">
        <v>4006545</v>
      </c>
      <c r="B167" s="15">
        <v>88600</v>
      </c>
      <c r="C167" s="6">
        <v>25</v>
      </c>
      <c r="D167" s="15">
        <v>10</v>
      </c>
    </row>
    <row r="168" spans="1:4" x14ac:dyDescent="0.35">
      <c r="A168" s="8">
        <v>4008123</v>
      </c>
      <c r="B168" s="15">
        <v>86200</v>
      </c>
      <c r="C168" s="6">
        <v>35</v>
      </c>
      <c r="D168" s="15">
        <v>4</v>
      </c>
    </row>
    <row r="169" spans="1:4" x14ac:dyDescent="0.35">
      <c r="A169" s="8">
        <v>4008034</v>
      </c>
      <c r="B169" s="15">
        <v>85700.52</v>
      </c>
      <c r="C169" s="6">
        <v>26</v>
      </c>
      <c r="D169" s="15">
        <v>3.12</v>
      </c>
    </row>
    <row r="170" spans="1:4" x14ac:dyDescent="0.35">
      <c r="A170" s="8">
        <v>4001366</v>
      </c>
      <c r="B170" s="15">
        <v>85693.72</v>
      </c>
      <c r="C170" s="6">
        <v>21</v>
      </c>
      <c r="D170" s="15">
        <v>96.43</v>
      </c>
    </row>
    <row r="171" spans="1:4" x14ac:dyDescent="0.35">
      <c r="A171" s="8">
        <v>4008447</v>
      </c>
      <c r="B171" s="15">
        <v>85304</v>
      </c>
      <c r="C171" s="6">
        <v>31</v>
      </c>
      <c r="D171" s="15">
        <v>4</v>
      </c>
    </row>
    <row r="172" spans="1:4" x14ac:dyDescent="0.35">
      <c r="A172" s="8">
        <v>4044462</v>
      </c>
      <c r="B172" s="15">
        <v>84476.04</v>
      </c>
      <c r="C172" s="6">
        <v>1</v>
      </c>
      <c r="D172" s="15">
        <v>33</v>
      </c>
    </row>
    <row r="173" spans="1:4" x14ac:dyDescent="0.35">
      <c r="A173" s="8">
        <v>4038559</v>
      </c>
      <c r="B173" s="15">
        <v>81403.320000000007</v>
      </c>
      <c r="C173" s="6">
        <v>8</v>
      </c>
      <c r="D173" s="15">
        <v>4.5</v>
      </c>
    </row>
    <row r="174" spans="1:4" x14ac:dyDescent="0.35">
      <c r="A174" s="8">
        <v>4038555</v>
      </c>
      <c r="B174" s="15">
        <v>79862.399999999994</v>
      </c>
      <c r="C174" s="6">
        <v>10</v>
      </c>
      <c r="D174" s="15">
        <v>3.3</v>
      </c>
    </row>
    <row r="175" spans="1:4" x14ac:dyDescent="0.35">
      <c r="A175" s="8">
        <v>4009254</v>
      </c>
      <c r="B175" s="15">
        <v>79350</v>
      </c>
      <c r="C175" s="6">
        <v>27</v>
      </c>
      <c r="D175" s="15">
        <v>5</v>
      </c>
    </row>
    <row r="176" spans="1:4" x14ac:dyDescent="0.35">
      <c r="A176" s="8">
        <v>4008292</v>
      </c>
      <c r="B176" s="15">
        <v>77157</v>
      </c>
      <c r="C176" s="6">
        <v>38</v>
      </c>
      <c r="D176" s="15">
        <v>3</v>
      </c>
    </row>
    <row r="177" spans="1:4" x14ac:dyDescent="0.35">
      <c r="A177" s="8">
        <v>4008454</v>
      </c>
      <c r="B177" s="15">
        <v>77154</v>
      </c>
      <c r="C177" s="6">
        <v>20</v>
      </c>
      <c r="D177" s="15">
        <v>6</v>
      </c>
    </row>
    <row r="178" spans="1:4" x14ac:dyDescent="0.35">
      <c r="A178" s="8">
        <v>4004071</v>
      </c>
      <c r="B178" s="15">
        <v>76455.360000000001</v>
      </c>
      <c r="C178" s="6">
        <v>21</v>
      </c>
      <c r="D178" s="15">
        <v>72</v>
      </c>
    </row>
    <row r="179" spans="1:4" x14ac:dyDescent="0.35">
      <c r="A179" s="8">
        <v>4001318</v>
      </c>
      <c r="B179" s="15">
        <v>76386.600000000006</v>
      </c>
      <c r="C179" s="6">
        <v>18</v>
      </c>
      <c r="D179" s="15">
        <v>4</v>
      </c>
    </row>
    <row r="180" spans="1:4" x14ac:dyDescent="0.35">
      <c r="A180" s="8">
        <v>4045033</v>
      </c>
      <c r="B180" s="15">
        <v>76252</v>
      </c>
      <c r="C180" s="6">
        <v>3</v>
      </c>
      <c r="D180" s="15">
        <v>7.33</v>
      </c>
    </row>
    <row r="181" spans="1:4" x14ac:dyDescent="0.35">
      <c r="A181" s="8">
        <v>4005949</v>
      </c>
      <c r="B181" s="15">
        <v>75870</v>
      </c>
      <c r="C181" s="6">
        <v>27</v>
      </c>
      <c r="D181" s="15">
        <v>4</v>
      </c>
    </row>
    <row r="182" spans="1:4" x14ac:dyDescent="0.35">
      <c r="A182" s="8">
        <v>4038582</v>
      </c>
      <c r="B182" s="15">
        <v>74542.92</v>
      </c>
      <c r="C182" s="6">
        <v>10</v>
      </c>
      <c r="D182" s="15">
        <v>4.8</v>
      </c>
    </row>
    <row r="183" spans="1:4" x14ac:dyDescent="0.35">
      <c r="A183" s="8">
        <v>4008108</v>
      </c>
      <c r="B183" s="15">
        <v>74200</v>
      </c>
      <c r="C183" s="6">
        <v>14</v>
      </c>
      <c r="D183" s="15">
        <v>2</v>
      </c>
    </row>
    <row r="184" spans="1:4" x14ac:dyDescent="0.35">
      <c r="A184" s="8">
        <v>4008152</v>
      </c>
      <c r="B184" s="15">
        <v>73800</v>
      </c>
      <c r="C184" s="6">
        <v>12</v>
      </c>
      <c r="D184" s="15">
        <v>2</v>
      </c>
    </row>
    <row r="185" spans="1:4" x14ac:dyDescent="0.35">
      <c r="A185" s="8">
        <v>4006009</v>
      </c>
      <c r="B185" s="15">
        <v>73386</v>
      </c>
      <c r="C185" s="6">
        <v>17</v>
      </c>
      <c r="D185" s="15">
        <v>3.18</v>
      </c>
    </row>
    <row r="186" spans="1:4" x14ac:dyDescent="0.35">
      <c r="A186" s="8">
        <v>4006380</v>
      </c>
      <c r="B186" s="15">
        <v>72252</v>
      </c>
      <c r="C186" s="6">
        <v>47</v>
      </c>
      <c r="D186" s="15">
        <v>3</v>
      </c>
    </row>
    <row r="187" spans="1:4" x14ac:dyDescent="0.35">
      <c r="A187" s="8">
        <v>4008457</v>
      </c>
      <c r="B187" s="15">
        <v>69480</v>
      </c>
      <c r="C187" s="6">
        <v>12</v>
      </c>
      <c r="D187" s="15">
        <v>6</v>
      </c>
    </row>
    <row r="188" spans="1:4" x14ac:dyDescent="0.35">
      <c r="A188" s="8">
        <v>4004920</v>
      </c>
      <c r="B188" s="15">
        <v>68782</v>
      </c>
      <c r="C188" s="6">
        <v>17</v>
      </c>
      <c r="D188" s="15">
        <v>14</v>
      </c>
    </row>
    <row r="189" spans="1:4" x14ac:dyDescent="0.35">
      <c r="A189" s="8">
        <v>4008254</v>
      </c>
      <c r="B189" s="15">
        <v>68541.600000000006</v>
      </c>
      <c r="C189" s="6">
        <v>15</v>
      </c>
      <c r="D189" s="15">
        <v>4</v>
      </c>
    </row>
    <row r="190" spans="1:4" x14ac:dyDescent="0.35">
      <c r="A190" s="8">
        <v>4005868</v>
      </c>
      <c r="B190" s="15">
        <v>67508</v>
      </c>
      <c r="C190" s="6">
        <v>15</v>
      </c>
      <c r="D190" s="15">
        <v>7</v>
      </c>
    </row>
    <row r="191" spans="1:4" x14ac:dyDescent="0.35">
      <c r="A191" s="8">
        <v>4001574</v>
      </c>
      <c r="B191" s="15">
        <v>66750</v>
      </c>
      <c r="C191" s="6">
        <v>30</v>
      </c>
      <c r="D191" s="15">
        <v>29.67</v>
      </c>
    </row>
    <row r="192" spans="1:4" x14ac:dyDescent="0.35">
      <c r="A192" s="8">
        <v>4045334</v>
      </c>
      <c r="B192" s="15">
        <v>66719.199999999997</v>
      </c>
      <c r="C192" s="6">
        <v>2</v>
      </c>
      <c r="D192" s="15">
        <v>20</v>
      </c>
    </row>
    <row r="193" spans="1:4" x14ac:dyDescent="0.35">
      <c r="A193" s="8">
        <v>4008453</v>
      </c>
      <c r="B193" s="15">
        <v>66042</v>
      </c>
      <c r="C193" s="6">
        <v>16</v>
      </c>
      <c r="D193" s="15">
        <v>6</v>
      </c>
    </row>
    <row r="194" spans="1:4" x14ac:dyDescent="0.35">
      <c r="A194" s="8">
        <v>4006755</v>
      </c>
      <c r="B194" s="15">
        <v>65709.52</v>
      </c>
      <c r="C194" s="6">
        <v>7</v>
      </c>
      <c r="D194" s="15">
        <v>4</v>
      </c>
    </row>
    <row r="195" spans="1:4" x14ac:dyDescent="0.35">
      <c r="A195" s="8">
        <v>4009898</v>
      </c>
      <c r="B195" s="15">
        <v>65585</v>
      </c>
      <c r="C195" s="6">
        <v>10</v>
      </c>
      <c r="D195" s="15">
        <v>4</v>
      </c>
    </row>
    <row r="196" spans="1:4" x14ac:dyDescent="0.35">
      <c r="A196" s="8">
        <v>4038571</v>
      </c>
      <c r="B196" s="15">
        <v>65136</v>
      </c>
      <c r="C196" s="6">
        <v>16</v>
      </c>
      <c r="D196" s="15">
        <v>4.71</v>
      </c>
    </row>
    <row r="197" spans="1:4" x14ac:dyDescent="0.35">
      <c r="A197" s="8">
        <v>4006157</v>
      </c>
      <c r="B197" s="15">
        <v>64890</v>
      </c>
      <c r="C197" s="6">
        <v>11</v>
      </c>
      <c r="D197" s="15">
        <v>23.32</v>
      </c>
    </row>
    <row r="198" spans="1:4" x14ac:dyDescent="0.35">
      <c r="A198" s="8">
        <v>4008145</v>
      </c>
      <c r="B198" s="15">
        <v>63051.519999999997</v>
      </c>
      <c r="C198" s="6">
        <v>19</v>
      </c>
      <c r="D198" s="15">
        <v>4</v>
      </c>
    </row>
    <row r="199" spans="1:4" x14ac:dyDescent="0.35">
      <c r="A199" s="8">
        <v>4043184</v>
      </c>
      <c r="B199" s="15">
        <v>61433</v>
      </c>
      <c r="C199" s="6">
        <v>4</v>
      </c>
      <c r="D199" s="15">
        <v>20</v>
      </c>
    </row>
    <row r="200" spans="1:4" x14ac:dyDescent="0.35">
      <c r="A200" s="8">
        <v>4003008</v>
      </c>
      <c r="B200" s="15">
        <v>60780</v>
      </c>
      <c r="C200" s="6">
        <v>6</v>
      </c>
      <c r="D200" s="15">
        <v>10</v>
      </c>
    </row>
    <row r="201" spans="1:4" x14ac:dyDescent="0.35">
      <c r="A201" s="8">
        <v>4006770</v>
      </c>
      <c r="B201" s="15">
        <v>60702</v>
      </c>
      <c r="C201" s="6">
        <v>36</v>
      </c>
      <c r="D201" s="15">
        <v>3.97</v>
      </c>
    </row>
    <row r="202" spans="1:4" x14ac:dyDescent="0.35">
      <c r="A202" s="8">
        <v>4004889</v>
      </c>
      <c r="B202" s="15">
        <v>60680</v>
      </c>
      <c r="C202" s="6">
        <v>40</v>
      </c>
      <c r="D202" s="15">
        <v>8.1999999999999993</v>
      </c>
    </row>
    <row r="203" spans="1:4" x14ac:dyDescent="0.35">
      <c r="A203" s="8">
        <v>4000315</v>
      </c>
      <c r="B203" s="15">
        <v>60525</v>
      </c>
      <c r="C203" s="6">
        <v>17</v>
      </c>
      <c r="D203" s="15">
        <v>3</v>
      </c>
    </row>
    <row r="204" spans="1:4" x14ac:dyDescent="0.35">
      <c r="A204" s="8">
        <v>4002677</v>
      </c>
      <c r="B204" s="15">
        <v>60480</v>
      </c>
      <c r="C204" s="6">
        <v>12</v>
      </c>
      <c r="D204" s="15">
        <v>24</v>
      </c>
    </row>
    <row r="205" spans="1:4" x14ac:dyDescent="0.35">
      <c r="A205" s="8">
        <v>4001343</v>
      </c>
      <c r="B205" s="15">
        <v>59950.400000000001</v>
      </c>
      <c r="C205" s="6">
        <v>25</v>
      </c>
      <c r="D205" s="15">
        <v>67.36</v>
      </c>
    </row>
    <row r="206" spans="1:4" x14ac:dyDescent="0.35">
      <c r="A206" s="8">
        <v>4006775</v>
      </c>
      <c r="B206" s="15">
        <v>59897.5</v>
      </c>
      <c r="C206" s="6">
        <v>9</v>
      </c>
      <c r="D206" s="15">
        <v>5</v>
      </c>
    </row>
    <row r="207" spans="1:4" x14ac:dyDescent="0.35">
      <c r="A207" s="8">
        <v>4001354</v>
      </c>
      <c r="B207" s="15">
        <v>59579.6</v>
      </c>
      <c r="C207" s="6">
        <v>13</v>
      </c>
      <c r="D207" s="15">
        <v>2</v>
      </c>
    </row>
    <row r="208" spans="1:4" x14ac:dyDescent="0.35">
      <c r="A208" s="8">
        <v>4036758</v>
      </c>
      <c r="B208" s="15">
        <v>59394</v>
      </c>
      <c r="C208" s="6">
        <v>17</v>
      </c>
      <c r="D208" s="15">
        <v>2.2400000000000002</v>
      </c>
    </row>
    <row r="209" spans="1:4" x14ac:dyDescent="0.35">
      <c r="A209" s="8">
        <v>4008439</v>
      </c>
      <c r="B209" s="15">
        <v>59220</v>
      </c>
      <c r="C209" s="6">
        <v>15</v>
      </c>
      <c r="D209" s="15">
        <v>7.47</v>
      </c>
    </row>
    <row r="210" spans="1:4" x14ac:dyDescent="0.35">
      <c r="A210" s="8">
        <v>4001115</v>
      </c>
      <c r="B210" s="15">
        <v>58964.9</v>
      </c>
      <c r="C210" s="6">
        <v>29</v>
      </c>
      <c r="D210" s="15">
        <v>10.69</v>
      </c>
    </row>
    <row r="211" spans="1:4" x14ac:dyDescent="0.35">
      <c r="A211" s="8">
        <v>4045038</v>
      </c>
      <c r="B211" s="15">
        <v>58922</v>
      </c>
      <c r="C211" s="6">
        <v>2</v>
      </c>
      <c r="D211" s="15">
        <v>8.5</v>
      </c>
    </row>
    <row r="212" spans="1:4" x14ac:dyDescent="0.35">
      <c r="A212" s="8">
        <v>4006014</v>
      </c>
      <c r="B212" s="15">
        <v>57399</v>
      </c>
      <c r="C212" s="6">
        <v>25</v>
      </c>
      <c r="D212" s="15">
        <v>6.24</v>
      </c>
    </row>
    <row r="213" spans="1:4" x14ac:dyDescent="0.35">
      <c r="A213" s="8">
        <v>4001221</v>
      </c>
      <c r="B213" s="15">
        <v>56841.599999999999</v>
      </c>
      <c r="C213" s="6">
        <v>31</v>
      </c>
      <c r="D213" s="15">
        <v>48</v>
      </c>
    </row>
    <row r="214" spans="1:4" x14ac:dyDescent="0.35">
      <c r="A214" s="8">
        <v>4038552</v>
      </c>
      <c r="B214" s="15">
        <v>56720</v>
      </c>
      <c r="C214" s="6">
        <v>2</v>
      </c>
      <c r="D214" s="15">
        <v>30</v>
      </c>
    </row>
    <row r="215" spans="1:4" x14ac:dyDescent="0.35">
      <c r="A215" s="8">
        <v>4036777</v>
      </c>
      <c r="B215" s="15">
        <v>56468</v>
      </c>
      <c r="C215" s="6">
        <v>7</v>
      </c>
      <c r="D215" s="15">
        <v>10.86</v>
      </c>
    </row>
    <row r="216" spans="1:4" x14ac:dyDescent="0.35">
      <c r="A216" s="8">
        <v>4000290</v>
      </c>
      <c r="B216" s="15">
        <v>56060</v>
      </c>
      <c r="C216" s="6">
        <v>9</v>
      </c>
      <c r="D216" s="15">
        <v>20</v>
      </c>
    </row>
    <row r="217" spans="1:4" x14ac:dyDescent="0.35">
      <c r="A217" s="8">
        <v>4009251</v>
      </c>
      <c r="B217" s="15">
        <v>56000</v>
      </c>
      <c r="C217" s="6">
        <v>4</v>
      </c>
      <c r="D217" s="15">
        <v>4</v>
      </c>
    </row>
    <row r="218" spans="1:4" x14ac:dyDescent="0.35">
      <c r="A218" s="8">
        <v>4044864</v>
      </c>
      <c r="B218" s="15">
        <v>55000</v>
      </c>
      <c r="C218" s="6">
        <v>3</v>
      </c>
      <c r="D218" s="15">
        <v>16.670000000000002</v>
      </c>
    </row>
    <row r="219" spans="1:4" x14ac:dyDescent="0.35">
      <c r="A219" s="8">
        <v>4035958</v>
      </c>
      <c r="B219" s="15">
        <v>54688.5</v>
      </c>
      <c r="C219" s="6">
        <v>14</v>
      </c>
      <c r="D219" s="15">
        <v>10.59</v>
      </c>
    </row>
    <row r="220" spans="1:4" x14ac:dyDescent="0.35">
      <c r="A220" s="8">
        <v>4000804</v>
      </c>
      <c r="B220" s="15">
        <v>54168</v>
      </c>
      <c r="C220" s="6">
        <v>9</v>
      </c>
      <c r="D220" s="15">
        <v>10</v>
      </c>
    </row>
    <row r="221" spans="1:4" x14ac:dyDescent="0.35">
      <c r="A221" s="8">
        <v>4005883</v>
      </c>
      <c r="B221" s="15">
        <v>52944</v>
      </c>
      <c r="C221" s="6">
        <v>6</v>
      </c>
      <c r="D221" s="15">
        <v>8</v>
      </c>
    </row>
    <row r="222" spans="1:4" x14ac:dyDescent="0.35">
      <c r="A222" s="8">
        <v>4000009</v>
      </c>
      <c r="B222" s="15">
        <v>51888</v>
      </c>
      <c r="C222" s="6">
        <v>1</v>
      </c>
      <c r="D222" s="15">
        <v>60</v>
      </c>
    </row>
    <row r="223" spans="1:4" x14ac:dyDescent="0.35">
      <c r="A223" s="8">
        <v>4006780</v>
      </c>
      <c r="B223" s="15">
        <v>51732.5</v>
      </c>
      <c r="C223" s="6">
        <v>26</v>
      </c>
      <c r="D223" s="15">
        <v>5</v>
      </c>
    </row>
    <row r="224" spans="1:4" x14ac:dyDescent="0.35">
      <c r="A224" s="8">
        <v>4006565</v>
      </c>
      <c r="B224" s="15">
        <v>50394</v>
      </c>
      <c r="C224" s="6">
        <v>11</v>
      </c>
      <c r="D224" s="15">
        <v>20.18</v>
      </c>
    </row>
    <row r="225" spans="1:4" x14ac:dyDescent="0.35">
      <c r="A225" s="8">
        <v>4045335</v>
      </c>
      <c r="B225" s="15">
        <v>50039.4</v>
      </c>
      <c r="C225" s="6">
        <v>1</v>
      </c>
      <c r="D225" s="15">
        <v>30</v>
      </c>
    </row>
    <row r="226" spans="1:4" x14ac:dyDescent="0.35">
      <c r="A226" s="8">
        <v>4001388</v>
      </c>
      <c r="B226" s="15">
        <v>49680</v>
      </c>
      <c r="C226" s="6">
        <v>68</v>
      </c>
      <c r="D226" s="15">
        <v>20.29</v>
      </c>
    </row>
    <row r="227" spans="1:4" x14ac:dyDescent="0.35">
      <c r="A227" s="8">
        <v>4045068</v>
      </c>
      <c r="B227" s="15">
        <v>49434</v>
      </c>
      <c r="C227" s="6">
        <v>5</v>
      </c>
      <c r="D227" s="15">
        <v>5</v>
      </c>
    </row>
    <row r="228" spans="1:4" x14ac:dyDescent="0.35">
      <c r="A228" s="8">
        <v>4003859</v>
      </c>
      <c r="B228" s="15">
        <v>49275</v>
      </c>
      <c r="C228" s="6">
        <v>14</v>
      </c>
      <c r="D228" s="15">
        <v>3</v>
      </c>
    </row>
    <row r="229" spans="1:4" x14ac:dyDescent="0.35">
      <c r="A229" s="8">
        <v>4008589</v>
      </c>
      <c r="B229" s="15">
        <v>49150</v>
      </c>
      <c r="C229" s="6">
        <v>5</v>
      </c>
      <c r="D229" s="15">
        <v>14</v>
      </c>
    </row>
    <row r="230" spans="1:4" x14ac:dyDescent="0.35">
      <c r="A230" s="8">
        <v>4008278</v>
      </c>
      <c r="B230" s="15">
        <v>48448</v>
      </c>
      <c r="C230" s="6">
        <v>2</v>
      </c>
      <c r="D230" s="15">
        <v>3</v>
      </c>
    </row>
    <row r="231" spans="1:4" x14ac:dyDescent="0.35">
      <c r="A231" s="8">
        <v>4000758</v>
      </c>
      <c r="B231" s="15">
        <v>48300</v>
      </c>
      <c r="C231" s="6">
        <v>30</v>
      </c>
      <c r="D231" s="15">
        <v>14</v>
      </c>
    </row>
    <row r="232" spans="1:4" x14ac:dyDescent="0.35">
      <c r="A232" s="8">
        <v>4002491</v>
      </c>
      <c r="B232" s="15">
        <v>47938</v>
      </c>
      <c r="C232" s="6">
        <v>36</v>
      </c>
      <c r="D232" s="15">
        <v>1</v>
      </c>
    </row>
    <row r="233" spans="1:4" x14ac:dyDescent="0.35">
      <c r="A233" s="8">
        <v>4001160</v>
      </c>
      <c r="B233" s="15">
        <v>46960.74</v>
      </c>
      <c r="C233" s="6">
        <v>38</v>
      </c>
      <c r="D233" s="15">
        <v>2.1</v>
      </c>
    </row>
    <row r="234" spans="1:4" x14ac:dyDescent="0.35">
      <c r="A234" s="8">
        <v>4002344</v>
      </c>
      <c r="B234" s="15">
        <v>46530</v>
      </c>
      <c r="C234" s="6">
        <v>15</v>
      </c>
      <c r="D234" s="15">
        <v>20</v>
      </c>
    </row>
    <row r="235" spans="1:4" x14ac:dyDescent="0.35">
      <c r="A235" s="8">
        <v>4001376</v>
      </c>
      <c r="B235" s="15">
        <v>46049.760000000002</v>
      </c>
      <c r="C235" s="6">
        <v>31</v>
      </c>
      <c r="D235" s="15">
        <v>8.23</v>
      </c>
    </row>
    <row r="236" spans="1:4" x14ac:dyDescent="0.35">
      <c r="A236" s="8">
        <v>4000084</v>
      </c>
      <c r="B236" s="15">
        <v>45826.559999999998</v>
      </c>
      <c r="C236" s="6">
        <v>22</v>
      </c>
      <c r="D236" s="15">
        <v>2</v>
      </c>
    </row>
    <row r="237" spans="1:4" x14ac:dyDescent="0.35">
      <c r="A237" s="8">
        <v>4001331</v>
      </c>
      <c r="B237" s="15">
        <v>45564.12</v>
      </c>
      <c r="C237" s="6">
        <v>21</v>
      </c>
      <c r="D237" s="15">
        <v>18</v>
      </c>
    </row>
    <row r="238" spans="1:4" x14ac:dyDescent="0.35">
      <c r="A238" s="8">
        <v>4003241</v>
      </c>
      <c r="B238" s="15">
        <v>45360</v>
      </c>
      <c r="C238" s="6">
        <v>2</v>
      </c>
      <c r="D238" s="15">
        <v>4</v>
      </c>
    </row>
    <row r="239" spans="1:4" x14ac:dyDescent="0.35">
      <c r="A239" s="8">
        <v>4000414</v>
      </c>
      <c r="B239" s="15">
        <v>45075.3</v>
      </c>
      <c r="C239" s="6">
        <v>21</v>
      </c>
      <c r="D239" s="15">
        <v>4.8600000000000003</v>
      </c>
    </row>
    <row r="240" spans="1:4" x14ac:dyDescent="0.35">
      <c r="A240" s="8">
        <v>4008378</v>
      </c>
      <c r="B240" s="15">
        <v>44544</v>
      </c>
      <c r="C240" s="6">
        <v>8</v>
      </c>
      <c r="D240" s="15">
        <v>8</v>
      </c>
    </row>
    <row r="241" spans="1:4" x14ac:dyDescent="0.35">
      <c r="A241" s="8">
        <v>4001763</v>
      </c>
      <c r="B241" s="15">
        <v>44200</v>
      </c>
      <c r="C241" s="6">
        <v>19</v>
      </c>
      <c r="D241" s="15">
        <v>20</v>
      </c>
    </row>
    <row r="242" spans="1:4" x14ac:dyDescent="0.35">
      <c r="A242" s="8">
        <v>4008455</v>
      </c>
      <c r="B242" s="15">
        <v>44032</v>
      </c>
      <c r="C242" s="6">
        <v>8</v>
      </c>
      <c r="D242" s="15">
        <v>8</v>
      </c>
    </row>
    <row r="243" spans="1:4" x14ac:dyDescent="0.35">
      <c r="A243" s="8">
        <v>4044863</v>
      </c>
      <c r="B243" s="15">
        <v>44000</v>
      </c>
      <c r="C243" s="6">
        <v>2</v>
      </c>
      <c r="D243" s="15">
        <v>20</v>
      </c>
    </row>
    <row r="244" spans="1:4" x14ac:dyDescent="0.35">
      <c r="A244" s="8">
        <v>4004377</v>
      </c>
      <c r="B244" s="15">
        <v>43190</v>
      </c>
      <c r="C244" s="6">
        <v>14</v>
      </c>
      <c r="D244" s="15">
        <v>4</v>
      </c>
    </row>
    <row r="245" spans="1:4" x14ac:dyDescent="0.35">
      <c r="A245" s="8">
        <v>4035953</v>
      </c>
      <c r="B245" s="15">
        <v>42359</v>
      </c>
      <c r="C245" s="6">
        <v>27</v>
      </c>
      <c r="D245" s="15">
        <v>4.83</v>
      </c>
    </row>
    <row r="246" spans="1:4" x14ac:dyDescent="0.35">
      <c r="A246" s="8">
        <v>4001328</v>
      </c>
      <c r="B246" s="15">
        <v>41833.660000000003</v>
      </c>
      <c r="C246" s="6">
        <v>25</v>
      </c>
      <c r="D246" s="15">
        <v>1.08</v>
      </c>
    </row>
    <row r="247" spans="1:4" x14ac:dyDescent="0.35">
      <c r="A247" s="8">
        <v>4003860</v>
      </c>
      <c r="B247" s="15">
        <v>41760</v>
      </c>
      <c r="C247" s="6">
        <v>12</v>
      </c>
      <c r="D247" s="15">
        <v>3</v>
      </c>
    </row>
    <row r="248" spans="1:4" x14ac:dyDescent="0.35">
      <c r="A248" s="8">
        <v>4045034</v>
      </c>
      <c r="B248" s="15">
        <v>41592</v>
      </c>
      <c r="C248" s="6">
        <v>1</v>
      </c>
      <c r="D248" s="15">
        <v>12</v>
      </c>
    </row>
    <row r="249" spans="1:4" x14ac:dyDescent="0.35">
      <c r="A249" s="8">
        <v>4045035</v>
      </c>
      <c r="B249" s="15">
        <v>41592</v>
      </c>
      <c r="C249" s="6">
        <v>1</v>
      </c>
      <c r="D249" s="15">
        <v>12</v>
      </c>
    </row>
    <row r="250" spans="1:4" x14ac:dyDescent="0.35">
      <c r="A250" s="8">
        <v>4045037</v>
      </c>
      <c r="B250" s="15">
        <v>41592</v>
      </c>
      <c r="C250" s="6">
        <v>1</v>
      </c>
      <c r="D250" s="15">
        <v>12</v>
      </c>
    </row>
    <row r="251" spans="1:4" x14ac:dyDescent="0.35">
      <c r="A251" s="8">
        <v>4045039</v>
      </c>
      <c r="B251" s="15">
        <v>41592</v>
      </c>
      <c r="C251" s="6">
        <v>1</v>
      </c>
      <c r="D251" s="15">
        <v>12</v>
      </c>
    </row>
    <row r="252" spans="1:4" x14ac:dyDescent="0.35">
      <c r="A252" s="8">
        <v>4003915</v>
      </c>
      <c r="B252" s="15">
        <v>41245.4</v>
      </c>
      <c r="C252" s="6">
        <v>26</v>
      </c>
      <c r="D252" s="15">
        <v>2.15</v>
      </c>
    </row>
    <row r="253" spans="1:4" x14ac:dyDescent="0.35">
      <c r="A253" s="8">
        <v>4002477</v>
      </c>
      <c r="B253" s="15">
        <v>40800</v>
      </c>
      <c r="C253" s="6">
        <v>34</v>
      </c>
      <c r="D253" s="15">
        <v>12</v>
      </c>
    </row>
    <row r="254" spans="1:4" x14ac:dyDescent="0.35">
      <c r="A254" s="8">
        <v>4045339</v>
      </c>
      <c r="B254" s="15">
        <v>40600</v>
      </c>
      <c r="C254" s="6">
        <v>4</v>
      </c>
      <c r="D254" s="15">
        <v>2.5</v>
      </c>
    </row>
    <row r="255" spans="1:4" x14ac:dyDescent="0.35">
      <c r="A255" s="8">
        <v>4008388</v>
      </c>
      <c r="B255" s="15">
        <v>40320</v>
      </c>
      <c r="C255" s="6">
        <v>47</v>
      </c>
      <c r="D255" s="15">
        <v>8.17</v>
      </c>
    </row>
    <row r="256" spans="1:4" x14ac:dyDescent="0.35">
      <c r="A256" s="8">
        <v>4007825</v>
      </c>
      <c r="B256" s="15">
        <v>40000</v>
      </c>
      <c r="C256" s="6">
        <v>8</v>
      </c>
      <c r="D256" s="15">
        <v>100</v>
      </c>
    </row>
    <row r="257" spans="1:4" x14ac:dyDescent="0.35">
      <c r="A257" s="8">
        <v>4004408</v>
      </c>
      <c r="B257" s="15">
        <v>39039</v>
      </c>
      <c r="C257" s="6">
        <v>26</v>
      </c>
      <c r="D257" s="15">
        <v>2</v>
      </c>
    </row>
    <row r="258" spans="1:4" x14ac:dyDescent="0.35">
      <c r="A258" s="8">
        <v>4036672</v>
      </c>
      <c r="B258" s="15">
        <v>38584</v>
      </c>
      <c r="C258" s="6">
        <v>11</v>
      </c>
      <c r="D258" s="15">
        <v>2.15</v>
      </c>
    </row>
    <row r="259" spans="1:4" x14ac:dyDescent="0.35">
      <c r="A259" s="8">
        <v>4008291</v>
      </c>
      <c r="B259" s="15">
        <v>38574</v>
      </c>
      <c r="C259" s="6">
        <v>15</v>
      </c>
      <c r="D259" s="15">
        <v>4</v>
      </c>
    </row>
    <row r="260" spans="1:4" x14ac:dyDescent="0.35">
      <c r="A260" s="8">
        <v>4006795</v>
      </c>
      <c r="B260" s="15">
        <v>38556</v>
      </c>
      <c r="C260" s="6">
        <v>17</v>
      </c>
      <c r="D260" s="15">
        <v>3</v>
      </c>
    </row>
    <row r="261" spans="1:4" x14ac:dyDescent="0.35">
      <c r="A261" s="8">
        <v>4000288</v>
      </c>
      <c r="B261" s="15">
        <v>37950</v>
      </c>
      <c r="C261" s="6">
        <v>1</v>
      </c>
      <c r="D261" s="15">
        <v>110</v>
      </c>
    </row>
    <row r="262" spans="1:4" x14ac:dyDescent="0.35">
      <c r="A262" s="8">
        <v>4002682</v>
      </c>
      <c r="B262" s="15">
        <v>36960</v>
      </c>
      <c r="C262" s="6">
        <v>33</v>
      </c>
      <c r="D262" s="15">
        <v>8</v>
      </c>
    </row>
    <row r="263" spans="1:4" x14ac:dyDescent="0.35">
      <c r="A263" s="8">
        <v>4036668</v>
      </c>
      <c r="B263" s="15">
        <v>36912</v>
      </c>
      <c r="C263" s="6">
        <v>5</v>
      </c>
      <c r="D263" s="15">
        <v>4</v>
      </c>
    </row>
    <row r="264" spans="1:4" x14ac:dyDescent="0.35">
      <c r="A264" s="8">
        <v>4004963</v>
      </c>
      <c r="B264" s="15">
        <v>36900</v>
      </c>
      <c r="C264" s="6">
        <v>11</v>
      </c>
      <c r="D264" s="15">
        <v>3.73</v>
      </c>
    </row>
    <row r="265" spans="1:4" x14ac:dyDescent="0.35">
      <c r="A265" s="8">
        <v>4036771</v>
      </c>
      <c r="B265" s="15">
        <v>36774</v>
      </c>
      <c r="C265" s="6">
        <v>5</v>
      </c>
      <c r="D265" s="15">
        <v>3</v>
      </c>
    </row>
    <row r="266" spans="1:4" x14ac:dyDescent="0.35">
      <c r="A266" s="8">
        <v>4006177</v>
      </c>
      <c r="B266" s="15">
        <v>36480</v>
      </c>
      <c r="C266" s="6">
        <v>38</v>
      </c>
      <c r="D266" s="15">
        <v>8</v>
      </c>
    </row>
    <row r="267" spans="1:4" x14ac:dyDescent="0.35">
      <c r="A267" s="8">
        <v>4001237</v>
      </c>
      <c r="B267" s="15">
        <v>35946.400000000001</v>
      </c>
      <c r="C267" s="6">
        <v>12</v>
      </c>
      <c r="D267" s="15">
        <v>30.33</v>
      </c>
    </row>
    <row r="268" spans="1:4" x14ac:dyDescent="0.35">
      <c r="A268" s="8">
        <v>4004397</v>
      </c>
      <c r="B268" s="15">
        <v>35869.68</v>
      </c>
      <c r="C268" s="6">
        <v>12</v>
      </c>
      <c r="D268" s="15">
        <v>1.23</v>
      </c>
    </row>
    <row r="269" spans="1:4" x14ac:dyDescent="0.35">
      <c r="A269" s="8">
        <v>4008289</v>
      </c>
      <c r="B269" s="15">
        <v>35324</v>
      </c>
      <c r="C269" s="6">
        <v>24</v>
      </c>
      <c r="D269" s="15">
        <v>4</v>
      </c>
    </row>
    <row r="270" spans="1:4" x14ac:dyDescent="0.35">
      <c r="A270" s="8">
        <v>4006546</v>
      </c>
      <c r="B270" s="15">
        <v>34944</v>
      </c>
      <c r="C270" s="6">
        <v>7</v>
      </c>
      <c r="D270" s="15">
        <v>2</v>
      </c>
    </row>
    <row r="271" spans="1:4" x14ac:dyDescent="0.35">
      <c r="A271" s="8">
        <v>4000413</v>
      </c>
      <c r="B271" s="15">
        <v>34680.6</v>
      </c>
      <c r="C271" s="6">
        <v>26</v>
      </c>
      <c r="D271" s="15">
        <v>2</v>
      </c>
    </row>
    <row r="272" spans="1:4" x14ac:dyDescent="0.35">
      <c r="A272" s="8">
        <v>4000759</v>
      </c>
      <c r="B272" s="15">
        <v>34560</v>
      </c>
      <c r="C272" s="6">
        <v>32</v>
      </c>
      <c r="D272" s="15">
        <v>8</v>
      </c>
    </row>
    <row r="273" spans="1:4" x14ac:dyDescent="0.35">
      <c r="A273" s="8">
        <v>4000286</v>
      </c>
      <c r="B273" s="15">
        <v>34500</v>
      </c>
      <c r="C273" s="6">
        <v>1</v>
      </c>
      <c r="D273" s="15">
        <v>100</v>
      </c>
    </row>
    <row r="274" spans="1:4" x14ac:dyDescent="0.35">
      <c r="A274" s="8">
        <v>4006185</v>
      </c>
      <c r="B274" s="15">
        <v>34020</v>
      </c>
      <c r="C274" s="6">
        <v>20</v>
      </c>
      <c r="D274" s="15">
        <v>3</v>
      </c>
    </row>
    <row r="275" spans="1:4" x14ac:dyDescent="0.35">
      <c r="A275" s="8">
        <v>4004262</v>
      </c>
      <c r="B275" s="15">
        <v>33702.300000000003</v>
      </c>
      <c r="C275" s="6">
        <v>12</v>
      </c>
      <c r="D275" s="15">
        <v>3.25</v>
      </c>
    </row>
    <row r="276" spans="1:4" x14ac:dyDescent="0.35">
      <c r="A276" s="8">
        <v>4008206</v>
      </c>
      <c r="B276" s="15">
        <v>33402.839999999997</v>
      </c>
      <c r="C276" s="6">
        <v>11</v>
      </c>
      <c r="D276" s="15">
        <v>6</v>
      </c>
    </row>
    <row r="277" spans="1:4" x14ac:dyDescent="0.35">
      <c r="A277" s="8">
        <v>4045014</v>
      </c>
      <c r="B277" s="15">
        <v>33264</v>
      </c>
      <c r="C277" s="6">
        <v>2</v>
      </c>
      <c r="D277" s="15">
        <v>9</v>
      </c>
    </row>
    <row r="278" spans="1:4" x14ac:dyDescent="0.35">
      <c r="A278" s="8">
        <v>4005885</v>
      </c>
      <c r="B278" s="15">
        <v>33024</v>
      </c>
      <c r="C278" s="6">
        <v>6</v>
      </c>
      <c r="D278" s="15">
        <v>8</v>
      </c>
    </row>
    <row r="279" spans="1:4" x14ac:dyDescent="0.35">
      <c r="A279" s="8">
        <v>4001380</v>
      </c>
      <c r="B279" s="15">
        <v>32928</v>
      </c>
      <c r="C279" s="6">
        <v>27</v>
      </c>
      <c r="D279" s="15">
        <v>24</v>
      </c>
    </row>
    <row r="280" spans="1:4" x14ac:dyDescent="0.35">
      <c r="A280" s="8">
        <v>4001137</v>
      </c>
      <c r="B280" s="15">
        <v>32500</v>
      </c>
      <c r="C280" s="6">
        <v>13</v>
      </c>
      <c r="D280" s="15">
        <v>11.38</v>
      </c>
    </row>
    <row r="281" spans="1:4" x14ac:dyDescent="0.35">
      <c r="A281" s="8">
        <v>4008583</v>
      </c>
      <c r="B281" s="15">
        <v>32400</v>
      </c>
      <c r="C281" s="6">
        <v>8</v>
      </c>
      <c r="D281" s="15">
        <v>2</v>
      </c>
    </row>
    <row r="282" spans="1:4" x14ac:dyDescent="0.35">
      <c r="A282" s="8">
        <v>4008095</v>
      </c>
      <c r="B282" s="15">
        <v>32306</v>
      </c>
      <c r="C282" s="6">
        <v>20</v>
      </c>
      <c r="D282" s="15">
        <v>2.0299999999999998</v>
      </c>
    </row>
    <row r="283" spans="1:4" x14ac:dyDescent="0.35">
      <c r="A283" s="8">
        <v>4001293</v>
      </c>
      <c r="B283" s="15">
        <v>32260.799999999999</v>
      </c>
      <c r="C283" s="6">
        <v>47</v>
      </c>
      <c r="D283" s="15">
        <v>24</v>
      </c>
    </row>
    <row r="284" spans="1:4" x14ac:dyDescent="0.35">
      <c r="A284" s="8">
        <v>4006159</v>
      </c>
      <c r="B284" s="15">
        <v>31884.62</v>
      </c>
      <c r="C284" s="6">
        <v>25</v>
      </c>
      <c r="D284" s="15">
        <v>2.35</v>
      </c>
    </row>
    <row r="285" spans="1:4" x14ac:dyDescent="0.35">
      <c r="A285" s="8">
        <v>4006665</v>
      </c>
      <c r="B285" s="15">
        <v>31680</v>
      </c>
      <c r="C285" s="6">
        <v>2</v>
      </c>
      <c r="D285" s="15">
        <v>9</v>
      </c>
    </row>
    <row r="286" spans="1:4" x14ac:dyDescent="0.35">
      <c r="A286" s="8">
        <v>4008295</v>
      </c>
      <c r="B286" s="15">
        <v>31680</v>
      </c>
      <c r="C286" s="6">
        <v>2</v>
      </c>
      <c r="D286" s="15">
        <v>9</v>
      </c>
    </row>
    <row r="287" spans="1:4" x14ac:dyDescent="0.35">
      <c r="A287" s="8">
        <v>4005020</v>
      </c>
      <c r="B287" s="15">
        <v>31450</v>
      </c>
      <c r="C287" s="6">
        <v>14</v>
      </c>
      <c r="D287" s="15">
        <v>5</v>
      </c>
    </row>
    <row r="288" spans="1:4" x14ac:dyDescent="0.35">
      <c r="A288" s="8">
        <v>4001138</v>
      </c>
      <c r="B288" s="15">
        <v>31200</v>
      </c>
      <c r="C288" s="6">
        <v>11</v>
      </c>
      <c r="D288" s="15">
        <v>2.82</v>
      </c>
    </row>
    <row r="289" spans="1:4" x14ac:dyDescent="0.35">
      <c r="A289" s="8">
        <v>4008354</v>
      </c>
      <c r="B289" s="15">
        <v>31160</v>
      </c>
      <c r="C289" s="6">
        <v>7</v>
      </c>
      <c r="D289" s="15">
        <v>2</v>
      </c>
    </row>
    <row r="290" spans="1:4" x14ac:dyDescent="0.35">
      <c r="A290" s="8">
        <v>4000760</v>
      </c>
      <c r="B290" s="15">
        <v>31122</v>
      </c>
      <c r="C290" s="6">
        <v>13</v>
      </c>
      <c r="D290" s="15">
        <v>7</v>
      </c>
    </row>
    <row r="291" spans="1:4" x14ac:dyDescent="0.35">
      <c r="A291" s="8">
        <v>4000066</v>
      </c>
      <c r="B291" s="15">
        <v>30820</v>
      </c>
      <c r="C291" s="6">
        <v>23</v>
      </c>
      <c r="D291" s="15">
        <v>8</v>
      </c>
    </row>
    <row r="292" spans="1:4" x14ac:dyDescent="0.35">
      <c r="A292" s="8">
        <v>4000761</v>
      </c>
      <c r="B292" s="15">
        <v>30450</v>
      </c>
      <c r="C292" s="6">
        <v>29</v>
      </c>
      <c r="D292" s="15">
        <v>10</v>
      </c>
    </row>
    <row r="293" spans="1:4" x14ac:dyDescent="0.35">
      <c r="A293" s="8">
        <v>4008419</v>
      </c>
      <c r="B293" s="15">
        <v>30347</v>
      </c>
      <c r="C293" s="6">
        <v>12</v>
      </c>
      <c r="D293" s="15">
        <v>2.25</v>
      </c>
    </row>
    <row r="294" spans="1:4" x14ac:dyDescent="0.35">
      <c r="A294" s="8">
        <v>4008451</v>
      </c>
      <c r="B294" s="15">
        <v>30250</v>
      </c>
      <c r="C294" s="6">
        <v>23</v>
      </c>
      <c r="D294" s="15">
        <v>2.39</v>
      </c>
    </row>
    <row r="295" spans="1:4" x14ac:dyDescent="0.35">
      <c r="A295" s="8">
        <v>4008346</v>
      </c>
      <c r="B295" s="15">
        <v>29820.5</v>
      </c>
      <c r="C295" s="6">
        <v>17</v>
      </c>
      <c r="D295" s="15">
        <v>1.06</v>
      </c>
    </row>
    <row r="296" spans="1:4" x14ac:dyDescent="0.35">
      <c r="A296" s="8">
        <v>4008460</v>
      </c>
      <c r="B296" s="15">
        <v>29374</v>
      </c>
      <c r="C296" s="6">
        <v>8</v>
      </c>
      <c r="D296" s="15">
        <v>4</v>
      </c>
    </row>
    <row r="297" spans="1:4" x14ac:dyDescent="0.35">
      <c r="A297" s="8">
        <v>4000740</v>
      </c>
      <c r="B297" s="15">
        <v>28818.81</v>
      </c>
      <c r="C297" s="6">
        <v>36</v>
      </c>
      <c r="D297" s="15">
        <v>98.14</v>
      </c>
    </row>
    <row r="298" spans="1:4" x14ac:dyDescent="0.35">
      <c r="A298" s="8">
        <v>4004098</v>
      </c>
      <c r="B298" s="15">
        <v>27712.080000000002</v>
      </c>
      <c r="C298" s="6">
        <v>7</v>
      </c>
      <c r="D298" s="15">
        <v>8</v>
      </c>
    </row>
    <row r="299" spans="1:4" x14ac:dyDescent="0.35">
      <c r="A299" s="8">
        <v>4005449</v>
      </c>
      <c r="B299" s="15">
        <v>27560</v>
      </c>
      <c r="C299" s="6">
        <v>4</v>
      </c>
      <c r="D299" s="15">
        <v>4</v>
      </c>
    </row>
    <row r="300" spans="1:4" x14ac:dyDescent="0.35">
      <c r="A300" s="8">
        <v>4004241</v>
      </c>
      <c r="B300" s="15">
        <v>27550</v>
      </c>
      <c r="C300" s="6">
        <v>29</v>
      </c>
      <c r="D300" s="15">
        <v>5</v>
      </c>
    </row>
    <row r="301" spans="1:4" x14ac:dyDescent="0.35">
      <c r="A301" s="8">
        <v>4003916</v>
      </c>
      <c r="B301" s="15">
        <v>27540</v>
      </c>
      <c r="C301" s="6">
        <v>9</v>
      </c>
      <c r="D301" s="15">
        <v>6</v>
      </c>
    </row>
    <row r="302" spans="1:4" x14ac:dyDescent="0.35">
      <c r="A302" s="8">
        <v>4001523</v>
      </c>
      <c r="B302" s="15">
        <v>27201.4</v>
      </c>
      <c r="C302" s="6">
        <v>24</v>
      </c>
      <c r="D302" s="15">
        <v>1</v>
      </c>
    </row>
    <row r="303" spans="1:4" x14ac:dyDescent="0.35">
      <c r="A303" s="8">
        <v>4006072</v>
      </c>
      <c r="B303" s="15">
        <v>27168</v>
      </c>
      <c r="C303" s="6">
        <v>6</v>
      </c>
      <c r="D303" s="15">
        <v>2</v>
      </c>
    </row>
    <row r="304" spans="1:4" x14ac:dyDescent="0.35">
      <c r="A304" s="8">
        <v>4001396</v>
      </c>
      <c r="B304" s="15">
        <v>27100</v>
      </c>
      <c r="C304" s="6">
        <v>20</v>
      </c>
      <c r="D304" s="15">
        <v>2</v>
      </c>
    </row>
    <row r="305" spans="1:4" x14ac:dyDescent="0.35">
      <c r="A305" s="8">
        <v>4000835</v>
      </c>
      <c r="B305" s="15">
        <v>26555.49</v>
      </c>
      <c r="C305" s="6">
        <v>35</v>
      </c>
      <c r="D305" s="15">
        <v>3</v>
      </c>
    </row>
    <row r="306" spans="1:4" x14ac:dyDescent="0.35">
      <c r="A306" s="8">
        <v>4000457</v>
      </c>
      <c r="B306" s="15">
        <v>26393.599999999999</v>
      </c>
      <c r="C306" s="6">
        <v>4</v>
      </c>
      <c r="D306" s="15">
        <v>10</v>
      </c>
    </row>
    <row r="307" spans="1:4" x14ac:dyDescent="0.35">
      <c r="A307" s="8">
        <v>4003844</v>
      </c>
      <c r="B307" s="15">
        <v>26070.400000000001</v>
      </c>
      <c r="C307" s="6">
        <v>5</v>
      </c>
      <c r="D307" s="15">
        <v>80</v>
      </c>
    </row>
    <row r="308" spans="1:4" x14ac:dyDescent="0.35">
      <c r="A308" s="8">
        <v>4003911</v>
      </c>
      <c r="B308" s="15">
        <v>25920</v>
      </c>
      <c r="C308" s="6">
        <v>17</v>
      </c>
      <c r="D308" s="15">
        <v>8</v>
      </c>
    </row>
    <row r="309" spans="1:4" x14ac:dyDescent="0.35">
      <c r="A309" s="8">
        <v>4000455</v>
      </c>
      <c r="B309" s="15">
        <v>25847.52</v>
      </c>
      <c r="C309" s="6">
        <v>2</v>
      </c>
      <c r="D309" s="15">
        <v>12</v>
      </c>
    </row>
    <row r="310" spans="1:4" x14ac:dyDescent="0.35">
      <c r="A310" s="8">
        <v>4003238</v>
      </c>
      <c r="B310" s="15">
        <v>25732.6</v>
      </c>
      <c r="C310" s="6">
        <v>13</v>
      </c>
      <c r="D310" s="15">
        <v>4</v>
      </c>
    </row>
    <row r="311" spans="1:4" x14ac:dyDescent="0.35">
      <c r="A311" s="8">
        <v>4008464</v>
      </c>
      <c r="B311" s="15">
        <v>25716</v>
      </c>
      <c r="C311" s="6">
        <v>10</v>
      </c>
      <c r="D311" s="15">
        <v>4</v>
      </c>
    </row>
    <row r="312" spans="1:4" x14ac:dyDescent="0.35">
      <c r="A312" s="8">
        <v>4048468</v>
      </c>
      <c r="B312" s="15">
        <v>25320</v>
      </c>
      <c r="C312" s="6">
        <v>1</v>
      </c>
      <c r="D312" s="15">
        <v>24</v>
      </c>
    </row>
    <row r="313" spans="1:4" x14ac:dyDescent="0.35">
      <c r="A313" s="8">
        <v>4045028</v>
      </c>
      <c r="B313" s="15">
        <v>25000</v>
      </c>
      <c r="C313" s="6">
        <v>1</v>
      </c>
      <c r="D313" s="15">
        <v>10</v>
      </c>
    </row>
    <row r="314" spans="1:4" x14ac:dyDescent="0.35">
      <c r="A314" s="8">
        <v>4000416</v>
      </c>
      <c r="B314" s="15">
        <v>24972</v>
      </c>
      <c r="C314" s="6">
        <v>19</v>
      </c>
      <c r="D314" s="15">
        <v>2</v>
      </c>
    </row>
    <row r="315" spans="1:4" x14ac:dyDescent="0.35">
      <c r="A315" s="8">
        <v>4001754</v>
      </c>
      <c r="B315" s="15">
        <v>24864</v>
      </c>
      <c r="C315" s="6">
        <v>21</v>
      </c>
      <c r="D315" s="15">
        <v>20</v>
      </c>
    </row>
    <row r="316" spans="1:4" x14ac:dyDescent="0.35">
      <c r="A316" s="8">
        <v>4000027</v>
      </c>
      <c r="B316" s="15">
        <v>24686.240000000002</v>
      </c>
      <c r="C316" s="6">
        <v>15</v>
      </c>
      <c r="D316" s="15">
        <v>4</v>
      </c>
    </row>
    <row r="317" spans="1:4" x14ac:dyDescent="0.35">
      <c r="A317" s="8">
        <v>4000415</v>
      </c>
      <c r="B317" s="15">
        <v>24539.119999999999</v>
      </c>
      <c r="C317" s="6">
        <v>11</v>
      </c>
      <c r="D317" s="15">
        <v>4</v>
      </c>
    </row>
    <row r="318" spans="1:4" x14ac:dyDescent="0.35">
      <c r="A318" s="8">
        <v>4008100</v>
      </c>
      <c r="B318" s="15">
        <v>24170.15</v>
      </c>
      <c r="C318" s="6">
        <v>5</v>
      </c>
      <c r="D318" s="15">
        <v>6.6</v>
      </c>
    </row>
    <row r="319" spans="1:4" x14ac:dyDescent="0.35">
      <c r="A319" s="8">
        <v>4008276</v>
      </c>
      <c r="B319" s="15">
        <v>24000</v>
      </c>
      <c r="C319" s="6">
        <v>3</v>
      </c>
      <c r="D319" s="15">
        <v>2</v>
      </c>
    </row>
    <row r="320" spans="1:4" x14ac:dyDescent="0.35">
      <c r="A320" s="8">
        <v>4005881</v>
      </c>
      <c r="B320" s="15">
        <v>23918</v>
      </c>
      <c r="C320" s="6">
        <v>10</v>
      </c>
      <c r="D320" s="15">
        <v>4</v>
      </c>
    </row>
    <row r="321" spans="1:4" x14ac:dyDescent="0.35">
      <c r="A321" s="8">
        <v>4036779</v>
      </c>
      <c r="B321" s="15">
        <v>23576</v>
      </c>
      <c r="C321" s="6">
        <v>10</v>
      </c>
      <c r="D321" s="15">
        <v>2.5499999999999998</v>
      </c>
    </row>
    <row r="322" spans="1:4" x14ac:dyDescent="0.35">
      <c r="A322" s="8">
        <v>4004121</v>
      </c>
      <c r="B322" s="15">
        <v>23400</v>
      </c>
      <c r="C322" s="6">
        <v>15</v>
      </c>
      <c r="D322" s="15">
        <v>12</v>
      </c>
    </row>
    <row r="323" spans="1:4" x14ac:dyDescent="0.35">
      <c r="A323" s="8">
        <v>4001289</v>
      </c>
      <c r="B323" s="15">
        <v>23244</v>
      </c>
      <c r="C323" s="6">
        <v>39</v>
      </c>
      <c r="D323" s="15">
        <v>8</v>
      </c>
    </row>
    <row r="324" spans="1:4" x14ac:dyDescent="0.35">
      <c r="A324" s="8">
        <v>4036673</v>
      </c>
      <c r="B324" s="15">
        <v>23130</v>
      </c>
      <c r="C324" s="6">
        <v>6</v>
      </c>
      <c r="D324" s="15">
        <v>3</v>
      </c>
    </row>
    <row r="325" spans="1:4" x14ac:dyDescent="0.35">
      <c r="A325" s="8">
        <v>4035929</v>
      </c>
      <c r="B325" s="15">
        <v>23010</v>
      </c>
      <c r="C325" s="6">
        <v>7</v>
      </c>
      <c r="D325" s="15">
        <v>6</v>
      </c>
    </row>
    <row r="326" spans="1:4" x14ac:dyDescent="0.35">
      <c r="A326" s="8">
        <v>4000786</v>
      </c>
      <c r="B326" s="15">
        <v>22948</v>
      </c>
      <c r="C326" s="6">
        <v>9</v>
      </c>
      <c r="D326" s="15">
        <v>1</v>
      </c>
    </row>
    <row r="327" spans="1:4" x14ac:dyDescent="0.35">
      <c r="A327" s="8">
        <v>4004240</v>
      </c>
      <c r="B327" s="15">
        <v>22680</v>
      </c>
      <c r="C327" s="6">
        <v>41</v>
      </c>
      <c r="D327" s="15">
        <v>12.29</v>
      </c>
    </row>
    <row r="328" spans="1:4" x14ac:dyDescent="0.35">
      <c r="A328" s="8">
        <v>4000412</v>
      </c>
      <c r="B328" s="15">
        <v>22414.799999999999</v>
      </c>
      <c r="C328" s="6">
        <v>17</v>
      </c>
      <c r="D328" s="15">
        <v>2</v>
      </c>
    </row>
    <row r="329" spans="1:4" x14ac:dyDescent="0.35">
      <c r="A329" s="8">
        <v>4008327</v>
      </c>
      <c r="B329" s="15">
        <v>22390</v>
      </c>
      <c r="C329" s="6">
        <v>11</v>
      </c>
      <c r="D329" s="15">
        <v>1</v>
      </c>
    </row>
    <row r="330" spans="1:4" x14ac:dyDescent="0.35">
      <c r="A330" s="8">
        <v>4008463</v>
      </c>
      <c r="B330" s="15">
        <v>22050</v>
      </c>
      <c r="C330" s="6">
        <v>5</v>
      </c>
      <c r="D330" s="15">
        <v>18</v>
      </c>
    </row>
    <row r="331" spans="1:4" x14ac:dyDescent="0.35">
      <c r="A331" s="8">
        <v>4002709</v>
      </c>
      <c r="B331" s="15">
        <v>21765.599999999999</v>
      </c>
      <c r="C331" s="6">
        <v>9</v>
      </c>
      <c r="D331" s="15">
        <v>6</v>
      </c>
    </row>
    <row r="332" spans="1:4" x14ac:dyDescent="0.35">
      <c r="A332" s="8">
        <v>4004359</v>
      </c>
      <c r="B332" s="15">
        <v>21732.76</v>
      </c>
      <c r="C332" s="6">
        <v>16</v>
      </c>
      <c r="D332" s="15">
        <v>3.88</v>
      </c>
    </row>
    <row r="333" spans="1:4" x14ac:dyDescent="0.35">
      <c r="A333" s="8">
        <v>4008197</v>
      </c>
      <c r="B333" s="15">
        <v>21460</v>
      </c>
      <c r="C333" s="6">
        <v>37</v>
      </c>
      <c r="D333" s="15">
        <v>10</v>
      </c>
    </row>
    <row r="334" spans="1:4" x14ac:dyDescent="0.35">
      <c r="A334" s="8">
        <v>4006174</v>
      </c>
      <c r="B334" s="15">
        <v>21374.52</v>
      </c>
      <c r="C334" s="6">
        <v>21</v>
      </c>
      <c r="D334" s="15">
        <v>17.899999999999999</v>
      </c>
    </row>
    <row r="335" spans="1:4" x14ac:dyDescent="0.35">
      <c r="A335" s="8">
        <v>4045029</v>
      </c>
      <c r="B335" s="15">
        <v>21120</v>
      </c>
      <c r="C335" s="6">
        <v>1</v>
      </c>
      <c r="D335" s="15">
        <v>12</v>
      </c>
    </row>
    <row r="336" spans="1:4" x14ac:dyDescent="0.35">
      <c r="A336" s="8">
        <v>4009895</v>
      </c>
      <c r="B336" s="15">
        <v>20970</v>
      </c>
      <c r="C336" s="6">
        <v>4</v>
      </c>
      <c r="D336" s="15">
        <v>2</v>
      </c>
    </row>
    <row r="337" spans="1:4" x14ac:dyDescent="0.35">
      <c r="A337" s="8">
        <v>4006375</v>
      </c>
      <c r="B337" s="15">
        <v>20808</v>
      </c>
      <c r="C337" s="6">
        <v>16</v>
      </c>
      <c r="D337" s="15">
        <v>1</v>
      </c>
    </row>
    <row r="338" spans="1:4" x14ac:dyDescent="0.35">
      <c r="A338" s="8">
        <v>4008110</v>
      </c>
      <c r="B338" s="15">
        <v>20636.400000000001</v>
      </c>
      <c r="C338" s="6">
        <v>36</v>
      </c>
      <c r="D338" s="15">
        <v>3</v>
      </c>
    </row>
    <row r="339" spans="1:4" x14ac:dyDescent="0.35">
      <c r="A339" s="8">
        <v>4000766</v>
      </c>
      <c r="B339" s="15">
        <v>20596</v>
      </c>
      <c r="C339" s="6">
        <v>4</v>
      </c>
      <c r="D339" s="15">
        <v>2</v>
      </c>
    </row>
    <row r="340" spans="1:4" x14ac:dyDescent="0.35">
      <c r="A340" s="8">
        <v>4000770</v>
      </c>
      <c r="B340" s="15">
        <v>20528</v>
      </c>
      <c r="C340" s="6">
        <v>2</v>
      </c>
      <c r="D340" s="15">
        <v>4</v>
      </c>
    </row>
    <row r="341" spans="1:4" x14ac:dyDescent="0.35">
      <c r="A341" s="8">
        <v>4001241</v>
      </c>
      <c r="B341" s="15">
        <v>20520</v>
      </c>
      <c r="C341" s="6">
        <v>10</v>
      </c>
      <c r="D341" s="15">
        <v>1</v>
      </c>
    </row>
    <row r="342" spans="1:4" x14ac:dyDescent="0.35">
      <c r="A342" s="8">
        <v>4046094</v>
      </c>
      <c r="B342" s="15">
        <v>20200</v>
      </c>
      <c r="C342" s="6">
        <v>1</v>
      </c>
      <c r="D342" s="15">
        <v>10</v>
      </c>
    </row>
    <row r="343" spans="1:4" x14ac:dyDescent="0.35">
      <c r="A343" s="8">
        <v>4001573</v>
      </c>
      <c r="B343" s="15">
        <v>19926</v>
      </c>
      <c r="C343" s="6">
        <v>9</v>
      </c>
      <c r="D343" s="15">
        <v>30</v>
      </c>
    </row>
    <row r="344" spans="1:4" x14ac:dyDescent="0.35">
      <c r="A344" s="8">
        <v>4008214</v>
      </c>
      <c r="B344" s="15">
        <v>19821.099999999999</v>
      </c>
      <c r="C344" s="6">
        <v>1</v>
      </c>
      <c r="D344" s="15">
        <v>2</v>
      </c>
    </row>
    <row r="345" spans="1:4" x14ac:dyDescent="0.35">
      <c r="A345" s="8">
        <v>4015483</v>
      </c>
      <c r="B345" s="15">
        <v>19470</v>
      </c>
      <c r="C345" s="6">
        <v>33</v>
      </c>
      <c r="D345" s="15">
        <v>2</v>
      </c>
    </row>
    <row r="346" spans="1:4" x14ac:dyDescent="0.35">
      <c r="A346" s="8">
        <v>4001524</v>
      </c>
      <c r="B346" s="15">
        <v>19460.2</v>
      </c>
      <c r="C346" s="6">
        <v>19</v>
      </c>
      <c r="D346" s="15">
        <v>1</v>
      </c>
    </row>
    <row r="347" spans="1:4" x14ac:dyDescent="0.35">
      <c r="A347" s="8">
        <v>4001387</v>
      </c>
      <c r="B347" s="15">
        <v>19443.2</v>
      </c>
      <c r="C347" s="6">
        <v>31</v>
      </c>
      <c r="D347" s="15">
        <v>28</v>
      </c>
    </row>
    <row r="348" spans="1:4" x14ac:dyDescent="0.35">
      <c r="A348" s="8">
        <v>4000291</v>
      </c>
      <c r="B348" s="15">
        <v>19376</v>
      </c>
      <c r="C348" s="6">
        <v>11</v>
      </c>
      <c r="D348" s="15">
        <v>4</v>
      </c>
    </row>
    <row r="349" spans="1:4" x14ac:dyDescent="0.35">
      <c r="A349" s="8">
        <v>4035960</v>
      </c>
      <c r="B349" s="15">
        <v>19301.2</v>
      </c>
      <c r="C349" s="6">
        <v>19</v>
      </c>
      <c r="D349" s="15">
        <v>4.24</v>
      </c>
    </row>
    <row r="350" spans="1:4" x14ac:dyDescent="0.35">
      <c r="A350" s="8">
        <v>4004280</v>
      </c>
      <c r="B350" s="15">
        <v>19266</v>
      </c>
      <c r="C350" s="6">
        <v>13</v>
      </c>
      <c r="D350" s="15">
        <v>13</v>
      </c>
    </row>
    <row r="351" spans="1:4" x14ac:dyDescent="0.35">
      <c r="A351" s="8">
        <v>4000989</v>
      </c>
      <c r="B351" s="15">
        <v>19132.740000000002</v>
      </c>
      <c r="C351" s="6">
        <v>13</v>
      </c>
      <c r="D351" s="15">
        <v>2.38</v>
      </c>
    </row>
    <row r="352" spans="1:4" x14ac:dyDescent="0.35">
      <c r="A352" s="8">
        <v>4001291</v>
      </c>
      <c r="B352" s="15">
        <v>19053</v>
      </c>
      <c r="C352" s="6">
        <v>29</v>
      </c>
      <c r="D352" s="15">
        <v>6</v>
      </c>
    </row>
    <row r="353" spans="1:4" x14ac:dyDescent="0.35">
      <c r="A353" s="8">
        <v>4005454</v>
      </c>
      <c r="B353" s="15">
        <v>19020</v>
      </c>
      <c r="C353" s="6">
        <v>3</v>
      </c>
      <c r="D353" s="15">
        <v>4</v>
      </c>
    </row>
    <row r="354" spans="1:4" x14ac:dyDescent="0.35">
      <c r="A354" s="8">
        <v>4008002</v>
      </c>
      <c r="B354" s="15">
        <v>18976</v>
      </c>
      <c r="C354" s="6">
        <v>2</v>
      </c>
      <c r="D354" s="15">
        <v>4</v>
      </c>
    </row>
    <row r="355" spans="1:4" x14ac:dyDescent="0.35">
      <c r="A355" s="8">
        <v>4006062</v>
      </c>
      <c r="B355" s="15">
        <v>17887</v>
      </c>
      <c r="C355" s="6">
        <v>12</v>
      </c>
      <c r="D355" s="15">
        <v>2</v>
      </c>
    </row>
    <row r="356" spans="1:4" x14ac:dyDescent="0.35">
      <c r="A356" s="8">
        <v>4006066</v>
      </c>
      <c r="B356" s="15">
        <v>17662</v>
      </c>
      <c r="C356" s="6">
        <v>12</v>
      </c>
      <c r="D356" s="15">
        <v>4</v>
      </c>
    </row>
    <row r="357" spans="1:4" x14ac:dyDescent="0.35">
      <c r="A357" s="8">
        <v>4001359</v>
      </c>
      <c r="B357" s="15">
        <v>17606.560000000001</v>
      </c>
      <c r="C357" s="6">
        <v>11</v>
      </c>
      <c r="D357" s="15">
        <v>8</v>
      </c>
    </row>
    <row r="358" spans="1:4" x14ac:dyDescent="0.35">
      <c r="A358" s="8">
        <v>4005783</v>
      </c>
      <c r="B358" s="15">
        <v>17600</v>
      </c>
      <c r="C358" s="6">
        <v>1</v>
      </c>
      <c r="D358" s="15">
        <v>4</v>
      </c>
    </row>
    <row r="359" spans="1:4" x14ac:dyDescent="0.35">
      <c r="A359" s="8">
        <v>4000427</v>
      </c>
      <c r="B359" s="15">
        <v>17224.32</v>
      </c>
      <c r="C359" s="6">
        <v>11</v>
      </c>
      <c r="D359" s="15">
        <v>24</v>
      </c>
    </row>
    <row r="360" spans="1:4" x14ac:dyDescent="0.35">
      <c r="A360" s="8">
        <v>4001116</v>
      </c>
      <c r="B360" s="15">
        <v>16470</v>
      </c>
      <c r="C360" s="6">
        <v>33</v>
      </c>
      <c r="D360" s="15">
        <v>3</v>
      </c>
    </row>
    <row r="361" spans="1:4" x14ac:dyDescent="0.35">
      <c r="A361" s="8">
        <v>4008198</v>
      </c>
      <c r="B361" s="15">
        <v>16092</v>
      </c>
      <c r="C361" s="6">
        <v>9</v>
      </c>
      <c r="D361" s="15">
        <v>20</v>
      </c>
    </row>
    <row r="362" spans="1:4" x14ac:dyDescent="0.35">
      <c r="A362" s="8">
        <v>4000420</v>
      </c>
      <c r="B362" s="15">
        <v>15900</v>
      </c>
      <c r="C362" s="6">
        <v>16</v>
      </c>
      <c r="D362" s="15">
        <v>1</v>
      </c>
    </row>
    <row r="363" spans="1:4" x14ac:dyDescent="0.35">
      <c r="A363" s="8">
        <v>4000403</v>
      </c>
      <c r="B363" s="15">
        <v>15840</v>
      </c>
      <c r="C363" s="6">
        <v>21</v>
      </c>
      <c r="D363" s="15">
        <v>6.26</v>
      </c>
    </row>
    <row r="364" spans="1:4" x14ac:dyDescent="0.35">
      <c r="A364" s="8">
        <v>4046090</v>
      </c>
      <c r="B364" s="15">
        <v>15300</v>
      </c>
      <c r="C364" s="6">
        <v>1</v>
      </c>
      <c r="D364" s="15">
        <v>2</v>
      </c>
    </row>
    <row r="365" spans="1:4" x14ac:dyDescent="0.35">
      <c r="A365" s="8">
        <v>4004070</v>
      </c>
      <c r="B365" s="15">
        <v>15205</v>
      </c>
      <c r="C365" s="6">
        <v>15</v>
      </c>
      <c r="D365" s="15">
        <v>50</v>
      </c>
    </row>
    <row r="366" spans="1:4" x14ac:dyDescent="0.35">
      <c r="A366" s="8">
        <v>4044453</v>
      </c>
      <c r="B366" s="15">
        <v>15150.6</v>
      </c>
      <c r="C366" s="6">
        <v>1</v>
      </c>
      <c r="D366" s="15">
        <v>10</v>
      </c>
    </row>
    <row r="367" spans="1:4" x14ac:dyDescent="0.35">
      <c r="A367" s="8">
        <v>4004440</v>
      </c>
      <c r="B367" s="15">
        <v>15018</v>
      </c>
      <c r="C367" s="6">
        <v>6</v>
      </c>
      <c r="D367" s="15">
        <v>20</v>
      </c>
    </row>
    <row r="368" spans="1:4" x14ac:dyDescent="0.35">
      <c r="A368" s="8">
        <v>4000763</v>
      </c>
      <c r="B368" s="15">
        <v>14960</v>
      </c>
      <c r="C368" s="6">
        <v>22</v>
      </c>
      <c r="D368" s="15">
        <v>40</v>
      </c>
    </row>
    <row r="369" spans="1:4" x14ac:dyDescent="0.35">
      <c r="A369" s="8">
        <v>4008449</v>
      </c>
      <c r="B369" s="15">
        <v>14576</v>
      </c>
      <c r="C369" s="6">
        <v>4</v>
      </c>
      <c r="D369" s="15">
        <v>4</v>
      </c>
    </row>
    <row r="370" spans="1:4" x14ac:dyDescent="0.35">
      <c r="A370" s="8">
        <v>4015482</v>
      </c>
      <c r="B370" s="15">
        <v>14520</v>
      </c>
      <c r="C370" s="6">
        <v>20</v>
      </c>
      <c r="D370" s="15">
        <v>8</v>
      </c>
    </row>
    <row r="371" spans="1:4" x14ac:dyDescent="0.35">
      <c r="A371" s="8">
        <v>4008559</v>
      </c>
      <c r="B371" s="15">
        <v>14500</v>
      </c>
      <c r="C371" s="6">
        <v>9</v>
      </c>
      <c r="D371" s="15">
        <v>4</v>
      </c>
    </row>
    <row r="372" spans="1:4" x14ac:dyDescent="0.35">
      <c r="A372" s="8">
        <v>4004674</v>
      </c>
      <c r="B372" s="15">
        <v>13872</v>
      </c>
      <c r="C372" s="6">
        <v>12</v>
      </c>
      <c r="D372" s="15">
        <v>16</v>
      </c>
    </row>
    <row r="373" spans="1:4" x14ac:dyDescent="0.35">
      <c r="A373" s="8">
        <v>4006187</v>
      </c>
      <c r="B373" s="15">
        <v>13800</v>
      </c>
      <c r="C373" s="6">
        <v>8</v>
      </c>
      <c r="D373" s="15">
        <v>4.13</v>
      </c>
    </row>
    <row r="374" spans="1:4" x14ac:dyDescent="0.35">
      <c r="A374" s="8">
        <v>4008010</v>
      </c>
      <c r="B374" s="15">
        <v>13708.4</v>
      </c>
      <c r="C374" s="6">
        <v>6</v>
      </c>
      <c r="D374" s="15">
        <v>2</v>
      </c>
    </row>
    <row r="375" spans="1:4" x14ac:dyDescent="0.35">
      <c r="A375" s="8">
        <v>4004679</v>
      </c>
      <c r="B375" s="15">
        <v>13600</v>
      </c>
      <c r="C375" s="6">
        <v>2</v>
      </c>
      <c r="D375" s="15">
        <v>2</v>
      </c>
    </row>
    <row r="376" spans="1:4" x14ac:dyDescent="0.35">
      <c r="A376" s="8">
        <v>4002481</v>
      </c>
      <c r="B376" s="15">
        <v>13475</v>
      </c>
      <c r="C376" s="6">
        <v>12</v>
      </c>
      <c r="D376" s="15">
        <v>2</v>
      </c>
    </row>
    <row r="377" spans="1:4" x14ac:dyDescent="0.35">
      <c r="A377" s="8">
        <v>4036670</v>
      </c>
      <c r="B377" s="15">
        <v>13360</v>
      </c>
      <c r="C377" s="6">
        <v>4</v>
      </c>
      <c r="D377" s="15">
        <v>2</v>
      </c>
    </row>
    <row r="378" spans="1:4" x14ac:dyDescent="0.35">
      <c r="A378" s="8">
        <v>4005032</v>
      </c>
      <c r="B378" s="15">
        <v>13030</v>
      </c>
      <c r="C378" s="6">
        <v>7</v>
      </c>
      <c r="D378" s="15">
        <v>0.71</v>
      </c>
    </row>
    <row r="379" spans="1:4" x14ac:dyDescent="0.35">
      <c r="A379" s="8">
        <v>4008142</v>
      </c>
      <c r="B379" s="15">
        <v>12950</v>
      </c>
      <c r="C379" s="6">
        <v>14</v>
      </c>
      <c r="D379" s="15">
        <v>5</v>
      </c>
    </row>
    <row r="380" spans="1:4" x14ac:dyDescent="0.35">
      <c r="A380" s="8">
        <v>4008456</v>
      </c>
      <c r="B380" s="15">
        <v>12858</v>
      </c>
      <c r="C380" s="6">
        <v>5</v>
      </c>
      <c r="D380" s="15">
        <v>4</v>
      </c>
    </row>
    <row r="381" spans="1:4" x14ac:dyDescent="0.35">
      <c r="A381" s="8">
        <v>4001344</v>
      </c>
      <c r="B381" s="15">
        <v>12799.64</v>
      </c>
      <c r="C381" s="6">
        <v>7</v>
      </c>
      <c r="D381" s="15">
        <v>68</v>
      </c>
    </row>
    <row r="382" spans="1:4" x14ac:dyDescent="0.35">
      <c r="A382" s="8">
        <v>4045027</v>
      </c>
      <c r="B382" s="15">
        <v>12500</v>
      </c>
      <c r="C382" s="6">
        <v>1</v>
      </c>
      <c r="D382" s="15">
        <v>5</v>
      </c>
    </row>
    <row r="383" spans="1:4" x14ac:dyDescent="0.35">
      <c r="A383" s="8">
        <v>4000988</v>
      </c>
      <c r="B383" s="15">
        <v>12492</v>
      </c>
      <c r="C383" s="6">
        <v>8</v>
      </c>
      <c r="D383" s="15">
        <v>38.880000000000003</v>
      </c>
    </row>
    <row r="384" spans="1:4" x14ac:dyDescent="0.35">
      <c r="A384" s="8">
        <v>4008461</v>
      </c>
      <c r="B384" s="15">
        <v>12221</v>
      </c>
      <c r="C384" s="6">
        <v>7</v>
      </c>
      <c r="D384" s="15">
        <v>2</v>
      </c>
    </row>
    <row r="385" spans="1:4" x14ac:dyDescent="0.35">
      <c r="A385" s="8">
        <v>4000411</v>
      </c>
      <c r="B385" s="15">
        <v>11800.56</v>
      </c>
      <c r="C385" s="6">
        <v>17</v>
      </c>
      <c r="D385" s="15">
        <v>1</v>
      </c>
    </row>
    <row r="386" spans="1:4" x14ac:dyDescent="0.35">
      <c r="A386" s="8">
        <v>4000975</v>
      </c>
      <c r="B386" s="15">
        <v>11760</v>
      </c>
      <c r="C386" s="6">
        <v>5</v>
      </c>
      <c r="D386" s="15">
        <v>1.6</v>
      </c>
    </row>
    <row r="387" spans="1:4" x14ac:dyDescent="0.35">
      <c r="A387" s="8">
        <v>4005052</v>
      </c>
      <c r="B387" s="15">
        <v>11520</v>
      </c>
      <c r="C387" s="6">
        <v>6</v>
      </c>
      <c r="D387" s="15">
        <v>5.33</v>
      </c>
    </row>
    <row r="388" spans="1:4" x14ac:dyDescent="0.35">
      <c r="A388" s="8">
        <v>4004049</v>
      </c>
      <c r="B388" s="15">
        <v>11455.68</v>
      </c>
      <c r="C388" s="6">
        <v>8</v>
      </c>
      <c r="D388" s="15">
        <v>24</v>
      </c>
    </row>
    <row r="389" spans="1:4" x14ac:dyDescent="0.35">
      <c r="A389" s="8">
        <v>4004451</v>
      </c>
      <c r="B389" s="15">
        <v>11440</v>
      </c>
      <c r="C389" s="6">
        <v>13</v>
      </c>
      <c r="D389" s="15">
        <v>8</v>
      </c>
    </row>
    <row r="390" spans="1:4" x14ac:dyDescent="0.35">
      <c r="A390" s="8">
        <v>4001124</v>
      </c>
      <c r="B390" s="15">
        <v>11294.9</v>
      </c>
      <c r="C390" s="6">
        <v>5</v>
      </c>
      <c r="D390" s="15">
        <v>1</v>
      </c>
    </row>
    <row r="391" spans="1:4" x14ac:dyDescent="0.35">
      <c r="A391" s="8">
        <v>4006378</v>
      </c>
      <c r="B391" s="15">
        <v>11124</v>
      </c>
      <c r="C391" s="6">
        <v>5</v>
      </c>
      <c r="D391" s="15">
        <v>2</v>
      </c>
    </row>
    <row r="392" spans="1:4" x14ac:dyDescent="0.35">
      <c r="A392" s="8">
        <v>4001809</v>
      </c>
      <c r="B392" s="15">
        <v>11050</v>
      </c>
      <c r="C392" s="6">
        <v>16</v>
      </c>
      <c r="D392" s="15">
        <v>29.38</v>
      </c>
    </row>
    <row r="393" spans="1:4" x14ac:dyDescent="0.35">
      <c r="A393" s="8">
        <v>4001365</v>
      </c>
      <c r="B393" s="15">
        <v>10800</v>
      </c>
      <c r="C393" s="6">
        <v>8</v>
      </c>
      <c r="D393" s="15">
        <v>60</v>
      </c>
    </row>
    <row r="394" spans="1:4" x14ac:dyDescent="0.35">
      <c r="A394" s="8">
        <v>4004238</v>
      </c>
      <c r="B394" s="15">
        <v>10800</v>
      </c>
      <c r="C394" s="6">
        <v>7</v>
      </c>
      <c r="D394" s="15">
        <v>2.29</v>
      </c>
    </row>
    <row r="395" spans="1:4" x14ac:dyDescent="0.35">
      <c r="A395" s="8">
        <v>4000067</v>
      </c>
      <c r="B395" s="15">
        <v>10720</v>
      </c>
      <c r="C395" s="6">
        <v>16</v>
      </c>
      <c r="D395" s="15">
        <v>4</v>
      </c>
    </row>
    <row r="396" spans="1:4" x14ac:dyDescent="0.35">
      <c r="A396" s="8">
        <v>4004147</v>
      </c>
      <c r="B396" s="15">
        <v>10640</v>
      </c>
      <c r="C396" s="6">
        <v>37</v>
      </c>
      <c r="D396" s="15">
        <v>7</v>
      </c>
    </row>
    <row r="397" spans="1:4" x14ac:dyDescent="0.35">
      <c r="A397" s="8">
        <v>4004269</v>
      </c>
      <c r="B397" s="15">
        <v>10560</v>
      </c>
      <c r="C397" s="6">
        <v>8</v>
      </c>
      <c r="D397" s="15">
        <v>12</v>
      </c>
    </row>
    <row r="398" spans="1:4" x14ac:dyDescent="0.35">
      <c r="A398" s="8">
        <v>4045030</v>
      </c>
      <c r="B398" s="15">
        <v>10560</v>
      </c>
      <c r="C398" s="6">
        <v>1</v>
      </c>
      <c r="D398" s="15">
        <v>6</v>
      </c>
    </row>
    <row r="399" spans="1:4" x14ac:dyDescent="0.35">
      <c r="A399" s="8">
        <v>4004453</v>
      </c>
      <c r="B399" s="15">
        <v>10452</v>
      </c>
      <c r="C399" s="6">
        <v>51</v>
      </c>
      <c r="D399" s="15">
        <v>6.12</v>
      </c>
    </row>
    <row r="400" spans="1:4" x14ac:dyDescent="0.35">
      <c r="A400" s="8">
        <v>4008511</v>
      </c>
      <c r="B400" s="15">
        <v>10200</v>
      </c>
      <c r="C400" s="6">
        <v>6</v>
      </c>
      <c r="D400" s="15">
        <v>1.1100000000000001</v>
      </c>
    </row>
    <row r="401" spans="1:4" x14ac:dyDescent="0.35">
      <c r="A401" s="8">
        <v>4045370</v>
      </c>
      <c r="B401" s="15">
        <v>10164</v>
      </c>
      <c r="C401" s="6">
        <v>1</v>
      </c>
      <c r="D401" s="15">
        <v>14</v>
      </c>
    </row>
    <row r="402" spans="1:4" x14ac:dyDescent="0.35">
      <c r="A402" s="8">
        <v>4008143</v>
      </c>
      <c r="B402" s="15">
        <v>10080</v>
      </c>
      <c r="C402" s="6">
        <v>8</v>
      </c>
      <c r="D402" s="15">
        <v>4</v>
      </c>
    </row>
    <row r="403" spans="1:4" x14ac:dyDescent="0.35">
      <c r="A403" s="8">
        <v>4006341</v>
      </c>
      <c r="B403" s="15">
        <v>9948</v>
      </c>
      <c r="C403" s="6">
        <v>3</v>
      </c>
      <c r="D403" s="15">
        <v>1</v>
      </c>
    </row>
    <row r="404" spans="1:4" x14ac:dyDescent="0.35">
      <c r="A404" s="8">
        <v>4045024</v>
      </c>
      <c r="B404" s="15">
        <v>9824.65</v>
      </c>
      <c r="C404" s="6">
        <v>1</v>
      </c>
      <c r="D404" s="15">
        <v>5</v>
      </c>
    </row>
    <row r="405" spans="1:4" x14ac:dyDescent="0.35">
      <c r="A405" s="8">
        <v>4001320</v>
      </c>
      <c r="B405" s="15">
        <v>9720</v>
      </c>
      <c r="C405" s="6">
        <v>12</v>
      </c>
      <c r="D405" s="15">
        <v>6</v>
      </c>
    </row>
    <row r="406" spans="1:4" x14ac:dyDescent="0.35">
      <c r="A406" s="8">
        <v>4038643</v>
      </c>
      <c r="B406" s="15">
        <v>9672</v>
      </c>
      <c r="C406" s="6">
        <v>3</v>
      </c>
      <c r="D406" s="15">
        <v>1</v>
      </c>
    </row>
    <row r="407" spans="1:4" x14ac:dyDescent="0.35">
      <c r="A407" s="8">
        <v>4004246</v>
      </c>
      <c r="B407" s="15">
        <v>9600</v>
      </c>
      <c r="C407" s="6">
        <v>1</v>
      </c>
      <c r="D407" s="15">
        <v>12</v>
      </c>
    </row>
    <row r="408" spans="1:4" x14ac:dyDescent="0.35">
      <c r="A408" s="8">
        <v>4004248</v>
      </c>
      <c r="B408" s="15">
        <v>9600</v>
      </c>
      <c r="C408" s="6">
        <v>1</v>
      </c>
      <c r="D408" s="15">
        <v>12</v>
      </c>
    </row>
    <row r="409" spans="1:4" x14ac:dyDescent="0.35">
      <c r="A409" s="8">
        <v>4002475</v>
      </c>
      <c r="B409" s="15">
        <v>9408</v>
      </c>
      <c r="C409" s="6">
        <v>7</v>
      </c>
      <c r="D409" s="15">
        <v>48</v>
      </c>
    </row>
    <row r="410" spans="1:4" x14ac:dyDescent="0.35">
      <c r="A410" s="8">
        <v>4004074</v>
      </c>
      <c r="B410" s="15">
        <v>9225</v>
      </c>
      <c r="C410" s="6">
        <v>5</v>
      </c>
      <c r="D410" s="15">
        <v>9</v>
      </c>
    </row>
    <row r="411" spans="1:4" x14ac:dyDescent="0.35">
      <c r="A411" s="8">
        <v>4006193</v>
      </c>
      <c r="B411" s="15">
        <v>9200</v>
      </c>
      <c r="C411" s="6">
        <v>2</v>
      </c>
      <c r="D411" s="15">
        <v>11</v>
      </c>
    </row>
    <row r="412" spans="1:4" x14ac:dyDescent="0.35">
      <c r="A412" s="8">
        <v>4004168</v>
      </c>
      <c r="B412" s="15">
        <v>9003.48</v>
      </c>
      <c r="C412" s="6">
        <v>9</v>
      </c>
      <c r="D412" s="15">
        <v>1</v>
      </c>
    </row>
    <row r="413" spans="1:4" x14ac:dyDescent="0.35">
      <c r="A413" s="8">
        <v>4001385</v>
      </c>
      <c r="B413" s="15">
        <v>9000</v>
      </c>
      <c r="C413" s="6">
        <v>6</v>
      </c>
      <c r="D413" s="15">
        <v>1</v>
      </c>
    </row>
    <row r="414" spans="1:4" x14ac:dyDescent="0.35">
      <c r="A414" s="8">
        <v>4008265</v>
      </c>
      <c r="B414" s="15">
        <v>8875</v>
      </c>
      <c r="C414" s="6">
        <v>5</v>
      </c>
      <c r="D414" s="15">
        <v>1.8</v>
      </c>
    </row>
    <row r="415" spans="1:4" x14ac:dyDescent="0.35">
      <c r="A415" s="8">
        <v>4002546</v>
      </c>
      <c r="B415" s="15">
        <v>8640</v>
      </c>
      <c r="C415" s="6">
        <v>16</v>
      </c>
      <c r="D415" s="15">
        <v>8</v>
      </c>
    </row>
    <row r="416" spans="1:4" x14ac:dyDescent="0.35">
      <c r="A416" s="8">
        <v>4003529</v>
      </c>
      <c r="B416" s="15">
        <v>8442</v>
      </c>
      <c r="C416" s="6">
        <v>7</v>
      </c>
      <c r="D416" s="15">
        <v>1</v>
      </c>
    </row>
    <row r="417" spans="1:4" x14ac:dyDescent="0.35">
      <c r="A417" s="8">
        <v>4008124</v>
      </c>
      <c r="B417" s="15">
        <v>8440</v>
      </c>
      <c r="C417" s="6">
        <v>4</v>
      </c>
      <c r="D417" s="15">
        <v>1.1399999999999999</v>
      </c>
    </row>
    <row r="418" spans="1:4" x14ac:dyDescent="0.35">
      <c r="A418" s="8">
        <v>4004237</v>
      </c>
      <c r="B418" s="15">
        <v>8220</v>
      </c>
      <c r="C418" s="6">
        <v>4</v>
      </c>
      <c r="D418" s="15">
        <v>1</v>
      </c>
    </row>
    <row r="419" spans="1:4" x14ac:dyDescent="0.35">
      <c r="A419" s="8">
        <v>4000974</v>
      </c>
      <c r="B419" s="15">
        <v>8184</v>
      </c>
      <c r="C419" s="6">
        <v>11</v>
      </c>
      <c r="D419" s="15">
        <v>2.36</v>
      </c>
    </row>
    <row r="420" spans="1:4" x14ac:dyDescent="0.35">
      <c r="A420" s="8">
        <v>4008471</v>
      </c>
      <c r="B420" s="15">
        <v>8100</v>
      </c>
      <c r="C420" s="6">
        <v>3</v>
      </c>
      <c r="D420" s="15">
        <v>10</v>
      </c>
    </row>
    <row r="421" spans="1:4" x14ac:dyDescent="0.35">
      <c r="A421" s="8">
        <v>4004450</v>
      </c>
      <c r="B421" s="15">
        <v>8028</v>
      </c>
      <c r="C421" s="6">
        <v>5</v>
      </c>
      <c r="D421" s="15">
        <v>24</v>
      </c>
    </row>
    <row r="422" spans="1:4" x14ac:dyDescent="0.35">
      <c r="A422" s="8">
        <v>4004281</v>
      </c>
      <c r="B422" s="15">
        <v>7872</v>
      </c>
      <c r="C422" s="6">
        <v>6</v>
      </c>
      <c r="D422" s="15">
        <v>20</v>
      </c>
    </row>
    <row r="423" spans="1:4" x14ac:dyDescent="0.35">
      <c r="A423" s="8">
        <v>4045021</v>
      </c>
      <c r="B423" s="15">
        <v>7733.35</v>
      </c>
      <c r="C423" s="6">
        <v>1</v>
      </c>
      <c r="D423" s="15">
        <v>5</v>
      </c>
    </row>
    <row r="424" spans="1:4" x14ac:dyDescent="0.35">
      <c r="A424" s="8">
        <v>4006381</v>
      </c>
      <c r="B424" s="15">
        <v>7560</v>
      </c>
      <c r="C424" s="6">
        <v>17</v>
      </c>
      <c r="D424" s="15">
        <v>1</v>
      </c>
    </row>
    <row r="425" spans="1:4" x14ac:dyDescent="0.35">
      <c r="A425" s="8">
        <v>4001135</v>
      </c>
      <c r="B425" s="15">
        <v>7550</v>
      </c>
      <c r="C425" s="6">
        <v>3</v>
      </c>
      <c r="D425" s="15">
        <v>4</v>
      </c>
    </row>
    <row r="426" spans="1:4" x14ac:dyDescent="0.35">
      <c r="A426" s="8">
        <v>4001136</v>
      </c>
      <c r="B426" s="15">
        <v>7550</v>
      </c>
      <c r="C426" s="6">
        <v>3</v>
      </c>
      <c r="D426" s="15">
        <v>4</v>
      </c>
    </row>
    <row r="427" spans="1:4" x14ac:dyDescent="0.35">
      <c r="A427" s="8">
        <v>4008609</v>
      </c>
      <c r="B427" s="15">
        <v>7350</v>
      </c>
      <c r="C427" s="6">
        <v>5</v>
      </c>
      <c r="D427" s="15">
        <v>6</v>
      </c>
    </row>
    <row r="428" spans="1:4" x14ac:dyDescent="0.35">
      <c r="A428" s="8">
        <v>4004054</v>
      </c>
      <c r="B428" s="15">
        <v>7258.68</v>
      </c>
      <c r="C428" s="6">
        <v>6</v>
      </c>
      <c r="D428" s="15">
        <v>1</v>
      </c>
    </row>
    <row r="429" spans="1:4" x14ac:dyDescent="0.35">
      <c r="A429" s="8">
        <v>4001290</v>
      </c>
      <c r="B429" s="15">
        <v>7056</v>
      </c>
      <c r="C429" s="6">
        <v>12</v>
      </c>
      <c r="D429" s="15">
        <v>4</v>
      </c>
    </row>
    <row r="430" spans="1:4" x14ac:dyDescent="0.35">
      <c r="A430" s="8">
        <v>4004124</v>
      </c>
      <c r="B430" s="15">
        <v>7040</v>
      </c>
      <c r="C430" s="6">
        <v>6</v>
      </c>
      <c r="D430" s="15">
        <v>8</v>
      </c>
    </row>
    <row r="431" spans="1:4" x14ac:dyDescent="0.35">
      <c r="A431" s="8">
        <v>4045055</v>
      </c>
      <c r="B431" s="15">
        <v>7040</v>
      </c>
      <c r="C431" s="6">
        <v>1</v>
      </c>
      <c r="D431" s="15">
        <v>2</v>
      </c>
    </row>
    <row r="432" spans="1:4" x14ac:dyDescent="0.35">
      <c r="A432" s="8">
        <v>4045056</v>
      </c>
      <c r="B432" s="15">
        <v>7040</v>
      </c>
      <c r="C432" s="6">
        <v>1</v>
      </c>
      <c r="D432" s="15">
        <v>2</v>
      </c>
    </row>
    <row r="433" spans="1:4" x14ac:dyDescent="0.35">
      <c r="A433" s="8">
        <v>4045057</v>
      </c>
      <c r="B433" s="15">
        <v>7040</v>
      </c>
      <c r="C433" s="6">
        <v>1</v>
      </c>
      <c r="D433" s="15">
        <v>2</v>
      </c>
    </row>
    <row r="434" spans="1:4" x14ac:dyDescent="0.35">
      <c r="A434" s="8">
        <v>4030760</v>
      </c>
      <c r="B434" s="15">
        <v>7026</v>
      </c>
      <c r="C434" s="6">
        <v>3</v>
      </c>
      <c r="D434" s="15">
        <v>2</v>
      </c>
    </row>
    <row r="435" spans="1:4" x14ac:dyDescent="0.35">
      <c r="A435" s="8">
        <v>4001215</v>
      </c>
      <c r="B435" s="15">
        <v>7000</v>
      </c>
      <c r="C435" s="6">
        <v>4</v>
      </c>
      <c r="D435" s="15">
        <v>35</v>
      </c>
    </row>
    <row r="436" spans="1:4" x14ac:dyDescent="0.35">
      <c r="A436" s="8">
        <v>4008106</v>
      </c>
      <c r="B436" s="15">
        <v>6971.28</v>
      </c>
      <c r="C436" s="6">
        <v>5</v>
      </c>
      <c r="D436" s="15">
        <v>24</v>
      </c>
    </row>
    <row r="437" spans="1:4" x14ac:dyDescent="0.35">
      <c r="A437" s="8">
        <v>4001134</v>
      </c>
      <c r="B437" s="15">
        <v>6900</v>
      </c>
      <c r="C437" s="6">
        <v>3</v>
      </c>
      <c r="D437" s="15">
        <v>1</v>
      </c>
    </row>
    <row r="438" spans="1:4" x14ac:dyDescent="0.35">
      <c r="A438" s="8">
        <v>4005925</v>
      </c>
      <c r="B438" s="15">
        <v>6602.2</v>
      </c>
      <c r="C438" s="6">
        <v>3</v>
      </c>
      <c r="D438" s="15">
        <v>5</v>
      </c>
    </row>
    <row r="439" spans="1:4" x14ac:dyDescent="0.35">
      <c r="A439" s="8">
        <v>4009896</v>
      </c>
      <c r="B439" s="15">
        <v>6500</v>
      </c>
      <c r="C439" s="6">
        <v>2</v>
      </c>
      <c r="D439" s="15">
        <v>2</v>
      </c>
    </row>
    <row r="440" spans="1:4" x14ac:dyDescent="0.35">
      <c r="A440" s="8">
        <v>4001341</v>
      </c>
      <c r="B440" s="15">
        <v>6480</v>
      </c>
      <c r="C440" s="6">
        <v>9</v>
      </c>
      <c r="D440" s="15">
        <v>12</v>
      </c>
    </row>
    <row r="441" spans="1:4" x14ac:dyDescent="0.35">
      <c r="A441" s="8">
        <v>4006377</v>
      </c>
      <c r="B441" s="15">
        <v>6432</v>
      </c>
      <c r="C441" s="6">
        <v>11</v>
      </c>
      <c r="D441" s="15">
        <v>1</v>
      </c>
    </row>
    <row r="442" spans="1:4" x14ac:dyDescent="0.35">
      <c r="A442" s="8">
        <v>4000765</v>
      </c>
      <c r="B442" s="15">
        <v>6400</v>
      </c>
      <c r="C442" s="6">
        <v>8</v>
      </c>
      <c r="D442" s="15">
        <v>20</v>
      </c>
    </row>
    <row r="443" spans="1:4" x14ac:dyDescent="0.35">
      <c r="A443" s="8">
        <v>4003864</v>
      </c>
      <c r="B443" s="15">
        <v>6300</v>
      </c>
      <c r="C443" s="6">
        <v>1</v>
      </c>
      <c r="D443" s="15">
        <v>2</v>
      </c>
    </row>
    <row r="444" spans="1:4" x14ac:dyDescent="0.35">
      <c r="A444" s="8">
        <v>4003611</v>
      </c>
      <c r="B444" s="15">
        <v>6180</v>
      </c>
      <c r="C444" s="6">
        <v>3</v>
      </c>
      <c r="D444" s="15">
        <v>1</v>
      </c>
    </row>
    <row r="445" spans="1:4" x14ac:dyDescent="0.35">
      <c r="A445" s="8">
        <v>4001572</v>
      </c>
      <c r="B445" s="15">
        <v>6120</v>
      </c>
      <c r="C445" s="6">
        <v>5</v>
      </c>
      <c r="D445" s="15">
        <v>10</v>
      </c>
    </row>
    <row r="446" spans="1:4" x14ac:dyDescent="0.35">
      <c r="A446" s="8">
        <v>4008023</v>
      </c>
      <c r="B446" s="15">
        <v>5550</v>
      </c>
      <c r="C446" s="6">
        <v>6</v>
      </c>
      <c r="D446" s="15">
        <v>4</v>
      </c>
    </row>
    <row r="447" spans="1:4" x14ac:dyDescent="0.35">
      <c r="A447" s="8">
        <v>4003416</v>
      </c>
      <c r="B447" s="15">
        <v>5438.96</v>
      </c>
      <c r="C447" s="6">
        <v>1</v>
      </c>
      <c r="D447" s="15">
        <v>8</v>
      </c>
    </row>
    <row r="448" spans="1:4" x14ac:dyDescent="0.35">
      <c r="A448" s="8">
        <v>4000969</v>
      </c>
      <c r="B448" s="15">
        <v>5223.4799999999996</v>
      </c>
      <c r="C448" s="6">
        <v>8</v>
      </c>
      <c r="D448" s="15">
        <v>4</v>
      </c>
    </row>
    <row r="449" spans="1:4" x14ac:dyDescent="0.35">
      <c r="A449" s="8">
        <v>4001345</v>
      </c>
      <c r="B449" s="15">
        <v>4945.6400000000003</v>
      </c>
      <c r="C449" s="6">
        <v>12</v>
      </c>
      <c r="D449" s="15">
        <v>17</v>
      </c>
    </row>
    <row r="450" spans="1:4" x14ac:dyDescent="0.35">
      <c r="A450" s="8">
        <v>4006678</v>
      </c>
      <c r="B450" s="15">
        <v>4862.3999999999996</v>
      </c>
      <c r="C450" s="6">
        <v>10</v>
      </c>
      <c r="D450" s="15">
        <v>8</v>
      </c>
    </row>
    <row r="451" spans="1:4" x14ac:dyDescent="0.35">
      <c r="A451" s="8">
        <v>4001363</v>
      </c>
      <c r="B451" s="15">
        <v>4853.28</v>
      </c>
      <c r="C451" s="6">
        <v>3</v>
      </c>
      <c r="D451" s="15">
        <v>8</v>
      </c>
    </row>
    <row r="452" spans="1:4" x14ac:dyDescent="0.35">
      <c r="A452" s="8">
        <v>4002482</v>
      </c>
      <c r="B452" s="15">
        <v>4828.8</v>
      </c>
      <c r="C452" s="6">
        <v>40</v>
      </c>
      <c r="D452" s="15">
        <v>6</v>
      </c>
    </row>
    <row r="453" spans="1:4" x14ac:dyDescent="0.35">
      <c r="A453" s="8">
        <v>4006171</v>
      </c>
      <c r="B453" s="15">
        <v>4800</v>
      </c>
      <c r="C453" s="6">
        <v>3</v>
      </c>
      <c r="D453" s="15">
        <v>4</v>
      </c>
    </row>
    <row r="454" spans="1:4" x14ac:dyDescent="0.35">
      <c r="A454" s="8">
        <v>4000419</v>
      </c>
      <c r="B454" s="15">
        <v>4752</v>
      </c>
      <c r="C454" s="6">
        <v>9</v>
      </c>
      <c r="D454" s="15">
        <v>1</v>
      </c>
    </row>
    <row r="455" spans="1:4" x14ac:dyDescent="0.35">
      <c r="A455" s="8">
        <v>4001133</v>
      </c>
      <c r="B455" s="15">
        <v>4600</v>
      </c>
      <c r="C455" s="6">
        <v>2</v>
      </c>
      <c r="D455" s="15">
        <v>1</v>
      </c>
    </row>
    <row r="456" spans="1:4" x14ac:dyDescent="0.35">
      <c r="A456" s="8">
        <v>4006529</v>
      </c>
      <c r="B456" s="15">
        <v>4600</v>
      </c>
      <c r="C456" s="6">
        <v>2</v>
      </c>
      <c r="D456" s="15">
        <v>1</v>
      </c>
    </row>
    <row r="457" spans="1:4" x14ac:dyDescent="0.35">
      <c r="A457" s="8">
        <v>4008133</v>
      </c>
      <c r="B457" s="15">
        <v>4560</v>
      </c>
      <c r="C457" s="6">
        <v>1</v>
      </c>
      <c r="D457" s="15">
        <v>4</v>
      </c>
    </row>
    <row r="458" spans="1:4" x14ac:dyDescent="0.35">
      <c r="A458" s="8">
        <v>4008258</v>
      </c>
      <c r="B458" s="15">
        <v>4530</v>
      </c>
      <c r="C458" s="6">
        <v>1</v>
      </c>
      <c r="D458" s="15">
        <v>12</v>
      </c>
    </row>
    <row r="459" spans="1:4" x14ac:dyDescent="0.35">
      <c r="A459" s="8">
        <v>4000973</v>
      </c>
      <c r="B459" s="15">
        <v>4440</v>
      </c>
      <c r="C459" s="6">
        <v>8</v>
      </c>
      <c r="D459" s="15">
        <v>1.38</v>
      </c>
    </row>
    <row r="460" spans="1:4" x14ac:dyDescent="0.35">
      <c r="A460" s="8">
        <v>4045018</v>
      </c>
      <c r="B460" s="15">
        <v>4090.8</v>
      </c>
      <c r="C460" s="6">
        <v>1</v>
      </c>
      <c r="D460" s="15">
        <v>2</v>
      </c>
    </row>
    <row r="461" spans="1:4" x14ac:dyDescent="0.35">
      <c r="A461" s="8">
        <v>4008253</v>
      </c>
      <c r="B461" s="15">
        <v>4027.4</v>
      </c>
      <c r="C461" s="6">
        <v>1</v>
      </c>
      <c r="D461" s="15">
        <v>2</v>
      </c>
    </row>
    <row r="462" spans="1:4" x14ac:dyDescent="0.35">
      <c r="A462" s="8">
        <v>4008194</v>
      </c>
      <c r="B462" s="15">
        <v>3960</v>
      </c>
      <c r="C462" s="6">
        <v>7</v>
      </c>
      <c r="D462" s="15">
        <v>9.43</v>
      </c>
    </row>
    <row r="463" spans="1:4" x14ac:dyDescent="0.35">
      <c r="A463" s="8">
        <v>4046092</v>
      </c>
      <c r="B463" s="15">
        <v>3892.78</v>
      </c>
      <c r="C463" s="6">
        <v>1</v>
      </c>
      <c r="D463" s="15">
        <v>1</v>
      </c>
    </row>
    <row r="464" spans="1:4" x14ac:dyDescent="0.35">
      <c r="A464" s="8">
        <v>4004203</v>
      </c>
      <c r="B464" s="15">
        <v>3870</v>
      </c>
      <c r="C464" s="6">
        <v>4</v>
      </c>
      <c r="D464" s="15">
        <v>1</v>
      </c>
    </row>
    <row r="465" spans="1:4" x14ac:dyDescent="0.35">
      <c r="A465" s="8">
        <v>4008204</v>
      </c>
      <c r="B465" s="15">
        <v>3780.06</v>
      </c>
      <c r="C465" s="6">
        <v>3</v>
      </c>
      <c r="D465" s="15">
        <v>6</v>
      </c>
    </row>
    <row r="466" spans="1:4" x14ac:dyDescent="0.35">
      <c r="A466" s="8">
        <v>4002675</v>
      </c>
      <c r="B466" s="15">
        <v>3584</v>
      </c>
      <c r="C466" s="6">
        <v>8</v>
      </c>
      <c r="D466" s="15">
        <v>4</v>
      </c>
    </row>
    <row r="467" spans="1:4" x14ac:dyDescent="0.35">
      <c r="A467" s="8">
        <v>4001129</v>
      </c>
      <c r="B467" s="15">
        <v>3570.72</v>
      </c>
      <c r="C467" s="6">
        <v>16</v>
      </c>
      <c r="D467" s="15">
        <v>1</v>
      </c>
    </row>
    <row r="468" spans="1:4" x14ac:dyDescent="0.35">
      <c r="A468" s="8">
        <v>4000418</v>
      </c>
      <c r="B468" s="15">
        <v>3552</v>
      </c>
      <c r="C468" s="6">
        <v>4</v>
      </c>
      <c r="D468" s="15">
        <v>1</v>
      </c>
    </row>
    <row r="469" spans="1:4" x14ac:dyDescent="0.35">
      <c r="A469" s="8">
        <v>4001225</v>
      </c>
      <c r="B469" s="15">
        <v>3545.22</v>
      </c>
      <c r="C469" s="6">
        <v>5</v>
      </c>
      <c r="D469" s="15">
        <v>4.4000000000000004</v>
      </c>
    </row>
    <row r="470" spans="1:4" x14ac:dyDescent="0.35">
      <c r="A470" s="8">
        <v>4001449</v>
      </c>
      <c r="B470" s="15">
        <v>3480</v>
      </c>
      <c r="C470" s="6">
        <v>2</v>
      </c>
      <c r="D470" s="15">
        <v>2.5</v>
      </c>
    </row>
    <row r="471" spans="1:4" x14ac:dyDescent="0.35">
      <c r="A471" s="8">
        <v>4045015</v>
      </c>
      <c r="B471" s="15">
        <v>3442.4</v>
      </c>
      <c r="C471" s="6">
        <v>1</v>
      </c>
      <c r="D471" s="15">
        <v>2</v>
      </c>
    </row>
    <row r="472" spans="1:4" x14ac:dyDescent="0.35">
      <c r="A472" s="8">
        <v>4000972</v>
      </c>
      <c r="B472" s="15">
        <v>3440</v>
      </c>
      <c r="C472" s="6">
        <v>6</v>
      </c>
      <c r="D472" s="15">
        <v>1.5</v>
      </c>
    </row>
    <row r="473" spans="1:4" x14ac:dyDescent="0.35">
      <c r="A473" s="8">
        <v>4001117</v>
      </c>
      <c r="B473" s="15">
        <v>3412.5</v>
      </c>
      <c r="C473" s="6">
        <v>7</v>
      </c>
      <c r="D473" s="15">
        <v>3</v>
      </c>
    </row>
    <row r="474" spans="1:4" x14ac:dyDescent="0.35">
      <c r="A474" s="8">
        <v>4000979</v>
      </c>
      <c r="B474" s="15">
        <v>3382.5</v>
      </c>
      <c r="C474" s="6">
        <v>5</v>
      </c>
      <c r="D474" s="15">
        <v>3</v>
      </c>
    </row>
    <row r="475" spans="1:4" x14ac:dyDescent="0.35">
      <c r="A475" s="8">
        <v>4006372</v>
      </c>
      <c r="B475" s="15">
        <v>3330</v>
      </c>
      <c r="C475" s="6">
        <v>3</v>
      </c>
      <c r="D475" s="15">
        <v>1</v>
      </c>
    </row>
    <row r="476" spans="1:4" x14ac:dyDescent="0.35">
      <c r="A476" s="8">
        <v>4001120</v>
      </c>
      <c r="B476" s="15">
        <v>3000</v>
      </c>
      <c r="C476" s="6">
        <v>1</v>
      </c>
      <c r="D476" s="15">
        <v>2</v>
      </c>
    </row>
    <row r="477" spans="1:4" x14ac:dyDescent="0.35">
      <c r="A477" s="8">
        <v>4001348</v>
      </c>
      <c r="B477" s="15">
        <v>3000</v>
      </c>
      <c r="C477" s="6">
        <v>2</v>
      </c>
      <c r="D477" s="15">
        <v>1</v>
      </c>
    </row>
    <row r="478" spans="1:4" x14ac:dyDescent="0.35">
      <c r="A478" s="8">
        <v>4001349</v>
      </c>
      <c r="B478" s="15">
        <v>3000</v>
      </c>
      <c r="C478" s="6">
        <v>2</v>
      </c>
      <c r="D478" s="15">
        <v>1</v>
      </c>
    </row>
    <row r="479" spans="1:4" x14ac:dyDescent="0.35">
      <c r="A479" s="8">
        <v>4004447</v>
      </c>
      <c r="B479" s="15">
        <v>3000</v>
      </c>
      <c r="C479" s="6">
        <v>11</v>
      </c>
      <c r="D479" s="15">
        <v>6.82</v>
      </c>
    </row>
    <row r="480" spans="1:4" x14ac:dyDescent="0.35">
      <c r="A480" s="8">
        <v>4006170</v>
      </c>
      <c r="B480" s="15">
        <v>3000</v>
      </c>
      <c r="C480" s="6">
        <v>2</v>
      </c>
      <c r="D480" s="15">
        <v>1</v>
      </c>
    </row>
    <row r="481" spans="1:4" x14ac:dyDescent="0.35">
      <c r="A481" s="8">
        <v>4004700</v>
      </c>
      <c r="B481" s="15">
        <v>2987.68</v>
      </c>
      <c r="C481" s="6">
        <v>1</v>
      </c>
      <c r="D481" s="15">
        <v>8</v>
      </c>
    </row>
    <row r="482" spans="1:4" x14ac:dyDescent="0.35">
      <c r="A482" s="8">
        <v>4001118</v>
      </c>
      <c r="B482" s="15">
        <v>2610</v>
      </c>
      <c r="C482" s="6">
        <v>7</v>
      </c>
      <c r="D482" s="15">
        <v>2</v>
      </c>
    </row>
    <row r="483" spans="1:4" x14ac:dyDescent="0.35">
      <c r="A483" s="8">
        <v>4004441</v>
      </c>
      <c r="B483" s="15">
        <v>2592.7199999999998</v>
      </c>
      <c r="C483" s="6">
        <v>3</v>
      </c>
      <c r="D483" s="15">
        <v>6</v>
      </c>
    </row>
    <row r="484" spans="1:4" x14ac:dyDescent="0.35">
      <c r="A484" s="8">
        <v>4008266</v>
      </c>
      <c r="B484" s="15">
        <v>2286</v>
      </c>
      <c r="C484" s="6">
        <v>4</v>
      </c>
      <c r="D484" s="15">
        <v>1</v>
      </c>
    </row>
    <row r="485" spans="1:4" x14ac:dyDescent="0.35">
      <c r="A485" s="8">
        <v>4004123</v>
      </c>
      <c r="B485" s="15">
        <v>2100</v>
      </c>
      <c r="C485" s="6">
        <v>1</v>
      </c>
      <c r="D485" s="15">
        <v>1</v>
      </c>
    </row>
    <row r="486" spans="1:4" x14ac:dyDescent="0.35">
      <c r="A486" s="8">
        <v>4006037</v>
      </c>
      <c r="B486" s="15">
        <v>2064</v>
      </c>
      <c r="C486" s="6">
        <v>1</v>
      </c>
      <c r="D486" s="15">
        <v>3</v>
      </c>
    </row>
    <row r="487" spans="1:4" x14ac:dyDescent="0.35">
      <c r="A487" s="8">
        <v>4008347</v>
      </c>
      <c r="B487" s="15">
        <v>2000</v>
      </c>
      <c r="C487" s="6">
        <v>2</v>
      </c>
      <c r="D487" s="15">
        <v>20</v>
      </c>
    </row>
    <row r="488" spans="1:4" x14ac:dyDescent="0.35">
      <c r="A488" s="8">
        <v>4006464</v>
      </c>
      <c r="B488" s="15">
        <v>1897.5</v>
      </c>
      <c r="C488" s="6">
        <v>1</v>
      </c>
      <c r="D488" s="15">
        <v>1</v>
      </c>
    </row>
    <row r="489" spans="1:4" x14ac:dyDescent="0.35">
      <c r="A489" s="8">
        <v>4008481</v>
      </c>
      <c r="B489" s="15">
        <v>1882.8</v>
      </c>
      <c r="C489" s="6">
        <v>5</v>
      </c>
      <c r="D489" s="15">
        <v>6</v>
      </c>
    </row>
    <row r="490" spans="1:4" x14ac:dyDescent="0.35">
      <c r="A490" s="8">
        <v>4000342</v>
      </c>
      <c r="B490" s="15">
        <v>1770</v>
      </c>
      <c r="C490" s="6">
        <v>23</v>
      </c>
      <c r="D490" s="15">
        <v>10</v>
      </c>
    </row>
    <row r="491" spans="1:4" x14ac:dyDescent="0.35">
      <c r="A491" s="8">
        <v>4000343</v>
      </c>
      <c r="B491" s="15">
        <v>1660</v>
      </c>
      <c r="C491" s="6">
        <v>38</v>
      </c>
      <c r="D491" s="15">
        <v>38.950000000000003</v>
      </c>
    </row>
    <row r="492" spans="1:4" x14ac:dyDescent="0.35">
      <c r="A492" s="8">
        <v>4001451</v>
      </c>
      <c r="B492" s="15">
        <v>1570</v>
      </c>
      <c r="C492" s="6">
        <v>2</v>
      </c>
      <c r="D492" s="15">
        <v>1</v>
      </c>
    </row>
    <row r="493" spans="1:4" x14ac:dyDescent="0.35">
      <c r="A493" s="8">
        <v>4000332</v>
      </c>
      <c r="B493" s="15">
        <v>1500</v>
      </c>
      <c r="C493" s="6">
        <v>23</v>
      </c>
      <c r="D493" s="15">
        <v>10</v>
      </c>
    </row>
    <row r="494" spans="1:4" x14ac:dyDescent="0.35">
      <c r="A494" s="8">
        <v>4001216</v>
      </c>
      <c r="B494" s="15">
        <v>1489.5</v>
      </c>
      <c r="C494" s="6">
        <v>1</v>
      </c>
      <c r="D494" s="15">
        <v>5</v>
      </c>
    </row>
    <row r="495" spans="1:4" x14ac:dyDescent="0.35">
      <c r="A495" s="8">
        <v>4001764</v>
      </c>
      <c r="B495" s="15">
        <v>1320</v>
      </c>
      <c r="C495" s="6">
        <v>3</v>
      </c>
      <c r="D495" s="15">
        <v>4</v>
      </c>
    </row>
    <row r="496" spans="1:4" x14ac:dyDescent="0.35">
      <c r="A496" s="8">
        <v>4002847</v>
      </c>
      <c r="B496" s="15">
        <v>1217.3599999999999</v>
      </c>
      <c r="C496" s="6">
        <v>2</v>
      </c>
      <c r="D496" s="15">
        <v>1</v>
      </c>
    </row>
    <row r="497" spans="1:4" x14ac:dyDescent="0.35">
      <c r="A497" s="8">
        <v>4000331</v>
      </c>
      <c r="B497" s="15">
        <v>1200</v>
      </c>
      <c r="C497" s="6">
        <v>22</v>
      </c>
      <c r="D497" s="15">
        <v>10</v>
      </c>
    </row>
    <row r="498" spans="1:4" x14ac:dyDescent="0.35">
      <c r="A498" s="8">
        <v>4008157</v>
      </c>
      <c r="B498" s="15">
        <v>1188.75</v>
      </c>
      <c r="C498" s="6">
        <v>2</v>
      </c>
      <c r="D498" s="15">
        <v>3</v>
      </c>
    </row>
    <row r="499" spans="1:4" x14ac:dyDescent="0.35">
      <c r="A499" s="8">
        <v>4008431</v>
      </c>
      <c r="B499" s="15">
        <v>1068</v>
      </c>
      <c r="C499" s="6">
        <v>1</v>
      </c>
      <c r="D499" s="15">
        <v>12</v>
      </c>
    </row>
    <row r="500" spans="1:4" x14ac:dyDescent="0.35">
      <c r="A500" s="8">
        <v>4045020</v>
      </c>
      <c r="B500" s="15">
        <v>852.6</v>
      </c>
      <c r="C500" s="6">
        <v>6</v>
      </c>
      <c r="D500" s="15">
        <v>4.29</v>
      </c>
    </row>
    <row r="501" spans="1:4" x14ac:dyDescent="0.35">
      <c r="A501" s="8">
        <v>4000340</v>
      </c>
      <c r="B501" s="15">
        <v>840</v>
      </c>
      <c r="C501" s="6">
        <v>10</v>
      </c>
      <c r="D501" s="15">
        <v>10</v>
      </c>
    </row>
    <row r="502" spans="1:4" x14ac:dyDescent="0.35">
      <c r="A502" s="8">
        <v>4001458</v>
      </c>
      <c r="B502" s="15">
        <v>695</v>
      </c>
      <c r="C502" s="6">
        <v>2</v>
      </c>
      <c r="D502" s="15">
        <v>1</v>
      </c>
    </row>
    <row r="503" spans="1:4" x14ac:dyDescent="0.35">
      <c r="A503" s="8">
        <v>4004259</v>
      </c>
      <c r="B503" s="15">
        <v>695</v>
      </c>
      <c r="C503" s="6">
        <v>2</v>
      </c>
      <c r="D503" s="15">
        <v>1</v>
      </c>
    </row>
    <row r="504" spans="1:4" x14ac:dyDescent="0.35">
      <c r="A504" s="8">
        <v>4004843</v>
      </c>
      <c r="B504" s="15">
        <v>643.5</v>
      </c>
      <c r="C504" s="6">
        <v>3</v>
      </c>
      <c r="D504" s="15">
        <v>1</v>
      </c>
    </row>
    <row r="505" spans="1:4" x14ac:dyDescent="0.35">
      <c r="A505" s="8">
        <v>4005503</v>
      </c>
      <c r="B505" s="15">
        <v>592.20000000000005</v>
      </c>
      <c r="C505" s="6">
        <v>1</v>
      </c>
      <c r="D505" s="15">
        <v>4</v>
      </c>
    </row>
    <row r="506" spans="1:4" x14ac:dyDescent="0.35">
      <c r="A506" s="8">
        <v>4001347</v>
      </c>
      <c r="B506" s="15">
        <v>520</v>
      </c>
      <c r="C506" s="6">
        <v>7</v>
      </c>
      <c r="D506" s="15">
        <v>5</v>
      </c>
    </row>
    <row r="507" spans="1:4" x14ac:dyDescent="0.35">
      <c r="A507" s="8">
        <v>4046091</v>
      </c>
      <c r="B507" s="15">
        <v>520</v>
      </c>
      <c r="C507" s="6">
        <v>2</v>
      </c>
      <c r="D507" s="15">
        <v>1</v>
      </c>
    </row>
    <row r="508" spans="1:4" x14ac:dyDescent="0.35">
      <c r="A508" s="8">
        <v>4005792</v>
      </c>
      <c r="B508" s="15">
        <v>492</v>
      </c>
      <c r="C508" s="6">
        <v>37</v>
      </c>
      <c r="D508" s="15">
        <v>6</v>
      </c>
    </row>
    <row r="509" spans="1:4" x14ac:dyDescent="0.35">
      <c r="A509" s="8">
        <v>4000330</v>
      </c>
      <c r="B509" s="15">
        <v>420</v>
      </c>
      <c r="C509" s="6">
        <v>10</v>
      </c>
      <c r="D509" s="15">
        <v>5</v>
      </c>
    </row>
    <row r="510" spans="1:4" x14ac:dyDescent="0.35">
      <c r="A510" s="8">
        <v>4004201</v>
      </c>
      <c r="B510" s="15">
        <v>372</v>
      </c>
      <c r="C510" s="6">
        <v>13</v>
      </c>
      <c r="D510" s="15">
        <v>4</v>
      </c>
    </row>
    <row r="511" spans="1:4" x14ac:dyDescent="0.35">
      <c r="A511" s="8">
        <v>4000333</v>
      </c>
      <c r="B511" s="15">
        <v>261</v>
      </c>
      <c r="C511" s="6">
        <v>13</v>
      </c>
      <c r="D511" s="15">
        <v>3.92</v>
      </c>
    </row>
    <row r="512" spans="1:4" x14ac:dyDescent="0.35">
      <c r="A512" s="8">
        <v>4008473</v>
      </c>
      <c r="B512" s="15">
        <v>255</v>
      </c>
      <c r="C512" s="6">
        <v>16</v>
      </c>
      <c r="D512" s="15">
        <v>3</v>
      </c>
    </row>
    <row r="513" spans="1:4" x14ac:dyDescent="0.35">
      <c r="A513" s="8">
        <v>4008076</v>
      </c>
      <c r="B513" s="15">
        <v>240</v>
      </c>
      <c r="C513" s="6">
        <v>7</v>
      </c>
      <c r="D513" s="15">
        <v>5</v>
      </c>
    </row>
    <row r="514" spans="1:4" x14ac:dyDescent="0.35">
      <c r="A514" s="8">
        <v>4008263</v>
      </c>
      <c r="B514" s="15">
        <v>210</v>
      </c>
      <c r="C514" s="6">
        <v>6</v>
      </c>
      <c r="D514" s="15">
        <v>4</v>
      </c>
    </row>
    <row r="515" spans="1:4" x14ac:dyDescent="0.35">
      <c r="A515" s="8">
        <v>4004200</v>
      </c>
      <c r="B515" s="15">
        <v>207</v>
      </c>
      <c r="C515" s="6">
        <v>14</v>
      </c>
      <c r="D515" s="15">
        <v>3</v>
      </c>
    </row>
    <row r="516" spans="1:4" x14ac:dyDescent="0.35">
      <c r="A516" s="8">
        <v>4006168</v>
      </c>
      <c r="B516" s="15">
        <v>205.2</v>
      </c>
      <c r="C516" s="6">
        <v>36</v>
      </c>
      <c r="D516" s="15">
        <v>12</v>
      </c>
    </row>
    <row r="517" spans="1:4" x14ac:dyDescent="0.35">
      <c r="A517" s="8">
        <v>4008122</v>
      </c>
      <c r="B517" s="15">
        <v>181</v>
      </c>
      <c r="C517" s="6">
        <v>20</v>
      </c>
      <c r="D517" s="15">
        <v>10</v>
      </c>
    </row>
    <row r="518" spans="1:4" x14ac:dyDescent="0.35">
      <c r="A518" s="8">
        <v>4006169</v>
      </c>
      <c r="B518" s="15">
        <v>88.8</v>
      </c>
      <c r="C518" s="6">
        <v>12</v>
      </c>
      <c r="D518" s="15">
        <v>16</v>
      </c>
    </row>
    <row r="519" spans="1:4" x14ac:dyDescent="0.35">
      <c r="A519" s="8">
        <v>4007818</v>
      </c>
      <c r="B519" s="15">
        <v>84.6</v>
      </c>
      <c r="C519" s="6">
        <v>14</v>
      </c>
      <c r="D519" s="15">
        <v>2</v>
      </c>
    </row>
    <row r="520" spans="1:4" x14ac:dyDescent="0.35">
      <c r="A520" s="8">
        <v>4007817</v>
      </c>
      <c r="B520" s="15">
        <v>84</v>
      </c>
      <c r="C520" s="6">
        <v>9</v>
      </c>
      <c r="D520" s="15">
        <v>3.11</v>
      </c>
    </row>
    <row r="521" spans="1:4" x14ac:dyDescent="0.35">
      <c r="A521" s="8">
        <v>4008077</v>
      </c>
      <c r="B521" s="15">
        <v>63</v>
      </c>
      <c r="C521" s="6">
        <v>7</v>
      </c>
      <c r="D521" s="15">
        <v>3</v>
      </c>
    </row>
    <row r="522" spans="1:4" x14ac:dyDescent="0.35">
      <c r="A522" s="8">
        <v>4000325</v>
      </c>
      <c r="B522" s="15">
        <v>60</v>
      </c>
      <c r="C522" s="6">
        <v>10</v>
      </c>
      <c r="D522" s="15">
        <v>2</v>
      </c>
    </row>
    <row r="523" spans="1:4" x14ac:dyDescent="0.35">
      <c r="A523" s="8">
        <v>4008474</v>
      </c>
      <c r="B523" s="15">
        <v>60</v>
      </c>
      <c r="C523" s="6">
        <v>2</v>
      </c>
      <c r="D523" s="15">
        <v>3</v>
      </c>
    </row>
    <row r="524" spans="1:4" x14ac:dyDescent="0.35">
      <c r="A524" s="8">
        <v>4000334</v>
      </c>
      <c r="B524" s="15">
        <v>51</v>
      </c>
      <c r="C524" s="6">
        <v>8</v>
      </c>
      <c r="D524" s="15">
        <v>1</v>
      </c>
    </row>
    <row r="525" spans="1:4" x14ac:dyDescent="0.35">
      <c r="A525" s="8">
        <v>4008476</v>
      </c>
      <c r="B525" s="15">
        <v>30</v>
      </c>
      <c r="C525" s="6">
        <v>5</v>
      </c>
      <c r="D525" s="15">
        <v>2</v>
      </c>
    </row>
    <row r="526" spans="1:4" x14ac:dyDescent="0.35">
      <c r="A526" s="8">
        <v>4006333</v>
      </c>
      <c r="B526" s="15">
        <v>3.78</v>
      </c>
      <c r="C526" s="6">
        <v>39</v>
      </c>
      <c r="D526" s="15">
        <v>14</v>
      </c>
    </row>
    <row r="527" spans="1:4" x14ac:dyDescent="0.35">
      <c r="A527" s="8">
        <v>4006332</v>
      </c>
      <c r="B527" s="15">
        <v>2.1</v>
      </c>
      <c r="C527" s="6">
        <v>25</v>
      </c>
      <c r="D527" s="15">
        <v>10</v>
      </c>
    </row>
    <row r="528" spans="1:4" x14ac:dyDescent="0.35">
      <c r="A528" s="8">
        <v>4038735</v>
      </c>
      <c r="B528" s="15">
        <v>2.1</v>
      </c>
      <c r="C528" s="6">
        <v>1</v>
      </c>
      <c r="D528" s="15">
        <v>21</v>
      </c>
    </row>
    <row r="529" spans="1:4" x14ac:dyDescent="0.35">
      <c r="A529" s="8">
        <v>4038743</v>
      </c>
      <c r="B529" s="15">
        <v>1.8</v>
      </c>
      <c r="C529" s="6">
        <v>5</v>
      </c>
      <c r="D529" s="15">
        <v>6</v>
      </c>
    </row>
    <row r="530" spans="1:4" x14ac:dyDescent="0.35">
      <c r="A530" s="8">
        <v>4038736</v>
      </c>
      <c r="B530" s="15">
        <v>1.6</v>
      </c>
      <c r="C530" s="6">
        <v>3</v>
      </c>
      <c r="D530" s="15">
        <v>5.33</v>
      </c>
    </row>
    <row r="531" spans="1:4" x14ac:dyDescent="0.35">
      <c r="A531" s="8">
        <v>4038737</v>
      </c>
      <c r="B531" s="15">
        <v>1.2</v>
      </c>
      <c r="C531" s="6">
        <v>4</v>
      </c>
      <c r="D531" s="15">
        <v>2</v>
      </c>
    </row>
    <row r="532" spans="1:4" x14ac:dyDescent="0.35">
      <c r="A532" s="8">
        <v>4038742</v>
      </c>
      <c r="B532" s="15">
        <v>1.2</v>
      </c>
      <c r="C532" s="6">
        <v>6</v>
      </c>
      <c r="D532" s="15">
        <v>6</v>
      </c>
    </row>
    <row r="533" spans="1:4" x14ac:dyDescent="0.35">
      <c r="A533" s="8">
        <v>4000324</v>
      </c>
      <c r="B533" s="15">
        <v>0.81</v>
      </c>
      <c r="C533" s="6">
        <v>57</v>
      </c>
      <c r="D533" s="15">
        <v>2.0499999999999998</v>
      </c>
    </row>
    <row r="534" spans="1:4" x14ac:dyDescent="0.35">
      <c r="A534" s="8">
        <v>4000323</v>
      </c>
      <c r="B534" s="15">
        <v>0.68</v>
      </c>
      <c r="C534" s="6">
        <v>20</v>
      </c>
      <c r="D534" s="15">
        <v>4</v>
      </c>
    </row>
    <row r="535" spans="1:4" x14ac:dyDescent="0.35">
      <c r="A535" s="8">
        <v>4008033</v>
      </c>
      <c r="B535" s="15">
        <v>0.64</v>
      </c>
      <c r="C535" s="6">
        <v>4</v>
      </c>
      <c r="D535" s="15">
        <v>16</v>
      </c>
    </row>
    <row r="536" spans="1:4" x14ac:dyDescent="0.35">
      <c r="A536" s="8">
        <v>4001691</v>
      </c>
      <c r="B536" s="15">
        <v>0.32</v>
      </c>
      <c r="C536" s="6">
        <v>7</v>
      </c>
      <c r="D536" s="15">
        <v>8</v>
      </c>
    </row>
    <row r="537" spans="1:4" x14ac:dyDescent="0.35">
      <c r="A537" s="8">
        <v>4000328</v>
      </c>
      <c r="B537" s="15">
        <v>0.24</v>
      </c>
      <c r="C537" s="6">
        <v>7</v>
      </c>
      <c r="D537" s="15">
        <v>4</v>
      </c>
    </row>
    <row r="538" spans="1:4" x14ac:dyDescent="0.35">
      <c r="A538" s="8">
        <v>4008475</v>
      </c>
      <c r="B538" s="15">
        <v>0.1</v>
      </c>
      <c r="C538" s="6">
        <v>3</v>
      </c>
      <c r="D538" s="15">
        <v>5</v>
      </c>
    </row>
    <row r="539" spans="1:4" x14ac:dyDescent="0.35">
      <c r="A539" s="8">
        <v>4008209</v>
      </c>
      <c r="B539" s="15">
        <v>0.02</v>
      </c>
      <c r="C539" s="6">
        <v>1</v>
      </c>
      <c r="D539" s="15">
        <v>2</v>
      </c>
    </row>
  </sheetData>
  <autoFilter ref="A10:D10" xr:uid="{85CB6F54-75A3-4057-8ED2-F4AD837407B0}"/>
  <mergeCells count="1">
    <mergeCell ref="A1:D1"/>
  </mergeCells>
  <conditionalFormatting sqref="A11:D539">
    <cfRule type="expression" dxfId="6" priority="1">
      <formula>MOD(ROW(),2)=1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371B-C4DA-4549-9A19-504DF34CE84E}">
  <dimension ref="A1:B539"/>
  <sheetViews>
    <sheetView showGridLines="0" workbookViewId="0">
      <pane ySplit="10" topLeftCell="A11" activePane="bottomLeft" state="frozen"/>
      <selection pane="bottomLeft" activeCell="B3" sqref="B3"/>
    </sheetView>
  </sheetViews>
  <sheetFormatPr baseColWidth="10" defaultColWidth="11.54296875" defaultRowHeight="14.5" x14ac:dyDescent="0.35"/>
  <cols>
    <col min="1" max="1" width="20.1796875" style="1" bestFit="1" customWidth="1"/>
    <col min="2" max="2" width="19.6328125" style="1" bestFit="1" customWidth="1"/>
    <col min="3" max="16384" width="11.54296875" style="1"/>
  </cols>
  <sheetData>
    <row r="1" spans="1:2" ht="18.5" x14ac:dyDescent="0.45">
      <c r="A1" s="82" t="s">
        <v>3391</v>
      </c>
      <c r="B1" s="82"/>
    </row>
    <row r="2" spans="1:2" x14ac:dyDescent="0.35">
      <c r="A2"/>
      <c r="B2"/>
    </row>
    <row r="3" spans="1:2" x14ac:dyDescent="0.35">
      <c r="A3" s="29" t="s">
        <v>3237</v>
      </c>
      <c r="B3" s="32" t="s">
        <v>3238</v>
      </c>
    </row>
    <row r="4" spans="1:2" x14ac:dyDescent="0.35">
      <c r="A4" s="30" t="s">
        <v>3239</v>
      </c>
      <c r="B4" s="33">
        <v>9004</v>
      </c>
    </row>
    <row r="5" spans="1:2" x14ac:dyDescent="0.35">
      <c r="A5" s="30" t="s">
        <v>3240</v>
      </c>
      <c r="B5" s="33">
        <v>9004</v>
      </c>
    </row>
    <row r="6" spans="1:2" x14ac:dyDescent="0.35">
      <c r="A6" s="30" t="s">
        <v>3241</v>
      </c>
      <c r="B6" s="33">
        <v>0</v>
      </c>
    </row>
    <row r="7" spans="1:2" x14ac:dyDescent="0.35">
      <c r="A7" s="30" t="s">
        <v>3242</v>
      </c>
      <c r="B7" s="34">
        <v>0</v>
      </c>
    </row>
    <row r="8" spans="1:2" x14ac:dyDescent="0.35">
      <c r="A8" s="31" t="s">
        <v>3243</v>
      </c>
      <c r="B8" s="39">
        <v>134215.69</v>
      </c>
    </row>
    <row r="9" spans="1:2" x14ac:dyDescent="0.35">
      <c r="A9"/>
      <c r="B9"/>
    </row>
    <row r="10" spans="1:2" x14ac:dyDescent="0.35">
      <c r="A10" s="14" t="s">
        <v>1185</v>
      </c>
      <c r="B10" s="14" t="s">
        <v>3244</v>
      </c>
    </row>
    <row r="11" spans="1:2" x14ac:dyDescent="0.35">
      <c r="A11" s="8">
        <v>4000005</v>
      </c>
      <c r="B11" s="15">
        <v>650</v>
      </c>
    </row>
    <row r="12" spans="1:2" x14ac:dyDescent="0.35">
      <c r="A12" s="8">
        <v>4000009</v>
      </c>
      <c r="B12" s="15">
        <v>60</v>
      </c>
    </row>
    <row r="13" spans="1:2" x14ac:dyDescent="0.35">
      <c r="A13" s="8">
        <v>4000023</v>
      </c>
      <c r="B13" s="15">
        <v>816</v>
      </c>
    </row>
    <row r="14" spans="1:2" x14ac:dyDescent="0.35">
      <c r="A14" s="8">
        <v>4000024</v>
      </c>
      <c r="B14" s="15">
        <v>432</v>
      </c>
    </row>
    <row r="15" spans="1:2" x14ac:dyDescent="0.35">
      <c r="A15" s="8">
        <v>4000027</v>
      </c>
      <c r="B15" s="15">
        <v>60</v>
      </c>
    </row>
    <row r="16" spans="1:2" x14ac:dyDescent="0.35">
      <c r="A16" s="8">
        <v>4000066</v>
      </c>
      <c r="B16" s="15">
        <v>184</v>
      </c>
    </row>
    <row r="17" spans="1:2" x14ac:dyDescent="0.35">
      <c r="A17" s="8">
        <v>4000067</v>
      </c>
      <c r="B17" s="15">
        <v>64</v>
      </c>
    </row>
    <row r="18" spans="1:2" x14ac:dyDescent="0.35">
      <c r="A18" s="8">
        <v>4000084</v>
      </c>
      <c r="B18" s="15">
        <v>42</v>
      </c>
    </row>
    <row r="19" spans="1:2" x14ac:dyDescent="0.35">
      <c r="A19" s="8">
        <v>4000090</v>
      </c>
      <c r="B19" s="15">
        <v>282</v>
      </c>
    </row>
    <row r="20" spans="1:2" x14ac:dyDescent="0.35">
      <c r="A20" s="8">
        <v>4000108</v>
      </c>
      <c r="B20" s="15">
        <v>791</v>
      </c>
    </row>
    <row r="21" spans="1:2" x14ac:dyDescent="0.35">
      <c r="A21" s="8">
        <v>4000273</v>
      </c>
      <c r="B21" s="15">
        <v>6544</v>
      </c>
    </row>
    <row r="22" spans="1:2" x14ac:dyDescent="0.35">
      <c r="A22" s="8">
        <v>4000286</v>
      </c>
      <c r="B22" s="15">
        <v>100</v>
      </c>
    </row>
    <row r="23" spans="1:2" x14ac:dyDescent="0.35">
      <c r="A23" s="8">
        <v>4000288</v>
      </c>
      <c r="B23" s="15">
        <v>110</v>
      </c>
    </row>
    <row r="24" spans="1:2" x14ac:dyDescent="0.35">
      <c r="A24" s="8">
        <v>4000290</v>
      </c>
      <c r="B24" s="15">
        <v>180</v>
      </c>
    </row>
    <row r="25" spans="1:2" x14ac:dyDescent="0.35">
      <c r="A25" s="8">
        <v>4000291</v>
      </c>
      <c r="B25" s="15">
        <v>40</v>
      </c>
    </row>
    <row r="26" spans="1:2" x14ac:dyDescent="0.35">
      <c r="A26" s="8">
        <v>4000314</v>
      </c>
      <c r="B26" s="15">
        <v>334</v>
      </c>
    </row>
    <row r="27" spans="1:2" x14ac:dyDescent="0.35">
      <c r="A27" s="8">
        <v>4000315</v>
      </c>
      <c r="B27" s="15">
        <v>51</v>
      </c>
    </row>
    <row r="28" spans="1:2" x14ac:dyDescent="0.35">
      <c r="A28" s="8">
        <v>4000319</v>
      </c>
      <c r="B28" s="15">
        <v>138</v>
      </c>
    </row>
    <row r="29" spans="1:2" x14ac:dyDescent="0.35">
      <c r="A29" s="8">
        <v>4000323</v>
      </c>
      <c r="B29" s="15">
        <v>84</v>
      </c>
    </row>
    <row r="30" spans="1:2" x14ac:dyDescent="0.35">
      <c r="A30" s="8">
        <v>4000324</v>
      </c>
      <c r="B30" s="15">
        <v>131</v>
      </c>
    </row>
    <row r="31" spans="1:2" x14ac:dyDescent="0.35">
      <c r="A31" s="8">
        <v>4000325</v>
      </c>
      <c r="B31" s="15">
        <v>20</v>
      </c>
    </row>
    <row r="32" spans="1:2" x14ac:dyDescent="0.35">
      <c r="A32" s="8">
        <v>4000328</v>
      </c>
      <c r="B32" s="15">
        <v>32</v>
      </c>
    </row>
    <row r="33" spans="1:2" x14ac:dyDescent="0.35">
      <c r="A33" s="8">
        <v>4000330</v>
      </c>
      <c r="B33" s="15">
        <v>45</v>
      </c>
    </row>
    <row r="34" spans="1:2" x14ac:dyDescent="0.35">
      <c r="A34" s="8">
        <v>4000331</v>
      </c>
      <c r="B34" s="15">
        <v>220</v>
      </c>
    </row>
    <row r="35" spans="1:2" x14ac:dyDescent="0.35">
      <c r="A35" s="8">
        <v>4000332</v>
      </c>
      <c r="B35" s="15">
        <v>230</v>
      </c>
    </row>
    <row r="36" spans="1:2" x14ac:dyDescent="0.35">
      <c r="A36" s="8">
        <v>4000333</v>
      </c>
      <c r="B36" s="15">
        <v>51</v>
      </c>
    </row>
    <row r="37" spans="1:2" x14ac:dyDescent="0.35">
      <c r="A37" s="8">
        <v>4000334</v>
      </c>
      <c r="B37" s="15">
        <v>8</v>
      </c>
    </row>
    <row r="38" spans="1:2" x14ac:dyDescent="0.35">
      <c r="A38" s="8">
        <v>4000340</v>
      </c>
      <c r="B38" s="15">
        <v>100</v>
      </c>
    </row>
    <row r="39" spans="1:2" x14ac:dyDescent="0.35">
      <c r="A39" s="8">
        <v>4000342</v>
      </c>
      <c r="B39" s="15">
        <v>230</v>
      </c>
    </row>
    <row r="40" spans="1:2" x14ac:dyDescent="0.35">
      <c r="A40" s="8">
        <v>4000343</v>
      </c>
      <c r="B40" s="15">
        <v>1480</v>
      </c>
    </row>
    <row r="41" spans="1:2" x14ac:dyDescent="0.35">
      <c r="A41" s="8">
        <v>4000403</v>
      </c>
      <c r="B41" s="15">
        <v>144</v>
      </c>
    </row>
    <row r="42" spans="1:2" x14ac:dyDescent="0.35">
      <c r="A42" s="8">
        <v>4000411</v>
      </c>
      <c r="B42" s="15">
        <v>17</v>
      </c>
    </row>
    <row r="43" spans="1:2" x14ac:dyDescent="0.35">
      <c r="A43" s="8">
        <v>4000412</v>
      </c>
      <c r="B43" s="15">
        <v>34</v>
      </c>
    </row>
    <row r="44" spans="1:2" x14ac:dyDescent="0.35">
      <c r="A44" s="8">
        <v>4000413</v>
      </c>
      <c r="B44" s="15">
        <v>52</v>
      </c>
    </row>
    <row r="45" spans="1:2" x14ac:dyDescent="0.35">
      <c r="A45" s="8">
        <v>4000414</v>
      </c>
      <c r="B45" s="15">
        <v>102</v>
      </c>
    </row>
    <row r="46" spans="1:2" x14ac:dyDescent="0.35">
      <c r="A46" s="8">
        <v>4000415</v>
      </c>
      <c r="B46" s="15">
        <v>44</v>
      </c>
    </row>
    <row r="47" spans="1:2" x14ac:dyDescent="0.35">
      <c r="A47" s="8">
        <v>4000416</v>
      </c>
      <c r="B47" s="15">
        <v>38</v>
      </c>
    </row>
    <row r="48" spans="1:2" x14ac:dyDescent="0.35">
      <c r="A48" s="8">
        <v>4000418</v>
      </c>
      <c r="B48" s="15">
        <v>4</v>
      </c>
    </row>
    <row r="49" spans="1:2" x14ac:dyDescent="0.35">
      <c r="A49" s="8">
        <v>4000419</v>
      </c>
      <c r="B49" s="15">
        <v>8</v>
      </c>
    </row>
    <row r="50" spans="1:2" x14ac:dyDescent="0.35">
      <c r="A50" s="8">
        <v>4000420</v>
      </c>
      <c r="B50" s="15">
        <v>16</v>
      </c>
    </row>
    <row r="51" spans="1:2" x14ac:dyDescent="0.35">
      <c r="A51" s="8">
        <v>4000427</v>
      </c>
      <c r="B51" s="15">
        <v>264</v>
      </c>
    </row>
    <row r="52" spans="1:2" x14ac:dyDescent="0.35">
      <c r="A52" s="8">
        <v>4000455</v>
      </c>
      <c r="B52" s="15">
        <v>24</v>
      </c>
    </row>
    <row r="53" spans="1:2" x14ac:dyDescent="0.35">
      <c r="A53" s="8">
        <v>4000457</v>
      </c>
      <c r="B53" s="15">
        <v>40</v>
      </c>
    </row>
    <row r="54" spans="1:2" x14ac:dyDescent="0.35">
      <c r="A54" s="8">
        <v>4000740</v>
      </c>
      <c r="B54" s="15">
        <v>3533</v>
      </c>
    </row>
    <row r="55" spans="1:2" x14ac:dyDescent="0.35">
      <c r="A55" s="8">
        <v>4000758</v>
      </c>
      <c r="B55" s="15">
        <v>420</v>
      </c>
    </row>
    <row r="56" spans="1:2" x14ac:dyDescent="0.35">
      <c r="A56" s="8">
        <v>4000759</v>
      </c>
      <c r="B56" s="15">
        <v>256</v>
      </c>
    </row>
    <row r="57" spans="1:2" x14ac:dyDescent="0.35">
      <c r="A57" s="8">
        <v>4000760</v>
      </c>
      <c r="B57" s="15">
        <v>91</v>
      </c>
    </row>
    <row r="58" spans="1:2" x14ac:dyDescent="0.35">
      <c r="A58" s="8">
        <v>4000761</v>
      </c>
      <c r="B58" s="15">
        <v>290</v>
      </c>
    </row>
    <row r="59" spans="1:2" x14ac:dyDescent="0.35">
      <c r="A59" s="8">
        <v>4000763</v>
      </c>
      <c r="B59" s="15">
        <v>880</v>
      </c>
    </row>
    <row r="60" spans="1:2" x14ac:dyDescent="0.35">
      <c r="A60" s="8">
        <v>4000765</v>
      </c>
      <c r="B60" s="15">
        <v>160</v>
      </c>
    </row>
    <row r="61" spans="1:2" x14ac:dyDescent="0.35">
      <c r="A61" s="8">
        <v>4000766</v>
      </c>
      <c r="B61" s="15">
        <v>8</v>
      </c>
    </row>
    <row r="62" spans="1:2" x14ac:dyDescent="0.35">
      <c r="A62" s="8">
        <v>4000770</v>
      </c>
      <c r="B62" s="15">
        <v>8</v>
      </c>
    </row>
    <row r="63" spans="1:2" x14ac:dyDescent="0.35">
      <c r="A63" s="8">
        <v>4000786</v>
      </c>
      <c r="B63" s="15">
        <v>9</v>
      </c>
    </row>
    <row r="64" spans="1:2" x14ac:dyDescent="0.35">
      <c r="A64" s="8">
        <v>4000804</v>
      </c>
      <c r="B64" s="15">
        <v>90</v>
      </c>
    </row>
    <row r="65" spans="1:2" x14ac:dyDescent="0.35">
      <c r="A65" s="8">
        <v>4000835</v>
      </c>
      <c r="B65" s="15">
        <v>108</v>
      </c>
    </row>
    <row r="66" spans="1:2" x14ac:dyDescent="0.35">
      <c r="A66" s="8">
        <v>4000966</v>
      </c>
      <c r="B66" s="15">
        <v>117</v>
      </c>
    </row>
    <row r="67" spans="1:2" x14ac:dyDescent="0.35">
      <c r="A67" s="8">
        <v>4000969</v>
      </c>
      <c r="B67" s="15">
        <v>32</v>
      </c>
    </row>
    <row r="68" spans="1:2" x14ac:dyDescent="0.35">
      <c r="A68" s="8">
        <v>4000972</v>
      </c>
      <c r="B68" s="15">
        <v>9</v>
      </c>
    </row>
    <row r="69" spans="1:2" x14ac:dyDescent="0.35">
      <c r="A69" s="8">
        <v>4000973</v>
      </c>
      <c r="B69" s="15">
        <v>11</v>
      </c>
    </row>
    <row r="70" spans="1:2" x14ac:dyDescent="0.35">
      <c r="A70" s="8">
        <v>4000974</v>
      </c>
      <c r="B70" s="15">
        <v>26</v>
      </c>
    </row>
    <row r="71" spans="1:2" x14ac:dyDescent="0.35">
      <c r="A71" s="8">
        <v>4000975</v>
      </c>
      <c r="B71" s="15">
        <v>8</v>
      </c>
    </row>
    <row r="72" spans="1:2" x14ac:dyDescent="0.35">
      <c r="A72" s="8">
        <v>4000979</v>
      </c>
      <c r="B72" s="15">
        <v>15</v>
      </c>
    </row>
    <row r="73" spans="1:2" x14ac:dyDescent="0.35">
      <c r="A73" s="8">
        <v>4000988</v>
      </c>
      <c r="B73" s="15">
        <v>411</v>
      </c>
    </row>
    <row r="74" spans="1:2" x14ac:dyDescent="0.35">
      <c r="A74" s="8">
        <v>4000989</v>
      </c>
      <c r="B74" s="15">
        <v>31</v>
      </c>
    </row>
    <row r="75" spans="1:2" x14ac:dyDescent="0.35">
      <c r="A75" s="8">
        <v>4001115</v>
      </c>
      <c r="B75" s="15">
        <v>300</v>
      </c>
    </row>
    <row r="76" spans="1:2" x14ac:dyDescent="0.35">
      <c r="A76" s="8">
        <v>4001116</v>
      </c>
      <c r="B76" s="15">
        <v>99</v>
      </c>
    </row>
    <row r="77" spans="1:2" x14ac:dyDescent="0.35">
      <c r="A77" s="8">
        <v>4001117</v>
      </c>
      <c r="B77" s="15">
        <v>21</v>
      </c>
    </row>
    <row r="78" spans="1:2" x14ac:dyDescent="0.35">
      <c r="A78" s="8">
        <v>4001118</v>
      </c>
      <c r="B78" s="15">
        <v>14</v>
      </c>
    </row>
    <row r="79" spans="1:2" x14ac:dyDescent="0.35">
      <c r="A79" s="8">
        <v>4001120</v>
      </c>
      <c r="B79" s="15">
        <v>2</v>
      </c>
    </row>
    <row r="80" spans="1:2" x14ac:dyDescent="0.35">
      <c r="A80" s="8">
        <v>4001124</v>
      </c>
      <c r="B80" s="15">
        <v>5</v>
      </c>
    </row>
    <row r="81" spans="1:2" x14ac:dyDescent="0.35">
      <c r="A81" s="8">
        <v>4001129</v>
      </c>
      <c r="B81" s="15">
        <v>16</v>
      </c>
    </row>
    <row r="82" spans="1:2" x14ac:dyDescent="0.35">
      <c r="A82" s="8">
        <v>4001133</v>
      </c>
      <c r="B82" s="15">
        <v>2</v>
      </c>
    </row>
    <row r="83" spans="1:2" x14ac:dyDescent="0.35">
      <c r="A83" s="8">
        <v>4001134</v>
      </c>
      <c r="B83" s="15">
        <v>3</v>
      </c>
    </row>
    <row r="84" spans="1:2" x14ac:dyDescent="0.35">
      <c r="A84" s="8">
        <v>4001135</v>
      </c>
      <c r="B84" s="15">
        <v>12</v>
      </c>
    </row>
    <row r="85" spans="1:2" x14ac:dyDescent="0.35">
      <c r="A85" s="8">
        <v>4001136</v>
      </c>
      <c r="B85" s="15">
        <v>12</v>
      </c>
    </row>
    <row r="86" spans="1:2" x14ac:dyDescent="0.35">
      <c r="A86" s="8">
        <v>4001137</v>
      </c>
      <c r="B86" s="15">
        <v>148</v>
      </c>
    </row>
    <row r="87" spans="1:2" x14ac:dyDescent="0.35">
      <c r="A87" s="8">
        <v>4001138</v>
      </c>
      <c r="B87" s="15">
        <v>31</v>
      </c>
    </row>
    <row r="88" spans="1:2" x14ac:dyDescent="0.35">
      <c r="A88" s="8">
        <v>4001160</v>
      </c>
      <c r="B88" s="15">
        <v>84</v>
      </c>
    </row>
    <row r="89" spans="1:2" x14ac:dyDescent="0.35">
      <c r="A89" s="8">
        <v>4001215</v>
      </c>
      <c r="B89" s="15">
        <v>140</v>
      </c>
    </row>
    <row r="90" spans="1:2" x14ac:dyDescent="0.35">
      <c r="A90" s="8">
        <v>4001216</v>
      </c>
      <c r="B90" s="15">
        <v>5</v>
      </c>
    </row>
    <row r="91" spans="1:2" x14ac:dyDescent="0.35">
      <c r="A91" s="8">
        <v>4001221</v>
      </c>
      <c r="B91" s="15">
        <v>1440</v>
      </c>
    </row>
    <row r="92" spans="1:2" x14ac:dyDescent="0.35">
      <c r="A92" s="8">
        <v>4001225</v>
      </c>
      <c r="B92" s="15">
        <v>22</v>
      </c>
    </row>
    <row r="93" spans="1:2" x14ac:dyDescent="0.35">
      <c r="A93" s="8">
        <v>4001237</v>
      </c>
      <c r="B93" s="15">
        <v>364</v>
      </c>
    </row>
    <row r="94" spans="1:2" x14ac:dyDescent="0.35">
      <c r="A94" s="8">
        <v>4001241</v>
      </c>
      <c r="B94" s="15">
        <v>10</v>
      </c>
    </row>
    <row r="95" spans="1:2" x14ac:dyDescent="0.35">
      <c r="A95" s="8">
        <v>4001289</v>
      </c>
      <c r="B95" s="15">
        <v>312</v>
      </c>
    </row>
    <row r="96" spans="1:2" x14ac:dyDescent="0.35">
      <c r="A96" s="8">
        <v>4001290</v>
      </c>
      <c r="B96" s="15">
        <v>48</v>
      </c>
    </row>
    <row r="97" spans="1:2" x14ac:dyDescent="0.35">
      <c r="A97" s="8">
        <v>4001291</v>
      </c>
      <c r="B97" s="15">
        <v>174</v>
      </c>
    </row>
    <row r="98" spans="1:2" x14ac:dyDescent="0.35">
      <c r="A98" s="8">
        <v>4001293</v>
      </c>
      <c r="B98" s="15">
        <v>1128</v>
      </c>
    </row>
    <row r="99" spans="1:2" x14ac:dyDescent="0.35">
      <c r="A99" s="8">
        <v>4001318</v>
      </c>
      <c r="B99" s="15">
        <v>72</v>
      </c>
    </row>
    <row r="100" spans="1:2" x14ac:dyDescent="0.35">
      <c r="A100" s="8">
        <v>4001320</v>
      </c>
      <c r="B100" s="15">
        <v>72</v>
      </c>
    </row>
    <row r="101" spans="1:2" x14ac:dyDescent="0.35">
      <c r="A101" s="8">
        <v>4001328</v>
      </c>
      <c r="B101" s="15">
        <v>28</v>
      </c>
    </row>
    <row r="102" spans="1:2" x14ac:dyDescent="0.35">
      <c r="A102" s="8">
        <v>4001331</v>
      </c>
      <c r="B102" s="15">
        <v>396</v>
      </c>
    </row>
    <row r="103" spans="1:2" x14ac:dyDescent="0.35">
      <c r="A103" s="8">
        <v>4001341</v>
      </c>
      <c r="B103" s="15">
        <v>108</v>
      </c>
    </row>
    <row r="104" spans="1:2" x14ac:dyDescent="0.35">
      <c r="A104" s="8">
        <v>4001343</v>
      </c>
      <c r="B104" s="15">
        <v>1689</v>
      </c>
    </row>
    <row r="105" spans="1:2" x14ac:dyDescent="0.35">
      <c r="A105" s="8">
        <v>4001344</v>
      </c>
      <c r="B105" s="15">
        <v>476</v>
      </c>
    </row>
    <row r="106" spans="1:2" x14ac:dyDescent="0.35">
      <c r="A106" s="8">
        <v>4001345</v>
      </c>
      <c r="B106" s="15">
        <v>238</v>
      </c>
    </row>
    <row r="107" spans="1:2" x14ac:dyDescent="0.35">
      <c r="A107" s="8">
        <v>4001347</v>
      </c>
      <c r="B107" s="15">
        <v>35</v>
      </c>
    </row>
    <row r="108" spans="1:2" x14ac:dyDescent="0.35">
      <c r="A108" s="8">
        <v>4001348</v>
      </c>
      <c r="B108" s="15">
        <v>2</v>
      </c>
    </row>
    <row r="109" spans="1:2" x14ac:dyDescent="0.35">
      <c r="A109" s="8">
        <v>4001349</v>
      </c>
      <c r="B109" s="15">
        <v>2</v>
      </c>
    </row>
    <row r="110" spans="1:2" x14ac:dyDescent="0.35">
      <c r="A110" s="8">
        <v>4001354</v>
      </c>
      <c r="B110" s="15">
        <v>26</v>
      </c>
    </row>
    <row r="111" spans="1:2" x14ac:dyDescent="0.35">
      <c r="A111" s="8">
        <v>4001359</v>
      </c>
      <c r="B111" s="15">
        <v>88</v>
      </c>
    </row>
    <row r="112" spans="1:2" x14ac:dyDescent="0.35">
      <c r="A112" s="8">
        <v>4001363</v>
      </c>
      <c r="B112" s="15">
        <v>24</v>
      </c>
    </row>
    <row r="113" spans="1:2" x14ac:dyDescent="0.35">
      <c r="A113" s="8">
        <v>4001365</v>
      </c>
      <c r="B113" s="15">
        <v>480</v>
      </c>
    </row>
    <row r="114" spans="1:2" x14ac:dyDescent="0.35">
      <c r="A114" s="8">
        <v>4001366</v>
      </c>
      <c r="B114" s="15">
        <v>2055.8000000000002</v>
      </c>
    </row>
    <row r="115" spans="1:2" x14ac:dyDescent="0.35">
      <c r="A115" s="8">
        <v>4001376</v>
      </c>
      <c r="B115" s="15">
        <v>280</v>
      </c>
    </row>
    <row r="116" spans="1:2" x14ac:dyDescent="0.35">
      <c r="A116" s="8">
        <v>4001380</v>
      </c>
      <c r="B116" s="15">
        <v>672</v>
      </c>
    </row>
    <row r="117" spans="1:2" x14ac:dyDescent="0.35">
      <c r="A117" s="8">
        <v>4001385</v>
      </c>
      <c r="B117" s="15">
        <v>6</v>
      </c>
    </row>
    <row r="118" spans="1:2" x14ac:dyDescent="0.35">
      <c r="A118" s="8">
        <v>4001387</v>
      </c>
      <c r="B118" s="15">
        <v>840</v>
      </c>
    </row>
    <row r="119" spans="1:2" x14ac:dyDescent="0.35">
      <c r="A119" s="8">
        <v>4001388</v>
      </c>
      <c r="B119" s="15">
        <v>1380</v>
      </c>
    </row>
    <row r="120" spans="1:2" x14ac:dyDescent="0.35">
      <c r="A120" s="8">
        <v>4001396</v>
      </c>
      <c r="B120" s="15">
        <v>40</v>
      </c>
    </row>
    <row r="121" spans="1:2" x14ac:dyDescent="0.35">
      <c r="A121" s="8">
        <v>4001403</v>
      </c>
      <c r="B121" s="15">
        <v>720</v>
      </c>
    </row>
    <row r="122" spans="1:2" x14ac:dyDescent="0.35">
      <c r="A122" s="8">
        <v>4001449</v>
      </c>
      <c r="B122" s="15">
        <v>5</v>
      </c>
    </row>
    <row r="123" spans="1:2" x14ac:dyDescent="0.35">
      <c r="A123" s="8">
        <v>4001451</v>
      </c>
      <c r="B123" s="15">
        <v>2</v>
      </c>
    </row>
    <row r="124" spans="1:2" x14ac:dyDescent="0.35">
      <c r="A124" s="8">
        <v>4001458</v>
      </c>
      <c r="B124" s="15">
        <v>2</v>
      </c>
    </row>
    <row r="125" spans="1:2" x14ac:dyDescent="0.35">
      <c r="A125" s="8">
        <v>4001523</v>
      </c>
      <c r="B125" s="15">
        <v>27</v>
      </c>
    </row>
    <row r="126" spans="1:2" x14ac:dyDescent="0.35">
      <c r="A126" s="8">
        <v>4001524</v>
      </c>
      <c r="B126" s="15">
        <v>19</v>
      </c>
    </row>
    <row r="127" spans="1:2" x14ac:dyDescent="0.35">
      <c r="A127" s="8">
        <v>4001572</v>
      </c>
      <c r="B127" s="15">
        <v>50</v>
      </c>
    </row>
    <row r="128" spans="1:2" x14ac:dyDescent="0.35">
      <c r="A128" s="8">
        <v>4001573</v>
      </c>
      <c r="B128" s="15">
        <v>280</v>
      </c>
    </row>
    <row r="129" spans="1:2" x14ac:dyDescent="0.35">
      <c r="A129" s="8">
        <v>4001574</v>
      </c>
      <c r="B129" s="15">
        <v>890</v>
      </c>
    </row>
    <row r="130" spans="1:2" x14ac:dyDescent="0.35">
      <c r="A130" s="8">
        <v>4001691</v>
      </c>
      <c r="B130" s="15">
        <v>64</v>
      </c>
    </row>
    <row r="131" spans="1:2" x14ac:dyDescent="0.35">
      <c r="A131" s="8">
        <v>4001754</v>
      </c>
      <c r="B131" s="15">
        <v>420</v>
      </c>
    </row>
    <row r="132" spans="1:2" x14ac:dyDescent="0.35">
      <c r="A132" s="8">
        <v>4001763</v>
      </c>
      <c r="B132" s="15">
        <v>380</v>
      </c>
    </row>
    <row r="133" spans="1:2" x14ac:dyDescent="0.35">
      <c r="A133" s="8">
        <v>4001764</v>
      </c>
      <c r="B133" s="15">
        <v>12</v>
      </c>
    </row>
    <row r="134" spans="1:2" x14ac:dyDescent="0.35">
      <c r="A134" s="8">
        <v>4001809</v>
      </c>
      <c r="B134" s="15">
        <v>450</v>
      </c>
    </row>
    <row r="135" spans="1:2" x14ac:dyDescent="0.35">
      <c r="A135" s="8">
        <v>4002277</v>
      </c>
      <c r="B135" s="15">
        <v>1070</v>
      </c>
    </row>
    <row r="136" spans="1:2" x14ac:dyDescent="0.35">
      <c r="A136" s="8">
        <v>4002292</v>
      </c>
      <c r="B136" s="15">
        <v>105</v>
      </c>
    </row>
    <row r="137" spans="1:2" x14ac:dyDescent="0.35">
      <c r="A137" s="8">
        <v>4002344</v>
      </c>
      <c r="B137" s="15">
        <v>280</v>
      </c>
    </row>
    <row r="138" spans="1:2" x14ac:dyDescent="0.35">
      <c r="A138" s="8">
        <v>4002475</v>
      </c>
      <c r="B138" s="15">
        <v>336</v>
      </c>
    </row>
    <row r="139" spans="1:2" x14ac:dyDescent="0.35">
      <c r="A139" s="8">
        <v>4002477</v>
      </c>
      <c r="B139" s="15">
        <v>408</v>
      </c>
    </row>
    <row r="140" spans="1:2" x14ac:dyDescent="0.35">
      <c r="A140" s="8">
        <v>4002481</v>
      </c>
      <c r="B140" s="15">
        <v>24</v>
      </c>
    </row>
    <row r="141" spans="1:2" x14ac:dyDescent="0.35">
      <c r="A141" s="8">
        <v>4002482</v>
      </c>
      <c r="B141" s="15">
        <v>246</v>
      </c>
    </row>
    <row r="142" spans="1:2" x14ac:dyDescent="0.35">
      <c r="A142" s="8">
        <v>4002491</v>
      </c>
      <c r="B142" s="15">
        <v>37</v>
      </c>
    </row>
    <row r="143" spans="1:2" x14ac:dyDescent="0.35">
      <c r="A143" s="8">
        <v>4002546</v>
      </c>
      <c r="B143" s="15">
        <v>128</v>
      </c>
    </row>
    <row r="144" spans="1:2" x14ac:dyDescent="0.35">
      <c r="A144" s="8">
        <v>4002675</v>
      </c>
      <c r="B144" s="15">
        <v>32</v>
      </c>
    </row>
    <row r="145" spans="1:2" x14ac:dyDescent="0.35">
      <c r="A145" s="8">
        <v>4002677</v>
      </c>
      <c r="B145" s="15">
        <v>288</v>
      </c>
    </row>
    <row r="146" spans="1:2" x14ac:dyDescent="0.35">
      <c r="A146" s="8">
        <v>4002682</v>
      </c>
      <c r="B146" s="15">
        <v>264</v>
      </c>
    </row>
    <row r="147" spans="1:2" x14ac:dyDescent="0.35">
      <c r="A147" s="8">
        <v>4002684</v>
      </c>
      <c r="B147" s="15">
        <v>700</v>
      </c>
    </row>
    <row r="148" spans="1:2" x14ac:dyDescent="0.35">
      <c r="A148" s="8">
        <v>4002686</v>
      </c>
      <c r="B148" s="15">
        <v>75</v>
      </c>
    </row>
    <row r="149" spans="1:2" x14ac:dyDescent="0.35">
      <c r="A149" s="8">
        <v>4002709</v>
      </c>
      <c r="B149" s="15">
        <v>54</v>
      </c>
    </row>
    <row r="150" spans="1:2" x14ac:dyDescent="0.35">
      <c r="A150" s="8">
        <v>4002737</v>
      </c>
      <c r="B150" s="15">
        <v>128</v>
      </c>
    </row>
    <row r="151" spans="1:2" x14ac:dyDescent="0.35">
      <c r="A151" s="8">
        <v>4002738</v>
      </c>
      <c r="B151" s="15">
        <v>320</v>
      </c>
    </row>
    <row r="152" spans="1:2" x14ac:dyDescent="0.35">
      <c r="A152" s="8">
        <v>4002739</v>
      </c>
      <c r="B152" s="15">
        <v>188</v>
      </c>
    </row>
    <row r="153" spans="1:2" x14ac:dyDescent="0.35">
      <c r="A153" s="8">
        <v>4002740</v>
      </c>
      <c r="B153" s="15">
        <v>176</v>
      </c>
    </row>
    <row r="154" spans="1:2" x14ac:dyDescent="0.35">
      <c r="A154" s="8">
        <v>4002741</v>
      </c>
      <c r="B154" s="15">
        <v>264</v>
      </c>
    </row>
    <row r="155" spans="1:2" x14ac:dyDescent="0.35">
      <c r="A155" s="8">
        <v>4002742</v>
      </c>
      <c r="B155" s="15">
        <v>410</v>
      </c>
    </row>
    <row r="156" spans="1:2" x14ac:dyDescent="0.35">
      <c r="A156" s="8">
        <v>4002743</v>
      </c>
      <c r="B156" s="15">
        <v>120</v>
      </c>
    </row>
    <row r="157" spans="1:2" x14ac:dyDescent="0.35">
      <c r="A157" s="8">
        <v>4002745</v>
      </c>
      <c r="B157" s="15">
        <v>120</v>
      </c>
    </row>
    <row r="158" spans="1:2" x14ac:dyDescent="0.35">
      <c r="A158" s="8">
        <v>4002847</v>
      </c>
      <c r="B158" s="15">
        <v>2</v>
      </c>
    </row>
    <row r="159" spans="1:2" x14ac:dyDescent="0.35">
      <c r="A159" s="8">
        <v>4002898</v>
      </c>
      <c r="B159" s="15">
        <v>796</v>
      </c>
    </row>
    <row r="160" spans="1:2" x14ac:dyDescent="0.35">
      <c r="A160" s="8">
        <v>4003002</v>
      </c>
      <c r="B160" s="15">
        <v>1450</v>
      </c>
    </row>
    <row r="161" spans="1:2" x14ac:dyDescent="0.35">
      <c r="A161" s="8">
        <v>4003004</v>
      </c>
      <c r="B161" s="15">
        <v>390</v>
      </c>
    </row>
    <row r="162" spans="1:2" x14ac:dyDescent="0.35">
      <c r="A162" s="8">
        <v>4003008</v>
      </c>
      <c r="B162" s="15">
        <v>60</v>
      </c>
    </row>
    <row r="163" spans="1:2" x14ac:dyDescent="0.35">
      <c r="A163" s="8">
        <v>4003208</v>
      </c>
      <c r="B163" s="15">
        <v>302</v>
      </c>
    </row>
    <row r="164" spans="1:2" x14ac:dyDescent="0.35">
      <c r="A164" s="8">
        <v>4003238</v>
      </c>
      <c r="B164" s="15">
        <v>52</v>
      </c>
    </row>
    <row r="165" spans="1:2" x14ac:dyDescent="0.35">
      <c r="A165" s="8">
        <v>4003241</v>
      </c>
      <c r="B165" s="15">
        <v>8</v>
      </c>
    </row>
    <row r="166" spans="1:2" x14ac:dyDescent="0.35">
      <c r="A166" s="8">
        <v>4003346</v>
      </c>
      <c r="B166" s="15">
        <v>349</v>
      </c>
    </row>
    <row r="167" spans="1:2" x14ac:dyDescent="0.35">
      <c r="A167" s="8">
        <v>4003416</v>
      </c>
      <c r="B167" s="15">
        <v>8</v>
      </c>
    </row>
    <row r="168" spans="1:2" x14ac:dyDescent="0.35">
      <c r="A168" s="8">
        <v>4003529</v>
      </c>
      <c r="B168" s="15">
        <v>7</v>
      </c>
    </row>
    <row r="169" spans="1:2" x14ac:dyDescent="0.35">
      <c r="A169" s="8">
        <v>4003611</v>
      </c>
      <c r="B169" s="15">
        <v>3</v>
      </c>
    </row>
    <row r="170" spans="1:2" x14ac:dyDescent="0.35">
      <c r="A170" s="8">
        <v>4003844</v>
      </c>
      <c r="B170" s="15">
        <v>400</v>
      </c>
    </row>
    <row r="171" spans="1:2" x14ac:dyDescent="0.35">
      <c r="A171" s="8">
        <v>4003859</v>
      </c>
      <c r="B171" s="15">
        <v>45</v>
      </c>
    </row>
    <row r="172" spans="1:2" x14ac:dyDescent="0.35">
      <c r="A172" s="8">
        <v>4003860</v>
      </c>
      <c r="B172" s="15">
        <v>36</v>
      </c>
    </row>
    <row r="173" spans="1:2" x14ac:dyDescent="0.35">
      <c r="A173" s="8">
        <v>4003864</v>
      </c>
      <c r="B173" s="15">
        <v>2</v>
      </c>
    </row>
    <row r="174" spans="1:2" x14ac:dyDescent="0.35">
      <c r="A174" s="8">
        <v>4003887</v>
      </c>
      <c r="B174" s="15">
        <v>1840</v>
      </c>
    </row>
    <row r="175" spans="1:2" x14ac:dyDescent="0.35">
      <c r="A175" s="8">
        <v>4003906</v>
      </c>
      <c r="B175" s="15">
        <v>927</v>
      </c>
    </row>
    <row r="176" spans="1:2" x14ac:dyDescent="0.35">
      <c r="A176" s="8">
        <v>4003911</v>
      </c>
      <c r="B176" s="15">
        <v>144</v>
      </c>
    </row>
    <row r="177" spans="1:2" x14ac:dyDescent="0.35">
      <c r="A177" s="8">
        <v>4003915</v>
      </c>
      <c r="B177" s="15">
        <v>56</v>
      </c>
    </row>
    <row r="178" spans="1:2" x14ac:dyDescent="0.35">
      <c r="A178" s="8">
        <v>4003916</v>
      </c>
      <c r="B178" s="15">
        <v>54</v>
      </c>
    </row>
    <row r="179" spans="1:2" x14ac:dyDescent="0.35">
      <c r="A179" s="8">
        <v>4004039</v>
      </c>
      <c r="B179" s="15">
        <v>128.667</v>
      </c>
    </row>
    <row r="180" spans="1:2" x14ac:dyDescent="0.35">
      <c r="A180" s="8">
        <v>4004041</v>
      </c>
      <c r="B180" s="15">
        <v>392</v>
      </c>
    </row>
    <row r="181" spans="1:2" x14ac:dyDescent="0.35">
      <c r="A181" s="8">
        <v>4004049</v>
      </c>
      <c r="B181" s="15">
        <v>192</v>
      </c>
    </row>
    <row r="182" spans="1:2" x14ac:dyDescent="0.35">
      <c r="A182" s="8">
        <v>4004054</v>
      </c>
      <c r="B182" s="15">
        <v>6</v>
      </c>
    </row>
    <row r="183" spans="1:2" x14ac:dyDescent="0.35">
      <c r="A183" s="8">
        <v>4004070</v>
      </c>
      <c r="B183" s="15">
        <v>700</v>
      </c>
    </row>
    <row r="184" spans="1:2" x14ac:dyDescent="0.35">
      <c r="A184" s="8">
        <v>4004071</v>
      </c>
      <c r="B184" s="15">
        <v>1512</v>
      </c>
    </row>
    <row r="185" spans="1:2" x14ac:dyDescent="0.35">
      <c r="A185" s="8">
        <v>4004074</v>
      </c>
      <c r="B185" s="15">
        <v>45</v>
      </c>
    </row>
    <row r="186" spans="1:2" x14ac:dyDescent="0.35">
      <c r="A186" s="8">
        <v>4004098</v>
      </c>
      <c r="B186" s="15">
        <v>56</v>
      </c>
    </row>
    <row r="187" spans="1:2" x14ac:dyDescent="0.35">
      <c r="A187" s="8">
        <v>4004121</v>
      </c>
      <c r="B187" s="15">
        <v>168</v>
      </c>
    </row>
    <row r="188" spans="1:2" x14ac:dyDescent="0.35">
      <c r="A188" s="8">
        <v>4004123</v>
      </c>
      <c r="B188" s="15">
        <v>1</v>
      </c>
    </row>
    <row r="189" spans="1:2" x14ac:dyDescent="0.35">
      <c r="A189" s="8">
        <v>4004124</v>
      </c>
      <c r="B189" s="15">
        <v>48</v>
      </c>
    </row>
    <row r="190" spans="1:2" x14ac:dyDescent="0.35">
      <c r="A190" s="8">
        <v>4004147</v>
      </c>
      <c r="B190" s="15">
        <v>266</v>
      </c>
    </row>
    <row r="191" spans="1:2" x14ac:dyDescent="0.35">
      <c r="A191" s="8">
        <v>4004150</v>
      </c>
      <c r="B191" s="15">
        <v>6200</v>
      </c>
    </row>
    <row r="192" spans="1:2" x14ac:dyDescent="0.35">
      <c r="A192" s="8">
        <v>4004168</v>
      </c>
      <c r="B192" s="15">
        <v>9</v>
      </c>
    </row>
    <row r="193" spans="1:2" x14ac:dyDescent="0.35">
      <c r="A193" s="8">
        <v>4004200</v>
      </c>
      <c r="B193" s="15">
        <v>39</v>
      </c>
    </row>
    <row r="194" spans="1:2" x14ac:dyDescent="0.35">
      <c r="A194" s="8">
        <v>4004201</v>
      </c>
      <c r="B194" s="15">
        <v>52</v>
      </c>
    </row>
    <row r="195" spans="1:2" x14ac:dyDescent="0.35">
      <c r="A195" s="8">
        <v>4004203</v>
      </c>
      <c r="B195" s="15">
        <v>4</v>
      </c>
    </row>
    <row r="196" spans="1:2" x14ac:dyDescent="0.35">
      <c r="A196" s="8">
        <v>4004237</v>
      </c>
      <c r="B196" s="15">
        <v>4</v>
      </c>
    </row>
    <row r="197" spans="1:2" x14ac:dyDescent="0.35">
      <c r="A197" s="8">
        <v>4004238</v>
      </c>
      <c r="B197" s="15">
        <v>16</v>
      </c>
    </row>
    <row r="198" spans="1:2" x14ac:dyDescent="0.35">
      <c r="A198" s="8">
        <v>4004240</v>
      </c>
      <c r="B198" s="15">
        <v>504</v>
      </c>
    </row>
    <row r="199" spans="1:2" x14ac:dyDescent="0.35">
      <c r="A199" s="8">
        <v>4004241</v>
      </c>
      <c r="B199" s="15">
        <v>145</v>
      </c>
    </row>
    <row r="200" spans="1:2" x14ac:dyDescent="0.35">
      <c r="A200" s="8">
        <v>4004246</v>
      </c>
      <c r="B200" s="15">
        <v>12</v>
      </c>
    </row>
    <row r="201" spans="1:2" x14ac:dyDescent="0.35">
      <c r="A201" s="8">
        <v>4004248</v>
      </c>
      <c r="B201" s="15">
        <v>12</v>
      </c>
    </row>
    <row r="202" spans="1:2" x14ac:dyDescent="0.35">
      <c r="A202" s="8">
        <v>4004250</v>
      </c>
      <c r="B202" s="15">
        <v>75</v>
      </c>
    </row>
    <row r="203" spans="1:2" x14ac:dyDescent="0.35">
      <c r="A203" s="8">
        <v>4004259</v>
      </c>
      <c r="B203" s="15">
        <v>2</v>
      </c>
    </row>
    <row r="204" spans="1:2" x14ac:dyDescent="0.35">
      <c r="A204" s="8">
        <v>4004262</v>
      </c>
      <c r="B204" s="15">
        <v>39</v>
      </c>
    </row>
    <row r="205" spans="1:2" x14ac:dyDescent="0.35">
      <c r="A205" s="8">
        <v>4004269</v>
      </c>
      <c r="B205" s="15">
        <v>96</v>
      </c>
    </row>
    <row r="206" spans="1:2" x14ac:dyDescent="0.35">
      <c r="A206" s="8">
        <v>4004280</v>
      </c>
      <c r="B206" s="15">
        <v>169</v>
      </c>
    </row>
    <row r="207" spans="1:2" x14ac:dyDescent="0.35">
      <c r="A207" s="8">
        <v>4004281</v>
      </c>
      <c r="B207" s="15">
        <v>120</v>
      </c>
    </row>
    <row r="208" spans="1:2" x14ac:dyDescent="0.35">
      <c r="A208" s="8">
        <v>4004359</v>
      </c>
      <c r="B208" s="15">
        <v>66</v>
      </c>
    </row>
    <row r="209" spans="1:2" x14ac:dyDescent="0.35">
      <c r="A209" s="8">
        <v>4004360</v>
      </c>
      <c r="B209" s="15">
        <v>56</v>
      </c>
    </row>
    <row r="210" spans="1:2" x14ac:dyDescent="0.35">
      <c r="A210" s="8">
        <v>4004377</v>
      </c>
      <c r="B210" s="15">
        <v>56</v>
      </c>
    </row>
    <row r="211" spans="1:2" x14ac:dyDescent="0.35">
      <c r="A211" s="8">
        <v>4004397</v>
      </c>
      <c r="B211" s="15">
        <v>16</v>
      </c>
    </row>
    <row r="212" spans="1:2" x14ac:dyDescent="0.35">
      <c r="A212" s="8">
        <v>4004408</v>
      </c>
      <c r="B212" s="15">
        <v>52</v>
      </c>
    </row>
    <row r="213" spans="1:2" x14ac:dyDescent="0.35">
      <c r="A213" s="8">
        <v>4004440</v>
      </c>
      <c r="B213" s="15">
        <v>120</v>
      </c>
    </row>
    <row r="214" spans="1:2" x14ac:dyDescent="0.35">
      <c r="A214" s="8">
        <v>4004441</v>
      </c>
      <c r="B214" s="15">
        <v>18</v>
      </c>
    </row>
    <row r="215" spans="1:2" x14ac:dyDescent="0.35">
      <c r="A215" s="8">
        <v>4004447</v>
      </c>
      <c r="B215" s="15">
        <v>75</v>
      </c>
    </row>
    <row r="216" spans="1:2" x14ac:dyDescent="0.35">
      <c r="A216" s="8">
        <v>4004450</v>
      </c>
      <c r="B216" s="15">
        <v>120</v>
      </c>
    </row>
    <row r="217" spans="1:2" x14ac:dyDescent="0.35">
      <c r="A217" s="8">
        <v>4004451</v>
      </c>
      <c r="B217" s="15">
        <v>96</v>
      </c>
    </row>
    <row r="218" spans="1:2" x14ac:dyDescent="0.35">
      <c r="A218" s="8">
        <v>4004453</v>
      </c>
      <c r="B218" s="15">
        <v>306</v>
      </c>
    </row>
    <row r="219" spans="1:2" x14ac:dyDescent="0.35">
      <c r="A219" s="8">
        <v>4004674</v>
      </c>
      <c r="B219" s="15">
        <v>192</v>
      </c>
    </row>
    <row r="220" spans="1:2" x14ac:dyDescent="0.35">
      <c r="A220" s="8">
        <v>4004679</v>
      </c>
      <c r="B220" s="15">
        <v>4</v>
      </c>
    </row>
    <row r="221" spans="1:2" x14ac:dyDescent="0.35">
      <c r="A221" s="8">
        <v>4004700</v>
      </c>
      <c r="B221" s="15">
        <v>8</v>
      </c>
    </row>
    <row r="222" spans="1:2" x14ac:dyDescent="0.35">
      <c r="A222" s="8">
        <v>4004809</v>
      </c>
      <c r="B222" s="15">
        <v>108</v>
      </c>
    </row>
    <row r="223" spans="1:2" x14ac:dyDescent="0.35">
      <c r="A223" s="8">
        <v>4004825</v>
      </c>
      <c r="B223" s="15">
        <v>918</v>
      </c>
    </row>
    <row r="224" spans="1:2" x14ac:dyDescent="0.35">
      <c r="A224" s="8">
        <v>4004843</v>
      </c>
      <c r="B224" s="15">
        <v>3</v>
      </c>
    </row>
    <row r="225" spans="1:2" x14ac:dyDescent="0.35">
      <c r="A225" s="8">
        <v>4004889</v>
      </c>
      <c r="B225" s="15">
        <v>328</v>
      </c>
    </row>
    <row r="226" spans="1:2" x14ac:dyDescent="0.35">
      <c r="A226" s="8">
        <v>4004891</v>
      </c>
      <c r="B226" s="15">
        <v>236</v>
      </c>
    </row>
    <row r="227" spans="1:2" x14ac:dyDescent="0.35">
      <c r="A227" s="8">
        <v>4004920</v>
      </c>
      <c r="B227" s="15">
        <v>238</v>
      </c>
    </row>
    <row r="228" spans="1:2" x14ac:dyDescent="0.35">
      <c r="A228" s="8">
        <v>4004963</v>
      </c>
      <c r="B228" s="15">
        <v>59</v>
      </c>
    </row>
    <row r="229" spans="1:2" x14ac:dyDescent="0.35">
      <c r="A229" s="8">
        <v>4005020</v>
      </c>
      <c r="B229" s="15">
        <v>70</v>
      </c>
    </row>
    <row r="230" spans="1:2" x14ac:dyDescent="0.35">
      <c r="A230" s="8">
        <v>4005032</v>
      </c>
      <c r="B230" s="15">
        <v>5</v>
      </c>
    </row>
    <row r="231" spans="1:2" x14ac:dyDescent="0.35">
      <c r="A231" s="8">
        <v>4005052</v>
      </c>
      <c r="B231" s="15">
        <v>32</v>
      </c>
    </row>
    <row r="232" spans="1:2" x14ac:dyDescent="0.35">
      <c r="A232" s="8">
        <v>4005446</v>
      </c>
      <c r="B232" s="15">
        <v>44</v>
      </c>
    </row>
    <row r="233" spans="1:2" x14ac:dyDescent="0.35">
      <c r="A233" s="8">
        <v>4005449</v>
      </c>
      <c r="B233" s="15">
        <v>16</v>
      </c>
    </row>
    <row r="234" spans="1:2" x14ac:dyDescent="0.35">
      <c r="A234" s="8">
        <v>4005454</v>
      </c>
      <c r="B234" s="15">
        <v>12</v>
      </c>
    </row>
    <row r="235" spans="1:2" x14ac:dyDescent="0.35">
      <c r="A235" s="8">
        <v>4005503</v>
      </c>
      <c r="B235" s="15">
        <v>4</v>
      </c>
    </row>
    <row r="236" spans="1:2" x14ac:dyDescent="0.35">
      <c r="A236" s="8">
        <v>4005583</v>
      </c>
      <c r="B236" s="15">
        <v>8372.7999999999993</v>
      </c>
    </row>
    <row r="237" spans="1:2" x14ac:dyDescent="0.35">
      <c r="A237" s="8">
        <v>4005584</v>
      </c>
      <c r="B237" s="15">
        <v>5640.4</v>
      </c>
    </row>
    <row r="238" spans="1:2" x14ac:dyDescent="0.35">
      <c r="A238" s="8">
        <v>4005783</v>
      </c>
      <c r="B238" s="15">
        <v>4</v>
      </c>
    </row>
    <row r="239" spans="1:2" x14ac:dyDescent="0.35">
      <c r="A239" s="8">
        <v>4005791</v>
      </c>
      <c r="B239" s="15">
        <v>96</v>
      </c>
    </row>
    <row r="240" spans="1:2" x14ac:dyDescent="0.35">
      <c r="A240" s="8">
        <v>4005792</v>
      </c>
      <c r="B240" s="15">
        <v>222</v>
      </c>
    </row>
    <row r="241" spans="1:2" x14ac:dyDescent="0.35">
      <c r="A241" s="8">
        <v>4005868</v>
      </c>
      <c r="B241" s="15">
        <v>105</v>
      </c>
    </row>
    <row r="242" spans="1:2" x14ac:dyDescent="0.35">
      <c r="A242" s="8">
        <v>4005876</v>
      </c>
      <c r="B242" s="15">
        <v>152</v>
      </c>
    </row>
    <row r="243" spans="1:2" x14ac:dyDescent="0.35">
      <c r="A243" s="8">
        <v>4005880</v>
      </c>
      <c r="B243" s="15">
        <v>96</v>
      </c>
    </row>
    <row r="244" spans="1:2" x14ac:dyDescent="0.35">
      <c r="A244" s="8">
        <v>4005881</v>
      </c>
      <c r="B244" s="15">
        <v>40</v>
      </c>
    </row>
    <row r="245" spans="1:2" x14ac:dyDescent="0.35">
      <c r="A245" s="8">
        <v>4005883</v>
      </c>
      <c r="B245" s="15">
        <v>48</v>
      </c>
    </row>
    <row r="246" spans="1:2" x14ac:dyDescent="0.35">
      <c r="A246" s="8">
        <v>4005885</v>
      </c>
      <c r="B246" s="15">
        <v>48</v>
      </c>
    </row>
    <row r="247" spans="1:2" x14ac:dyDescent="0.35">
      <c r="A247" s="8">
        <v>4005925</v>
      </c>
      <c r="B247" s="15">
        <v>20</v>
      </c>
    </row>
    <row r="248" spans="1:2" x14ac:dyDescent="0.35">
      <c r="A248" s="8">
        <v>4005949</v>
      </c>
      <c r="B248" s="15">
        <v>108</v>
      </c>
    </row>
    <row r="249" spans="1:2" x14ac:dyDescent="0.35">
      <c r="A249" s="8">
        <v>4005955</v>
      </c>
      <c r="B249" s="15">
        <v>297</v>
      </c>
    </row>
    <row r="250" spans="1:2" x14ac:dyDescent="0.35">
      <c r="A250" s="8">
        <v>4006009</v>
      </c>
      <c r="B250" s="15">
        <v>54</v>
      </c>
    </row>
    <row r="251" spans="1:2" x14ac:dyDescent="0.35">
      <c r="A251" s="8">
        <v>4006012</v>
      </c>
      <c r="B251" s="15">
        <v>497</v>
      </c>
    </row>
    <row r="252" spans="1:2" x14ac:dyDescent="0.35">
      <c r="A252" s="8">
        <v>4006014</v>
      </c>
      <c r="B252" s="15">
        <v>156</v>
      </c>
    </row>
    <row r="253" spans="1:2" x14ac:dyDescent="0.35">
      <c r="A253" s="8">
        <v>4006023</v>
      </c>
      <c r="B253" s="15">
        <v>420</v>
      </c>
    </row>
    <row r="254" spans="1:2" x14ac:dyDescent="0.35">
      <c r="A254" s="8">
        <v>4006027</v>
      </c>
      <c r="B254" s="15">
        <v>360</v>
      </c>
    </row>
    <row r="255" spans="1:2" x14ac:dyDescent="0.35">
      <c r="A255" s="8">
        <v>4006037</v>
      </c>
      <c r="B255" s="15">
        <v>3</v>
      </c>
    </row>
    <row r="256" spans="1:2" x14ac:dyDescent="0.35">
      <c r="A256" s="8">
        <v>4006062</v>
      </c>
      <c r="B256" s="15">
        <v>26</v>
      </c>
    </row>
    <row r="257" spans="1:2" x14ac:dyDescent="0.35">
      <c r="A257" s="8">
        <v>4006066</v>
      </c>
      <c r="B257" s="15">
        <v>48</v>
      </c>
    </row>
    <row r="258" spans="1:2" x14ac:dyDescent="0.35">
      <c r="A258" s="8">
        <v>4006072</v>
      </c>
      <c r="B258" s="15">
        <v>16</v>
      </c>
    </row>
    <row r="259" spans="1:2" x14ac:dyDescent="0.35">
      <c r="A259" s="8">
        <v>4006088</v>
      </c>
      <c r="B259" s="15">
        <v>1059</v>
      </c>
    </row>
    <row r="260" spans="1:2" x14ac:dyDescent="0.35">
      <c r="A260" s="8">
        <v>4006094</v>
      </c>
      <c r="B260" s="15">
        <v>240</v>
      </c>
    </row>
    <row r="261" spans="1:2" x14ac:dyDescent="0.35">
      <c r="A261" s="8">
        <v>4006098</v>
      </c>
      <c r="B261" s="15">
        <v>222</v>
      </c>
    </row>
    <row r="262" spans="1:2" x14ac:dyDescent="0.35">
      <c r="A262" s="8">
        <v>4006157</v>
      </c>
      <c r="B262" s="15">
        <v>256.5</v>
      </c>
    </row>
    <row r="263" spans="1:2" x14ac:dyDescent="0.35">
      <c r="A263" s="8">
        <v>4006159</v>
      </c>
      <c r="B263" s="15">
        <v>61</v>
      </c>
    </row>
    <row r="264" spans="1:2" x14ac:dyDescent="0.35">
      <c r="A264" s="8">
        <v>4006168</v>
      </c>
      <c r="B264" s="15">
        <v>432</v>
      </c>
    </row>
    <row r="265" spans="1:2" x14ac:dyDescent="0.35">
      <c r="A265" s="8">
        <v>4006169</v>
      </c>
      <c r="B265" s="15">
        <v>192</v>
      </c>
    </row>
    <row r="266" spans="1:2" x14ac:dyDescent="0.35">
      <c r="A266" s="8">
        <v>4006170</v>
      </c>
      <c r="B266" s="15">
        <v>2</v>
      </c>
    </row>
    <row r="267" spans="1:2" x14ac:dyDescent="0.35">
      <c r="A267" s="8">
        <v>4006171</v>
      </c>
      <c r="B267" s="15">
        <v>12</v>
      </c>
    </row>
    <row r="268" spans="1:2" x14ac:dyDescent="0.35">
      <c r="A268" s="8">
        <v>4006174</v>
      </c>
      <c r="B268" s="15">
        <v>396</v>
      </c>
    </row>
    <row r="269" spans="1:2" x14ac:dyDescent="0.35">
      <c r="A269" s="8">
        <v>4006177</v>
      </c>
      <c r="B269" s="15">
        <v>296</v>
      </c>
    </row>
    <row r="270" spans="1:2" x14ac:dyDescent="0.35">
      <c r="A270" s="8">
        <v>4006185</v>
      </c>
      <c r="B270" s="15">
        <v>60</v>
      </c>
    </row>
    <row r="271" spans="1:2" x14ac:dyDescent="0.35">
      <c r="A271" s="8">
        <v>4006187</v>
      </c>
      <c r="B271" s="15">
        <v>33</v>
      </c>
    </row>
    <row r="272" spans="1:2" x14ac:dyDescent="0.35">
      <c r="A272" s="8">
        <v>4006188</v>
      </c>
      <c r="B272" s="15">
        <v>216</v>
      </c>
    </row>
    <row r="273" spans="1:2" x14ac:dyDescent="0.35">
      <c r="A273" s="8">
        <v>4006193</v>
      </c>
      <c r="B273" s="15">
        <v>22</v>
      </c>
    </row>
    <row r="274" spans="1:2" x14ac:dyDescent="0.35">
      <c r="A274" s="8">
        <v>4006210</v>
      </c>
      <c r="B274" s="15">
        <v>301</v>
      </c>
    </row>
    <row r="275" spans="1:2" x14ac:dyDescent="0.35">
      <c r="A275" s="8">
        <v>4006235</v>
      </c>
      <c r="B275" s="15">
        <v>144</v>
      </c>
    </row>
    <row r="276" spans="1:2" x14ac:dyDescent="0.35">
      <c r="A276" s="8">
        <v>4006236</v>
      </c>
      <c r="B276" s="15">
        <v>150</v>
      </c>
    </row>
    <row r="277" spans="1:2" x14ac:dyDescent="0.35">
      <c r="A277" s="8">
        <v>4006332</v>
      </c>
      <c r="B277" s="15">
        <v>280</v>
      </c>
    </row>
    <row r="278" spans="1:2" x14ac:dyDescent="0.35">
      <c r="A278" s="8">
        <v>4006333</v>
      </c>
      <c r="B278" s="15">
        <v>588</v>
      </c>
    </row>
    <row r="279" spans="1:2" x14ac:dyDescent="0.35">
      <c r="A279" s="8">
        <v>4006341</v>
      </c>
      <c r="B279" s="15">
        <v>3</v>
      </c>
    </row>
    <row r="280" spans="1:2" x14ac:dyDescent="0.35">
      <c r="A280" s="8">
        <v>4006367</v>
      </c>
      <c r="B280" s="15">
        <v>692</v>
      </c>
    </row>
    <row r="281" spans="1:2" x14ac:dyDescent="0.35">
      <c r="A281" s="8">
        <v>4006368</v>
      </c>
      <c r="B281" s="15">
        <v>400</v>
      </c>
    </row>
    <row r="282" spans="1:2" x14ac:dyDescent="0.35">
      <c r="A282" s="8">
        <v>4006370</v>
      </c>
      <c r="B282" s="15">
        <v>128</v>
      </c>
    </row>
    <row r="283" spans="1:2" x14ac:dyDescent="0.35">
      <c r="A283" s="8">
        <v>4006372</v>
      </c>
      <c r="B283" s="15">
        <v>3</v>
      </c>
    </row>
    <row r="284" spans="1:2" x14ac:dyDescent="0.35">
      <c r="A284" s="8">
        <v>4006375</v>
      </c>
      <c r="B284" s="15">
        <v>15</v>
      </c>
    </row>
    <row r="285" spans="1:2" x14ac:dyDescent="0.35">
      <c r="A285" s="8">
        <v>4006377</v>
      </c>
      <c r="B285" s="15">
        <v>12</v>
      </c>
    </row>
    <row r="286" spans="1:2" x14ac:dyDescent="0.35">
      <c r="A286" s="8">
        <v>4006378</v>
      </c>
      <c r="B286" s="15">
        <v>10</v>
      </c>
    </row>
    <row r="287" spans="1:2" x14ac:dyDescent="0.35">
      <c r="A287" s="8">
        <v>4006380</v>
      </c>
      <c r="B287" s="15">
        <v>135</v>
      </c>
    </row>
    <row r="288" spans="1:2" x14ac:dyDescent="0.35">
      <c r="A288" s="8">
        <v>4006381</v>
      </c>
      <c r="B288" s="15">
        <v>17</v>
      </c>
    </row>
    <row r="289" spans="1:2" x14ac:dyDescent="0.35">
      <c r="A289" s="8">
        <v>4006450</v>
      </c>
      <c r="B289" s="15">
        <v>56</v>
      </c>
    </row>
    <row r="290" spans="1:2" x14ac:dyDescent="0.35">
      <c r="A290" s="8">
        <v>4006451</v>
      </c>
      <c r="B290" s="15">
        <v>36</v>
      </c>
    </row>
    <row r="291" spans="1:2" x14ac:dyDescent="0.35">
      <c r="A291" s="8">
        <v>4006464</v>
      </c>
      <c r="B291" s="15">
        <v>1</v>
      </c>
    </row>
    <row r="292" spans="1:2" x14ac:dyDescent="0.35">
      <c r="A292" s="8">
        <v>4006529</v>
      </c>
      <c r="B292" s="15">
        <v>2</v>
      </c>
    </row>
    <row r="293" spans="1:2" x14ac:dyDescent="0.35">
      <c r="A293" s="8">
        <v>4006545</v>
      </c>
      <c r="B293" s="15">
        <v>250</v>
      </c>
    </row>
    <row r="294" spans="1:2" x14ac:dyDescent="0.35">
      <c r="A294" s="8">
        <v>4006546</v>
      </c>
      <c r="B294" s="15">
        <v>14</v>
      </c>
    </row>
    <row r="295" spans="1:2" x14ac:dyDescent="0.35">
      <c r="A295" s="8">
        <v>4006560</v>
      </c>
      <c r="B295" s="15">
        <v>101</v>
      </c>
    </row>
    <row r="296" spans="1:2" x14ac:dyDescent="0.35">
      <c r="A296" s="8">
        <v>4006561</v>
      </c>
      <c r="B296" s="15">
        <v>336</v>
      </c>
    </row>
    <row r="297" spans="1:2" x14ac:dyDescent="0.35">
      <c r="A297" s="8">
        <v>4006565</v>
      </c>
      <c r="B297" s="15">
        <v>211</v>
      </c>
    </row>
    <row r="298" spans="1:2" x14ac:dyDescent="0.35">
      <c r="A298" s="8">
        <v>4006665</v>
      </c>
      <c r="B298" s="15">
        <v>18</v>
      </c>
    </row>
    <row r="299" spans="1:2" x14ac:dyDescent="0.35">
      <c r="A299" s="8">
        <v>4006678</v>
      </c>
      <c r="B299" s="15">
        <v>80</v>
      </c>
    </row>
    <row r="300" spans="1:2" x14ac:dyDescent="0.35">
      <c r="A300" s="8">
        <v>4006755</v>
      </c>
      <c r="B300" s="15">
        <v>28</v>
      </c>
    </row>
    <row r="301" spans="1:2" x14ac:dyDescent="0.35">
      <c r="A301" s="8">
        <v>4006758</v>
      </c>
      <c r="B301" s="15">
        <v>418</v>
      </c>
    </row>
    <row r="302" spans="1:2" x14ac:dyDescent="0.35">
      <c r="A302" s="8">
        <v>4006770</v>
      </c>
      <c r="B302" s="15">
        <v>147</v>
      </c>
    </row>
    <row r="303" spans="1:2" x14ac:dyDescent="0.35">
      <c r="A303" s="8">
        <v>4006771</v>
      </c>
      <c r="B303" s="15">
        <v>318</v>
      </c>
    </row>
    <row r="304" spans="1:2" x14ac:dyDescent="0.35">
      <c r="A304" s="8">
        <v>4006775</v>
      </c>
      <c r="B304" s="15">
        <v>45</v>
      </c>
    </row>
    <row r="305" spans="1:2" x14ac:dyDescent="0.35">
      <c r="A305" s="8">
        <v>4006778</v>
      </c>
      <c r="B305" s="15">
        <v>141</v>
      </c>
    </row>
    <row r="306" spans="1:2" x14ac:dyDescent="0.35">
      <c r="A306" s="8">
        <v>4006780</v>
      </c>
      <c r="B306" s="15">
        <v>130</v>
      </c>
    </row>
    <row r="307" spans="1:2" x14ac:dyDescent="0.35">
      <c r="A307" s="8">
        <v>4006795</v>
      </c>
      <c r="B307" s="15">
        <v>51</v>
      </c>
    </row>
    <row r="308" spans="1:2" x14ac:dyDescent="0.35">
      <c r="A308" s="8">
        <v>4007769</v>
      </c>
      <c r="B308" s="15">
        <v>120</v>
      </c>
    </row>
    <row r="309" spans="1:2" x14ac:dyDescent="0.35">
      <c r="A309" s="8">
        <v>4007774</v>
      </c>
      <c r="B309" s="15">
        <v>180</v>
      </c>
    </row>
    <row r="310" spans="1:2" x14ac:dyDescent="0.35">
      <c r="A310" s="8">
        <v>4007817</v>
      </c>
      <c r="B310" s="15">
        <v>28</v>
      </c>
    </row>
    <row r="311" spans="1:2" x14ac:dyDescent="0.35">
      <c r="A311" s="8">
        <v>4007818</v>
      </c>
      <c r="B311" s="15">
        <v>30</v>
      </c>
    </row>
    <row r="312" spans="1:2" x14ac:dyDescent="0.35">
      <c r="A312" s="8">
        <v>4007825</v>
      </c>
      <c r="B312" s="15">
        <v>700</v>
      </c>
    </row>
    <row r="313" spans="1:2" x14ac:dyDescent="0.35">
      <c r="A313" s="8">
        <v>4008002</v>
      </c>
      <c r="B313" s="15">
        <v>8</v>
      </c>
    </row>
    <row r="314" spans="1:2" x14ac:dyDescent="0.35">
      <c r="A314" s="8">
        <v>4008010</v>
      </c>
      <c r="B314" s="15">
        <v>12</v>
      </c>
    </row>
    <row r="315" spans="1:2" x14ac:dyDescent="0.35">
      <c r="A315" s="8">
        <v>4008023</v>
      </c>
      <c r="B315" s="15">
        <v>24</v>
      </c>
    </row>
    <row r="316" spans="1:2" x14ac:dyDescent="0.35">
      <c r="A316" s="8">
        <v>4008033</v>
      </c>
      <c r="B316" s="15">
        <v>64</v>
      </c>
    </row>
    <row r="317" spans="1:2" x14ac:dyDescent="0.35">
      <c r="A317" s="8">
        <v>4008034</v>
      </c>
      <c r="B317" s="15">
        <v>78</v>
      </c>
    </row>
    <row r="318" spans="1:2" x14ac:dyDescent="0.35">
      <c r="A318" s="8">
        <v>4008076</v>
      </c>
      <c r="B318" s="15">
        <v>35</v>
      </c>
    </row>
    <row r="319" spans="1:2" x14ac:dyDescent="0.35">
      <c r="A319" s="8">
        <v>4008077</v>
      </c>
      <c r="B319" s="15">
        <v>21</v>
      </c>
    </row>
    <row r="320" spans="1:2" x14ac:dyDescent="0.35">
      <c r="A320" s="8">
        <v>4008079</v>
      </c>
      <c r="B320" s="15">
        <v>250</v>
      </c>
    </row>
    <row r="321" spans="1:2" x14ac:dyDescent="0.35">
      <c r="A321" s="8">
        <v>4008095</v>
      </c>
      <c r="B321" s="15">
        <v>40.5</v>
      </c>
    </row>
    <row r="322" spans="1:2" x14ac:dyDescent="0.35">
      <c r="A322" s="8">
        <v>4008096</v>
      </c>
      <c r="B322" s="15">
        <v>433.87299999999999</v>
      </c>
    </row>
    <row r="323" spans="1:2" x14ac:dyDescent="0.35">
      <c r="A323" s="8">
        <v>4008099</v>
      </c>
      <c r="B323" s="15">
        <v>152</v>
      </c>
    </row>
    <row r="324" spans="1:2" x14ac:dyDescent="0.35">
      <c r="A324" s="8">
        <v>4008100</v>
      </c>
      <c r="B324" s="15">
        <v>53</v>
      </c>
    </row>
    <row r="325" spans="1:2" x14ac:dyDescent="0.35">
      <c r="A325" s="8">
        <v>4008106</v>
      </c>
      <c r="B325" s="15">
        <v>120</v>
      </c>
    </row>
    <row r="326" spans="1:2" x14ac:dyDescent="0.35">
      <c r="A326" s="8">
        <v>4008108</v>
      </c>
      <c r="B326" s="15">
        <v>28</v>
      </c>
    </row>
    <row r="327" spans="1:2" x14ac:dyDescent="0.35">
      <c r="A327" s="8">
        <v>4008110</v>
      </c>
      <c r="B327" s="15">
        <v>114</v>
      </c>
    </row>
    <row r="328" spans="1:2" x14ac:dyDescent="0.35">
      <c r="A328" s="8">
        <v>4008121</v>
      </c>
      <c r="B328" s="15">
        <v>364</v>
      </c>
    </row>
    <row r="329" spans="1:2" x14ac:dyDescent="0.35">
      <c r="A329" s="8">
        <v>4008122</v>
      </c>
      <c r="B329" s="15">
        <v>220</v>
      </c>
    </row>
    <row r="330" spans="1:2" x14ac:dyDescent="0.35">
      <c r="A330" s="8">
        <v>4008123</v>
      </c>
      <c r="B330" s="15">
        <v>140</v>
      </c>
    </row>
    <row r="331" spans="1:2" x14ac:dyDescent="0.35">
      <c r="A331" s="8">
        <v>4008124</v>
      </c>
      <c r="B331" s="15">
        <v>8</v>
      </c>
    </row>
    <row r="332" spans="1:2" x14ac:dyDescent="0.35">
      <c r="A332" s="8">
        <v>4008133</v>
      </c>
      <c r="B332" s="15">
        <v>4</v>
      </c>
    </row>
    <row r="333" spans="1:2" x14ac:dyDescent="0.35">
      <c r="A333" s="8">
        <v>4008142</v>
      </c>
      <c r="B333" s="15">
        <v>70</v>
      </c>
    </row>
    <row r="334" spans="1:2" x14ac:dyDescent="0.35">
      <c r="A334" s="8">
        <v>4008143</v>
      </c>
      <c r="B334" s="15">
        <v>32</v>
      </c>
    </row>
    <row r="335" spans="1:2" x14ac:dyDescent="0.35">
      <c r="A335" s="8">
        <v>4008145</v>
      </c>
      <c r="B335" s="15">
        <v>76</v>
      </c>
    </row>
    <row r="336" spans="1:2" x14ac:dyDescent="0.35">
      <c r="A336" s="8">
        <v>4008152</v>
      </c>
      <c r="B336" s="15">
        <v>22</v>
      </c>
    </row>
    <row r="337" spans="1:2" x14ac:dyDescent="0.35">
      <c r="A337" s="8">
        <v>4008157</v>
      </c>
      <c r="B337" s="15">
        <v>6</v>
      </c>
    </row>
    <row r="338" spans="1:2" x14ac:dyDescent="0.35">
      <c r="A338" s="8">
        <v>4008194</v>
      </c>
      <c r="B338" s="15">
        <v>66</v>
      </c>
    </row>
    <row r="339" spans="1:2" x14ac:dyDescent="0.35">
      <c r="A339" s="8">
        <v>4008197</v>
      </c>
      <c r="B339" s="15">
        <v>370</v>
      </c>
    </row>
    <row r="340" spans="1:2" x14ac:dyDescent="0.35">
      <c r="A340" s="8">
        <v>4008198</v>
      </c>
      <c r="B340" s="15">
        <v>180</v>
      </c>
    </row>
    <row r="341" spans="1:2" x14ac:dyDescent="0.35">
      <c r="A341" s="8">
        <v>4008204</v>
      </c>
      <c r="B341" s="15">
        <v>24</v>
      </c>
    </row>
    <row r="342" spans="1:2" x14ac:dyDescent="0.35">
      <c r="A342" s="8">
        <v>4008206</v>
      </c>
      <c r="B342" s="15">
        <v>66</v>
      </c>
    </row>
    <row r="343" spans="1:2" x14ac:dyDescent="0.35">
      <c r="A343" s="8">
        <v>4008209</v>
      </c>
      <c r="B343" s="15">
        <v>2</v>
      </c>
    </row>
    <row r="344" spans="1:2" x14ac:dyDescent="0.35">
      <c r="A344" s="8">
        <v>4008211</v>
      </c>
      <c r="B344" s="15">
        <v>12</v>
      </c>
    </row>
    <row r="345" spans="1:2" x14ac:dyDescent="0.35">
      <c r="A345" s="8">
        <v>4008212</v>
      </c>
      <c r="B345" s="15">
        <v>22</v>
      </c>
    </row>
    <row r="346" spans="1:2" x14ac:dyDescent="0.35">
      <c r="A346" s="8">
        <v>4008213</v>
      </c>
      <c r="B346" s="15">
        <v>20</v>
      </c>
    </row>
    <row r="347" spans="1:2" x14ac:dyDescent="0.35">
      <c r="A347" s="8">
        <v>4008214</v>
      </c>
      <c r="B347" s="15">
        <v>2</v>
      </c>
    </row>
    <row r="348" spans="1:2" x14ac:dyDescent="0.35">
      <c r="A348" s="8">
        <v>4008247</v>
      </c>
      <c r="B348" s="15">
        <v>288</v>
      </c>
    </row>
    <row r="349" spans="1:2" x14ac:dyDescent="0.35">
      <c r="A349" s="8">
        <v>4008253</v>
      </c>
      <c r="B349" s="15">
        <v>2</v>
      </c>
    </row>
    <row r="350" spans="1:2" x14ac:dyDescent="0.35">
      <c r="A350" s="8">
        <v>4008254</v>
      </c>
      <c r="B350" s="15">
        <v>60</v>
      </c>
    </row>
    <row r="351" spans="1:2" x14ac:dyDescent="0.35">
      <c r="A351" s="8">
        <v>4008258</v>
      </c>
      <c r="B351" s="15">
        <v>12</v>
      </c>
    </row>
    <row r="352" spans="1:2" x14ac:dyDescent="0.35">
      <c r="A352" s="8">
        <v>4008263</v>
      </c>
      <c r="B352" s="15">
        <v>24</v>
      </c>
    </row>
    <row r="353" spans="1:2" x14ac:dyDescent="0.35">
      <c r="A353" s="8">
        <v>4008265</v>
      </c>
      <c r="B353" s="15">
        <v>9</v>
      </c>
    </row>
    <row r="354" spans="1:2" x14ac:dyDescent="0.35">
      <c r="A354" s="8">
        <v>4008266</v>
      </c>
      <c r="B354" s="15">
        <v>4</v>
      </c>
    </row>
    <row r="355" spans="1:2" x14ac:dyDescent="0.35">
      <c r="A355" s="8">
        <v>4008272</v>
      </c>
      <c r="B355" s="15">
        <v>62.5</v>
      </c>
    </row>
    <row r="356" spans="1:2" x14ac:dyDescent="0.35">
      <c r="A356" s="8">
        <v>4008276</v>
      </c>
      <c r="B356" s="15">
        <v>6</v>
      </c>
    </row>
    <row r="357" spans="1:2" x14ac:dyDescent="0.35">
      <c r="A357" s="8">
        <v>4008278</v>
      </c>
      <c r="B357" s="15">
        <v>6</v>
      </c>
    </row>
    <row r="358" spans="1:2" x14ac:dyDescent="0.35">
      <c r="A358" s="8">
        <v>4008280</v>
      </c>
      <c r="B358" s="15">
        <v>31</v>
      </c>
    </row>
    <row r="359" spans="1:2" x14ac:dyDescent="0.35">
      <c r="A359" s="8">
        <v>4008289</v>
      </c>
      <c r="B359" s="15">
        <v>95</v>
      </c>
    </row>
    <row r="360" spans="1:2" x14ac:dyDescent="0.35">
      <c r="A360" s="8">
        <v>4008291</v>
      </c>
      <c r="B360" s="15">
        <v>60</v>
      </c>
    </row>
    <row r="361" spans="1:2" x14ac:dyDescent="0.35">
      <c r="A361" s="8">
        <v>4008292</v>
      </c>
      <c r="B361" s="15">
        <v>120</v>
      </c>
    </row>
    <row r="362" spans="1:2" x14ac:dyDescent="0.35">
      <c r="A362" s="8">
        <v>4008295</v>
      </c>
      <c r="B362" s="15">
        <v>15</v>
      </c>
    </row>
    <row r="363" spans="1:2" x14ac:dyDescent="0.35">
      <c r="A363" s="8">
        <v>4008327</v>
      </c>
      <c r="B363" s="15">
        <v>11</v>
      </c>
    </row>
    <row r="364" spans="1:2" x14ac:dyDescent="0.35">
      <c r="A364" s="8">
        <v>4008345</v>
      </c>
      <c r="B364" s="15">
        <v>210</v>
      </c>
    </row>
    <row r="365" spans="1:2" x14ac:dyDescent="0.35">
      <c r="A365" s="8">
        <v>4008346</v>
      </c>
      <c r="B365" s="15">
        <v>18</v>
      </c>
    </row>
    <row r="366" spans="1:2" x14ac:dyDescent="0.35">
      <c r="A366" s="8">
        <v>4008347</v>
      </c>
      <c r="B366" s="15">
        <v>40</v>
      </c>
    </row>
    <row r="367" spans="1:2" x14ac:dyDescent="0.35">
      <c r="A367" s="8">
        <v>4008354</v>
      </c>
      <c r="B367" s="15">
        <v>14</v>
      </c>
    </row>
    <row r="368" spans="1:2" x14ac:dyDescent="0.35">
      <c r="A368" s="8">
        <v>4008378</v>
      </c>
      <c r="B368" s="15">
        <v>64</v>
      </c>
    </row>
    <row r="369" spans="1:2" x14ac:dyDescent="0.35">
      <c r="A369" s="8">
        <v>4008379</v>
      </c>
      <c r="B369" s="15">
        <v>167</v>
      </c>
    </row>
    <row r="370" spans="1:2" x14ac:dyDescent="0.35">
      <c r="A370" s="8">
        <v>4008380</v>
      </c>
      <c r="B370" s="15">
        <v>576</v>
      </c>
    </row>
    <row r="371" spans="1:2" x14ac:dyDescent="0.35">
      <c r="A371" s="8">
        <v>4008388</v>
      </c>
      <c r="B371" s="15">
        <v>384</v>
      </c>
    </row>
    <row r="372" spans="1:2" x14ac:dyDescent="0.35">
      <c r="A372" s="8">
        <v>4008419</v>
      </c>
      <c r="B372" s="15">
        <v>27</v>
      </c>
    </row>
    <row r="373" spans="1:2" x14ac:dyDescent="0.35">
      <c r="A373" s="8">
        <v>4008431</v>
      </c>
      <c r="B373" s="15">
        <v>12</v>
      </c>
    </row>
    <row r="374" spans="1:2" x14ac:dyDescent="0.35">
      <c r="A374" s="8">
        <v>4008436</v>
      </c>
      <c r="B374" s="15">
        <v>388</v>
      </c>
    </row>
    <row r="375" spans="1:2" x14ac:dyDescent="0.35">
      <c r="A375" s="8">
        <v>4008438</v>
      </c>
      <c r="B375" s="15">
        <v>3012</v>
      </c>
    </row>
    <row r="376" spans="1:2" x14ac:dyDescent="0.35">
      <c r="A376" s="8">
        <v>4008439</v>
      </c>
      <c r="B376" s="15">
        <v>112</v>
      </c>
    </row>
    <row r="377" spans="1:2" x14ac:dyDescent="0.35">
      <c r="A377" s="8">
        <v>4008441</v>
      </c>
      <c r="B377" s="15">
        <v>1800</v>
      </c>
    </row>
    <row r="378" spans="1:2" x14ac:dyDescent="0.35">
      <c r="A378" s="8">
        <v>4008447</v>
      </c>
      <c r="B378" s="15">
        <v>124</v>
      </c>
    </row>
    <row r="379" spans="1:2" x14ac:dyDescent="0.35">
      <c r="A379" s="8">
        <v>4008448</v>
      </c>
      <c r="B379" s="15">
        <v>217</v>
      </c>
    </row>
    <row r="380" spans="1:2" x14ac:dyDescent="0.35">
      <c r="A380" s="8">
        <v>4008449</v>
      </c>
      <c r="B380" s="15">
        <v>20</v>
      </c>
    </row>
    <row r="381" spans="1:2" x14ac:dyDescent="0.35">
      <c r="A381" s="8">
        <v>4008451</v>
      </c>
      <c r="B381" s="15">
        <v>59</v>
      </c>
    </row>
    <row r="382" spans="1:2" x14ac:dyDescent="0.35">
      <c r="A382" s="8">
        <v>4008453</v>
      </c>
      <c r="B382" s="15">
        <v>96</v>
      </c>
    </row>
    <row r="383" spans="1:2" x14ac:dyDescent="0.35">
      <c r="A383" s="8">
        <v>4008454</v>
      </c>
      <c r="B383" s="15">
        <v>122</v>
      </c>
    </row>
    <row r="384" spans="1:2" x14ac:dyDescent="0.35">
      <c r="A384" s="8">
        <v>4008455</v>
      </c>
      <c r="B384" s="15">
        <v>64</v>
      </c>
    </row>
    <row r="385" spans="1:2" x14ac:dyDescent="0.35">
      <c r="A385" s="8">
        <v>4008456</v>
      </c>
      <c r="B385" s="15">
        <v>20</v>
      </c>
    </row>
    <row r="386" spans="1:2" x14ac:dyDescent="0.35">
      <c r="A386" s="8">
        <v>4008457</v>
      </c>
      <c r="B386" s="15">
        <v>70</v>
      </c>
    </row>
    <row r="387" spans="1:2" x14ac:dyDescent="0.35">
      <c r="A387" s="8">
        <v>4008458</v>
      </c>
      <c r="B387" s="15">
        <v>213</v>
      </c>
    </row>
    <row r="388" spans="1:2" x14ac:dyDescent="0.35">
      <c r="A388" s="8">
        <v>4008460</v>
      </c>
      <c r="B388" s="15">
        <v>32</v>
      </c>
    </row>
    <row r="389" spans="1:2" x14ac:dyDescent="0.35">
      <c r="A389" s="8">
        <v>4008461</v>
      </c>
      <c r="B389" s="15">
        <v>14</v>
      </c>
    </row>
    <row r="390" spans="1:2" x14ac:dyDescent="0.35">
      <c r="A390" s="8">
        <v>4008462</v>
      </c>
      <c r="B390" s="15">
        <v>245</v>
      </c>
    </row>
    <row r="391" spans="1:2" x14ac:dyDescent="0.35">
      <c r="A391" s="8">
        <v>4008463</v>
      </c>
      <c r="B391" s="15">
        <v>90</v>
      </c>
    </row>
    <row r="392" spans="1:2" x14ac:dyDescent="0.35">
      <c r="A392" s="8">
        <v>4008464</v>
      </c>
      <c r="B392" s="15">
        <v>40</v>
      </c>
    </row>
    <row r="393" spans="1:2" x14ac:dyDescent="0.35">
      <c r="A393" s="8">
        <v>4008465</v>
      </c>
      <c r="B393" s="15">
        <v>2024</v>
      </c>
    </row>
    <row r="394" spans="1:2" x14ac:dyDescent="0.35">
      <c r="A394" s="8">
        <v>4008471</v>
      </c>
      <c r="B394" s="15">
        <v>30</v>
      </c>
    </row>
    <row r="395" spans="1:2" x14ac:dyDescent="0.35">
      <c r="A395" s="8">
        <v>4008473</v>
      </c>
      <c r="B395" s="15">
        <v>48</v>
      </c>
    </row>
    <row r="396" spans="1:2" x14ac:dyDescent="0.35">
      <c r="A396" s="8">
        <v>4008474</v>
      </c>
      <c r="B396" s="15">
        <v>6</v>
      </c>
    </row>
    <row r="397" spans="1:2" x14ac:dyDescent="0.35">
      <c r="A397" s="8">
        <v>4008475</v>
      </c>
      <c r="B397" s="15">
        <v>15</v>
      </c>
    </row>
    <row r="398" spans="1:2" x14ac:dyDescent="0.35">
      <c r="A398" s="8">
        <v>4008476</v>
      </c>
      <c r="B398" s="15">
        <v>10</v>
      </c>
    </row>
    <row r="399" spans="1:2" x14ac:dyDescent="0.35">
      <c r="A399" s="8">
        <v>4008481</v>
      </c>
      <c r="B399" s="15">
        <v>30</v>
      </c>
    </row>
    <row r="400" spans="1:2" x14ac:dyDescent="0.35">
      <c r="A400" s="8">
        <v>4008506</v>
      </c>
      <c r="B400" s="15">
        <v>62</v>
      </c>
    </row>
    <row r="401" spans="1:2" x14ac:dyDescent="0.35">
      <c r="A401" s="8">
        <v>4008507</v>
      </c>
      <c r="B401" s="15">
        <v>76</v>
      </c>
    </row>
    <row r="402" spans="1:2" x14ac:dyDescent="0.35">
      <c r="A402" s="8">
        <v>4008508</v>
      </c>
      <c r="B402" s="15">
        <v>76</v>
      </c>
    </row>
    <row r="403" spans="1:2" x14ac:dyDescent="0.35">
      <c r="A403" s="8">
        <v>4008511</v>
      </c>
      <c r="B403" s="15">
        <v>10</v>
      </c>
    </row>
    <row r="404" spans="1:2" x14ac:dyDescent="0.35">
      <c r="A404" s="8">
        <v>4008559</v>
      </c>
      <c r="B404" s="15">
        <v>36</v>
      </c>
    </row>
    <row r="405" spans="1:2" x14ac:dyDescent="0.35">
      <c r="A405" s="8">
        <v>4008583</v>
      </c>
      <c r="B405" s="15">
        <v>18</v>
      </c>
    </row>
    <row r="406" spans="1:2" x14ac:dyDescent="0.35">
      <c r="A406" s="8">
        <v>4008589</v>
      </c>
      <c r="B406" s="15">
        <v>90</v>
      </c>
    </row>
    <row r="407" spans="1:2" x14ac:dyDescent="0.35">
      <c r="A407" s="8">
        <v>4008609</v>
      </c>
      <c r="B407" s="15">
        <v>30</v>
      </c>
    </row>
    <row r="408" spans="1:2" x14ac:dyDescent="0.35">
      <c r="A408" s="8">
        <v>4009078</v>
      </c>
      <c r="B408" s="15">
        <v>8000</v>
      </c>
    </row>
    <row r="409" spans="1:2" x14ac:dyDescent="0.35">
      <c r="A409" s="8">
        <v>4009081</v>
      </c>
      <c r="B409" s="15">
        <v>219</v>
      </c>
    </row>
    <row r="410" spans="1:2" x14ac:dyDescent="0.35">
      <c r="A410" s="8">
        <v>4009221</v>
      </c>
      <c r="B410" s="15">
        <v>140</v>
      </c>
    </row>
    <row r="411" spans="1:2" x14ac:dyDescent="0.35">
      <c r="A411" s="8">
        <v>4009223</v>
      </c>
      <c r="B411" s="15">
        <v>110</v>
      </c>
    </row>
    <row r="412" spans="1:2" x14ac:dyDescent="0.35">
      <c r="A412" s="8">
        <v>4009250</v>
      </c>
      <c r="B412" s="15">
        <v>296</v>
      </c>
    </row>
    <row r="413" spans="1:2" x14ac:dyDescent="0.35">
      <c r="A413" s="8">
        <v>4009251</v>
      </c>
      <c r="B413" s="15">
        <v>16</v>
      </c>
    </row>
    <row r="414" spans="1:2" x14ac:dyDescent="0.35">
      <c r="A414" s="8">
        <v>4009254</v>
      </c>
      <c r="B414" s="15">
        <v>135</v>
      </c>
    </row>
    <row r="415" spans="1:2" x14ac:dyDescent="0.35">
      <c r="A415" s="8">
        <v>4009256</v>
      </c>
      <c r="B415" s="15">
        <v>672</v>
      </c>
    </row>
    <row r="416" spans="1:2" x14ac:dyDescent="0.35">
      <c r="A416" s="8">
        <v>4009257</v>
      </c>
      <c r="B416" s="15">
        <v>640</v>
      </c>
    </row>
    <row r="417" spans="1:2" x14ac:dyDescent="0.35">
      <c r="A417" s="8">
        <v>4009261</v>
      </c>
      <c r="B417" s="15">
        <v>288</v>
      </c>
    </row>
    <row r="418" spans="1:2" x14ac:dyDescent="0.35">
      <c r="A418" s="8">
        <v>4009476</v>
      </c>
      <c r="B418" s="15">
        <v>397.5</v>
      </c>
    </row>
    <row r="419" spans="1:2" x14ac:dyDescent="0.35">
      <c r="A419" s="8">
        <v>4009745</v>
      </c>
      <c r="B419" s="15">
        <v>200</v>
      </c>
    </row>
    <row r="420" spans="1:2" x14ac:dyDescent="0.35">
      <c r="A420" s="8">
        <v>4009895</v>
      </c>
      <c r="B420" s="15">
        <v>10</v>
      </c>
    </row>
    <row r="421" spans="1:2" x14ac:dyDescent="0.35">
      <c r="A421" s="8">
        <v>4009896</v>
      </c>
      <c r="B421" s="15">
        <v>4</v>
      </c>
    </row>
    <row r="422" spans="1:2" x14ac:dyDescent="0.35">
      <c r="A422" s="8">
        <v>4009898</v>
      </c>
      <c r="B422" s="15">
        <v>40</v>
      </c>
    </row>
    <row r="423" spans="1:2" x14ac:dyDescent="0.35">
      <c r="A423" s="8">
        <v>4009899</v>
      </c>
      <c r="B423" s="15">
        <v>160</v>
      </c>
    </row>
    <row r="424" spans="1:2" x14ac:dyDescent="0.35">
      <c r="A424" s="8">
        <v>4009909</v>
      </c>
      <c r="B424" s="15">
        <v>232</v>
      </c>
    </row>
    <row r="425" spans="1:2" x14ac:dyDescent="0.35">
      <c r="A425" s="8">
        <v>4009910</v>
      </c>
      <c r="B425" s="15">
        <v>70</v>
      </c>
    </row>
    <row r="426" spans="1:2" x14ac:dyDescent="0.35">
      <c r="A426" s="8">
        <v>4009911</v>
      </c>
      <c r="B426" s="15">
        <v>56</v>
      </c>
    </row>
    <row r="427" spans="1:2" x14ac:dyDescent="0.35">
      <c r="A427" s="8">
        <v>4009912</v>
      </c>
      <c r="B427" s="15">
        <v>74</v>
      </c>
    </row>
    <row r="428" spans="1:2" x14ac:dyDescent="0.35">
      <c r="A428" s="8">
        <v>4009913</v>
      </c>
      <c r="B428" s="15">
        <v>76</v>
      </c>
    </row>
    <row r="429" spans="1:2" x14ac:dyDescent="0.35">
      <c r="A429" s="8">
        <v>4015482</v>
      </c>
      <c r="B429" s="15">
        <v>152</v>
      </c>
    </row>
    <row r="430" spans="1:2" x14ac:dyDescent="0.35">
      <c r="A430" s="8">
        <v>4015483</v>
      </c>
      <c r="B430" s="15">
        <v>64</v>
      </c>
    </row>
    <row r="431" spans="1:2" x14ac:dyDescent="0.35">
      <c r="A431" s="8">
        <v>4030760</v>
      </c>
      <c r="B431" s="15">
        <v>6</v>
      </c>
    </row>
    <row r="432" spans="1:2" x14ac:dyDescent="0.35">
      <c r="A432" s="8">
        <v>4032343</v>
      </c>
      <c r="B432" s="15">
        <v>78</v>
      </c>
    </row>
    <row r="433" spans="1:2" x14ac:dyDescent="0.35">
      <c r="A433" s="8">
        <v>4032344</v>
      </c>
      <c r="B433" s="15">
        <v>22</v>
      </c>
    </row>
    <row r="434" spans="1:2" x14ac:dyDescent="0.35">
      <c r="A434" s="8">
        <v>4033645</v>
      </c>
      <c r="B434" s="15">
        <v>50</v>
      </c>
    </row>
    <row r="435" spans="1:2" x14ac:dyDescent="0.35">
      <c r="A435" s="8">
        <v>4033646</v>
      </c>
      <c r="B435" s="15">
        <v>120</v>
      </c>
    </row>
    <row r="436" spans="1:2" x14ac:dyDescent="0.35">
      <c r="A436" s="8">
        <v>4033674</v>
      </c>
      <c r="B436" s="15">
        <v>468</v>
      </c>
    </row>
    <row r="437" spans="1:2" x14ac:dyDescent="0.35">
      <c r="A437" s="8">
        <v>4033704</v>
      </c>
      <c r="B437" s="15">
        <v>30.75</v>
      </c>
    </row>
    <row r="438" spans="1:2" x14ac:dyDescent="0.35">
      <c r="A438" s="8">
        <v>4033706</v>
      </c>
      <c r="B438" s="15">
        <v>102</v>
      </c>
    </row>
    <row r="439" spans="1:2" x14ac:dyDescent="0.35">
      <c r="A439" s="8">
        <v>4035929</v>
      </c>
      <c r="B439" s="15">
        <v>42</v>
      </c>
    </row>
    <row r="440" spans="1:2" x14ac:dyDescent="0.35">
      <c r="A440" s="8">
        <v>4035930</v>
      </c>
      <c r="B440" s="15">
        <v>153</v>
      </c>
    </row>
    <row r="441" spans="1:2" x14ac:dyDescent="0.35">
      <c r="A441" s="8">
        <v>4035931</v>
      </c>
      <c r="B441" s="15">
        <v>114</v>
      </c>
    </row>
    <row r="442" spans="1:2" x14ac:dyDescent="0.35">
      <c r="A442" s="8">
        <v>4035935</v>
      </c>
      <c r="B442" s="15">
        <v>20</v>
      </c>
    </row>
    <row r="443" spans="1:2" x14ac:dyDescent="0.35">
      <c r="A443" s="8">
        <v>4035953</v>
      </c>
      <c r="B443" s="15">
        <v>140</v>
      </c>
    </row>
    <row r="444" spans="1:2" x14ac:dyDescent="0.35">
      <c r="A444" s="8">
        <v>4035954</v>
      </c>
      <c r="B444" s="15">
        <v>1908</v>
      </c>
    </row>
    <row r="445" spans="1:2" x14ac:dyDescent="0.35">
      <c r="A445" s="8">
        <v>4035956</v>
      </c>
      <c r="B445" s="15">
        <v>636</v>
      </c>
    </row>
    <row r="446" spans="1:2" x14ac:dyDescent="0.35">
      <c r="A446" s="8">
        <v>4035957</v>
      </c>
      <c r="B446" s="15">
        <v>984</v>
      </c>
    </row>
    <row r="447" spans="1:2" x14ac:dyDescent="0.35">
      <c r="A447" s="8">
        <v>4035958</v>
      </c>
      <c r="B447" s="15">
        <v>180</v>
      </c>
    </row>
    <row r="448" spans="1:2" x14ac:dyDescent="0.35">
      <c r="A448" s="8">
        <v>4035959</v>
      </c>
      <c r="B448" s="15">
        <v>345</v>
      </c>
    </row>
    <row r="449" spans="1:2" x14ac:dyDescent="0.35">
      <c r="A449" s="8">
        <v>4035960</v>
      </c>
      <c r="B449" s="15">
        <v>92</v>
      </c>
    </row>
    <row r="450" spans="1:2" x14ac:dyDescent="0.35">
      <c r="A450" s="8">
        <v>4035963</v>
      </c>
      <c r="B450" s="15">
        <v>224</v>
      </c>
    </row>
    <row r="451" spans="1:2" x14ac:dyDescent="0.35">
      <c r="A451" s="8">
        <v>4035971</v>
      </c>
      <c r="B451" s="15">
        <v>921</v>
      </c>
    </row>
    <row r="452" spans="1:2" x14ac:dyDescent="0.35">
      <c r="A452" s="8">
        <v>4035972</v>
      </c>
      <c r="B452" s="15">
        <v>396</v>
      </c>
    </row>
    <row r="453" spans="1:2" x14ac:dyDescent="0.35">
      <c r="A453" s="8">
        <v>4035973</v>
      </c>
      <c r="B453" s="15">
        <v>2957</v>
      </c>
    </row>
    <row r="454" spans="1:2" x14ac:dyDescent="0.35">
      <c r="A454" s="8">
        <v>4035974</v>
      </c>
      <c r="B454" s="15">
        <v>383</v>
      </c>
    </row>
    <row r="455" spans="1:2" x14ac:dyDescent="0.35">
      <c r="A455" s="8">
        <v>4036481</v>
      </c>
      <c r="B455" s="15">
        <v>673</v>
      </c>
    </row>
    <row r="456" spans="1:2" x14ac:dyDescent="0.35">
      <c r="A456" s="8">
        <v>4036668</v>
      </c>
      <c r="B456" s="15">
        <v>24</v>
      </c>
    </row>
    <row r="457" spans="1:2" x14ac:dyDescent="0.35">
      <c r="A457" s="8">
        <v>4036669</v>
      </c>
      <c r="B457" s="15">
        <v>145</v>
      </c>
    </row>
    <row r="458" spans="1:2" x14ac:dyDescent="0.35">
      <c r="A458" s="8">
        <v>4036670</v>
      </c>
      <c r="B458" s="15">
        <v>10</v>
      </c>
    </row>
    <row r="459" spans="1:2" x14ac:dyDescent="0.35">
      <c r="A459" s="8">
        <v>4036671</v>
      </c>
      <c r="B459" s="15">
        <v>104</v>
      </c>
    </row>
    <row r="460" spans="1:2" x14ac:dyDescent="0.35">
      <c r="A460" s="8">
        <v>4036672</v>
      </c>
      <c r="B460" s="15">
        <v>28</v>
      </c>
    </row>
    <row r="461" spans="1:2" x14ac:dyDescent="0.35">
      <c r="A461" s="8">
        <v>4036673</v>
      </c>
      <c r="B461" s="15">
        <v>18</v>
      </c>
    </row>
    <row r="462" spans="1:2" x14ac:dyDescent="0.35">
      <c r="A462" s="8">
        <v>4036674</v>
      </c>
      <c r="B462" s="15">
        <v>200</v>
      </c>
    </row>
    <row r="463" spans="1:2" x14ac:dyDescent="0.35">
      <c r="A463" s="8">
        <v>4036675</v>
      </c>
      <c r="B463" s="15">
        <v>176</v>
      </c>
    </row>
    <row r="464" spans="1:2" x14ac:dyDescent="0.35">
      <c r="A464" s="8">
        <v>4036677</v>
      </c>
      <c r="B464" s="15">
        <v>144</v>
      </c>
    </row>
    <row r="465" spans="1:2" x14ac:dyDescent="0.35">
      <c r="A465" s="8">
        <v>4036744</v>
      </c>
      <c r="B465" s="15">
        <v>163.4</v>
      </c>
    </row>
    <row r="466" spans="1:2" x14ac:dyDescent="0.35">
      <c r="A466" s="8">
        <v>4036755</v>
      </c>
      <c r="B466" s="15">
        <v>55</v>
      </c>
    </row>
    <row r="467" spans="1:2" x14ac:dyDescent="0.35">
      <c r="A467" s="8">
        <v>4036757</v>
      </c>
      <c r="B467" s="15">
        <v>60</v>
      </c>
    </row>
    <row r="468" spans="1:2" x14ac:dyDescent="0.35">
      <c r="A468" s="8">
        <v>4036758</v>
      </c>
      <c r="B468" s="15">
        <v>38</v>
      </c>
    </row>
    <row r="469" spans="1:2" x14ac:dyDescent="0.35">
      <c r="A469" s="8">
        <v>4036771</v>
      </c>
      <c r="B469" s="15">
        <v>18</v>
      </c>
    </row>
    <row r="470" spans="1:2" x14ac:dyDescent="0.35">
      <c r="A470" s="8">
        <v>4036772</v>
      </c>
      <c r="B470" s="15">
        <v>174</v>
      </c>
    </row>
    <row r="471" spans="1:2" x14ac:dyDescent="0.35">
      <c r="A471" s="8">
        <v>4036777</v>
      </c>
      <c r="B471" s="15">
        <v>76</v>
      </c>
    </row>
    <row r="472" spans="1:2" x14ac:dyDescent="0.35">
      <c r="A472" s="8">
        <v>4036778</v>
      </c>
      <c r="B472" s="15">
        <v>211</v>
      </c>
    </row>
    <row r="473" spans="1:2" x14ac:dyDescent="0.35">
      <c r="A473" s="8">
        <v>4036779</v>
      </c>
      <c r="B473" s="15">
        <v>26</v>
      </c>
    </row>
    <row r="474" spans="1:2" x14ac:dyDescent="0.35">
      <c r="A474" s="8">
        <v>4036780</v>
      </c>
      <c r="B474" s="15">
        <v>276</v>
      </c>
    </row>
    <row r="475" spans="1:2" x14ac:dyDescent="0.35">
      <c r="A475" s="8">
        <v>4038552</v>
      </c>
      <c r="B475" s="15">
        <v>60</v>
      </c>
    </row>
    <row r="476" spans="1:2" x14ac:dyDescent="0.35">
      <c r="A476" s="8">
        <v>4038553</v>
      </c>
      <c r="B476" s="15">
        <v>45</v>
      </c>
    </row>
    <row r="477" spans="1:2" x14ac:dyDescent="0.35">
      <c r="A477" s="8">
        <v>4038555</v>
      </c>
      <c r="B477" s="15">
        <v>33</v>
      </c>
    </row>
    <row r="478" spans="1:2" x14ac:dyDescent="0.35">
      <c r="A478" s="8">
        <v>4038558</v>
      </c>
      <c r="B478" s="15">
        <v>1050</v>
      </c>
    </row>
    <row r="479" spans="1:2" x14ac:dyDescent="0.35">
      <c r="A479" s="8">
        <v>4038559</v>
      </c>
      <c r="B479" s="15">
        <v>36</v>
      </c>
    </row>
    <row r="480" spans="1:2" x14ac:dyDescent="0.35">
      <c r="A480" s="8">
        <v>4038560</v>
      </c>
      <c r="B480" s="15">
        <v>200</v>
      </c>
    </row>
    <row r="481" spans="1:2" x14ac:dyDescent="0.35">
      <c r="A481" s="8">
        <v>4038564</v>
      </c>
      <c r="B481" s="15">
        <v>72</v>
      </c>
    </row>
    <row r="482" spans="1:2" x14ac:dyDescent="0.35">
      <c r="A482" s="8">
        <v>4038567</v>
      </c>
      <c r="B482" s="15">
        <v>24</v>
      </c>
    </row>
    <row r="483" spans="1:2" x14ac:dyDescent="0.35">
      <c r="A483" s="8">
        <v>4038571</v>
      </c>
      <c r="B483" s="15">
        <v>80</v>
      </c>
    </row>
    <row r="484" spans="1:2" x14ac:dyDescent="0.35">
      <c r="A484" s="8">
        <v>4038574</v>
      </c>
      <c r="B484" s="15">
        <v>42</v>
      </c>
    </row>
    <row r="485" spans="1:2" x14ac:dyDescent="0.35">
      <c r="A485" s="8">
        <v>4038582</v>
      </c>
      <c r="B485" s="15">
        <v>52</v>
      </c>
    </row>
    <row r="486" spans="1:2" x14ac:dyDescent="0.35">
      <c r="A486" s="8">
        <v>4038586</v>
      </c>
      <c r="B486" s="15">
        <v>45</v>
      </c>
    </row>
    <row r="487" spans="1:2" x14ac:dyDescent="0.35">
      <c r="A487" s="8">
        <v>4038643</v>
      </c>
      <c r="B487" s="15">
        <v>3</v>
      </c>
    </row>
    <row r="488" spans="1:2" x14ac:dyDescent="0.35">
      <c r="A488" s="8">
        <v>4038735</v>
      </c>
      <c r="B488" s="15">
        <v>21</v>
      </c>
    </row>
    <row r="489" spans="1:2" x14ac:dyDescent="0.35">
      <c r="A489" s="8">
        <v>4038736</v>
      </c>
      <c r="B489" s="15">
        <v>16</v>
      </c>
    </row>
    <row r="490" spans="1:2" x14ac:dyDescent="0.35">
      <c r="A490" s="8">
        <v>4038737</v>
      </c>
      <c r="B490" s="15">
        <v>12</v>
      </c>
    </row>
    <row r="491" spans="1:2" x14ac:dyDescent="0.35">
      <c r="A491" s="8">
        <v>4038742</v>
      </c>
      <c r="B491" s="15">
        <v>48</v>
      </c>
    </row>
    <row r="492" spans="1:2" x14ac:dyDescent="0.35">
      <c r="A492" s="8">
        <v>4038743</v>
      </c>
      <c r="B492" s="15">
        <v>36</v>
      </c>
    </row>
    <row r="493" spans="1:2" x14ac:dyDescent="0.35">
      <c r="A493" s="8">
        <v>4043184</v>
      </c>
      <c r="B493" s="15">
        <v>72</v>
      </c>
    </row>
    <row r="494" spans="1:2" x14ac:dyDescent="0.35">
      <c r="A494" s="8">
        <v>4044449</v>
      </c>
      <c r="B494" s="15">
        <v>150</v>
      </c>
    </row>
    <row r="495" spans="1:2" x14ac:dyDescent="0.35">
      <c r="A495" s="8">
        <v>4044453</v>
      </c>
      <c r="B495" s="15">
        <v>10</v>
      </c>
    </row>
    <row r="496" spans="1:2" x14ac:dyDescent="0.35">
      <c r="A496" s="8">
        <v>4044460</v>
      </c>
      <c r="B496" s="15">
        <v>8</v>
      </c>
    </row>
    <row r="497" spans="1:2" x14ac:dyDescent="0.35">
      <c r="A497" s="8">
        <v>4044461</v>
      </c>
      <c r="B497" s="15">
        <v>36</v>
      </c>
    </row>
    <row r="498" spans="1:2" x14ac:dyDescent="0.35">
      <c r="A498" s="8">
        <v>4044462</v>
      </c>
      <c r="B498" s="15">
        <v>33</v>
      </c>
    </row>
    <row r="499" spans="1:2" x14ac:dyDescent="0.35">
      <c r="A499" s="8">
        <v>4044466</v>
      </c>
      <c r="B499" s="15">
        <v>180</v>
      </c>
    </row>
    <row r="500" spans="1:2" x14ac:dyDescent="0.35">
      <c r="A500" s="8">
        <v>4044863</v>
      </c>
      <c r="B500" s="15">
        <v>40</v>
      </c>
    </row>
    <row r="501" spans="1:2" x14ac:dyDescent="0.35">
      <c r="A501" s="8">
        <v>4044864</v>
      </c>
      <c r="B501" s="15">
        <v>50</v>
      </c>
    </row>
    <row r="502" spans="1:2" x14ac:dyDescent="0.35">
      <c r="A502" s="8">
        <v>4045014</v>
      </c>
      <c r="B502" s="15">
        <v>15</v>
      </c>
    </row>
    <row r="503" spans="1:2" x14ac:dyDescent="0.35">
      <c r="A503" s="8">
        <v>4045015</v>
      </c>
      <c r="B503" s="15">
        <v>2</v>
      </c>
    </row>
    <row r="504" spans="1:2" x14ac:dyDescent="0.35">
      <c r="A504" s="8">
        <v>4045018</v>
      </c>
      <c r="B504" s="15">
        <v>2</v>
      </c>
    </row>
    <row r="505" spans="1:2" x14ac:dyDescent="0.35">
      <c r="A505" s="8">
        <v>4045020</v>
      </c>
      <c r="B505" s="15">
        <v>26</v>
      </c>
    </row>
    <row r="506" spans="1:2" x14ac:dyDescent="0.35">
      <c r="A506" s="8">
        <v>4045021</v>
      </c>
      <c r="B506" s="15">
        <v>10</v>
      </c>
    </row>
    <row r="507" spans="1:2" x14ac:dyDescent="0.35">
      <c r="A507" s="8">
        <v>4045024</v>
      </c>
      <c r="B507" s="15">
        <v>5</v>
      </c>
    </row>
    <row r="508" spans="1:2" x14ac:dyDescent="0.35">
      <c r="A508" s="8">
        <v>4045025</v>
      </c>
      <c r="B508" s="15">
        <v>42</v>
      </c>
    </row>
    <row r="509" spans="1:2" x14ac:dyDescent="0.35">
      <c r="A509" s="8">
        <v>4045026</v>
      </c>
      <c r="B509" s="15">
        <v>130</v>
      </c>
    </row>
    <row r="510" spans="1:2" x14ac:dyDescent="0.35">
      <c r="A510" s="8">
        <v>4045027</v>
      </c>
      <c r="B510" s="15">
        <v>4</v>
      </c>
    </row>
    <row r="511" spans="1:2" x14ac:dyDescent="0.35">
      <c r="A511" s="8">
        <v>4045028</v>
      </c>
      <c r="B511" s="15">
        <v>20</v>
      </c>
    </row>
    <row r="512" spans="1:2" x14ac:dyDescent="0.35">
      <c r="A512" s="8">
        <v>4045029</v>
      </c>
      <c r="B512" s="15">
        <v>12</v>
      </c>
    </row>
    <row r="513" spans="1:2" x14ac:dyDescent="0.35">
      <c r="A513" s="8">
        <v>4045030</v>
      </c>
      <c r="B513" s="15">
        <v>6</v>
      </c>
    </row>
    <row r="514" spans="1:2" x14ac:dyDescent="0.35">
      <c r="A514" s="8">
        <v>4045032</v>
      </c>
      <c r="B514" s="15">
        <v>2</v>
      </c>
    </row>
    <row r="515" spans="1:2" x14ac:dyDescent="0.35">
      <c r="A515" s="8">
        <v>4045033</v>
      </c>
      <c r="B515" s="15">
        <v>34</v>
      </c>
    </row>
    <row r="516" spans="1:2" x14ac:dyDescent="0.35">
      <c r="A516" s="8">
        <v>4045034</v>
      </c>
      <c r="B516" s="15">
        <v>22</v>
      </c>
    </row>
    <row r="517" spans="1:2" x14ac:dyDescent="0.35">
      <c r="A517" s="8">
        <v>4045035</v>
      </c>
      <c r="B517" s="15">
        <v>24</v>
      </c>
    </row>
    <row r="518" spans="1:2" x14ac:dyDescent="0.35">
      <c r="A518" s="8">
        <v>4045037</v>
      </c>
      <c r="B518" s="15">
        <v>24</v>
      </c>
    </row>
    <row r="519" spans="1:2" x14ac:dyDescent="0.35">
      <c r="A519" s="8">
        <v>4045038</v>
      </c>
      <c r="B519" s="15">
        <v>29</v>
      </c>
    </row>
    <row r="520" spans="1:2" x14ac:dyDescent="0.35">
      <c r="A520" s="8">
        <v>4045039</v>
      </c>
      <c r="B520" s="15">
        <v>12</v>
      </c>
    </row>
    <row r="521" spans="1:2" x14ac:dyDescent="0.35">
      <c r="A521" s="8">
        <v>4045042</v>
      </c>
      <c r="B521" s="15">
        <v>6</v>
      </c>
    </row>
    <row r="522" spans="1:2" x14ac:dyDescent="0.35">
      <c r="A522" s="8">
        <v>4045055</v>
      </c>
      <c r="B522" s="15">
        <v>2</v>
      </c>
    </row>
    <row r="523" spans="1:2" x14ac:dyDescent="0.35">
      <c r="A523" s="8">
        <v>4045056</v>
      </c>
      <c r="B523" s="15">
        <v>2</v>
      </c>
    </row>
    <row r="524" spans="1:2" x14ac:dyDescent="0.35">
      <c r="A524" s="8">
        <v>4045057</v>
      </c>
      <c r="B524" s="15">
        <v>2</v>
      </c>
    </row>
    <row r="525" spans="1:2" x14ac:dyDescent="0.35">
      <c r="A525" s="8">
        <v>4045068</v>
      </c>
      <c r="B525" s="15">
        <v>55</v>
      </c>
    </row>
    <row r="526" spans="1:2" x14ac:dyDescent="0.35">
      <c r="A526" s="8">
        <v>4045081</v>
      </c>
      <c r="B526" s="15">
        <v>80</v>
      </c>
    </row>
    <row r="527" spans="1:2" x14ac:dyDescent="0.35">
      <c r="A527" s="8">
        <v>4045333</v>
      </c>
      <c r="B527" s="15">
        <v>50</v>
      </c>
    </row>
    <row r="528" spans="1:2" x14ac:dyDescent="0.35">
      <c r="A528" s="8">
        <v>4045334</v>
      </c>
      <c r="B528" s="15">
        <v>40</v>
      </c>
    </row>
    <row r="529" spans="1:2" x14ac:dyDescent="0.35">
      <c r="A529" s="8">
        <v>4045335</v>
      </c>
      <c r="B529" s="15">
        <v>30</v>
      </c>
    </row>
    <row r="530" spans="1:2" x14ac:dyDescent="0.35">
      <c r="A530" s="8">
        <v>4045337</v>
      </c>
      <c r="B530" s="15">
        <v>8</v>
      </c>
    </row>
    <row r="531" spans="1:2" x14ac:dyDescent="0.35">
      <c r="A531" s="8">
        <v>4045338</v>
      </c>
      <c r="B531" s="15">
        <v>10</v>
      </c>
    </row>
    <row r="532" spans="1:2" x14ac:dyDescent="0.35">
      <c r="A532" s="8">
        <v>4045339</v>
      </c>
      <c r="B532" s="15">
        <v>10</v>
      </c>
    </row>
    <row r="533" spans="1:2" x14ac:dyDescent="0.35">
      <c r="A533" s="8">
        <v>4045370</v>
      </c>
      <c r="B533" s="15">
        <v>14</v>
      </c>
    </row>
    <row r="534" spans="1:2" x14ac:dyDescent="0.35">
      <c r="A534" s="8">
        <v>4045373</v>
      </c>
      <c r="B534" s="15">
        <v>30</v>
      </c>
    </row>
    <row r="535" spans="1:2" x14ac:dyDescent="0.35">
      <c r="A535" s="8">
        <v>4046090</v>
      </c>
      <c r="B535" s="15">
        <v>2</v>
      </c>
    </row>
    <row r="536" spans="1:2" x14ac:dyDescent="0.35">
      <c r="A536" s="8">
        <v>4046091</v>
      </c>
      <c r="B536" s="15">
        <v>2</v>
      </c>
    </row>
    <row r="537" spans="1:2" x14ac:dyDescent="0.35">
      <c r="A537" s="8">
        <v>4046092</v>
      </c>
      <c r="B537" s="15">
        <v>1</v>
      </c>
    </row>
    <row r="538" spans="1:2" x14ac:dyDescent="0.35">
      <c r="A538" s="8">
        <v>4046094</v>
      </c>
      <c r="B538" s="15">
        <v>20</v>
      </c>
    </row>
    <row r="539" spans="1:2" x14ac:dyDescent="0.35">
      <c r="A539" s="8">
        <v>4048468</v>
      </c>
      <c r="B539" s="15">
        <v>24</v>
      </c>
    </row>
  </sheetData>
  <autoFilter ref="A10:B10" xr:uid="{92BE371B-C4DA-4549-9A19-504DF34CE84E}"/>
  <mergeCells count="1">
    <mergeCell ref="A1:B1"/>
  </mergeCells>
  <conditionalFormatting sqref="A11:B539">
    <cfRule type="expression" dxfId="5" priority="1">
      <formula>MOD(ROW(),2)=1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0188-4926-42CE-81F8-363D98FA554D}">
  <dimension ref="A1:C62"/>
  <sheetViews>
    <sheetView showGridLines="0" workbookViewId="0">
      <pane ySplit="10" topLeftCell="A11" activePane="bottomLeft" state="frozen"/>
      <selection pane="bottomLeft" activeCell="E6" sqref="E6"/>
    </sheetView>
  </sheetViews>
  <sheetFormatPr baseColWidth="10" defaultColWidth="11.54296875" defaultRowHeight="14.5" x14ac:dyDescent="0.35"/>
  <cols>
    <col min="1" max="1" width="28" style="1" bestFit="1" customWidth="1"/>
    <col min="2" max="2" width="17.36328125" style="1" bestFit="1" customWidth="1"/>
    <col min="3" max="3" width="18.08984375" style="1" bestFit="1" customWidth="1"/>
    <col min="4" max="16384" width="11.54296875" style="1"/>
  </cols>
  <sheetData>
    <row r="1" spans="1:3" ht="15.65" customHeight="1" x14ac:dyDescent="0.45">
      <c r="A1" s="82" t="s">
        <v>3394</v>
      </c>
      <c r="B1" s="82"/>
      <c r="C1" s="82"/>
    </row>
    <row r="2" spans="1:3" s="46" customFormat="1" ht="16" x14ac:dyDescent="0.35">
      <c r="A2" s="47"/>
      <c r="B2" s="47"/>
    </row>
    <row r="3" spans="1:3" x14ac:dyDescent="0.35">
      <c r="A3" s="29" t="s">
        <v>3245</v>
      </c>
      <c r="B3" s="32">
        <v>52</v>
      </c>
      <c r="C3"/>
    </row>
    <row r="4" spans="1:3" x14ac:dyDescent="0.35">
      <c r="A4" s="30" t="s">
        <v>3246</v>
      </c>
      <c r="B4" s="40">
        <v>3.5</v>
      </c>
      <c r="C4"/>
    </row>
    <row r="5" spans="1:3" x14ac:dyDescent="0.35">
      <c r="A5" s="30" t="s">
        <v>3247</v>
      </c>
      <c r="B5" s="33">
        <v>0</v>
      </c>
      <c r="C5"/>
    </row>
    <row r="6" spans="1:3" x14ac:dyDescent="0.35">
      <c r="A6" s="30" t="s">
        <v>3248</v>
      </c>
      <c r="B6" s="33">
        <v>5</v>
      </c>
      <c r="C6"/>
    </row>
    <row r="7" spans="1:3" x14ac:dyDescent="0.35">
      <c r="A7" s="30" t="s">
        <v>3392</v>
      </c>
      <c r="B7" s="33">
        <f>COUNTIF(C11:C62,"&gt;1")</f>
        <v>6</v>
      </c>
      <c r="C7"/>
    </row>
    <row r="8" spans="1:3" x14ac:dyDescent="0.35">
      <c r="A8" s="31" t="s">
        <v>3393</v>
      </c>
      <c r="B8" s="41">
        <f>COUNTIF(B11:B62,"&gt;3")/COUNTA(B11:B62)</f>
        <v>0.32692307692307693</v>
      </c>
      <c r="C8"/>
    </row>
    <row r="10" spans="1:3" ht="15" thickBot="1" x14ac:dyDescent="0.4">
      <c r="A10" s="42" t="s">
        <v>1185</v>
      </c>
      <c r="B10" s="42" t="s">
        <v>3249</v>
      </c>
      <c r="C10" s="42" t="s">
        <v>3250</v>
      </c>
    </row>
    <row r="11" spans="1:3" x14ac:dyDescent="0.35">
      <c r="A11" s="1">
        <v>4000090</v>
      </c>
      <c r="B11" s="9">
        <v>5</v>
      </c>
      <c r="C11" s="4">
        <v>1</v>
      </c>
    </row>
    <row r="12" spans="1:3" x14ac:dyDescent="0.35">
      <c r="A12" s="1">
        <v>4000286</v>
      </c>
      <c r="B12" s="9">
        <v>3</v>
      </c>
      <c r="C12" s="4">
        <v>1</v>
      </c>
    </row>
    <row r="13" spans="1:3" x14ac:dyDescent="0.35">
      <c r="A13" s="1">
        <v>4000287</v>
      </c>
      <c r="B13" s="9">
        <v>3</v>
      </c>
      <c r="C13" s="4">
        <v>1</v>
      </c>
    </row>
    <row r="14" spans="1:3" x14ac:dyDescent="0.35">
      <c r="A14" s="1">
        <v>4000288</v>
      </c>
      <c r="B14" s="9">
        <v>3</v>
      </c>
      <c r="C14" s="4">
        <v>1</v>
      </c>
    </row>
    <row r="15" spans="1:3" x14ac:dyDescent="0.35">
      <c r="A15" s="1">
        <v>4000835</v>
      </c>
      <c r="B15" s="9">
        <v>3</v>
      </c>
      <c r="C15" s="4">
        <v>1</v>
      </c>
    </row>
    <row r="16" spans="1:3" x14ac:dyDescent="0.35">
      <c r="A16" s="1">
        <v>4000989</v>
      </c>
      <c r="B16" s="9">
        <v>5</v>
      </c>
      <c r="C16" s="4">
        <v>1</v>
      </c>
    </row>
    <row r="17" spans="1:3" x14ac:dyDescent="0.35">
      <c r="A17" s="1">
        <v>4001331</v>
      </c>
      <c r="B17" s="9">
        <v>5</v>
      </c>
      <c r="C17" s="4">
        <v>1</v>
      </c>
    </row>
    <row r="18" spans="1:3" x14ac:dyDescent="0.35">
      <c r="A18" s="1">
        <v>4001523</v>
      </c>
      <c r="B18" s="9">
        <v>3</v>
      </c>
      <c r="C18" s="4">
        <v>1</v>
      </c>
    </row>
    <row r="19" spans="1:3" x14ac:dyDescent="0.35">
      <c r="A19" s="1">
        <v>4001524</v>
      </c>
      <c r="B19" s="9">
        <v>0</v>
      </c>
      <c r="C19" s="4">
        <v>1</v>
      </c>
    </row>
    <row r="20" spans="1:3" x14ac:dyDescent="0.35">
      <c r="A20" s="1">
        <v>4002495</v>
      </c>
      <c r="B20" s="9">
        <v>3</v>
      </c>
      <c r="C20" s="4">
        <v>1</v>
      </c>
    </row>
    <row r="21" spans="1:3" x14ac:dyDescent="0.35">
      <c r="A21" s="1">
        <v>4002667</v>
      </c>
      <c r="B21" s="9">
        <v>3</v>
      </c>
      <c r="C21" s="4">
        <v>1</v>
      </c>
    </row>
    <row r="22" spans="1:3" x14ac:dyDescent="0.35">
      <c r="A22" s="1">
        <v>4002679</v>
      </c>
      <c r="B22" s="9">
        <v>3</v>
      </c>
      <c r="C22" s="4">
        <v>1</v>
      </c>
    </row>
    <row r="23" spans="1:3" x14ac:dyDescent="0.35">
      <c r="A23" s="1">
        <v>4003273</v>
      </c>
      <c r="B23" s="9">
        <v>5</v>
      </c>
      <c r="C23" s="4">
        <v>1</v>
      </c>
    </row>
    <row r="24" spans="1:3" x14ac:dyDescent="0.35">
      <c r="A24" s="1">
        <v>4003844</v>
      </c>
      <c r="B24" s="9">
        <v>3</v>
      </c>
      <c r="C24" s="4">
        <v>1</v>
      </c>
    </row>
    <row r="25" spans="1:3" x14ac:dyDescent="0.35">
      <c r="A25" s="1">
        <v>4004070</v>
      </c>
      <c r="B25" s="9">
        <v>5</v>
      </c>
      <c r="C25" s="4">
        <v>1</v>
      </c>
    </row>
    <row r="26" spans="1:3" x14ac:dyDescent="0.35">
      <c r="A26" s="1">
        <v>4004150</v>
      </c>
      <c r="B26" s="9">
        <v>3</v>
      </c>
      <c r="C26" s="4">
        <v>1</v>
      </c>
    </row>
    <row r="27" spans="1:3" x14ac:dyDescent="0.35">
      <c r="A27" s="1">
        <v>4004843</v>
      </c>
      <c r="B27" s="9">
        <v>3</v>
      </c>
      <c r="C27" s="4">
        <v>1</v>
      </c>
    </row>
    <row r="28" spans="1:3" x14ac:dyDescent="0.35">
      <c r="A28" s="1">
        <v>4004969</v>
      </c>
      <c r="B28" s="9">
        <v>3</v>
      </c>
      <c r="C28" s="4">
        <v>1</v>
      </c>
    </row>
    <row r="29" spans="1:3" x14ac:dyDescent="0.35">
      <c r="A29" s="1">
        <v>4006417</v>
      </c>
      <c r="B29" s="9">
        <v>3</v>
      </c>
      <c r="C29" s="4">
        <v>1</v>
      </c>
    </row>
    <row r="30" spans="1:3" x14ac:dyDescent="0.35">
      <c r="A30" s="1">
        <v>4006497</v>
      </c>
      <c r="B30" s="9">
        <v>4</v>
      </c>
      <c r="C30" s="4">
        <v>1</v>
      </c>
    </row>
    <row r="31" spans="1:3" x14ac:dyDescent="0.35">
      <c r="A31" s="1">
        <v>4006501</v>
      </c>
      <c r="B31" s="9">
        <v>3</v>
      </c>
      <c r="C31" s="4">
        <v>1</v>
      </c>
    </row>
    <row r="32" spans="1:3" x14ac:dyDescent="0.35">
      <c r="A32" s="1">
        <v>4006560</v>
      </c>
      <c r="B32" s="9">
        <v>5</v>
      </c>
      <c r="C32" s="4">
        <v>1</v>
      </c>
    </row>
    <row r="33" spans="1:3" x14ac:dyDescent="0.35">
      <c r="A33" s="1">
        <v>4006561</v>
      </c>
      <c r="B33" s="9">
        <v>5</v>
      </c>
      <c r="C33" s="4">
        <v>1</v>
      </c>
    </row>
    <row r="34" spans="1:3" x14ac:dyDescent="0.35">
      <c r="A34" s="1">
        <v>4006678</v>
      </c>
      <c r="B34" s="9">
        <v>3</v>
      </c>
      <c r="C34" s="4">
        <v>1</v>
      </c>
    </row>
    <row r="35" spans="1:3" x14ac:dyDescent="0.35">
      <c r="A35" s="1">
        <v>4006758</v>
      </c>
      <c r="B35" s="9">
        <v>5</v>
      </c>
      <c r="C35" s="4">
        <v>1</v>
      </c>
    </row>
    <row r="36" spans="1:3" x14ac:dyDescent="0.35">
      <c r="A36" s="1">
        <v>4008010</v>
      </c>
      <c r="B36" s="9">
        <v>4</v>
      </c>
      <c r="C36" s="4">
        <v>2</v>
      </c>
    </row>
    <row r="37" spans="1:3" x14ac:dyDescent="0.35">
      <c r="A37" s="1">
        <v>4008035</v>
      </c>
      <c r="B37" s="9">
        <v>3</v>
      </c>
      <c r="C37" s="4">
        <v>1</v>
      </c>
    </row>
    <row r="38" spans="1:3" x14ac:dyDescent="0.35">
      <c r="A38" s="1">
        <v>4008110</v>
      </c>
      <c r="B38" s="9">
        <v>3</v>
      </c>
      <c r="C38" s="4">
        <v>1</v>
      </c>
    </row>
    <row r="39" spans="1:3" x14ac:dyDescent="0.35">
      <c r="A39" s="1">
        <v>4008122</v>
      </c>
      <c r="B39" s="9">
        <v>3</v>
      </c>
      <c r="C39" s="4">
        <v>1</v>
      </c>
    </row>
    <row r="40" spans="1:3" x14ac:dyDescent="0.35">
      <c r="A40" s="1">
        <v>4008145</v>
      </c>
      <c r="B40" s="9">
        <v>3</v>
      </c>
      <c r="C40" s="4">
        <v>1</v>
      </c>
    </row>
    <row r="41" spans="1:3" x14ac:dyDescent="0.35">
      <c r="A41" s="1">
        <v>4008152</v>
      </c>
      <c r="B41" s="9">
        <v>3</v>
      </c>
      <c r="C41" s="4">
        <v>1</v>
      </c>
    </row>
    <row r="42" spans="1:3" x14ac:dyDescent="0.35">
      <c r="A42" s="1">
        <v>4008159</v>
      </c>
      <c r="B42" s="9">
        <v>3</v>
      </c>
      <c r="C42" s="4">
        <v>1</v>
      </c>
    </row>
    <row r="43" spans="1:3" x14ac:dyDescent="0.35">
      <c r="A43" s="1">
        <v>4008204</v>
      </c>
      <c r="B43" s="9">
        <v>3</v>
      </c>
      <c r="C43" s="4">
        <v>1</v>
      </c>
    </row>
    <row r="44" spans="1:3" x14ac:dyDescent="0.35">
      <c r="A44" s="1">
        <v>4008276</v>
      </c>
      <c r="B44" s="9">
        <v>3</v>
      </c>
      <c r="C44" s="4">
        <v>1</v>
      </c>
    </row>
    <row r="45" spans="1:3" x14ac:dyDescent="0.35">
      <c r="A45" s="1">
        <v>4008411</v>
      </c>
      <c r="B45" s="9">
        <v>5</v>
      </c>
      <c r="C45" s="4">
        <v>1</v>
      </c>
    </row>
    <row r="46" spans="1:3" x14ac:dyDescent="0.35">
      <c r="A46" s="1">
        <v>4008412</v>
      </c>
      <c r="B46" s="9">
        <v>4.5</v>
      </c>
      <c r="C46" s="4">
        <v>2</v>
      </c>
    </row>
    <row r="47" spans="1:3" x14ac:dyDescent="0.35">
      <c r="A47" s="1">
        <v>4008413</v>
      </c>
      <c r="B47" s="9">
        <v>3</v>
      </c>
      <c r="C47" s="4">
        <v>1</v>
      </c>
    </row>
    <row r="48" spans="1:3" x14ac:dyDescent="0.35">
      <c r="A48" s="1">
        <v>4008414</v>
      </c>
      <c r="B48" s="9">
        <v>3</v>
      </c>
      <c r="C48" s="4">
        <v>1</v>
      </c>
    </row>
    <row r="49" spans="1:3" x14ac:dyDescent="0.35">
      <c r="A49" s="1">
        <v>4008419</v>
      </c>
      <c r="B49" s="9">
        <v>3</v>
      </c>
      <c r="C49" s="4">
        <v>1</v>
      </c>
    </row>
    <row r="50" spans="1:3" x14ac:dyDescent="0.35">
      <c r="A50" s="1">
        <v>4008436</v>
      </c>
      <c r="B50" s="9">
        <v>3</v>
      </c>
      <c r="C50" s="4">
        <v>1</v>
      </c>
    </row>
    <row r="51" spans="1:3" x14ac:dyDescent="0.35">
      <c r="A51" s="1">
        <v>4008438</v>
      </c>
      <c r="B51" s="9">
        <v>2.5</v>
      </c>
      <c r="C51" s="4">
        <v>2</v>
      </c>
    </row>
    <row r="52" spans="1:3" x14ac:dyDescent="0.35">
      <c r="A52" s="1">
        <v>4008439</v>
      </c>
      <c r="B52" s="9">
        <v>5</v>
      </c>
      <c r="C52" s="4">
        <v>2</v>
      </c>
    </row>
    <row r="53" spans="1:3" x14ac:dyDescent="0.35">
      <c r="A53" s="1">
        <v>4008440</v>
      </c>
      <c r="B53" s="9">
        <v>3</v>
      </c>
      <c r="C53" s="4">
        <v>2</v>
      </c>
    </row>
    <row r="54" spans="1:3" x14ac:dyDescent="0.35">
      <c r="A54" s="1">
        <v>4008441</v>
      </c>
      <c r="B54" s="9">
        <v>3</v>
      </c>
      <c r="C54" s="4">
        <v>1</v>
      </c>
    </row>
    <row r="55" spans="1:3" x14ac:dyDescent="0.35">
      <c r="A55" s="1">
        <v>4009225</v>
      </c>
      <c r="B55" s="9">
        <v>5</v>
      </c>
      <c r="C55" s="4">
        <v>1</v>
      </c>
    </row>
    <row r="56" spans="1:3" x14ac:dyDescent="0.35">
      <c r="A56" s="1">
        <v>4032343</v>
      </c>
      <c r="B56" s="9">
        <v>5</v>
      </c>
      <c r="C56" s="4">
        <v>1</v>
      </c>
    </row>
    <row r="57" spans="1:3" x14ac:dyDescent="0.35">
      <c r="A57" s="1">
        <v>4032344</v>
      </c>
      <c r="B57" s="9">
        <v>5</v>
      </c>
      <c r="C57" s="4">
        <v>1</v>
      </c>
    </row>
    <row r="58" spans="1:3" x14ac:dyDescent="0.35">
      <c r="A58" s="1">
        <v>4035935</v>
      </c>
      <c r="B58" s="9">
        <v>5</v>
      </c>
      <c r="C58" s="4">
        <v>1</v>
      </c>
    </row>
    <row r="59" spans="1:3" x14ac:dyDescent="0.35">
      <c r="A59" s="1">
        <v>4038552</v>
      </c>
      <c r="B59" s="9">
        <v>3</v>
      </c>
      <c r="C59" s="4">
        <v>1</v>
      </c>
    </row>
    <row r="60" spans="1:3" x14ac:dyDescent="0.35">
      <c r="A60" s="1">
        <v>4038574</v>
      </c>
      <c r="B60" s="9">
        <v>3</v>
      </c>
      <c r="C60" s="4">
        <v>1</v>
      </c>
    </row>
    <row r="61" spans="1:3" x14ac:dyDescent="0.35">
      <c r="A61" s="1">
        <v>4038586</v>
      </c>
      <c r="B61" s="9">
        <v>3</v>
      </c>
      <c r="C61" s="4">
        <v>1</v>
      </c>
    </row>
    <row r="62" spans="1:3" x14ac:dyDescent="0.35">
      <c r="A62" s="1">
        <v>4049107</v>
      </c>
      <c r="B62" s="9">
        <v>1.5</v>
      </c>
      <c r="C62" s="4">
        <v>2</v>
      </c>
    </row>
  </sheetData>
  <autoFilter ref="A10:C10" xr:uid="{68B80188-4926-42CE-81F8-363D98FA554D}"/>
  <mergeCells count="1">
    <mergeCell ref="A1:C1"/>
  </mergeCells>
  <conditionalFormatting sqref="A11:C62">
    <cfRule type="expression" dxfId="4" priority="1">
      <formula>MOD(ROW(),2)=1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4C70-4E3C-4E9D-AF6F-AD431D6580DF}">
  <dimension ref="A1:H100"/>
  <sheetViews>
    <sheetView showGridLines="0" workbookViewId="0">
      <pane ySplit="10" topLeftCell="A11" activePane="bottomLeft" state="frozen"/>
      <selection pane="bottomLeft" activeCell="H8" sqref="H8"/>
    </sheetView>
  </sheetViews>
  <sheetFormatPr baseColWidth="10" defaultColWidth="11.54296875" defaultRowHeight="14.5" x14ac:dyDescent="0.35"/>
  <cols>
    <col min="1" max="1" width="28.54296875" style="1" bestFit="1" customWidth="1"/>
    <col min="2" max="2" width="19.90625" style="1" bestFit="1" customWidth="1"/>
    <col min="3" max="16384" width="11.54296875" style="1"/>
  </cols>
  <sheetData>
    <row r="1" spans="1:8" ht="18.5" x14ac:dyDescent="0.45">
      <c r="A1" s="82" t="s">
        <v>3395</v>
      </c>
      <c r="B1" s="82"/>
    </row>
    <row r="3" spans="1:8" x14ac:dyDescent="0.35">
      <c r="A3" s="10" t="s">
        <v>3396</v>
      </c>
      <c r="B3" s="16">
        <v>90</v>
      </c>
    </row>
    <row r="4" spans="1:8" x14ac:dyDescent="0.35">
      <c r="A4" s="11" t="s">
        <v>0</v>
      </c>
      <c r="B4" s="17">
        <f>COUNTA(A11:A100)</f>
        <v>90</v>
      </c>
    </row>
    <row r="5" spans="1:8" x14ac:dyDescent="0.35">
      <c r="A5" s="30" t="s">
        <v>3397</v>
      </c>
      <c r="B5" s="33" cm="1">
        <f t="array" ref="B5">MAX(LEN(B11:B100))</f>
        <v>20</v>
      </c>
    </row>
    <row r="6" spans="1:8" x14ac:dyDescent="0.35">
      <c r="A6" s="30" t="s">
        <v>3398</v>
      </c>
      <c r="B6" s="33" cm="1">
        <f t="array" ref="B6">MIN(LEN(B11:B100))</f>
        <v>6</v>
      </c>
    </row>
    <row r="7" spans="1:8" x14ac:dyDescent="0.35">
      <c r="A7" s="30" t="s">
        <v>3399</v>
      </c>
      <c r="B7" s="40" cm="1">
        <f t="array" ref="B7">AVERAGE(LEN(B11:B100))</f>
        <v>17.288888888888888</v>
      </c>
    </row>
    <row r="8" spans="1:8" x14ac:dyDescent="0.35">
      <c r="A8" s="31" t="s">
        <v>3375</v>
      </c>
      <c r="B8" s="35" t="s">
        <v>32</v>
      </c>
      <c r="H8" s="1" t="s">
        <v>3425</v>
      </c>
    </row>
    <row r="9" spans="1:8" x14ac:dyDescent="0.35">
      <c r="A9"/>
      <c r="B9"/>
    </row>
    <row r="10" spans="1:8" x14ac:dyDescent="0.35">
      <c r="A10" s="14" t="s">
        <v>1183</v>
      </c>
      <c r="B10" s="14" t="s">
        <v>3251</v>
      </c>
    </row>
    <row r="11" spans="1:8" x14ac:dyDescent="0.35">
      <c r="A11" s="8">
        <v>10020403</v>
      </c>
      <c r="B11" s="1" t="s">
        <v>3252</v>
      </c>
    </row>
    <row r="12" spans="1:8" x14ac:dyDescent="0.35">
      <c r="A12" s="8">
        <v>10030101</v>
      </c>
      <c r="B12" s="1" t="s">
        <v>3253</v>
      </c>
    </row>
    <row r="13" spans="1:8" x14ac:dyDescent="0.35">
      <c r="A13" s="8">
        <v>10030102</v>
      </c>
      <c r="B13" s="1" t="s">
        <v>3254</v>
      </c>
    </row>
    <row r="14" spans="1:8" x14ac:dyDescent="0.35">
      <c r="A14" s="8">
        <v>10030201</v>
      </c>
      <c r="B14" s="1" t="s">
        <v>3255</v>
      </c>
    </row>
    <row r="15" spans="1:8" x14ac:dyDescent="0.35">
      <c r="A15" s="8">
        <v>10030303</v>
      </c>
      <c r="B15" s="1" t="s">
        <v>3256</v>
      </c>
    </row>
    <row r="16" spans="1:8" x14ac:dyDescent="0.35">
      <c r="A16" s="8">
        <v>10030398</v>
      </c>
      <c r="B16" s="1" t="s">
        <v>3257</v>
      </c>
    </row>
    <row r="17" spans="1:2" x14ac:dyDescent="0.35">
      <c r="A17" s="8">
        <v>10030403</v>
      </c>
      <c r="B17" s="1" t="s">
        <v>3258</v>
      </c>
    </row>
    <row r="18" spans="1:2" x14ac:dyDescent="0.35">
      <c r="A18" s="8">
        <v>10030404</v>
      </c>
      <c r="B18" s="1" t="s">
        <v>3259</v>
      </c>
    </row>
    <row r="19" spans="1:2" x14ac:dyDescent="0.35">
      <c r="A19" s="8">
        <v>10030405</v>
      </c>
      <c r="B19" s="1" t="s">
        <v>3260</v>
      </c>
    </row>
    <row r="20" spans="1:2" x14ac:dyDescent="0.35">
      <c r="A20" s="8">
        <v>10030501</v>
      </c>
      <c r="B20" s="1" t="s">
        <v>3261</v>
      </c>
    </row>
    <row r="21" spans="1:2" x14ac:dyDescent="0.35">
      <c r="A21" s="8">
        <v>10030503</v>
      </c>
      <c r="B21" s="1" t="s">
        <v>3262</v>
      </c>
    </row>
    <row r="22" spans="1:2" x14ac:dyDescent="0.35">
      <c r="A22" s="8">
        <v>10030506</v>
      </c>
      <c r="B22" s="1" t="s">
        <v>3263</v>
      </c>
    </row>
    <row r="23" spans="1:2" x14ac:dyDescent="0.35">
      <c r="A23" s="8">
        <v>10030508</v>
      </c>
      <c r="B23" s="1" t="s">
        <v>3264</v>
      </c>
    </row>
    <row r="24" spans="1:2" x14ac:dyDescent="0.35">
      <c r="A24" s="8">
        <v>10030703</v>
      </c>
      <c r="B24" s="1" t="s">
        <v>3265</v>
      </c>
    </row>
    <row r="25" spans="1:2" x14ac:dyDescent="0.35">
      <c r="A25" s="8">
        <v>10030801</v>
      </c>
      <c r="B25" s="1" t="s">
        <v>3266</v>
      </c>
    </row>
    <row r="26" spans="1:2" x14ac:dyDescent="0.35">
      <c r="A26" s="8">
        <v>10030805</v>
      </c>
      <c r="B26" s="1" t="s">
        <v>3267</v>
      </c>
    </row>
    <row r="27" spans="1:2" x14ac:dyDescent="0.35">
      <c r="A27" s="8">
        <v>10030899</v>
      </c>
      <c r="B27" s="1" t="s">
        <v>3268</v>
      </c>
    </row>
    <row r="28" spans="1:2" x14ac:dyDescent="0.35">
      <c r="A28" s="8">
        <v>10030901</v>
      </c>
      <c r="B28" s="1" t="s">
        <v>3269</v>
      </c>
    </row>
    <row r="29" spans="1:2" x14ac:dyDescent="0.35">
      <c r="A29" s="8">
        <v>10030902</v>
      </c>
      <c r="B29" s="1" t="s">
        <v>3270</v>
      </c>
    </row>
    <row r="30" spans="1:2" x14ac:dyDescent="0.35">
      <c r="A30" s="8">
        <v>10030903</v>
      </c>
      <c r="B30" s="1" t="s">
        <v>3271</v>
      </c>
    </row>
    <row r="31" spans="1:2" x14ac:dyDescent="0.35">
      <c r="A31" s="8">
        <v>10030904</v>
      </c>
      <c r="B31" s="1" t="s">
        <v>3272</v>
      </c>
    </row>
    <row r="32" spans="1:2" x14ac:dyDescent="0.35">
      <c r="A32" s="8">
        <v>10030905</v>
      </c>
      <c r="B32" s="1" t="s">
        <v>3273</v>
      </c>
    </row>
    <row r="33" spans="1:2" x14ac:dyDescent="0.35">
      <c r="A33" s="8">
        <v>10030906</v>
      </c>
      <c r="B33" s="1" t="s">
        <v>3274</v>
      </c>
    </row>
    <row r="34" spans="1:2" x14ac:dyDescent="0.35">
      <c r="A34" s="8">
        <v>10030907</v>
      </c>
      <c r="B34" s="1" t="s">
        <v>3275</v>
      </c>
    </row>
    <row r="35" spans="1:2" x14ac:dyDescent="0.35">
      <c r="A35" s="8">
        <v>10030908</v>
      </c>
      <c r="B35" s="1" t="s">
        <v>3276</v>
      </c>
    </row>
    <row r="36" spans="1:2" x14ac:dyDescent="0.35">
      <c r="A36" s="8">
        <v>10031197</v>
      </c>
      <c r="B36" s="1" t="s">
        <v>3277</v>
      </c>
    </row>
    <row r="37" spans="1:2" x14ac:dyDescent="0.35">
      <c r="A37" s="8">
        <v>10039999</v>
      </c>
      <c r="B37" s="1" t="s">
        <v>3278</v>
      </c>
    </row>
    <row r="38" spans="1:2" x14ac:dyDescent="0.35">
      <c r="A38" s="8">
        <v>10040101</v>
      </c>
      <c r="B38" s="1" t="s">
        <v>3279</v>
      </c>
    </row>
    <row r="39" spans="1:2" x14ac:dyDescent="0.35">
      <c r="A39" s="8">
        <v>10040103</v>
      </c>
      <c r="B39" s="1" t="s">
        <v>3280</v>
      </c>
    </row>
    <row r="40" spans="1:2" x14ac:dyDescent="0.35">
      <c r="A40" s="8">
        <v>10040105</v>
      </c>
      <c r="B40" s="1" t="s">
        <v>3281</v>
      </c>
    </row>
    <row r="41" spans="1:2" x14ac:dyDescent="0.35">
      <c r="A41" s="8">
        <v>10040106</v>
      </c>
      <c r="B41" s="1" t="s">
        <v>3282</v>
      </c>
    </row>
    <row r="42" spans="1:2" x14ac:dyDescent="0.35">
      <c r="A42" s="8">
        <v>10040604</v>
      </c>
      <c r="B42" s="1" t="s">
        <v>3283</v>
      </c>
    </row>
    <row r="43" spans="1:2" x14ac:dyDescent="0.35">
      <c r="A43" s="8">
        <v>10040609</v>
      </c>
      <c r="B43" s="1" t="s">
        <v>3284</v>
      </c>
    </row>
    <row r="44" spans="1:2" x14ac:dyDescent="0.35">
      <c r="A44" s="8">
        <v>10040610</v>
      </c>
      <c r="B44" s="1" t="s">
        <v>3285</v>
      </c>
    </row>
    <row r="45" spans="1:2" x14ac:dyDescent="0.35">
      <c r="A45" s="8">
        <v>10040901</v>
      </c>
      <c r="B45" s="1" t="s">
        <v>3286</v>
      </c>
    </row>
    <row r="46" spans="1:2" x14ac:dyDescent="0.35">
      <c r="A46" s="8">
        <v>10049999</v>
      </c>
      <c r="B46" s="1" t="s">
        <v>3287</v>
      </c>
    </row>
    <row r="47" spans="1:2" x14ac:dyDescent="0.35">
      <c r="A47" s="8">
        <v>10050101</v>
      </c>
      <c r="B47" s="1" t="s">
        <v>3288</v>
      </c>
    </row>
    <row r="48" spans="1:2" x14ac:dyDescent="0.35">
      <c r="A48" s="8">
        <v>10050102</v>
      </c>
      <c r="B48" s="1" t="s">
        <v>3289</v>
      </c>
    </row>
    <row r="49" spans="1:2" x14ac:dyDescent="0.35">
      <c r="A49" s="8">
        <v>10050103</v>
      </c>
      <c r="B49" s="1" t="s">
        <v>3290</v>
      </c>
    </row>
    <row r="50" spans="1:2" x14ac:dyDescent="0.35">
      <c r="A50" s="8">
        <v>10050104</v>
      </c>
      <c r="B50" s="1" t="s">
        <v>3291</v>
      </c>
    </row>
    <row r="51" spans="1:2" x14ac:dyDescent="0.35">
      <c r="A51" s="8">
        <v>10050105</v>
      </c>
      <c r="B51" s="1" t="s">
        <v>3292</v>
      </c>
    </row>
    <row r="52" spans="1:2" x14ac:dyDescent="0.35">
      <c r="A52" s="8">
        <v>10050108</v>
      </c>
      <c r="B52" s="1" t="s">
        <v>3293</v>
      </c>
    </row>
    <row r="53" spans="1:2" x14ac:dyDescent="0.35">
      <c r="A53" s="8">
        <v>10050109</v>
      </c>
      <c r="B53" s="1" t="s">
        <v>3294</v>
      </c>
    </row>
    <row r="54" spans="1:2" x14ac:dyDescent="0.35">
      <c r="A54" s="8">
        <v>10050199</v>
      </c>
      <c r="B54" s="1" t="s">
        <v>3295</v>
      </c>
    </row>
    <row r="55" spans="1:2" x14ac:dyDescent="0.35">
      <c r="A55" s="8">
        <v>10050303</v>
      </c>
      <c r="B55" s="1" t="s">
        <v>3296</v>
      </c>
    </row>
    <row r="56" spans="1:2" x14ac:dyDescent="0.35">
      <c r="A56" s="8">
        <v>10050305</v>
      </c>
      <c r="B56" s="1" t="s">
        <v>3297</v>
      </c>
    </row>
    <row r="57" spans="1:2" x14ac:dyDescent="0.35">
      <c r="A57" s="8">
        <v>10050306</v>
      </c>
      <c r="B57" s="1" t="s">
        <v>3298</v>
      </c>
    </row>
    <row r="58" spans="1:2" x14ac:dyDescent="0.35">
      <c r="A58" s="8">
        <v>10050308</v>
      </c>
      <c r="B58" s="1" t="s">
        <v>3299</v>
      </c>
    </row>
    <row r="59" spans="1:2" x14ac:dyDescent="0.35">
      <c r="A59" s="8">
        <v>10050401</v>
      </c>
      <c r="B59" s="1" t="s">
        <v>3300</v>
      </c>
    </row>
    <row r="60" spans="1:2" x14ac:dyDescent="0.35">
      <c r="A60" s="8">
        <v>10050404</v>
      </c>
      <c r="B60" s="1" t="s">
        <v>3301</v>
      </c>
    </row>
    <row r="61" spans="1:2" x14ac:dyDescent="0.35">
      <c r="A61" s="8">
        <v>10050501</v>
      </c>
      <c r="B61" s="1" t="s">
        <v>3302</v>
      </c>
    </row>
    <row r="62" spans="1:2" x14ac:dyDescent="0.35">
      <c r="A62" s="8">
        <v>10050502</v>
      </c>
      <c r="B62" s="1" t="s">
        <v>3303</v>
      </c>
    </row>
    <row r="63" spans="1:2" x14ac:dyDescent="0.35">
      <c r="A63" s="8">
        <v>10050503</v>
      </c>
      <c r="B63" s="1" t="s">
        <v>3304</v>
      </c>
    </row>
    <row r="64" spans="1:2" x14ac:dyDescent="0.35">
      <c r="A64" s="8">
        <v>10050504</v>
      </c>
      <c r="B64" s="1" t="s">
        <v>3305</v>
      </c>
    </row>
    <row r="65" spans="1:2" x14ac:dyDescent="0.35">
      <c r="A65" s="8">
        <v>10050505</v>
      </c>
      <c r="B65" s="1" t="s">
        <v>3306</v>
      </c>
    </row>
    <row r="66" spans="1:2" x14ac:dyDescent="0.35">
      <c r="A66" s="8">
        <v>10050506</v>
      </c>
      <c r="B66" s="1" t="s">
        <v>3307</v>
      </c>
    </row>
    <row r="67" spans="1:2" x14ac:dyDescent="0.35">
      <c r="A67" s="8">
        <v>10050507</v>
      </c>
      <c r="B67" s="1" t="s">
        <v>3308</v>
      </c>
    </row>
    <row r="68" spans="1:2" x14ac:dyDescent="0.35">
      <c r="A68" s="8">
        <v>10050601</v>
      </c>
      <c r="B68" s="1" t="s">
        <v>3309</v>
      </c>
    </row>
    <row r="69" spans="1:2" x14ac:dyDescent="0.35">
      <c r="A69" s="8">
        <v>10050602</v>
      </c>
      <c r="B69" s="1" t="s">
        <v>3310</v>
      </c>
    </row>
    <row r="70" spans="1:2" x14ac:dyDescent="0.35">
      <c r="A70" s="8">
        <v>10050603</v>
      </c>
      <c r="B70" s="1" t="s">
        <v>3311</v>
      </c>
    </row>
    <row r="71" spans="1:2" x14ac:dyDescent="0.35">
      <c r="A71" s="8">
        <v>10050604</v>
      </c>
      <c r="B71" s="1" t="s">
        <v>3312</v>
      </c>
    </row>
    <row r="72" spans="1:2" x14ac:dyDescent="0.35">
      <c r="A72" s="8">
        <v>10050605</v>
      </c>
      <c r="B72" s="1" t="s">
        <v>3313</v>
      </c>
    </row>
    <row r="73" spans="1:2" x14ac:dyDescent="0.35">
      <c r="A73" s="8">
        <v>10050606</v>
      </c>
      <c r="B73" s="1" t="s">
        <v>3314</v>
      </c>
    </row>
    <row r="74" spans="1:2" x14ac:dyDescent="0.35">
      <c r="A74" s="8">
        <v>10050607</v>
      </c>
      <c r="B74" s="1" t="s">
        <v>3315</v>
      </c>
    </row>
    <row r="75" spans="1:2" x14ac:dyDescent="0.35">
      <c r="A75" s="8">
        <v>10050608</v>
      </c>
      <c r="B75" s="1" t="s">
        <v>3316</v>
      </c>
    </row>
    <row r="76" spans="1:2" x14ac:dyDescent="0.35">
      <c r="A76" s="8">
        <v>10050609</v>
      </c>
      <c r="B76" s="1" t="s">
        <v>3317</v>
      </c>
    </row>
    <row r="77" spans="1:2" x14ac:dyDescent="0.35">
      <c r="A77" s="8">
        <v>10050610</v>
      </c>
      <c r="B77" s="1" t="s">
        <v>3318</v>
      </c>
    </row>
    <row r="78" spans="1:2" x14ac:dyDescent="0.35">
      <c r="A78" s="8">
        <v>10050611</v>
      </c>
      <c r="B78" s="1" t="s">
        <v>3319</v>
      </c>
    </row>
    <row r="79" spans="1:2" x14ac:dyDescent="0.35">
      <c r="A79" s="8">
        <v>10050701</v>
      </c>
      <c r="B79" s="1" t="s">
        <v>3320</v>
      </c>
    </row>
    <row r="80" spans="1:2" x14ac:dyDescent="0.35">
      <c r="A80" s="8">
        <v>10050801</v>
      </c>
      <c r="B80" s="1" t="s">
        <v>3321</v>
      </c>
    </row>
    <row r="81" spans="1:2" x14ac:dyDescent="0.35">
      <c r="A81" s="8">
        <v>10059999</v>
      </c>
      <c r="B81" s="1" t="s">
        <v>3322</v>
      </c>
    </row>
    <row r="82" spans="1:2" x14ac:dyDescent="0.35">
      <c r="A82" s="8">
        <v>10060102</v>
      </c>
      <c r="B82" s="1" t="s">
        <v>3323</v>
      </c>
    </row>
    <row r="83" spans="1:2" x14ac:dyDescent="0.35">
      <c r="A83" s="8">
        <v>10060103</v>
      </c>
      <c r="B83" s="1" t="s">
        <v>3324</v>
      </c>
    </row>
    <row r="84" spans="1:2" x14ac:dyDescent="0.35">
      <c r="A84" s="8">
        <v>10060107</v>
      </c>
      <c r="B84" s="1" t="s">
        <v>3325</v>
      </c>
    </row>
    <row r="85" spans="1:2" x14ac:dyDescent="0.35">
      <c r="A85" s="8">
        <v>10060202</v>
      </c>
      <c r="B85" s="1" t="s">
        <v>3326</v>
      </c>
    </row>
    <row r="86" spans="1:2" x14ac:dyDescent="0.35">
      <c r="A86" s="8">
        <v>10060206</v>
      </c>
      <c r="B86" s="1" t="s">
        <v>3327</v>
      </c>
    </row>
    <row r="87" spans="1:2" x14ac:dyDescent="0.35">
      <c r="A87" s="8">
        <v>10060399</v>
      </c>
      <c r="B87" s="1" t="s">
        <v>3328</v>
      </c>
    </row>
    <row r="88" spans="1:2" x14ac:dyDescent="0.35">
      <c r="A88" s="8">
        <v>10060499</v>
      </c>
      <c r="B88" s="1" t="s">
        <v>3329</v>
      </c>
    </row>
    <row r="89" spans="1:2" x14ac:dyDescent="0.35">
      <c r="A89" s="8">
        <v>10060502</v>
      </c>
      <c r="B89" s="1" t="s">
        <v>3330</v>
      </c>
    </row>
    <row r="90" spans="1:2" x14ac:dyDescent="0.35">
      <c r="A90" s="8">
        <v>10060510</v>
      </c>
      <c r="B90" s="1" t="s">
        <v>3331</v>
      </c>
    </row>
    <row r="91" spans="1:2" x14ac:dyDescent="0.35">
      <c r="A91" s="8">
        <v>10060511</v>
      </c>
      <c r="B91" s="1" t="s">
        <v>3332</v>
      </c>
    </row>
    <row r="92" spans="1:2" x14ac:dyDescent="0.35">
      <c r="A92" s="8">
        <v>10060514</v>
      </c>
      <c r="B92" s="1" t="s">
        <v>3333</v>
      </c>
    </row>
    <row r="93" spans="1:2" x14ac:dyDescent="0.35">
      <c r="A93" s="8">
        <v>10070398</v>
      </c>
      <c r="B93" s="1" t="s">
        <v>3334</v>
      </c>
    </row>
    <row r="94" spans="1:2" x14ac:dyDescent="0.35">
      <c r="A94" s="8">
        <v>10080301</v>
      </c>
      <c r="B94" s="1" t="s">
        <v>3335</v>
      </c>
    </row>
    <row r="95" spans="1:2" x14ac:dyDescent="0.35">
      <c r="A95" s="8">
        <v>10080401</v>
      </c>
      <c r="B95" s="1" t="s">
        <v>3336</v>
      </c>
    </row>
    <row r="96" spans="1:2" x14ac:dyDescent="0.35">
      <c r="A96" s="8">
        <v>10080601</v>
      </c>
      <c r="B96" s="1" t="s">
        <v>3337</v>
      </c>
    </row>
    <row r="97" spans="1:2" x14ac:dyDescent="0.35">
      <c r="A97" s="8">
        <v>20010401</v>
      </c>
      <c r="B97" s="1" t="s">
        <v>3338</v>
      </c>
    </row>
    <row r="98" spans="1:2" x14ac:dyDescent="0.35">
      <c r="A98" s="8">
        <v>20040598</v>
      </c>
      <c r="B98" s="1" t="s">
        <v>3339</v>
      </c>
    </row>
    <row r="99" spans="1:2" x14ac:dyDescent="0.35">
      <c r="A99" s="8">
        <v>20040901</v>
      </c>
      <c r="B99" s="1" t="s">
        <v>3340</v>
      </c>
    </row>
    <row r="100" spans="1:2" x14ac:dyDescent="0.35">
      <c r="A100" s="8">
        <v>20040903</v>
      </c>
      <c r="B100" s="1" t="s">
        <v>3341</v>
      </c>
    </row>
  </sheetData>
  <autoFilter ref="A10:B10" xr:uid="{DCA44C70-4E3C-4E9D-AF6F-AD431D6580DF}"/>
  <mergeCells count="1">
    <mergeCell ref="A1:B1"/>
  </mergeCells>
  <conditionalFormatting sqref="A11:B100">
    <cfRule type="expression" dxfId="3" priority="1">
      <formula>MOD(ROW(),2)=1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5966-72D8-45CF-B275-294DB10084A9}">
  <dimension ref="A1:U719"/>
  <sheetViews>
    <sheetView showGridLines="0" workbookViewId="0">
      <pane ySplit="10" topLeftCell="A11" activePane="bottomLeft" state="frozen"/>
      <selection pane="bottomLeft" sqref="A1:U1"/>
    </sheetView>
  </sheetViews>
  <sheetFormatPr baseColWidth="10" defaultRowHeight="14.5" x14ac:dyDescent="0.35"/>
  <cols>
    <col min="1" max="1" width="29.6328125" bestFit="1" customWidth="1"/>
    <col min="2" max="2" width="38" bestFit="1" customWidth="1"/>
    <col min="3" max="4" width="10.90625" bestFit="1" customWidth="1"/>
    <col min="5" max="5" width="19.90625" bestFit="1" customWidth="1"/>
    <col min="6" max="7" width="10.90625" bestFit="1" customWidth="1"/>
    <col min="8" max="8" width="10.54296875" bestFit="1" customWidth="1"/>
    <col min="9" max="9" width="14.54296875" bestFit="1" customWidth="1"/>
    <col min="10" max="10" width="15.1796875" bestFit="1" customWidth="1"/>
    <col min="11" max="11" width="17" bestFit="1" customWidth="1"/>
    <col min="12" max="12" width="14.453125" bestFit="1" customWidth="1"/>
    <col min="13" max="13" width="19.54296875" bestFit="1" customWidth="1"/>
    <col min="14" max="14" width="7.81640625" bestFit="1" customWidth="1"/>
    <col min="15" max="15" width="17.453125" bestFit="1" customWidth="1"/>
    <col min="16" max="16" width="17.36328125" bestFit="1" customWidth="1"/>
    <col min="17" max="17" width="18" bestFit="1" customWidth="1"/>
    <col min="18" max="18" width="19.54296875" bestFit="1" customWidth="1"/>
    <col min="19" max="19" width="17.6328125" bestFit="1" customWidth="1"/>
    <col min="20" max="20" width="19.54296875" bestFit="1" customWidth="1"/>
    <col min="21" max="21" width="20.36328125" bestFit="1" customWidth="1"/>
  </cols>
  <sheetData>
    <row r="1" spans="1:21" ht="18.5" x14ac:dyDescent="0.45">
      <c r="A1" s="82" t="s">
        <v>3423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1:21" x14ac:dyDescent="0.35">
      <c r="A2" s="70"/>
      <c r="B2" s="70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1" x14ac:dyDescent="0.35">
      <c r="A3" s="68" t="s">
        <v>3406</v>
      </c>
      <c r="B3" s="65">
        <f>COUNTA(A11:A719)</f>
        <v>709</v>
      </c>
      <c r="C3" s="69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 spans="1:21" x14ac:dyDescent="0.35">
      <c r="A4" s="68" t="s">
        <v>3410</v>
      </c>
      <c r="B4" s="66">
        <v>10</v>
      </c>
      <c r="C4" s="6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x14ac:dyDescent="0.35">
      <c r="A5" s="68" t="s">
        <v>3411</v>
      </c>
      <c r="B5" s="67">
        <f>COUNTIF(H11:H719,"&lt;&gt;")/COUNTA(A11:A719)</f>
        <v>0.55571227080394925</v>
      </c>
      <c r="C5" s="69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</row>
    <row r="6" spans="1:21" x14ac:dyDescent="0.35">
      <c r="A6" s="68" t="s">
        <v>3412</v>
      </c>
      <c r="B6" s="67">
        <f>COUNTIF(J11:J719,"&lt;&gt;")/COUNTA(A11:A719)</f>
        <v>0.99858956276445698</v>
      </c>
      <c r="C6" s="69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</row>
    <row r="7" spans="1:21" x14ac:dyDescent="0.35">
      <c r="A7" s="68" t="s">
        <v>3413</v>
      </c>
      <c r="B7" s="67">
        <f>COUNTIF(N11:N719,"&lt;&gt;")/COUNTA(A11:A719)</f>
        <v>0.96897038081805364</v>
      </c>
      <c r="C7" s="69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 spans="1:21" x14ac:dyDescent="0.35">
      <c r="A8" s="68" t="s">
        <v>3414</v>
      </c>
      <c r="B8" s="67">
        <f>COUNTIF(T11:T719,"&lt;&gt;")/COUNTA(A11:A719)</f>
        <v>5.9238363892806768E-2</v>
      </c>
      <c r="C8" s="69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</row>
    <row r="9" spans="1:21" x14ac:dyDescent="0.35">
      <c r="A9" s="71"/>
      <c r="B9" s="71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x14ac:dyDescent="0.35">
      <c r="A10" s="49" t="s">
        <v>1185</v>
      </c>
      <c r="B10" s="49" t="s">
        <v>3400</v>
      </c>
      <c r="C10" s="49" t="s">
        <v>1184</v>
      </c>
      <c r="D10" s="49" t="s">
        <v>1183</v>
      </c>
      <c r="E10" s="49" t="s">
        <v>3251</v>
      </c>
      <c r="F10" s="49" t="s">
        <v>1182</v>
      </c>
      <c r="G10" s="49" t="s">
        <v>3401</v>
      </c>
      <c r="H10" s="49" t="s">
        <v>3402</v>
      </c>
      <c r="I10" s="49" t="s">
        <v>3403</v>
      </c>
      <c r="J10" s="49" t="s">
        <v>3196</v>
      </c>
      <c r="K10" s="49" t="s">
        <v>21</v>
      </c>
      <c r="L10" s="49" t="s">
        <v>3404</v>
      </c>
      <c r="M10" s="49" t="s">
        <v>3228</v>
      </c>
      <c r="N10" s="49" t="s">
        <v>3229</v>
      </c>
      <c r="O10" s="49" t="s">
        <v>3405</v>
      </c>
      <c r="P10" s="49" t="s">
        <v>3234</v>
      </c>
      <c r="Q10" s="49" t="s">
        <v>3235</v>
      </c>
      <c r="R10" s="49" t="s">
        <v>3236</v>
      </c>
      <c r="S10" s="49" t="s">
        <v>3244</v>
      </c>
      <c r="T10" s="49" t="s">
        <v>3249</v>
      </c>
      <c r="U10" s="49" t="s">
        <v>3250</v>
      </c>
    </row>
    <row r="11" spans="1:21" x14ac:dyDescent="0.35">
      <c r="A11" s="50">
        <v>4000005</v>
      </c>
      <c r="B11" s="50" t="s">
        <v>1188</v>
      </c>
      <c r="C11" s="50" t="s">
        <v>1174</v>
      </c>
      <c r="D11" s="50">
        <v>10080301</v>
      </c>
      <c r="E11" s="50" t="s">
        <v>3335</v>
      </c>
      <c r="F11" s="50" t="s">
        <v>1173</v>
      </c>
      <c r="G11" s="50"/>
      <c r="H11" s="50" t="s">
        <v>24</v>
      </c>
      <c r="I11" s="50" t="s">
        <v>258</v>
      </c>
      <c r="J11" s="52">
        <v>2064.73</v>
      </c>
      <c r="K11" s="54">
        <v>52</v>
      </c>
      <c r="L11" s="54">
        <v>654</v>
      </c>
      <c r="M11" s="54">
        <v>16</v>
      </c>
      <c r="N11" s="56">
        <v>0.96970000000000001</v>
      </c>
      <c r="O11" s="50"/>
      <c r="P11" s="52">
        <v>1191779.5</v>
      </c>
      <c r="Q11" s="54">
        <v>10</v>
      </c>
      <c r="R11" s="52">
        <v>65</v>
      </c>
      <c r="S11" s="52">
        <v>650</v>
      </c>
      <c r="T11" s="58"/>
      <c r="U11" s="54"/>
    </row>
    <row r="12" spans="1:21" x14ac:dyDescent="0.35">
      <c r="A12" s="51">
        <v>4000014</v>
      </c>
      <c r="B12" s="51" t="s">
        <v>1192</v>
      </c>
      <c r="C12" s="51" t="s">
        <v>1174</v>
      </c>
      <c r="D12" s="51">
        <v>10050505</v>
      </c>
      <c r="E12" s="51" t="s">
        <v>3306</v>
      </c>
      <c r="F12" s="51" t="s">
        <v>1173</v>
      </c>
      <c r="G12" s="51" t="s">
        <v>271</v>
      </c>
      <c r="H12" s="51" t="s">
        <v>24</v>
      </c>
      <c r="I12" s="51" t="s">
        <v>258</v>
      </c>
      <c r="J12" s="53">
        <v>10.25</v>
      </c>
      <c r="K12" s="55">
        <v>302</v>
      </c>
      <c r="L12" s="55">
        <v>29627</v>
      </c>
      <c r="M12" s="55">
        <v>24</v>
      </c>
      <c r="N12" s="57">
        <v>0.1583</v>
      </c>
      <c r="O12" s="51"/>
      <c r="P12" s="53"/>
      <c r="Q12" s="55"/>
      <c r="R12" s="53"/>
      <c r="S12" s="53"/>
      <c r="T12" s="59"/>
      <c r="U12" s="55"/>
    </row>
    <row r="13" spans="1:21" x14ac:dyDescent="0.35">
      <c r="A13" s="50">
        <v>4000023</v>
      </c>
      <c r="B13" s="50" t="s">
        <v>1194</v>
      </c>
      <c r="C13" s="50" t="s">
        <v>1174</v>
      </c>
      <c r="D13" s="50">
        <v>10080401</v>
      </c>
      <c r="E13" s="50" t="s">
        <v>3336</v>
      </c>
      <c r="F13" s="50" t="s">
        <v>1173</v>
      </c>
      <c r="G13" s="50" t="s">
        <v>271</v>
      </c>
      <c r="H13" s="50" t="s">
        <v>141</v>
      </c>
      <c r="I13" s="50"/>
      <c r="J13" s="52">
        <v>23.41</v>
      </c>
      <c r="K13" s="54">
        <v>574</v>
      </c>
      <c r="L13" s="54">
        <v>24305</v>
      </c>
      <c r="M13" s="54">
        <v>24</v>
      </c>
      <c r="N13" s="56">
        <v>0.1716</v>
      </c>
      <c r="O13" s="50"/>
      <c r="P13" s="52">
        <v>515990.4</v>
      </c>
      <c r="Q13" s="54">
        <v>17</v>
      </c>
      <c r="R13" s="52">
        <v>48</v>
      </c>
      <c r="S13" s="52">
        <v>816</v>
      </c>
      <c r="T13" s="58"/>
      <c r="U13" s="54"/>
    </row>
    <row r="14" spans="1:21" x14ac:dyDescent="0.35">
      <c r="A14" s="51">
        <v>4000024</v>
      </c>
      <c r="B14" s="51" t="s">
        <v>1196</v>
      </c>
      <c r="C14" s="51" t="s">
        <v>1174</v>
      </c>
      <c r="D14" s="51">
        <v>10080401</v>
      </c>
      <c r="E14" s="51" t="s">
        <v>3336</v>
      </c>
      <c r="F14" s="51" t="s">
        <v>1173</v>
      </c>
      <c r="G14" s="51" t="s">
        <v>271</v>
      </c>
      <c r="H14" s="51" t="s">
        <v>141</v>
      </c>
      <c r="I14" s="51"/>
      <c r="J14" s="53">
        <v>22.39</v>
      </c>
      <c r="K14" s="55">
        <v>2130</v>
      </c>
      <c r="L14" s="55">
        <v>12900</v>
      </c>
      <c r="M14" s="55">
        <v>24</v>
      </c>
      <c r="N14" s="57">
        <v>1.1109</v>
      </c>
      <c r="O14" s="51"/>
      <c r="P14" s="53">
        <v>270685.44</v>
      </c>
      <c r="Q14" s="55">
        <v>9</v>
      </c>
      <c r="R14" s="53">
        <v>48</v>
      </c>
      <c r="S14" s="53">
        <v>432</v>
      </c>
      <c r="T14" s="59"/>
      <c r="U14" s="55"/>
    </row>
    <row r="15" spans="1:21" x14ac:dyDescent="0.35">
      <c r="A15" s="50">
        <v>4000027</v>
      </c>
      <c r="B15" s="50" t="s">
        <v>1198</v>
      </c>
      <c r="C15" s="50" t="s">
        <v>1174</v>
      </c>
      <c r="D15" s="50">
        <v>10080401</v>
      </c>
      <c r="E15" s="50" t="s">
        <v>3336</v>
      </c>
      <c r="F15" s="50" t="s">
        <v>1173</v>
      </c>
      <c r="G15" s="50" t="s">
        <v>258</v>
      </c>
      <c r="H15" s="50" t="s">
        <v>141</v>
      </c>
      <c r="I15" s="50" t="s">
        <v>258</v>
      </c>
      <c r="J15" s="52">
        <v>39.69</v>
      </c>
      <c r="K15" s="54">
        <v>184</v>
      </c>
      <c r="L15" s="54">
        <v>595</v>
      </c>
      <c r="M15" s="54">
        <v>23</v>
      </c>
      <c r="N15" s="56">
        <v>0.68100000000000005</v>
      </c>
      <c r="O15" s="50"/>
      <c r="P15" s="52">
        <v>24686.240000000002</v>
      </c>
      <c r="Q15" s="54">
        <v>15</v>
      </c>
      <c r="R15" s="52">
        <v>4</v>
      </c>
      <c r="S15" s="52">
        <v>60</v>
      </c>
      <c r="T15" s="58"/>
      <c r="U15" s="54"/>
    </row>
    <row r="16" spans="1:21" x14ac:dyDescent="0.35">
      <c r="A16" s="51">
        <v>4000060</v>
      </c>
      <c r="B16" s="51" t="s">
        <v>1202</v>
      </c>
      <c r="C16" s="51" t="s">
        <v>1174</v>
      </c>
      <c r="D16" s="51">
        <v>10050103</v>
      </c>
      <c r="E16" s="51" t="s">
        <v>3290</v>
      </c>
      <c r="F16" s="51" t="s">
        <v>1173</v>
      </c>
      <c r="G16" s="51" t="s">
        <v>289</v>
      </c>
      <c r="H16" s="51" t="s">
        <v>24</v>
      </c>
      <c r="I16" s="51" t="s">
        <v>258</v>
      </c>
      <c r="J16" s="53">
        <v>2.77</v>
      </c>
      <c r="K16" s="55">
        <v>1900</v>
      </c>
      <c r="L16" s="55">
        <v>118550</v>
      </c>
      <c r="M16" s="55">
        <v>24</v>
      </c>
      <c r="N16" s="57">
        <v>0.1394</v>
      </c>
      <c r="O16" s="51"/>
      <c r="P16" s="53"/>
      <c r="Q16" s="55"/>
      <c r="R16" s="53"/>
      <c r="S16" s="53"/>
      <c r="T16" s="59"/>
      <c r="U16" s="55"/>
    </row>
    <row r="17" spans="1:21" x14ac:dyDescent="0.35">
      <c r="A17" s="50">
        <v>4000061</v>
      </c>
      <c r="B17" s="50" t="s">
        <v>1204</v>
      </c>
      <c r="C17" s="50" t="s">
        <v>1174</v>
      </c>
      <c r="D17" s="50">
        <v>10050103</v>
      </c>
      <c r="E17" s="50" t="s">
        <v>3290</v>
      </c>
      <c r="F17" s="50" t="s">
        <v>1173</v>
      </c>
      <c r="G17" s="50" t="s">
        <v>271</v>
      </c>
      <c r="H17" s="50" t="s">
        <v>24</v>
      </c>
      <c r="I17" s="50" t="s">
        <v>289</v>
      </c>
      <c r="J17" s="52">
        <v>4.26</v>
      </c>
      <c r="K17" s="54">
        <v>2600</v>
      </c>
      <c r="L17" s="54">
        <v>303000</v>
      </c>
      <c r="M17" s="54">
        <v>24</v>
      </c>
      <c r="N17" s="56">
        <v>8.2600000000000007E-2</v>
      </c>
      <c r="O17" s="50"/>
      <c r="P17" s="52"/>
      <c r="Q17" s="54"/>
      <c r="R17" s="52"/>
      <c r="S17" s="52"/>
      <c r="T17" s="58"/>
      <c r="U17" s="54"/>
    </row>
    <row r="18" spans="1:21" x14ac:dyDescent="0.35">
      <c r="A18" s="51">
        <v>4000065</v>
      </c>
      <c r="B18" s="51" t="s">
        <v>1210</v>
      </c>
      <c r="C18" s="51" t="s">
        <v>1174</v>
      </c>
      <c r="D18" s="51">
        <v>10050103</v>
      </c>
      <c r="E18" s="51" t="s">
        <v>3290</v>
      </c>
      <c r="F18" s="51" t="s">
        <v>1173</v>
      </c>
      <c r="G18" s="51" t="s">
        <v>271</v>
      </c>
      <c r="H18" s="51" t="s">
        <v>24</v>
      </c>
      <c r="I18" s="51" t="s">
        <v>271</v>
      </c>
      <c r="J18" s="53">
        <v>0.26019999999999999</v>
      </c>
      <c r="K18" s="55">
        <v>7000</v>
      </c>
      <c r="L18" s="55">
        <v>1964322</v>
      </c>
      <c r="M18" s="55">
        <v>24</v>
      </c>
      <c r="N18" s="57">
        <v>8.9800000000000005E-2</v>
      </c>
      <c r="O18" s="51"/>
      <c r="P18" s="53"/>
      <c r="Q18" s="55"/>
      <c r="R18" s="53"/>
      <c r="S18" s="53"/>
      <c r="T18" s="59"/>
      <c r="U18" s="55"/>
    </row>
    <row r="19" spans="1:21" x14ac:dyDescent="0.35">
      <c r="A19" s="50">
        <v>4000066</v>
      </c>
      <c r="B19" s="50" t="s">
        <v>1212</v>
      </c>
      <c r="C19" s="50" t="s">
        <v>1174</v>
      </c>
      <c r="D19" s="50">
        <v>10050102</v>
      </c>
      <c r="E19" s="50" t="s">
        <v>3289</v>
      </c>
      <c r="F19" s="50" t="s">
        <v>1173</v>
      </c>
      <c r="G19" s="50" t="s">
        <v>258</v>
      </c>
      <c r="H19" s="50" t="s">
        <v>24</v>
      </c>
      <c r="I19" s="50" t="s">
        <v>258</v>
      </c>
      <c r="J19" s="52">
        <v>6.9</v>
      </c>
      <c r="K19" s="54">
        <v>150</v>
      </c>
      <c r="L19" s="54">
        <v>5275</v>
      </c>
      <c r="M19" s="54">
        <v>24</v>
      </c>
      <c r="N19" s="56">
        <v>0.4632</v>
      </c>
      <c r="O19" s="50"/>
      <c r="P19" s="52">
        <v>30820</v>
      </c>
      <c r="Q19" s="54">
        <v>23</v>
      </c>
      <c r="R19" s="52">
        <v>8</v>
      </c>
      <c r="S19" s="52">
        <v>184</v>
      </c>
      <c r="T19" s="58"/>
      <c r="U19" s="54"/>
    </row>
    <row r="20" spans="1:21" x14ac:dyDescent="0.35">
      <c r="A20" s="51">
        <v>4000069</v>
      </c>
      <c r="B20" s="51" t="s">
        <v>1216</v>
      </c>
      <c r="C20" s="51" t="s">
        <v>1174</v>
      </c>
      <c r="D20" s="51">
        <v>10050109</v>
      </c>
      <c r="E20" s="51" t="s">
        <v>3294</v>
      </c>
      <c r="F20" s="51" t="s">
        <v>1173</v>
      </c>
      <c r="G20" s="51" t="s">
        <v>258</v>
      </c>
      <c r="H20" s="51" t="s">
        <v>24</v>
      </c>
      <c r="I20" s="51" t="s">
        <v>289</v>
      </c>
      <c r="J20" s="53">
        <v>3.6</v>
      </c>
      <c r="K20" s="55">
        <v>100</v>
      </c>
      <c r="L20" s="55"/>
      <c r="M20" s="55"/>
      <c r="N20" s="57"/>
      <c r="O20" s="51"/>
      <c r="P20" s="53"/>
      <c r="Q20" s="55"/>
      <c r="R20" s="53"/>
      <c r="S20" s="53"/>
      <c r="T20" s="59"/>
      <c r="U20" s="55"/>
    </row>
    <row r="21" spans="1:21" x14ac:dyDescent="0.35">
      <c r="A21" s="50">
        <v>4000072</v>
      </c>
      <c r="B21" s="50" t="s">
        <v>1218</v>
      </c>
      <c r="C21" s="50" t="s">
        <v>1174</v>
      </c>
      <c r="D21" s="50">
        <v>10050109</v>
      </c>
      <c r="E21" s="50" t="s">
        <v>3294</v>
      </c>
      <c r="F21" s="50" t="s">
        <v>1173</v>
      </c>
      <c r="G21" s="50" t="s">
        <v>289</v>
      </c>
      <c r="H21" s="50" t="s">
        <v>24</v>
      </c>
      <c r="I21" s="50" t="s">
        <v>258</v>
      </c>
      <c r="J21" s="52">
        <v>2.96</v>
      </c>
      <c r="K21" s="54">
        <v>920</v>
      </c>
      <c r="L21" s="54">
        <v>37011</v>
      </c>
      <c r="M21" s="54">
        <v>24</v>
      </c>
      <c r="N21" s="56">
        <v>0.1764</v>
      </c>
      <c r="O21" s="50"/>
      <c r="P21" s="52"/>
      <c r="Q21" s="54"/>
      <c r="R21" s="52"/>
      <c r="S21" s="52"/>
      <c r="T21" s="58"/>
      <c r="U21" s="54"/>
    </row>
    <row r="22" spans="1:21" x14ac:dyDescent="0.35">
      <c r="A22" s="51">
        <v>4000077</v>
      </c>
      <c r="B22" s="51" t="s">
        <v>1222</v>
      </c>
      <c r="C22" s="51" t="s">
        <v>1174</v>
      </c>
      <c r="D22" s="51">
        <v>10050606</v>
      </c>
      <c r="E22" s="51" t="s">
        <v>3314</v>
      </c>
      <c r="F22" s="51" t="s">
        <v>1173</v>
      </c>
      <c r="G22" s="51" t="s">
        <v>289</v>
      </c>
      <c r="H22" s="51" t="s">
        <v>141</v>
      </c>
      <c r="I22" s="51" t="s">
        <v>258</v>
      </c>
      <c r="J22" s="53">
        <v>15.7</v>
      </c>
      <c r="K22" s="55">
        <v>405</v>
      </c>
      <c r="L22" s="55">
        <v>20973</v>
      </c>
      <c r="M22" s="55">
        <v>24</v>
      </c>
      <c r="N22" s="57">
        <v>0.25259999999999999</v>
      </c>
      <c r="O22" s="51"/>
      <c r="P22" s="53"/>
      <c r="Q22" s="55"/>
      <c r="R22" s="53"/>
      <c r="S22" s="53"/>
      <c r="T22" s="59"/>
      <c r="U22" s="55"/>
    </row>
    <row r="23" spans="1:21" x14ac:dyDescent="0.35">
      <c r="A23" s="50">
        <v>4000078</v>
      </c>
      <c r="B23" s="50" t="s">
        <v>1224</v>
      </c>
      <c r="C23" s="50" t="s">
        <v>1174</v>
      </c>
      <c r="D23" s="50">
        <v>10050606</v>
      </c>
      <c r="E23" s="50" t="s">
        <v>3314</v>
      </c>
      <c r="F23" s="50" t="s">
        <v>1173</v>
      </c>
      <c r="G23" s="50" t="s">
        <v>258</v>
      </c>
      <c r="H23" s="50" t="s">
        <v>24</v>
      </c>
      <c r="I23" s="50" t="s">
        <v>258</v>
      </c>
      <c r="J23" s="52">
        <v>1.4157999999999999</v>
      </c>
      <c r="K23" s="54">
        <v>1300</v>
      </c>
      <c r="L23" s="54">
        <v>11900</v>
      </c>
      <c r="M23" s="54">
        <v>22</v>
      </c>
      <c r="N23" s="56">
        <v>1.0275000000000001</v>
      </c>
      <c r="O23" s="50"/>
      <c r="P23" s="52"/>
      <c r="Q23" s="54"/>
      <c r="R23" s="52"/>
      <c r="S23" s="52"/>
      <c r="T23" s="58"/>
      <c r="U23" s="54"/>
    </row>
    <row r="24" spans="1:21" x14ac:dyDescent="0.35">
      <c r="A24" s="51">
        <v>4000084</v>
      </c>
      <c r="B24" s="51" t="s">
        <v>1228</v>
      </c>
      <c r="C24" s="51" t="s">
        <v>1174</v>
      </c>
      <c r="D24" s="51">
        <v>10030805</v>
      </c>
      <c r="E24" s="51" t="s">
        <v>3267</v>
      </c>
      <c r="F24" s="51" t="s">
        <v>1178</v>
      </c>
      <c r="G24" s="51" t="s">
        <v>258</v>
      </c>
      <c r="H24" s="51" t="s">
        <v>24</v>
      </c>
      <c r="I24" s="51" t="s">
        <v>258</v>
      </c>
      <c r="J24" s="53">
        <v>38.18</v>
      </c>
      <c r="K24" s="55">
        <v>129</v>
      </c>
      <c r="L24" s="55">
        <v>1168</v>
      </c>
      <c r="M24" s="55">
        <v>24</v>
      </c>
      <c r="N24" s="57">
        <v>0.37909999999999999</v>
      </c>
      <c r="O24" s="51"/>
      <c r="P24" s="53">
        <v>45826.559999999998</v>
      </c>
      <c r="Q24" s="55">
        <v>22</v>
      </c>
      <c r="R24" s="53">
        <v>2</v>
      </c>
      <c r="S24" s="53">
        <v>42</v>
      </c>
      <c r="T24" s="59"/>
      <c r="U24" s="55"/>
    </row>
    <row r="25" spans="1:21" x14ac:dyDescent="0.35">
      <c r="A25" s="50">
        <v>4000090</v>
      </c>
      <c r="B25" s="50" t="s">
        <v>1230</v>
      </c>
      <c r="C25" s="50" t="s">
        <v>1174</v>
      </c>
      <c r="D25" s="50">
        <v>10050801</v>
      </c>
      <c r="E25" s="50" t="s">
        <v>3321</v>
      </c>
      <c r="F25" s="50" t="s">
        <v>1173</v>
      </c>
      <c r="G25" s="50" t="s">
        <v>289</v>
      </c>
      <c r="H25" s="50"/>
      <c r="I25" s="50" t="s">
        <v>258</v>
      </c>
      <c r="J25" s="52">
        <v>6.73</v>
      </c>
      <c r="K25" s="54">
        <v>2700</v>
      </c>
      <c r="L25" s="54">
        <v>34586</v>
      </c>
      <c r="M25" s="54">
        <v>21</v>
      </c>
      <c r="N25" s="56">
        <v>0.57620000000000005</v>
      </c>
      <c r="O25" s="50"/>
      <c r="P25" s="52">
        <v>191655.84</v>
      </c>
      <c r="Q25" s="54">
        <v>27</v>
      </c>
      <c r="R25" s="52">
        <v>10.07</v>
      </c>
      <c r="S25" s="52">
        <v>282</v>
      </c>
      <c r="T25" s="58">
        <v>5</v>
      </c>
      <c r="U25" s="54">
        <v>1</v>
      </c>
    </row>
    <row r="26" spans="1:21" x14ac:dyDescent="0.35">
      <c r="A26" s="51">
        <v>4000094</v>
      </c>
      <c r="B26" s="51" t="s">
        <v>1232</v>
      </c>
      <c r="C26" s="51" t="s">
        <v>1174</v>
      </c>
      <c r="D26" s="51">
        <v>10050502</v>
      </c>
      <c r="E26" s="51" t="s">
        <v>3303</v>
      </c>
      <c r="F26" s="51" t="s">
        <v>1173</v>
      </c>
      <c r="G26" s="51" t="s">
        <v>271</v>
      </c>
      <c r="H26" s="51" t="s">
        <v>141</v>
      </c>
      <c r="I26" s="51" t="s">
        <v>258</v>
      </c>
      <c r="J26" s="53">
        <v>3.57</v>
      </c>
      <c r="K26" s="55">
        <v>3100</v>
      </c>
      <c r="L26" s="55">
        <v>452000</v>
      </c>
      <c r="M26" s="55">
        <v>24</v>
      </c>
      <c r="N26" s="57">
        <v>9.8900000000000002E-2</v>
      </c>
      <c r="O26" s="51"/>
      <c r="P26" s="53"/>
      <c r="Q26" s="55"/>
      <c r="R26" s="53"/>
      <c r="S26" s="53"/>
      <c r="T26" s="59"/>
      <c r="U26" s="55"/>
    </row>
    <row r="27" spans="1:21" x14ac:dyDescent="0.35">
      <c r="A27" s="50">
        <v>4000108</v>
      </c>
      <c r="B27" s="50" t="s">
        <v>1238</v>
      </c>
      <c r="C27" s="50" t="s">
        <v>1174</v>
      </c>
      <c r="D27" s="50">
        <v>10050606</v>
      </c>
      <c r="E27" s="50" t="s">
        <v>3314</v>
      </c>
      <c r="F27" s="50" t="s">
        <v>1173</v>
      </c>
      <c r="G27" s="50" t="s">
        <v>271</v>
      </c>
      <c r="H27" s="50" t="s">
        <v>141</v>
      </c>
      <c r="I27" s="50" t="s">
        <v>258</v>
      </c>
      <c r="J27" s="52">
        <v>16.940000000000001</v>
      </c>
      <c r="K27" s="54">
        <v>2899</v>
      </c>
      <c r="L27" s="54">
        <v>38001</v>
      </c>
      <c r="M27" s="54">
        <v>24</v>
      </c>
      <c r="N27" s="56">
        <v>0.22750000000000001</v>
      </c>
      <c r="O27" s="50"/>
      <c r="P27" s="52">
        <v>631652</v>
      </c>
      <c r="Q27" s="54">
        <v>67</v>
      </c>
      <c r="R27" s="52">
        <v>12.16</v>
      </c>
      <c r="S27" s="52">
        <v>791</v>
      </c>
      <c r="T27" s="58"/>
      <c r="U27" s="54"/>
    </row>
    <row r="28" spans="1:21" x14ac:dyDescent="0.35">
      <c r="A28" s="51">
        <v>4000273</v>
      </c>
      <c r="B28" s="51" t="s">
        <v>1240</v>
      </c>
      <c r="C28" s="51" t="s">
        <v>1174</v>
      </c>
      <c r="D28" s="51">
        <v>10050109</v>
      </c>
      <c r="E28" s="51" t="s">
        <v>3294</v>
      </c>
      <c r="F28" s="51" t="s">
        <v>1173</v>
      </c>
      <c r="G28" s="51" t="s">
        <v>271</v>
      </c>
      <c r="H28" s="51" t="s">
        <v>141</v>
      </c>
      <c r="I28" s="51" t="s">
        <v>289</v>
      </c>
      <c r="J28" s="53">
        <v>2.0499999999999998</v>
      </c>
      <c r="K28" s="55">
        <v>6120</v>
      </c>
      <c r="L28" s="55">
        <v>478770</v>
      </c>
      <c r="M28" s="55">
        <v>24</v>
      </c>
      <c r="N28" s="57">
        <v>8.1500000000000003E-2</v>
      </c>
      <c r="O28" s="51"/>
      <c r="P28" s="53">
        <v>416540.96</v>
      </c>
      <c r="Q28" s="55">
        <v>18</v>
      </c>
      <c r="R28" s="53">
        <v>363.56</v>
      </c>
      <c r="S28" s="53">
        <v>6544</v>
      </c>
      <c r="T28" s="59"/>
      <c r="U28" s="55"/>
    </row>
    <row r="29" spans="1:21" x14ac:dyDescent="0.35">
      <c r="A29" s="50">
        <v>4000274</v>
      </c>
      <c r="B29" s="50" t="s">
        <v>1242</v>
      </c>
      <c r="C29" s="50" t="s">
        <v>1174</v>
      </c>
      <c r="D29" s="50">
        <v>10050109</v>
      </c>
      <c r="E29" s="50" t="s">
        <v>3294</v>
      </c>
      <c r="F29" s="50" t="s">
        <v>1173</v>
      </c>
      <c r="G29" s="50" t="s">
        <v>271</v>
      </c>
      <c r="H29" s="50" t="s">
        <v>24</v>
      </c>
      <c r="I29" s="50" t="s">
        <v>271</v>
      </c>
      <c r="J29" s="52">
        <v>2.11</v>
      </c>
      <c r="K29" s="54">
        <v>10860</v>
      </c>
      <c r="L29" s="54">
        <v>1683680</v>
      </c>
      <c r="M29" s="54">
        <v>24</v>
      </c>
      <c r="N29" s="56">
        <v>8.0399999999999999E-2</v>
      </c>
      <c r="O29" s="50"/>
      <c r="P29" s="52"/>
      <c r="Q29" s="54"/>
      <c r="R29" s="52"/>
      <c r="S29" s="52"/>
      <c r="T29" s="58"/>
      <c r="U29" s="54"/>
    </row>
    <row r="30" spans="1:21" x14ac:dyDescent="0.35">
      <c r="A30" s="51">
        <v>4000275</v>
      </c>
      <c r="B30" s="51" t="s">
        <v>1244</v>
      </c>
      <c r="C30" s="51" t="s">
        <v>1174</v>
      </c>
      <c r="D30" s="51">
        <v>10050109</v>
      </c>
      <c r="E30" s="51" t="s">
        <v>3294</v>
      </c>
      <c r="F30" s="51" t="s">
        <v>1173</v>
      </c>
      <c r="G30" s="51" t="s">
        <v>258</v>
      </c>
      <c r="H30" s="51" t="s">
        <v>24</v>
      </c>
      <c r="I30" s="51" t="s">
        <v>258</v>
      </c>
      <c r="J30" s="53">
        <v>0.755</v>
      </c>
      <c r="K30" s="55">
        <v>2600</v>
      </c>
      <c r="L30" s="55">
        <v>86550</v>
      </c>
      <c r="M30" s="55">
        <v>24</v>
      </c>
      <c r="N30" s="57">
        <v>0.12540000000000001</v>
      </c>
      <c r="O30" s="51"/>
      <c r="P30" s="53"/>
      <c r="Q30" s="55"/>
      <c r="R30" s="53"/>
      <c r="S30" s="53"/>
      <c r="T30" s="59"/>
      <c r="U30" s="55"/>
    </row>
    <row r="31" spans="1:21" x14ac:dyDescent="0.35">
      <c r="A31" s="50">
        <v>4000276</v>
      </c>
      <c r="B31" s="50" t="s">
        <v>1246</v>
      </c>
      <c r="C31" s="50" t="s">
        <v>1174</v>
      </c>
      <c r="D31" s="50">
        <v>10050109</v>
      </c>
      <c r="E31" s="50" t="s">
        <v>3294</v>
      </c>
      <c r="F31" s="50" t="s">
        <v>1173</v>
      </c>
      <c r="G31" s="50" t="s">
        <v>258</v>
      </c>
      <c r="H31" s="50" t="s">
        <v>24</v>
      </c>
      <c r="I31" s="50" t="s">
        <v>258</v>
      </c>
      <c r="J31" s="52">
        <v>0.76</v>
      </c>
      <c r="K31" s="54">
        <v>900</v>
      </c>
      <c r="L31" s="54">
        <v>115300</v>
      </c>
      <c r="M31" s="54">
        <v>24</v>
      </c>
      <c r="N31" s="56">
        <v>0.14480000000000001</v>
      </c>
      <c r="O31" s="50"/>
      <c r="P31" s="52"/>
      <c r="Q31" s="54"/>
      <c r="R31" s="52"/>
      <c r="S31" s="52"/>
      <c r="T31" s="58"/>
      <c r="U31" s="54"/>
    </row>
    <row r="32" spans="1:21" x14ac:dyDescent="0.35">
      <c r="A32" s="51">
        <v>4000279</v>
      </c>
      <c r="B32" s="51" t="s">
        <v>1248</v>
      </c>
      <c r="C32" s="51" t="s">
        <v>1174</v>
      </c>
      <c r="D32" s="51">
        <v>10040101</v>
      </c>
      <c r="E32" s="51" t="s">
        <v>3279</v>
      </c>
      <c r="F32" s="51" t="s">
        <v>1173</v>
      </c>
      <c r="G32" s="51" t="s">
        <v>289</v>
      </c>
      <c r="H32" s="51" t="s">
        <v>141</v>
      </c>
      <c r="I32" s="51" t="s">
        <v>258</v>
      </c>
      <c r="J32" s="53">
        <v>0.31380000000000002</v>
      </c>
      <c r="K32" s="55">
        <v>1212</v>
      </c>
      <c r="L32" s="55">
        <v>116095</v>
      </c>
      <c r="M32" s="55">
        <v>24</v>
      </c>
      <c r="N32" s="57">
        <v>0.13650000000000001</v>
      </c>
      <c r="O32" s="51"/>
      <c r="P32" s="53"/>
      <c r="Q32" s="55"/>
      <c r="R32" s="53"/>
      <c r="S32" s="53"/>
      <c r="T32" s="59"/>
      <c r="U32" s="55"/>
    </row>
    <row r="33" spans="1:21" x14ac:dyDescent="0.35">
      <c r="A33" s="50">
        <v>4000286</v>
      </c>
      <c r="B33" s="50" t="s">
        <v>1252</v>
      </c>
      <c r="C33" s="50" t="s">
        <v>1174</v>
      </c>
      <c r="D33" s="50">
        <v>10050108</v>
      </c>
      <c r="E33" s="50" t="s">
        <v>3293</v>
      </c>
      <c r="F33" s="50" t="s">
        <v>1173</v>
      </c>
      <c r="G33" s="50" t="s">
        <v>271</v>
      </c>
      <c r="H33" s="50" t="s">
        <v>24</v>
      </c>
      <c r="I33" s="50" t="s">
        <v>289</v>
      </c>
      <c r="J33" s="52">
        <v>6.77</v>
      </c>
      <c r="K33" s="54">
        <v>1200</v>
      </c>
      <c r="L33" s="54">
        <v>193850</v>
      </c>
      <c r="M33" s="54">
        <v>24</v>
      </c>
      <c r="N33" s="56">
        <v>0.1183</v>
      </c>
      <c r="O33" s="50"/>
      <c r="P33" s="52">
        <v>34500</v>
      </c>
      <c r="Q33" s="54">
        <v>1</v>
      </c>
      <c r="R33" s="52">
        <v>100</v>
      </c>
      <c r="S33" s="52">
        <v>100</v>
      </c>
      <c r="T33" s="58">
        <v>3</v>
      </c>
      <c r="U33" s="54">
        <v>1</v>
      </c>
    </row>
    <row r="34" spans="1:21" x14ac:dyDescent="0.35">
      <c r="A34" s="51">
        <v>4000287</v>
      </c>
      <c r="B34" s="51" t="s">
        <v>1254</v>
      </c>
      <c r="C34" s="51" t="s">
        <v>1174</v>
      </c>
      <c r="D34" s="51">
        <v>10050108</v>
      </c>
      <c r="E34" s="51" t="s">
        <v>3293</v>
      </c>
      <c r="F34" s="51" t="s">
        <v>1173</v>
      </c>
      <c r="G34" s="51" t="s">
        <v>271</v>
      </c>
      <c r="H34" s="51" t="s">
        <v>24</v>
      </c>
      <c r="I34" s="51" t="s">
        <v>289</v>
      </c>
      <c r="J34" s="53">
        <v>6.71</v>
      </c>
      <c r="K34" s="55">
        <v>2950</v>
      </c>
      <c r="L34" s="55">
        <v>163050</v>
      </c>
      <c r="M34" s="55">
        <v>24</v>
      </c>
      <c r="N34" s="57">
        <v>0.1144</v>
      </c>
      <c r="O34" s="51"/>
      <c r="P34" s="53"/>
      <c r="Q34" s="55"/>
      <c r="R34" s="53"/>
      <c r="S34" s="53"/>
      <c r="T34" s="59">
        <v>3</v>
      </c>
      <c r="U34" s="55">
        <v>1</v>
      </c>
    </row>
    <row r="35" spans="1:21" x14ac:dyDescent="0.35">
      <c r="A35" s="50">
        <v>4000288</v>
      </c>
      <c r="B35" s="50" t="s">
        <v>1256</v>
      </c>
      <c r="C35" s="50" t="s">
        <v>1174</v>
      </c>
      <c r="D35" s="50">
        <v>10050108</v>
      </c>
      <c r="E35" s="50" t="s">
        <v>3293</v>
      </c>
      <c r="F35" s="50" t="s">
        <v>1173</v>
      </c>
      <c r="G35" s="50" t="s">
        <v>271</v>
      </c>
      <c r="H35" s="50" t="s">
        <v>24</v>
      </c>
      <c r="I35" s="50" t="s">
        <v>289</v>
      </c>
      <c r="J35" s="52">
        <v>6.75</v>
      </c>
      <c r="K35" s="54">
        <v>1000</v>
      </c>
      <c r="L35" s="54">
        <v>151700</v>
      </c>
      <c r="M35" s="54">
        <v>24</v>
      </c>
      <c r="N35" s="56">
        <v>0.1196</v>
      </c>
      <c r="O35" s="50"/>
      <c r="P35" s="52">
        <v>37950</v>
      </c>
      <c r="Q35" s="54">
        <v>1</v>
      </c>
      <c r="R35" s="52">
        <v>110</v>
      </c>
      <c r="S35" s="52">
        <v>110</v>
      </c>
      <c r="T35" s="58">
        <v>3</v>
      </c>
      <c r="U35" s="54">
        <v>1</v>
      </c>
    </row>
    <row r="36" spans="1:21" x14ac:dyDescent="0.35">
      <c r="A36" s="51">
        <v>4000290</v>
      </c>
      <c r="B36" s="51" t="s">
        <v>1258</v>
      </c>
      <c r="C36" s="51" t="s">
        <v>1174</v>
      </c>
      <c r="D36" s="51">
        <v>10050108</v>
      </c>
      <c r="E36" s="51" t="s">
        <v>3293</v>
      </c>
      <c r="F36" s="51" t="s">
        <v>1173</v>
      </c>
      <c r="G36" s="51" t="s">
        <v>258</v>
      </c>
      <c r="H36" s="51" t="s">
        <v>24</v>
      </c>
      <c r="I36" s="51" t="s">
        <v>258</v>
      </c>
      <c r="J36" s="53">
        <v>6.77</v>
      </c>
      <c r="K36" s="55">
        <v>700</v>
      </c>
      <c r="L36" s="55">
        <v>10500</v>
      </c>
      <c r="M36" s="55">
        <v>24</v>
      </c>
      <c r="N36" s="57">
        <v>0.28999999999999998</v>
      </c>
      <c r="O36" s="51"/>
      <c r="P36" s="53">
        <v>56060</v>
      </c>
      <c r="Q36" s="55">
        <v>9</v>
      </c>
      <c r="R36" s="53">
        <v>20</v>
      </c>
      <c r="S36" s="53">
        <v>180</v>
      </c>
      <c r="T36" s="59"/>
      <c r="U36" s="55"/>
    </row>
    <row r="37" spans="1:21" x14ac:dyDescent="0.35">
      <c r="A37" s="50">
        <v>4000291</v>
      </c>
      <c r="B37" s="50" t="s">
        <v>1260</v>
      </c>
      <c r="C37" s="50" t="s">
        <v>1174</v>
      </c>
      <c r="D37" s="50">
        <v>10050108</v>
      </c>
      <c r="E37" s="50" t="s">
        <v>3293</v>
      </c>
      <c r="F37" s="50" t="s">
        <v>1173</v>
      </c>
      <c r="G37" s="50" t="s">
        <v>258</v>
      </c>
      <c r="H37" s="50" t="s">
        <v>24</v>
      </c>
      <c r="I37" s="50" t="s">
        <v>258</v>
      </c>
      <c r="J37" s="52">
        <v>7.09</v>
      </c>
      <c r="K37" s="54">
        <v>350</v>
      </c>
      <c r="L37" s="54">
        <v>1750</v>
      </c>
      <c r="M37" s="54">
        <v>19</v>
      </c>
      <c r="N37" s="56">
        <v>0.74009999999999998</v>
      </c>
      <c r="O37" s="50"/>
      <c r="P37" s="52">
        <v>19376</v>
      </c>
      <c r="Q37" s="54">
        <v>11</v>
      </c>
      <c r="R37" s="52">
        <v>4</v>
      </c>
      <c r="S37" s="52">
        <v>40</v>
      </c>
      <c r="T37" s="58"/>
      <c r="U37" s="54"/>
    </row>
    <row r="38" spans="1:21" x14ac:dyDescent="0.35">
      <c r="A38" s="51">
        <v>4000310</v>
      </c>
      <c r="B38" s="51" t="s">
        <v>1262</v>
      </c>
      <c r="C38" s="51" t="s">
        <v>1174</v>
      </c>
      <c r="D38" s="51">
        <v>10050609</v>
      </c>
      <c r="E38" s="51" t="s">
        <v>3317</v>
      </c>
      <c r="F38" s="51" t="s">
        <v>1173</v>
      </c>
      <c r="G38" s="51" t="s">
        <v>289</v>
      </c>
      <c r="H38" s="51" t="s">
        <v>24</v>
      </c>
      <c r="I38" s="51" t="s">
        <v>258</v>
      </c>
      <c r="J38" s="53">
        <v>33.54</v>
      </c>
      <c r="K38" s="55">
        <v>124</v>
      </c>
      <c r="L38" s="55">
        <v>5519</v>
      </c>
      <c r="M38" s="55">
        <v>24</v>
      </c>
      <c r="N38" s="57">
        <v>0.18310000000000001</v>
      </c>
      <c r="O38" s="51"/>
      <c r="P38" s="53"/>
      <c r="Q38" s="55"/>
      <c r="R38" s="53"/>
      <c r="S38" s="53"/>
      <c r="T38" s="59"/>
      <c r="U38" s="55"/>
    </row>
    <row r="39" spans="1:21" x14ac:dyDescent="0.35">
      <c r="A39" s="50">
        <v>4000311</v>
      </c>
      <c r="B39" s="50" t="s">
        <v>1264</v>
      </c>
      <c r="C39" s="50" t="s">
        <v>1174</v>
      </c>
      <c r="D39" s="50">
        <v>10050609</v>
      </c>
      <c r="E39" s="50" t="s">
        <v>3317</v>
      </c>
      <c r="F39" s="50" t="s">
        <v>1173</v>
      </c>
      <c r="G39" s="50" t="s">
        <v>258</v>
      </c>
      <c r="H39" s="50" t="s">
        <v>24</v>
      </c>
      <c r="I39" s="50" t="s">
        <v>258</v>
      </c>
      <c r="J39" s="52">
        <v>32.99</v>
      </c>
      <c r="K39" s="54">
        <v>164</v>
      </c>
      <c r="L39" s="54">
        <v>3444</v>
      </c>
      <c r="M39" s="54">
        <v>24</v>
      </c>
      <c r="N39" s="56">
        <v>0.69350000000000001</v>
      </c>
      <c r="O39" s="50"/>
      <c r="P39" s="52"/>
      <c r="Q39" s="54"/>
      <c r="R39" s="52"/>
      <c r="S39" s="52"/>
      <c r="T39" s="58"/>
      <c r="U39" s="54"/>
    </row>
    <row r="40" spans="1:21" x14ac:dyDescent="0.35">
      <c r="A40" s="51">
        <v>4000312</v>
      </c>
      <c r="B40" s="51" t="s">
        <v>1266</v>
      </c>
      <c r="C40" s="51" t="s">
        <v>1174</v>
      </c>
      <c r="D40" s="51">
        <v>10050609</v>
      </c>
      <c r="E40" s="51" t="s">
        <v>3317</v>
      </c>
      <c r="F40" s="51" t="s">
        <v>1173</v>
      </c>
      <c r="G40" s="51" t="s">
        <v>258</v>
      </c>
      <c r="H40" s="51" t="s">
        <v>24</v>
      </c>
      <c r="I40" s="51" t="s">
        <v>258</v>
      </c>
      <c r="J40" s="53">
        <v>38.44</v>
      </c>
      <c r="K40" s="55">
        <v>136</v>
      </c>
      <c r="L40" s="55">
        <v>2206</v>
      </c>
      <c r="M40" s="55">
        <v>24</v>
      </c>
      <c r="N40" s="57">
        <v>0.18840000000000001</v>
      </c>
      <c r="O40" s="51"/>
      <c r="P40" s="53"/>
      <c r="Q40" s="55"/>
      <c r="R40" s="53"/>
      <c r="S40" s="53"/>
      <c r="T40" s="59"/>
      <c r="U40" s="55"/>
    </row>
    <row r="41" spans="1:21" x14ac:dyDescent="0.35">
      <c r="A41" s="50">
        <v>4000313</v>
      </c>
      <c r="B41" s="50" t="s">
        <v>1268</v>
      </c>
      <c r="C41" s="50" t="s">
        <v>1174</v>
      </c>
      <c r="D41" s="50">
        <v>10050609</v>
      </c>
      <c r="E41" s="50" t="s">
        <v>3317</v>
      </c>
      <c r="F41" s="50" t="s">
        <v>1173</v>
      </c>
      <c r="G41" s="50" t="s">
        <v>289</v>
      </c>
      <c r="H41" s="50" t="s">
        <v>24</v>
      </c>
      <c r="I41" s="50" t="s">
        <v>258</v>
      </c>
      <c r="J41" s="52">
        <v>76.45</v>
      </c>
      <c r="K41" s="54">
        <v>80</v>
      </c>
      <c r="L41" s="54">
        <v>2500</v>
      </c>
      <c r="M41" s="54">
        <v>24</v>
      </c>
      <c r="N41" s="56">
        <v>0.24149999999999999</v>
      </c>
      <c r="O41" s="50"/>
      <c r="P41" s="52"/>
      <c r="Q41" s="54"/>
      <c r="R41" s="52"/>
      <c r="S41" s="52"/>
      <c r="T41" s="58"/>
      <c r="U41" s="54"/>
    </row>
    <row r="42" spans="1:21" x14ac:dyDescent="0.35">
      <c r="A42" s="51">
        <v>4000314</v>
      </c>
      <c r="B42" s="51" t="s">
        <v>1270</v>
      </c>
      <c r="C42" s="51" t="s">
        <v>1174</v>
      </c>
      <c r="D42" s="51">
        <v>10050610</v>
      </c>
      <c r="E42" s="51" t="s">
        <v>3318</v>
      </c>
      <c r="F42" s="51" t="s">
        <v>1173</v>
      </c>
      <c r="G42" s="51" t="s">
        <v>289</v>
      </c>
      <c r="H42" s="51"/>
      <c r="I42" s="51" t="s">
        <v>258</v>
      </c>
      <c r="J42" s="53">
        <v>20.04</v>
      </c>
      <c r="K42" s="55">
        <v>1040</v>
      </c>
      <c r="L42" s="55">
        <v>15959</v>
      </c>
      <c r="M42" s="55">
        <v>24</v>
      </c>
      <c r="N42" s="57">
        <v>0.22919999999999999</v>
      </c>
      <c r="O42" s="51"/>
      <c r="P42" s="53">
        <v>261550</v>
      </c>
      <c r="Q42" s="55">
        <v>26</v>
      </c>
      <c r="R42" s="53">
        <v>11.92</v>
      </c>
      <c r="S42" s="53">
        <v>334</v>
      </c>
      <c r="T42" s="59"/>
      <c r="U42" s="55"/>
    </row>
    <row r="43" spans="1:21" x14ac:dyDescent="0.35">
      <c r="A43" s="50">
        <v>4000315</v>
      </c>
      <c r="B43" s="50" t="s">
        <v>1272</v>
      </c>
      <c r="C43" s="50" t="s">
        <v>1174</v>
      </c>
      <c r="D43" s="50">
        <v>10050610</v>
      </c>
      <c r="E43" s="50" t="s">
        <v>3318</v>
      </c>
      <c r="F43" s="50" t="s">
        <v>1173</v>
      </c>
      <c r="G43" s="50" t="s">
        <v>258</v>
      </c>
      <c r="H43" s="50" t="s">
        <v>24</v>
      </c>
      <c r="I43" s="50" t="s">
        <v>258</v>
      </c>
      <c r="J43" s="52">
        <v>128.31</v>
      </c>
      <c r="K43" s="54">
        <v>70</v>
      </c>
      <c r="L43" s="54">
        <v>540</v>
      </c>
      <c r="M43" s="54">
        <v>24</v>
      </c>
      <c r="N43" s="56">
        <v>0.36849999999999999</v>
      </c>
      <c r="O43" s="50"/>
      <c r="P43" s="52">
        <v>60525</v>
      </c>
      <c r="Q43" s="54">
        <v>17</v>
      </c>
      <c r="R43" s="52">
        <v>3</v>
      </c>
      <c r="S43" s="52">
        <v>51</v>
      </c>
      <c r="T43" s="58"/>
      <c r="U43" s="54"/>
    </row>
    <row r="44" spans="1:21" x14ac:dyDescent="0.35">
      <c r="A44" s="51">
        <v>4000316</v>
      </c>
      <c r="B44" s="51" t="s">
        <v>1274</v>
      </c>
      <c r="C44" s="51" t="s">
        <v>1174</v>
      </c>
      <c r="D44" s="51">
        <v>10050610</v>
      </c>
      <c r="E44" s="51" t="s">
        <v>3318</v>
      </c>
      <c r="F44" s="51" t="s">
        <v>1173</v>
      </c>
      <c r="G44" s="51" t="s">
        <v>271</v>
      </c>
      <c r="H44" s="51" t="s">
        <v>24</v>
      </c>
      <c r="I44" s="51" t="s">
        <v>258</v>
      </c>
      <c r="J44" s="53">
        <v>131.25</v>
      </c>
      <c r="K44" s="55">
        <v>68</v>
      </c>
      <c r="L44" s="55">
        <v>2312</v>
      </c>
      <c r="M44" s="55">
        <v>24</v>
      </c>
      <c r="N44" s="57">
        <v>0.17399999999999999</v>
      </c>
      <c r="O44" s="51"/>
      <c r="P44" s="53"/>
      <c r="Q44" s="55"/>
      <c r="R44" s="53"/>
      <c r="S44" s="53"/>
      <c r="T44" s="59"/>
      <c r="U44" s="55"/>
    </row>
    <row r="45" spans="1:21" x14ac:dyDescent="0.35">
      <c r="A45" s="50">
        <v>4000319</v>
      </c>
      <c r="B45" s="50" t="s">
        <v>1276</v>
      </c>
      <c r="C45" s="50" t="s">
        <v>1174</v>
      </c>
      <c r="D45" s="50">
        <v>10050610</v>
      </c>
      <c r="E45" s="50" t="s">
        <v>3318</v>
      </c>
      <c r="F45" s="50" t="s">
        <v>1173</v>
      </c>
      <c r="G45" s="50" t="s">
        <v>289</v>
      </c>
      <c r="H45" s="50" t="s">
        <v>24</v>
      </c>
      <c r="I45" s="50" t="s">
        <v>258</v>
      </c>
      <c r="J45" s="52">
        <v>193.1</v>
      </c>
      <c r="K45" s="54">
        <v>60</v>
      </c>
      <c r="L45" s="54">
        <v>1520</v>
      </c>
      <c r="M45" s="54">
        <v>24</v>
      </c>
      <c r="N45" s="56">
        <v>0.217</v>
      </c>
      <c r="O45" s="50"/>
      <c r="P45" s="52">
        <v>163710</v>
      </c>
      <c r="Q45" s="54">
        <v>23</v>
      </c>
      <c r="R45" s="52">
        <v>6</v>
      </c>
      <c r="S45" s="52">
        <v>138</v>
      </c>
      <c r="T45" s="58"/>
      <c r="U45" s="54"/>
    </row>
    <row r="46" spans="1:21" x14ac:dyDescent="0.35">
      <c r="A46" s="51">
        <v>4000323</v>
      </c>
      <c r="B46" s="51" t="s">
        <v>1278</v>
      </c>
      <c r="C46" s="51" t="s">
        <v>1174</v>
      </c>
      <c r="D46" s="51">
        <v>10050701</v>
      </c>
      <c r="E46" s="51" t="s">
        <v>3320</v>
      </c>
      <c r="F46" s="51" t="s">
        <v>1173</v>
      </c>
      <c r="G46" s="51" t="s">
        <v>258</v>
      </c>
      <c r="H46" s="51" t="s">
        <v>141</v>
      </c>
      <c r="I46" s="51" t="s">
        <v>258</v>
      </c>
      <c r="J46" s="53">
        <v>1E-4</v>
      </c>
      <c r="K46" s="55">
        <v>140</v>
      </c>
      <c r="L46" s="55">
        <v>2460</v>
      </c>
      <c r="M46" s="55">
        <v>20</v>
      </c>
      <c r="N46" s="57">
        <v>0.61460000000000004</v>
      </c>
      <c r="O46" s="51"/>
      <c r="P46" s="53">
        <v>0.68</v>
      </c>
      <c r="Q46" s="55">
        <v>20</v>
      </c>
      <c r="R46" s="53">
        <v>4</v>
      </c>
      <c r="S46" s="53">
        <v>84</v>
      </c>
      <c r="T46" s="59"/>
      <c r="U46" s="55"/>
    </row>
    <row r="47" spans="1:21" x14ac:dyDescent="0.35">
      <c r="A47" s="50">
        <v>4000324</v>
      </c>
      <c r="B47" s="50" t="s">
        <v>1280</v>
      </c>
      <c r="C47" s="50" t="s">
        <v>1174</v>
      </c>
      <c r="D47" s="50">
        <v>10050701</v>
      </c>
      <c r="E47" s="50" t="s">
        <v>3320</v>
      </c>
      <c r="F47" s="50" t="s">
        <v>1173</v>
      </c>
      <c r="G47" s="50" t="s">
        <v>258</v>
      </c>
      <c r="H47" s="50" t="s">
        <v>141</v>
      </c>
      <c r="I47" s="50" t="s">
        <v>258</v>
      </c>
      <c r="J47" s="52">
        <v>1E-4</v>
      </c>
      <c r="K47" s="54">
        <v>270</v>
      </c>
      <c r="L47" s="54">
        <v>3480</v>
      </c>
      <c r="M47" s="54">
        <v>23</v>
      </c>
      <c r="N47" s="56">
        <v>0.5091</v>
      </c>
      <c r="O47" s="50"/>
      <c r="P47" s="52">
        <v>0.81</v>
      </c>
      <c r="Q47" s="54">
        <v>57</v>
      </c>
      <c r="R47" s="52">
        <v>2.0499999999999998</v>
      </c>
      <c r="S47" s="52">
        <v>131</v>
      </c>
      <c r="T47" s="58"/>
      <c r="U47" s="54"/>
    </row>
    <row r="48" spans="1:21" x14ac:dyDescent="0.35">
      <c r="A48" s="51">
        <v>4000325</v>
      </c>
      <c r="B48" s="51" t="s">
        <v>1282</v>
      </c>
      <c r="C48" s="51" t="s">
        <v>1174</v>
      </c>
      <c r="D48" s="51">
        <v>10050404</v>
      </c>
      <c r="E48" s="51" t="s">
        <v>3301</v>
      </c>
      <c r="F48" s="51" t="s">
        <v>1173</v>
      </c>
      <c r="G48" s="51" t="s">
        <v>258</v>
      </c>
      <c r="H48" s="51" t="s">
        <v>141</v>
      </c>
      <c r="I48" s="51" t="s">
        <v>258</v>
      </c>
      <c r="J48" s="53">
        <v>0.7</v>
      </c>
      <c r="K48" s="55">
        <v>90</v>
      </c>
      <c r="L48" s="55">
        <v>630</v>
      </c>
      <c r="M48" s="55">
        <v>14</v>
      </c>
      <c r="N48" s="57">
        <v>1.0067999999999999</v>
      </c>
      <c r="O48" s="51"/>
      <c r="P48" s="53">
        <v>60</v>
      </c>
      <c r="Q48" s="55">
        <v>10</v>
      </c>
      <c r="R48" s="53">
        <v>2</v>
      </c>
      <c r="S48" s="53">
        <v>20</v>
      </c>
      <c r="T48" s="59"/>
      <c r="U48" s="55"/>
    </row>
    <row r="49" spans="1:21" x14ac:dyDescent="0.35">
      <c r="A49" s="50">
        <v>4000328</v>
      </c>
      <c r="B49" s="50" t="s">
        <v>1284</v>
      </c>
      <c r="C49" s="50" t="s">
        <v>1174</v>
      </c>
      <c r="D49" s="50">
        <v>10050701</v>
      </c>
      <c r="E49" s="50" t="s">
        <v>3320</v>
      </c>
      <c r="F49" s="50" t="s">
        <v>1173</v>
      </c>
      <c r="G49" s="50" t="s">
        <v>258</v>
      </c>
      <c r="H49" s="50" t="s">
        <v>141</v>
      </c>
      <c r="I49" s="50" t="s">
        <v>258</v>
      </c>
      <c r="J49" s="52">
        <v>0.01</v>
      </c>
      <c r="K49" s="54">
        <v>70</v>
      </c>
      <c r="L49" s="54">
        <v>270</v>
      </c>
      <c r="M49" s="54">
        <v>12</v>
      </c>
      <c r="N49" s="56">
        <v>1.2388999999999999</v>
      </c>
      <c r="O49" s="50"/>
      <c r="P49" s="52">
        <v>0.24</v>
      </c>
      <c r="Q49" s="54">
        <v>7</v>
      </c>
      <c r="R49" s="52">
        <v>4</v>
      </c>
      <c r="S49" s="52">
        <v>32</v>
      </c>
      <c r="T49" s="58"/>
      <c r="U49" s="54"/>
    </row>
    <row r="50" spans="1:21" x14ac:dyDescent="0.35">
      <c r="A50" s="51">
        <v>4000330</v>
      </c>
      <c r="B50" s="51" t="s">
        <v>1286</v>
      </c>
      <c r="C50" s="51" t="s">
        <v>1174</v>
      </c>
      <c r="D50" s="51">
        <v>10050404</v>
      </c>
      <c r="E50" s="51" t="s">
        <v>3301</v>
      </c>
      <c r="F50" s="51" t="s">
        <v>1173</v>
      </c>
      <c r="G50" s="51" t="s">
        <v>258</v>
      </c>
      <c r="H50" s="51" t="s">
        <v>141</v>
      </c>
      <c r="I50" s="51" t="s">
        <v>258</v>
      </c>
      <c r="J50" s="53">
        <v>0.78449999999999998</v>
      </c>
      <c r="K50" s="55">
        <v>110</v>
      </c>
      <c r="L50" s="55">
        <v>1460</v>
      </c>
      <c r="M50" s="55">
        <v>24</v>
      </c>
      <c r="N50" s="57">
        <v>0.79110000000000003</v>
      </c>
      <c r="O50" s="51"/>
      <c r="P50" s="53">
        <v>420</v>
      </c>
      <c r="Q50" s="55">
        <v>10</v>
      </c>
      <c r="R50" s="53">
        <v>5</v>
      </c>
      <c r="S50" s="53">
        <v>45</v>
      </c>
      <c r="T50" s="59"/>
      <c r="U50" s="55"/>
    </row>
    <row r="51" spans="1:21" x14ac:dyDescent="0.35">
      <c r="A51" s="50">
        <v>4000331</v>
      </c>
      <c r="B51" s="50" t="s">
        <v>1288</v>
      </c>
      <c r="C51" s="50" t="s">
        <v>1174</v>
      </c>
      <c r="D51" s="50">
        <v>10050404</v>
      </c>
      <c r="E51" s="50" t="s">
        <v>3301</v>
      </c>
      <c r="F51" s="50" t="s">
        <v>1173</v>
      </c>
      <c r="G51" s="50" t="s">
        <v>258</v>
      </c>
      <c r="H51" s="50" t="s">
        <v>24</v>
      </c>
      <c r="I51" s="50" t="s">
        <v>258</v>
      </c>
      <c r="J51" s="52">
        <v>0.81759999999999999</v>
      </c>
      <c r="K51" s="54">
        <v>420</v>
      </c>
      <c r="L51" s="54">
        <v>6230</v>
      </c>
      <c r="M51" s="54">
        <v>24</v>
      </c>
      <c r="N51" s="56">
        <v>0.36799999999999999</v>
      </c>
      <c r="O51" s="50"/>
      <c r="P51" s="52">
        <v>1200</v>
      </c>
      <c r="Q51" s="54">
        <v>22</v>
      </c>
      <c r="R51" s="52">
        <v>10</v>
      </c>
      <c r="S51" s="52">
        <v>220</v>
      </c>
      <c r="T51" s="58"/>
      <c r="U51" s="54"/>
    </row>
    <row r="52" spans="1:21" x14ac:dyDescent="0.35">
      <c r="A52" s="51">
        <v>4000332</v>
      </c>
      <c r="B52" s="51" t="s">
        <v>1290</v>
      </c>
      <c r="C52" s="51" t="s">
        <v>1174</v>
      </c>
      <c r="D52" s="51">
        <v>10050404</v>
      </c>
      <c r="E52" s="51" t="s">
        <v>3301</v>
      </c>
      <c r="F52" s="51" t="s">
        <v>1173</v>
      </c>
      <c r="G52" s="51" t="s">
        <v>258</v>
      </c>
      <c r="H52" s="51" t="s">
        <v>24</v>
      </c>
      <c r="I52" s="51" t="s">
        <v>258</v>
      </c>
      <c r="J52" s="53">
        <v>0.8669</v>
      </c>
      <c r="K52" s="55">
        <v>442</v>
      </c>
      <c r="L52" s="55">
        <v>6623</v>
      </c>
      <c r="M52" s="55">
        <v>24</v>
      </c>
      <c r="N52" s="57">
        <v>0.37230000000000002</v>
      </c>
      <c r="O52" s="51"/>
      <c r="P52" s="53">
        <v>1500</v>
      </c>
      <c r="Q52" s="55">
        <v>23</v>
      </c>
      <c r="R52" s="53">
        <v>10</v>
      </c>
      <c r="S52" s="53">
        <v>230</v>
      </c>
      <c r="T52" s="59"/>
      <c r="U52" s="55"/>
    </row>
    <row r="53" spans="1:21" x14ac:dyDescent="0.35">
      <c r="A53" s="50">
        <v>4000333</v>
      </c>
      <c r="B53" s="50" t="s">
        <v>1292</v>
      </c>
      <c r="C53" s="50" t="s">
        <v>1174</v>
      </c>
      <c r="D53" s="50">
        <v>10050404</v>
      </c>
      <c r="E53" s="50" t="s">
        <v>3301</v>
      </c>
      <c r="F53" s="50" t="s">
        <v>1173</v>
      </c>
      <c r="G53" s="50" t="s">
        <v>258</v>
      </c>
      <c r="H53" s="50" t="s">
        <v>141</v>
      </c>
      <c r="I53" s="50" t="s">
        <v>258</v>
      </c>
      <c r="J53" s="52">
        <v>0.6845</v>
      </c>
      <c r="K53" s="54">
        <v>245</v>
      </c>
      <c r="L53" s="54">
        <v>1490</v>
      </c>
      <c r="M53" s="54">
        <v>24</v>
      </c>
      <c r="N53" s="56">
        <v>0.79010000000000002</v>
      </c>
      <c r="O53" s="50"/>
      <c r="P53" s="52">
        <v>261</v>
      </c>
      <c r="Q53" s="54">
        <v>13</v>
      </c>
      <c r="R53" s="52">
        <v>3.92</v>
      </c>
      <c r="S53" s="52">
        <v>51</v>
      </c>
      <c r="T53" s="58"/>
      <c r="U53" s="54"/>
    </row>
    <row r="54" spans="1:21" x14ac:dyDescent="0.35">
      <c r="A54" s="51">
        <v>4000334</v>
      </c>
      <c r="B54" s="51" t="s">
        <v>1294</v>
      </c>
      <c r="C54" s="51" t="s">
        <v>1174</v>
      </c>
      <c r="D54" s="51">
        <v>10050404</v>
      </c>
      <c r="E54" s="51" t="s">
        <v>3301</v>
      </c>
      <c r="F54" s="51" t="s">
        <v>1173</v>
      </c>
      <c r="G54" s="51" t="s">
        <v>258</v>
      </c>
      <c r="H54" s="51" t="s">
        <v>141</v>
      </c>
      <c r="I54" s="51" t="s">
        <v>258</v>
      </c>
      <c r="J54" s="53">
        <v>0.01</v>
      </c>
      <c r="K54" s="55">
        <v>60</v>
      </c>
      <c r="L54" s="55">
        <v>265</v>
      </c>
      <c r="M54" s="55">
        <v>13</v>
      </c>
      <c r="N54" s="57">
        <v>1.5466</v>
      </c>
      <c r="O54" s="51"/>
      <c r="P54" s="53">
        <v>51</v>
      </c>
      <c r="Q54" s="55">
        <v>8</v>
      </c>
      <c r="R54" s="53">
        <v>1</v>
      </c>
      <c r="S54" s="53">
        <v>8</v>
      </c>
      <c r="T54" s="59"/>
      <c r="U54" s="55"/>
    </row>
    <row r="55" spans="1:21" x14ac:dyDescent="0.35">
      <c r="A55" s="50">
        <v>4000340</v>
      </c>
      <c r="B55" s="50" t="s">
        <v>1296</v>
      </c>
      <c r="C55" s="50" t="s">
        <v>1174</v>
      </c>
      <c r="D55" s="50">
        <v>10050404</v>
      </c>
      <c r="E55" s="50" t="s">
        <v>3301</v>
      </c>
      <c r="F55" s="50" t="s">
        <v>1173</v>
      </c>
      <c r="G55" s="50" t="s">
        <v>258</v>
      </c>
      <c r="H55" s="50" t="s">
        <v>141</v>
      </c>
      <c r="I55" s="50" t="s">
        <v>258</v>
      </c>
      <c r="J55" s="52">
        <v>0.81289999999999996</v>
      </c>
      <c r="K55" s="54">
        <v>345</v>
      </c>
      <c r="L55" s="54">
        <v>2880</v>
      </c>
      <c r="M55" s="54">
        <v>24</v>
      </c>
      <c r="N55" s="56">
        <v>0.47670000000000001</v>
      </c>
      <c r="O55" s="50"/>
      <c r="P55" s="52">
        <v>840</v>
      </c>
      <c r="Q55" s="54">
        <v>10</v>
      </c>
      <c r="R55" s="52">
        <v>10</v>
      </c>
      <c r="S55" s="52">
        <v>100</v>
      </c>
      <c r="T55" s="58"/>
      <c r="U55" s="54"/>
    </row>
    <row r="56" spans="1:21" x14ac:dyDescent="0.35">
      <c r="A56" s="51">
        <v>4000341</v>
      </c>
      <c r="B56" s="51" t="s">
        <v>1298</v>
      </c>
      <c r="C56" s="51" t="s">
        <v>1174</v>
      </c>
      <c r="D56" s="51">
        <v>10050404</v>
      </c>
      <c r="E56" s="51" t="s">
        <v>3301</v>
      </c>
      <c r="F56" s="51" t="s">
        <v>1173</v>
      </c>
      <c r="G56" s="51" t="s">
        <v>258</v>
      </c>
      <c r="H56" s="51" t="s">
        <v>24</v>
      </c>
      <c r="I56" s="51" t="s">
        <v>258</v>
      </c>
      <c r="J56" s="53">
        <v>0.95399999999999996</v>
      </c>
      <c r="K56" s="55">
        <v>700</v>
      </c>
      <c r="L56" s="55">
        <v>35131</v>
      </c>
      <c r="M56" s="55">
        <v>24</v>
      </c>
      <c r="N56" s="57">
        <v>0.1469</v>
      </c>
      <c r="O56" s="51"/>
      <c r="P56" s="53"/>
      <c r="Q56" s="55"/>
      <c r="R56" s="53"/>
      <c r="S56" s="53"/>
      <c r="T56" s="59"/>
      <c r="U56" s="55"/>
    </row>
    <row r="57" spans="1:21" x14ac:dyDescent="0.35">
      <c r="A57" s="50">
        <v>4000342</v>
      </c>
      <c r="B57" s="50" t="s">
        <v>1300</v>
      </c>
      <c r="C57" s="50" t="s">
        <v>1174</v>
      </c>
      <c r="D57" s="50">
        <v>10050404</v>
      </c>
      <c r="E57" s="50" t="s">
        <v>3301</v>
      </c>
      <c r="F57" s="50" t="s">
        <v>1173</v>
      </c>
      <c r="G57" s="50" t="s">
        <v>258</v>
      </c>
      <c r="H57" s="50" t="s">
        <v>141</v>
      </c>
      <c r="I57" s="50" t="s">
        <v>258</v>
      </c>
      <c r="J57" s="52">
        <v>0.95760000000000001</v>
      </c>
      <c r="K57" s="54">
        <v>450</v>
      </c>
      <c r="L57" s="54">
        <v>8900</v>
      </c>
      <c r="M57" s="54">
        <v>24</v>
      </c>
      <c r="N57" s="56">
        <v>0.26650000000000001</v>
      </c>
      <c r="O57" s="50"/>
      <c r="P57" s="52">
        <v>1770</v>
      </c>
      <c r="Q57" s="54">
        <v>23</v>
      </c>
      <c r="R57" s="52">
        <v>10</v>
      </c>
      <c r="S57" s="52">
        <v>230</v>
      </c>
      <c r="T57" s="58"/>
      <c r="U57" s="54"/>
    </row>
    <row r="58" spans="1:21" x14ac:dyDescent="0.35">
      <c r="A58" s="51">
        <v>4000343</v>
      </c>
      <c r="B58" s="51" t="s">
        <v>1302</v>
      </c>
      <c r="C58" s="51" t="s">
        <v>1174</v>
      </c>
      <c r="D58" s="51">
        <v>10050404</v>
      </c>
      <c r="E58" s="51" t="s">
        <v>3301</v>
      </c>
      <c r="F58" s="51" t="s">
        <v>1180</v>
      </c>
      <c r="G58" s="51" t="s">
        <v>258</v>
      </c>
      <c r="H58" s="51" t="s">
        <v>757</v>
      </c>
      <c r="I58" s="51" t="s">
        <v>258</v>
      </c>
      <c r="J58" s="53">
        <v>0.5645</v>
      </c>
      <c r="K58" s="55">
        <v>200</v>
      </c>
      <c r="L58" s="55">
        <v>7880</v>
      </c>
      <c r="M58" s="55">
        <v>24</v>
      </c>
      <c r="N58" s="57">
        <v>0.1663</v>
      </c>
      <c r="O58" s="51"/>
      <c r="P58" s="53">
        <v>1660</v>
      </c>
      <c r="Q58" s="55">
        <v>38</v>
      </c>
      <c r="R58" s="53">
        <v>38.950000000000003</v>
      </c>
      <c r="S58" s="53">
        <v>1480</v>
      </c>
      <c r="T58" s="59"/>
      <c r="U58" s="55"/>
    </row>
    <row r="59" spans="1:21" x14ac:dyDescent="0.35">
      <c r="A59" s="50">
        <v>4000396</v>
      </c>
      <c r="B59" s="50" t="s">
        <v>1304</v>
      </c>
      <c r="C59" s="50" t="s">
        <v>1174</v>
      </c>
      <c r="D59" s="50">
        <v>10040604</v>
      </c>
      <c r="E59" s="50" t="s">
        <v>3283</v>
      </c>
      <c r="F59" s="50" t="s">
        <v>1173</v>
      </c>
      <c r="G59" s="50" t="s">
        <v>271</v>
      </c>
      <c r="H59" s="50" t="s">
        <v>24</v>
      </c>
      <c r="I59" s="50" t="s">
        <v>289</v>
      </c>
      <c r="J59" s="52">
        <v>4.1900000000000004</v>
      </c>
      <c r="K59" s="54">
        <v>980</v>
      </c>
      <c r="L59" s="54">
        <v>100101</v>
      </c>
      <c r="M59" s="54">
        <v>24</v>
      </c>
      <c r="N59" s="56">
        <v>0.1177</v>
      </c>
      <c r="O59" s="50"/>
      <c r="P59" s="52"/>
      <c r="Q59" s="54"/>
      <c r="R59" s="52"/>
      <c r="S59" s="52"/>
      <c r="T59" s="58"/>
      <c r="U59" s="54"/>
    </row>
    <row r="60" spans="1:21" x14ac:dyDescent="0.35">
      <c r="A60" s="51">
        <v>4000403</v>
      </c>
      <c r="B60" s="51" t="s">
        <v>1306</v>
      </c>
      <c r="C60" s="51" t="s">
        <v>1174</v>
      </c>
      <c r="D60" s="51">
        <v>10050606</v>
      </c>
      <c r="E60" s="51" t="s">
        <v>3314</v>
      </c>
      <c r="F60" s="51" t="s">
        <v>1173</v>
      </c>
      <c r="G60" s="51" t="s">
        <v>258</v>
      </c>
      <c r="H60" s="51" t="s">
        <v>24</v>
      </c>
      <c r="I60" s="51" t="s">
        <v>258</v>
      </c>
      <c r="J60" s="53">
        <v>2.0123000000000002</v>
      </c>
      <c r="K60" s="55">
        <v>1100</v>
      </c>
      <c r="L60" s="55">
        <v>13700</v>
      </c>
      <c r="M60" s="55">
        <v>24</v>
      </c>
      <c r="N60" s="57">
        <v>0.51439999999999997</v>
      </c>
      <c r="O60" s="51"/>
      <c r="P60" s="53">
        <v>15840</v>
      </c>
      <c r="Q60" s="55">
        <v>21</v>
      </c>
      <c r="R60" s="53">
        <v>6.26</v>
      </c>
      <c r="S60" s="53">
        <v>144</v>
      </c>
      <c r="T60" s="59"/>
      <c r="U60" s="55"/>
    </row>
    <row r="61" spans="1:21" x14ac:dyDescent="0.35">
      <c r="A61" s="50">
        <v>4000406</v>
      </c>
      <c r="B61" s="50" t="s">
        <v>1308</v>
      </c>
      <c r="C61" s="50" t="s">
        <v>1174</v>
      </c>
      <c r="D61" s="50">
        <v>10050103</v>
      </c>
      <c r="E61" s="50" t="s">
        <v>3290</v>
      </c>
      <c r="F61" s="50" t="s">
        <v>1173</v>
      </c>
      <c r="G61" s="50" t="s">
        <v>271</v>
      </c>
      <c r="H61" s="50" t="s">
        <v>24</v>
      </c>
      <c r="I61" s="50" t="s">
        <v>258</v>
      </c>
      <c r="J61" s="52">
        <v>16.100000000000001</v>
      </c>
      <c r="K61" s="54">
        <v>2730</v>
      </c>
      <c r="L61" s="54">
        <v>83905</v>
      </c>
      <c r="M61" s="54">
        <v>24</v>
      </c>
      <c r="N61" s="56">
        <v>8.5500000000000007E-2</v>
      </c>
      <c r="O61" s="50"/>
      <c r="P61" s="52"/>
      <c r="Q61" s="54"/>
      <c r="R61" s="52"/>
      <c r="S61" s="52"/>
      <c r="T61" s="58"/>
      <c r="U61" s="54"/>
    </row>
    <row r="62" spans="1:21" x14ac:dyDescent="0.35">
      <c r="A62" s="51">
        <v>4000411</v>
      </c>
      <c r="B62" s="51" t="s">
        <v>1310</v>
      </c>
      <c r="C62" s="51" t="s">
        <v>1174</v>
      </c>
      <c r="D62" s="51">
        <v>10030801</v>
      </c>
      <c r="E62" s="51" t="s">
        <v>3266</v>
      </c>
      <c r="F62" s="51" t="s">
        <v>1178</v>
      </c>
      <c r="G62" s="51" t="s">
        <v>258</v>
      </c>
      <c r="H62" s="51" t="s">
        <v>757</v>
      </c>
      <c r="I62" s="51" t="s">
        <v>258</v>
      </c>
      <c r="J62" s="53">
        <v>177.06</v>
      </c>
      <c r="K62" s="55">
        <v>14</v>
      </c>
      <c r="L62" s="55">
        <v>60</v>
      </c>
      <c r="M62" s="55">
        <v>21</v>
      </c>
      <c r="N62" s="57">
        <v>0.70240000000000002</v>
      </c>
      <c r="O62" s="51"/>
      <c r="P62" s="53">
        <v>11800.56</v>
      </c>
      <c r="Q62" s="55">
        <v>17</v>
      </c>
      <c r="R62" s="53">
        <v>1</v>
      </c>
      <c r="S62" s="53">
        <v>17</v>
      </c>
      <c r="T62" s="59"/>
      <c r="U62" s="55"/>
    </row>
    <row r="63" spans="1:21" x14ac:dyDescent="0.35">
      <c r="A63" s="50">
        <v>4000412</v>
      </c>
      <c r="B63" s="50" t="s">
        <v>1312</v>
      </c>
      <c r="C63" s="50" t="s">
        <v>1174</v>
      </c>
      <c r="D63" s="50">
        <v>10030801</v>
      </c>
      <c r="E63" s="50" t="s">
        <v>3266</v>
      </c>
      <c r="F63" s="50" t="s">
        <v>1178</v>
      </c>
      <c r="G63" s="50" t="s">
        <v>258</v>
      </c>
      <c r="H63" s="50" t="s">
        <v>24</v>
      </c>
      <c r="I63" s="50" t="s">
        <v>258</v>
      </c>
      <c r="J63" s="52">
        <v>232.28</v>
      </c>
      <c r="K63" s="54">
        <v>19</v>
      </c>
      <c r="L63" s="54">
        <v>110</v>
      </c>
      <c r="M63" s="54">
        <v>24</v>
      </c>
      <c r="N63" s="56">
        <v>0.55600000000000005</v>
      </c>
      <c r="O63" s="50"/>
      <c r="P63" s="52">
        <v>22414.799999999999</v>
      </c>
      <c r="Q63" s="54">
        <v>17</v>
      </c>
      <c r="R63" s="52">
        <v>2</v>
      </c>
      <c r="S63" s="52">
        <v>34</v>
      </c>
      <c r="T63" s="58"/>
      <c r="U63" s="54"/>
    </row>
    <row r="64" spans="1:21" x14ac:dyDescent="0.35">
      <c r="A64" s="51">
        <v>4000413</v>
      </c>
      <c r="B64" s="51" t="s">
        <v>1314</v>
      </c>
      <c r="C64" s="51" t="s">
        <v>1174</v>
      </c>
      <c r="D64" s="51">
        <v>10030801</v>
      </c>
      <c r="E64" s="51" t="s">
        <v>3266</v>
      </c>
      <c r="F64" s="51" t="s">
        <v>1178</v>
      </c>
      <c r="G64" s="51" t="s">
        <v>258</v>
      </c>
      <c r="H64" s="51"/>
      <c r="I64" s="51" t="s">
        <v>258</v>
      </c>
      <c r="J64" s="53">
        <v>331.15</v>
      </c>
      <c r="K64" s="55">
        <v>14</v>
      </c>
      <c r="L64" s="55">
        <v>107</v>
      </c>
      <c r="M64" s="55">
        <v>24</v>
      </c>
      <c r="N64" s="57">
        <v>0.38840000000000002</v>
      </c>
      <c r="O64" s="51"/>
      <c r="P64" s="53">
        <v>34680.6</v>
      </c>
      <c r="Q64" s="55">
        <v>26</v>
      </c>
      <c r="R64" s="53">
        <v>2</v>
      </c>
      <c r="S64" s="53">
        <v>52</v>
      </c>
      <c r="T64" s="59"/>
      <c r="U64" s="55"/>
    </row>
    <row r="65" spans="1:21" x14ac:dyDescent="0.35">
      <c r="A65" s="50">
        <v>4000414</v>
      </c>
      <c r="B65" s="50" t="s">
        <v>1316</v>
      </c>
      <c r="C65" s="50" t="s">
        <v>1174</v>
      </c>
      <c r="D65" s="50">
        <v>10030801</v>
      </c>
      <c r="E65" s="50" t="s">
        <v>3266</v>
      </c>
      <c r="F65" s="50" t="s">
        <v>1178</v>
      </c>
      <c r="G65" s="50" t="s">
        <v>258</v>
      </c>
      <c r="H65" s="50" t="s">
        <v>24</v>
      </c>
      <c r="I65" s="50" t="s">
        <v>258</v>
      </c>
      <c r="J65" s="52">
        <v>452.87</v>
      </c>
      <c r="K65" s="54">
        <v>12</v>
      </c>
      <c r="L65" s="54">
        <v>109</v>
      </c>
      <c r="M65" s="54">
        <v>24</v>
      </c>
      <c r="N65" s="56">
        <v>0.42149999999999999</v>
      </c>
      <c r="O65" s="50"/>
      <c r="P65" s="52">
        <v>45075.3</v>
      </c>
      <c r="Q65" s="54">
        <v>21</v>
      </c>
      <c r="R65" s="52">
        <v>4.8600000000000003</v>
      </c>
      <c r="S65" s="52">
        <v>102</v>
      </c>
      <c r="T65" s="58"/>
      <c r="U65" s="54"/>
    </row>
    <row r="66" spans="1:21" x14ac:dyDescent="0.35">
      <c r="A66" s="51">
        <v>4000415</v>
      </c>
      <c r="B66" s="51" t="s">
        <v>1318</v>
      </c>
      <c r="C66" s="51" t="s">
        <v>1174</v>
      </c>
      <c r="D66" s="51">
        <v>10030801</v>
      </c>
      <c r="E66" s="51" t="s">
        <v>3266</v>
      </c>
      <c r="F66" s="51" t="s">
        <v>1178</v>
      </c>
      <c r="G66" s="51" t="s">
        <v>258</v>
      </c>
      <c r="H66" s="51"/>
      <c r="I66" s="51" t="s">
        <v>258</v>
      </c>
      <c r="J66" s="53">
        <v>566.97</v>
      </c>
      <c r="K66" s="55">
        <v>10</v>
      </c>
      <c r="L66" s="55">
        <v>48</v>
      </c>
      <c r="M66" s="55">
        <v>22</v>
      </c>
      <c r="N66" s="57">
        <v>0.57740000000000002</v>
      </c>
      <c r="O66" s="51"/>
      <c r="P66" s="53">
        <v>24539.119999999999</v>
      </c>
      <c r="Q66" s="55">
        <v>11</v>
      </c>
      <c r="R66" s="53">
        <v>4</v>
      </c>
      <c r="S66" s="53">
        <v>44</v>
      </c>
      <c r="T66" s="59"/>
      <c r="U66" s="55"/>
    </row>
    <row r="67" spans="1:21" x14ac:dyDescent="0.35">
      <c r="A67" s="50">
        <v>4000416</v>
      </c>
      <c r="B67" s="50" t="s">
        <v>1320</v>
      </c>
      <c r="C67" s="50" t="s">
        <v>1174</v>
      </c>
      <c r="D67" s="50">
        <v>10030801</v>
      </c>
      <c r="E67" s="50" t="s">
        <v>3266</v>
      </c>
      <c r="F67" s="50" t="s">
        <v>1173</v>
      </c>
      <c r="G67" s="50" t="s">
        <v>258</v>
      </c>
      <c r="H67" s="50"/>
      <c r="I67" s="50" t="s">
        <v>258</v>
      </c>
      <c r="J67" s="52">
        <v>1.1284000000000001</v>
      </c>
      <c r="K67" s="54">
        <v>3100</v>
      </c>
      <c r="L67" s="54">
        <v>22500</v>
      </c>
      <c r="M67" s="54">
        <v>23</v>
      </c>
      <c r="N67" s="56">
        <v>0.4798</v>
      </c>
      <c r="O67" s="50"/>
      <c r="P67" s="52">
        <v>24972</v>
      </c>
      <c r="Q67" s="54">
        <v>19</v>
      </c>
      <c r="R67" s="52">
        <v>2</v>
      </c>
      <c r="S67" s="52">
        <v>38</v>
      </c>
      <c r="T67" s="58"/>
      <c r="U67" s="54"/>
    </row>
    <row r="68" spans="1:21" x14ac:dyDescent="0.35">
      <c r="A68" s="51">
        <v>4000418</v>
      </c>
      <c r="B68" s="51" t="s">
        <v>1322</v>
      </c>
      <c r="C68" s="51" t="s">
        <v>1174</v>
      </c>
      <c r="D68" s="51">
        <v>10030801</v>
      </c>
      <c r="E68" s="51" t="s">
        <v>3266</v>
      </c>
      <c r="F68" s="51" t="s">
        <v>1173</v>
      </c>
      <c r="G68" s="51" t="s">
        <v>258</v>
      </c>
      <c r="H68" s="51"/>
      <c r="I68" s="51" t="s">
        <v>258</v>
      </c>
      <c r="J68" s="53">
        <v>0.74980000000000002</v>
      </c>
      <c r="K68" s="55">
        <v>600</v>
      </c>
      <c r="L68" s="55">
        <v>2500</v>
      </c>
      <c r="M68" s="55">
        <v>17</v>
      </c>
      <c r="N68" s="57">
        <v>0.75790000000000002</v>
      </c>
      <c r="O68" s="51"/>
      <c r="P68" s="53">
        <v>3552</v>
      </c>
      <c r="Q68" s="55">
        <v>4</v>
      </c>
      <c r="R68" s="53">
        <v>1</v>
      </c>
      <c r="S68" s="53">
        <v>4</v>
      </c>
      <c r="T68" s="59"/>
      <c r="U68" s="55"/>
    </row>
    <row r="69" spans="1:21" x14ac:dyDescent="0.35">
      <c r="A69" s="50">
        <v>4000419</v>
      </c>
      <c r="B69" s="50" t="s">
        <v>1324</v>
      </c>
      <c r="C69" s="50" t="s">
        <v>1174</v>
      </c>
      <c r="D69" s="50">
        <v>10030801</v>
      </c>
      <c r="E69" s="50" t="s">
        <v>3266</v>
      </c>
      <c r="F69" s="50" t="s">
        <v>1173</v>
      </c>
      <c r="G69" s="50" t="s">
        <v>258</v>
      </c>
      <c r="H69" s="50"/>
      <c r="I69" s="50" t="s">
        <v>258</v>
      </c>
      <c r="J69" s="52">
        <v>0.3</v>
      </c>
      <c r="K69" s="54">
        <v>2300</v>
      </c>
      <c r="L69" s="54">
        <v>14700</v>
      </c>
      <c r="M69" s="54">
        <v>21</v>
      </c>
      <c r="N69" s="56">
        <v>0.76190000000000002</v>
      </c>
      <c r="O69" s="50"/>
      <c r="P69" s="52">
        <v>4752</v>
      </c>
      <c r="Q69" s="54">
        <v>9</v>
      </c>
      <c r="R69" s="52">
        <v>1</v>
      </c>
      <c r="S69" s="52">
        <v>8</v>
      </c>
      <c r="T69" s="58"/>
      <c r="U69" s="54"/>
    </row>
    <row r="70" spans="1:21" x14ac:dyDescent="0.35">
      <c r="A70" s="51">
        <v>4000420</v>
      </c>
      <c r="B70" s="51" t="s">
        <v>1326</v>
      </c>
      <c r="C70" s="51" t="s">
        <v>1174</v>
      </c>
      <c r="D70" s="51">
        <v>10030801</v>
      </c>
      <c r="E70" s="51" t="s">
        <v>3266</v>
      </c>
      <c r="F70" s="51" t="s">
        <v>1173</v>
      </c>
      <c r="G70" s="51" t="s">
        <v>258</v>
      </c>
      <c r="H70" s="51" t="s">
        <v>757</v>
      </c>
      <c r="I70" s="51" t="s">
        <v>258</v>
      </c>
      <c r="J70" s="53">
        <v>0.34</v>
      </c>
      <c r="K70" s="55">
        <v>2500</v>
      </c>
      <c r="L70" s="55">
        <v>49700</v>
      </c>
      <c r="M70" s="55">
        <v>24</v>
      </c>
      <c r="N70" s="57">
        <v>0.49280000000000002</v>
      </c>
      <c r="O70" s="51"/>
      <c r="P70" s="53">
        <v>15900</v>
      </c>
      <c r="Q70" s="55">
        <v>16</v>
      </c>
      <c r="R70" s="53">
        <v>1</v>
      </c>
      <c r="S70" s="53">
        <v>16</v>
      </c>
      <c r="T70" s="59"/>
      <c r="U70" s="55"/>
    </row>
    <row r="71" spans="1:21" x14ac:dyDescent="0.35">
      <c r="A71" s="50">
        <v>4000427</v>
      </c>
      <c r="B71" s="50" t="s">
        <v>1330</v>
      </c>
      <c r="C71" s="50" t="s">
        <v>1174</v>
      </c>
      <c r="D71" s="50">
        <v>10040101</v>
      </c>
      <c r="E71" s="50" t="s">
        <v>3279</v>
      </c>
      <c r="F71" s="50" t="s">
        <v>1173</v>
      </c>
      <c r="G71" s="50" t="s">
        <v>258</v>
      </c>
      <c r="H71" s="50" t="s">
        <v>141</v>
      </c>
      <c r="I71" s="50" t="s">
        <v>289</v>
      </c>
      <c r="J71" s="52">
        <v>1.33</v>
      </c>
      <c r="K71" s="54">
        <v>1200</v>
      </c>
      <c r="L71" s="54">
        <v>17015</v>
      </c>
      <c r="M71" s="54">
        <v>24</v>
      </c>
      <c r="N71" s="56">
        <v>0.34039999999999998</v>
      </c>
      <c r="O71" s="50"/>
      <c r="P71" s="52">
        <v>17224.32</v>
      </c>
      <c r="Q71" s="54">
        <v>11</v>
      </c>
      <c r="R71" s="52">
        <v>24</v>
      </c>
      <c r="S71" s="52">
        <v>264</v>
      </c>
      <c r="T71" s="58"/>
      <c r="U71" s="54"/>
    </row>
    <row r="72" spans="1:21" x14ac:dyDescent="0.35">
      <c r="A72" s="51">
        <v>4000428</v>
      </c>
      <c r="B72" s="51" t="s">
        <v>1332</v>
      </c>
      <c r="C72" s="51" t="s">
        <v>1174</v>
      </c>
      <c r="D72" s="51">
        <v>10040101</v>
      </c>
      <c r="E72" s="51" t="s">
        <v>3279</v>
      </c>
      <c r="F72" s="51" t="s">
        <v>1173</v>
      </c>
      <c r="G72" s="51" t="s">
        <v>289</v>
      </c>
      <c r="H72" s="51" t="s">
        <v>141</v>
      </c>
      <c r="I72" s="51" t="s">
        <v>258</v>
      </c>
      <c r="J72" s="53">
        <v>1.2202999999999999</v>
      </c>
      <c r="K72" s="55">
        <v>3300</v>
      </c>
      <c r="L72" s="55">
        <v>63250</v>
      </c>
      <c r="M72" s="55">
        <v>24</v>
      </c>
      <c r="N72" s="57">
        <v>0.23719999999999999</v>
      </c>
      <c r="O72" s="51"/>
      <c r="P72" s="53"/>
      <c r="Q72" s="55"/>
      <c r="R72" s="53"/>
      <c r="S72" s="53"/>
      <c r="T72" s="59"/>
      <c r="U72" s="55"/>
    </row>
    <row r="73" spans="1:21" x14ac:dyDescent="0.35">
      <c r="A73" s="50">
        <v>4000432</v>
      </c>
      <c r="B73" s="50" t="s">
        <v>1336</v>
      </c>
      <c r="C73" s="50" t="s">
        <v>1174</v>
      </c>
      <c r="D73" s="50">
        <v>10040101</v>
      </c>
      <c r="E73" s="50" t="s">
        <v>3279</v>
      </c>
      <c r="F73" s="50" t="s">
        <v>1173</v>
      </c>
      <c r="G73" s="50" t="s">
        <v>289</v>
      </c>
      <c r="H73" s="50" t="s">
        <v>141</v>
      </c>
      <c r="I73" s="50" t="s">
        <v>289</v>
      </c>
      <c r="J73" s="52">
        <v>1.2219</v>
      </c>
      <c r="K73" s="54">
        <v>2600</v>
      </c>
      <c r="L73" s="54">
        <v>187051</v>
      </c>
      <c r="M73" s="54">
        <v>24</v>
      </c>
      <c r="N73" s="56">
        <v>0.1925</v>
      </c>
      <c r="O73" s="50"/>
      <c r="P73" s="52"/>
      <c r="Q73" s="54"/>
      <c r="R73" s="52"/>
      <c r="S73" s="52"/>
      <c r="T73" s="58"/>
      <c r="U73" s="54"/>
    </row>
    <row r="74" spans="1:21" x14ac:dyDescent="0.35">
      <c r="A74" s="51">
        <v>4000434</v>
      </c>
      <c r="B74" s="51" t="s">
        <v>1338</v>
      </c>
      <c r="C74" s="51" t="s">
        <v>1174</v>
      </c>
      <c r="D74" s="51">
        <v>10040101</v>
      </c>
      <c r="E74" s="51" t="s">
        <v>3279</v>
      </c>
      <c r="F74" s="51" t="s">
        <v>1173</v>
      </c>
      <c r="G74" s="51" t="s">
        <v>271</v>
      </c>
      <c r="H74" s="51" t="s">
        <v>141</v>
      </c>
      <c r="I74" s="51" t="s">
        <v>289</v>
      </c>
      <c r="J74" s="53">
        <v>2.67</v>
      </c>
      <c r="K74" s="55">
        <v>150</v>
      </c>
      <c r="L74" s="55">
        <v>122950</v>
      </c>
      <c r="M74" s="55">
        <v>24</v>
      </c>
      <c r="N74" s="57">
        <v>0.22839999999999999</v>
      </c>
      <c r="O74" s="51"/>
      <c r="P74" s="53"/>
      <c r="Q74" s="55"/>
      <c r="R74" s="53"/>
      <c r="S74" s="53"/>
      <c r="T74" s="59"/>
      <c r="U74" s="55"/>
    </row>
    <row r="75" spans="1:21" x14ac:dyDescent="0.35">
      <c r="A75" s="50">
        <v>4000435</v>
      </c>
      <c r="B75" s="50" t="s">
        <v>1340</v>
      </c>
      <c r="C75" s="50" t="s">
        <v>1174</v>
      </c>
      <c r="D75" s="50">
        <v>10040101</v>
      </c>
      <c r="E75" s="50" t="s">
        <v>3279</v>
      </c>
      <c r="F75" s="50" t="s">
        <v>1173</v>
      </c>
      <c r="G75" s="50" t="s">
        <v>289</v>
      </c>
      <c r="H75" s="50" t="s">
        <v>141</v>
      </c>
      <c r="I75" s="50" t="s">
        <v>289</v>
      </c>
      <c r="J75" s="52">
        <v>1.2836000000000001</v>
      </c>
      <c r="K75" s="54">
        <v>2100</v>
      </c>
      <c r="L75" s="54">
        <v>59750</v>
      </c>
      <c r="M75" s="54">
        <v>24</v>
      </c>
      <c r="N75" s="56">
        <v>0.34589999999999999</v>
      </c>
      <c r="O75" s="50"/>
      <c r="P75" s="52"/>
      <c r="Q75" s="54"/>
      <c r="R75" s="52"/>
      <c r="S75" s="52"/>
      <c r="T75" s="58"/>
      <c r="U75" s="54"/>
    </row>
    <row r="76" spans="1:21" x14ac:dyDescent="0.35">
      <c r="A76" s="51">
        <v>4000441</v>
      </c>
      <c r="B76" s="51" t="s">
        <v>1342</v>
      </c>
      <c r="C76" s="51" t="s">
        <v>1174</v>
      </c>
      <c r="D76" s="51">
        <v>10050603</v>
      </c>
      <c r="E76" s="51" t="s">
        <v>3311</v>
      </c>
      <c r="F76" s="51" t="s">
        <v>1173</v>
      </c>
      <c r="G76" s="51" t="s">
        <v>289</v>
      </c>
      <c r="H76" s="51" t="s">
        <v>141</v>
      </c>
      <c r="I76" s="51" t="s">
        <v>258</v>
      </c>
      <c r="J76" s="53">
        <v>5.23</v>
      </c>
      <c r="K76" s="55">
        <v>60</v>
      </c>
      <c r="L76" s="55">
        <v>45365</v>
      </c>
      <c r="M76" s="55">
        <v>24</v>
      </c>
      <c r="N76" s="57">
        <v>0.2225</v>
      </c>
      <c r="O76" s="51"/>
      <c r="P76" s="53"/>
      <c r="Q76" s="55"/>
      <c r="R76" s="53"/>
      <c r="S76" s="53"/>
      <c r="T76" s="59"/>
      <c r="U76" s="55"/>
    </row>
    <row r="77" spans="1:21" x14ac:dyDescent="0.35">
      <c r="A77" s="50">
        <v>4000442</v>
      </c>
      <c r="B77" s="50" t="s">
        <v>1344</v>
      </c>
      <c r="C77" s="50" t="s">
        <v>1174</v>
      </c>
      <c r="D77" s="50">
        <v>10050801</v>
      </c>
      <c r="E77" s="50" t="s">
        <v>3321</v>
      </c>
      <c r="F77" s="50" t="s">
        <v>1173</v>
      </c>
      <c r="G77" s="50" t="s">
        <v>271</v>
      </c>
      <c r="H77" s="50" t="s">
        <v>141</v>
      </c>
      <c r="I77" s="50" t="s">
        <v>271</v>
      </c>
      <c r="J77" s="52">
        <v>0.19800000000000001</v>
      </c>
      <c r="K77" s="54">
        <v>14900</v>
      </c>
      <c r="L77" s="54">
        <v>2092600</v>
      </c>
      <c r="M77" s="54">
        <v>24</v>
      </c>
      <c r="N77" s="56">
        <v>0.15060000000000001</v>
      </c>
      <c r="O77" s="50"/>
      <c r="P77" s="52"/>
      <c r="Q77" s="54"/>
      <c r="R77" s="52"/>
      <c r="S77" s="52"/>
      <c r="T77" s="58"/>
      <c r="U77" s="54"/>
    </row>
    <row r="78" spans="1:21" x14ac:dyDescent="0.35">
      <c r="A78" s="51">
        <v>4000443</v>
      </c>
      <c r="B78" s="51" t="s">
        <v>1346</v>
      </c>
      <c r="C78" s="51" t="s">
        <v>1174</v>
      </c>
      <c r="D78" s="51">
        <v>10050605</v>
      </c>
      <c r="E78" s="51" t="s">
        <v>3313</v>
      </c>
      <c r="F78" s="51" t="s">
        <v>1173</v>
      </c>
      <c r="G78" s="51" t="s">
        <v>271</v>
      </c>
      <c r="H78" s="51" t="s">
        <v>24</v>
      </c>
      <c r="I78" s="51" t="s">
        <v>289</v>
      </c>
      <c r="J78" s="53">
        <v>3.98</v>
      </c>
      <c r="K78" s="55">
        <v>6435</v>
      </c>
      <c r="L78" s="55">
        <v>209980</v>
      </c>
      <c r="M78" s="55">
        <v>24</v>
      </c>
      <c r="N78" s="57">
        <v>0.15909999999999999</v>
      </c>
      <c r="O78" s="51"/>
      <c r="P78" s="53"/>
      <c r="Q78" s="55"/>
      <c r="R78" s="53"/>
      <c r="S78" s="53"/>
      <c r="T78" s="59"/>
      <c r="U78" s="55"/>
    </row>
    <row r="79" spans="1:21" x14ac:dyDescent="0.35">
      <c r="A79" s="50">
        <v>4000445</v>
      </c>
      <c r="B79" s="50" t="s">
        <v>1348</v>
      </c>
      <c r="C79" s="50" t="s">
        <v>1174</v>
      </c>
      <c r="D79" s="50">
        <v>10050109</v>
      </c>
      <c r="E79" s="50" t="s">
        <v>3294</v>
      </c>
      <c r="F79" s="50" t="s">
        <v>1173</v>
      </c>
      <c r="G79" s="50" t="s">
        <v>289</v>
      </c>
      <c r="H79" s="50" t="s">
        <v>24</v>
      </c>
      <c r="I79" s="50" t="s">
        <v>289</v>
      </c>
      <c r="J79" s="52">
        <v>0.3826</v>
      </c>
      <c r="K79" s="54">
        <v>2800</v>
      </c>
      <c r="L79" s="54">
        <v>608031</v>
      </c>
      <c r="M79" s="54">
        <v>24</v>
      </c>
      <c r="N79" s="56">
        <v>0.1008</v>
      </c>
      <c r="O79" s="50"/>
      <c r="P79" s="52"/>
      <c r="Q79" s="54"/>
      <c r="R79" s="52"/>
      <c r="S79" s="52"/>
      <c r="T79" s="58"/>
      <c r="U79" s="54"/>
    </row>
    <row r="80" spans="1:21" x14ac:dyDescent="0.35">
      <c r="A80" s="51">
        <v>4000447</v>
      </c>
      <c r="B80" s="51" t="s">
        <v>1350</v>
      </c>
      <c r="C80" s="51" t="s">
        <v>1174</v>
      </c>
      <c r="D80" s="51">
        <v>10050109</v>
      </c>
      <c r="E80" s="51" t="s">
        <v>3294</v>
      </c>
      <c r="F80" s="51" t="s">
        <v>1173</v>
      </c>
      <c r="G80" s="51" t="s">
        <v>289</v>
      </c>
      <c r="H80" s="51" t="s">
        <v>141</v>
      </c>
      <c r="I80" s="51" t="s">
        <v>289</v>
      </c>
      <c r="J80" s="53">
        <v>0.33489999999999998</v>
      </c>
      <c r="K80" s="55">
        <v>9800</v>
      </c>
      <c r="L80" s="55">
        <v>603000</v>
      </c>
      <c r="M80" s="55">
        <v>24</v>
      </c>
      <c r="N80" s="57">
        <v>0.1109</v>
      </c>
      <c r="O80" s="51"/>
      <c r="P80" s="53"/>
      <c r="Q80" s="55"/>
      <c r="R80" s="53"/>
      <c r="S80" s="53"/>
      <c r="T80" s="59"/>
      <c r="U80" s="55"/>
    </row>
    <row r="81" spans="1:21" x14ac:dyDescent="0.35">
      <c r="A81" s="50">
        <v>4000449</v>
      </c>
      <c r="B81" s="50" t="s">
        <v>1352</v>
      </c>
      <c r="C81" s="50" t="s">
        <v>1174</v>
      </c>
      <c r="D81" s="50">
        <v>10050109</v>
      </c>
      <c r="E81" s="50" t="s">
        <v>3294</v>
      </c>
      <c r="F81" s="50" t="s">
        <v>1173</v>
      </c>
      <c r="G81" s="50" t="s">
        <v>289</v>
      </c>
      <c r="H81" s="50" t="s">
        <v>24</v>
      </c>
      <c r="I81" s="50" t="s">
        <v>289</v>
      </c>
      <c r="J81" s="52">
        <v>0.4098</v>
      </c>
      <c r="K81" s="54">
        <v>2800</v>
      </c>
      <c r="L81" s="54">
        <v>491803</v>
      </c>
      <c r="M81" s="54">
        <v>24</v>
      </c>
      <c r="N81" s="56">
        <v>0.1069</v>
      </c>
      <c r="O81" s="50"/>
      <c r="P81" s="52"/>
      <c r="Q81" s="54"/>
      <c r="R81" s="52"/>
      <c r="S81" s="52"/>
      <c r="T81" s="58"/>
      <c r="U81" s="54"/>
    </row>
    <row r="82" spans="1:21" x14ac:dyDescent="0.35">
      <c r="A82" s="51">
        <v>4000452</v>
      </c>
      <c r="B82" s="51" t="s">
        <v>1354</v>
      </c>
      <c r="C82" s="51" t="s">
        <v>1174</v>
      </c>
      <c r="D82" s="51">
        <v>10050605</v>
      </c>
      <c r="E82" s="51" t="s">
        <v>3313</v>
      </c>
      <c r="F82" s="51" t="s">
        <v>1173</v>
      </c>
      <c r="G82" s="51" t="s">
        <v>258</v>
      </c>
      <c r="H82" s="51" t="s">
        <v>24</v>
      </c>
      <c r="I82" s="51" t="s">
        <v>258</v>
      </c>
      <c r="J82" s="53">
        <v>0.92</v>
      </c>
      <c r="K82" s="55">
        <v>1350</v>
      </c>
      <c r="L82" s="55">
        <v>52800</v>
      </c>
      <c r="M82" s="55">
        <v>24</v>
      </c>
      <c r="N82" s="57">
        <v>0.2384</v>
      </c>
      <c r="O82" s="51"/>
      <c r="P82" s="53"/>
      <c r="Q82" s="55"/>
      <c r="R82" s="53"/>
      <c r="S82" s="53"/>
      <c r="T82" s="59"/>
      <c r="U82" s="55"/>
    </row>
    <row r="83" spans="1:21" x14ac:dyDescent="0.35">
      <c r="A83" s="50">
        <v>4000455</v>
      </c>
      <c r="B83" s="50" t="s">
        <v>1356</v>
      </c>
      <c r="C83" s="50" t="s">
        <v>1174</v>
      </c>
      <c r="D83" s="50">
        <v>10050404</v>
      </c>
      <c r="E83" s="50" t="s">
        <v>3301</v>
      </c>
      <c r="F83" s="50" t="s">
        <v>1173</v>
      </c>
      <c r="G83" s="50" t="s">
        <v>258</v>
      </c>
      <c r="H83" s="50"/>
      <c r="I83" s="50" t="s">
        <v>258</v>
      </c>
      <c r="J83" s="52">
        <v>112.7</v>
      </c>
      <c r="K83" s="54">
        <v>170</v>
      </c>
      <c r="L83" s="54">
        <v>150</v>
      </c>
      <c r="M83" s="54">
        <v>12</v>
      </c>
      <c r="N83" s="56">
        <v>1.1135999999999999</v>
      </c>
      <c r="O83" s="50"/>
      <c r="P83" s="52">
        <v>25847.52</v>
      </c>
      <c r="Q83" s="54">
        <v>2</v>
      </c>
      <c r="R83" s="52">
        <v>12</v>
      </c>
      <c r="S83" s="52">
        <v>24</v>
      </c>
      <c r="T83" s="58"/>
      <c r="U83" s="54"/>
    </row>
    <row r="84" spans="1:21" x14ac:dyDescent="0.35">
      <c r="A84" s="51">
        <v>4000457</v>
      </c>
      <c r="B84" s="51" t="s">
        <v>1358</v>
      </c>
      <c r="C84" s="51" t="s">
        <v>1174</v>
      </c>
      <c r="D84" s="51">
        <v>10050404</v>
      </c>
      <c r="E84" s="51" t="s">
        <v>3301</v>
      </c>
      <c r="F84" s="51" t="s">
        <v>1173</v>
      </c>
      <c r="G84" s="51" t="s">
        <v>258</v>
      </c>
      <c r="H84" s="51"/>
      <c r="I84" s="51" t="s">
        <v>258</v>
      </c>
      <c r="J84" s="53">
        <v>67.459999999999994</v>
      </c>
      <c r="K84" s="55">
        <v>170</v>
      </c>
      <c r="L84" s="55">
        <v>460</v>
      </c>
      <c r="M84" s="55">
        <v>4</v>
      </c>
      <c r="N84" s="57">
        <v>2.2787999999999999</v>
      </c>
      <c r="O84" s="51" t="s">
        <v>3230</v>
      </c>
      <c r="P84" s="53">
        <v>26393.599999999999</v>
      </c>
      <c r="Q84" s="55">
        <v>4</v>
      </c>
      <c r="R84" s="53">
        <v>10</v>
      </c>
      <c r="S84" s="53">
        <v>40</v>
      </c>
      <c r="T84" s="59"/>
      <c r="U84" s="55"/>
    </row>
    <row r="85" spans="1:21" x14ac:dyDescent="0.35">
      <c r="A85" s="50">
        <v>4000740</v>
      </c>
      <c r="B85" s="50" t="s">
        <v>1362</v>
      </c>
      <c r="C85" s="50" t="s">
        <v>1174</v>
      </c>
      <c r="D85" s="50">
        <v>10050305</v>
      </c>
      <c r="E85" s="50" t="s">
        <v>3297</v>
      </c>
      <c r="F85" s="50" t="s">
        <v>1179</v>
      </c>
      <c r="G85" s="50" t="s">
        <v>258</v>
      </c>
      <c r="H85" s="50" t="s">
        <v>757</v>
      </c>
      <c r="I85" s="50" t="s">
        <v>258</v>
      </c>
      <c r="J85" s="52">
        <v>5.43</v>
      </c>
      <c r="K85" s="54">
        <v>178</v>
      </c>
      <c r="L85" s="54">
        <v>3442</v>
      </c>
      <c r="M85" s="54">
        <v>24</v>
      </c>
      <c r="N85" s="56">
        <v>0.2175</v>
      </c>
      <c r="O85" s="50"/>
      <c r="P85" s="52">
        <v>28818.81</v>
      </c>
      <c r="Q85" s="54">
        <v>36</v>
      </c>
      <c r="R85" s="52">
        <v>98.14</v>
      </c>
      <c r="S85" s="52">
        <v>3533</v>
      </c>
      <c r="T85" s="58"/>
      <c r="U85" s="54"/>
    </row>
    <row r="86" spans="1:21" x14ac:dyDescent="0.35">
      <c r="A86" s="51">
        <v>4000758</v>
      </c>
      <c r="B86" s="51" t="s">
        <v>1368</v>
      </c>
      <c r="C86" s="51" t="s">
        <v>1174</v>
      </c>
      <c r="D86" s="51">
        <v>10050801</v>
      </c>
      <c r="E86" s="51" t="s">
        <v>3321</v>
      </c>
      <c r="F86" s="51" t="s">
        <v>1173</v>
      </c>
      <c r="G86" s="51" t="s">
        <v>258</v>
      </c>
      <c r="H86" s="51"/>
      <c r="I86" s="51" t="s">
        <v>258</v>
      </c>
      <c r="J86" s="53">
        <v>11.5</v>
      </c>
      <c r="K86" s="55">
        <v>140</v>
      </c>
      <c r="L86" s="55">
        <v>5030</v>
      </c>
      <c r="M86" s="55">
        <v>24</v>
      </c>
      <c r="N86" s="57">
        <v>0.2571</v>
      </c>
      <c r="O86" s="51"/>
      <c r="P86" s="53">
        <v>48300</v>
      </c>
      <c r="Q86" s="55">
        <v>30</v>
      </c>
      <c r="R86" s="53">
        <v>14</v>
      </c>
      <c r="S86" s="53">
        <v>420</v>
      </c>
      <c r="T86" s="59"/>
      <c r="U86" s="55"/>
    </row>
    <row r="87" spans="1:21" x14ac:dyDescent="0.35">
      <c r="A87" s="50">
        <v>4000759</v>
      </c>
      <c r="B87" s="50" t="s">
        <v>1370</v>
      </c>
      <c r="C87" s="50" t="s">
        <v>1174</v>
      </c>
      <c r="D87" s="50">
        <v>10050801</v>
      </c>
      <c r="E87" s="50" t="s">
        <v>3321</v>
      </c>
      <c r="F87" s="50" t="s">
        <v>1173</v>
      </c>
      <c r="G87" s="50" t="s">
        <v>258</v>
      </c>
      <c r="H87" s="50"/>
      <c r="I87" s="50" t="s">
        <v>258</v>
      </c>
      <c r="J87" s="52">
        <v>13.17</v>
      </c>
      <c r="K87" s="54">
        <v>90</v>
      </c>
      <c r="L87" s="54">
        <v>3000</v>
      </c>
      <c r="M87" s="54">
        <v>24</v>
      </c>
      <c r="N87" s="56">
        <v>0.39729999999999999</v>
      </c>
      <c r="O87" s="50"/>
      <c r="P87" s="52">
        <v>34560</v>
      </c>
      <c r="Q87" s="54">
        <v>32</v>
      </c>
      <c r="R87" s="52">
        <v>8</v>
      </c>
      <c r="S87" s="52">
        <v>256</v>
      </c>
      <c r="T87" s="58"/>
      <c r="U87" s="54"/>
    </row>
    <row r="88" spans="1:21" x14ac:dyDescent="0.35">
      <c r="A88" s="51">
        <v>4000760</v>
      </c>
      <c r="B88" s="51" t="s">
        <v>1372</v>
      </c>
      <c r="C88" s="51" t="s">
        <v>1174</v>
      </c>
      <c r="D88" s="51">
        <v>10050801</v>
      </c>
      <c r="E88" s="51" t="s">
        <v>3321</v>
      </c>
      <c r="F88" s="51" t="s">
        <v>1173</v>
      </c>
      <c r="G88" s="51" t="s">
        <v>258</v>
      </c>
      <c r="H88" s="51"/>
      <c r="I88" s="51" t="s">
        <v>258</v>
      </c>
      <c r="J88" s="53">
        <v>34.200000000000003</v>
      </c>
      <c r="K88" s="55">
        <v>50</v>
      </c>
      <c r="L88" s="55">
        <v>1240</v>
      </c>
      <c r="M88" s="55">
        <v>24</v>
      </c>
      <c r="N88" s="57">
        <v>0.64349999999999996</v>
      </c>
      <c r="O88" s="51"/>
      <c r="P88" s="53">
        <v>31122</v>
      </c>
      <c r="Q88" s="55">
        <v>13</v>
      </c>
      <c r="R88" s="53">
        <v>7</v>
      </c>
      <c r="S88" s="53">
        <v>91</v>
      </c>
      <c r="T88" s="59"/>
      <c r="U88" s="55"/>
    </row>
    <row r="89" spans="1:21" x14ac:dyDescent="0.35">
      <c r="A89" s="50">
        <v>4000761</v>
      </c>
      <c r="B89" s="50" t="s">
        <v>1374</v>
      </c>
      <c r="C89" s="50" t="s">
        <v>1174</v>
      </c>
      <c r="D89" s="50">
        <v>10050801</v>
      </c>
      <c r="E89" s="50" t="s">
        <v>3321</v>
      </c>
      <c r="F89" s="50" t="s">
        <v>1173</v>
      </c>
      <c r="G89" s="50" t="s">
        <v>258</v>
      </c>
      <c r="H89" s="50"/>
      <c r="I89" s="50" t="s">
        <v>258</v>
      </c>
      <c r="J89" s="52">
        <v>12.37</v>
      </c>
      <c r="K89" s="54">
        <v>204</v>
      </c>
      <c r="L89" s="54">
        <v>2718</v>
      </c>
      <c r="M89" s="54">
        <v>24</v>
      </c>
      <c r="N89" s="56">
        <v>0.33339999999999997</v>
      </c>
      <c r="O89" s="50"/>
      <c r="P89" s="52">
        <v>30450</v>
      </c>
      <c r="Q89" s="54">
        <v>29</v>
      </c>
      <c r="R89" s="52">
        <v>10</v>
      </c>
      <c r="S89" s="52">
        <v>290</v>
      </c>
      <c r="T89" s="58"/>
      <c r="U89" s="54"/>
    </row>
    <row r="90" spans="1:21" x14ac:dyDescent="0.35">
      <c r="A90" s="51">
        <v>4000763</v>
      </c>
      <c r="B90" s="51" t="s">
        <v>1376</v>
      </c>
      <c r="C90" s="51" t="s">
        <v>1174</v>
      </c>
      <c r="D90" s="51">
        <v>10050801</v>
      </c>
      <c r="E90" s="51" t="s">
        <v>3321</v>
      </c>
      <c r="F90" s="51" t="s">
        <v>1178</v>
      </c>
      <c r="G90" s="51" t="s">
        <v>258</v>
      </c>
      <c r="H90" s="51"/>
      <c r="I90" s="51" t="s">
        <v>258</v>
      </c>
      <c r="J90" s="53">
        <v>17.87</v>
      </c>
      <c r="K90" s="55">
        <v>35</v>
      </c>
      <c r="L90" s="55">
        <v>1032</v>
      </c>
      <c r="M90" s="55">
        <v>24</v>
      </c>
      <c r="N90" s="57">
        <v>0.21310000000000001</v>
      </c>
      <c r="O90" s="51"/>
      <c r="P90" s="53">
        <v>14960</v>
      </c>
      <c r="Q90" s="55">
        <v>22</v>
      </c>
      <c r="R90" s="53">
        <v>40</v>
      </c>
      <c r="S90" s="53">
        <v>880</v>
      </c>
      <c r="T90" s="59"/>
      <c r="U90" s="55"/>
    </row>
    <row r="91" spans="1:21" x14ac:dyDescent="0.35">
      <c r="A91" s="50">
        <v>4000764</v>
      </c>
      <c r="B91" s="50" t="s">
        <v>1378</v>
      </c>
      <c r="C91" s="50" t="s">
        <v>1174</v>
      </c>
      <c r="D91" s="50">
        <v>10050801</v>
      </c>
      <c r="E91" s="50" t="s">
        <v>3321</v>
      </c>
      <c r="F91" s="50" t="s">
        <v>1178</v>
      </c>
      <c r="G91" s="50" t="s">
        <v>258</v>
      </c>
      <c r="H91" s="50"/>
      <c r="I91" s="50" t="s">
        <v>258</v>
      </c>
      <c r="J91" s="52">
        <v>26.34</v>
      </c>
      <c r="K91" s="54">
        <v>26</v>
      </c>
      <c r="L91" s="54">
        <v>691</v>
      </c>
      <c r="M91" s="54">
        <v>24</v>
      </c>
      <c r="N91" s="56">
        <v>0.22439999999999999</v>
      </c>
      <c r="O91" s="50"/>
      <c r="P91" s="52"/>
      <c r="Q91" s="54"/>
      <c r="R91" s="52"/>
      <c r="S91" s="52"/>
      <c r="T91" s="58"/>
      <c r="U91" s="54"/>
    </row>
    <row r="92" spans="1:21" x14ac:dyDescent="0.35">
      <c r="A92" s="51">
        <v>4000765</v>
      </c>
      <c r="B92" s="51" t="s">
        <v>1380</v>
      </c>
      <c r="C92" s="51" t="s">
        <v>1174</v>
      </c>
      <c r="D92" s="51">
        <v>10050801</v>
      </c>
      <c r="E92" s="51" t="s">
        <v>3321</v>
      </c>
      <c r="F92" s="51" t="s">
        <v>1178</v>
      </c>
      <c r="G92" s="51" t="s">
        <v>258</v>
      </c>
      <c r="H92" s="51"/>
      <c r="I92" s="51" t="s">
        <v>258</v>
      </c>
      <c r="J92" s="53">
        <v>65.430000000000007</v>
      </c>
      <c r="K92" s="55">
        <v>32</v>
      </c>
      <c r="L92" s="55">
        <v>179</v>
      </c>
      <c r="M92" s="55">
        <v>24</v>
      </c>
      <c r="N92" s="57">
        <v>0.81459999999999999</v>
      </c>
      <c r="O92" s="51"/>
      <c r="P92" s="53">
        <v>6400</v>
      </c>
      <c r="Q92" s="55">
        <v>8</v>
      </c>
      <c r="R92" s="53">
        <v>20</v>
      </c>
      <c r="S92" s="53">
        <v>160</v>
      </c>
      <c r="T92" s="59"/>
      <c r="U92" s="55"/>
    </row>
    <row r="93" spans="1:21" x14ac:dyDescent="0.35">
      <c r="A93" s="50">
        <v>4000766</v>
      </c>
      <c r="B93" s="50" t="s">
        <v>1382</v>
      </c>
      <c r="C93" s="50" t="s">
        <v>1174</v>
      </c>
      <c r="D93" s="50">
        <v>10050604</v>
      </c>
      <c r="E93" s="50" t="s">
        <v>3312</v>
      </c>
      <c r="F93" s="50" t="s">
        <v>1175</v>
      </c>
      <c r="G93" s="50" t="s">
        <v>258</v>
      </c>
      <c r="H93" s="50" t="s">
        <v>24</v>
      </c>
      <c r="I93" s="50" t="s">
        <v>258</v>
      </c>
      <c r="J93" s="52">
        <v>26.34</v>
      </c>
      <c r="K93" s="54">
        <v>125</v>
      </c>
      <c r="L93" s="54">
        <v>1650</v>
      </c>
      <c r="M93" s="54">
        <v>23</v>
      </c>
      <c r="N93" s="56">
        <v>0.69040000000000001</v>
      </c>
      <c r="O93" s="50"/>
      <c r="P93" s="52">
        <v>20596</v>
      </c>
      <c r="Q93" s="54">
        <v>4</v>
      </c>
      <c r="R93" s="52">
        <v>2</v>
      </c>
      <c r="S93" s="52">
        <v>8</v>
      </c>
      <c r="T93" s="58"/>
      <c r="U93" s="54"/>
    </row>
    <row r="94" spans="1:21" x14ac:dyDescent="0.35">
      <c r="A94" s="51">
        <v>4000767</v>
      </c>
      <c r="B94" s="51" t="s">
        <v>1384</v>
      </c>
      <c r="C94" s="51" t="s">
        <v>1174</v>
      </c>
      <c r="D94" s="51">
        <v>10050604</v>
      </c>
      <c r="E94" s="51" t="s">
        <v>3312</v>
      </c>
      <c r="F94" s="51" t="s">
        <v>1175</v>
      </c>
      <c r="G94" s="51" t="s">
        <v>289</v>
      </c>
      <c r="H94" s="51" t="s">
        <v>24</v>
      </c>
      <c r="I94" s="51" t="s">
        <v>258</v>
      </c>
      <c r="J94" s="53">
        <v>26.56</v>
      </c>
      <c r="K94" s="55">
        <v>200</v>
      </c>
      <c r="L94" s="55">
        <v>7150</v>
      </c>
      <c r="M94" s="55">
        <v>24</v>
      </c>
      <c r="N94" s="57">
        <v>0.23849999999999999</v>
      </c>
      <c r="O94" s="51"/>
      <c r="P94" s="53"/>
      <c r="Q94" s="55"/>
      <c r="R94" s="53"/>
      <c r="S94" s="53"/>
      <c r="T94" s="59"/>
      <c r="U94" s="55"/>
    </row>
    <row r="95" spans="1:21" x14ac:dyDescent="0.35">
      <c r="A95" s="50">
        <v>4000768</v>
      </c>
      <c r="B95" s="50" t="s">
        <v>1386</v>
      </c>
      <c r="C95" s="50" t="s">
        <v>1174</v>
      </c>
      <c r="D95" s="50">
        <v>10050604</v>
      </c>
      <c r="E95" s="50" t="s">
        <v>3312</v>
      </c>
      <c r="F95" s="50" t="s">
        <v>1175</v>
      </c>
      <c r="G95" s="50" t="s">
        <v>289</v>
      </c>
      <c r="H95" s="50" t="s">
        <v>24</v>
      </c>
      <c r="I95" s="50" t="s">
        <v>258</v>
      </c>
      <c r="J95" s="52">
        <v>26.54</v>
      </c>
      <c r="K95" s="54">
        <v>50</v>
      </c>
      <c r="L95" s="54">
        <v>6400</v>
      </c>
      <c r="M95" s="54">
        <v>24</v>
      </c>
      <c r="N95" s="56">
        <v>0.28470000000000001</v>
      </c>
      <c r="O95" s="50"/>
      <c r="P95" s="52"/>
      <c r="Q95" s="54"/>
      <c r="R95" s="52"/>
      <c r="S95" s="52"/>
      <c r="T95" s="58"/>
      <c r="U95" s="54"/>
    </row>
    <row r="96" spans="1:21" x14ac:dyDescent="0.35">
      <c r="A96" s="51">
        <v>4000769</v>
      </c>
      <c r="B96" s="51" t="s">
        <v>1388</v>
      </c>
      <c r="C96" s="51" t="s">
        <v>1174</v>
      </c>
      <c r="D96" s="51">
        <v>10050604</v>
      </c>
      <c r="E96" s="51" t="s">
        <v>3312</v>
      </c>
      <c r="F96" s="51" t="s">
        <v>1175</v>
      </c>
      <c r="G96" s="51" t="s">
        <v>289</v>
      </c>
      <c r="H96" s="51" t="s">
        <v>24</v>
      </c>
      <c r="I96" s="51" t="s">
        <v>258</v>
      </c>
      <c r="J96" s="53">
        <v>26.52</v>
      </c>
      <c r="K96" s="55">
        <v>100</v>
      </c>
      <c r="L96" s="55">
        <v>7000</v>
      </c>
      <c r="M96" s="55">
        <v>24</v>
      </c>
      <c r="N96" s="57">
        <v>0.22770000000000001</v>
      </c>
      <c r="O96" s="51"/>
      <c r="P96" s="53"/>
      <c r="Q96" s="55"/>
      <c r="R96" s="53"/>
      <c r="S96" s="53"/>
      <c r="T96" s="59"/>
      <c r="U96" s="55"/>
    </row>
    <row r="97" spans="1:21" x14ac:dyDescent="0.35">
      <c r="A97" s="50">
        <v>4000770</v>
      </c>
      <c r="B97" s="50" t="s">
        <v>1390</v>
      </c>
      <c r="C97" s="50" t="s">
        <v>1174</v>
      </c>
      <c r="D97" s="50">
        <v>10050604</v>
      </c>
      <c r="E97" s="50" t="s">
        <v>3312</v>
      </c>
      <c r="F97" s="50" t="s">
        <v>1175</v>
      </c>
      <c r="G97" s="50" t="s">
        <v>258</v>
      </c>
      <c r="H97" s="50" t="s">
        <v>24</v>
      </c>
      <c r="I97" s="50" t="s">
        <v>258</v>
      </c>
      <c r="J97" s="52">
        <v>26.56</v>
      </c>
      <c r="K97" s="54">
        <v>100</v>
      </c>
      <c r="L97" s="54">
        <v>2275</v>
      </c>
      <c r="M97" s="54">
        <v>24</v>
      </c>
      <c r="N97" s="56">
        <v>0.80569999999999997</v>
      </c>
      <c r="O97" s="50"/>
      <c r="P97" s="52">
        <v>20528</v>
      </c>
      <c r="Q97" s="54">
        <v>2</v>
      </c>
      <c r="R97" s="52">
        <v>4</v>
      </c>
      <c r="S97" s="52">
        <v>8</v>
      </c>
      <c r="T97" s="58"/>
      <c r="U97" s="54"/>
    </row>
    <row r="98" spans="1:21" x14ac:dyDescent="0.35">
      <c r="A98" s="51">
        <v>4000772</v>
      </c>
      <c r="B98" s="51" t="s">
        <v>1394</v>
      </c>
      <c r="C98" s="51" t="s">
        <v>1174</v>
      </c>
      <c r="D98" s="51">
        <v>10050604</v>
      </c>
      <c r="E98" s="51" t="s">
        <v>3312</v>
      </c>
      <c r="F98" s="51" t="s">
        <v>1180</v>
      </c>
      <c r="G98" s="51" t="s">
        <v>271</v>
      </c>
      <c r="H98" s="51" t="s">
        <v>141</v>
      </c>
      <c r="I98" s="51" t="s">
        <v>258</v>
      </c>
      <c r="J98" s="53">
        <v>13.28</v>
      </c>
      <c r="K98" s="55">
        <v>450</v>
      </c>
      <c r="L98" s="55">
        <v>28650</v>
      </c>
      <c r="M98" s="55">
        <v>24</v>
      </c>
      <c r="N98" s="57">
        <v>0.25740000000000002</v>
      </c>
      <c r="O98" s="51"/>
      <c r="P98" s="53"/>
      <c r="Q98" s="55"/>
      <c r="R98" s="53"/>
      <c r="S98" s="53"/>
      <c r="T98" s="59"/>
      <c r="U98" s="55"/>
    </row>
    <row r="99" spans="1:21" x14ac:dyDescent="0.35">
      <c r="A99" s="50">
        <v>4000773</v>
      </c>
      <c r="B99" s="50" t="s">
        <v>1396</v>
      </c>
      <c r="C99" s="50" t="s">
        <v>1174</v>
      </c>
      <c r="D99" s="50">
        <v>10050604</v>
      </c>
      <c r="E99" s="50" t="s">
        <v>3312</v>
      </c>
      <c r="F99" s="50" t="s">
        <v>1180</v>
      </c>
      <c r="G99" s="50" t="s">
        <v>258</v>
      </c>
      <c r="H99" s="50" t="s">
        <v>141</v>
      </c>
      <c r="I99" s="50" t="s">
        <v>258</v>
      </c>
      <c r="J99" s="52">
        <v>13.27</v>
      </c>
      <c r="K99" s="54">
        <v>125</v>
      </c>
      <c r="L99" s="54">
        <v>4500</v>
      </c>
      <c r="M99" s="54">
        <v>24</v>
      </c>
      <c r="N99" s="56">
        <v>0.68959999999999999</v>
      </c>
      <c r="O99" s="50"/>
      <c r="P99" s="52"/>
      <c r="Q99" s="54"/>
      <c r="R99" s="52"/>
      <c r="S99" s="52"/>
      <c r="T99" s="58"/>
      <c r="U99" s="54"/>
    </row>
    <row r="100" spans="1:21" x14ac:dyDescent="0.35">
      <c r="A100" s="51">
        <v>4000775</v>
      </c>
      <c r="B100" s="51" t="s">
        <v>1398</v>
      </c>
      <c r="C100" s="51" t="s">
        <v>1174</v>
      </c>
      <c r="D100" s="51">
        <v>10050607</v>
      </c>
      <c r="E100" s="51" t="s">
        <v>3315</v>
      </c>
      <c r="F100" s="51" t="s">
        <v>1173</v>
      </c>
      <c r="G100" s="51" t="s">
        <v>258</v>
      </c>
      <c r="H100" s="51" t="s">
        <v>141</v>
      </c>
      <c r="I100" s="51" t="s">
        <v>258</v>
      </c>
      <c r="J100" s="53">
        <v>35.880000000000003</v>
      </c>
      <c r="K100" s="55">
        <v>85</v>
      </c>
      <c r="L100" s="55">
        <v>2312</v>
      </c>
      <c r="M100" s="55">
        <v>23</v>
      </c>
      <c r="N100" s="57">
        <v>0.4904</v>
      </c>
      <c r="O100" s="51"/>
      <c r="P100" s="53"/>
      <c r="Q100" s="55"/>
      <c r="R100" s="53"/>
      <c r="S100" s="53"/>
      <c r="T100" s="59"/>
      <c r="U100" s="55"/>
    </row>
    <row r="101" spans="1:21" x14ac:dyDescent="0.35">
      <c r="A101" s="50">
        <v>4000776</v>
      </c>
      <c r="B101" s="50" t="s">
        <v>1400</v>
      </c>
      <c r="C101" s="50" t="s">
        <v>1174</v>
      </c>
      <c r="D101" s="50">
        <v>10050604</v>
      </c>
      <c r="E101" s="50" t="s">
        <v>3312</v>
      </c>
      <c r="F101" s="50" t="s">
        <v>1175</v>
      </c>
      <c r="G101" s="50" t="s">
        <v>289</v>
      </c>
      <c r="H101" s="50" t="s">
        <v>24</v>
      </c>
      <c r="I101" s="50" t="s">
        <v>258</v>
      </c>
      <c r="J101" s="52">
        <v>25.55</v>
      </c>
      <c r="K101" s="54">
        <v>100</v>
      </c>
      <c r="L101" s="54">
        <v>6425</v>
      </c>
      <c r="M101" s="54">
        <v>24</v>
      </c>
      <c r="N101" s="56">
        <v>0.26340000000000002</v>
      </c>
      <c r="O101" s="50"/>
      <c r="P101" s="52"/>
      <c r="Q101" s="54"/>
      <c r="R101" s="52"/>
      <c r="S101" s="52"/>
      <c r="T101" s="58"/>
      <c r="U101" s="54"/>
    </row>
    <row r="102" spans="1:21" x14ac:dyDescent="0.35">
      <c r="A102" s="51">
        <v>4000777</v>
      </c>
      <c r="B102" s="51" t="s">
        <v>1402</v>
      </c>
      <c r="C102" s="51" t="s">
        <v>1174</v>
      </c>
      <c r="D102" s="51">
        <v>10050604</v>
      </c>
      <c r="E102" s="51" t="s">
        <v>3312</v>
      </c>
      <c r="F102" s="51" t="s">
        <v>1175</v>
      </c>
      <c r="G102" s="51" t="s">
        <v>271</v>
      </c>
      <c r="H102" s="51" t="s">
        <v>24</v>
      </c>
      <c r="I102" s="51" t="s">
        <v>289</v>
      </c>
      <c r="J102" s="53">
        <v>25.55</v>
      </c>
      <c r="K102" s="55">
        <v>575</v>
      </c>
      <c r="L102" s="55">
        <v>54850</v>
      </c>
      <c r="M102" s="55">
        <v>24</v>
      </c>
      <c r="N102" s="57">
        <v>0.16539999999999999</v>
      </c>
      <c r="O102" s="51"/>
      <c r="P102" s="53"/>
      <c r="Q102" s="55"/>
      <c r="R102" s="53"/>
      <c r="S102" s="53"/>
      <c r="T102" s="59"/>
      <c r="U102" s="55"/>
    </row>
    <row r="103" spans="1:21" x14ac:dyDescent="0.35">
      <c r="A103" s="50">
        <v>4000778</v>
      </c>
      <c r="B103" s="50" t="s">
        <v>1404</v>
      </c>
      <c r="C103" s="50" t="s">
        <v>1174</v>
      </c>
      <c r="D103" s="50">
        <v>10050604</v>
      </c>
      <c r="E103" s="50" t="s">
        <v>3312</v>
      </c>
      <c r="F103" s="50" t="s">
        <v>1175</v>
      </c>
      <c r="G103" s="50" t="s">
        <v>271</v>
      </c>
      <c r="H103" s="50" t="s">
        <v>24</v>
      </c>
      <c r="I103" s="50" t="s">
        <v>289</v>
      </c>
      <c r="J103" s="52">
        <v>25.55</v>
      </c>
      <c r="K103" s="54">
        <v>425</v>
      </c>
      <c r="L103" s="54">
        <v>34975</v>
      </c>
      <c r="M103" s="54">
        <v>24</v>
      </c>
      <c r="N103" s="56">
        <v>0.18179999999999999</v>
      </c>
      <c r="O103" s="50"/>
      <c r="P103" s="52"/>
      <c r="Q103" s="54"/>
      <c r="R103" s="52"/>
      <c r="S103" s="52"/>
      <c r="T103" s="58"/>
      <c r="U103" s="54"/>
    </row>
    <row r="104" spans="1:21" x14ac:dyDescent="0.35">
      <c r="A104" s="51">
        <v>4000779</v>
      </c>
      <c r="B104" s="51" t="s">
        <v>1406</v>
      </c>
      <c r="C104" s="51" t="s">
        <v>1174</v>
      </c>
      <c r="D104" s="51">
        <v>10050604</v>
      </c>
      <c r="E104" s="51" t="s">
        <v>3312</v>
      </c>
      <c r="F104" s="51" t="s">
        <v>1175</v>
      </c>
      <c r="G104" s="51" t="s">
        <v>271</v>
      </c>
      <c r="H104" s="51" t="s">
        <v>24</v>
      </c>
      <c r="I104" s="51" t="s">
        <v>289</v>
      </c>
      <c r="J104" s="53">
        <v>25.55</v>
      </c>
      <c r="K104" s="55">
        <v>575</v>
      </c>
      <c r="L104" s="55">
        <v>37725</v>
      </c>
      <c r="M104" s="55">
        <v>24</v>
      </c>
      <c r="N104" s="57">
        <v>0.1187</v>
      </c>
      <c r="O104" s="51"/>
      <c r="P104" s="53"/>
      <c r="Q104" s="55"/>
      <c r="R104" s="53"/>
      <c r="S104" s="53"/>
      <c r="T104" s="59"/>
      <c r="U104" s="55"/>
    </row>
    <row r="105" spans="1:21" x14ac:dyDescent="0.35">
      <c r="A105" s="50">
        <v>4000780</v>
      </c>
      <c r="B105" s="50" t="s">
        <v>1408</v>
      </c>
      <c r="C105" s="50" t="s">
        <v>1174</v>
      </c>
      <c r="D105" s="50">
        <v>10050604</v>
      </c>
      <c r="E105" s="50" t="s">
        <v>3312</v>
      </c>
      <c r="F105" s="50" t="s">
        <v>1175</v>
      </c>
      <c r="G105" s="50" t="s">
        <v>271</v>
      </c>
      <c r="H105" s="50" t="s">
        <v>24</v>
      </c>
      <c r="I105" s="50" t="s">
        <v>258</v>
      </c>
      <c r="J105" s="52">
        <v>25.55</v>
      </c>
      <c r="K105" s="54">
        <v>300</v>
      </c>
      <c r="L105" s="54">
        <v>11300</v>
      </c>
      <c r="M105" s="54">
        <v>24</v>
      </c>
      <c r="N105" s="56">
        <v>0.1739</v>
      </c>
      <c r="O105" s="50"/>
      <c r="P105" s="52"/>
      <c r="Q105" s="54"/>
      <c r="R105" s="52"/>
      <c r="S105" s="52"/>
      <c r="T105" s="58"/>
      <c r="U105" s="54"/>
    </row>
    <row r="106" spans="1:21" x14ac:dyDescent="0.35">
      <c r="A106" s="51">
        <v>4000781</v>
      </c>
      <c r="B106" s="51" t="s">
        <v>1410</v>
      </c>
      <c r="C106" s="51" t="s">
        <v>1174</v>
      </c>
      <c r="D106" s="51">
        <v>10050604</v>
      </c>
      <c r="E106" s="51" t="s">
        <v>3312</v>
      </c>
      <c r="F106" s="51" t="s">
        <v>1175</v>
      </c>
      <c r="G106" s="51" t="s">
        <v>289</v>
      </c>
      <c r="H106" s="51" t="s">
        <v>24</v>
      </c>
      <c r="I106" s="51" t="s">
        <v>258</v>
      </c>
      <c r="J106" s="53">
        <v>25.33</v>
      </c>
      <c r="K106" s="55">
        <v>50</v>
      </c>
      <c r="L106" s="55">
        <v>3250</v>
      </c>
      <c r="M106" s="55">
        <v>24</v>
      </c>
      <c r="N106" s="57">
        <v>0.4194</v>
      </c>
      <c r="O106" s="51"/>
      <c r="P106" s="53"/>
      <c r="Q106" s="55"/>
      <c r="R106" s="53"/>
      <c r="S106" s="53"/>
      <c r="T106" s="59"/>
      <c r="U106" s="55"/>
    </row>
    <row r="107" spans="1:21" x14ac:dyDescent="0.35">
      <c r="A107" s="50">
        <v>4000786</v>
      </c>
      <c r="B107" s="50" t="s">
        <v>1412</v>
      </c>
      <c r="C107" s="50" t="s">
        <v>1174</v>
      </c>
      <c r="D107" s="50">
        <v>10050604</v>
      </c>
      <c r="E107" s="50" t="s">
        <v>3312</v>
      </c>
      <c r="F107" s="50" t="s">
        <v>1180</v>
      </c>
      <c r="G107" s="50" t="s">
        <v>258</v>
      </c>
      <c r="H107" s="50" t="s">
        <v>24</v>
      </c>
      <c r="I107" s="50" t="s">
        <v>258</v>
      </c>
      <c r="J107" s="52">
        <v>12.77</v>
      </c>
      <c r="K107" s="54">
        <v>500</v>
      </c>
      <c r="L107" s="54">
        <v>4050</v>
      </c>
      <c r="M107" s="54">
        <v>23</v>
      </c>
      <c r="N107" s="56">
        <v>0.53290000000000004</v>
      </c>
      <c r="O107" s="50"/>
      <c r="P107" s="52">
        <v>22948</v>
      </c>
      <c r="Q107" s="54">
        <v>9</v>
      </c>
      <c r="R107" s="52">
        <v>1</v>
      </c>
      <c r="S107" s="52">
        <v>9</v>
      </c>
      <c r="T107" s="58"/>
      <c r="U107" s="54"/>
    </row>
    <row r="108" spans="1:21" x14ac:dyDescent="0.35">
      <c r="A108" s="51">
        <v>4000787</v>
      </c>
      <c r="B108" s="51" t="s">
        <v>1414</v>
      </c>
      <c r="C108" s="51" t="s">
        <v>1174</v>
      </c>
      <c r="D108" s="51">
        <v>10050604</v>
      </c>
      <c r="E108" s="51" t="s">
        <v>3312</v>
      </c>
      <c r="F108" s="51" t="s">
        <v>1180</v>
      </c>
      <c r="G108" s="51" t="s">
        <v>271</v>
      </c>
      <c r="H108" s="51" t="s">
        <v>24</v>
      </c>
      <c r="I108" s="51" t="s">
        <v>258</v>
      </c>
      <c r="J108" s="53">
        <v>12.77</v>
      </c>
      <c r="K108" s="55">
        <v>500</v>
      </c>
      <c r="L108" s="55">
        <v>30400</v>
      </c>
      <c r="M108" s="55">
        <v>24</v>
      </c>
      <c r="N108" s="57">
        <v>0.1749</v>
      </c>
      <c r="O108" s="51"/>
      <c r="P108" s="53"/>
      <c r="Q108" s="55"/>
      <c r="R108" s="53"/>
      <c r="S108" s="53"/>
      <c r="T108" s="59"/>
      <c r="U108" s="55"/>
    </row>
    <row r="109" spans="1:21" x14ac:dyDescent="0.35">
      <c r="A109" s="50">
        <v>4000788</v>
      </c>
      <c r="B109" s="50" t="s">
        <v>1416</v>
      </c>
      <c r="C109" s="50" t="s">
        <v>1174</v>
      </c>
      <c r="D109" s="50">
        <v>10050604</v>
      </c>
      <c r="E109" s="50" t="s">
        <v>3312</v>
      </c>
      <c r="F109" s="50" t="s">
        <v>1180</v>
      </c>
      <c r="G109" s="50" t="s">
        <v>271</v>
      </c>
      <c r="H109" s="50" t="s">
        <v>24</v>
      </c>
      <c r="I109" s="50" t="s">
        <v>258</v>
      </c>
      <c r="J109" s="52">
        <v>12.78</v>
      </c>
      <c r="K109" s="54">
        <v>250</v>
      </c>
      <c r="L109" s="54">
        <v>26600</v>
      </c>
      <c r="M109" s="54">
        <v>24</v>
      </c>
      <c r="N109" s="56">
        <v>0.23139999999999999</v>
      </c>
      <c r="O109" s="50"/>
      <c r="P109" s="52"/>
      <c r="Q109" s="54"/>
      <c r="R109" s="52"/>
      <c r="S109" s="52"/>
      <c r="T109" s="58"/>
      <c r="U109" s="54"/>
    </row>
    <row r="110" spans="1:21" x14ac:dyDescent="0.35">
      <c r="A110" s="51">
        <v>4000789</v>
      </c>
      <c r="B110" s="51" t="s">
        <v>1418</v>
      </c>
      <c r="C110" s="51" t="s">
        <v>1174</v>
      </c>
      <c r="D110" s="51">
        <v>10050604</v>
      </c>
      <c r="E110" s="51" t="s">
        <v>3312</v>
      </c>
      <c r="F110" s="51" t="s">
        <v>1180</v>
      </c>
      <c r="G110" s="51" t="s">
        <v>271</v>
      </c>
      <c r="H110" s="51" t="s">
        <v>24</v>
      </c>
      <c r="I110" s="51" t="s">
        <v>258</v>
      </c>
      <c r="J110" s="53">
        <v>12.78</v>
      </c>
      <c r="K110" s="55">
        <v>450</v>
      </c>
      <c r="L110" s="55">
        <v>26300</v>
      </c>
      <c r="M110" s="55">
        <v>24</v>
      </c>
      <c r="N110" s="57">
        <v>0.1623</v>
      </c>
      <c r="O110" s="51"/>
      <c r="P110" s="53"/>
      <c r="Q110" s="55"/>
      <c r="R110" s="53"/>
      <c r="S110" s="53"/>
      <c r="T110" s="59"/>
      <c r="U110" s="55"/>
    </row>
    <row r="111" spans="1:21" x14ac:dyDescent="0.35">
      <c r="A111" s="50">
        <v>4000790</v>
      </c>
      <c r="B111" s="50" t="s">
        <v>1420</v>
      </c>
      <c r="C111" s="50" t="s">
        <v>1174</v>
      </c>
      <c r="D111" s="50">
        <v>10050604</v>
      </c>
      <c r="E111" s="50" t="s">
        <v>3312</v>
      </c>
      <c r="F111" s="50" t="s">
        <v>1180</v>
      </c>
      <c r="G111" s="50" t="s">
        <v>289</v>
      </c>
      <c r="H111" s="50" t="s">
        <v>24</v>
      </c>
      <c r="I111" s="50" t="s">
        <v>258</v>
      </c>
      <c r="J111" s="52">
        <v>12.77</v>
      </c>
      <c r="K111" s="54">
        <v>350</v>
      </c>
      <c r="L111" s="54">
        <v>9950</v>
      </c>
      <c r="M111" s="54">
        <v>24</v>
      </c>
      <c r="N111" s="56">
        <v>0.21310000000000001</v>
      </c>
      <c r="O111" s="50"/>
      <c r="P111" s="52"/>
      <c r="Q111" s="54"/>
      <c r="R111" s="52"/>
      <c r="S111" s="52"/>
      <c r="T111" s="58"/>
      <c r="U111" s="54"/>
    </row>
    <row r="112" spans="1:21" x14ac:dyDescent="0.35">
      <c r="A112" s="51">
        <v>4000791</v>
      </c>
      <c r="B112" s="51" t="s">
        <v>1422</v>
      </c>
      <c r="C112" s="51" t="s">
        <v>1174</v>
      </c>
      <c r="D112" s="51">
        <v>10050604</v>
      </c>
      <c r="E112" s="51" t="s">
        <v>3312</v>
      </c>
      <c r="F112" s="51" t="s">
        <v>1180</v>
      </c>
      <c r="G112" s="51" t="s">
        <v>289</v>
      </c>
      <c r="H112" s="51" t="s">
        <v>24</v>
      </c>
      <c r="I112" s="51" t="s">
        <v>258</v>
      </c>
      <c r="J112" s="53">
        <v>12.78</v>
      </c>
      <c r="K112" s="55">
        <v>400</v>
      </c>
      <c r="L112" s="55">
        <v>4200</v>
      </c>
      <c r="M112" s="55">
        <v>24</v>
      </c>
      <c r="N112" s="57">
        <v>0.46660000000000001</v>
      </c>
      <c r="O112" s="51"/>
      <c r="P112" s="53"/>
      <c r="Q112" s="55"/>
      <c r="R112" s="53"/>
      <c r="S112" s="53"/>
      <c r="T112" s="59"/>
      <c r="U112" s="55"/>
    </row>
    <row r="113" spans="1:21" x14ac:dyDescent="0.35">
      <c r="A113" s="50">
        <v>4000800</v>
      </c>
      <c r="B113" s="50" t="s">
        <v>1430</v>
      </c>
      <c r="C113" s="50" t="s">
        <v>1174</v>
      </c>
      <c r="D113" s="50">
        <v>10080401</v>
      </c>
      <c r="E113" s="50" t="s">
        <v>3336</v>
      </c>
      <c r="F113" s="50" t="s">
        <v>1173</v>
      </c>
      <c r="G113" s="50" t="s">
        <v>258</v>
      </c>
      <c r="H113" s="50" t="s">
        <v>141</v>
      </c>
      <c r="I113" s="50" t="s">
        <v>258</v>
      </c>
      <c r="J113" s="52">
        <v>0.62119999999999997</v>
      </c>
      <c r="K113" s="54">
        <v>1100</v>
      </c>
      <c r="L113" s="54">
        <v>79300</v>
      </c>
      <c r="M113" s="54">
        <v>24</v>
      </c>
      <c r="N113" s="56">
        <v>0.28260000000000002</v>
      </c>
      <c r="O113" s="50"/>
      <c r="P113" s="52"/>
      <c r="Q113" s="54"/>
      <c r="R113" s="52"/>
      <c r="S113" s="52"/>
      <c r="T113" s="58"/>
      <c r="U113" s="54"/>
    </row>
    <row r="114" spans="1:21" x14ac:dyDescent="0.35">
      <c r="A114" s="51">
        <v>4000801</v>
      </c>
      <c r="B114" s="51" t="s">
        <v>1432</v>
      </c>
      <c r="C114" s="51" t="s">
        <v>1174</v>
      </c>
      <c r="D114" s="51">
        <v>10080401</v>
      </c>
      <c r="E114" s="51" t="s">
        <v>3336</v>
      </c>
      <c r="F114" s="51" t="s">
        <v>1173</v>
      </c>
      <c r="G114" s="51" t="s">
        <v>258</v>
      </c>
      <c r="H114" s="51" t="s">
        <v>141</v>
      </c>
      <c r="I114" s="51" t="s">
        <v>258</v>
      </c>
      <c r="J114" s="53">
        <v>0.66830000000000001</v>
      </c>
      <c r="K114" s="55">
        <v>2000</v>
      </c>
      <c r="L114" s="55">
        <v>108950</v>
      </c>
      <c r="M114" s="55">
        <v>24</v>
      </c>
      <c r="N114" s="57">
        <v>0.24640000000000001</v>
      </c>
      <c r="O114" s="51"/>
      <c r="P114" s="53"/>
      <c r="Q114" s="55"/>
      <c r="R114" s="53"/>
      <c r="S114" s="53"/>
      <c r="T114" s="59"/>
      <c r="U114" s="55"/>
    </row>
    <row r="115" spans="1:21" x14ac:dyDescent="0.35">
      <c r="A115" s="50">
        <v>4000802</v>
      </c>
      <c r="B115" s="50" t="s">
        <v>1434</v>
      </c>
      <c r="C115" s="50" t="s">
        <v>1174</v>
      </c>
      <c r="D115" s="50">
        <v>10080401</v>
      </c>
      <c r="E115" s="50" t="s">
        <v>3336</v>
      </c>
      <c r="F115" s="50" t="s">
        <v>1173</v>
      </c>
      <c r="G115" s="50" t="s">
        <v>258</v>
      </c>
      <c r="H115" s="50" t="s">
        <v>141</v>
      </c>
      <c r="I115" s="50" t="s">
        <v>289</v>
      </c>
      <c r="J115" s="52">
        <v>0.95069999999999999</v>
      </c>
      <c r="K115" s="54">
        <v>825</v>
      </c>
      <c r="L115" s="54">
        <v>54284</v>
      </c>
      <c r="M115" s="54">
        <v>24</v>
      </c>
      <c r="N115" s="56">
        <v>0.2424</v>
      </c>
      <c r="O115" s="50"/>
      <c r="P115" s="52"/>
      <c r="Q115" s="54"/>
      <c r="R115" s="52"/>
      <c r="S115" s="52"/>
      <c r="T115" s="58"/>
      <c r="U115" s="54"/>
    </row>
    <row r="116" spans="1:21" x14ac:dyDescent="0.35">
      <c r="A116" s="51">
        <v>4000803</v>
      </c>
      <c r="B116" s="51" t="s">
        <v>1436</v>
      </c>
      <c r="C116" s="51" t="s">
        <v>1174</v>
      </c>
      <c r="D116" s="51">
        <v>10080401</v>
      </c>
      <c r="E116" s="51" t="s">
        <v>3336</v>
      </c>
      <c r="F116" s="51" t="s">
        <v>1173</v>
      </c>
      <c r="G116" s="51" t="s">
        <v>289</v>
      </c>
      <c r="H116" s="51" t="s">
        <v>141</v>
      </c>
      <c r="I116" s="51" t="s">
        <v>289</v>
      </c>
      <c r="J116" s="53">
        <v>1.34</v>
      </c>
      <c r="K116" s="55">
        <v>900</v>
      </c>
      <c r="L116" s="55">
        <v>68829</v>
      </c>
      <c r="M116" s="55">
        <v>24</v>
      </c>
      <c r="N116" s="57">
        <v>0.19750000000000001</v>
      </c>
      <c r="O116" s="51"/>
      <c r="P116" s="53"/>
      <c r="Q116" s="55"/>
      <c r="R116" s="53"/>
      <c r="S116" s="53"/>
      <c r="T116" s="59"/>
      <c r="U116" s="55"/>
    </row>
    <row r="117" spans="1:21" x14ac:dyDescent="0.35">
      <c r="A117" s="50">
        <v>4000804</v>
      </c>
      <c r="B117" s="50" t="s">
        <v>1438</v>
      </c>
      <c r="C117" s="50" t="s">
        <v>1174</v>
      </c>
      <c r="D117" s="50">
        <v>10080401</v>
      </c>
      <c r="E117" s="50" t="s">
        <v>3336</v>
      </c>
      <c r="F117" s="50" t="s">
        <v>1173</v>
      </c>
      <c r="G117" s="50" t="s">
        <v>289</v>
      </c>
      <c r="H117" s="50" t="s">
        <v>141</v>
      </c>
      <c r="I117" s="50" t="s">
        <v>289</v>
      </c>
      <c r="J117" s="52">
        <v>3.06</v>
      </c>
      <c r="K117" s="54">
        <v>1616</v>
      </c>
      <c r="L117" s="54">
        <v>52544</v>
      </c>
      <c r="M117" s="54">
        <v>24</v>
      </c>
      <c r="N117" s="56">
        <v>0.2707</v>
      </c>
      <c r="O117" s="50"/>
      <c r="P117" s="52">
        <v>54168</v>
      </c>
      <c r="Q117" s="54">
        <v>9</v>
      </c>
      <c r="R117" s="52">
        <v>10</v>
      </c>
      <c r="S117" s="52">
        <v>90</v>
      </c>
      <c r="T117" s="58"/>
      <c r="U117" s="54"/>
    </row>
    <row r="118" spans="1:21" x14ac:dyDescent="0.35">
      <c r="A118" s="51">
        <v>4000805</v>
      </c>
      <c r="B118" s="51" t="s">
        <v>1440</v>
      </c>
      <c r="C118" s="51" t="s">
        <v>1174</v>
      </c>
      <c r="D118" s="51">
        <v>10080401</v>
      </c>
      <c r="E118" s="51" t="s">
        <v>3336</v>
      </c>
      <c r="F118" s="51" t="s">
        <v>1173</v>
      </c>
      <c r="G118" s="51" t="s">
        <v>258</v>
      </c>
      <c r="H118" s="51" t="s">
        <v>141</v>
      </c>
      <c r="I118" s="51" t="s">
        <v>258</v>
      </c>
      <c r="J118" s="53">
        <v>0.72409999999999997</v>
      </c>
      <c r="K118" s="55">
        <v>775</v>
      </c>
      <c r="L118" s="55">
        <v>60200</v>
      </c>
      <c r="M118" s="55">
        <v>24</v>
      </c>
      <c r="N118" s="57">
        <v>0.34510000000000002</v>
      </c>
      <c r="O118" s="51"/>
      <c r="P118" s="53"/>
      <c r="Q118" s="55"/>
      <c r="R118" s="53"/>
      <c r="S118" s="53"/>
      <c r="T118" s="59"/>
      <c r="U118" s="55"/>
    </row>
    <row r="119" spans="1:21" x14ac:dyDescent="0.35">
      <c r="A119" s="50">
        <v>4000830</v>
      </c>
      <c r="B119" s="50" t="s">
        <v>1442</v>
      </c>
      <c r="C119" s="50" t="s">
        <v>1174</v>
      </c>
      <c r="D119" s="50">
        <v>10050109</v>
      </c>
      <c r="E119" s="50" t="s">
        <v>3294</v>
      </c>
      <c r="F119" s="50" t="s">
        <v>1173</v>
      </c>
      <c r="G119" s="50" t="s">
        <v>271</v>
      </c>
      <c r="H119" s="50" t="s">
        <v>141</v>
      </c>
      <c r="I119" s="50" t="s">
        <v>289</v>
      </c>
      <c r="J119" s="52">
        <v>0.85470000000000002</v>
      </c>
      <c r="K119" s="54">
        <v>4800</v>
      </c>
      <c r="L119" s="54">
        <v>852050</v>
      </c>
      <c r="M119" s="54">
        <v>24</v>
      </c>
      <c r="N119" s="56">
        <v>9.3799999999999994E-2</v>
      </c>
      <c r="O119" s="50"/>
      <c r="P119" s="52"/>
      <c r="Q119" s="54"/>
      <c r="R119" s="52"/>
      <c r="S119" s="52"/>
      <c r="T119" s="58"/>
      <c r="U119" s="54"/>
    </row>
    <row r="120" spans="1:21" x14ac:dyDescent="0.35">
      <c r="A120" s="51">
        <v>4000835</v>
      </c>
      <c r="B120" s="51" t="s">
        <v>1444</v>
      </c>
      <c r="C120" s="51" t="s">
        <v>1174</v>
      </c>
      <c r="D120" s="51">
        <v>10050404</v>
      </c>
      <c r="E120" s="51" t="s">
        <v>3301</v>
      </c>
      <c r="F120" s="51" t="s">
        <v>1173</v>
      </c>
      <c r="G120" s="51" t="s">
        <v>258</v>
      </c>
      <c r="H120" s="51" t="s">
        <v>757</v>
      </c>
      <c r="I120" s="51" t="s">
        <v>258</v>
      </c>
      <c r="J120" s="53">
        <v>2.08</v>
      </c>
      <c r="K120" s="55">
        <v>3260</v>
      </c>
      <c r="L120" s="55">
        <v>21420</v>
      </c>
      <c r="M120" s="55">
        <v>24</v>
      </c>
      <c r="N120" s="57">
        <v>0.44330000000000003</v>
      </c>
      <c r="O120" s="51"/>
      <c r="P120" s="53">
        <v>26555.49</v>
      </c>
      <c r="Q120" s="55">
        <v>35</v>
      </c>
      <c r="R120" s="53">
        <v>3</v>
      </c>
      <c r="S120" s="53">
        <v>108</v>
      </c>
      <c r="T120" s="59">
        <v>3</v>
      </c>
      <c r="U120" s="55">
        <v>1</v>
      </c>
    </row>
    <row r="121" spans="1:21" x14ac:dyDescent="0.35">
      <c r="A121" s="50">
        <v>4000966</v>
      </c>
      <c r="B121" s="50" t="s">
        <v>1456</v>
      </c>
      <c r="C121" s="50" t="s">
        <v>1174</v>
      </c>
      <c r="D121" s="50">
        <v>10050103</v>
      </c>
      <c r="E121" s="50" t="s">
        <v>3290</v>
      </c>
      <c r="F121" s="50" t="s">
        <v>1173</v>
      </c>
      <c r="G121" s="50" t="s">
        <v>258</v>
      </c>
      <c r="H121" s="50" t="s">
        <v>24</v>
      </c>
      <c r="I121" s="50" t="s">
        <v>258</v>
      </c>
      <c r="J121" s="52">
        <v>27.9</v>
      </c>
      <c r="K121" s="54">
        <v>440</v>
      </c>
      <c r="L121" s="54">
        <v>6045</v>
      </c>
      <c r="M121" s="54">
        <v>24</v>
      </c>
      <c r="N121" s="56">
        <v>0.41489999999999999</v>
      </c>
      <c r="O121" s="50"/>
      <c r="P121" s="52">
        <v>114120</v>
      </c>
      <c r="Q121" s="54">
        <v>31</v>
      </c>
      <c r="R121" s="52">
        <v>3.9</v>
      </c>
      <c r="S121" s="52">
        <v>117</v>
      </c>
      <c r="T121" s="58"/>
      <c r="U121" s="54"/>
    </row>
    <row r="122" spans="1:21" x14ac:dyDescent="0.35">
      <c r="A122" s="51">
        <v>4000969</v>
      </c>
      <c r="B122" s="51" t="s">
        <v>1458</v>
      </c>
      <c r="C122" s="51" t="s">
        <v>1174</v>
      </c>
      <c r="D122" s="51">
        <v>10050506</v>
      </c>
      <c r="E122" s="51" t="s">
        <v>3307</v>
      </c>
      <c r="F122" s="51" t="s">
        <v>1173</v>
      </c>
      <c r="G122" s="51" t="s">
        <v>258</v>
      </c>
      <c r="H122" s="51"/>
      <c r="I122" s="51" t="s">
        <v>258</v>
      </c>
      <c r="J122" s="53">
        <v>1.61</v>
      </c>
      <c r="K122" s="55">
        <v>487</v>
      </c>
      <c r="L122" s="55">
        <v>3274</v>
      </c>
      <c r="M122" s="55">
        <v>24</v>
      </c>
      <c r="N122" s="57">
        <v>0.78349999999999997</v>
      </c>
      <c r="O122" s="51"/>
      <c r="P122" s="53">
        <v>5223.4799999999996</v>
      </c>
      <c r="Q122" s="55">
        <v>8</v>
      </c>
      <c r="R122" s="53">
        <v>4</v>
      </c>
      <c r="S122" s="53">
        <v>32</v>
      </c>
      <c r="T122" s="59"/>
      <c r="U122" s="55"/>
    </row>
    <row r="123" spans="1:21" x14ac:dyDescent="0.35">
      <c r="A123" s="50">
        <v>4000972</v>
      </c>
      <c r="B123" s="50" t="s">
        <v>1460</v>
      </c>
      <c r="C123" s="50" t="s">
        <v>1174</v>
      </c>
      <c r="D123" s="50">
        <v>10050104</v>
      </c>
      <c r="E123" s="50" t="s">
        <v>3291</v>
      </c>
      <c r="F123" s="50" t="s">
        <v>1173</v>
      </c>
      <c r="G123" s="50" t="s">
        <v>258</v>
      </c>
      <c r="H123" s="50" t="s">
        <v>141</v>
      </c>
      <c r="I123" s="50" t="s">
        <v>258</v>
      </c>
      <c r="J123" s="52">
        <v>7.27</v>
      </c>
      <c r="K123" s="54">
        <v>230</v>
      </c>
      <c r="L123" s="54">
        <v>597</v>
      </c>
      <c r="M123" s="54">
        <v>23</v>
      </c>
      <c r="N123" s="56">
        <v>1.1221000000000001</v>
      </c>
      <c r="O123" s="50"/>
      <c r="P123" s="52">
        <v>3440</v>
      </c>
      <c r="Q123" s="54">
        <v>6</v>
      </c>
      <c r="R123" s="52">
        <v>1.5</v>
      </c>
      <c r="S123" s="52">
        <v>9</v>
      </c>
      <c r="T123" s="58"/>
      <c r="U123" s="54"/>
    </row>
    <row r="124" spans="1:21" x14ac:dyDescent="0.35">
      <c r="A124" s="51">
        <v>4000973</v>
      </c>
      <c r="B124" s="51" t="s">
        <v>1462</v>
      </c>
      <c r="C124" s="51" t="s">
        <v>1174</v>
      </c>
      <c r="D124" s="51">
        <v>10050104</v>
      </c>
      <c r="E124" s="51" t="s">
        <v>3291</v>
      </c>
      <c r="F124" s="51" t="s">
        <v>1173</v>
      </c>
      <c r="G124" s="51" t="s">
        <v>258</v>
      </c>
      <c r="H124" s="51" t="s">
        <v>141</v>
      </c>
      <c r="I124" s="51" t="s">
        <v>258</v>
      </c>
      <c r="J124" s="53">
        <v>7.05</v>
      </c>
      <c r="K124" s="55">
        <v>130</v>
      </c>
      <c r="L124" s="55">
        <v>843</v>
      </c>
      <c r="M124" s="55">
        <v>23</v>
      </c>
      <c r="N124" s="57">
        <v>1.0381</v>
      </c>
      <c r="O124" s="51"/>
      <c r="P124" s="53">
        <v>4440</v>
      </c>
      <c r="Q124" s="55">
        <v>8</v>
      </c>
      <c r="R124" s="53">
        <v>1.38</v>
      </c>
      <c r="S124" s="53">
        <v>11</v>
      </c>
      <c r="T124" s="59"/>
      <c r="U124" s="55"/>
    </row>
    <row r="125" spans="1:21" x14ac:dyDescent="0.35">
      <c r="A125" s="50">
        <v>4000974</v>
      </c>
      <c r="B125" s="50" t="s">
        <v>1464</v>
      </c>
      <c r="C125" s="50" t="s">
        <v>1174</v>
      </c>
      <c r="D125" s="50">
        <v>10050104</v>
      </c>
      <c r="E125" s="50" t="s">
        <v>3291</v>
      </c>
      <c r="F125" s="50" t="s">
        <v>1173</v>
      </c>
      <c r="G125" s="50" t="s">
        <v>258</v>
      </c>
      <c r="H125" s="50" t="s">
        <v>24</v>
      </c>
      <c r="I125" s="50" t="s">
        <v>258</v>
      </c>
      <c r="J125" s="52">
        <v>8.76</v>
      </c>
      <c r="K125" s="54">
        <v>234</v>
      </c>
      <c r="L125" s="54">
        <v>1336</v>
      </c>
      <c r="M125" s="54">
        <v>23</v>
      </c>
      <c r="N125" s="56">
        <v>0.63870000000000005</v>
      </c>
      <c r="O125" s="50"/>
      <c r="P125" s="52">
        <v>8184</v>
      </c>
      <c r="Q125" s="54">
        <v>11</v>
      </c>
      <c r="R125" s="52">
        <v>2.36</v>
      </c>
      <c r="S125" s="52">
        <v>26</v>
      </c>
      <c r="T125" s="58"/>
      <c r="U125" s="54"/>
    </row>
    <row r="126" spans="1:21" x14ac:dyDescent="0.35">
      <c r="A126" s="51">
        <v>4000975</v>
      </c>
      <c r="B126" s="51" t="s">
        <v>1466</v>
      </c>
      <c r="C126" s="51" t="s">
        <v>1174</v>
      </c>
      <c r="D126" s="51">
        <v>10050104</v>
      </c>
      <c r="E126" s="51" t="s">
        <v>3291</v>
      </c>
      <c r="F126" s="51" t="s">
        <v>1173</v>
      </c>
      <c r="G126" s="51" t="s">
        <v>258</v>
      </c>
      <c r="H126" s="51" t="s">
        <v>24</v>
      </c>
      <c r="I126" s="51" t="s">
        <v>258</v>
      </c>
      <c r="J126" s="53">
        <v>7.77</v>
      </c>
      <c r="K126" s="55">
        <v>502</v>
      </c>
      <c r="L126" s="55">
        <v>2023</v>
      </c>
      <c r="M126" s="55">
        <v>24</v>
      </c>
      <c r="N126" s="57">
        <v>0.47860000000000003</v>
      </c>
      <c r="O126" s="51"/>
      <c r="P126" s="53">
        <v>11760</v>
      </c>
      <c r="Q126" s="55">
        <v>5</v>
      </c>
      <c r="R126" s="53">
        <v>1.6</v>
      </c>
      <c r="S126" s="53">
        <v>8</v>
      </c>
      <c r="T126" s="59"/>
      <c r="U126" s="55"/>
    </row>
    <row r="127" spans="1:21" x14ac:dyDescent="0.35">
      <c r="A127" s="50">
        <v>4000976</v>
      </c>
      <c r="B127" s="50" t="s">
        <v>1468</v>
      </c>
      <c r="C127" s="50" t="s">
        <v>1174</v>
      </c>
      <c r="D127" s="50">
        <v>10050104</v>
      </c>
      <c r="E127" s="50" t="s">
        <v>3291</v>
      </c>
      <c r="F127" s="50" t="s">
        <v>1173</v>
      </c>
      <c r="G127" s="50" t="s">
        <v>258</v>
      </c>
      <c r="H127" s="50" t="s">
        <v>24</v>
      </c>
      <c r="I127" s="50" t="s">
        <v>258</v>
      </c>
      <c r="J127" s="52">
        <v>8.2799999999999994</v>
      </c>
      <c r="K127" s="54">
        <v>213</v>
      </c>
      <c r="L127" s="54">
        <v>10331</v>
      </c>
      <c r="M127" s="54">
        <v>24</v>
      </c>
      <c r="N127" s="56">
        <v>0.18659999999999999</v>
      </c>
      <c r="O127" s="50"/>
      <c r="P127" s="52"/>
      <c r="Q127" s="54"/>
      <c r="R127" s="52"/>
      <c r="S127" s="52"/>
      <c r="T127" s="58"/>
      <c r="U127" s="54"/>
    </row>
    <row r="128" spans="1:21" x14ac:dyDescent="0.35">
      <c r="A128" s="51">
        <v>4000978</v>
      </c>
      <c r="B128" s="51" t="s">
        <v>1472</v>
      </c>
      <c r="C128" s="51" t="s">
        <v>1174</v>
      </c>
      <c r="D128" s="51">
        <v>10050105</v>
      </c>
      <c r="E128" s="51" t="s">
        <v>3292</v>
      </c>
      <c r="F128" s="51" t="s">
        <v>1173</v>
      </c>
      <c r="G128" s="51" t="s">
        <v>258</v>
      </c>
      <c r="H128" s="51" t="s">
        <v>141</v>
      </c>
      <c r="I128" s="51" t="s">
        <v>258</v>
      </c>
      <c r="J128" s="53">
        <v>11.59</v>
      </c>
      <c r="K128" s="55">
        <v>189</v>
      </c>
      <c r="L128" s="55">
        <v>9254</v>
      </c>
      <c r="M128" s="55">
        <v>24</v>
      </c>
      <c r="N128" s="57">
        <v>0.13569999999999999</v>
      </c>
      <c r="O128" s="51"/>
      <c r="P128" s="53"/>
      <c r="Q128" s="55"/>
      <c r="R128" s="53"/>
      <c r="S128" s="53"/>
      <c r="T128" s="59"/>
      <c r="U128" s="55"/>
    </row>
    <row r="129" spans="1:21" x14ac:dyDescent="0.35">
      <c r="A129" s="50">
        <v>4000979</v>
      </c>
      <c r="B129" s="50" t="s">
        <v>1474</v>
      </c>
      <c r="C129" s="50" t="s">
        <v>1174</v>
      </c>
      <c r="D129" s="50">
        <v>10050105</v>
      </c>
      <c r="E129" s="50" t="s">
        <v>3292</v>
      </c>
      <c r="F129" s="50" t="s">
        <v>1173</v>
      </c>
      <c r="G129" s="50" t="s">
        <v>258</v>
      </c>
      <c r="H129" s="50"/>
      <c r="I129" s="50" t="s">
        <v>258</v>
      </c>
      <c r="J129" s="52">
        <v>9.39</v>
      </c>
      <c r="K129" s="54">
        <v>234</v>
      </c>
      <c r="L129" s="54">
        <v>390</v>
      </c>
      <c r="M129" s="54">
        <v>21</v>
      </c>
      <c r="N129" s="56">
        <v>0.79910000000000003</v>
      </c>
      <c r="O129" s="50"/>
      <c r="P129" s="52">
        <v>3382.5</v>
      </c>
      <c r="Q129" s="54">
        <v>5</v>
      </c>
      <c r="R129" s="52">
        <v>3</v>
      </c>
      <c r="S129" s="52">
        <v>15</v>
      </c>
      <c r="T129" s="58"/>
      <c r="U129" s="54"/>
    </row>
    <row r="130" spans="1:21" x14ac:dyDescent="0.35">
      <c r="A130" s="51">
        <v>4000988</v>
      </c>
      <c r="B130" s="51" t="s">
        <v>1478</v>
      </c>
      <c r="C130" s="51" t="s">
        <v>1174</v>
      </c>
      <c r="D130" s="51">
        <v>10050401</v>
      </c>
      <c r="E130" s="51" t="s">
        <v>3300</v>
      </c>
      <c r="F130" s="51" t="s">
        <v>1173</v>
      </c>
      <c r="G130" s="51" t="s">
        <v>289</v>
      </c>
      <c r="H130" s="51"/>
      <c r="I130" s="51" t="s">
        <v>258</v>
      </c>
      <c r="J130" s="53">
        <v>4.83</v>
      </c>
      <c r="K130" s="55">
        <v>439</v>
      </c>
      <c r="L130" s="55">
        <v>2243</v>
      </c>
      <c r="M130" s="55">
        <v>24</v>
      </c>
      <c r="N130" s="57">
        <v>0.41139999999999999</v>
      </c>
      <c r="O130" s="51"/>
      <c r="P130" s="53">
        <v>12492</v>
      </c>
      <c r="Q130" s="55">
        <v>8</v>
      </c>
      <c r="R130" s="53">
        <v>38.880000000000003</v>
      </c>
      <c r="S130" s="53">
        <v>411</v>
      </c>
      <c r="T130" s="59"/>
      <c r="U130" s="55"/>
    </row>
    <row r="131" spans="1:21" x14ac:dyDescent="0.35">
      <c r="A131" s="50">
        <v>4000989</v>
      </c>
      <c r="B131" s="50" t="s">
        <v>1480</v>
      </c>
      <c r="C131" s="50" t="s">
        <v>1174</v>
      </c>
      <c r="D131" s="50">
        <v>10050401</v>
      </c>
      <c r="E131" s="50" t="s">
        <v>3300</v>
      </c>
      <c r="F131" s="50" t="s">
        <v>1173</v>
      </c>
      <c r="G131" s="50" t="s">
        <v>258</v>
      </c>
      <c r="H131" s="50" t="s">
        <v>141</v>
      </c>
      <c r="I131" s="50" t="s">
        <v>258</v>
      </c>
      <c r="J131" s="52">
        <v>5.0199999999999996</v>
      </c>
      <c r="K131" s="54">
        <v>346</v>
      </c>
      <c r="L131" s="54">
        <v>2906</v>
      </c>
      <c r="M131" s="54">
        <v>24</v>
      </c>
      <c r="N131" s="56">
        <v>0.28999999999999998</v>
      </c>
      <c r="O131" s="50"/>
      <c r="P131" s="52">
        <v>19132.740000000002</v>
      </c>
      <c r="Q131" s="54">
        <v>13</v>
      </c>
      <c r="R131" s="52">
        <v>2.38</v>
      </c>
      <c r="S131" s="52">
        <v>31</v>
      </c>
      <c r="T131" s="58">
        <v>5</v>
      </c>
      <c r="U131" s="54">
        <v>1</v>
      </c>
    </row>
    <row r="132" spans="1:21" x14ac:dyDescent="0.35">
      <c r="A132" s="51">
        <v>4001115</v>
      </c>
      <c r="B132" s="51" t="s">
        <v>1482</v>
      </c>
      <c r="C132" s="51" t="s">
        <v>1174</v>
      </c>
      <c r="D132" s="51">
        <v>10040101</v>
      </c>
      <c r="E132" s="51" t="s">
        <v>3279</v>
      </c>
      <c r="F132" s="51" t="s">
        <v>1173</v>
      </c>
      <c r="G132" s="51" t="s">
        <v>258</v>
      </c>
      <c r="H132" s="51" t="s">
        <v>141</v>
      </c>
      <c r="I132" s="51" t="s">
        <v>258</v>
      </c>
      <c r="J132" s="53">
        <v>3.87</v>
      </c>
      <c r="K132" s="55">
        <v>1450</v>
      </c>
      <c r="L132" s="55">
        <v>15650</v>
      </c>
      <c r="M132" s="55">
        <v>24</v>
      </c>
      <c r="N132" s="57">
        <v>0.24299999999999999</v>
      </c>
      <c r="O132" s="51"/>
      <c r="P132" s="53">
        <v>58964.9</v>
      </c>
      <c r="Q132" s="55">
        <v>29</v>
      </c>
      <c r="R132" s="53">
        <v>10.69</v>
      </c>
      <c r="S132" s="53">
        <v>300</v>
      </c>
      <c r="T132" s="59"/>
      <c r="U132" s="55"/>
    </row>
    <row r="133" spans="1:21" x14ac:dyDescent="0.35">
      <c r="A133" s="50">
        <v>4001116</v>
      </c>
      <c r="B133" s="50" t="s">
        <v>1484</v>
      </c>
      <c r="C133" s="50" t="s">
        <v>1174</v>
      </c>
      <c r="D133" s="50">
        <v>10050105</v>
      </c>
      <c r="E133" s="50" t="s">
        <v>3292</v>
      </c>
      <c r="F133" s="50" t="s">
        <v>1173</v>
      </c>
      <c r="G133" s="50" t="s">
        <v>258</v>
      </c>
      <c r="H133" s="50" t="s">
        <v>24</v>
      </c>
      <c r="I133" s="50" t="s">
        <v>258</v>
      </c>
      <c r="J133" s="52">
        <v>7.29</v>
      </c>
      <c r="K133" s="54">
        <v>201</v>
      </c>
      <c r="L133" s="54">
        <v>2391</v>
      </c>
      <c r="M133" s="54">
        <v>24</v>
      </c>
      <c r="N133" s="56">
        <v>0.2772</v>
      </c>
      <c r="O133" s="50"/>
      <c r="P133" s="52">
        <v>16470</v>
      </c>
      <c r="Q133" s="54">
        <v>33</v>
      </c>
      <c r="R133" s="52">
        <v>3</v>
      </c>
      <c r="S133" s="52">
        <v>99</v>
      </c>
      <c r="T133" s="58"/>
      <c r="U133" s="54"/>
    </row>
    <row r="134" spans="1:21" x14ac:dyDescent="0.35">
      <c r="A134" s="51">
        <v>4001117</v>
      </c>
      <c r="B134" s="51" t="s">
        <v>1486</v>
      </c>
      <c r="C134" s="51" t="s">
        <v>1174</v>
      </c>
      <c r="D134" s="51">
        <v>10050105</v>
      </c>
      <c r="E134" s="51" t="s">
        <v>3292</v>
      </c>
      <c r="F134" s="51" t="s">
        <v>1173</v>
      </c>
      <c r="G134" s="51" t="s">
        <v>258</v>
      </c>
      <c r="H134" s="51" t="s">
        <v>24</v>
      </c>
      <c r="I134" s="51" t="s">
        <v>258</v>
      </c>
      <c r="J134" s="53">
        <v>7.11</v>
      </c>
      <c r="K134" s="55">
        <v>63</v>
      </c>
      <c r="L134" s="55">
        <v>537</v>
      </c>
      <c r="M134" s="55">
        <v>24</v>
      </c>
      <c r="N134" s="57">
        <v>0.65080000000000005</v>
      </c>
      <c r="O134" s="51"/>
      <c r="P134" s="53">
        <v>3412.5</v>
      </c>
      <c r="Q134" s="55">
        <v>7</v>
      </c>
      <c r="R134" s="53">
        <v>3</v>
      </c>
      <c r="S134" s="53">
        <v>21</v>
      </c>
      <c r="T134" s="59"/>
      <c r="U134" s="55"/>
    </row>
    <row r="135" spans="1:21" x14ac:dyDescent="0.35">
      <c r="A135" s="50">
        <v>4001118</v>
      </c>
      <c r="B135" s="50" t="s">
        <v>1488</v>
      </c>
      <c r="C135" s="50" t="s">
        <v>1174</v>
      </c>
      <c r="D135" s="50">
        <v>10050105</v>
      </c>
      <c r="E135" s="50" t="s">
        <v>3292</v>
      </c>
      <c r="F135" s="50" t="s">
        <v>1173</v>
      </c>
      <c r="G135" s="50" t="s">
        <v>258</v>
      </c>
      <c r="H135" s="50"/>
      <c r="I135" s="50" t="s">
        <v>258</v>
      </c>
      <c r="J135" s="52">
        <v>7.24</v>
      </c>
      <c r="K135" s="54">
        <v>126</v>
      </c>
      <c r="L135" s="54">
        <v>375</v>
      </c>
      <c r="M135" s="54">
        <v>24</v>
      </c>
      <c r="N135" s="56">
        <v>0.53</v>
      </c>
      <c r="O135" s="50"/>
      <c r="P135" s="52">
        <v>2610</v>
      </c>
      <c r="Q135" s="54">
        <v>7</v>
      </c>
      <c r="R135" s="52">
        <v>2</v>
      </c>
      <c r="S135" s="52">
        <v>14</v>
      </c>
      <c r="T135" s="58"/>
      <c r="U135" s="54"/>
    </row>
    <row r="136" spans="1:21" x14ac:dyDescent="0.35">
      <c r="A136" s="51">
        <v>4001120</v>
      </c>
      <c r="B136" s="51" t="s">
        <v>1490</v>
      </c>
      <c r="C136" s="51" t="s">
        <v>1174</v>
      </c>
      <c r="D136" s="51">
        <v>10050104</v>
      </c>
      <c r="E136" s="51" t="s">
        <v>3291</v>
      </c>
      <c r="F136" s="51" t="s">
        <v>1173</v>
      </c>
      <c r="G136" s="51" t="s">
        <v>258</v>
      </c>
      <c r="H136" s="51" t="s">
        <v>141</v>
      </c>
      <c r="I136" s="51" t="s">
        <v>258</v>
      </c>
      <c r="J136" s="53">
        <v>15</v>
      </c>
      <c r="K136" s="55">
        <v>130</v>
      </c>
      <c r="L136" s="55">
        <v>180</v>
      </c>
      <c r="M136" s="55">
        <v>15</v>
      </c>
      <c r="N136" s="57">
        <v>0.88190000000000002</v>
      </c>
      <c r="O136" s="51"/>
      <c r="P136" s="53">
        <v>3000</v>
      </c>
      <c r="Q136" s="55">
        <v>1</v>
      </c>
      <c r="R136" s="53">
        <v>2</v>
      </c>
      <c r="S136" s="53">
        <v>2</v>
      </c>
      <c r="T136" s="59"/>
      <c r="U136" s="55"/>
    </row>
    <row r="137" spans="1:21" x14ac:dyDescent="0.35">
      <c r="A137" s="50">
        <v>4001122</v>
      </c>
      <c r="B137" s="50" t="s">
        <v>1492</v>
      </c>
      <c r="C137" s="50" t="s">
        <v>1174</v>
      </c>
      <c r="D137" s="50">
        <v>10050604</v>
      </c>
      <c r="E137" s="50" t="s">
        <v>3312</v>
      </c>
      <c r="F137" s="50" t="s">
        <v>1180</v>
      </c>
      <c r="G137" s="50" t="s">
        <v>271</v>
      </c>
      <c r="H137" s="50" t="s">
        <v>141</v>
      </c>
      <c r="I137" s="50" t="s">
        <v>258</v>
      </c>
      <c r="J137" s="52">
        <v>12.27</v>
      </c>
      <c r="K137" s="54">
        <v>600</v>
      </c>
      <c r="L137" s="54">
        <v>16050</v>
      </c>
      <c r="M137" s="54">
        <v>24</v>
      </c>
      <c r="N137" s="56">
        <v>0.29970000000000002</v>
      </c>
      <c r="O137" s="50"/>
      <c r="P137" s="52"/>
      <c r="Q137" s="54"/>
      <c r="R137" s="52"/>
      <c r="S137" s="52"/>
      <c r="T137" s="58"/>
      <c r="U137" s="54"/>
    </row>
    <row r="138" spans="1:21" x14ac:dyDescent="0.35">
      <c r="A138" s="51">
        <v>4001124</v>
      </c>
      <c r="B138" s="51" t="s">
        <v>1496</v>
      </c>
      <c r="C138" s="51" t="s">
        <v>1174</v>
      </c>
      <c r="D138" s="51">
        <v>10050604</v>
      </c>
      <c r="E138" s="51" t="s">
        <v>3312</v>
      </c>
      <c r="F138" s="51" t="s">
        <v>1180</v>
      </c>
      <c r="G138" s="51" t="s">
        <v>258</v>
      </c>
      <c r="H138" s="51" t="s">
        <v>141</v>
      </c>
      <c r="I138" s="51" t="s">
        <v>258</v>
      </c>
      <c r="J138" s="53">
        <v>12.23</v>
      </c>
      <c r="K138" s="55">
        <v>300</v>
      </c>
      <c r="L138" s="55">
        <v>1000</v>
      </c>
      <c r="M138" s="55">
        <v>12</v>
      </c>
      <c r="N138" s="57">
        <v>1.4966999999999999</v>
      </c>
      <c r="O138" s="51"/>
      <c r="P138" s="53">
        <v>11294.9</v>
      </c>
      <c r="Q138" s="55">
        <v>5</v>
      </c>
      <c r="R138" s="53">
        <v>1</v>
      </c>
      <c r="S138" s="53">
        <v>5</v>
      </c>
      <c r="T138" s="59"/>
      <c r="U138" s="55"/>
    </row>
    <row r="139" spans="1:21" x14ac:dyDescent="0.35">
      <c r="A139" s="50">
        <v>4001125</v>
      </c>
      <c r="B139" s="50" t="s">
        <v>1498</v>
      </c>
      <c r="C139" s="50" t="s">
        <v>1174</v>
      </c>
      <c r="D139" s="50">
        <v>10050109</v>
      </c>
      <c r="E139" s="50" t="s">
        <v>3294</v>
      </c>
      <c r="F139" s="50" t="s">
        <v>1173</v>
      </c>
      <c r="G139" s="50" t="s">
        <v>271</v>
      </c>
      <c r="H139" s="50" t="s">
        <v>24</v>
      </c>
      <c r="I139" s="50" t="s">
        <v>258</v>
      </c>
      <c r="J139" s="52">
        <v>25.33</v>
      </c>
      <c r="K139" s="54">
        <v>825</v>
      </c>
      <c r="L139" s="54">
        <v>22855</v>
      </c>
      <c r="M139" s="54">
        <v>24</v>
      </c>
      <c r="N139" s="56">
        <v>0.13300000000000001</v>
      </c>
      <c r="O139" s="50"/>
      <c r="P139" s="52"/>
      <c r="Q139" s="54"/>
      <c r="R139" s="52"/>
      <c r="S139" s="52"/>
      <c r="T139" s="58"/>
      <c r="U139" s="54"/>
    </row>
    <row r="140" spans="1:21" x14ac:dyDescent="0.35">
      <c r="A140" s="51">
        <v>4001127</v>
      </c>
      <c r="B140" s="51" t="s">
        <v>1500</v>
      </c>
      <c r="C140" s="51" t="s">
        <v>1174</v>
      </c>
      <c r="D140" s="51">
        <v>10050506</v>
      </c>
      <c r="E140" s="51" t="s">
        <v>3307</v>
      </c>
      <c r="F140" s="51" t="s">
        <v>1173</v>
      </c>
      <c r="G140" s="51" t="s">
        <v>258</v>
      </c>
      <c r="H140" s="51" t="s">
        <v>24</v>
      </c>
      <c r="I140" s="51" t="s">
        <v>258</v>
      </c>
      <c r="J140" s="53">
        <v>1.54</v>
      </c>
      <c r="K140" s="55">
        <v>1238</v>
      </c>
      <c r="L140" s="55">
        <v>35874</v>
      </c>
      <c r="M140" s="55">
        <v>24</v>
      </c>
      <c r="N140" s="57">
        <v>0.33750000000000002</v>
      </c>
      <c r="O140" s="51"/>
      <c r="P140" s="53"/>
      <c r="Q140" s="55"/>
      <c r="R140" s="53"/>
      <c r="S140" s="53"/>
      <c r="T140" s="59"/>
      <c r="U140" s="55"/>
    </row>
    <row r="141" spans="1:21" x14ac:dyDescent="0.35">
      <c r="A141" s="50">
        <v>4001128</v>
      </c>
      <c r="B141" s="50" t="s">
        <v>1502</v>
      </c>
      <c r="C141" s="50" t="s">
        <v>1174</v>
      </c>
      <c r="D141" s="50">
        <v>10050506</v>
      </c>
      <c r="E141" s="50" t="s">
        <v>3307</v>
      </c>
      <c r="F141" s="50" t="s">
        <v>1173</v>
      </c>
      <c r="G141" s="50" t="s">
        <v>258</v>
      </c>
      <c r="H141" s="50"/>
      <c r="I141" s="50" t="s">
        <v>258</v>
      </c>
      <c r="J141" s="52">
        <v>2.1</v>
      </c>
      <c r="K141" s="54">
        <v>486</v>
      </c>
      <c r="L141" s="54">
        <v>6092</v>
      </c>
      <c r="M141" s="54">
        <v>23</v>
      </c>
      <c r="N141" s="56">
        <v>1.1760999999999999</v>
      </c>
      <c r="O141" s="50"/>
      <c r="P141" s="52"/>
      <c r="Q141" s="54"/>
      <c r="R141" s="52"/>
      <c r="S141" s="52"/>
      <c r="T141" s="58"/>
      <c r="U141" s="54"/>
    </row>
    <row r="142" spans="1:21" x14ac:dyDescent="0.35">
      <c r="A142" s="51">
        <v>4001129</v>
      </c>
      <c r="B142" s="51" t="s">
        <v>1504</v>
      </c>
      <c r="C142" s="51" t="s">
        <v>1174</v>
      </c>
      <c r="D142" s="51">
        <v>10050506</v>
      </c>
      <c r="E142" s="51" t="s">
        <v>3307</v>
      </c>
      <c r="F142" s="51" t="s">
        <v>1173</v>
      </c>
      <c r="G142" s="51" t="s">
        <v>258</v>
      </c>
      <c r="H142" s="51"/>
      <c r="I142" s="51" t="s">
        <v>258</v>
      </c>
      <c r="J142" s="53">
        <v>2.63</v>
      </c>
      <c r="K142" s="55">
        <v>130</v>
      </c>
      <c r="L142" s="55">
        <v>1892</v>
      </c>
      <c r="M142" s="55">
        <v>22</v>
      </c>
      <c r="N142" s="57">
        <v>0.81740000000000002</v>
      </c>
      <c r="O142" s="51"/>
      <c r="P142" s="53">
        <v>3570.72</v>
      </c>
      <c r="Q142" s="55">
        <v>16</v>
      </c>
      <c r="R142" s="53">
        <v>1</v>
      </c>
      <c r="S142" s="53">
        <v>16</v>
      </c>
      <c r="T142" s="59"/>
      <c r="U142" s="55"/>
    </row>
    <row r="143" spans="1:21" x14ac:dyDescent="0.35">
      <c r="A143" s="50">
        <v>4001133</v>
      </c>
      <c r="B143" s="50" t="s">
        <v>1508</v>
      </c>
      <c r="C143" s="50" t="s">
        <v>1174</v>
      </c>
      <c r="D143" s="50">
        <v>10050104</v>
      </c>
      <c r="E143" s="50" t="s">
        <v>3291</v>
      </c>
      <c r="F143" s="50" t="s">
        <v>1173</v>
      </c>
      <c r="G143" s="50" t="s">
        <v>258</v>
      </c>
      <c r="H143" s="50" t="s">
        <v>141</v>
      </c>
      <c r="I143" s="50"/>
      <c r="J143" s="52">
        <v>26.42</v>
      </c>
      <c r="K143" s="54">
        <v>180</v>
      </c>
      <c r="L143" s="54">
        <v>210</v>
      </c>
      <c r="M143" s="54">
        <v>15</v>
      </c>
      <c r="N143" s="56">
        <v>0.8921</v>
      </c>
      <c r="O143" s="50"/>
      <c r="P143" s="52">
        <v>4600</v>
      </c>
      <c r="Q143" s="54">
        <v>2</v>
      </c>
      <c r="R143" s="52">
        <v>1</v>
      </c>
      <c r="S143" s="52">
        <v>2</v>
      </c>
      <c r="T143" s="58"/>
      <c r="U143" s="54"/>
    </row>
    <row r="144" spans="1:21" x14ac:dyDescent="0.35">
      <c r="A144" s="51">
        <v>4001134</v>
      </c>
      <c r="B144" s="51" t="s">
        <v>1510</v>
      </c>
      <c r="C144" s="51" t="s">
        <v>1174</v>
      </c>
      <c r="D144" s="51">
        <v>10050104</v>
      </c>
      <c r="E144" s="51" t="s">
        <v>3291</v>
      </c>
      <c r="F144" s="51" t="s">
        <v>1173</v>
      </c>
      <c r="G144" s="51" t="s">
        <v>258</v>
      </c>
      <c r="H144" s="51" t="s">
        <v>141</v>
      </c>
      <c r="I144" s="51"/>
      <c r="J144" s="53">
        <v>26.71</v>
      </c>
      <c r="K144" s="55">
        <v>70</v>
      </c>
      <c r="L144" s="55">
        <v>420</v>
      </c>
      <c r="M144" s="55">
        <v>21</v>
      </c>
      <c r="N144" s="57">
        <v>0.66500000000000004</v>
      </c>
      <c r="O144" s="51"/>
      <c r="P144" s="53">
        <v>6900</v>
      </c>
      <c r="Q144" s="55">
        <v>3</v>
      </c>
      <c r="R144" s="53">
        <v>1</v>
      </c>
      <c r="S144" s="53">
        <v>3</v>
      </c>
      <c r="T144" s="59"/>
      <c r="U144" s="55"/>
    </row>
    <row r="145" spans="1:21" x14ac:dyDescent="0.35">
      <c r="A145" s="50">
        <v>4001135</v>
      </c>
      <c r="B145" s="50" t="s">
        <v>1512</v>
      </c>
      <c r="C145" s="50" t="s">
        <v>1174</v>
      </c>
      <c r="D145" s="50">
        <v>10050104</v>
      </c>
      <c r="E145" s="50" t="s">
        <v>3291</v>
      </c>
      <c r="F145" s="50" t="s">
        <v>1173</v>
      </c>
      <c r="G145" s="50" t="s">
        <v>258</v>
      </c>
      <c r="H145" s="50" t="s">
        <v>141</v>
      </c>
      <c r="I145" s="50"/>
      <c r="J145" s="52">
        <v>26.42</v>
      </c>
      <c r="K145" s="54">
        <v>100</v>
      </c>
      <c r="L145" s="54">
        <v>360</v>
      </c>
      <c r="M145" s="54">
        <v>18</v>
      </c>
      <c r="N145" s="56">
        <v>0.79349999999999998</v>
      </c>
      <c r="O145" s="50"/>
      <c r="P145" s="52">
        <v>7550</v>
      </c>
      <c r="Q145" s="54">
        <v>3</v>
      </c>
      <c r="R145" s="52">
        <v>4</v>
      </c>
      <c r="S145" s="52">
        <v>12</v>
      </c>
      <c r="T145" s="58"/>
      <c r="U145" s="54"/>
    </row>
    <row r="146" spans="1:21" x14ac:dyDescent="0.35">
      <c r="A146" s="51">
        <v>4001136</v>
      </c>
      <c r="B146" s="51" t="s">
        <v>1514</v>
      </c>
      <c r="C146" s="51" t="s">
        <v>1174</v>
      </c>
      <c r="D146" s="51">
        <v>10050104</v>
      </c>
      <c r="E146" s="51" t="s">
        <v>3291</v>
      </c>
      <c r="F146" s="51" t="s">
        <v>1173</v>
      </c>
      <c r="G146" s="51" t="s">
        <v>258</v>
      </c>
      <c r="H146" s="51" t="s">
        <v>141</v>
      </c>
      <c r="I146" s="51"/>
      <c r="J146" s="53">
        <v>25.24</v>
      </c>
      <c r="K146" s="55">
        <v>270</v>
      </c>
      <c r="L146" s="55">
        <v>240</v>
      </c>
      <c r="M146" s="55">
        <v>16</v>
      </c>
      <c r="N146" s="57">
        <v>0.8165</v>
      </c>
      <c r="O146" s="51"/>
      <c r="P146" s="53">
        <v>7550</v>
      </c>
      <c r="Q146" s="55">
        <v>3</v>
      </c>
      <c r="R146" s="53">
        <v>4</v>
      </c>
      <c r="S146" s="53">
        <v>12</v>
      </c>
      <c r="T146" s="59"/>
      <c r="U146" s="55"/>
    </row>
    <row r="147" spans="1:21" x14ac:dyDescent="0.35">
      <c r="A147" s="50">
        <v>4001137</v>
      </c>
      <c r="B147" s="50" t="s">
        <v>1516</v>
      </c>
      <c r="C147" s="50" t="s">
        <v>1174</v>
      </c>
      <c r="D147" s="50">
        <v>10050104</v>
      </c>
      <c r="E147" s="50" t="s">
        <v>3291</v>
      </c>
      <c r="F147" s="50" t="s">
        <v>1173</v>
      </c>
      <c r="G147" s="50" t="s">
        <v>258</v>
      </c>
      <c r="H147" s="50" t="s">
        <v>141</v>
      </c>
      <c r="I147" s="50"/>
      <c r="J147" s="52">
        <v>28.03</v>
      </c>
      <c r="K147" s="54">
        <v>340</v>
      </c>
      <c r="L147" s="54">
        <v>1290</v>
      </c>
      <c r="M147" s="54">
        <v>24</v>
      </c>
      <c r="N147" s="56">
        <v>0.4798</v>
      </c>
      <c r="O147" s="50"/>
      <c r="P147" s="52">
        <v>32500</v>
      </c>
      <c r="Q147" s="54">
        <v>13</v>
      </c>
      <c r="R147" s="52">
        <v>11.38</v>
      </c>
      <c r="S147" s="52">
        <v>148</v>
      </c>
      <c r="T147" s="58"/>
      <c r="U147" s="54"/>
    </row>
    <row r="148" spans="1:21" x14ac:dyDescent="0.35">
      <c r="A148" s="51">
        <v>4001138</v>
      </c>
      <c r="B148" s="51" t="s">
        <v>1518</v>
      </c>
      <c r="C148" s="51" t="s">
        <v>1174</v>
      </c>
      <c r="D148" s="51">
        <v>10050104</v>
      </c>
      <c r="E148" s="51" t="s">
        <v>3291</v>
      </c>
      <c r="F148" s="51" t="s">
        <v>1173</v>
      </c>
      <c r="G148" s="51" t="s">
        <v>258</v>
      </c>
      <c r="H148" s="51"/>
      <c r="I148" s="51" t="s">
        <v>258</v>
      </c>
      <c r="J148" s="53">
        <v>27.33</v>
      </c>
      <c r="K148" s="55">
        <v>340</v>
      </c>
      <c r="L148" s="55">
        <v>1020</v>
      </c>
      <c r="M148" s="55">
        <v>23</v>
      </c>
      <c r="N148" s="57">
        <v>0.47670000000000001</v>
      </c>
      <c r="O148" s="51"/>
      <c r="P148" s="53">
        <v>31200</v>
      </c>
      <c r="Q148" s="55">
        <v>11</v>
      </c>
      <c r="R148" s="53">
        <v>2.82</v>
      </c>
      <c r="S148" s="53">
        <v>31</v>
      </c>
      <c r="T148" s="59"/>
      <c r="U148" s="55"/>
    </row>
    <row r="149" spans="1:21" x14ac:dyDescent="0.35">
      <c r="A149" s="50">
        <v>4001160</v>
      </c>
      <c r="B149" s="50" t="s">
        <v>1520</v>
      </c>
      <c r="C149" s="50" t="s">
        <v>1174</v>
      </c>
      <c r="D149" s="50">
        <v>10050607</v>
      </c>
      <c r="E149" s="50" t="s">
        <v>3315</v>
      </c>
      <c r="F149" s="50" t="s">
        <v>1173</v>
      </c>
      <c r="G149" s="50" t="s">
        <v>258</v>
      </c>
      <c r="H149" s="50" t="s">
        <v>141</v>
      </c>
      <c r="I149" s="50" t="s">
        <v>258</v>
      </c>
      <c r="J149" s="52">
        <v>3.22</v>
      </c>
      <c r="K149" s="54">
        <v>630</v>
      </c>
      <c r="L149" s="54">
        <v>18025</v>
      </c>
      <c r="M149" s="54">
        <v>24</v>
      </c>
      <c r="N149" s="56">
        <v>0.40389999999999998</v>
      </c>
      <c r="O149" s="50"/>
      <c r="P149" s="52">
        <v>46960.74</v>
      </c>
      <c r="Q149" s="54">
        <v>38</v>
      </c>
      <c r="R149" s="52">
        <v>2.1</v>
      </c>
      <c r="S149" s="52">
        <v>84</v>
      </c>
      <c r="T149" s="58"/>
      <c r="U149" s="54"/>
    </row>
    <row r="150" spans="1:21" x14ac:dyDescent="0.35">
      <c r="A150" s="51">
        <v>4001207</v>
      </c>
      <c r="B150" s="51" t="s">
        <v>1528</v>
      </c>
      <c r="C150" s="51" t="s">
        <v>1174</v>
      </c>
      <c r="D150" s="51">
        <v>10050801</v>
      </c>
      <c r="E150" s="51" t="s">
        <v>3321</v>
      </c>
      <c r="F150" s="51" t="s">
        <v>1178</v>
      </c>
      <c r="G150" s="51" t="s">
        <v>289</v>
      </c>
      <c r="H150" s="51"/>
      <c r="I150" s="51" t="s">
        <v>258</v>
      </c>
      <c r="J150" s="53">
        <v>26.72</v>
      </c>
      <c r="K150" s="55">
        <v>276</v>
      </c>
      <c r="L150" s="55">
        <v>5514</v>
      </c>
      <c r="M150" s="55">
        <v>24</v>
      </c>
      <c r="N150" s="57">
        <v>0.38279999999999997</v>
      </c>
      <c r="O150" s="51"/>
      <c r="P150" s="53"/>
      <c r="Q150" s="55"/>
      <c r="R150" s="53"/>
      <c r="S150" s="53"/>
      <c r="T150" s="59"/>
      <c r="U150" s="55"/>
    </row>
    <row r="151" spans="1:21" x14ac:dyDescent="0.35">
      <c r="A151" s="50">
        <v>4001208</v>
      </c>
      <c r="B151" s="50" t="s">
        <v>1530</v>
      </c>
      <c r="C151" s="50" t="s">
        <v>1174</v>
      </c>
      <c r="D151" s="50">
        <v>10050801</v>
      </c>
      <c r="E151" s="50" t="s">
        <v>3321</v>
      </c>
      <c r="F151" s="50" t="s">
        <v>1178</v>
      </c>
      <c r="G151" s="50" t="s">
        <v>289</v>
      </c>
      <c r="H151" s="50"/>
      <c r="I151" s="50" t="s">
        <v>258</v>
      </c>
      <c r="J151" s="52">
        <v>35.799999999999997</v>
      </c>
      <c r="K151" s="54">
        <v>191</v>
      </c>
      <c r="L151" s="54">
        <v>7113</v>
      </c>
      <c r="M151" s="54">
        <v>24</v>
      </c>
      <c r="N151" s="56">
        <v>0.24440000000000001</v>
      </c>
      <c r="O151" s="50"/>
      <c r="P151" s="52"/>
      <c r="Q151" s="54"/>
      <c r="R151" s="52"/>
      <c r="S151" s="52"/>
      <c r="T151" s="58"/>
      <c r="U151" s="54"/>
    </row>
    <row r="152" spans="1:21" x14ac:dyDescent="0.35">
      <c r="A152" s="51">
        <v>4001211</v>
      </c>
      <c r="B152" s="51" t="s">
        <v>1532</v>
      </c>
      <c r="C152" s="51" t="s">
        <v>1174</v>
      </c>
      <c r="D152" s="51">
        <v>10050801</v>
      </c>
      <c r="E152" s="51" t="s">
        <v>3321</v>
      </c>
      <c r="F152" s="51" t="s">
        <v>1173</v>
      </c>
      <c r="G152" s="51" t="s">
        <v>258</v>
      </c>
      <c r="H152" s="51" t="s">
        <v>141</v>
      </c>
      <c r="I152" s="51" t="s">
        <v>258</v>
      </c>
      <c r="J152" s="53">
        <v>0.14680000000000001</v>
      </c>
      <c r="K152" s="55">
        <v>3220</v>
      </c>
      <c r="L152" s="55">
        <v>329629</v>
      </c>
      <c r="M152" s="55">
        <v>24</v>
      </c>
      <c r="N152" s="57">
        <v>0.1817</v>
      </c>
      <c r="O152" s="51"/>
      <c r="P152" s="53"/>
      <c r="Q152" s="55"/>
      <c r="R152" s="53"/>
      <c r="S152" s="53"/>
      <c r="T152" s="59"/>
      <c r="U152" s="55"/>
    </row>
    <row r="153" spans="1:21" x14ac:dyDescent="0.35">
      <c r="A153" s="50">
        <v>4001215</v>
      </c>
      <c r="B153" s="50" t="s">
        <v>1534</v>
      </c>
      <c r="C153" s="50" t="s">
        <v>1174</v>
      </c>
      <c r="D153" s="50">
        <v>10050701</v>
      </c>
      <c r="E153" s="50" t="s">
        <v>3320</v>
      </c>
      <c r="F153" s="50" t="s">
        <v>1173</v>
      </c>
      <c r="G153" s="50" t="s">
        <v>258</v>
      </c>
      <c r="H153" s="50"/>
      <c r="I153" s="50" t="s">
        <v>258</v>
      </c>
      <c r="J153" s="52">
        <v>47.73</v>
      </c>
      <c r="K153" s="54">
        <v>102</v>
      </c>
      <c r="L153" s="54">
        <v>146</v>
      </c>
      <c r="M153" s="54">
        <v>19</v>
      </c>
      <c r="N153" s="56">
        <v>0.92859999999999998</v>
      </c>
      <c r="O153" s="50"/>
      <c r="P153" s="52">
        <v>7000</v>
      </c>
      <c r="Q153" s="54">
        <v>4</v>
      </c>
      <c r="R153" s="52">
        <v>35</v>
      </c>
      <c r="S153" s="52">
        <v>140</v>
      </c>
      <c r="T153" s="58"/>
      <c r="U153" s="54"/>
    </row>
    <row r="154" spans="1:21" x14ac:dyDescent="0.35">
      <c r="A154" s="51">
        <v>4001221</v>
      </c>
      <c r="B154" s="51" t="s">
        <v>1538</v>
      </c>
      <c r="C154" s="51" t="s">
        <v>1174</v>
      </c>
      <c r="D154" s="51">
        <v>10050801</v>
      </c>
      <c r="E154" s="51" t="s">
        <v>3321</v>
      </c>
      <c r="F154" s="51" t="s">
        <v>1178</v>
      </c>
      <c r="G154" s="51" t="s">
        <v>258</v>
      </c>
      <c r="H154" s="51"/>
      <c r="I154" s="51" t="s">
        <v>258</v>
      </c>
      <c r="J154" s="53">
        <v>3.23</v>
      </c>
      <c r="K154" s="55">
        <v>800</v>
      </c>
      <c r="L154" s="55">
        <v>13790</v>
      </c>
      <c r="M154" s="55">
        <v>24</v>
      </c>
      <c r="N154" s="57">
        <v>0.27539999999999998</v>
      </c>
      <c r="O154" s="51"/>
      <c r="P154" s="53">
        <v>56841.599999999999</v>
      </c>
      <c r="Q154" s="55">
        <v>31</v>
      </c>
      <c r="R154" s="53">
        <v>48</v>
      </c>
      <c r="S154" s="53">
        <v>1440</v>
      </c>
      <c r="T154" s="59"/>
      <c r="U154" s="55"/>
    </row>
    <row r="155" spans="1:21" x14ac:dyDescent="0.35">
      <c r="A155" s="50">
        <v>4001225</v>
      </c>
      <c r="B155" s="50" t="s">
        <v>1540</v>
      </c>
      <c r="C155" s="50" t="s">
        <v>1174</v>
      </c>
      <c r="D155" s="50">
        <v>10050506</v>
      </c>
      <c r="E155" s="50" t="s">
        <v>3307</v>
      </c>
      <c r="F155" s="50" t="s">
        <v>1173</v>
      </c>
      <c r="G155" s="50" t="s">
        <v>258</v>
      </c>
      <c r="H155" s="50" t="s">
        <v>24</v>
      </c>
      <c r="I155" s="50" t="s">
        <v>258</v>
      </c>
      <c r="J155" s="52">
        <v>1.56</v>
      </c>
      <c r="K155" s="54">
        <v>576</v>
      </c>
      <c r="L155" s="54">
        <v>1856</v>
      </c>
      <c r="M155" s="54">
        <v>23</v>
      </c>
      <c r="N155" s="56">
        <v>0.7913</v>
      </c>
      <c r="O155" s="50"/>
      <c r="P155" s="52">
        <v>3545.22</v>
      </c>
      <c r="Q155" s="54">
        <v>5</v>
      </c>
      <c r="R155" s="52">
        <v>4.4000000000000004</v>
      </c>
      <c r="S155" s="52">
        <v>22</v>
      </c>
      <c r="T155" s="58"/>
      <c r="U155" s="54"/>
    </row>
    <row r="156" spans="1:21" x14ac:dyDescent="0.35">
      <c r="A156" s="51">
        <v>4001233</v>
      </c>
      <c r="B156" s="51" t="s">
        <v>1542</v>
      </c>
      <c r="C156" s="51" t="s">
        <v>1174</v>
      </c>
      <c r="D156" s="51">
        <v>10050103</v>
      </c>
      <c r="E156" s="51" t="s">
        <v>3290</v>
      </c>
      <c r="F156" s="51" t="s">
        <v>1173</v>
      </c>
      <c r="G156" s="51" t="s">
        <v>289</v>
      </c>
      <c r="H156" s="51" t="s">
        <v>24</v>
      </c>
      <c r="I156" s="51" t="s">
        <v>258</v>
      </c>
      <c r="J156" s="53">
        <v>5.65</v>
      </c>
      <c r="K156" s="55">
        <v>650</v>
      </c>
      <c r="L156" s="55">
        <v>29435</v>
      </c>
      <c r="M156" s="55">
        <v>24</v>
      </c>
      <c r="N156" s="57">
        <v>0.22009999999999999</v>
      </c>
      <c r="O156" s="51"/>
      <c r="P156" s="53"/>
      <c r="Q156" s="55"/>
      <c r="R156" s="53"/>
      <c r="S156" s="53"/>
      <c r="T156" s="59"/>
      <c r="U156" s="55"/>
    </row>
    <row r="157" spans="1:21" x14ac:dyDescent="0.35">
      <c r="A157" s="50">
        <v>4001237</v>
      </c>
      <c r="B157" s="50" t="s">
        <v>1544</v>
      </c>
      <c r="C157" s="50" t="s">
        <v>1174</v>
      </c>
      <c r="D157" s="50">
        <v>10050104</v>
      </c>
      <c r="E157" s="50" t="s">
        <v>3291</v>
      </c>
      <c r="F157" s="50" t="s">
        <v>1173</v>
      </c>
      <c r="G157" s="50" t="s">
        <v>258</v>
      </c>
      <c r="H157" s="50" t="s">
        <v>141</v>
      </c>
      <c r="I157" s="50" t="s">
        <v>258</v>
      </c>
      <c r="J157" s="52">
        <v>118.73</v>
      </c>
      <c r="K157" s="54">
        <v>52</v>
      </c>
      <c r="L157" s="54">
        <v>386</v>
      </c>
      <c r="M157" s="54">
        <v>24</v>
      </c>
      <c r="N157" s="56">
        <v>0.80549999999999999</v>
      </c>
      <c r="O157" s="50"/>
      <c r="P157" s="52">
        <v>35946.400000000001</v>
      </c>
      <c r="Q157" s="54">
        <v>12</v>
      </c>
      <c r="R157" s="52">
        <v>30.33</v>
      </c>
      <c r="S157" s="52">
        <v>364</v>
      </c>
      <c r="T157" s="58"/>
      <c r="U157" s="54"/>
    </row>
    <row r="158" spans="1:21" x14ac:dyDescent="0.35">
      <c r="A158" s="51">
        <v>4001241</v>
      </c>
      <c r="B158" s="51" t="s">
        <v>1546</v>
      </c>
      <c r="C158" s="51" t="s">
        <v>1174</v>
      </c>
      <c r="D158" s="51">
        <v>10050308</v>
      </c>
      <c r="E158" s="51" t="s">
        <v>3299</v>
      </c>
      <c r="F158" s="51" t="s">
        <v>1173</v>
      </c>
      <c r="G158" s="51" t="s">
        <v>258</v>
      </c>
      <c r="H158" s="51"/>
      <c r="I158" s="51" t="s">
        <v>258</v>
      </c>
      <c r="J158" s="53">
        <v>1.0459000000000001</v>
      </c>
      <c r="K158" s="55">
        <v>3800</v>
      </c>
      <c r="L158" s="55">
        <v>19400</v>
      </c>
      <c r="M158" s="55">
        <v>24</v>
      </c>
      <c r="N158" s="57">
        <v>0.3795</v>
      </c>
      <c r="O158" s="51"/>
      <c r="P158" s="53">
        <v>20520</v>
      </c>
      <c r="Q158" s="55">
        <v>10</v>
      </c>
      <c r="R158" s="53">
        <v>1</v>
      </c>
      <c r="S158" s="53">
        <v>10</v>
      </c>
      <c r="T158" s="59"/>
      <c r="U158" s="55"/>
    </row>
    <row r="159" spans="1:21" x14ac:dyDescent="0.35">
      <c r="A159" s="50">
        <v>4001257</v>
      </c>
      <c r="B159" s="50" t="s">
        <v>1548</v>
      </c>
      <c r="C159" s="50" t="s">
        <v>1174</v>
      </c>
      <c r="D159" s="50">
        <v>10050505</v>
      </c>
      <c r="E159" s="50" t="s">
        <v>3306</v>
      </c>
      <c r="F159" s="50" t="s">
        <v>1173</v>
      </c>
      <c r="G159" s="50" t="s">
        <v>271</v>
      </c>
      <c r="H159" s="50" t="s">
        <v>24</v>
      </c>
      <c r="I159" s="50" t="s">
        <v>258</v>
      </c>
      <c r="J159" s="52">
        <v>9.4600000000000009</v>
      </c>
      <c r="K159" s="54">
        <v>265</v>
      </c>
      <c r="L159" s="54">
        <v>44070</v>
      </c>
      <c r="M159" s="54">
        <v>24</v>
      </c>
      <c r="N159" s="56">
        <v>0.13170000000000001</v>
      </c>
      <c r="O159" s="50"/>
      <c r="P159" s="52"/>
      <c r="Q159" s="54"/>
      <c r="R159" s="52"/>
      <c r="S159" s="52"/>
      <c r="T159" s="58"/>
      <c r="U159" s="54"/>
    </row>
    <row r="160" spans="1:21" x14ac:dyDescent="0.35">
      <c r="A160" s="51">
        <v>4001264</v>
      </c>
      <c r="B160" s="51" t="s">
        <v>1550</v>
      </c>
      <c r="C160" s="51" t="s">
        <v>1174</v>
      </c>
      <c r="D160" s="51">
        <v>10050604</v>
      </c>
      <c r="E160" s="51" t="s">
        <v>3312</v>
      </c>
      <c r="F160" s="51" t="s">
        <v>1180</v>
      </c>
      <c r="G160" s="51" t="s">
        <v>271</v>
      </c>
      <c r="H160" s="51" t="s">
        <v>141</v>
      </c>
      <c r="I160" s="51" t="s">
        <v>289</v>
      </c>
      <c r="J160" s="53">
        <v>12.33</v>
      </c>
      <c r="K160" s="55">
        <v>450</v>
      </c>
      <c r="L160" s="55">
        <v>22100</v>
      </c>
      <c r="M160" s="55">
        <v>24</v>
      </c>
      <c r="N160" s="57">
        <v>0.3216</v>
      </c>
      <c r="O160" s="51"/>
      <c r="P160" s="53"/>
      <c r="Q160" s="55"/>
      <c r="R160" s="53"/>
      <c r="S160" s="53"/>
      <c r="T160" s="59"/>
      <c r="U160" s="55"/>
    </row>
    <row r="161" spans="1:21" x14ac:dyDescent="0.35">
      <c r="A161" s="50">
        <v>4001277</v>
      </c>
      <c r="B161" s="50" t="s">
        <v>1552</v>
      </c>
      <c r="C161" s="50" t="s">
        <v>1174</v>
      </c>
      <c r="D161" s="50">
        <v>10050801</v>
      </c>
      <c r="E161" s="50" t="s">
        <v>3321</v>
      </c>
      <c r="F161" s="50" t="s">
        <v>1173</v>
      </c>
      <c r="G161" s="50" t="s">
        <v>258</v>
      </c>
      <c r="H161" s="50"/>
      <c r="I161" s="50" t="s">
        <v>258</v>
      </c>
      <c r="J161" s="52">
        <v>2</v>
      </c>
      <c r="K161" s="54">
        <v>660</v>
      </c>
      <c r="L161" s="54">
        <v>11340</v>
      </c>
      <c r="M161" s="54">
        <v>24</v>
      </c>
      <c r="N161" s="56">
        <v>0.24060000000000001</v>
      </c>
      <c r="O161" s="50"/>
      <c r="P161" s="52"/>
      <c r="Q161" s="54"/>
      <c r="R161" s="52"/>
      <c r="S161" s="52"/>
      <c r="T161" s="58"/>
      <c r="U161" s="54"/>
    </row>
    <row r="162" spans="1:21" x14ac:dyDescent="0.35">
      <c r="A162" s="51">
        <v>4001278</v>
      </c>
      <c r="B162" s="51" t="s">
        <v>1554</v>
      </c>
      <c r="C162" s="51" t="s">
        <v>1174</v>
      </c>
      <c r="D162" s="51">
        <v>10050801</v>
      </c>
      <c r="E162" s="51" t="s">
        <v>3321</v>
      </c>
      <c r="F162" s="51" t="s">
        <v>1173</v>
      </c>
      <c r="G162" s="51" t="s">
        <v>258</v>
      </c>
      <c r="H162" s="51"/>
      <c r="I162" s="51" t="s">
        <v>258</v>
      </c>
      <c r="J162" s="53">
        <v>1.72</v>
      </c>
      <c r="K162" s="55">
        <v>1140</v>
      </c>
      <c r="L162" s="55">
        <v>31170</v>
      </c>
      <c r="M162" s="55">
        <v>24</v>
      </c>
      <c r="N162" s="57">
        <v>0.18770000000000001</v>
      </c>
      <c r="O162" s="51"/>
      <c r="P162" s="53"/>
      <c r="Q162" s="55"/>
      <c r="R162" s="53"/>
      <c r="S162" s="53"/>
      <c r="T162" s="59"/>
      <c r="U162" s="55"/>
    </row>
    <row r="163" spans="1:21" x14ac:dyDescent="0.35">
      <c r="A163" s="50">
        <v>4001279</v>
      </c>
      <c r="B163" s="50" t="s">
        <v>1556</v>
      </c>
      <c r="C163" s="50" t="s">
        <v>1174</v>
      </c>
      <c r="D163" s="50">
        <v>10050801</v>
      </c>
      <c r="E163" s="50" t="s">
        <v>3321</v>
      </c>
      <c r="F163" s="50" t="s">
        <v>1173</v>
      </c>
      <c r="G163" s="50" t="s">
        <v>289</v>
      </c>
      <c r="H163" s="50"/>
      <c r="I163" s="50" t="s">
        <v>258</v>
      </c>
      <c r="J163" s="52">
        <v>1.0152000000000001</v>
      </c>
      <c r="K163" s="54">
        <v>1350</v>
      </c>
      <c r="L163" s="54">
        <v>107400</v>
      </c>
      <c r="M163" s="54">
        <v>24</v>
      </c>
      <c r="N163" s="56">
        <v>0.14199999999999999</v>
      </c>
      <c r="O163" s="50"/>
      <c r="P163" s="52"/>
      <c r="Q163" s="54"/>
      <c r="R163" s="52"/>
      <c r="S163" s="52"/>
      <c r="T163" s="58"/>
      <c r="U163" s="54"/>
    </row>
    <row r="164" spans="1:21" x14ac:dyDescent="0.35">
      <c r="A164" s="51">
        <v>4001282</v>
      </c>
      <c r="B164" s="51" t="s">
        <v>1558</v>
      </c>
      <c r="C164" s="51" t="s">
        <v>1174</v>
      </c>
      <c r="D164" s="51">
        <v>10050109</v>
      </c>
      <c r="E164" s="51" t="s">
        <v>3294</v>
      </c>
      <c r="F164" s="51" t="s">
        <v>1173</v>
      </c>
      <c r="G164" s="51" t="s">
        <v>289</v>
      </c>
      <c r="H164" s="51" t="s">
        <v>24</v>
      </c>
      <c r="I164" s="51" t="s">
        <v>289</v>
      </c>
      <c r="J164" s="53">
        <v>0.91349999999999998</v>
      </c>
      <c r="K164" s="55">
        <v>2101</v>
      </c>
      <c r="L164" s="55">
        <v>325859</v>
      </c>
      <c r="M164" s="55">
        <v>24</v>
      </c>
      <c r="N164" s="57">
        <v>0.1116</v>
      </c>
      <c r="O164" s="51"/>
      <c r="P164" s="53"/>
      <c r="Q164" s="55"/>
      <c r="R164" s="53"/>
      <c r="S164" s="53"/>
      <c r="T164" s="59"/>
      <c r="U164" s="55"/>
    </row>
    <row r="165" spans="1:21" x14ac:dyDescent="0.35">
      <c r="A165" s="50">
        <v>4001283</v>
      </c>
      <c r="B165" s="50" t="s">
        <v>1560</v>
      </c>
      <c r="C165" s="50" t="s">
        <v>1174</v>
      </c>
      <c r="D165" s="50">
        <v>10050109</v>
      </c>
      <c r="E165" s="50" t="s">
        <v>3294</v>
      </c>
      <c r="F165" s="50" t="s">
        <v>1173</v>
      </c>
      <c r="G165" s="50" t="s">
        <v>271</v>
      </c>
      <c r="H165" s="50" t="s">
        <v>24</v>
      </c>
      <c r="I165" s="50" t="s">
        <v>289</v>
      </c>
      <c r="J165" s="52">
        <v>0.63929999999999998</v>
      </c>
      <c r="K165" s="54">
        <v>5400</v>
      </c>
      <c r="L165" s="54">
        <v>746601</v>
      </c>
      <c r="M165" s="54">
        <v>24</v>
      </c>
      <c r="N165" s="56">
        <v>0.1045</v>
      </c>
      <c r="O165" s="50"/>
      <c r="P165" s="52"/>
      <c r="Q165" s="54"/>
      <c r="R165" s="52"/>
      <c r="S165" s="52"/>
      <c r="T165" s="58"/>
      <c r="U165" s="54"/>
    </row>
    <row r="166" spans="1:21" x14ac:dyDescent="0.35">
      <c r="A166" s="51">
        <v>4001285</v>
      </c>
      <c r="B166" s="51" t="s">
        <v>1562</v>
      </c>
      <c r="C166" s="51" t="s">
        <v>1174</v>
      </c>
      <c r="D166" s="51">
        <v>10050801</v>
      </c>
      <c r="E166" s="51" t="s">
        <v>3321</v>
      </c>
      <c r="F166" s="51" t="s">
        <v>1173</v>
      </c>
      <c r="G166" s="51" t="s">
        <v>271</v>
      </c>
      <c r="H166" s="51" t="s">
        <v>141</v>
      </c>
      <c r="I166" s="51" t="s">
        <v>258</v>
      </c>
      <c r="J166" s="53">
        <v>6.5</v>
      </c>
      <c r="K166" s="55">
        <v>1224</v>
      </c>
      <c r="L166" s="55">
        <v>82275</v>
      </c>
      <c r="M166" s="55">
        <v>24</v>
      </c>
      <c r="N166" s="57">
        <v>8.7999999999999995E-2</v>
      </c>
      <c r="O166" s="51"/>
      <c r="P166" s="53"/>
      <c r="Q166" s="55"/>
      <c r="R166" s="53"/>
      <c r="S166" s="53"/>
      <c r="T166" s="59"/>
      <c r="U166" s="55"/>
    </row>
    <row r="167" spans="1:21" x14ac:dyDescent="0.35">
      <c r="A167" s="50">
        <v>4001287</v>
      </c>
      <c r="B167" s="50" t="s">
        <v>1564</v>
      </c>
      <c r="C167" s="50" t="s">
        <v>1174</v>
      </c>
      <c r="D167" s="50">
        <v>10050801</v>
      </c>
      <c r="E167" s="50" t="s">
        <v>3321</v>
      </c>
      <c r="F167" s="50" t="s">
        <v>1173</v>
      </c>
      <c r="G167" s="50" t="s">
        <v>289</v>
      </c>
      <c r="H167" s="50" t="s">
        <v>141</v>
      </c>
      <c r="I167" s="50" t="s">
        <v>258</v>
      </c>
      <c r="J167" s="52">
        <v>0.39479999999999998</v>
      </c>
      <c r="K167" s="54">
        <v>4320</v>
      </c>
      <c r="L167" s="54">
        <v>262220</v>
      </c>
      <c r="M167" s="54">
        <v>24</v>
      </c>
      <c r="N167" s="56">
        <v>0.1144</v>
      </c>
      <c r="O167" s="50"/>
      <c r="P167" s="52"/>
      <c r="Q167" s="54"/>
      <c r="R167" s="52"/>
      <c r="S167" s="52"/>
      <c r="T167" s="58"/>
      <c r="U167" s="54"/>
    </row>
    <row r="168" spans="1:21" x14ac:dyDescent="0.35">
      <c r="A168" s="51">
        <v>4001288</v>
      </c>
      <c r="B168" s="51" t="s">
        <v>1566</v>
      </c>
      <c r="C168" s="51" t="s">
        <v>1174</v>
      </c>
      <c r="D168" s="51">
        <v>10050801</v>
      </c>
      <c r="E168" s="51" t="s">
        <v>3321</v>
      </c>
      <c r="F168" s="51" t="s">
        <v>1173</v>
      </c>
      <c r="G168" s="51" t="s">
        <v>258</v>
      </c>
      <c r="H168" s="51" t="s">
        <v>141</v>
      </c>
      <c r="I168" s="51" t="s">
        <v>258</v>
      </c>
      <c r="J168" s="53">
        <v>1.7</v>
      </c>
      <c r="K168" s="55">
        <v>480</v>
      </c>
      <c r="L168" s="55">
        <v>33400</v>
      </c>
      <c r="M168" s="55">
        <v>24</v>
      </c>
      <c r="N168" s="57">
        <v>0.16789999999999999</v>
      </c>
      <c r="O168" s="51"/>
      <c r="P168" s="53"/>
      <c r="Q168" s="55"/>
      <c r="R168" s="53"/>
      <c r="S168" s="53"/>
      <c r="T168" s="59"/>
      <c r="U168" s="55"/>
    </row>
    <row r="169" spans="1:21" x14ac:dyDescent="0.35">
      <c r="A169" s="50">
        <v>4001289</v>
      </c>
      <c r="B169" s="50" t="s">
        <v>1568</v>
      </c>
      <c r="C169" s="50" t="s">
        <v>1174</v>
      </c>
      <c r="D169" s="50">
        <v>10050801</v>
      </c>
      <c r="E169" s="50" t="s">
        <v>3321</v>
      </c>
      <c r="F169" s="50" t="s">
        <v>1173</v>
      </c>
      <c r="G169" s="50" t="s">
        <v>258</v>
      </c>
      <c r="H169" s="50" t="s">
        <v>141</v>
      </c>
      <c r="I169" s="50" t="s">
        <v>258</v>
      </c>
      <c r="J169" s="52">
        <v>1.46</v>
      </c>
      <c r="K169" s="54">
        <v>750</v>
      </c>
      <c r="L169" s="54">
        <v>18100</v>
      </c>
      <c r="M169" s="54">
        <v>24</v>
      </c>
      <c r="N169" s="56">
        <v>0.2374</v>
      </c>
      <c r="O169" s="50"/>
      <c r="P169" s="52">
        <v>23244</v>
      </c>
      <c r="Q169" s="54">
        <v>39</v>
      </c>
      <c r="R169" s="52">
        <v>8</v>
      </c>
      <c r="S169" s="52">
        <v>312</v>
      </c>
      <c r="T169" s="58"/>
      <c r="U169" s="54"/>
    </row>
    <row r="170" spans="1:21" x14ac:dyDescent="0.35">
      <c r="A170" s="51">
        <v>4001290</v>
      </c>
      <c r="B170" s="51" t="s">
        <v>1570</v>
      </c>
      <c r="C170" s="51" t="s">
        <v>1174</v>
      </c>
      <c r="D170" s="51">
        <v>10050801</v>
      </c>
      <c r="E170" s="51" t="s">
        <v>3321</v>
      </c>
      <c r="F170" s="51" t="s">
        <v>1173</v>
      </c>
      <c r="G170" s="51" t="s">
        <v>258</v>
      </c>
      <c r="H170" s="51" t="s">
        <v>141</v>
      </c>
      <c r="I170" s="51" t="s">
        <v>258</v>
      </c>
      <c r="J170" s="53">
        <v>4.9000000000000004</v>
      </c>
      <c r="K170" s="55">
        <v>120</v>
      </c>
      <c r="L170" s="55">
        <v>1590</v>
      </c>
      <c r="M170" s="55">
        <v>23</v>
      </c>
      <c r="N170" s="57">
        <v>0.55430000000000001</v>
      </c>
      <c r="O170" s="51"/>
      <c r="P170" s="53">
        <v>7056</v>
      </c>
      <c r="Q170" s="55">
        <v>12</v>
      </c>
      <c r="R170" s="53">
        <v>4</v>
      </c>
      <c r="S170" s="53">
        <v>48</v>
      </c>
      <c r="T170" s="59"/>
      <c r="U170" s="55"/>
    </row>
    <row r="171" spans="1:21" x14ac:dyDescent="0.35">
      <c r="A171" s="50">
        <v>4001291</v>
      </c>
      <c r="B171" s="50" t="s">
        <v>1572</v>
      </c>
      <c r="C171" s="50" t="s">
        <v>1174</v>
      </c>
      <c r="D171" s="50">
        <v>10050801</v>
      </c>
      <c r="E171" s="50" t="s">
        <v>3321</v>
      </c>
      <c r="F171" s="50" t="s">
        <v>1173</v>
      </c>
      <c r="G171" s="50" t="s">
        <v>258</v>
      </c>
      <c r="H171" s="50" t="s">
        <v>141</v>
      </c>
      <c r="I171" s="50" t="s">
        <v>258</v>
      </c>
      <c r="J171" s="52">
        <v>2.02</v>
      </c>
      <c r="K171" s="54">
        <v>550</v>
      </c>
      <c r="L171" s="54">
        <v>10600</v>
      </c>
      <c r="M171" s="54">
        <v>24</v>
      </c>
      <c r="N171" s="56">
        <v>0.35599999999999998</v>
      </c>
      <c r="O171" s="50"/>
      <c r="P171" s="52">
        <v>19053</v>
      </c>
      <c r="Q171" s="54">
        <v>29</v>
      </c>
      <c r="R171" s="52">
        <v>6</v>
      </c>
      <c r="S171" s="52">
        <v>174</v>
      </c>
      <c r="T171" s="58"/>
      <c r="U171" s="54"/>
    </row>
    <row r="172" spans="1:21" x14ac:dyDescent="0.35">
      <c r="A172" s="51">
        <v>4001293</v>
      </c>
      <c r="B172" s="51" t="s">
        <v>1574</v>
      </c>
      <c r="C172" s="51" t="s">
        <v>1174</v>
      </c>
      <c r="D172" s="51">
        <v>10050801</v>
      </c>
      <c r="E172" s="51" t="s">
        <v>3321</v>
      </c>
      <c r="F172" s="51" t="s">
        <v>1178</v>
      </c>
      <c r="G172" s="51" t="s">
        <v>258</v>
      </c>
      <c r="H172" s="51"/>
      <c r="I172" s="51" t="s">
        <v>258</v>
      </c>
      <c r="J172" s="53">
        <v>5.38</v>
      </c>
      <c r="K172" s="55">
        <v>1820</v>
      </c>
      <c r="L172" s="55">
        <v>23100</v>
      </c>
      <c r="M172" s="55">
        <v>24</v>
      </c>
      <c r="N172" s="57">
        <v>0.1968</v>
      </c>
      <c r="O172" s="51"/>
      <c r="P172" s="53">
        <v>32260.799999999999</v>
      </c>
      <c r="Q172" s="55">
        <v>47</v>
      </c>
      <c r="R172" s="53">
        <v>24</v>
      </c>
      <c r="S172" s="53">
        <v>1128</v>
      </c>
      <c r="T172" s="59"/>
      <c r="U172" s="55"/>
    </row>
    <row r="173" spans="1:21" x14ac:dyDescent="0.35">
      <c r="A173" s="50">
        <v>4001295</v>
      </c>
      <c r="B173" s="50" t="s">
        <v>1576</v>
      </c>
      <c r="C173" s="50" t="s">
        <v>1174</v>
      </c>
      <c r="D173" s="50">
        <v>10050602</v>
      </c>
      <c r="E173" s="50" t="s">
        <v>3310</v>
      </c>
      <c r="F173" s="50" t="s">
        <v>1173</v>
      </c>
      <c r="G173" s="50" t="s">
        <v>271</v>
      </c>
      <c r="H173" s="50"/>
      <c r="I173" s="50" t="s">
        <v>258</v>
      </c>
      <c r="J173" s="52">
        <v>33.58</v>
      </c>
      <c r="K173" s="54">
        <v>10</v>
      </c>
      <c r="L173" s="54">
        <v>9740</v>
      </c>
      <c r="M173" s="54">
        <v>24</v>
      </c>
      <c r="N173" s="56">
        <v>0.21820000000000001</v>
      </c>
      <c r="O173" s="50"/>
      <c r="P173" s="52"/>
      <c r="Q173" s="54"/>
      <c r="R173" s="52"/>
      <c r="S173" s="52"/>
      <c r="T173" s="58"/>
      <c r="U173" s="54"/>
    </row>
    <row r="174" spans="1:21" x14ac:dyDescent="0.35">
      <c r="A174" s="51">
        <v>4001307</v>
      </c>
      <c r="B174" s="51" t="s">
        <v>1580</v>
      </c>
      <c r="C174" s="51" t="s">
        <v>1174</v>
      </c>
      <c r="D174" s="51">
        <v>10050605</v>
      </c>
      <c r="E174" s="51" t="s">
        <v>3313</v>
      </c>
      <c r="F174" s="51" t="s">
        <v>1173</v>
      </c>
      <c r="G174" s="51" t="s">
        <v>289</v>
      </c>
      <c r="H174" s="51" t="s">
        <v>24</v>
      </c>
      <c r="I174" s="51" t="s">
        <v>258</v>
      </c>
      <c r="J174" s="53">
        <v>2.77</v>
      </c>
      <c r="K174" s="55">
        <v>1320</v>
      </c>
      <c r="L174" s="55">
        <v>65380</v>
      </c>
      <c r="M174" s="55">
        <v>24</v>
      </c>
      <c r="N174" s="57">
        <v>0.20549999999999999</v>
      </c>
      <c r="O174" s="51"/>
      <c r="P174" s="53"/>
      <c r="Q174" s="55"/>
      <c r="R174" s="53"/>
      <c r="S174" s="53"/>
      <c r="T174" s="59"/>
      <c r="U174" s="55"/>
    </row>
    <row r="175" spans="1:21" x14ac:dyDescent="0.35">
      <c r="A175" s="50">
        <v>4001310</v>
      </c>
      <c r="B175" s="50" t="s">
        <v>1582</v>
      </c>
      <c r="C175" s="50" t="s">
        <v>1174</v>
      </c>
      <c r="D175" s="50">
        <v>10050607</v>
      </c>
      <c r="E175" s="50" t="s">
        <v>3315</v>
      </c>
      <c r="F175" s="50" t="s">
        <v>1175</v>
      </c>
      <c r="G175" s="50" t="s">
        <v>289</v>
      </c>
      <c r="H175" s="50" t="s">
        <v>141</v>
      </c>
      <c r="I175" s="50" t="s">
        <v>258</v>
      </c>
      <c r="J175" s="52">
        <v>102.65</v>
      </c>
      <c r="K175" s="54">
        <v>35</v>
      </c>
      <c r="L175" s="54">
        <v>760</v>
      </c>
      <c r="M175" s="54">
        <v>24</v>
      </c>
      <c r="N175" s="56">
        <v>0.41189999999999999</v>
      </c>
      <c r="O175" s="50"/>
      <c r="P175" s="52"/>
      <c r="Q175" s="54"/>
      <c r="R175" s="52"/>
      <c r="S175" s="52"/>
      <c r="T175" s="58"/>
      <c r="U175" s="54"/>
    </row>
    <row r="176" spans="1:21" x14ac:dyDescent="0.35">
      <c r="A176" s="51">
        <v>4001312</v>
      </c>
      <c r="B176" s="51" t="s">
        <v>1586</v>
      </c>
      <c r="C176" s="51" t="s">
        <v>1174</v>
      </c>
      <c r="D176" s="51">
        <v>10050506</v>
      </c>
      <c r="E176" s="51" t="s">
        <v>3307</v>
      </c>
      <c r="F176" s="51" t="s">
        <v>1173</v>
      </c>
      <c r="G176" s="51" t="s">
        <v>258</v>
      </c>
      <c r="H176" s="51"/>
      <c r="I176" s="51" t="s">
        <v>258</v>
      </c>
      <c r="J176" s="53">
        <v>2.38</v>
      </c>
      <c r="K176" s="55">
        <v>645</v>
      </c>
      <c r="L176" s="55">
        <v>9781</v>
      </c>
      <c r="M176" s="55">
        <v>24</v>
      </c>
      <c r="N176" s="57">
        <v>0.53590000000000004</v>
      </c>
      <c r="O176" s="51"/>
      <c r="P176" s="53"/>
      <c r="Q176" s="55"/>
      <c r="R176" s="53"/>
      <c r="S176" s="53"/>
      <c r="T176" s="59"/>
      <c r="U176" s="55"/>
    </row>
    <row r="177" spans="1:21" x14ac:dyDescent="0.35">
      <c r="A177" s="50">
        <v>4001314</v>
      </c>
      <c r="B177" s="50" t="s">
        <v>1588</v>
      </c>
      <c r="C177" s="50" t="s">
        <v>1174</v>
      </c>
      <c r="D177" s="50">
        <v>10040101</v>
      </c>
      <c r="E177" s="50" t="s">
        <v>3279</v>
      </c>
      <c r="F177" s="50" t="s">
        <v>1173</v>
      </c>
      <c r="G177" s="50" t="s">
        <v>289</v>
      </c>
      <c r="H177" s="50" t="s">
        <v>141</v>
      </c>
      <c r="I177" s="50" t="s">
        <v>258</v>
      </c>
      <c r="J177" s="52">
        <v>1.1619999999999999</v>
      </c>
      <c r="K177" s="54">
        <v>2550</v>
      </c>
      <c r="L177" s="54">
        <v>76900</v>
      </c>
      <c r="M177" s="54">
        <v>24</v>
      </c>
      <c r="N177" s="56">
        <v>0.18160000000000001</v>
      </c>
      <c r="O177" s="50"/>
      <c r="P177" s="52"/>
      <c r="Q177" s="54"/>
      <c r="R177" s="52"/>
      <c r="S177" s="52"/>
      <c r="T177" s="58"/>
      <c r="U177" s="54"/>
    </row>
    <row r="178" spans="1:21" x14ac:dyDescent="0.35">
      <c r="A178" s="51">
        <v>4001315</v>
      </c>
      <c r="B178" s="51" t="s">
        <v>1590</v>
      </c>
      <c r="C178" s="51" t="s">
        <v>1174</v>
      </c>
      <c r="D178" s="51">
        <v>10050505</v>
      </c>
      <c r="E178" s="51" t="s">
        <v>3306</v>
      </c>
      <c r="F178" s="51" t="s">
        <v>1173</v>
      </c>
      <c r="G178" s="51" t="s">
        <v>258</v>
      </c>
      <c r="H178" s="51" t="s">
        <v>24</v>
      </c>
      <c r="I178" s="51" t="s">
        <v>258</v>
      </c>
      <c r="J178" s="53">
        <v>3.06</v>
      </c>
      <c r="K178" s="55">
        <v>135</v>
      </c>
      <c r="L178" s="55">
        <v>10142</v>
      </c>
      <c r="M178" s="55">
        <v>24</v>
      </c>
      <c r="N178" s="57">
        <v>0.21310000000000001</v>
      </c>
      <c r="O178" s="51"/>
      <c r="P178" s="53"/>
      <c r="Q178" s="55"/>
      <c r="R178" s="53"/>
      <c r="S178" s="53"/>
      <c r="T178" s="59"/>
      <c r="U178" s="55"/>
    </row>
    <row r="179" spans="1:21" x14ac:dyDescent="0.35">
      <c r="A179" s="50">
        <v>4001316</v>
      </c>
      <c r="B179" s="50" t="s">
        <v>1592</v>
      </c>
      <c r="C179" s="50" t="s">
        <v>1174</v>
      </c>
      <c r="D179" s="50">
        <v>10050801</v>
      </c>
      <c r="E179" s="50" t="s">
        <v>3321</v>
      </c>
      <c r="F179" s="50" t="s">
        <v>1178</v>
      </c>
      <c r="G179" s="50" t="s">
        <v>271</v>
      </c>
      <c r="H179" s="50" t="s">
        <v>141</v>
      </c>
      <c r="I179" s="50" t="s">
        <v>258</v>
      </c>
      <c r="J179" s="52">
        <v>10.15</v>
      </c>
      <c r="K179" s="54">
        <v>525</v>
      </c>
      <c r="L179" s="54">
        <v>31779</v>
      </c>
      <c r="M179" s="54">
        <v>24</v>
      </c>
      <c r="N179" s="56">
        <v>0.1244</v>
      </c>
      <c r="O179" s="50"/>
      <c r="P179" s="52"/>
      <c r="Q179" s="54"/>
      <c r="R179" s="52"/>
      <c r="S179" s="52"/>
      <c r="T179" s="58"/>
      <c r="U179" s="54"/>
    </row>
    <row r="180" spans="1:21" x14ac:dyDescent="0.35">
      <c r="A180" s="51">
        <v>4001318</v>
      </c>
      <c r="B180" s="51" t="s">
        <v>1594</v>
      </c>
      <c r="C180" s="51" t="s">
        <v>1174</v>
      </c>
      <c r="D180" s="51">
        <v>10050609</v>
      </c>
      <c r="E180" s="51" t="s">
        <v>3317</v>
      </c>
      <c r="F180" s="51" t="s">
        <v>1173</v>
      </c>
      <c r="G180" s="51" t="s">
        <v>289</v>
      </c>
      <c r="H180" s="51" t="s">
        <v>141</v>
      </c>
      <c r="I180" s="51" t="s">
        <v>258</v>
      </c>
      <c r="J180" s="53">
        <v>27.86</v>
      </c>
      <c r="K180" s="55">
        <v>315</v>
      </c>
      <c r="L180" s="55">
        <v>3390</v>
      </c>
      <c r="M180" s="55">
        <v>22</v>
      </c>
      <c r="N180" s="57">
        <v>0.8508</v>
      </c>
      <c r="O180" s="51"/>
      <c r="P180" s="53">
        <v>76386.600000000006</v>
      </c>
      <c r="Q180" s="55">
        <v>18</v>
      </c>
      <c r="R180" s="53">
        <v>4</v>
      </c>
      <c r="S180" s="53">
        <v>72</v>
      </c>
      <c r="T180" s="59"/>
      <c r="U180" s="55"/>
    </row>
    <row r="181" spans="1:21" x14ac:dyDescent="0.35">
      <c r="A181" s="50">
        <v>4001320</v>
      </c>
      <c r="B181" s="50" t="s">
        <v>1596</v>
      </c>
      <c r="C181" s="50" t="s">
        <v>1174</v>
      </c>
      <c r="D181" s="50">
        <v>10050801</v>
      </c>
      <c r="E181" s="50" t="s">
        <v>3321</v>
      </c>
      <c r="F181" s="50" t="s">
        <v>1173</v>
      </c>
      <c r="G181" s="50" t="s">
        <v>258</v>
      </c>
      <c r="H181" s="50"/>
      <c r="I181" s="50" t="s">
        <v>258</v>
      </c>
      <c r="J181" s="52">
        <v>2.67</v>
      </c>
      <c r="K181" s="54">
        <v>300</v>
      </c>
      <c r="L181" s="54">
        <v>4950</v>
      </c>
      <c r="M181" s="54">
        <v>23</v>
      </c>
      <c r="N181" s="56">
        <v>0.51570000000000005</v>
      </c>
      <c r="O181" s="50"/>
      <c r="P181" s="52">
        <v>9720</v>
      </c>
      <c r="Q181" s="54">
        <v>12</v>
      </c>
      <c r="R181" s="52">
        <v>6</v>
      </c>
      <c r="S181" s="52">
        <v>72</v>
      </c>
      <c r="T181" s="58"/>
      <c r="U181" s="54"/>
    </row>
    <row r="182" spans="1:21" x14ac:dyDescent="0.35">
      <c r="A182" s="51">
        <v>4001324</v>
      </c>
      <c r="B182" s="51" t="s">
        <v>1600</v>
      </c>
      <c r="C182" s="51" t="s">
        <v>1174</v>
      </c>
      <c r="D182" s="51">
        <v>10050507</v>
      </c>
      <c r="E182" s="51" t="s">
        <v>3308</v>
      </c>
      <c r="F182" s="51" t="s">
        <v>1173</v>
      </c>
      <c r="G182" s="51" t="s">
        <v>271</v>
      </c>
      <c r="H182" s="51" t="s">
        <v>24</v>
      </c>
      <c r="I182" s="51" t="s">
        <v>258</v>
      </c>
      <c r="J182" s="53">
        <v>397.94</v>
      </c>
      <c r="K182" s="55">
        <v>21</v>
      </c>
      <c r="L182" s="55">
        <v>2707</v>
      </c>
      <c r="M182" s="55">
        <v>24</v>
      </c>
      <c r="N182" s="57">
        <v>9.5100000000000004E-2</v>
      </c>
      <c r="O182" s="51"/>
      <c r="P182" s="53"/>
      <c r="Q182" s="55"/>
      <c r="R182" s="53"/>
      <c r="S182" s="53"/>
      <c r="T182" s="59"/>
      <c r="U182" s="55"/>
    </row>
    <row r="183" spans="1:21" x14ac:dyDescent="0.35">
      <c r="A183" s="50">
        <v>4001328</v>
      </c>
      <c r="B183" s="50" t="s">
        <v>1604</v>
      </c>
      <c r="C183" s="50" t="s">
        <v>1174</v>
      </c>
      <c r="D183" s="50">
        <v>10050607</v>
      </c>
      <c r="E183" s="50" t="s">
        <v>3315</v>
      </c>
      <c r="F183" s="50" t="s">
        <v>1173</v>
      </c>
      <c r="G183" s="50" t="s">
        <v>258</v>
      </c>
      <c r="H183" s="50" t="s">
        <v>141</v>
      </c>
      <c r="I183" s="50" t="s">
        <v>258</v>
      </c>
      <c r="J183" s="52">
        <v>4.1900000000000004</v>
      </c>
      <c r="K183" s="54">
        <v>415</v>
      </c>
      <c r="L183" s="54">
        <v>11810</v>
      </c>
      <c r="M183" s="54">
        <v>24</v>
      </c>
      <c r="N183" s="56">
        <v>0.51849999999999996</v>
      </c>
      <c r="O183" s="50"/>
      <c r="P183" s="52">
        <v>41833.660000000003</v>
      </c>
      <c r="Q183" s="54">
        <v>25</v>
      </c>
      <c r="R183" s="52">
        <v>1.08</v>
      </c>
      <c r="S183" s="52">
        <v>28</v>
      </c>
      <c r="T183" s="58"/>
      <c r="U183" s="54"/>
    </row>
    <row r="184" spans="1:21" x14ac:dyDescent="0.35">
      <c r="A184" s="51">
        <v>4001331</v>
      </c>
      <c r="B184" s="51" t="s">
        <v>1606</v>
      </c>
      <c r="C184" s="51" t="s">
        <v>1174</v>
      </c>
      <c r="D184" s="51">
        <v>10030904</v>
      </c>
      <c r="E184" s="51" t="s">
        <v>3272</v>
      </c>
      <c r="F184" s="51" t="s">
        <v>1173</v>
      </c>
      <c r="G184" s="51" t="s">
        <v>258</v>
      </c>
      <c r="H184" s="51" t="s">
        <v>141</v>
      </c>
      <c r="I184" s="51" t="s">
        <v>258</v>
      </c>
      <c r="J184" s="53">
        <v>2.4544000000000001</v>
      </c>
      <c r="K184" s="55">
        <v>1550</v>
      </c>
      <c r="L184" s="55">
        <v>18852</v>
      </c>
      <c r="M184" s="55">
        <v>24</v>
      </c>
      <c r="N184" s="57">
        <v>0.31730000000000003</v>
      </c>
      <c r="O184" s="51"/>
      <c r="P184" s="53">
        <v>45564.12</v>
      </c>
      <c r="Q184" s="55">
        <v>21</v>
      </c>
      <c r="R184" s="53">
        <v>18</v>
      </c>
      <c r="S184" s="53">
        <v>396</v>
      </c>
      <c r="T184" s="59">
        <v>5</v>
      </c>
      <c r="U184" s="55">
        <v>1</v>
      </c>
    </row>
    <row r="185" spans="1:21" x14ac:dyDescent="0.35">
      <c r="A185" s="50">
        <v>4001334</v>
      </c>
      <c r="B185" s="50" t="s">
        <v>1610</v>
      </c>
      <c r="C185" s="50" t="s">
        <v>1174</v>
      </c>
      <c r="D185" s="50">
        <v>10050607</v>
      </c>
      <c r="E185" s="50" t="s">
        <v>3315</v>
      </c>
      <c r="F185" s="50" t="s">
        <v>1173</v>
      </c>
      <c r="G185" s="50" t="s">
        <v>258</v>
      </c>
      <c r="H185" s="50" t="s">
        <v>141</v>
      </c>
      <c r="I185" s="50" t="s">
        <v>258</v>
      </c>
      <c r="J185" s="52">
        <v>2.64</v>
      </c>
      <c r="K185" s="54">
        <v>415</v>
      </c>
      <c r="L185" s="54">
        <v>13210</v>
      </c>
      <c r="M185" s="54">
        <v>24</v>
      </c>
      <c r="N185" s="56">
        <v>0.2681</v>
      </c>
      <c r="O185" s="50"/>
      <c r="P185" s="52"/>
      <c r="Q185" s="54"/>
      <c r="R185" s="52"/>
      <c r="S185" s="52"/>
      <c r="T185" s="58"/>
      <c r="U185" s="54"/>
    </row>
    <row r="186" spans="1:21" x14ac:dyDescent="0.35">
      <c r="A186" s="51">
        <v>4001340</v>
      </c>
      <c r="B186" s="51" t="s">
        <v>1622</v>
      </c>
      <c r="C186" s="51" t="s">
        <v>1174</v>
      </c>
      <c r="D186" s="51">
        <v>10050607</v>
      </c>
      <c r="E186" s="51" t="s">
        <v>3315</v>
      </c>
      <c r="F186" s="51" t="s">
        <v>1175</v>
      </c>
      <c r="G186" s="51" t="s">
        <v>289</v>
      </c>
      <c r="H186" s="51" t="s">
        <v>141</v>
      </c>
      <c r="I186" s="51" t="s">
        <v>258</v>
      </c>
      <c r="J186" s="53">
        <v>121.28</v>
      </c>
      <c r="K186" s="55">
        <v>36</v>
      </c>
      <c r="L186" s="55">
        <v>804</v>
      </c>
      <c r="M186" s="55">
        <v>22</v>
      </c>
      <c r="N186" s="57">
        <v>0.36159999999999998</v>
      </c>
      <c r="O186" s="51"/>
      <c r="P186" s="53"/>
      <c r="Q186" s="55"/>
      <c r="R186" s="53"/>
      <c r="S186" s="53"/>
      <c r="T186" s="59"/>
      <c r="U186" s="55"/>
    </row>
    <row r="187" spans="1:21" x14ac:dyDescent="0.35">
      <c r="A187" s="50">
        <v>4001341</v>
      </c>
      <c r="B187" s="50" t="s">
        <v>1624</v>
      </c>
      <c r="C187" s="50" t="s">
        <v>1174</v>
      </c>
      <c r="D187" s="50">
        <v>10030906</v>
      </c>
      <c r="E187" s="50" t="s">
        <v>3274</v>
      </c>
      <c r="F187" s="50" t="s">
        <v>1179</v>
      </c>
      <c r="G187" s="50" t="s">
        <v>258</v>
      </c>
      <c r="H187" s="50"/>
      <c r="I187" s="50" t="s">
        <v>258</v>
      </c>
      <c r="J187" s="52">
        <v>1.2</v>
      </c>
      <c r="K187" s="54">
        <v>749</v>
      </c>
      <c r="L187" s="54">
        <v>6800</v>
      </c>
      <c r="M187" s="54">
        <v>24</v>
      </c>
      <c r="N187" s="56">
        <v>0.49569999999999997</v>
      </c>
      <c r="O187" s="50"/>
      <c r="P187" s="52">
        <v>6480</v>
      </c>
      <c r="Q187" s="54">
        <v>9</v>
      </c>
      <c r="R187" s="52">
        <v>12</v>
      </c>
      <c r="S187" s="52">
        <v>108</v>
      </c>
      <c r="T187" s="58"/>
      <c r="U187" s="54"/>
    </row>
    <row r="188" spans="1:21" x14ac:dyDescent="0.35">
      <c r="A188" s="51">
        <v>4001343</v>
      </c>
      <c r="B188" s="51" t="s">
        <v>1626</v>
      </c>
      <c r="C188" s="51" t="s">
        <v>1174</v>
      </c>
      <c r="D188" s="51">
        <v>10050801</v>
      </c>
      <c r="E188" s="51" t="s">
        <v>3321</v>
      </c>
      <c r="F188" s="51" t="s">
        <v>1178</v>
      </c>
      <c r="G188" s="51" t="s">
        <v>258</v>
      </c>
      <c r="H188" s="51"/>
      <c r="I188" s="51" t="s">
        <v>258</v>
      </c>
      <c r="J188" s="53">
        <v>95.07</v>
      </c>
      <c r="K188" s="55">
        <v>52</v>
      </c>
      <c r="L188" s="55">
        <v>1781</v>
      </c>
      <c r="M188" s="55">
        <v>24</v>
      </c>
      <c r="N188" s="57">
        <v>0.23910000000000001</v>
      </c>
      <c r="O188" s="51"/>
      <c r="P188" s="53">
        <v>59950.400000000001</v>
      </c>
      <c r="Q188" s="55">
        <v>25</v>
      </c>
      <c r="R188" s="53">
        <v>67.36</v>
      </c>
      <c r="S188" s="53">
        <v>1689</v>
      </c>
      <c r="T188" s="59"/>
      <c r="U188" s="55"/>
    </row>
    <row r="189" spans="1:21" x14ac:dyDescent="0.35">
      <c r="A189" s="50">
        <v>4001344</v>
      </c>
      <c r="B189" s="50" t="s">
        <v>1628</v>
      </c>
      <c r="C189" s="50" t="s">
        <v>1174</v>
      </c>
      <c r="D189" s="50">
        <v>10050801</v>
      </c>
      <c r="E189" s="50" t="s">
        <v>3321</v>
      </c>
      <c r="F189" s="50" t="s">
        <v>1178</v>
      </c>
      <c r="G189" s="50" t="s">
        <v>258</v>
      </c>
      <c r="H189" s="50"/>
      <c r="I189" s="50" t="s">
        <v>258</v>
      </c>
      <c r="J189" s="52">
        <v>26.89</v>
      </c>
      <c r="K189" s="54">
        <v>108</v>
      </c>
      <c r="L189" s="54">
        <v>477</v>
      </c>
      <c r="M189" s="54">
        <v>24</v>
      </c>
      <c r="N189" s="56">
        <v>0.30059999999999998</v>
      </c>
      <c r="O189" s="50"/>
      <c r="P189" s="52">
        <v>12799.64</v>
      </c>
      <c r="Q189" s="54">
        <v>7</v>
      </c>
      <c r="R189" s="52">
        <v>68</v>
      </c>
      <c r="S189" s="52">
        <v>476</v>
      </c>
      <c r="T189" s="58"/>
      <c r="U189" s="54"/>
    </row>
    <row r="190" spans="1:21" x14ac:dyDescent="0.35">
      <c r="A190" s="51">
        <v>4001345</v>
      </c>
      <c r="B190" s="51" t="s">
        <v>1630</v>
      </c>
      <c r="C190" s="51" t="s">
        <v>1174</v>
      </c>
      <c r="D190" s="51">
        <v>10050801</v>
      </c>
      <c r="E190" s="51" t="s">
        <v>3321</v>
      </c>
      <c r="F190" s="51" t="s">
        <v>1178</v>
      </c>
      <c r="G190" s="51" t="s">
        <v>258</v>
      </c>
      <c r="H190" s="51"/>
      <c r="I190" s="51" t="s">
        <v>258</v>
      </c>
      <c r="J190" s="53">
        <v>20.78</v>
      </c>
      <c r="K190" s="55">
        <v>50</v>
      </c>
      <c r="L190" s="55">
        <v>232</v>
      </c>
      <c r="M190" s="55">
        <v>24</v>
      </c>
      <c r="N190" s="57">
        <v>0.89170000000000005</v>
      </c>
      <c r="O190" s="51"/>
      <c r="P190" s="53">
        <v>4945.6400000000003</v>
      </c>
      <c r="Q190" s="55">
        <v>12</v>
      </c>
      <c r="R190" s="53">
        <v>17</v>
      </c>
      <c r="S190" s="53">
        <v>238</v>
      </c>
      <c r="T190" s="59"/>
      <c r="U190" s="55"/>
    </row>
    <row r="191" spans="1:21" x14ac:dyDescent="0.35">
      <c r="A191" s="50">
        <v>4001347</v>
      </c>
      <c r="B191" s="50" t="s">
        <v>1632</v>
      </c>
      <c r="C191" s="50" t="s">
        <v>1174</v>
      </c>
      <c r="D191" s="50">
        <v>10050801</v>
      </c>
      <c r="E191" s="50" t="s">
        <v>3321</v>
      </c>
      <c r="F191" s="50" t="s">
        <v>1178</v>
      </c>
      <c r="G191" s="50" t="s">
        <v>258</v>
      </c>
      <c r="H191" s="50"/>
      <c r="I191" s="50" t="s">
        <v>258</v>
      </c>
      <c r="J191" s="52">
        <v>13</v>
      </c>
      <c r="K191" s="54">
        <v>15</v>
      </c>
      <c r="L191" s="54">
        <v>60</v>
      </c>
      <c r="M191" s="54">
        <v>15</v>
      </c>
      <c r="N191" s="56">
        <v>1.1372</v>
      </c>
      <c r="O191" s="50"/>
      <c r="P191" s="52">
        <v>520</v>
      </c>
      <c r="Q191" s="54">
        <v>7</v>
      </c>
      <c r="R191" s="52">
        <v>5</v>
      </c>
      <c r="S191" s="52">
        <v>35</v>
      </c>
      <c r="T191" s="58"/>
      <c r="U191" s="54"/>
    </row>
    <row r="192" spans="1:21" x14ac:dyDescent="0.35">
      <c r="A192" s="51">
        <v>4001348</v>
      </c>
      <c r="B192" s="51" t="s">
        <v>1634</v>
      </c>
      <c r="C192" s="51" t="s">
        <v>1174</v>
      </c>
      <c r="D192" s="51">
        <v>10050104</v>
      </c>
      <c r="E192" s="51" t="s">
        <v>3291</v>
      </c>
      <c r="F192" s="51" t="s">
        <v>1173</v>
      </c>
      <c r="G192" s="51" t="s">
        <v>258</v>
      </c>
      <c r="H192" s="51" t="s">
        <v>24</v>
      </c>
      <c r="I192" s="51" t="s">
        <v>258</v>
      </c>
      <c r="J192" s="53">
        <v>15</v>
      </c>
      <c r="K192" s="55">
        <v>200</v>
      </c>
      <c r="L192" s="55">
        <v>270</v>
      </c>
      <c r="M192" s="55">
        <v>14</v>
      </c>
      <c r="N192" s="57">
        <v>1.0364</v>
      </c>
      <c r="O192" s="51"/>
      <c r="P192" s="53">
        <v>3000</v>
      </c>
      <c r="Q192" s="55">
        <v>2</v>
      </c>
      <c r="R192" s="53">
        <v>1</v>
      </c>
      <c r="S192" s="53">
        <v>2</v>
      </c>
      <c r="T192" s="59"/>
      <c r="U192" s="55"/>
    </row>
    <row r="193" spans="1:21" x14ac:dyDescent="0.35">
      <c r="A193" s="50">
        <v>4001349</v>
      </c>
      <c r="B193" s="50" t="s">
        <v>1636</v>
      </c>
      <c r="C193" s="50" t="s">
        <v>1174</v>
      </c>
      <c r="D193" s="50">
        <v>10050104</v>
      </c>
      <c r="E193" s="50" t="s">
        <v>3291</v>
      </c>
      <c r="F193" s="50" t="s">
        <v>1173</v>
      </c>
      <c r="G193" s="50" t="s">
        <v>258</v>
      </c>
      <c r="H193" s="50" t="s">
        <v>24</v>
      </c>
      <c r="I193" s="50" t="s">
        <v>258</v>
      </c>
      <c r="J193" s="52">
        <v>15</v>
      </c>
      <c r="K193" s="54">
        <v>160</v>
      </c>
      <c r="L193" s="54">
        <v>320</v>
      </c>
      <c r="M193" s="54">
        <v>16</v>
      </c>
      <c r="N193" s="56">
        <v>1.0532999999999999</v>
      </c>
      <c r="O193" s="50"/>
      <c r="P193" s="52">
        <v>3000</v>
      </c>
      <c r="Q193" s="54">
        <v>2</v>
      </c>
      <c r="R193" s="52">
        <v>1</v>
      </c>
      <c r="S193" s="52">
        <v>2</v>
      </c>
      <c r="T193" s="58"/>
      <c r="U193" s="54"/>
    </row>
    <row r="194" spans="1:21" x14ac:dyDescent="0.35">
      <c r="A194" s="51">
        <v>4001350</v>
      </c>
      <c r="B194" s="51" t="s">
        <v>1638</v>
      </c>
      <c r="C194" s="51" t="s">
        <v>1174</v>
      </c>
      <c r="D194" s="51">
        <v>10050605</v>
      </c>
      <c r="E194" s="51" t="s">
        <v>3313</v>
      </c>
      <c r="F194" s="51" t="s">
        <v>1173</v>
      </c>
      <c r="G194" s="51" t="s">
        <v>258</v>
      </c>
      <c r="H194" s="51" t="s">
        <v>141</v>
      </c>
      <c r="I194" s="51" t="s">
        <v>258</v>
      </c>
      <c r="J194" s="53">
        <v>0.34499999999999997</v>
      </c>
      <c r="K194" s="55">
        <v>3200</v>
      </c>
      <c r="L194" s="55">
        <v>121100</v>
      </c>
      <c r="M194" s="55">
        <v>24</v>
      </c>
      <c r="N194" s="57">
        <v>0.2281</v>
      </c>
      <c r="O194" s="51"/>
      <c r="P194" s="53"/>
      <c r="Q194" s="55"/>
      <c r="R194" s="53"/>
      <c r="S194" s="53"/>
      <c r="T194" s="59"/>
      <c r="U194" s="55"/>
    </row>
    <row r="195" spans="1:21" x14ac:dyDescent="0.35">
      <c r="A195" s="50">
        <v>4001354</v>
      </c>
      <c r="B195" s="50" t="s">
        <v>1642</v>
      </c>
      <c r="C195" s="50" t="s">
        <v>1174</v>
      </c>
      <c r="D195" s="50">
        <v>10050604</v>
      </c>
      <c r="E195" s="50" t="s">
        <v>3312</v>
      </c>
      <c r="F195" s="50" t="s">
        <v>1180</v>
      </c>
      <c r="G195" s="50" t="s">
        <v>289</v>
      </c>
      <c r="H195" s="50" t="s">
        <v>141</v>
      </c>
      <c r="I195" s="50" t="s">
        <v>258</v>
      </c>
      <c r="J195" s="52">
        <v>12.26</v>
      </c>
      <c r="K195" s="54">
        <v>650</v>
      </c>
      <c r="L195" s="54">
        <v>5350</v>
      </c>
      <c r="M195" s="54">
        <v>24</v>
      </c>
      <c r="N195" s="56">
        <v>0.64090000000000003</v>
      </c>
      <c r="O195" s="50"/>
      <c r="P195" s="52">
        <v>59579.6</v>
      </c>
      <c r="Q195" s="54">
        <v>13</v>
      </c>
      <c r="R195" s="52">
        <v>2</v>
      </c>
      <c r="S195" s="52">
        <v>26</v>
      </c>
      <c r="T195" s="58"/>
      <c r="U195" s="54"/>
    </row>
    <row r="196" spans="1:21" x14ac:dyDescent="0.35">
      <c r="A196" s="51">
        <v>4001359</v>
      </c>
      <c r="B196" s="51" t="s">
        <v>1646</v>
      </c>
      <c r="C196" s="51" t="s">
        <v>1174</v>
      </c>
      <c r="D196" s="51">
        <v>10050604</v>
      </c>
      <c r="E196" s="51" t="s">
        <v>3312</v>
      </c>
      <c r="F196" s="51" t="s">
        <v>1180</v>
      </c>
      <c r="G196" s="51" t="s">
        <v>258</v>
      </c>
      <c r="H196" s="51" t="s">
        <v>141</v>
      </c>
      <c r="I196" s="51" t="s">
        <v>258</v>
      </c>
      <c r="J196" s="53">
        <v>3.95</v>
      </c>
      <c r="K196" s="55">
        <v>650</v>
      </c>
      <c r="L196" s="55">
        <v>4000</v>
      </c>
      <c r="M196" s="55">
        <v>24</v>
      </c>
      <c r="N196" s="57">
        <v>0.4637</v>
      </c>
      <c r="O196" s="51"/>
      <c r="P196" s="53">
        <v>17606.560000000001</v>
      </c>
      <c r="Q196" s="55">
        <v>11</v>
      </c>
      <c r="R196" s="53">
        <v>8</v>
      </c>
      <c r="S196" s="53">
        <v>88</v>
      </c>
      <c r="T196" s="59"/>
      <c r="U196" s="55"/>
    </row>
    <row r="197" spans="1:21" x14ac:dyDescent="0.35">
      <c r="A197" s="50">
        <v>4001364</v>
      </c>
      <c r="B197" s="50" t="s">
        <v>1650</v>
      </c>
      <c r="C197" s="50" t="s">
        <v>1174</v>
      </c>
      <c r="D197" s="50">
        <v>10050604</v>
      </c>
      <c r="E197" s="50" t="s">
        <v>3312</v>
      </c>
      <c r="F197" s="50" t="s">
        <v>1180</v>
      </c>
      <c r="G197" s="50" t="s">
        <v>271</v>
      </c>
      <c r="H197" s="50" t="s">
        <v>141</v>
      </c>
      <c r="I197" s="50" t="s">
        <v>289</v>
      </c>
      <c r="J197" s="52">
        <v>12.27</v>
      </c>
      <c r="K197" s="54">
        <v>900</v>
      </c>
      <c r="L197" s="54">
        <v>57120</v>
      </c>
      <c r="M197" s="54">
        <v>24</v>
      </c>
      <c r="N197" s="56">
        <v>0.19070000000000001</v>
      </c>
      <c r="O197" s="50"/>
      <c r="P197" s="52"/>
      <c r="Q197" s="54"/>
      <c r="R197" s="52"/>
      <c r="S197" s="52"/>
      <c r="T197" s="58"/>
      <c r="U197" s="54"/>
    </row>
    <row r="198" spans="1:21" x14ac:dyDescent="0.35">
      <c r="A198" s="51">
        <v>4001365</v>
      </c>
      <c r="B198" s="51" t="s">
        <v>1652</v>
      </c>
      <c r="C198" s="51" t="s">
        <v>1174</v>
      </c>
      <c r="D198" s="51">
        <v>10050801</v>
      </c>
      <c r="E198" s="51" t="s">
        <v>3321</v>
      </c>
      <c r="F198" s="51" t="s">
        <v>1178</v>
      </c>
      <c r="G198" s="51" t="s">
        <v>258</v>
      </c>
      <c r="H198" s="51"/>
      <c r="I198" s="51" t="s">
        <v>258</v>
      </c>
      <c r="J198" s="53">
        <v>22.5</v>
      </c>
      <c r="K198" s="55">
        <v>52</v>
      </c>
      <c r="L198" s="55">
        <v>452</v>
      </c>
      <c r="M198" s="55">
        <v>24</v>
      </c>
      <c r="N198" s="57">
        <v>0.65400000000000003</v>
      </c>
      <c r="O198" s="51"/>
      <c r="P198" s="53">
        <v>10800</v>
      </c>
      <c r="Q198" s="55">
        <v>8</v>
      </c>
      <c r="R198" s="53">
        <v>60</v>
      </c>
      <c r="S198" s="53">
        <v>480</v>
      </c>
      <c r="T198" s="59"/>
      <c r="U198" s="55"/>
    </row>
    <row r="199" spans="1:21" x14ac:dyDescent="0.35">
      <c r="A199" s="50">
        <v>4001366</v>
      </c>
      <c r="B199" s="50" t="s">
        <v>1654</v>
      </c>
      <c r="C199" s="50" t="s">
        <v>1174</v>
      </c>
      <c r="D199" s="50">
        <v>10050404</v>
      </c>
      <c r="E199" s="50" t="s">
        <v>3301</v>
      </c>
      <c r="F199" s="50" t="s">
        <v>1173</v>
      </c>
      <c r="G199" s="50" t="s">
        <v>258</v>
      </c>
      <c r="H199" s="50" t="s">
        <v>141</v>
      </c>
      <c r="I199" s="50" t="s">
        <v>258</v>
      </c>
      <c r="J199" s="52">
        <v>2.84</v>
      </c>
      <c r="K199" s="54">
        <v>120</v>
      </c>
      <c r="L199" s="54">
        <v>5386</v>
      </c>
      <c r="M199" s="54">
        <v>24</v>
      </c>
      <c r="N199" s="56">
        <v>0.216</v>
      </c>
      <c r="O199" s="50"/>
      <c r="P199" s="52">
        <v>85693.72</v>
      </c>
      <c r="Q199" s="54">
        <v>21</v>
      </c>
      <c r="R199" s="52">
        <v>96.43</v>
      </c>
      <c r="S199" s="52">
        <v>2055.8000000000002</v>
      </c>
      <c r="T199" s="58"/>
      <c r="U199" s="54"/>
    </row>
    <row r="200" spans="1:21" x14ac:dyDescent="0.35">
      <c r="A200" s="51">
        <v>4001367</v>
      </c>
      <c r="B200" s="51" t="s">
        <v>1656</v>
      </c>
      <c r="C200" s="51" t="s">
        <v>1174</v>
      </c>
      <c r="D200" s="51">
        <v>10050506</v>
      </c>
      <c r="E200" s="51" t="s">
        <v>3307</v>
      </c>
      <c r="F200" s="51" t="s">
        <v>1173</v>
      </c>
      <c r="G200" s="51" t="s">
        <v>258</v>
      </c>
      <c r="H200" s="51"/>
      <c r="I200" s="51" t="s">
        <v>258</v>
      </c>
      <c r="J200" s="53">
        <v>1.56</v>
      </c>
      <c r="K200" s="55">
        <v>466</v>
      </c>
      <c r="L200" s="55">
        <v>16981</v>
      </c>
      <c r="M200" s="55">
        <v>24</v>
      </c>
      <c r="N200" s="57">
        <v>0.76849999999999996</v>
      </c>
      <c r="O200" s="51"/>
      <c r="P200" s="53"/>
      <c r="Q200" s="55"/>
      <c r="R200" s="53"/>
      <c r="S200" s="53"/>
      <c r="T200" s="59"/>
      <c r="U200" s="55"/>
    </row>
    <row r="201" spans="1:21" x14ac:dyDescent="0.35">
      <c r="A201" s="50">
        <v>4001368</v>
      </c>
      <c r="B201" s="50" t="s">
        <v>1658</v>
      </c>
      <c r="C201" s="50" t="s">
        <v>1174</v>
      </c>
      <c r="D201" s="50">
        <v>10050506</v>
      </c>
      <c r="E201" s="50" t="s">
        <v>3307</v>
      </c>
      <c r="F201" s="50" t="s">
        <v>1173</v>
      </c>
      <c r="G201" s="50" t="s">
        <v>289</v>
      </c>
      <c r="H201" s="50"/>
      <c r="I201" s="50" t="s">
        <v>258</v>
      </c>
      <c r="J201" s="52">
        <v>1.51</v>
      </c>
      <c r="K201" s="54">
        <v>2036</v>
      </c>
      <c r="L201" s="54">
        <v>71348</v>
      </c>
      <c r="M201" s="54">
        <v>24</v>
      </c>
      <c r="N201" s="56">
        <v>0.24030000000000001</v>
      </c>
      <c r="O201" s="50"/>
      <c r="P201" s="52"/>
      <c r="Q201" s="54"/>
      <c r="R201" s="52"/>
      <c r="S201" s="52"/>
      <c r="T201" s="58"/>
      <c r="U201" s="54"/>
    </row>
    <row r="202" spans="1:21" x14ac:dyDescent="0.35">
      <c r="A202" s="51">
        <v>4001369</v>
      </c>
      <c r="B202" s="51" t="s">
        <v>1660</v>
      </c>
      <c r="C202" s="51" t="s">
        <v>1174</v>
      </c>
      <c r="D202" s="51">
        <v>10050506</v>
      </c>
      <c r="E202" s="51" t="s">
        <v>3307</v>
      </c>
      <c r="F202" s="51" t="s">
        <v>1173</v>
      </c>
      <c r="G202" s="51" t="s">
        <v>258</v>
      </c>
      <c r="H202" s="51"/>
      <c r="I202" s="51" t="s">
        <v>258</v>
      </c>
      <c r="J202" s="53">
        <v>1.51</v>
      </c>
      <c r="K202" s="55">
        <v>1600</v>
      </c>
      <c r="L202" s="55">
        <v>43461</v>
      </c>
      <c r="M202" s="55">
        <v>24</v>
      </c>
      <c r="N202" s="57">
        <v>0.1431</v>
      </c>
      <c r="O202" s="51"/>
      <c r="P202" s="53"/>
      <c r="Q202" s="55"/>
      <c r="R202" s="53"/>
      <c r="S202" s="53"/>
      <c r="T202" s="59"/>
      <c r="U202" s="55"/>
    </row>
    <row r="203" spans="1:21" x14ac:dyDescent="0.35">
      <c r="A203" s="50">
        <v>4001371</v>
      </c>
      <c r="B203" s="50" t="s">
        <v>1662</v>
      </c>
      <c r="C203" s="50" t="s">
        <v>1174</v>
      </c>
      <c r="D203" s="50">
        <v>10050505</v>
      </c>
      <c r="E203" s="50" t="s">
        <v>3306</v>
      </c>
      <c r="F203" s="50" t="s">
        <v>1178</v>
      </c>
      <c r="G203" s="50" t="s">
        <v>258</v>
      </c>
      <c r="H203" s="50"/>
      <c r="I203" s="50" t="s">
        <v>258</v>
      </c>
      <c r="J203" s="52">
        <v>93.57</v>
      </c>
      <c r="K203" s="54">
        <v>19</v>
      </c>
      <c r="L203" s="54">
        <v>137</v>
      </c>
      <c r="M203" s="54">
        <v>24</v>
      </c>
      <c r="N203" s="56">
        <v>0.48630000000000001</v>
      </c>
      <c r="O203" s="50"/>
      <c r="P203" s="52"/>
      <c r="Q203" s="54"/>
      <c r="R203" s="52"/>
      <c r="S203" s="52"/>
      <c r="T203" s="58"/>
      <c r="U203" s="54"/>
    </row>
    <row r="204" spans="1:21" x14ac:dyDescent="0.35">
      <c r="A204" s="51">
        <v>4001376</v>
      </c>
      <c r="B204" s="51" t="s">
        <v>1668</v>
      </c>
      <c r="C204" s="51" t="s">
        <v>1174</v>
      </c>
      <c r="D204" s="51">
        <v>10040101</v>
      </c>
      <c r="E204" s="51" t="s">
        <v>3279</v>
      </c>
      <c r="F204" s="51" t="s">
        <v>1173</v>
      </c>
      <c r="G204" s="51" t="s">
        <v>258</v>
      </c>
      <c r="H204" s="51" t="s">
        <v>141</v>
      </c>
      <c r="I204" s="51" t="s">
        <v>258</v>
      </c>
      <c r="J204" s="53">
        <v>3.25</v>
      </c>
      <c r="K204" s="55">
        <v>1700</v>
      </c>
      <c r="L204" s="55">
        <v>13500</v>
      </c>
      <c r="M204" s="55">
        <v>24</v>
      </c>
      <c r="N204" s="57">
        <v>0.30170000000000002</v>
      </c>
      <c r="O204" s="51"/>
      <c r="P204" s="53">
        <v>46049.760000000002</v>
      </c>
      <c r="Q204" s="55">
        <v>31</v>
      </c>
      <c r="R204" s="53">
        <v>8.23</v>
      </c>
      <c r="S204" s="53">
        <v>280</v>
      </c>
      <c r="T204" s="59"/>
      <c r="U204" s="55"/>
    </row>
    <row r="205" spans="1:21" x14ac:dyDescent="0.35">
      <c r="A205" s="50">
        <v>4001379</v>
      </c>
      <c r="B205" s="50" t="s">
        <v>1670</v>
      </c>
      <c r="C205" s="50" t="s">
        <v>1174</v>
      </c>
      <c r="D205" s="50">
        <v>10050606</v>
      </c>
      <c r="E205" s="50" t="s">
        <v>3314</v>
      </c>
      <c r="F205" s="50" t="s">
        <v>1173</v>
      </c>
      <c r="G205" s="50" t="s">
        <v>289</v>
      </c>
      <c r="H205" s="50" t="s">
        <v>24</v>
      </c>
      <c r="I205" s="50" t="s">
        <v>258</v>
      </c>
      <c r="J205" s="52">
        <v>46.95</v>
      </c>
      <c r="K205" s="54">
        <v>100</v>
      </c>
      <c r="L205" s="54">
        <v>5210</v>
      </c>
      <c r="M205" s="54">
        <v>24</v>
      </c>
      <c r="N205" s="56">
        <v>0.23280000000000001</v>
      </c>
      <c r="O205" s="50"/>
      <c r="P205" s="52"/>
      <c r="Q205" s="54"/>
      <c r="R205" s="52"/>
      <c r="S205" s="52"/>
      <c r="T205" s="58"/>
      <c r="U205" s="54"/>
    </row>
    <row r="206" spans="1:21" x14ac:dyDescent="0.35">
      <c r="A206" s="51">
        <v>4001380</v>
      </c>
      <c r="B206" s="51" t="s">
        <v>1672</v>
      </c>
      <c r="C206" s="51" t="s">
        <v>1174</v>
      </c>
      <c r="D206" s="51">
        <v>10050801</v>
      </c>
      <c r="E206" s="51" t="s">
        <v>3321</v>
      </c>
      <c r="F206" s="51" t="s">
        <v>1178</v>
      </c>
      <c r="G206" s="51" t="s">
        <v>258</v>
      </c>
      <c r="H206" s="51"/>
      <c r="I206" s="51" t="s">
        <v>258</v>
      </c>
      <c r="J206" s="53">
        <v>5.58</v>
      </c>
      <c r="K206" s="55">
        <v>230</v>
      </c>
      <c r="L206" s="55">
        <v>6780</v>
      </c>
      <c r="M206" s="55">
        <v>24</v>
      </c>
      <c r="N206" s="57">
        <v>0.59230000000000005</v>
      </c>
      <c r="O206" s="51"/>
      <c r="P206" s="53">
        <v>32928</v>
      </c>
      <c r="Q206" s="55">
        <v>27</v>
      </c>
      <c r="R206" s="53">
        <v>24</v>
      </c>
      <c r="S206" s="53">
        <v>672</v>
      </c>
      <c r="T206" s="59"/>
      <c r="U206" s="55"/>
    </row>
    <row r="207" spans="1:21" x14ac:dyDescent="0.35">
      <c r="A207" s="50">
        <v>4001383</v>
      </c>
      <c r="B207" s="50" t="s">
        <v>1674</v>
      </c>
      <c r="C207" s="50" t="s">
        <v>1174</v>
      </c>
      <c r="D207" s="50">
        <v>10050104</v>
      </c>
      <c r="E207" s="50" t="s">
        <v>3291</v>
      </c>
      <c r="F207" s="50" t="s">
        <v>1173</v>
      </c>
      <c r="G207" s="50" t="s">
        <v>289</v>
      </c>
      <c r="H207" s="50" t="s">
        <v>24</v>
      </c>
      <c r="I207" s="50" t="s">
        <v>258</v>
      </c>
      <c r="J207" s="52">
        <v>17.84</v>
      </c>
      <c r="K207" s="54">
        <v>120</v>
      </c>
      <c r="L207" s="54">
        <v>11620</v>
      </c>
      <c r="M207" s="54">
        <v>24</v>
      </c>
      <c r="N207" s="56">
        <v>0.15459999999999999</v>
      </c>
      <c r="O207" s="50"/>
      <c r="P207" s="52"/>
      <c r="Q207" s="54"/>
      <c r="R207" s="52"/>
      <c r="S207" s="52"/>
      <c r="T207" s="58"/>
      <c r="U207" s="54"/>
    </row>
    <row r="208" spans="1:21" x14ac:dyDescent="0.35">
      <c r="A208" s="51">
        <v>4001384</v>
      </c>
      <c r="B208" s="51" t="s">
        <v>1676</v>
      </c>
      <c r="C208" s="51" t="s">
        <v>1174</v>
      </c>
      <c r="D208" s="51">
        <v>10050104</v>
      </c>
      <c r="E208" s="51" t="s">
        <v>3291</v>
      </c>
      <c r="F208" s="51" t="s">
        <v>1173</v>
      </c>
      <c r="G208" s="51" t="s">
        <v>289</v>
      </c>
      <c r="H208" s="51" t="s">
        <v>24</v>
      </c>
      <c r="I208" s="51" t="s">
        <v>258</v>
      </c>
      <c r="J208" s="53">
        <v>17.84</v>
      </c>
      <c r="K208" s="55">
        <v>100</v>
      </c>
      <c r="L208" s="55">
        <v>11560</v>
      </c>
      <c r="M208" s="55">
        <v>24</v>
      </c>
      <c r="N208" s="57">
        <v>0.16350000000000001</v>
      </c>
      <c r="O208" s="51"/>
      <c r="P208" s="53"/>
      <c r="Q208" s="55"/>
      <c r="R208" s="53"/>
      <c r="S208" s="53"/>
      <c r="T208" s="59"/>
      <c r="U208" s="55"/>
    </row>
    <row r="209" spans="1:21" x14ac:dyDescent="0.35">
      <c r="A209" s="50">
        <v>4001385</v>
      </c>
      <c r="B209" s="50" t="s">
        <v>1678</v>
      </c>
      <c r="C209" s="50" t="s">
        <v>1174</v>
      </c>
      <c r="D209" s="50">
        <v>10050104</v>
      </c>
      <c r="E209" s="50" t="s">
        <v>3291</v>
      </c>
      <c r="F209" s="50" t="s">
        <v>1173</v>
      </c>
      <c r="G209" s="50" t="s">
        <v>258</v>
      </c>
      <c r="H209" s="50" t="s">
        <v>24</v>
      </c>
      <c r="I209" s="50" t="s">
        <v>258</v>
      </c>
      <c r="J209" s="52">
        <v>15</v>
      </c>
      <c r="K209" s="54">
        <v>220</v>
      </c>
      <c r="L209" s="54">
        <v>570</v>
      </c>
      <c r="M209" s="54">
        <v>21</v>
      </c>
      <c r="N209" s="56">
        <v>0.75719999999999998</v>
      </c>
      <c r="O209" s="50"/>
      <c r="P209" s="52">
        <v>9000</v>
      </c>
      <c r="Q209" s="54">
        <v>6</v>
      </c>
      <c r="R209" s="52">
        <v>1</v>
      </c>
      <c r="S209" s="52">
        <v>6</v>
      </c>
      <c r="T209" s="58"/>
      <c r="U209" s="54"/>
    </row>
    <row r="210" spans="1:21" x14ac:dyDescent="0.35">
      <c r="A210" s="51">
        <v>4001387</v>
      </c>
      <c r="B210" s="51" t="s">
        <v>1680</v>
      </c>
      <c r="C210" s="51" t="s">
        <v>1174</v>
      </c>
      <c r="D210" s="51">
        <v>10050801</v>
      </c>
      <c r="E210" s="51" t="s">
        <v>3321</v>
      </c>
      <c r="F210" s="51" t="s">
        <v>1178</v>
      </c>
      <c r="G210" s="51" t="s">
        <v>258</v>
      </c>
      <c r="H210" s="51"/>
      <c r="I210" s="51" t="s">
        <v>258</v>
      </c>
      <c r="J210" s="53">
        <v>2.6036999999999999</v>
      </c>
      <c r="K210" s="55">
        <v>1660</v>
      </c>
      <c r="L210" s="55">
        <v>17440</v>
      </c>
      <c r="M210" s="55">
        <v>24</v>
      </c>
      <c r="N210" s="57">
        <v>0.2732</v>
      </c>
      <c r="O210" s="51"/>
      <c r="P210" s="53">
        <v>19443.2</v>
      </c>
      <c r="Q210" s="55">
        <v>31</v>
      </c>
      <c r="R210" s="53">
        <v>28</v>
      </c>
      <c r="S210" s="53">
        <v>840</v>
      </c>
      <c r="T210" s="59"/>
      <c r="U210" s="55"/>
    </row>
    <row r="211" spans="1:21" x14ac:dyDescent="0.35">
      <c r="A211" s="50">
        <v>4001388</v>
      </c>
      <c r="B211" s="50" t="s">
        <v>1682</v>
      </c>
      <c r="C211" s="50" t="s">
        <v>1174</v>
      </c>
      <c r="D211" s="50">
        <v>10050801</v>
      </c>
      <c r="E211" s="50" t="s">
        <v>3321</v>
      </c>
      <c r="F211" s="50" t="s">
        <v>1178</v>
      </c>
      <c r="G211" s="50" t="s">
        <v>258</v>
      </c>
      <c r="H211" s="50"/>
      <c r="I211" s="50" t="s">
        <v>258</v>
      </c>
      <c r="J211" s="52">
        <v>8.5</v>
      </c>
      <c r="K211" s="54">
        <v>1060</v>
      </c>
      <c r="L211" s="54">
        <v>27040</v>
      </c>
      <c r="M211" s="54">
        <v>24</v>
      </c>
      <c r="N211" s="56">
        <v>0.17449999999999999</v>
      </c>
      <c r="O211" s="50"/>
      <c r="P211" s="52">
        <v>49680</v>
      </c>
      <c r="Q211" s="54">
        <v>68</v>
      </c>
      <c r="R211" s="52">
        <v>20.29</v>
      </c>
      <c r="S211" s="52">
        <v>1380</v>
      </c>
      <c r="T211" s="58"/>
      <c r="U211" s="54"/>
    </row>
    <row r="212" spans="1:21" x14ac:dyDescent="0.35">
      <c r="A212" s="51">
        <v>4001390</v>
      </c>
      <c r="B212" s="51" t="s">
        <v>1684</v>
      </c>
      <c r="C212" s="51" t="s">
        <v>1174</v>
      </c>
      <c r="D212" s="51">
        <v>10050801</v>
      </c>
      <c r="E212" s="51" t="s">
        <v>3321</v>
      </c>
      <c r="F212" s="51" t="s">
        <v>1173</v>
      </c>
      <c r="G212" s="51" t="s">
        <v>258</v>
      </c>
      <c r="H212" s="51"/>
      <c r="I212" s="51" t="s">
        <v>258</v>
      </c>
      <c r="J212" s="53">
        <v>1.0214000000000001</v>
      </c>
      <c r="K212" s="55">
        <v>2750</v>
      </c>
      <c r="L212" s="55">
        <v>133200</v>
      </c>
      <c r="M212" s="55">
        <v>24</v>
      </c>
      <c r="N212" s="57">
        <v>0.17280000000000001</v>
      </c>
      <c r="O212" s="51"/>
      <c r="P212" s="53"/>
      <c r="Q212" s="55"/>
      <c r="R212" s="53"/>
      <c r="S212" s="53"/>
      <c r="T212" s="59"/>
      <c r="U212" s="55"/>
    </row>
    <row r="213" spans="1:21" x14ac:dyDescent="0.35">
      <c r="A213" s="50">
        <v>4001396</v>
      </c>
      <c r="B213" s="50" t="s">
        <v>1686</v>
      </c>
      <c r="C213" s="50" t="s">
        <v>1174</v>
      </c>
      <c r="D213" s="50">
        <v>10050507</v>
      </c>
      <c r="E213" s="50" t="s">
        <v>3308</v>
      </c>
      <c r="F213" s="50" t="s">
        <v>1173</v>
      </c>
      <c r="G213" s="50" t="s">
        <v>258</v>
      </c>
      <c r="H213" s="50" t="s">
        <v>24</v>
      </c>
      <c r="I213" s="50" t="s">
        <v>258</v>
      </c>
      <c r="J213" s="52">
        <v>27.18</v>
      </c>
      <c r="K213" s="54">
        <v>219</v>
      </c>
      <c r="L213" s="54">
        <v>982</v>
      </c>
      <c r="M213" s="54">
        <v>24</v>
      </c>
      <c r="N213" s="56">
        <v>0.23569999999999999</v>
      </c>
      <c r="O213" s="50"/>
      <c r="P213" s="52">
        <v>27100</v>
      </c>
      <c r="Q213" s="54">
        <v>20</v>
      </c>
      <c r="R213" s="52">
        <v>2</v>
      </c>
      <c r="S213" s="52">
        <v>40</v>
      </c>
      <c r="T213" s="58"/>
      <c r="U213" s="54"/>
    </row>
    <row r="214" spans="1:21" x14ac:dyDescent="0.35">
      <c r="A214" s="51">
        <v>4001401</v>
      </c>
      <c r="B214" s="51" t="s">
        <v>1688</v>
      </c>
      <c r="C214" s="51" t="s">
        <v>1174</v>
      </c>
      <c r="D214" s="51">
        <v>10050108</v>
      </c>
      <c r="E214" s="51" t="s">
        <v>3293</v>
      </c>
      <c r="F214" s="51" t="s">
        <v>1173</v>
      </c>
      <c r="G214" s="51" t="s">
        <v>271</v>
      </c>
      <c r="H214" s="51"/>
      <c r="I214" s="51" t="s">
        <v>289</v>
      </c>
      <c r="J214" s="53">
        <v>59.45</v>
      </c>
      <c r="K214" s="55">
        <v>420</v>
      </c>
      <c r="L214" s="55">
        <v>22560</v>
      </c>
      <c r="M214" s="55">
        <v>24</v>
      </c>
      <c r="N214" s="57">
        <v>0.16589999999999999</v>
      </c>
      <c r="O214" s="51"/>
      <c r="P214" s="53"/>
      <c r="Q214" s="55"/>
      <c r="R214" s="53"/>
      <c r="S214" s="53"/>
      <c r="T214" s="59"/>
      <c r="U214" s="55"/>
    </row>
    <row r="215" spans="1:21" x14ac:dyDescent="0.35">
      <c r="A215" s="50">
        <v>4001403</v>
      </c>
      <c r="B215" s="50" t="s">
        <v>1690</v>
      </c>
      <c r="C215" s="50" t="s">
        <v>1174</v>
      </c>
      <c r="D215" s="50">
        <v>10050103</v>
      </c>
      <c r="E215" s="50" t="s">
        <v>3290</v>
      </c>
      <c r="F215" s="50" t="s">
        <v>1173</v>
      </c>
      <c r="G215" s="50" t="s">
        <v>271</v>
      </c>
      <c r="H215" s="50"/>
      <c r="I215" s="50" t="s">
        <v>258</v>
      </c>
      <c r="J215" s="52">
        <v>98.95</v>
      </c>
      <c r="K215" s="54">
        <v>350</v>
      </c>
      <c r="L215" s="54">
        <v>7820</v>
      </c>
      <c r="M215" s="54">
        <v>23</v>
      </c>
      <c r="N215" s="56">
        <v>0.56369999999999998</v>
      </c>
      <c r="O215" s="50"/>
      <c r="P215" s="52">
        <v>603570</v>
      </c>
      <c r="Q215" s="54">
        <v>34</v>
      </c>
      <c r="R215" s="52">
        <v>20.57</v>
      </c>
      <c r="S215" s="52">
        <v>720</v>
      </c>
      <c r="T215" s="58"/>
      <c r="U215" s="54"/>
    </row>
    <row r="216" spans="1:21" x14ac:dyDescent="0.35">
      <c r="A216" s="51">
        <v>4001449</v>
      </c>
      <c r="B216" s="51" t="s">
        <v>1692</v>
      </c>
      <c r="C216" s="51" t="s">
        <v>1174</v>
      </c>
      <c r="D216" s="51">
        <v>10050104</v>
      </c>
      <c r="E216" s="51" t="s">
        <v>3291</v>
      </c>
      <c r="F216" s="51" t="s">
        <v>1173</v>
      </c>
      <c r="G216" s="51" t="s">
        <v>258</v>
      </c>
      <c r="H216" s="51" t="s">
        <v>141</v>
      </c>
      <c r="I216" s="51"/>
      <c r="J216" s="53">
        <v>24.13</v>
      </c>
      <c r="K216" s="55">
        <v>190</v>
      </c>
      <c r="L216" s="55">
        <v>160</v>
      </c>
      <c r="M216" s="55">
        <v>12</v>
      </c>
      <c r="N216" s="57">
        <v>1.1990000000000001</v>
      </c>
      <c r="O216" s="51"/>
      <c r="P216" s="53">
        <v>3480</v>
      </c>
      <c r="Q216" s="55">
        <v>2</v>
      </c>
      <c r="R216" s="53">
        <v>2.5</v>
      </c>
      <c r="S216" s="53">
        <v>5</v>
      </c>
      <c r="T216" s="59"/>
      <c r="U216" s="55"/>
    </row>
    <row r="217" spans="1:21" x14ac:dyDescent="0.35">
      <c r="A217" s="50">
        <v>4001458</v>
      </c>
      <c r="B217" s="50" t="s">
        <v>1696</v>
      </c>
      <c r="C217" s="50" t="s">
        <v>1174</v>
      </c>
      <c r="D217" s="50">
        <v>10050505</v>
      </c>
      <c r="E217" s="50" t="s">
        <v>3306</v>
      </c>
      <c r="F217" s="50" t="s">
        <v>1173</v>
      </c>
      <c r="G217" s="50" t="s">
        <v>258</v>
      </c>
      <c r="H217" s="50" t="s">
        <v>141</v>
      </c>
      <c r="I217" s="50"/>
      <c r="J217" s="52">
        <v>9.0299999999999994</v>
      </c>
      <c r="K217" s="54">
        <v>99</v>
      </c>
      <c r="L217" s="54">
        <v>294</v>
      </c>
      <c r="M217" s="54">
        <v>17</v>
      </c>
      <c r="N217" s="56">
        <v>1.1788000000000001</v>
      </c>
      <c r="O217" s="50"/>
      <c r="P217" s="52">
        <v>695</v>
      </c>
      <c r="Q217" s="54">
        <v>2</v>
      </c>
      <c r="R217" s="52">
        <v>1</v>
      </c>
      <c r="S217" s="52">
        <v>2</v>
      </c>
      <c r="T217" s="58"/>
      <c r="U217" s="54"/>
    </row>
    <row r="218" spans="1:21" x14ac:dyDescent="0.35">
      <c r="A218" s="51">
        <v>4001461</v>
      </c>
      <c r="B218" s="51" t="s">
        <v>1700</v>
      </c>
      <c r="C218" s="51" t="s">
        <v>1174</v>
      </c>
      <c r="D218" s="51">
        <v>10050505</v>
      </c>
      <c r="E218" s="51" t="s">
        <v>3306</v>
      </c>
      <c r="F218" s="51" t="s">
        <v>1173</v>
      </c>
      <c r="G218" s="51" t="s">
        <v>258</v>
      </c>
      <c r="H218" s="51" t="s">
        <v>141</v>
      </c>
      <c r="I218" s="51" t="s">
        <v>258</v>
      </c>
      <c r="J218" s="53">
        <v>6.23</v>
      </c>
      <c r="K218" s="55">
        <v>40</v>
      </c>
      <c r="L218" s="55">
        <v>5437</v>
      </c>
      <c r="M218" s="55">
        <v>24</v>
      </c>
      <c r="N218" s="57">
        <v>0.21729999999999999</v>
      </c>
      <c r="O218" s="51"/>
      <c r="P218" s="53"/>
      <c r="Q218" s="55"/>
      <c r="R218" s="53"/>
      <c r="S218" s="53"/>
      <c r="T218" s="59"/>
      <c r="U218" s="55"/>
    </row>
    <row r="219" spans="1:21" x14ac:dyDescent="0.35">
      <c r="A219" s="50">
        <v>4001523</v>
      </c>
      <c r="B219" s="50" t="s">
        <v>1702</v>
      </c>
      <c r="C219" s="50" t="s">
        <v>1174</v>
      </c>
      <c r="D219" s="50">
        <v>10060514</v>
      </c>
      <c r="E219" s="50" t="s">
        <v>3333</v>
      </c>
      <c r="F219" s="50" t="s">
        <v>1173</v>
      </c>
      <c r="G219" s="50" t="s">
        <v>258</v>
      </c>
      <c r="H219" s="50"/>
      <c r="I219" s="50" t="s">
        <v>258</v>
      </c>
      <c r="J219" s="52">
        <v>1.0591999999999999</v>
      </c>
      <c r="K219" s="54">
        <v>2250</v>
      </c>
      <c r="L219" s="54">
        <v>25825</v>
      </c>
      <c r="M219" s="54">
        <v>24</v>
      </c>
      <c r="N219" s="56">
        <v>0.7742</v>
      </c>
      <c r="O219" s="50"/>
      <c r="P219" s="52">
        <v>27201.4</v>
      </c>
      <c r="Q219" s="54">
        <v>24</v>
      </c>
      <c r="R219" s="52">
        <v>1</v>
      </c>
      <c r="S219" s="52">
        <v>27</v>
      </c>
      <c r="T219" s="58">
        <v>3</v>
      </c>
      <c r="U219" s="54">
        <v>1</v>
      </c>
    </row>
    <row r="220" spans="1:21" x14ac:dyDescent="0.35">
      <c r="A220" s="51">
        <v>4001524</v>
      </c>
      <c r="B220" s="51" t="s">
        <v>1704</v>
      </c>
      <c r="C220" s="51" t="s">
        <v>1174</v>
      </c>
      <c r="D220" s="51">
        <v>10060514</v>
      </c>
      <c r="E220" s="51" t="s">
        <v>3333</v>
      </c>
      <c r="F220" s="51" t="s">
        <v>1173</v>
      </c>
      <c r="G220" s="51" t="s">
        <v>258</v>
      </c>
      <c r="H220" s="51"/>
      <c r="I220" s="51" t="s">
        <v>258</v>
      </c>
      <c r="J220" s="53">
        <v>1.1233</v>
      </c>
      <c r="K220" s="55">
        <v>1600</v>
      </c>
      <c r="L220" s="55">
        <v>17235</v>
      </c>
      <c r="M220" s="55">
        <v>24</v>
      </c>
      <c r="N220" s="57">
        <v>0.67559999999999998</v>
      </c>
      <c r="O220" s="51"/>
      <c r="P220" s="53">
        <v>19460.2</v>
      </c>
      <c r="Q220" s="55">
        <v>19</v>
      </c>
      <c r="R220" s="53">
        <v>1</v>
      </c>
      <c r="S220" s="53">
        <v>19</v>
      </c>
      <c r="T220" s="59">
        <v>0</v>
      </c>
      <c r="U220" s="55">
        <v>1</v>
      </c>
    </row>
    <row r="221" spans="1:21" x14ac:dyDescent="0.35">
      <c r="A221" s="50">
        <v>4001551</v>
      </c>
      <c r="B221" s="50" t="s">
        <v>1706</v>
      </c>
      <c r="C221" s="50" t="s">
        <v>1174</v>
      </c>
      <c r="D221" s="50">
        <v>10050103</v>
      </c>
      <c r="E221" s="50" t="s">
        <v>3290</v>
      </c>
      <c r="F221" s="50" t="s">
        <v>1173</v>
      </c>
      <c r="G221" s="50" t="s">
        <v>271</v>
      </c>
      <c r="H221" s="50" t="s">
        <v>24</v>
      </c>
      <c r="I221" s="50" t="s">
        <v>258</v>
      </c>
      <c r="J221" s="52">
        <v>2.78</v>
      </c>
      <c r="K221" s="54">
        <v>2200</v>
      </c>
      <c r="L221" s="54">
        <v>83650</v>
      </c>
      <c r="M221" s="54">
        <v>24</v>
      </c>
      <c r="N221" s="56">
        <v>0.21870000000000001</v>
      </c>
      <c r="O221" s="50"/>
      <c r="P221" s="52"/>
      <c r="Q221" s="54"/>
      <c r="R221" s="52"/>
      <c r="S221" s="52"/>
      <c r="T221" s="58"/>
      <c r="U221" s="54"/>
    </row>
    <row r="222" spans="1:21" x14ac:dyDescent="0.35">
      <c r="A222" s="51">
        <v>4001562</v>
      </c>
      <c r="B222" s="51" t="s">
        <v>1708</v>
      </c>
      <c r="C222" s="51" t="s">
        <v>1174</v>
      </c>
      <c r="D222" s="51">
        <v>10050507</v>
      </c>
      <c r="E222" s="51" t="s">
        <v>3308</v>
      </c>
      <c r="F222" s="51" t="s">
        <v>1173</v>
      </c>
      <c r="G222" s="51" t="s">
        <v>258</v>
      </c>
      <c r="H222" s="51" t="s">
        <v>24</v>
      </c>
      <c r="I222" s="51" t="s">
        <v>258</v>
      </c>
      <c r="J222" s="53">
        <v>48.58</v>
      </c>
      <c r="K222" s="55">
        <v>35</v>
      </c>
      <c r="L222" s="55">
        <v>1581</v>
      </c>
      <c r="M222" s="55">
        <v>24</v>
      </c>
      <c r="N222" s="57">
        <v>0.2571</v>
      </c>
      <c r="O222" s="51"/>
      <c r="P222" s="53"/>
      <c r="Q222" s="55"/>
      <c r="R222" s="53"/>
      <c r="S222" s="53"/>
      <c r="T222" s="59"/>
      <c r="U222" s="55"/>
    </row>
    <row r="223" spans="1:21" x14ac:dyDescent="0.35">
      <c r="A223" s="50">
        <v>4001572</v>
      </c>
      <c r="B223" s="50" t="s">
        <v>1710</v>
      </c>
      <c r="C223" s="50" t="s">
        <v>1174</v>
      </c>
      <c r="D223" s="50">
        <v>10050801</v>
      </c>
      <c r="E223" s="50" t="s">
        <v>3321</v>
      </c>
      <c r="F223" s="50" t="s">
        <v>1173</v>
      </c>
      <c r="G223" s="50" t="s">
        <v>258</v>
      </c>
      <c r="H223" s="50"/>
      <c r="I223" s="50" t="s">
        <v>258</v>
      </c>
      <c r="J223" s="52">
        <v>5.0999999999999996</v>
      </c>
      <c r="K223" s="54">
        <v>840</v>
      </c>
      <c r="L223" s="54">
        <v>2400</v>
      </c>
      <c r="M223" s="54">
        <v>24</v>
      </c>
      <c r="N223" s="56">
        <v>0.51219999999999999</v>
      </c>
      <c r="O223" s="50"/>
      <c r="P223" s="52">
        <v>6120</v>
      </c>
      <c r="Q223" s="54">
        <v>5</v>
      </c>
      <c r="R223" s="52">
        <v>10</v>
      </c>
      <c r="S223" s="52">
        <v>50</v>
      </c>
      <c r="T223" s="58"/>
      <c r="U223" s="54"/>
    </row>
    <row r="224" spans="1:21" x14ac:dyDescent="0.35">
      <c r="A224" s="51">
        <v>4001573</v>
      </c>
      <c r="B224" s="51" t="s">
        <v>1712</v>
      </c>
      <c r="C224" s="51" t="s">
        <v>1174</v>
      </c>
      <c r="D224" s="51">
        <v>10050801</v>
      </c>
      <c r="E224" s="51" t="s">
        <v>3321</v>
      </c>
      <c r="F224" s="51" t="s">
        <v>1173</v>
      </c>
      <c r="G224" s="51" t="s">
        <v>258</v>
      </c>
      <c r="H224" s="51"/>
      <c r="I224" s="51" t="s">
        <v>258</v>
      </c>
      <c r="J224" s="53">
        <v>11.25</v>
      </c>
      <c r="K224" s="55">
        <v>66</v>
      </c>
      <c r="L224" s="55">
        <v>1639</v>
      </c>
      <c r="M224" s="55">
        <v>24</v>
      </c>
      <c r="N224" s="57">
        <v>0.45679999999999998</v>
      </c>
      <c r="O224" s="51"/>
      <c r="P224" s="53">
        <v>19926</v>
      </c>
      <c r="Q224" s="55">
        <v>9</v>
      </c>
      <c r="R224" s="53">
        <v>30</v>
      </c>
      <c r="S224" s="53">
        <v>280</v>
      </c>
      <c r="T224" s="59"/>
      <c r="U224" s="55"/>
    </row>
    <row r="225" spans="1:21" x14ac:dyDescent="0.35">
      <c r="A225" s="50">
        <v>4001574</v>
      </c>
      <c r="B225" s="50" t="s">
        <v>1714</v>
      </c>
      <c r="C225" s="50" t="s">
        <v>1174</v>
      </c>
      <c r="D225" s="50">
        <v>10050801</v>
      </c>
      <c r="E225" s="50" t="s">
        <v>3321</v>
      </c>
      <c r="F225" s="50" t="s">
        <v>1178</v>
      </c>
      <c r="G225" s="50" t="s">
        <v>289</v>
      </c>
      <c r="H225" s="50" t="s">
        <v>141</v>
      </c>
      <c r="I225" s="50" t="s">
        <v>258</v>
      </c>
      <c r="J225" s="52">
        <v>9.56</v>
      </c>
      <c r="K225" s="54">
        <v>525</v>
      </c>
      <c r="L225" s="54">
        <v>10608</v>
      </c>
      <c r="M225" s="54">
        <v>24</v>
      </c>
      <c r="N225" s="56">
        <v>0.22020000000000001</v>
      </c>
      <c r="O225" s="50"/>
      <c r="P225" s="52">
        <v>66750</v>
      </c>
      <c r="Q225" s="54">
        <v>30</v>
      </c>
      <c r="R225" s="52">
        <v>29.67</v>
      </c>
      <c r="S225" s="52">
        <v>890</v>
      </c>
      <c r="T225" s="58"/>
      <c r="U225" s="54"/>
    </row>
    <row r="226" spans="1:21" x14ac:dyDescent="0.35">
      <c r="A226" s="51">
        <v>4001576</v>
      </c>
      <c r="B226" s="51" t="s">
        <v>1716</v>
      </c>
      <c r="C226" s="51" t="s">
        <v>1174</v>
      </c>
      <c r="D226" s="51">
        <v>10050801</v>
      </c>
      <c r="E226" s="51" t="s">
        <v>3321</v>
      </c>
      <c r="F226" s="51" t="s">
        <v>1173</v>
      </c>
      <c r="G226" s="51" t="s">
        <v>271</v>
      </c>
      <c r="H226" s="51"/>
      <c r="I226" s="51" t="s">
        <v>289</v>
      </c>
      <c r="J226" s="53">
        <v>2.4</v>
      </c>
      <c r="K226" s="55">
        <v>1600</v>
      </c>
      <c r="L226" s="55">
        <v>142450</v>
      </c>
      <c r="M226" s="55">
        <v>24</v>
      </c>
      <c r="N226" s="57">
        <v>0.14680000000000001</v>
      </c>
      <c r="O226" s="51"/>
      <c r="P226" s="53"/>
      <c r="Q226" s="55"/>
      <c r="R226" s="53"/>
      <c r="S226" s="53"/>
      <c r="T226" s="59"/>
      <c r="U226" s="55"/>
    </row>
    <row r="227" spans="1:21" x14ac:dyDescent="0.35">
      <c r="A227" s="50">
        <v>4001609</v>
      </c>
      <c r="B227" s="50" t="s">
        <v>1718</v>
      </c>
      <c r="C227" s="50" t="s">
        <v>1174</v>
      </c>
      <c r="D227" s="50">
        <v>10080601</v>
      </c>
      <c r="E227" s="50" t="s">
        <v>3337</v>
      </c>
      <c r="F227" s="50" t="s">
        <v>1175</v>
      </c>
      <c r="G227" s="50" t="s">
        <v>258</v>
      </c>
      <c r="H227" s="50"/>
      <c r="I227" s="50" t="s">
        <v>258</v>
      </c>
      <c r="J227" s="52">
        <v>369</v>
      </c>
      <c r="K227" s="54">
        <v>150</v>
      </c>
      <c r="L227" s="54">
        <v>5</v>
      </c>
      <c r="M227" s="54">
        <v>2</v>
      </c>
      <c r="N227" s="56">
        <v>3.9140999999999999</v>
      </c>
      <c r="O227" s="50" t="s">
        <v>3230</v>
      </c>
      <c r="P227" s="52"/>
      <c r="Q227" s="54"/>
      <c r="R227" s="52"/>
      <c r="S227" s="52"/>
      <c r="T227" s="58"/>
      <c r="U227" s="54"/>
    </row>
    <row r="228" spans="1:21" x14ac:dyDescent="0.35">
      <c r="A228" s="51">
        <v>4001691</v>
      </c>
      <c r="B228" s="51" t="s">
        <v>1722</v>
      </c>
      <c r="C228" s="51" t="s">
        <v>1174</v>
      </c>
      <c r="D228" s="51">
        <v>10050701</v>
      </c>
      <c r="E228" s="51" t="s">
        <v>3320</v>
      </c>
      <c r="F228" s="51" t="s">
        <v>1173</v>
      </c>
      <c r="G228" s="51" t="s">
        <v>258</v>
      </c>
      <c r="H228" s="51"/>
      <c r="I228" s="51" t="s">
        <v>258</v>
      </c>
      <c r="J228" s="53">
        <v>0.01</v>
      </c>
      <c r="K228" s="55">
        <v>70</v>
      </c>
      <c r="L228" s="55">
        <v>310</v>
      </c>
      <c r="M228" s="55">
        <v>21</v>
      </c>
      <c r="N228" s="57">
        <v>0.6603</v>
      </c>
      <c r="O228" s="51"/>
      <c r="P228" s="53">
        <v>0.32</v>
      </c>
      <c r="Q228" s="55">
        <v>7</v>
      </c>
      <c r="R228" s="53">
        <v>8</v>
      </c>
      <c r="S228" s="53">
        <v>64</v>
      </c>
      <c r="T228" s="59"/>
      <c r="U228" s="55"/>
    </row>
    <row r="229" spans="1:21" x14ac:dyDescent="0.35">
      <c r="A229" s="50">
        <v>4001701</v>
      </c>
      <c r="B229" s="50" t="s">
        <v>1724</v>
      </c>
      <c r="C229" s="50" t="s">
        <v>1174</v>
      </c>
      <c r="D229" s="50">
        <v>10050801</v>
      </c>
      <c r="E229" s="50" t="s">
        <v>3321</v>
      </c>
      <c r="F229" s="50" t="s">
        <v>1177</v>
      </c>
      <c r="G229" s="50" t="s">
        <v>258</v>
      </c>
      <c r="H229" s="50"/>
      <c r="I229" s="50" t="s">
        <v>258</v>
      </c>
      <c r="J229" s="52">
        <v>4.9381000000000004</v>
      </c>
      <c r="K229" s="54">
        <v>52</v>
      </c>
      <c r="L229" s="54">
        <v>652</v>
      </c>
      <c r="M229" s="54">
        <v>24</v>
      </c>
      <c r="N229" s="56">
        <v>0.24709999999999999</v>
      </c>
      <c r="O229" s="50"/>
      <c r="P229" s="52"/>
      <c r="Q229" s="54"/>
      <c r="R229" s="52"/>
      <c r="S229" s="52"/>
      <c r="T229" s="58"/>
      <c r="U229" s="54"/>
    </row>
    <row r="230" spans="1:21" x14ac:dyDescent="0.35">
      <c r="A230" s="51">
        <v>4001754</v>
      </c>
      <c r="B230" s="51" t="s">
        <v>1726</v>
      </c>
      <c r="C230" s="51" t="s">
        <v>1174</v>
      </c>
      <c r="D230" s="51">
        <v>10050801</v>
      </c>
      <c r="E230" s="51" t="s">
        <v>3321</v>
      </c>
      <c r="F230" s="51" t="s">
        <v>1178</v>
      </c>
      <c r="G230" s="51" t="s">
        <v>258</v>
      </c>
      <c r="H230" s="51"/>
      <c r="I230" s="51" t="s">
        <v>258</v>
      </c>
      <c r="J230" s="53">
        <v>5.0599999999999996</v>
      </c>
      <c r="K230" s="55">
        <v>320</v>
      </c>
      <c r="L230" s="55">
        <v>4051</v>
      </c>
      <c r="M230" s="55">
        <v>24</v>
      </c>
      <c r="N230" s="57">
        <v>0.56110000000000004</v>
      </c>
      <c r="O230" s="51"/>
      <c r="P230" s="53">
        <v>24864</v>
      </c>
      <c r="Q230" s="55">
        <v>21</v>
      </c>
      <c r="R230" s="53">
        <v>20</v>
      </c>
      <c r="S230" s="53">
        <v>420</v>
      </c>
      <c r="T230" s="59"/>
      <c r="U230" s="55"/>
    </row>
    <row r="231" spans="1:21" x14ac:dyDescent="0.35">
      <c r="A231" s="50">
        <v>4001762</v>
      </c>
      <c r="B231" s="50" t="s">
        <v>1728</v>
      </c>
      <c r="C231" s="50" t="s">
        <v>1174</v>
      </c>
      <c r="D231" s="50">
        <v>10050606</v>
      </c>
      <c r="E231" s="50" t="s">
        <v>3314</v>
      </c>
      <c r="F231" s="50" t="s">
        <v>1173</v>
      </c>
      <c r="G231" s="50" t="s">
        <v>258</v>
      </c>
      <c r="H231" s="50" t="s">
        <v>24</v>
      </c>
      <c r="I231" s="50" t="s">
        <v>258</v>
      </c>
      <c r="J231" s="52">
        <v>1.5053000000000001</v>
      </c>
      <c r="K231" s="54">
        <v>1600</v>
      </c>
      <c r="L231" s="54">
        <v>29700</v>
      </c>
      <c r="M231" s="54">
        <v>24</v>
      </c>
      <c r="N231" s="56">
        <v>0.39989999999999998</v>
      </c>
      <c r="O231" s="50"/>
      <c r="P231" s="52"/>
      <c r="Q231" s="54"/>
      <c r="R231" s="52"/>
      <c r="S231" s="52"/>
      <c r="T231" s="58"/>
      <c r="U231" s="54"/>
    </row>
    <row r="232" spans="1:21" x14ac:dyDescent="0.35">
      <c r="A232" s="51">
        <v>4001763</v>
      </c>
      <c r="B232" s="51" t="s">
        <v>1730</v>
      </c>
      <c r="C232" s="51" t="s">
        <v>1174</v>
      </c>
      <c r="D232" s="51">
        <v>10050606</v>
      </c>
      <c r="E232" s="51" t="s">
        <v>3314</v>
      </c>
      <c r="F232" s="51" t="s">
        <v>1173</v>
      </c>
      <c r="G232" s="51" t="s">
        <v>258</v>
      </c>
      <c r="H232" s="51" t="s">
        <v>24</v>
      </c>
      <c r="I232" s="51" t="s">
        <v>258</v>
      </c>
      <c r="J232" s="53">
        <v>1.9072</v>
      </c>
      <c r="K232" s="55">
        <v>5300</v>
      </c>
      <c r="L232" s="55">
        <v>39210</v>
      </c>
      <c r="M232" s="55">
        <v>24</v>
      </c>
      <c r="N232" s="57">
        <v>0.31309999999999999</v>
      </c>
      <c r="O232" s="51"/>
      <c r="P232" s="53">
        <v>44200</v>
      </c>
      <c r="Q232" s="55">
        <v>19</v>
      </c>
      <c r="R232" s="53">
        <v>20</v>
      </c>
      <c r="S232" s="53">
        <v>380</v>
      </c>
      <c r="T232" s="59"/>
      <c r="U232" s="55"/>
    </row>
    <row r="233" spans="1:21" x14ac:dyDescent="0.35">
      <c r="A233" s="50">
        <v>4001764</v>
      </c>
      <c r="B233" s="50" t="s">
        <v>1732</v>
      </c>
      <c r="C233" s="50" t="s">
        <v>1174</v>
      </c>
      <c r="D233" s="50">
        <v>10050606</v>
      </c>
      <c r="E233" s="50" t="s">
        <v>3314</v>
      </c>
      <c r="F233" s="50" t="s">
        <v>1173</v>
      </c>
      <c r="G233" s="50" t="s">
        <v>258</v>
      </c>
      <c r="H233" s="50" t="s">
        <v>141</v>
      </c>
      <c r="I233" s="50" t="s">
        <v>258</v>
      </c>
      <c r="J233" s="52">
        <v>1.163</v>
      </c>
      <c r="K233" s="54">
        <v>1000</v>
      </c>
      <c r="L233" s="54">
        <v>2700</v>
      </c>
      <c r="M233" s="54">
        <v>15</v>
      </c>
      <c r="N233" s="56">
        <v>1.0981000000000001</v>
      </c>
      <c r="O233" s="50"/>
      <c r="P233" s="52">
        <v>1320</v>
      </c>
      <c r="Q233" s="54">
        <v>3</v>
      </c>
      <c r="R233" s="52">
        <v>4</v>
      </c>
      <c r="S233" s="52">
        <v>12</v>
      </c>
      <c r="T233" s="58"/>
      <c r="U233" s="54"/>
    </row>
    <row r="234" spans="1:21" x14ac:dyDescent="0.35">
      <c r="A234" s="51">
        <v>4001809</v>
      </c>
      <c r="B234" s="51" t="s">
        <v>1734</v>
      </c>
      <c r="C234" s="51" t="s">
        <v>1174</v>
      </c>
      <c r="D234" s="51">
        <v>10050103</v>
      </c>
      <c r="E234" s="51" t="s">
        <v>3290</v>
      </c>
      <c r="F234" s="51" t="s">
        <v>1173</v>
      </c>
      <c r="G234" s="51" t="s">
        <v>258</v>
      </c>
      <c r="H234" s="51" t="s">
        <v>24</v>
      </c>
      <c r="I234" s="51" t="s">
        <v>258</v>
      </c>
      <c r="J234" s="53">
        <v>0.3105</v>
      </c>
      <c r="K234" s="55">
        <v>2800</v>
      </c>
      <c r="L234" s="55">
        <v>51400</v>
      </c>
      <c r="M234" s="55">
        <v>24</v>
      </c>
      <c r="N234" s="57">
        <v>0.26960000000000001</v>
      </c>
      <c r="O234" s="51"/>
      <c r="P234" s="53">
        <v>11050</v>
      </c>
      <c r="Q234" s="55">
        <v>16</v>
      </c>
      <c r="R234" s="53">
        <v>29.38</v>
      </c>
      <c r="S234" s="53">
        <v>450</v>
      </c>
      <c r="T234" s="59"/>
      <c r="U234" s="55"/>
    </row>
    <row r="235" spans="1:21" x14ac:dyDescent="0.35">
      <c r="A235" s="50">
        <v>4001853</v>
      </c>
      <c r="B235" s="50" t="s">
        <v>1736</v>
      </c>
      <c r="C235" s="50" t="s">
        <v>1174</v>
      </c>
      <c r="D235" s="50">
        <v>10050801</v>
      </c>
      <c r="E235" s="50" t="s">
        <v>3321</v>
      </c>
      <c r="F235" s="50" t="s">
        <v>1178</v>
      </c>
      <c r="G235" s="50" t="s">
        <v>258</v>
      </c>
      <c r="H235" s="50"/>
      <c r="I235" s="50" t="s">
        <v>258</v>
      </c>
      <c r="J235" s="52">
        <v>71.12</v>
      </c>
      <c r="K235" s="54">
        <v>52</v>
      </c>
      <c r="L235" s="54">
        <v>1201</v>
      </c>
      <c r="M235" s="54">
        <v>24</v>
      </c>
      <c r="N235" s="56">
        <v>0.19089999999999999</v>
      </c>
      <c r="O235" s="50"/>
      <c r="P235" s="52"/>
      <c r="Q235" s="54"/>
      <c r="R235" s="52"/>
      <c r="S235" s="52"/>
      <c r="T235" s="58"/>
      <c r="U235" s="54"/>
    </row>
    <row r="236" spans="1:21" x14ac:dyDescent="0.35">
      <c r="A236" s="51">
        <v>4001969</v>
      </c>
      <c r="B236" s="51" t="s">
        <v>1742</v>
      </c>
      <c r="C236" s="51" t="s">
        <v>1174</v>
      </c>
      <c r="D236" s="51">
        <v>10050505</v>
      </c>
      <c r="E236" s="51" t="s">
        <v>3306</v>
      </c>
      <c r="F236" s="51" t="s">
        <v>1178</v>
      </c>
      <c r="G236" s="51" t="s">
        <v>258</v>
      </c>
      <c r="H236" s="51" t="s">
        <v>24</v>
      </c>
      <c r="I236" s="51" t="s">
        <v>258</v>
      </c>
      <c r="J236" s="53">
        <v>40.18</v>
      </c>
      <c r="K236" s="55">
        <v>25</v>
      </c>
      <c r="L236" s="55">
        <v>1510</v>
      </c>
      <c r="M236" s="55">
        <v>24</v>
      </c>
      <c r="N236" s="57">
        <v>0.13189999999999999</v>
      </c>
      <c r="O236" s="51"/>
      <c r="P236" s="53"/>
      <c r="Q236" s="55"/>
      <c r="R236" s="53"/>
      <c r="S236" s="53"/>
      <c r="T236" s="59"/>
      <c r="U236" s="55"/>
    </row>
    <row r="237" spans="1:21" x14ac:dyDescent="0.35">
      <c r="A237" s="50">
        <v>4002233</v>
      </c>
      <c r="B237" s="50" t="s">
        <v>1746</v>
      </c>
      <c r="C237" s="50" t="s">
        <v>1174</v>
      </c>
      <c r="D237" s="50">
        <v>10050504</v>
      </c>
      <c r="E237" s="50" t="s">
        <v>3305</v>
      </c>
      <c r="F237" s="50" t="s">
        <v>1173</v>
      </c>
      <c r="G237" s="50" t="s">
        <v>289</v>
      </c>
      <c r="H237" s="50"/>
      <c r="I237" s="50" t="s">
        <v>258</v>
      </c>
      <c r="J237" s="52">
        <v>9</v>
      </c>
      <c r="K237" s="54">
        <v>184</v>
      </c>
      <c r="L237" s="54">
        <v>12878</v>
      </c>
      <c r="M237" s="54">
        <v>24</v>
      </c>
      <c r="N237" s="56">
        <v>0.42320000000000002</v>
      </c>
      <c r="O237" s="50"/>
      <c r="P237" s="52"/>
      <c r="Q237" s="54"/>
      <c r="R237" s="52"/>
      <c r="S237" s="52"/>
      <c r="T237" s="58"/>
      <c r="U237" s="54"/>
    </row>
    <row r="238" spans="1:21" x14ac:dyDescent="0.35">
      <c r="A238" s="51">
        <v>4002277</v>
      </c>
      <c r="B238" s="51" t="s">
        <v>1748</v>
      </c>
      <c r="C238" s="51" t="s">
        <v>1174</v>
      </c>
      <c r="D238" s="51">
        <v>10050801</v>
      </c>
      <c r="E238" s="51" t="s">
        <v>3321</v>
      </c>
      <c r="F238" s="51" t="s">
        <v>1173</v>
      </c>
      <c r="G238" s="51" t="s">
        <v>289</v>
      </c>
      <c r="H238" s="51"/>
      <c r="I238" s="51" t="s">
        <v>258</v>
      </c>
      <c r="J238" s="53">
        <v>14.79</v>
      </c>
      <c r="K238" s="55">
        <v>90</v>
      </c>
      <c r="L238" s="55">
        <v>13336</v>
      </c>
      <c r="M238" s="55">
        <v>24</v>
      </c>
      <c r="N238" s="57">
        <v>0.1961</v>
      </c>
      <c r="O238" s="51"/>
      <c r="P238" s="53">
        <v>107000</v>
      </c>
      <c r="Q238" s="55">
        <v>36</v>
      </c>
      <c r="R238" s="53">
        <v>29.72</v>
      </c>
      <c r="S238" s="53">
        <v>1070</v>
      </c>
      <c r="T238" s="59"/>
      <c r="U238" s="55"/>
    </row>
    <row r="239" spans="1:21" x14ac:dyDescent="0.35">
      <c r="A239" s="50">
        <v>4002292</v>
      </c>
      <c r="B239" s="50" t="s">
        <v>1750</v>
      </c>
      <c r="C239" s="50" t="s">
        <v>1174</v>
      </c>
      <c r="D239" s="50">
        <v>10050103</v>
      </c>
      <c r="E239" s="50" t="s">
        <v>3290</v>
      </c>
      <c r="F239" s="50" t="s">
        <v>1173</v>
      </c>
      <c r="G239" s="50" t="s">
        <v>258</v>
      </c>
      <c r="H239" s="50" t="s">
        <v>24</v>
      </c>
      <c r="I239" s="50" t="s">
        <v>258</v>
      </c>
      <c r="J239" s="52">
        <v>9.77</v>
      </c>
      <c r="K239" s="54">
        <v>895</v>
      </c>
      <c r="L239" s="54">
        <v>10223</v>
      </c>
      <c r="M239" s="54">
        <v>24</v>
      </c>
      <c r="N239" s="56">
        <v>0.49740000000000001</v>
      </c>
      <c r="O239" s="50"/>
      <c r="P239" s="52">
        <v>100136.7</v>
      </c>
      <c r="Q239" s="54">
        <v>21</v>
      </c>
      <c r="R239" s="52">
        <v>5</v>
      </c>
      <c r="S239" s="52">
        <v>105</v>
      </c>
      <c r="T239" s="58"/>
      <c r="U239" s="54"/>
    </row>
    <row r="240" spans="1:21" x14ac:dyDescent="0.35">
      <c r="A240" s="51">
        <v>4002298</v>
      </c>
      <c r="B240" s="51" t="s">
        <v>1752</v>
      </c>
      <c r="C240" s="51" t="s">
        <v>1174</v>
      </c>
      <c r="D240" s="51">
        <v>10080401</v>
      </c>
      <c r="E240" s="51" t="s">
        <v>3336</v>
      </c>
      <c r="F240" s="51" t="s">
        <v>1173</v>
      </c>
      <c r="G240" s="51" t="s">
        <v>289</v>
      </c>
      <c r="H240" s="51" t="s">
        <v>141</v>
      </c>
      <c r="I240" s="51" t="s">
        <v>258</v>
      </c>
      <c r="J240" s="53">
        <v>17.170000000000002</v>
      </c>
      <c r="K240" s="55">
        <v>230</v>
      </c>
      <c r="L240" s="55">
        <v>10613</v>
      </c>
      <c r="M240" s="55">
        <v>24</v>
      </c>
      <c r="N240" s="57">
        <v>0.36209999999999998</v>
      </c>
      <c r="O240" s="51"/>
      <c r="P240" s="53"/>
      <c r="Q240" s="55"/>
      <c r="R240" s="53"/>
      <c r="S240" s="53"/>
      <c r="T240" s="59"/>
      <c r="U240" s="55"/>
    </row>
    <row r="241" spans="1:21" x14ac:dyDescent="0.35">
      <c r="A241" s="50">
        <v>4002333</v>
      </c>
      <c r="B241" s="50" t="s">
        <v>1758</v>
      </c>
      <c r="C241" s="50" t="s">
        <v>1174</v>
      </c>
      <c r="D241" s="50">
        <v>10050109</v>
      </c>
      <c r="E241" s="50" t="s">
        <v>3294</v>
      </c>
      <c r="F241" s="50" t="s">
        <v>1173</v>
      </c>
      <c r="G241" s="50" t="s">
        <v>289</v>
      </c>
      <c r="H241" s="50" t="s">
        <v>141</v>
      </c>
      <c r="I241" s="50"/>
      <c r="J241" s="52">
        <v>0.20300000000000001</v>
      </c>
      <c r="K241" s="54">
        <v>7400</v>
      </c>
      <c r="L241" s="54">
        <v>555500</v>
      </c>
      <c r="M241" s="54">
        <v>20</v>
      </c>
      <c r="N241" s="56">
        <v>0.51219999999999999</v>
      </c>
      <c r="O241" s="50"/>
      <c r="P241" s="52"/>
      <c r="Q241" s="54"/>
      <c r="R241" s="52"/>
      <c r="S241" s="52"/>
      <c r="T241" s="58"/>
      <c r="U241" s="54"/>
    </row>
    <row r="242" spans="1:21" x14ac:dyDescent="0.35">
      <c r="A242" s="51">
        <v>4002335</v>
      </c>
      <c r="B242" s="51" t="s">
        <v>1760</v>
      </c>
      <c r="C242" s="51" t="s">
        <v>1174</v>
      </c>
      <c r="D242" s="51">
        <v>10050611</v>
      </c>
      <c r="E242" s="51" t="s">
        <v>3319</v>
      </c>
      <c r="F242" s="51" t="s">
        <v>1173</v>
      </c>
      <c r="G242" s="51" t="s">
        <v>271</v>
      </c>
      <c r="H242" s="51" t="s">
        <v>141</v>
      </c>
      <c r="I242" s="51" t="s">
        <v>258</v>
      </c>
      <c r="J242" s="53">
        <v>8.9700000000000006</v>
      </c>
      <c r="K242" s="55">
        <v>160</v>
      </c>
      <c r="L242" s="55">
        <v>40670</v>
      </c>
      <c r="M242" s="55">
        <v>24</v>
      </c>
      <c r="N242" s="57">
        <v>6.8599999999999994E-2</v>
      </c>
      <c r="O242" s="51"/>
      <c r="P242" s="53"/>
      <c r="Q242" s="55"/>
      <c r="R242" s="53"/>
      <c r="S242" s="53"/>
      <c r="T242" s="59"/>
      <c r="U242" s="55"/>
    </row>
    <row r="243" spans="1:21" x14ac:dyDescent="0.35">
      <c r="A243" s="50">
        <v>4002344</v>
      </c>
      <c r="B243" s="50" t="s">
        <v>1762</v>
      </c>
      <c r="C243" s="50" t="s">
        <v>1174</v>
      </c>
      <c r="D243" s="50">
        <v>10050801</v>
      </c>
      <c r="E243" s="50" t="s">
        <v>3321</v>
      </c>
      <c r="F243" s="50" t="s">
        <v>1178</v>
      </c>
      <c r="G243" s="50" t="s">
        <v>258</v>
      </c>
      <c r="H243" s="50" t="s">
        <v>141</v>
      </c>
      <c r="I243" s="50" t="s">
        <v>258</v>
      </c>
      <c r="J243" s="52">
        <v>155.1</v>
      </c>
      <c r="K243" s="54">
        <v>20</v>
      </c>
      <c r="L243" s="54">
        <v>317</v>
      </c>
      <c r="M243" s="54">
        <v>24</v>
      </c>
      <c r="N243" s="56">
        <v>0.35170000000000001</v>
      </c>
      <c r="O243" s="50"/>
      <c r="P243" s="52">
        <v>46530</v>
      </c>
      <c r="Q243" s="54">
        <v>15</v>
      </c>
      <c r="R243" s="52">
        <v>20</v>
      </c>
      <c r="S243" s="52">
        <v>280</v>
      </c>
      <c r="T243" s="58"/>
      <c r="U243" s="54"/>
    </row>
    <row r="244" spans="1:21" x14ac:dyDescent="0.35">
      <c r="A244" s="51">
        <v>4002345</v>
      </c>
      <c r="B244" s="51" t="s">
        <v>1764</v>
      </c>
      <c r="C244" s="51" t="s">
        <v>1174</v>
      </c>
      <c r="D244" s="51">
        <v>10050303</v>
      </c>
      <c r="E244" s="51" t="s">
        <v>3296</v>
      </c>
      <c r="F244" s="51" t="s">
        <v>1177</v>
      </c>
      <c r="G244" s="51" t="s">
        <v>289</v>
      </c>
      <c r="H244" s="51" t="s">
        <v>141</v>
      </c>
      <c r="I244" s="51" t="s">
        <v>289</v>
      </c>
      <c r="J244" s="53">
        <v>12.31</v>
      </c>
      <c r="K244" s="55">
        <v>93</v>
      </c>
      <c r="L244" s="55">
        <v>11242</v>
      </c>
      <c r="M244" s="55">
        <v>24</v>
      </c>
      <c r="N244" s="57">
        <v>0.29880000000000001</v>
      </c>
      <c r="O244" s="51"/>
      <c r="P244" s="53"/>
      <c r="Q244" s="55"/>
      <c r="R244" s="53"/>
      <c r="S244" s="53"/>
      <c r="T244" s="59"/>
      <c r="U244" s="55"/>
    </row>
    <row r="245" spans="1:21" x14ac:dyDescent="0.35">
      <c r="A245" s="50">
        <v>4002446</v>
      </c>
      <c r="B245" s="50" t="s">
        <v>1770</v>
      </c>
      <c r="C245" s="50" t="s">
        <v>1174</v>
      </c>
      <c r="D245" s="50">
        <v>10040101</v>
      </c>
      <c r="E245" s="50" t="s">
        <v>3279</v>
      </c>
      <c r="F245" s="50" t="s">
        <v>1173</v>
      </c>
      <c r="G245" s="50" t="s">
        <v>271</v>
      </c>
      <c r="H245" s="50" t="s">
        <v>141</v>
      </c>
      <c r="I245" s="50" t="s">
        <v>258</v>
      </c>
      <c r="J245" s="52">
        <v>1.3</v>
      </c>
      <c r="K245" s="54">
        <v>7760</v>
      </c>
      <c r="L245" s="54">
        <v>319941</v>
      </c>
      <c r="M245" s="54">
        <v>24</v>
      </c>
      <c r="N245" s="56">
        <v>9.4299999999999995E-2</v>
      </c>
      <c r="O245" s="50"/>
      <c r="P245" s="52"/>
      <c r="Q245" s="54"/>
      <c r="R245" s="52"/>
      <c r="S245" s="52"/>
      <c r="T245" s="58"/>
      <c r="U245" s="54"/>
    </row>
    <row r="246" spans="1:21" x14ac:dyDescent="0.35">
      <c r="A246" s="51">
        <v>4002462</v>
      </c>
      <c r="B246" s="51" t="s">
        <v>1772</v>
      </c>
      <c r="C246" s="51" t="s">
        <v>1174</v>
      </c>
      <c r="D246" s="51">
        <v>10050103</v>
      </c>
      <c r="E246" s="51" t="s">
        <v>3290</v>
      </c>
      <c r="F246" s="51" t="s">
        <v>1173</v>
      </c>
      <c r="G246" s="51" t="s">
        <v>289</v>
      </c>
      <c r="H246" s="51" t="s">
        <v>24</v>
      </c>
      <c r="I246" s="51" t="s">
        <v>258</v>
      </c>
      <c r="J246" s="53">
        <v>4.71</v>
      </c>
      <c r="K246" s="55">
        <v>2950</v>
      </c>
      <c r="L246" s="55">
        <v>69500</v>
      </c>
      <c r="M246" s="55">
        <v>24</v>
      </c>
      <c r="N246" s="57">
        <v>0.21310000000000001</v>
      </c>
      <c r="O246" s="51"/>
      <c r="P246" s="53"/>
      <c r="Q246" s="55"/>
      <c r="R246" s="53"/>
      <c r="S246" s="53"/>
      <c r="T246" s="59"/>
      <c r="U246" s="55"/>
    </row>
    <row r="247" spans="1:21" x14ac:dyDescent="0.35">
      <c r="A247" s="50">
        <v>4002465</v>
      </c>
      <c r="B247" s="50" t="s">
        <v>1774</v>
      </c>
      <c r="C247" s="50" t="s">
        <v>1174</v>
      </c>
      <c r="D247" s="50">
        <v>10050604</v>
      </c>
      <c r="E247" s="50" t="s">
        <v>3312</v>
      </c>
      <c r="F247" s="50" t="s">
        <v>1180</v>
      </c>
      <c r="G247" s="50" t="s">
        <v>289</v>
      </c>
      <c r="H247" s="50" t="s">
        <v>141</v>
      </c>
      <c r="I247" s="50" t="s">
        <v>258</v>
      </c>
      <c r="J247" s="52">
        <v>3.98</v>
      </c>
      <c r="K247" s="54">
        <v>1000</v>
      </c>
      <c r="L247" s="54">
        <v>39850</v>
      </c>
      <c r="M247" s="54">
        <v>24</v>
      </c>
      <c r="N247" s="56">
        <v>0.25</v>
      </c>
      <c r="O247" s="50"/>
      <c r="P247" s="52"/>
      <c r="Q247" s="54"/>
      <c r="R247" s="52"/>
      <c r="S247" s="52"/>
      <c r="T247" s="58"/>
      <c r="U247" s="54"/>
    </row>
    <row r="248" spans="1:21" x14ac:dyDescent="0.35">
      <c r="A248" s="51">
        <v>4002466</v>
      </c>
      <c r="B248" s="51" t="s">
        <v>1776</v>
      </c>
      <c r="C248" s="51" t="s">
        <v>1174</v>
      </c>
      <c r="D248" s="51">
        <v>10050604</v>
      </c>
      <c r="E248" s="51" t="s">
        <v>3312</v>
      </c>
      <c r="F248" s="51" t="s">
        <v>1180</v>
      </c>
      <c r="G248" s="51" t="s">
        <v>271</v>
      </c>
      <c r="H248" s="51" t="s">
        <v>141</v>
      </c>
      <c r="I248" s="51" t="s">
        <v>258</v>
      </c>
      <c r="J248" s="53">
        <v>3.94</v>
      </c>
      <c r="K248" s="55">
        <v>650</v>
      </c>
      <c r="L248" s="55">
        <v>110000</v>
      </c>
      <c r="M248" s="55">
        <v>24</v>
      </c>
      <c r="N248" s="57">
        <v>0.14050000000000001</v>
      </c>
      <c r="O248" s="51"/>
      <c r="P248" s="53"/>
      <c r="Q248" s="55"/>
      <c r="R248" s="53"/>
      <c r="S248" s="53"/>
      <c r="T248" s="59"/>
      <c r="U248" s="55"/>
    </row>
    <row r="249" spans="1:21" x14ac:dyDescent="0.35">
      <c r="A249" s="50">
        <v>4002467</v>
      </c>
      <c r="B249" s="50" t="s">
        <v>1778</v>
      </c>
      <c r="C249" s="50" t="s">
        <v>1174</v>
      </c>
      <c r="D249" s="50">
        <v>10050604</v>
      </c>
      <c r="E249" s="50" t="s">
        <v>3312</v>
      </c>
      <c r="F249" s="50" t="s">
        <v>1180</v>
      </c>
      <c r="G249" s="50" t="s">
        <v>289</v>
      </c>
      <c r="H249" s="50" t="s">
        <v>141</v>
      </c>
      <c r="I249" s="50" t="s">
        <v>258</v>
      </c>
      <c r="J249" s="52">
        <v>3.98</v>
      </c>
      <c r="K249" s="54">
        <v>550</v>
      </c>
      <c r="L249" s="54">
        <v>46900</v>
      </c>
      <c r="M249" s="54">
        <v>24</v>
      </c>
      <c r="N249" s="56">
        <v>0.2044</v>
      </c>
      <c r="O249" s="50"/>
      <c r="P249" s="52"/>
      <c r="Q249" s="54"/>
      <c r="R249" s="52"/>
      <c r="S249" s="52"/>
      <c r="T249" s="58"/>
      <c r="U249" s="54"/>
    </row>
    <row r="250" spans="1:21" x14ac:dyDescent="0.35">
      <c r="A250" s="51">
        <v>4002468</v>
      </c>
      <c r="B250" s="51" t="s">
        <v>1780</v>
      </c>
      <c r="C250" s="51" t="s">
        <v>1174</v>
      </c>
      <c r="D250" s="51">
        <v>10050604</v>
      </c>
      <c r="E250" s="51" t="s">
        <v>3312</v>
      </c>
      <c r="F250" s="51" t="s">
        <v>1180</v>
      </c>
      <c r="G250" s="51" t="s">
        <v>289</v>
      </c>
      <c r="H250" s="51" t="s">
        <v>141</v>
      </c>
      <c r="I250" s="51" t="s">
        <v>258</v>
      </c>
      <c r="J250" s="53">
        <v>4.01</v>
      </c>
      <c r="K250" s="55">
        <v>500</v>
      </c>
      <c r="L250" s="55">
        <v>21050</v>
      </c>
      <c r="M250" s="55">
        <v>24</v>
      </c>
      <c r="N250" s="57">
        <v>0.23039999999999999</v>
      </c>
      <c r="O250" s="51"/>
      <c r="P250" s="53"/>
      <c r="Q250" s="55"/>
      <c r="R250" s="53"/>
      <c r="S250" s="53"/>
      <c r="T250" s="59"/>
      <c r="U250" s="55"/>
    </row>
    <row r="251" spans="1:21" x14ac:dyDescent="0.35">
      <c r="A251" s="50">
        <v>4002472</v>
      </c>
      <c r="B251" s="50" t="s">
        <v>1782</v>
      </c>
      <c r="C251" s="50" t="s">
        <v>1174</v>
      </c>
      <c r="D251" s="50">
        <v>10050611</v>
      </c>
      <c r="E251" s="50" t="s">
        <v>3319</v>
      </c>
      <c r="F251" s="50" t="s">
        <v>1173</v>
      </c>
      <c r="G251" s="50" t="s">
        <v>271</v>
      </c>
      <c r="H251" s="50" t="s">
        <v>141</v>
      </c>
      <c r="I251" s="50" t="s">
        <v>289</v>
      </c>
      <c r="J251" s="52">
        <v>6.55</v>
      </c>
      <c r="K251" s="54">
        <v>2954</v>
      </c>
      <c r="L251" s="54">
        <v>91046</v>
      </c>
      <c r="M251" s="54">
        <v>24</v>
      </c>
      <c r="N251" s="56">
        <v>0.13750000000000001</v>
      </c>
      <c r="O251" s="50"/>
      <c r="P251" s="52"/>
      <c r="Q251" s="54"/>
      <c r="R251" s="52"/>
      <c r="S251" s="52"/>
      <c r="T251" s="58"/>
      <c r="U251" s="54"/>
    </row>
    <row r="252" spans="1:21" x14ac:dyDescent="0.35">
      <c r="A252" s="51">
        <v>4002475</v>
      </c>
      <c r="B252" s="51" t="s">
        <v>1784</v>
      </c>
      <c r="C252" s="51" t="s">
        <v>1174</v>
      </c>
      <c r="D252" s="51">
        <v>10050801</v>
      </c>
      <c r="E252" s="51" t="s">
        <v>3321</v>
      </c>
      <c r="F252" s="51" t="s">
        <v>1178</v>
      </c>
      <c r="G252" s="51" t="s">
        <v>258</v>
      </c>
      <c r="H252" s="51"/>
      <c r="I252" s="51" t="s">
        <v>258</v>
      </c>
      <c r="J252" s="53">
        <v>28</v>
      </c>
      <c r="K252" s="55">
        <v>55</v>
      </c>
      <c r="L252" s="55">
        <v>319</v>
      </c>
      <c r="M252" s="55">
        <v>24</v>
      </c>
      <c r="N252" s="57">
        <v>0.627</v>
      </c>
      <c r="O252" s="51"/>
      <c r="P252" s="53">
        <v>9408</v>
      </c>
      <c r="Q252" s="55">
        <v>7</v>
      </c>
      <c r="R252" s="53">
        <v>48</v>
      </c>
      <c r="S252" s="53">
        <v>336</v>
      </c>
      <c r="T252" s="59"/>
      <c r="U252" s="55"/>
    </row>
    <row r="253" spans="1:21" x14ac:dyDescent="0.35">
      <c r="A253" s="50">
        <v>4002477</v>
      </c>
      <c r="B253" s="50" t="s">
        <v>1786</v>
      </c>
      <c r="C253" s="50" t="s">
        <v>1174</v>
      </c>
      <c r="D253" s="50">
        <v>10030906</v>
      </c>
      <c r="E253" s="50" t="s">
        <v>3274</v>
      </c>
      <c r="F253" s="50" t="s">
        <v>1179</v>
      </c>
      <c r="G253" s="50" t="s">
        <v>258</v>
      </c>
      <c r="H253" s="50" t="s">
        <v>757</v>
      </c>
      <c r="I253" s="50" t="s">
        <v>258</v>
      </c>
      <c r="J253" s="52">
        <v>2.84</v>
      </c>
      <c r="K253" s="54">
        <v>880</v>
      </c>
      <c r="L253" s="54">
        <v>20441</v>
      </c>
      <c r="M253" s="54">
        <v>24</v>
      </c>
      <c r="N253" s="56">
        <v>0.27329999999999999</v>
      </c>
      <c r="O253" s="50"/>
      <c r="P253" s="52">
        <v>40800</v>
      </c>
      <c r="Q253" s="54">
        <v>34</v>
      </c>
      <c r="R253" s="52">
        <v>12</v>
      </c>
      <c r="S253" s="52">
        <v>408</v>
      </c>
      <c r="T253" s="58"/>
      <c r="U253" s="54"/>
    </row>
    <row r="254" spans="1:21" x14ac:dyDescent="0.35">
      <c r="A254" s="51">
        <v>4002481</v>
      </c>
      <c r="B254" s="51" t="s">
        <v>1788</v>
      </c>
      <c r="C254" s="51" t="s">
        <v>1174</v>
      </c>
      <c r="D254" s="51">
        <v>10050503</v>
      </c>
      <c r="E254" s="51" t="s">
        <v>3304</v>
      </c>
      <c r="F254" s="51" t="s">
        <v>1173</v>
      </c>
      <c r="G254" s="51" t="s">
        <v>258</v>
      </c>
      <c r="H254" s="51" t="s">
        <v>141</v>
      </c>
      <c r="I254" s="51" t="s">
        <v>258</v>
      </c>
      <c r="J254" s="53">
        <v>22.92</v>
      </c>
      <c r="K254" s="55">
        <v>56</v>
      </c>
      <c r="L254" s="55">
        <v>720</v>
      </c>
      <c r="M254" s="55">
        <v>24</v>
      </c>
      <c r="N254" s="57">
        <v>0.61670000000000003</v>
      </c>
      <c r="O254" s="51"/>
      <c r="P254" s="53">
        <v>13475</v>
      </c>
      <c r="Q254" s="55">
        <v>12</v>
      </c>
      <c r="R254" s="53">
        <v>2</v>
      </c>
      <c r="S254" s="53">
        <v>24</v>
      </c>
      <c r="T254" s="59"/>
      <c r="U254" s="55"/>
    </row>
    <row r="255" spans="1:21" x14ac:dyDescent="0.35">
      <c r="A255" s="50">
        <v>4002482</v>
      </c>
      <c r="B255" s="50" t="s">
        <v>1790</v>
      </c>
      <c r="C255" s="50" t="s">
        <v>1174</v>
      </c>
      <c r="D255" s="50">
        <v>10050109</v>
      </c>
      <c r="E255" s="50" t="s">
        <v>3294</v>
      </c>
      <c r="F255" s="50" t="s">
        <v>1173</v>
      </c>
      <c r="G255" s="50" t="s">
        <v>258</v>
      </c>
      <c r="H255" s="50" t="s">
        <v>141</v>
      </c>
      <c r="I255" s="50" t="s">
        <v>258</v>
      </c>
      <c r="J255" s="52">
        <v>0.17050000000000001</v>
      </c>
      <c r="K255" s="54">
        <v>500</v>
      </c>
      <c r="L255" s="54">
        <v>25303</v>
      </c>
      <c r="M255" s="54">
        <v>24</v>
      </c>
      <c r="N255" s="56">
        <v>0.36109999999999998</v>
      </c>
      <c r="O255" s="50"/>
      <c r="P255" s="52">
        <v>4828.8</v>
      </c>
      <c r="Q255" s="54">
        <v>40</v>
      </c>
      <c r="R255" s="52">
        <v>6</v>
      </c>
      <c r="S255" s="52">
        <v>246</v>
      </c>
      <c r="T255" s="58"/>
      <c r="U255" s="54"/>
    </row>
    <row r="256" spans="1:21" x14ac:dyDescent="0.35">
      <c r="A256" s="51">
        <v>4002491</v>
      </c>
      <c r="B256" s="51" t="s">
        <v>1794</v>
      </c>
      <c r="C256" s="51" t="s">
        <v>1174</v>
      </c>
      <c r="D256" s="51">
        <v>10050505</v>
      </c>
      <c r="E256" s="51" t="s">
        <v>3306</v>
      </c>
      <c r="F256" s="51" t="s">
        <v>1173</v>
      </c>
      <c r="G256" s="51" t="s">
        <v>258</v>
      </c>
      <c r="H256" s="51" t="s">
        <v>141</v>
      </c>
      <c r="I256" s="51" t="s">
        <v>258</v>
      </c>
      <c r="J256" s="53">
        <v>4.1900000000000004</v>
      </c>
      <c r="K256" s="55">
        <v>253</v>
      </c>
      <c r="L256" s="55">
        <v>3433</v>
      </c>
      <c r="M256" s="55">
        <v>24</v>
      </c>
      <c r="N256" s="57">
        <v>0.53080000000000005</v>
      </c>
      <c r="O256" s="51"/>
      <c r="P256" s="53">
        <v>47938</v>
      </c>
      <c r="Q256" s="55">
        <v>36</v>
      </c>
      <c r="R256" s="53">
        <v>1</v>
      </c>
      <c r="S256" s="53">
        <v>37</v>
      </c>
      <c r="T256" s="59"/>
      <c r="U256" s="55"/>
    </row>
    <row r="257" spans="1:21" x14ac:dyDescent="0.35">
      <c r="A257" s="50">
        <v>4002546</v>
      </c>
      <c r="B257" s="50" t="s">
        <v>1799</v>
      </c>
      <c r="C257" s="50" t="s">
        <v>1174</v>
      </c>
      <c r="D257" s="50">
        <v>10050801</v>
      </c>
      <c r="E257" s="50" t="s">
        <v>3321</v>
      </c>
      <c r="F257" s="50" t="s">
        <v>1173</v>
      </c>
      <c r="G257" s="50" t="s">
        <v>258</v>
      </c>
      <c r="H257" s="50"/>
      <c r="I257" s="50" t="s">
        <v>258</v>
      </c>
      <c r="J257" s="52">
        <v>1.48</v>
      </c>
      <c r="K257" s="54">
        <v>850</v>
      </c>
      <c r="L257" s="54">
        <v>6400</v>
      </c>
      <c r="M257" s="54">
        <v>24</v>
      </c>
      <c r="N257" s="56">
        <v>0.63039999999999996</v>
      </c>
      <c r="O257" s="50"/>
      <c r="P257" s="52">
        <v>8640</v>
      </c>
      <c r="Q257" s="54">
        <v>16</v>
      </c>
      <c r="R257" s="52">
        <v>8</v>
      </c>
      <c r="S257" s="52">
        <v>128</v>
      </c>
      <c r="T257" s="58"/>
      <c r="U257" s="54"/>
    </row>
    <row r="258" spans="1:21" x14ac:dyDescent="0.35">
      <c r="A258" s="51">
        <v>4002621</v>
      </c>
      <c r="B258" s="51" t="s">
        <v>1801</v>
      </c>
      <c r="C258" s="51" t="s">
        <v>1174</v>
      </c>
      <c r="D258" s="51">
        <v>10050801</v>
      </c>
      <c r="E258" s="51" t="s">
        <v>3321</v>
      </c>
      <c r="F258" s="51" t="s">
        <v>1173</v>
      </c>
      <c r="G258" s="51" t="s">
        <v>289</v>
      </c>
      <c r="H258" s="51"/>
      <c r="I258" s="51" t="s">
        <v>258</v>
      </c>
      <c r="J258" s="53">
        <v>130</v>
      </c>
      <c r="K258" s="55">
        <v>71</v>
      </c>
      <c r="L258" s="55">
        <v>1145</v>
      </c>
      <c r="M258" s="55">
        <v>24</v>
      </c>
      <c r="N258" s="57">
        <v>0.49659999999999999</v>
      </c>
      <c r="O258" s="51"/>
      <c r="P258" s="53"/>
      <c r="Q258" s="55"/>
      <c r="R258" s="53"/>
      <c r="S258" s="53"/>
      <c r="T258" s="59"/>
      <c r="U258" s="55"/>
    </row>
    <row r="259" spans="1:21" x14ac:dyDescent="0.35">
      <c r="A259" s="50">
        <v>4002675</v>
      </c>
      <c r="B259" s="50" t="s">
        <v>1807</v>
      </c>
      <c r="C259" s="50" t="s">
        <v>1174</v>
      </c>
      <c r="D259" s="50">
        <v>10050306</v>
      </c>
      <c r="E259" s="50" t="s">
        <v>3298</v>
      </c>
      <c r="F259" s="50" t="s">
        <v>1177</v>
      </c>
      <c r="G259" s="50" t="s">
        <v>258</v>
      </c>
      <c r="H259" s="50" t="s">
        <v>141</v>
      </c>
      <c r="I259" s="50" t="s">
        <v>258</v>
      </c>
      <c r="J259" s="52">
        <v>16.23</v>
      </c>
      <c r="K259" s="54">
        <v>35</v>
      </c>
      <c r="L259" s="54">
        <v>692</v>
      </c>
      <c r="M259" s="54">
        <v>24</v>
      </c>
      <c r="N259" s="56">
        <v>0.51370000000000005</v>
      </c>
      <c r="O259" s="50"/>
      <c r="P259" s="52">
        <v>3584</v>
      </c>
      <c r="Q259" s="54">
        <v>8</v>
      </c>
      <c r="R259" s="52">
        <v>4</v>
      </c>
      <c r="S259" s="52">
        <v>32</v>
      </c>
      <c r="T259" s="58"/>
      <c r="U259" s="54"/>
    </row>
    <row r="260" spans="1:21" x14ac:dyDescent="0.35">
      <c r="A260" s="51">
        <v>4002677</v>
      </c>
      <c r="B260" s="51" t="s">
        <v>1809</v>
      </c>
      <c r="C260" s="51" t="s">
        <v>1174</v>
      </c>
      <c r="D260" s="51">
        <v>10050801</v>
      </c>
      <c r="E260" s="51" t="s">
        <v>3321</v>
      </c>
      <c r="F260" s="51" t="s">
        <v>1173</v>
      </c>
      <c r="G260" s="51" t="s">
        <v>258</v>
      </c>
      <c r="H260" s="51"/>
      <c r="I260" s="51" t="s">
        <v>258</v>
      </c>
      <c r="J260" s="53">
        <v>24.68</v>
      </c>
      <c r="K260" s="55">
        <v>200</v>
      </c>
      <c r="L260" s="55">
        <v>3690</v>
      </c>
      <c r="M260" s="55">
        <v>24</v>
      </c>
      <c r="N260" s="57">
        <v>0.2974</v>
      </c>
      <c r="O260" s="51"/>
      <c r="P260" s="53">
        <v>60480</v>
      </c>
      <c r="Q260" s="55">
        <v>12</v>
      </c>
      <c r="R260" s="53">
        <v>24</v>
      </c>
      <c r="S260" s="53">
        <v>288</v>
      </c>
      <c r="T260" s="59"/>
      <c r="U260" s="55"/>
    </row>
    <row r="261" spans="1:21" x14ac:dyDescent="0.35">
      <c r="A261" s="50">
        <v>4002679</v>
      </c>
      <c r="B261" s="50" t="s">
        <v>1811</v>
      </c>
      <c r="C261" s="50" t="s">
        <v>1174</v>
      </c>
      <c r="D261" s="50">
        <v>10050504</v>
      </c>
      <c r="E261" s="50" t="s">
        <v>3305</v>
      </c>
      <c r="F261" s="50" t="s">
        <v>1173</v>
      </c>
      <c r="G261" s="50" t="s">
        <v>271</v>
      </c>
      <c r="H261" s="50"/>
      <c r="I261" s="50" t="s">
        <v>258</v>
      </c>
      <c r="J261" s="52">
        <v>20.2</v>
      </c>
      <c r="K261" s="54">
        <v>850</v>
      </c>
      <c r="L261" s="54">
        <v>45075</v>
      </c>
      <c r="M261" s="54">
        <v>24</v>
      </c>
      <c r="N261" s="56">
        <v>0.32329999999999998</v>
      </c>
      <c r="O261" s="50"/>
      <c r="P261" s="52"/>
      <c r="Q261" s="54"/>
      <c r="R261" s="52"/>
      <c r="S261" s="52"/>
      <c r="T261" s="58">
        <v>3</v>
      </c>
      <c r="U261" s="54">
        <v>1</v>
      </c>
    </row>
    <row r="262" spans="1:21" x14ac:dyDescent="0.35">
      <c r="A262" s="51">
        <v>4002684</v>
      </c>
      <c r="B262" s="51" t="s">
        <v>1815</v>
      </c>
      <c r="C262" s="51" t="s">
        <v>1174</v>
      </c>
      <c r="D262" s="51">
        <v>10050801</v>
      </c>
      <c r="E262" s="51" t="s">
        <v>3321</v>
      </c>
      <c r="F262" s="51" t="s">
        <v>1173</v>
      </c>
      <c r="G262" s="51" t="s">
        <v>271</v>
      </c>
      <c r="H262" s="51"/>
      <c r="I262" s="51" t="s">
        <v>258</v>
      </c>
      <c r="J262" s="53">
        <v>77.489999999999995</v>
      </c>
      <c r="K262" s="55">
        <v>77</v>
      </c>
      <c r="L262" s="55">
        <v>4511</v>
      </c>
      <c r="M262" s="55">
        <v>24</v>
      </c>
      <c r="N262" s="57">
        <v>0.20330000000000001</v>
      </c>
      <c r="O262" s="51"/>
      <c r="P262" s="53">
        <v>272300</v>
      </c>
      <c r="Q262" s="55">
        <v>35</v>
      </c>
      <c r="R262" s="53">
        <v>20</v>
      </c>
      <c r="S262" s="53">
        <v>700</v>
      </c>
      <c r="T262" s="59"/>
      <c r="U262" s="55"/>
    </row>
    <row r="263" spans="1:21" x14ac:dyDescent="0.35">
      <c r="A263" s="50">
        <v>4002688</v>
      </c>
      <c r="B263" s="50" t="s">
        <v>1821</v>
      </c>
      <c r="C263" s="50" t="s">
        <v>1174</v>
      </c>
      <c r="D263" s="50">
        <v>10050801</v>
      </c>
      <c r="E263" s="50" t="s">
        <v>3321</v>
      </c>
      <c r="F263" s="50" t="s">
        <v>1173</v>
      </c>
      <c r="G263" s="50" t="s">
        <v>289</v>
      </c>
      <c r="H263" s="50"/>
      <c r="I263" s="50" t="s">
        <v>258</v>
      </c>
      <c r="J263" s="52">
        <v>84.86</v>
      </c>
      <c r="K263" s="54">
        <v>129</v>
      </c>
      <c r="L263" s="54">
        <v>2658</v>
      </c>
      <c r="M263" s="54">
        <v>24</v>
      </c>
      <c r="N263" s="56">
        <v>0.29139999999999999</v>
      </c>
      <c r="O263" s="50"/>
      <c r="P263" s="52"/>
      <c r="Q263" s="54"/>
      <c r="R263" s="52"/>
      <c r="S263" s="52"/>
      <c r="T263" s="58"/>
      <c r="U263" s="54"/>
    </row>
    <row r="264" spans="1:21" x14ac:dyDescent="0.35">
      <c r="A264" s="51">
        <v>4002709</v>
      </c>
      <c r="B264" s="51" t="s">
        <v>1823</v>
      </c>
      <c r="C264" s="51" t="s">
        <v>1174</v>
      </c>
      <c r="D264" s="51">
        <v>10050108</v>
      </c>
      <c r="E264" s="51" t="s">
        <v>3293</v>
      </c>
      <c r="F264" s="51" t="s">
        <v>1173</v>
      </c>
      <c r="G264" s="51" t="s">
        <v>258</v>
      </c>
      <c r="H264" s="51" t="s">
        <v>24</v>
      </c>
      <c r="I264" s="51" t="s">
        <v>258</v>
      </c>
      <c r="J264" s="53">
        <v>8.08</v>
      </c>
      <c r="K264" s="55">
        <v>550</v>
      </c>
      <c r="L264" s="55">
        <v>2700</v>
      </c>
      <c r="M264" s="55">
        <v>21</v>
      </c>
      <c r="N264" s="57">
        <v>0.53290000000000004</v>
      </c>
      <c r="O264" s="51"/>
      <c r="P264" s="53">
        <v>21765.599999999999</v>
      </c>
      <c r="Q264" s="55">
        <v>9</v>
      </c>
      <c r="R264" s="53">
        <v>6</v>
      </c>
      <c r="S264" s="53">
        <v>54</v>
      </c>
      <c r="T264" s="59"/>
      <c r="U264" s="55"/>
    </row>
    <row r="265" spans="1:21" x14ac:dyDescent="0.35">
      <c r="A265" s="50">
        <v>4002737</v>
      </c>
      <c r="B265" s="50" t="s">
        <v>1825</v>
      </c>
      <c r="C265" s="50" t="s">
        <v>1174</v>
      </c>
      <c r="D265" s="50">
        <v>10030703</v>
      </c>
      <c r="E265" s="50" t="s">
        <v>3265</v>
      </c>
      <c r="F265" s="50" t="s">
        <v>1173</v>
      </c>
      <c r="G265" s="50"/>
      <c r="H265" s="50" t="s">
        <v>24</v>
      </c>
      <c r="I265" s="50"/>
      <c r="J265" s="52">
        <v>164.7</v>
      </c>
      <c r="K265" s="54">
        <v>155</v>
      </c>
      <c r="L265" s="54">
        <v>515</v>
      </c>
      <c r="M265" s="54">
        <v>17</v>
      </c>
      <c r="N265" s="56">
        <v>0.8387</v>
      </c>
      <c r="O265" s="50"/>
      <c r="P265" s="52">
        <v>103341.68</v>
      </c>
      <c r="Q265" s="54">
        <v>14</v>
      </c>
      <c r="R265" s="52">
        <v>9.14</v>
      </c>
      <c r="S265" s="52">
        <v>128</v>
      </c>
      <c r="T265" s="58"/>
      <c r="U265" s="54"/>
    </row>
    <row r="266" spans="1:21" x14ac:dyDescent="0.35">
      <c r="A266" s="51">
        <v>4002738</v>
      </c>
      <c r="B266" s="51" t="s">
        <v>1827</v>
      </c>
      <c r="C266" s="51" t="s">
        <v>1174</v>
      </c>
      <c r="D266" s="51">
        <v>10030703</v>
      </c>
      <c r="E266" s="51" t="s">
        <v>3265</v>
      </c>
      <c r="F266" s="51" t="s">
        <v>1173</v>
      </c>
      <c r="G266" s="51"/>
      <c r="H266" s="51" t="s">
        <v>24</v>
      </c>
      <c r="I266" s="51"/>
      <c r="J266" s="53">
        <v>170.23</v>
      </c>
      <c r="K266" s="55">
        <v>135</v>
      </c>
      <c r="L266" s="55">
        <v>3410</v>
      </c>
      <c r="M266" s="55">
        <v>17</v>
      </c>
      <c r="N266" s="57">
        <v>0.7258</v>
      </c>
      <c r="O266" s="51"/>
      <c r="P266" s="53">
        <v>253856</v>
      </c>
      <c r="Q266" s="55">
        <v>2</v>
      </c>
      <c r="R266" s="53">
        <v>160</v>
      </c>
      <c r="S266" s="53">
        <v>320</v>
      </c>
      <c r="T266" s="59"/>
      <c r="U266" s="55"/>
    </row>
    <row r="267" spans="1:21" x14ac:dyDescent="0.35">
      <c r="A267" s="50">
        <v>4002739</v>
      </c>
      <c r="B267" s="50" t="s">
        <v>1829</v>
      </c>
      <c r="C267" s="50" t="s">
        <v>1174</v>
      </c>
      <c r="D267" s="50">
        <v>10030703</v>
      </c>
      <c r="E267" s="50" t="s">
        <v>3265</v>
      </c>
      <c r="F267" s="50" t="s">
        <v>1173</v>
      </c>
      <c r="G267" s="50"/>
      <c r="H267" s="50" t="s">
        <v>24</v>
      </c>
      <c r="I267" s="50"/>
      <c r="J267" s="52">
        <v>163.24</v>
      </c>
      <c r="K267" s="54">
        <v>200</v>
      </c>
      <c r="L267" s="54">
        <v>620</v>
      </c>
      <c r="M267" s="54">
        <v>17</v>
      </c>
      <c r="N267" s="56">
        <v>0.81289999999999996</v>
      </c>
      <c r="O267" s="50"/>
      <c r="P267" s="52">
        <v>141677.12</v>
      </c>
      <c r="Q267" s="54">
        <v>9</v>
      </c>
      <c r="R267" s="52">
        <v>19.559999999999999</v>
      </c>
      <c r="S267" s="52">
        <v>188</v>
      </c>
      <c r="T267" s="58"/>
      <c r="U267" s="54"/>
    </row>
    <row r="268" spans="1:21" x14ac:dyDescent="0.35">
      <c r="A268" s="51">
        <v>4002740</v>
      </c>
      <c r="B268" s="51" t="s">
        <v>1831</v>
      </c>
      <c r="C268" s="51" t="s">
        <v>1174</v>
      </c>
      <c r="D268" s="51">
        <v>10030703</v>
      </c>
      <c r="E268" s="51" t="s">
        <v>3265</v>
      </c>
      <c r="F268" s="51" t="s">
        <v>1173</v>
      </c>
      <c r="G268" s="51"/>
      <c r="H268" s="51" t="s">
        <v>24</v>
      </c>
      <c r="I268" s="51"/>
      <c r="J268" s="53">
        <v>115.49</v>
      </c>
      <c r="K268" s="55">
        <v>310</v>
      </c>
      <c r="L268" s="55">
        <v>1500</v>
      </c>
      <c r="M268" s="55">
        <v>15</v>
      </c>
      <c r="N268" s="57">
        <v>1.0596000000000001</v>
      </c>
      <c r="O268" s="51"/>
      <c r="P268" s="53">
        <v>199064</v>
      </c>
      <c r="Q268" s="55">
        <v>20</v>
      </c>
      <c r="R268" s="53">
        <v>8.8000000000000007</v>
      </c>
      <c r="S268" s="53">
        <v>176</v>
      </c>
      <c r="T268" s="59"/>
      <c r="U268" s="55"/>
    </row>
    <row r="269" spans="1:21" x14ac:dyDescent="0.35">
      <c r="A269" s="50">
        <v>4002741</v>
      </c>
      <c r="B269" s="50" t="s">
        <v>1833</v>
      </c>
      <c r="C269" s="50" t="s">
        <v>1174</v>
      </c>
      <c r="D269" s="50">
        <v>10030703</v>
      </c>
      <c r="E269" s="50" t="s">
        <v>3265</v>
      </c>
      <c r="F269" s="50" t="s">
        <v>1173</v>
      </c>
      <c r="G269" s="50"/>
      <c r="H269" s="50" t="s">
        <v>24</v>
      </c>
      <c r="I269" s="50"/>
      <c r="J269" s="52">
        <v>115.76</v>
      </c>
      <c r="K269" s="54">
        <v>290</v>
      </c>
      <c r="L269" s="54">
        <v>2440</v>
      </c>
      <c r="M269" s="54">
        <v>16</v>
      </c>
      <c r="N269" s="56">
        <v>0.87270000000000003</v>
      </c>
      <c r="O269" s="50"/>
      <c r="P269" s="52">
        <v>309280</v>
      </c>
      <c r="Q269" s="54">
        <v>31</v>
      </c>
      <c r="R269" s="52">
        <v>8.5</v>
      </c>
      <c r="S269" s="52">
        <v>264</v>
      </c>
      <c r="T269" s="58"/>
      <c r="U269" s="54"/>
    </row>
    <row r="270" spans="1:21" x14ac:dyDescent="0.35">
      <c r="A270" s="51">
        <v>4002742</v>
      </c>
      <c r="B270" s="51" t="s">
        <v>1835</v>
      </c>
      <c r="C270" s="51" t="s">
        <v>1174</v>
      </c>
      <c r="D270" s="51">
        <v>10030703</v>
      </c>
      <c r="E270" s="51" t="s">
        <v>3265</v>
      </c>
      <c r="F270" s="51" t="s">
        <v>1173</v>
      </c>
      <c r="G270" s="51"/>
      <c r="H270" s="51" t="s">
        <v>24</v>
      </c>
      <c r="I270" s="51"/>
      <c r="J270" s="53">
        <v>441.14</v>
      </c>
      <c r="K270" s="55">
        <v>410</v>
      </c>
      <c r="L270" s="55">
        <v>3600</v>
      </c>
      <c r="M270" s="55">
        <v>14</v>
      </c>
      <c r="N270" s="57">
        <v>0.88439999999999996</v>
      </c>
      <c r="O270" s="51"/>
      <c r="P270" s="53">
        <v>1827730</v>
      </c>
      <c r="Q270" s="55">
        <v>16</v>
      </c>
      <c r="R270" s="53">
        <v>25.63</v>
      </c>
      <c r="S270" s="53">
        <v>410</v>
      </c>
      <c r="T270" s="59"/>
      <c r="U270" s="55"/>
    </row>
    <row r="271" spans="1:21" x14ac:dyDescent="0.35">
      <c r="A271" s="50">
        <v>4002743</v>
      </c>
      <c r="B271" s="50" t="s">
        <v>1837</v>
      </c>
      <c r="C271" s="50" t="s">
        <v>1174</v>
      </c>
      <c r="D271" s="50">
        <v>10030703</v>
      </c>
      <c r="E271" s="50" t="s">
        <v>3265</v>
      </c>
      <c r="F271" s="50" t="s">
        <v>1173</v>
      </c>
      <c r="G271" s="50"/>
      <c r="H271" s="50" t="s">
        <v>24</v>
      </c>
      <c r="I271" s="50"/>
      <c r="J271" s="52">
        <v>243.92</v>
      </c>
      <c r="K271" s="54">
        <v>200</v>
      </c>
      <c r="L271" s="54">
        <v>1060</v>
      </c>
      <c r="M271" s="54">
        <v>15</v>
      </c>
      <c r="N271" s="56">
        <v>0.88639999999999997</v>
      </c>
      <c r="O271" s="50"/>
      <c r="P271" s="52">
        <v>308160</v>
      </c>
      <c r="Q271" s="54">
        <v>14</v>
      </c>
      <c r="R271" s="52">
        <v>9.14</v>
      </c>
      <c r="S271" s="52">
        <v>120</v>
      </c>
      <c r="T271" s="58"/>
      <c r="U271" s="54"/>
    </row>
    <row r="272" spans="1:21" x14ac:dyDescent="0.35">
      <c r="A272" s="51">
        <v>4002745</v>
      </c>
      <c r="B272" s="51" t="s">
        <v>1839</v>
      </c>
      <c r="C272" s="51" t="s">
        <v>1174</v>
      </c>
      <c r="D272" s="51">
        <v>10030703</v>
      </c>
      <c r="E272" s="51" t="s">
        <v>3265</v>
      </c>
      <c r="F272" s="51" t="s">
        <v>1173</v>
      </c>
      <c r="G272" s="51"/>
      <c r="H272" s="51" t="s">
        <v>24</v>
      </c>
      <c r="I272" s="51"/>
      <c r="J272" s="53">
        <v>239.36</v>
      </c>
      <c r="K272" s="55">
        <v>180</v>
      </c>
      <c r="L272" s="55">
        <v>1020</v>
      </c>
      <c r="M272" s="55">
        <v>14</v>
      </c>
      <c r="N272" s="57">
        <v>0.98250000000000004</v>
      </c>
      <c r="O272" s="51"/>
      <c r="P272" s="53">
        <v>303008</v>
      </c>
      <c r="Q272" s="55">
        <v>14</v>
      </c>
      <c r="R272" s="53">
        <v>9.14</v>
      </c>
      <c r="S272" s="53">
        <v>120</v>
      </c>
      <c r="T272" s="59"/>
      <c r="U272" s="55"/>
    </row>
    <row r="273" spans="1:21" x14ac:dyDescent="0.35">
      <c r="A273" s="50">
        <v>4002809</v>
      </c>
      <c r="B273" s="50" t="s">
        <v>1841</v>
      </c>
      <c r="C273" s="50" t="s">
        <v>1174</v>
      </c>
      <c r="D273" s="50">
        <v>10050605</v>
      </c>
      <c r="E273" s="50" t="s">
        <v>3313</v>
      </c>
      <c r="F273" s="50" t="s">
        <v>1173</v>
      </c>
      <c r="G273" s="50" t="s">
        <v>271</v>
      </c>
      <c r="H273" s="50" t="s">
        <v>141</v>
      </c>
      <c r="I273" s="50" t="s">
        <v>271</v>
      </c>
      <c r="J273" s="52">
        <v>0.313</v>
      </c>
      <c r="K273" s="54">
        <v>5145</v>
      </c>
      <c r="L273" s="54">
        <v>1486090</v>
      </c>
      <c r="M273" s="54">
        <v>24</v>
      </c>
      <c r="N273" s="56">
        <v>7.9000000000000001E-2</v>
      </c>
      <c r="O273" s="50"/>
      <c r="P273" s="52"/>
      <c r="Q273" s="54"/>
      <c r="R273" s="52"/>
      <c r="S273" s="52"/>
      <c r="T273" s="58"/>
      <c r="U273" s="54"/>
    </row>
    <row r="274" spans="1:21" x14ac:dyDescent="0.35">
      <c r="A274" s="51">
        <v>4002847</v>
      </c>
      <c r="B274" s="51" t="s">
        <v>1845</v>
      </c>
      <c r="C274" s="51" t="s">
        <v>1174</v>
      </c>
      <c r="D274" s="51">
        <v>10030805</v>
      </c>
      <c r="E274" s="51" t="s">
        <v>3267</v>
      </c>
      <c r="F274" s="51" t="s">
        <v>1173</v>
      </c>
      <c r="G274" s="51" t="s">
        <v>258</v>
      </c>
      <c r="H274" s="51" t="s">
        <v>24</v>
      </c>
      <c r="I274" s="51" t="s">
        <v>258</v>
      </c>
      <c r="J274" s="53">
        <v>4.93</v>
      </c>
      <c r="K274" s="55">
        <v>120</v>
      </c>
      <c r="L274" s="55">
        <v>2826</v>
      </c>
      <c r="M274" s="55">
        <v>21</v>
      </c>
      <c r="N274" s="57">
        <v>1.7793000000000001</v>
      </c>
      <c r="O274" s="51"/>
      <c r="P274" s="53">
        <v>1217.3599999999999</v>
      </c>
      <c r="Q274" s="55">
        <v>2</v>
      </c>
      <c r="R274" s="53">
        <v>1</v>
      </c>
      <c r="S274" s="53">
        <v>2</v>
      </c>
      <c r="T274" s="59"/>
      <c r="U274" s="55"/>
    </row>
    <row r="275" spans="1:21" x14ac:dyDescent="0.35">
      <c r="A275" s="50">
        <v>4002874</v>
      </c>
      <c r="B275" s="50" t="s">
        <v>1847</v>
      </c>
      <c r="C275" s="50" t="s">
        <v>1174</v>
      </c>
      <c r="D275" s="50">
        <v>10050505</v>
      </c>
      <c r="E275" s="50" t="s">
        <v>3306</v>
      </c>
      <c r="F275" s="50" t="s">
        <v>1173</v>
      </c>
      <c r="G275" s="50" t="s">
        <v>289</v>
      </c>
      <c r="H275" s="50"/>
      <c r="I275" s="50" t="s">
        <v>258</v>
      </c>
      <c r="J275" s="52">
        <v>9.9700000000000006</v>
      </c>
      <c r="K275" s="54">
        <v>232</v>
      </c>
      <c r="L275" s="54">
        <v>20102</v>
      </c>
      <c r="M275" s="54">
        <v>24</v>
      </c>
      <c r="N275" s="56">
        <v>0.38250000000000001</v>
      </c>
      <c r="O275" s="50"/>
      <c r="P275" s="52"/>
      <c r="Q275" s="54"/>
      <c r="R275" s="52"/>
      <c r="S275" s="52"/>
      <c r="T275" s="58"/>
      <c r="U275" s="54"/>
    </row>
    <row r="276" spans="1:21" x14ac:dyDescent="0.35">
      <c r="A276" s="51">
        <v>4002898</v>
      </c>
      <c r="B276" s="51" t="s">
        <v>1849</v>
      </c>
      <c r="C276" s="51" t="s">
        <v>1174</v>
      </c>
      <c r="D276" s="51">
        <v>10030902</v>
      </c>
      <c r="E276" s="51" t="s">
        <v>3270</v>
      </c>
      <c r="F276" s="51" t="s">
        <v>1173</v>
      </c>
      <c r="G276" s="51" t="s">
        <v>271</v>
      </c>
      <c r="H276" s="51"/>
      <c r="I276" s="51" t="s">
        <v>258</v>
      </c>
      <c r="J276" s="53">
        <v>217.91</v>
      </c>
      <c r="K276" s="55">
        <v>300</v>
      </c>
      <c r="L276" s="55">
        <v>8304</v>
      </c>
      <c r="M276" s="55">
        <v>24</v>
      </c>
      <c r="N276" s="57">
        <v>0.27960000000000002</v>
      </c>
      <c r="O276" s="51"/>
      <c r="P276" s="53">
        <v>149688</v>
      </c>
      <c r="Q276" s="55">
        <v>33</v>
      </c>
      <c r="R276" s="53">
        <v>24</v>
      </c>
      <c r="S276" s="53">
        <v>796</v>
      </c>
      <c r="T276" s="59"/>
      <c r="U276" s="55"/>
    </row>
    <row r="277" spans="1:21" x14ac:dyDescent="0.35">
      <c r="A277" s="50">
        <v>4002985</v>
      </c>
      <c r="B277" s="50" t="s">
        <v>1853</v>
      </c>
      <c r="C277" s="50" t="s">
        <v>1174</v>
      </c>
      <c r="D277" s="50">
        <v>10050505</v>
      </c>
      <c r="E277" s="50" t="s">
        <v>3306</v>
      </c>
      <c r="F277" s="50" t="s">
        <v>1173</v>
      </c>
      <c r="G277" s="50" t="s">
        <v>258</v>
      </c>
      <c r="H277" s="50"/>
      <c r="I277" s="50"/>
      <c r="J277" s="52">
        <v>0.01</v>
      </c>
      <c r="K277" s="54">
        <v>78</v>
      </c>
      <c r="L277" s="54">
        <v>3943</v>
      </c>
      <c r="M277" s="54">
        <v>24</v>
      </c>
      <c r="N277" s="56">
        <v>0.20469999999999999</v>
      </c>
      <c r="O277" s="50"/>
      <c r="P277" s="52"/>
      <c r="Q277" s="54"/>
      <c r="R277" s="52"/>
      <c r="S277" s="52"/>
      <c r="T277" s="58"/>
      <c r="U277" s="54"/>
    </row>
    <row r="278" spans="1:21" x14ac:dyDescent="0.35">
      <c r="A278" s="51">
        <v>4003002</v>
      </c>
      <c r="B278" s="51" t="s">
        <v>1855</v>
      </c>
      <c r="C278" s="51" t="s">
        <v>1174</v>
      </c>
      <c r="D278" s="51">
        <v>10050801</v>
      </c>
      <c r="E278" s="51" t="s">
        <v>3321</v>
      </c>
      <c r="F278" s="51" t="s">
        <v>1173</v>
      </c>
      <c r="G278" s="51" t="s">
        <v>271</v>
      </c>
      <c r="H278" s="51"/>
      <c r="I278" s="51" t="s">
        <v>258</v>
      </c>
      <c r="J278" s="53">
        <v>246.23</v>
      </c>
      <c r="K278" s="55">
        <v>68</v>
      </c>
      <c r="L278" s="55">
        <v>1755</v>
      </c>
      <c r="M278" s="55">
        <v>24</v>
      </c>
      <c r="N278" s="57">
        <v>0.377</v>
      </c>
      <c r="O278" s="51"/>
      <c r="P278" s="53">
        <v>335872</v>
      </c>
      <c r="Q278" s="55">
        <v>29</v>
      </c>
      <c r="R278" s="53">
        <v>50</v>
      </c>
      <c r="S278" s="53">
        <v>1450</v>
      </c>
      <c r="T278" s="59"/>
      <c r="U278" s="55"/>
    </row>
    <row r="279" spans="1:21" x14ac:dyDescent="0.35">
      <c r="A279" s="50">
        <v>4003004</v>
      </c>
      <c r="B279" s="50" t="s">
        <v>1857</v>
      </c>
      <c r="C279" s="50" t="s">
        <v>1174</v>
      </c>
      <c r="D279" s="50">
        <v>10050801</v>
      </c>
      <c r="E279" s="50" t="s">
        <v>3321</v>
      </c>
      <c r="F279" s="50" t="s">
        <v>1173</v>
      </c>
      <c r="G279" s="50" t="s">
        <v>258</v>
      </c>
      <c r="H279" s="50"/>
      <c r="I279" s="50" t="s">
        <v>258</v>
      </c>
      <c r="J279" s="52">
        <v>327.97</v>
      </c>
      <c r="K279" s="54">
        <v>25</v>
      </c>
      <c r="L279" s="54">
        <v>475</v>
      </c>
      <c r="M279" s="54">
        <v>21</v>
      </c>
      <c r="N279" s="56">
        <v>0.59460000000000002</v>
      </c>
      <c r="O279" s="50"/>
      <c r="P279" s="52">
        <v>121348.8</v>
      </c>
      <c r="Q279" s="54">
        <v>13</v>
      </c>
      <c r="R279" s="52">
        <v>30</v>
      </c>
      <c r="S279" s="52">
        <v>390</v>
      </c>
      <c r="T279" s="58"/>
      <c r="U279" s="54"/>
    </row>
    <row r="280" spans="1:21" x14ac:dyDescent="0.35">
      <c r="A280" s="51">
        <v>4003005</v>
      </c>
      <c r="B280" s="51" t="s">
        <v>1859</v>
      </c>
      <c r="C280" s="51" t="s">
        <v>1174</v>
      </c>
      <c r="D280" s="51">
        <v>10050801</v>
      </c>
      <c r="E280" s="51" t="s">
        <v>3321</v>
      </c>
      <c r="F280" s="51" t="s">
        <v>1173</v>
      </c>
      <c r="G280" s="51" t="s">
        <v>289</v>
      </c>
      <c r="H280" s="51"/>
      <c r="I280" s="51" t="s">
        <v>258</v>
      </c>
      <c r="J280" s="53">
        <v>376.59</v>
      </c>
      <c r="K280" s="55">
        <v>30</v>
      </c>
      <c r="L280" s="55">
        <v>540</v>
      </c>
      <c r="M280" s="55">
        <v>24</v>
      </c>
      <c r="N280" s="57">
        <v>0.49690000000000001</v>
      </c>
      <c r="O280" s="51"/>
      <c r="P280" s="53"/>
      <c r="Q280" s="55"/>
      <c r="R280" s="53"/>
      <c r="S280" s="53"/>
      <c r="T280" s="59"/>
      <c r="U280" s="55"/>
    </row>
    <row r="281" spans="1:21" x14ac:dyDescent="0.35">
      <c r="A281" s="50">
        <v>4003006</v>
      </c>
      <c r="B281" s="50" t="s">
        <v>1861</v>
      </c>
      <c r="C281" s="50" t="s">
        <v>1174</v>
      </c>
      <c r="D281" s="50">
        <v>10050801</v>
      </c>
      <c r="E281" s="50" t="s">
        <v>3321</v>
      </c>
      <c r="F281" s="50" t="s">
        <v>1173</v>
      </c>
      <c r="G281" s="50" t="s">
        <v>289</v>
      </c>
      <c r="H281" s="50"/>
      <c r="I281" s="50" t="s">
        <v>258</v>
      </c>
      <c r="J281" s="52">
        <v>417.09</v>
      </c>
      <c r="K281" s="54">
        <v>33</v>
      </c>
      <c r="L281" s="54">
        <v>456</v>
      </c>
      <c r="M281" s="54">
        <v>22</v>
      </c>
      <c r="N281" s="56">
        <v>0.59060000000000001</v>
      </c>
      <c r="O281" s="50"/>
      <c r="P281" s="52"/>
      <c r="Q281" s="54"/>
      <c r="R281" s="52"/>
      <c r="S281" s="52"/>
      <c r="T281" s="58"/>
      <c r="U281" s="54"/>
    </row>
    <row r="282" spans="1:21" x14ac:dyDescent="0.35">
      <c r="A282" s="51">
        <v>4003008</v>
      </c>
      <c r="B282" s="51" t="s">
        <v>1863</v>
      </c>
      <c r="C282" s="51" t="s">
        <v>1174</v>
      </c>
      <c r="D282" s="51">
        <v>10050801</v>
      </c>
      <c r="E282" s="51" t="s">
        <v>3321</v>
      </c>
      <c r="F282" s="51" t="s">
        <v>1173</v>
      </c>
      <c r="G282" s="51" t="s">
        <v>258</v>
      </c>
      <c r="H282" s="51"/>
      <c r="I282" s="51" t="s">
        <v>258</v>
      </c>
      <c r="J282" s="53">
        <v>102.6</v>
      </c>
      <c r="K282" s="55">
        <v>160</v>
      </c>
      <c r="L282" s="55">
        <v>581</v>
      </c>
      <c r="M282" s="55">
        <v>21</v>
      </c>
      <c r="N282" s="57">
        <v>0.82599999999999996</v>
      </c>
      <c r="O282" s="51"/>
      <c r="P282" s="53">
        <v>60780</v>
      </c>
      <c r="Q282" s="55">
        <v>6</v>
      </c>
      <c r="R282" s="53">
        <v>10</v>
      </c>
      <c r="S282" s="53">
        <v>60</v>
      </c>
      <c r="T282" s="59"/>
      <c r="U282" s="55"/>
    </row>
    <row r="283" spans="1:21" x14ac:dyDescent="0.35">
      <c r="A283" s="50">
        <v>4003208</v>
      </c>
      <c r="B283" s="50" t="s">
        <v>1865</v>
      </c>
      <c r="C283" s="50" t="s">
        <v>1174</v>
      </c>
      <c r="D283" s="50">
        <v>10050801</v>
      </c>
      <c r="E283" s="50" t="s">
        <v>3321</v>
      </c>
      <c r="F283" s="50" t="s">
        <v>1173</v>
      </c>
      <c r="G283" s="50" t="s">
        <v>258</v>
      </c>
      <c r="H283" s="50"/>
      <c r="I283" s="50"/>
      <c r="J283" s="52">
        <v>59.06</v>
      </c>
      <c r="K283" s="54">
        <v>120</v>
      </c>
      <c r="L283" s="54">
        <v>3450</v>
      </c>
      <c r="M283" s="54">
        <v>24</v>
      </c>
      <c r="N283" s="56">
        <v>0.35909999999999997</v>
      </c>
      <c r="O283" s="50"/>
      <c r="P283" s="52">
        <v>176670</v>
      </c>
      <c r="Q283" s="54">
        <v>23</v>
      </c>
      <c r="R283" s="52">
        <v>12.58</v>
      </c>
      <c r="S283" s="52">
        <v>302</v>
      </c>
      <c r="T283" s="58"/>
      <c r="U283" s="54"/>
    </row>
    <row r="284" spans="1:21" x14ac:dyDescent="0.35">
      <c r="A284" s="51">
        <v>4003238</v>
      </c>
      <c r="B284" s="51" t="s">
        <v>1867</v>
      </c>
      <c r="C284" s="51" t="s">
        <v>1174</v>
      </c>
      <c r="D284" s="51">
        <v>10050404</v>
      </c>
      <c r="E284" s="51" t="s">
        <v>3301</v>
      </c>
      <c r="F284" s="51" t="s">
        <v>1173</v>
      </c>
      <c r="G284" s="51" t="s">
        <v>258</v>
      </c>
      <c r="H284" s="51" t="s">
        <v>24</v>
      </c>
      <c r="I284" s="51" t="s">
        <v>258</v>
      </c>
      <c r="J284" s="53">
        <v>95.12</v>
      </c>
      <c r="K284" s="55">
        <v>25</v>
      </c>
      <c r="L284" s="55">
        <v>385</v>
      </c>
      <c r="M284" s="55">
        <v>23</v>
      </c>
      <c r="N284" s="57">
        <v>0.66720000000000002</v>
      </c>
      <c r="O284" s="51"/>
      <c r="P284" s="53">
        <v>25732.6</v>
      </c>
      <c r="Q284" s="55">
        <v>13</v>
      </c>
      <c r="R284" s="53">
        <v>4</v>
      </c>
      <c r="S284" s="53">
        <v>52</v>
      </c>
      <c r="T284" s="59"/>
      <c r="U284" s="55"/>
    </row>
    <row r="285" spans="1:21" x14ac:dyDescent="0.35">
      <c r="A285" s="50">
        <v>4003241</v>
      </c>
      <c r="B285" s="50" t="s">
        <v>1869</v>
      </c>
      <c r="C285" s="50" t="s">
        <v>1174</v>
      </c>
      <c r="D285" s="50">
        <v>10050404</v>
      </c>
      <c r="E285" s="50" t="s">
        <v>3301</v>
      </c>
      <c r="F285" s="50" t="s">
        <v>1173</v>
      </c>
      <c r="G285" s="50" t="s">
        <v>258</v>
      </c>
      <c r="H285" s="50"/>
      <c r="I285" s="50"/>
      <c r="J285" s="52">
        <v>181.27</v>
      </c>
      <c r="K285" s="54">
        <v>260</v>
      </c>
      <c r="L285" s="54">
        <v>395</v>
      </c>
      <c r="M285" s="54">
        <v>10</v>
      </c>
      <c r="N285" s="56">
        <v>1.3935</v>
      </c>
      <c r="O285" s="50"/>
      <c r="P285" s="52">
        <v>45360</v>
      </c>
      <c r="Q285" s="54">
        <v>2</v>
      </c>
      <c r="R285" s="52">
        <v>4</v>
      </c>
      <c r="S285" s="52">
        <v>8</v>
      </c>
      <c r="T285" s="58"/>
      <c r="U285" s="54"/>
    </row>
    <row r="286" spans="1:21" x14ac:dyDescent="0.35">
      <c r="A286" s="51">
        <v>4003346</v>
      </c>
      <c r="B286" s="51" t="s">
        <v>1875</v>
      </c>
      <c r="C286" s="51" t="s">
        <v>1174</v>
      </c>
      <c r="D286" s="51">
        <v>10030907</v>
      </c>
      <c r="E286" s="51" t="s">
        <v>3275</v>
      </c>
      <c r="F286" s="51" t="s">
        <v>1173</v>
      </c>
      <c r="G286" s="51" t="s">
        <v>289</v>
      </c>
      <c r="H286" s="51"/>
      <c r="I286" s="51" t="s">
        <v>258</v>
      </c>
      <c r="J286" s="53">
        <v>155</v>
      </c>
      <c r="K286" s="55">
        <v>114</v>
      </c>
      <c r="L286" s="55">
        <v>1945</v>
      </c>
      <c r="M286" s="55">
        <v>24</v>
      </c>
      <c r="N286" s="57">
        <v>0.45079999999999998</v>
      </c>
      <c r="O286" s="51"/>
      <c r="P286" s="53">
        <v>340851</v>
      </c>
      <c r="Q286" s="55">
        <v>33</v>
      </c>
      <c r="R286" s="53">
        <v>10.88</v>
      </c>
      <c r="S286" s="53">
        <v>349</v>
      </c>
      <c r="T286" s="59"/>
      <c r="U286" s="55"/>
    </row>
    <row r="287" spans="1:21" x14ac:dyDescent="0.35">
      <c r="A287" s="50">
        <v>4003529</v>
      </c>
      <c r="B287" s="50" t="s">
        <v>1881</v>
      </c>
      <c r="C287" s="50" t="s">
        <v>1174</v>
      </c>
      <c r="D287" s="50">
        <v>10030801</v>
      </c>
      <c r="E287" s="50" t="s">
        <v>3266</v>
      </c>
      <c r="F287" s="50" t="s">
        <v>1173</v>
      </c>
      <c r="G287" s="50" t="s">
        <v>258</v>
      </c>
      <c r="H287" s="50"/>
      <c r="I287" s="50" t="s">
        <v>258</v>
      </c>
      <c r="J287" s="52">
        <v>0.3004</v>
      </c>
      <c r="K287" s="54">
        <v>4200</v>
      </c>
      <c r="L287" s="54">
        <v>29300</v>
      </c>
      <c r="M287" s="54">
        <v>24</v>
      </c>
      <c r="N287" s="56">
        <v>0.32679999999999998</v>
      </c>
      <c r="O287" s="50"/>
      <c r="P287" s="52">
        <v>8442</v>
      </c>
      <c r="Q287" s="54">
        <v>7</v>
      </c>
      <c r="R287" s="52">
        <v>1</v>
      </c>
      <c r="S287" s="52">
        <v>7</v>
      </c>
      <c r="T287" s="58"/>
      <c r="U287" s="54"/>
    </row>
    <row r="288" spans="1:21" x14ac:dyDescent="0.35">
      <c r="A288" s="51">
        <v>4003611</v>
      </c>
      <c r="B288" s="51" t="s">
        <v>1883</v>
      </c>
      <c r="C288" s="51" t="s">
        <v>1174</v>
      </c>
      <c r="D288" s="51">
        <v>10050308</v>
      </c>
      <c r="E288" s="51" t="s">
        <v>3299</v>
      </c>
      <c r="F288" s="51" t="s">
        <v>1173</v>
      </c>
      <c r="G288" s="51" t="s">
        <v>258</v>
      </c>
      <c r="H288" s="51" t="s">
        <v>141</v>
      </c>
      <c r="I288" s="51" t="s">
        <v>258</v>
      </c>
      <c r="J288" s="53">
        <v>1.0447</v>
      </c>
      <c r="K288" s="55">
        <v>1400</v>
      </c>
      <c r="L288" s="55">
        <v>5201</v>
      </c>
      <c r="M288" s="55">
        <v>21</v>
      </c>
      <c r="N288" s="57">
        <v>0.92920000000000003</v>
      </c>
      <c r="O288" s="51"/>
      <c r="P288" s="53">
        <v>6180</v>
      </c>
      <c r="Q288" s="55">
        <v>3</v>
      </c>
      <c r="R288" s="53">
        <v>1</v>
      </c>
      <c r="S288" s="53">
        <v>3</v>
      </c>
      <c r="T288" s="59"/>
      <c r="U288" s="55"/>
    </row>
    <row r="289" spans="1:21" x14ac:dyDescent="0.35">
      <c r="A289" s="50">
        <v>4003844</v>
      </c>
      <c r="B289" s="50" t="s">
        <v>1887</v>
      </c>
      <c r="C289" s="50" t="s">
        <v>1174</v>
      </c>
      <c r="D289" s="50">
        <v>10050801</v>
      </c>
      <c r="E289" s="50" t="s">
        <v>3321</v>
      </c>
      <c r="F289" s="50" t="s">
        <v>1177</v>
      </c>
      <c r="G289" s="50" t="s">
        <v>258</v>
      </c>
      <c r="H289" s="50" t="s">
        <v>141</v>
      </c>
      <c r="I289" s="50" t="s">
        <v>258</v>
      </c>
      <c r="J289" s="52">
        <v>66.36</v>
      </c>
      <c r="K289" s="54">
        <v>134</v>
      </c>
      <c r="L289" s="54">
        <v>436</v>
      </c>
      <c r="M289" s="54">
        <v>24</v>
      </c>
      <c r="N289" s="56">
        <v>0.50190000000000001</v>
      </c>
      <c r="O289" s="50"/>
      <c r="P289" s="52">
        <v>26070.400000000001</v>
      </c>
      <c r="Q289" s="54">
        <v>5</v>
      </c>
      <c r="R289" s="52">
        <v>80</v>
      </c>
      <c r="S289" s="52">
        <v>400</v>
      </c>
      <c r="T289" s="58">
        <v>3</v>
      </c>
      <c r="U289" s="54">
        <v>1</v>
      </c>
    </row>
    <row r="290" spans="1:21" x14ac:dyDescent="0.35">
      <c r="A290" s="51">
        <v>4003857</v>
      </c>
      <c r="B290" s="51" t="s">
        <v>1893</v>
      </c>
      <c r="C290" s="51" t="s">
        <v>1174</v>
      </c>
      <c r="D290" s="51">
        <v>10040101</v>
      </c>
      <c r="E290" s="51" t="s">
        <v>3279</v>
      </c>
      <c r="F290" s="51" t="s">
        <v>1173</v>
      </c>
      <c r="G290" s="51" t="s">
        <v>271</v>
      </c>
      <c r="H290" s="51" t="s">
        <v>141</v>
      </c>
      <c r="I290" s="51" t="s">
        <v>271</v>
      </c>
      <c r="J290" s="53">
        <v>4.07</v>
      </c>
      <c r="K290" s="55">
        <v>12250</v>
      </c>
      <c r="L290" s="55">
        <v>254900</v>
      </c>
      <c r="M290" s="55">
        <v>24</v>
      </c>
      <c r="N290" s="57">
        <v>0.109</v>
      </c>
      <c r="O290" s="51"/>
      <c r="P290" s="53"/>
      <c r="Q290" s="55"/>
      <c r="R290" s="53"/>
      <c r="S290" s="53"/>
      <c r="T290" s="59"/>
      <c r="U290" s="55"/>
    </row>
    <row r="291" spans="1:21" x14ac:dyDescent="0.35">
      <c r="A291" s="50">
        <v>4003858</v>
      </c>
      <c r="B291" s="50" t="s">
        <v>1895</v>
      </c>
      <c r="C291" s="50" t="s">
        <v>1174</v>
      </c>
      <c r="D291" s="50">
        <v>10040101</v>
      </c>
      <c r="E291" s="50" t="s">
        <v>3279</v>
      </c>
      <c r="F291" s="50" t="s">
        <v>1173</v>
      </c>
      <c r="G291" s="50" t="s">
        <v>271</v>
      </c>
      <c r="H291" s="50" t="s">
        <v>141</v>
      </c>
      <c r="I291" s="50" t="s">
        <v>271</v>
      </c>
      <c r="J291" s="52">
        <v>4.08</v>
      </c>
      <c r="K291" s="54">
        <v>12600</v>
      </c>
      <c r="L291" s="54">
        <v>290300</v>
      </c>
      <c r="M291" s="54">
        <v>24</v>
      </c>
      <c r="N291" s="56">
        <v>9.7100000000000006E-2</v>
      </c>
      <c r="O291" s="50"/>
      <c r="P291" s="52"/>
      <c r="Q291" s="54"/>
      <c r="R291" s="52"/>
      <c r="S291" s="52"/>
      <c r="T291" s="58"/>
      <c r="U291" s="54"/>
    </row>
    <row r="292" spans="1:21" x14ac:dyDescent="0.35">
      <c r="A292" s="51">
        <v>4003859</v>
      </c>
      <c r="B292" s="51" t="s">
        <v>1897</v>
      </c>
      <c r="C292" s="51" t="s">
        <v>1174</v>
      </c>
      <c r="D292" s="51">
        <v>10050610</v>
      </c>
      <c r="E292" s="51" t="s">
        <v>3318</v>
      </c>
      <c r="F292" s="51" t="s">
        <v>1173</v>
      </c>
      <c r="G292" s="51" t="s">
        <v>258</v>
      </c>
      <c r="H292" s="51"/>
      <c r="I292" s="51" t="s">
        <v>258</v>
      </c>
      <c r="J292" s="53">
        <v>134.41999999999999</v>
      </c>
      <c r="K292" s="55">
        <v>60</v>
      </c>
      <c r="L292" s="55">
        <v>430</v>
      </c>
      <c r="M292" s="55">
        <v>24</v>
      </c>
      <c r="N292" s="57">
        <v>0.39400000000000002</v>
      </c>
      <c r="O292" s="51"/>
      <c r="P292" s="53">
        <v>49275</v>
      </c>
      <c r="Q292" s="55">
        <v>14</v>
      </c>
      <c r="R292" s="53">
        <v>3</v>
      </c>
      <c r="S292" s="53">
        <v>45</v>
      </c>
      <c r="T292" s="59"/>
      <c r="U292" s="55"/>
    </row>
    <row r="293" spans="1:21" x14ac:dyDescent="0.35">
      <c r="A293" s="50">
        <v>4003860</v>
      </c>
      <c r="B293" s="50" t="s">
        <v>1899</v>
      </c>
      <c r="C293" s="50" t="s">
        <v>1174</v>
      </c>
      <c r="D293" s="50">
        <v>10050610</v>
      </c>
      <c r="E293" s="50" t="s">
        <v>3318</v>
      </c>
      <c r="F293" s="50" t="s">
        <v>1173</v>
      </c>
      <c r="G293" s="50" t="s">
        <v>258</v>
      </c>
      <c r="H293" s="50"/>
      <c r="I293" s="50" t="s">
        <v>258</v>
      </c>
      <c r="J293" s="52">
        <v>122.58</v>
      </c>
      <c r="K293" s="54">
        <v>50</v>
      </c>
      <c r="L293" s="54">
        <v>360</v>
      </c>
      <c r="M293" s="54">
        <v>21</v>
      </c>
      <c r="N293" s="56">
        <v>0.60860000000000003</v>
      </c>
      <c r="O293" s="50"/>
      <c r="P293" s="52">
        <v>41760</v>
      </c>
      <c r="Q293" s="54">
        <v>12</v>
      </c>
      <c r="R293" s="52">
        <v>3</v>
      </c>
      <c r="S293" s="52">
        <v>36</v>
      </c>
      <c r="T293" s="58"/>
      <c r="U293" s="54"/>
    </row>
    <row r="294" spans="1:21" x14ac:dyDescent="0.35">
      <c r="A294" s="51">
        <v>4003864</v>
      </c>
      <c r="B294" s="51" t="s">
        <v>1903</v>
      </c>
      <c r="C294" s="51" t="s">
        <v>1174</v>
      </c>
      <c r="D294" s="51">
        <v>10050503</v>
      </c>
      <c r="E294" s="51" t="s">
        <v>3304</v>
      </c>
      <c r="F294" s="51" t="s">
        <v>1173</v>
      </c>
      <c r="G294" s="51" t="s">
        <v>258</v>
      </c>
      <c r="H294" s="51" t="s">
        <v>24</v>
      </c>
      <c r="I294" s="51" t="s">
        <v>289</v>
      </c>
      <c r="J294" s="53">
        <v>9.02</v>
      </c>
      <c r="K294" s="55">
        <v>1000</v>
      </c>
      <c r="L294" s="55">
        <v>26600</v>
      </c>
      <c r="M294" s="55">
        <v>18</v>
      </c>
      <c r="N294" s="57">
        <v>2.5672999999999999</v>
      </c>
      <c r="O294" s="51"/>
      <c r="P294" s="53">
        <v>6300</v>
      </c>
      <c r="Q294" s="55">
        <v>1</v>
      </c>
      <c r="R294" s="53">
        <v>2</v>
      </c>
      <c r="S294" s="53">
        <v>2</v>
      </c>
      <c r="T294" s="59"/>
      <c r="U294" s="55"/>
    </row>
    <row r="295" spans="1:21" x14ac:dyDescent="0.35">
      <c r="A295" s="50">
        <v>4003887</v>
      </c>
      <c r="B295" s="50" t="s">
        <v>1905</v>
      </c>
      <c r="C295" s="50" t="s">
        <v>1174</v>
      </c>
      <c r="D295" s="50">
        <v>10040105</v>
      </c>
      <c r="E295" s="50" t="s">
        <v>3281</v>
      </c>
      <c r="F295" s="50" t="s">
        <v>1173</v>
      </c>
      <c r="G295" s="50" t="s">
        <v>289</v>
      </c>
      <c r="H295" s="50" t="s">
        <v>141</v>
      </c>
      <c r="I295" s="50" t="s">
        <v>271</v>
      </c>
      <c r="J295" s="52">
        <v>0.11840000000000001</v>
      </c>
      <c r="K295" s="54">
        <v>63500</v>
      </c>
      <c r="L295" s="54">
        <v>960000</v>
      </c>
      <c r="M295" s="54">
        <v>24</v>
      </c>
      <c r="N295" s="56">
        <v>0.21460000000000001</v>
      </c>
      <c r="O295" s="50"/>
      <c r="P295" s="52">
        <v>106044.8</v>
      </c>
      <c r="Q295" s="54">
        <v>46</v>
      </c>
      <c r="R295" s="52">
        <v>40</v>
      </c>
      <c r="S295" s="52">
        <v>1840</v>
      </c>
      <c r="T295" s="58"/>
      <c r="U295" s="54"/>
    </row>
    <row r="296" spans="1:21" x14ac:dyDescent="0.35">
      <c r="A296" s="51">
        <v>4003911</v>
      </c>
      <c r="B296" s="51" t="s">
        <v>1913</v>
      </c>
      <c r="C296" s="51" t="s">
        <v>1174</v>
      </c>
      <c r="D296" s="51">
        <v>10050102</v>
      </c>
      <c r="E296" s="51" t="s">
        <v>3289</v>
      </c>
      <c r="F296" s="51" t="s">
        <v>1173</v>
      </c>
      <c r="G296" s="51" t="s">
        <v>258</v>
      </c>
      <c r="H296" s="51" t="s">
        <v>24</v>
      </c>
      <c r="I296" s="51" t="s">
        <v>258</v>
      </c>
      <c r="J296" s="53">
        <v>5.28</v>
      </c>
      <c r="K296" s="55">
        <v>175</v>
      </c>
      <c r="L296" s="55">
        <v>3825</v>
      </c>
      <c r="M296" s="55">
        <v>24</v>
      </c>
      <c r="N296" s="57">
        <v>0.69089999999999996</v>
      </c>
      <c r="O296" s="51"/>
      <c r="P296" s="53">
        <v>25920</v>
      </c>
      <c r="Q296" s="55">
        <v>17</v>
      </c>
      <c r="R296" s="53">
        <v>8</v>
      </c>
      <c r="S296" s="53">
        <v>144</v>
      </c>
      <c r="T296" s="59"/>
      <c r="U296" s="55"/>
    </row>
    <row r="297" spans="1:21" x14ac:dyDescent="0.35">
      <c r="A297" s="50">
        <v>4003915</v>
      </c>
      <c r="B297" s="50" t="s">
        <v>1915</v>
      </c>
      <c r="C297" s="50" t="s">
        <v>1174</v>
      </c>
      <c r="D297" s="50">
        <v>10050606</v>
      </c>
      <c r="E297" s="50" t="s">
        <v>3314</v>
      </c>
      <c r="F297" s="50" t="s">
        <v>1173</v>
      </c>
      <c r="G297" s="50" t="s">
        <v>258</v>
      </c>
      <c r="H297" s="50" t="s">
        <v>141</v>
      </c>
      <c r="I297" s="50" t="s">
        <v>258</v>
      </c>
      <c r="J297" s="52">
        <v>10.14</v>
      </c>
      <c r="K297" s="54">
        <v>280</v>
      </c>
      <c r="L297" s="54">
        <v>4765</v>
      </c>
      <c r="M297" s="54">
        <v>24</v>
      </c>
      <c r="N297" s="56">
        <v>0.23710000000000001</v>
      </c>
      <c r="O297" s="50"/>
      <c r="P297" s="52">
        <v>41245.4</v>
      </c>
      <c r="Q297" s="54">
        <v>26</v>
      </c>
      <c r="R297" s="52">
        <v>2.15</v>
      </c>
      <c r="S297" s="52">
        <v>56</v>
      </c>
      <c r="T297" s="58"/>
      <c r="U297" s="54"/>
    </row>
    <row r="298" spans="1:21" x14ac:dyDescent="0.35">
      <c r="A298" s="51">
        <v>4003916</v>
      </c>
      <c r="B298" s="51" t="s">
        <v>1917</v>
      </c>
      <c r="C298" s="51" t="s">
        <v>1174</v>
      </c>
      <c r="D298" s="51">
        <v>10050607</v>
      </c>
      <c r="E298" s="51" t="s">
        <v>3315</v>
      </c>
      <c r="F298" s="51" t="s">
        <v>1173</v>
      </c>
      <c r="G298" s="51" t="s">
        <v>258</v>
      </c>
      <c r="H298" s="51" t="s">
        <v>24</v>
      </c>
      <c r="I298" s="51" t="s">
        <v>258</v>
      </c>
      <c r="J298" s="53">
        <v>12.78</v>
      </c>
      <c r="K298" s="55">
        <v>260</v>
      </c>
      <c r="L298" s="55">
        <v>2080</v>
      </c>
      <c r="M298" s="55">
        <v>24</v>
      </c>
      <c r="N298" s="57">
        <v>0.94840000000000002</v>
      </c>
      <c r="O298" s="51"/>
      <c r="P298" s="53">
        <v>27540</v>
      </c>
      <c r="Q298" s="55">
        <v>9</v>
      </c>
      <c r="R298" s="53">
        <v>6</v>
      </c>
      <c r="S298" s="53">
        <v>54</v>
      </c>
      <c r="T298" s="59"/>
      <c r="U298" s="55"/>
    </row>
    <row r="299" spans="1:21" x14ac:dyDescent="0.35">
      <c r="A299" s="50">
        <v>4004015</v>
      </c>
      <c r="B299" s="50" t="s">
        <v>1923</v>
      </c>
      <c r="C299" s="50" t="s">
        <v>1174</v>
      </c>
      <c r="D299" s="50">
        <v>10050109</v>
      </c>
      <c r="E299" s="50" t="s">
        <v>3294</v>
      </c>
      <c r="F299" s="50" t="s">
        <v>1173</v>
      </c>
      <c r="G299" s="50" t="s">
        <v>289</v>
      </c>
      <c r="H299" s="50"/>
      <c r="I299" s="50" t="s">
        <v>258</v>
      </c>
      <c r="J299" s="52">
        <v>0.76129999999999998</v>
      </c>
      <c r="K299" s="54">
        <v>1000</v>
      </c>
      <c r="L299" s="54">
        <v>121650</v>
      </c>
      <c r="M299" s="54">
        <v>24</v>
      </c>
      <c r="N299" s="56">
        <v>0.15240000000000001</v>
      </c>
      <c r="O299" s="50"/>
      <c r="P299" s="52"/>
      <c r="Q299" s="54"/>
      <c r="R299" s="52"/>
      <c r="S299" s="52"/>
      <c r="T299" s="58"/>
      <c r="U299" s="54"/>
    </row>
    <row r="300" spans="1:21" x14ac:dyDescent="0.35">
      <c r="A300" s="51">
        <v>4004037</v>
      </c>
      <c r="B300" s="51" t="s">
        <v>1927</v>
      </c>
      <c r="C300" s="51" t="s">
        <v>1174</v>
      </c>
      <c r="D300" s="51">
        <v>10050103</v>
      </c>
      <c r="E300" s="51" t="s">
        <v>3290</v>
      </c>
      <c r="F300" s="51" t="s">
        <v>1173</v>
      </c>
      <c r="G300" s="51" t="s">
        <v>271</v>
      </c>
      <c r="H300" s="51"/>
      <c r="I300" s="51" t="s">
        <v>258</v>
      </c>
      <c r="J300" s="53">
        <v>31.21</v>
      </c>
      <c r="K300" s="55">
        <v>90</v>
      </c>
      <c r="L300" s="55">
        <v>22560</v>
      </c>
      <c r="M300" s="55">
        <v>24</v>
      </c>
      <c r="N300" s="57">
        <v>0.14760000000000001</v>
      </c>
      <c r="O300" s="51"/>
      <c r="P300" s="53"/>
      <c r="Q300" s="55"/>
      <c r="R300" s="53"/>
      <c r="S300" s="53"/>
      <c r="T300" s="59"/>
      <c r="U300" s="55"/>
    </row>
    <row r="301" spans="1:21" x14ac:dyDescent="0.35">
      <c r="A301" s="50">
        <v>4004039</v>
      </c>
      <c r="B301" s="50" t="s">
        <v>1929</v>
      </c>
      <c r="C301" s="50" t="s">
        <v>1174</v>
      </c>
      <c r="D301" s="50">
        <v>10030801</v>
      </c>
      <c r="E301" s="50" t="s">
        <v>3266</v>
      </c>
      <c r="F301" s="50" t="s">
        <v>1173</v>
      </c>
      <c r="G301" s="50" t="s">
        <v>289</v>
      </c>
      <c r="H301" s="50"/>
      <c r="I301" s="50" t="s">
        <v>258</v>
      </c>
      <c r="J301" s="52">
        <v>3.07</v>
      </c>
      <c r="K301" s="54">
        <v>3900</v>
      </c>
      <c r="L301" s="54">
        <v>41300</v>
      </c>
      <c r="M301" s="54">
        <v>24</v>
      </c>
      <c r="N301" s="56">
        <v>0.36940000000000001</v>
      </c>
      <c r="O301" s="50"/>
      <c r="P301" s="52">
        <v>120072.28</v>
      </c>
      <c r="Q301" s="54">
        <v>22</v>
      </c>
      <c r="R301" s="52">
        <v>5.85</v>
      </c>
      <c r="S301" s="52">
        <v>128.667</v>
      </c>
      <c r="T301" s="58"/>
      <c r="U301" s="54"/>
    </row>
    <row r="302" spans="1:21" x14ac:dyDescent="0.35">
      <c r="A302" s="51">
        <v>4004041</v>
      </c>
      <c r="B302" s="51" t="s">
        <v>1931</v>
      </c>
      <c r="C302" s="51" t="s">
        <v>1174</v>
      </c>
      <c r="D302" s="51">
        <v>20010401</v>
      </c>
      <c r="E302" s="51" t="s">
        <v>3338</v>
      </c>
      <c r="F302" s="51" t="s">
        <v>1173</v>
      </c>
      <c r="G302" s="51" t="s">
        <v>289</v>
      </c>
      <c r="H302" s="51" t="s">
        <v>141</v>
      </c>
      <c r="I302" s="51" t="s">
        <v>289</v>
      </c>
      <c r="J302" s="53">
        <v>7.2</v>
      </c>
      <c r="K302" s="55">
        <v>800</v>
      </c>
      <c r="L302" s="55">
        <v>19082</v>
      </c>
      <c r="M302" s="55">
        <v>24</v>
      </c>
      <c r="N302" s="57">
        <v>0.2094</v>
      </c>
      <c r="O302" s="51"/>
      <c r="P302" s="53">
        <v>131080</v>
      </c>
      <c r="Q302" s="55">
        <v>49</v>
      </c>
      <c r="R302" s="53">
        <v>8</v>
      </c>
      <c r="S302" s="53">
        <v>392</v>
      </c>
      <c r="T302" s="59"/>
      <c r="U302" s="55"/>
    </row>
    <row r="303" spans="1:21" x14ac:dyDescent="0.35">
      <c r="A303" s="50">
        <v>4004049</v>
      </c>
      <c r="B303" s="50" t="s">
        <v>1933</v>
      </c>
      <c r="C303" s="50" t="s">
        <v>1174</v>
      </c>
      <c r="D303" s="50">
        <v>10040101</v>
      </c>
      <c r="E303" s="50" t="s">
        <v>3279</v>
      </c>
      <c r="F303" s="50" t="s">
        <v>1173</v>
      </c>
      <c r="G303" s="50" t="s">
        <v>258</v>
      </c>
      <c r="H303" s="50" t="s">
        <v>141</v>
      </c>
      <c r="I303" s="50" t="s">
        <v>258</v>
      </c>
      <c r="J303" s="52">
        <v>1.2229000000000001</v>
      </c>
      <c r="K303" s="54">
        <v>900</v>
      </c>
      <c r="L303" s="54">
        <v>14050</v>
      </c>
      <c r="M303" s="54">
        <v>23</v>
      </c>
      <c r="N303" s="56">
        <v>0.50439999999999996</v>
      </c>
      <c r="O303" s="50"/>
      <c r="P303" s="52">
        <v>11455.68</v>
      </c>
      <c r="Q303" s="54">
        <v>8</v>
      </c>
      <c r="R303" s="52">
        <v>24</v>
      </c>
      <c r="S303" s="52">
        <v>192</v>
      </c>
      <c r="T303" s="58"/>
      <c r="U303" s="54"/>
    </row>
    <row r="304" spans="1:21" x14ac:dyDescent="0.35">
      <c r="A304" s="51">
        <v>4004054</v>
      </c>
      <c r="B304" s="51" t="s">
        <v>1935</v>
      </c>
      <c r="C304" s="51" t="s">
        <v>1174</v>
      </c>
      <c r="D304" s="51">
        <v>10050607</v>
      </c>
      <c r="E304" s="51" t="s">
        <v>3315</v>
      </c>
      <c r="F304" s="51" t="s">
        <v>1173</v>
      </c>
      <c r="G304" s="51" t="s">
        <v>258</v>
      </c>
      <c r="H304" s="51"/>
      <c r="I304" s="51" t="s">
        <v>258</v>
      </c>
      <c r="J304" s="53">
        <v>9.51</v>
      </c>
      <c r="K304" s="55">
        <v>308</v>
      </c>
      <c r="L304" s="55">
        <v>1018</v>
      </c>
      <c r="M304" s="55">
        <v>21</v>
      </c>
      <c r="N304" s="57">
        <v>0.8972</v>
      </c>
      <c r="O304" s="51"/>
      <c r="P304" s="53">
        <v>7258.68</v>
      </c>
      <c r="Q304" s="55">
        <v>6</v>
      </c>
      <c r="R304" s="53">
        <v>1</v>
      </c>
      <c r="S304" s="53">
        <v>6</v>
      </c>
      <c r="T304" s="59"/>
      <c r="U304" s="55"/>
    </row>
    <row r="305" spans="1:21" x14ac:dyDescent="0.35">
      <c r="A305" s="50">
        <v>4004070</v>
      </c>
      <c r="B305" s="50" t="s">
        <v>1945</v>
      </c>
      <c r="C305" s="50" t="s">
        <v>1174</v>
      </c>
      <c r="D305" s="50">
        <v>10050305</v>
      </c>
      <c r="E305" s="50" t="s">
        <v>3297</v>
      </c>
      <c r="F305" s="50" t="s">
        <v>1178</v>
      </c>
      <c r="G305" s="50" t="s">
        <v>258</v>
      </c>
      <c r="H305" s="50" t="s">
        <v>141</v>
      </c>
      <c r="I305" s="50" t="s">
        <v>258</v>
      </c>
      <c r="J305" s="52">
        <v>18.84</v>
      </c>
      <c r="K305" s="54">
        <v>74</v>
      </c>
      <c r="L305" s="54">
        <v>682</v>
      </c>
      <c r="M305" s="54">
        <v>24</v>
      </c>
      <c r="N305" s="56">
        <v>0.4955</v>
      </c>
      <c r="O305" s="50"/>
      <c r="P305" s="52">
        <v>15205</v>
      </c>
      <c r="Q305" s="54">
        <v>15</v>
      </c>
      <c r="R305" s="52">
        <v>50</v>
      </c>
      <c r="S305" s="52">
        <v>700</v>
      </c>
      <c r="T305" s="58">
        <v>5</v>
      </c>
      <c r="U305" s="54">
        <v>1</v>
      </c>
    </row>
    <row r="306" spans="1:21" x14ac:dyDescent="0.35">
      <c r="A306" s="51">
        <v>4004071</v>
      </c>
      <c r="B306" s="51" t="s">
        <v>1947</v>
      </c>
      <c r="C306" s="51" t="s">
        <v>1174</v>
      </c>
      <c r="D306" s="51">
        <v>10050305</v>
      </c>
      <c r="E306" s="51" t="s">
        <v>3297</v>
      </c>
      <c r="F306" s="51" t="s">
        <v>1179</v>
      </c>
      <c r="G306" s="51" t="s">
        <v>258</v>
      </c>
      <c r="H306" s="51" t="s">
        <v>757</v>
      </c>
      <c r="I306" s="51" t="s">
        <v>258</v>
      </c>
      <c r="J306" s="53">
        <v>51.48</v>
      </c>
      <c r="K306" s="55">
        <v>94</v>
      </c>
      <c r="L306" s="55">
        <v>1626</v>
      </c>
      <c r="M306" s="55">
        <v>24</v>
      </c>
      <c r="N306" s="57">
        <v>0.2379</v>
      </c>
      <c r="O306" s="51"/>
      <c r="P306" s="53">
        <v>76455.360000000001</v>
      </c>
      <c r="Q306" s="55">
        <v>21</v>
      </c>
      <c r="R306" s="53">
        <v>72</v>
      </c>
      <c r="S306" s="53">
        <v>1512</v>
      </c>
      <c r="T306" s="59"/>
      <c r="U306" s="55"/>
    </row>
    <row r="307" spans="1:21" x14ac:dyDescent="0.35">
      <c r="A307" s="50">
        <v>4004074</v>
      </c>
      <c r="B307" s="50" t="s">
        <v>1949</v>
      </c>
      <c r="C307" s="50" t="s">
        <v>1174</v>
      </c>
      <c r="D307" s="50">
        <v>10050801</v>
      </c>
      <c r="E307" s="50" t="s">
        <v>3321</v>
      </c>
      <c r="F307" s="50" t="s">
        <v>1173</v>
      </c>
      <c r="G307" s="50" t="s">
        <v>258</v>
      </c>
      <c r="H307" s="50"/>
      <c r="I307" s="50" t="s">
        <v>258</v>
      </c>
      <c r="J307" s="52">
        <v>24.06</v>
      </c>
      <c r="K307" s="54">
        <v>240</v>
      </c>
      <c r="L307" s="54">
        <v>520</v>
      </c>
      <c r="M307" s="54">
        <v>18</v>
      </c>
      <c r="N307" s="56">
        <v>1.0205</v>
      </c>
      <c r="O307" s="50"/>
      <c r="P307" s="52">
        <v>9225</v>
      </c>
      <c r="Q307" s="54">
        <v>5</v>
      </c>
      <c r="R307" s="52">
        <v>9</v>
      </c>
      <c r="S307" s="52">
        <v>45</v>
      </c>
      <c r="T307" s="58"/>
      <c r="U307" s="54"/>
    </row>
    <row r="308" spans="1:21" x14ac:dyDescent="0.35">
      <c r="A308" s="51">
        <v>4004098</v>
      </c>
      <c r="B308" s="51" t="s">
        <v>1951</v>
      </c>
      <c r="C308" s="51" t="s">
        <v>1174</v>
      </c>
      <c r="D308" s="51">
        <v>10050404</v>
      </c>
      <c r="E308" s="51" t="s">
        <v>3301</v>
      </c>
      <c r="F308" s="51" t="s">
        <v>1173</v>
      </c>
      <c r="G308" s="51" t="s">
        <v>258</v>
      </c>
      <c r="H308" s="51" t="s">
        <v>24</v>
      </c>
      <c r="I308" s="51" t="s">
        <v>258</v>
      </c>
      <c r="J308" s="53">
        <v>91</v>
      </c>
      <c r="K308" s="55">
        <v>75</v>
      </c>
      <c r="L308" s="55">
        <v>345</v>
      </c>
      <c r="M308" s="55">
        <v>21</v>
      </c>
      <c r="N308" s="57">
        <v>0.8115</v>
      </c>
      <c r="O308" s="51"/>
      <c r="P308" s="53">
        <v>27712.080000000002</v>
      </c>
      <c r="Q308" s="55">
        <v>7</v>
      </c>
      <c r="R308" s="53">
        <v>8</v>
      </c>
      <c r="S308" s="53">
        <v>56</v>
      </c>
      <c r="T308" s="59"/>
      <c r="U308" s="55"/>
    </row>
    <row r="309" spans="1:21" x14ac:dyDescent="0.35">
      <c r="A309" s="50">
        <v>4004110</v>
      </c>
      <c r="B309" s="50" t="s">
        <v>1955</v>
      </c>
      <c r="C309" s="50" t="s">
        <v>1174</v>
      </c>
      <c r="D309" s="50">
        <v>10050103</v>
      </c>
      <c r="E309" s="50" t="s">
        <v>3290</v>
      </c>
      <c r="F309" s="50" t="s">
        <v>1173</v>
      </c>
      <c r="G309" s="50" t="s">
        <v>271</v>
      </c>
      <c r="H309" s="50" t="s">
        <v>24</v>
      </c>
      <c r="I309" s="50" t="s">
        <v>289</v>
      </c>
      <c r="J309" s="52">
        <v>20.7</v>
      </c>
      <c r="K309" s="54">
        <v>1120</v>
      </c>
      <c r="L309" s="54">
        <v>44285</v>
      </c>
      <c r="M309" s="54">
        <v>24</v>
      </c>
      <c r="N309" s="56">
        <v>0.17219999999999999</v>
      </c>
      <c r="O309" s="50"/>
      <c r="P309" s="52"/>
      <c r="Q309" s="54"/>
      <c r="R309" s="52"/>
      <c r="S309" s="52"/>
      <c r="T309" s="58"/>
      <c r="U309" s="54"/>
    </row>
    <row r="310" spans="1:21" x14ac:dyDescent="0.35">
      <c r="A310" s="51">
        <v>4004114</v>
      </c>
      <c r="B310" s="51" t="s">
        <v>1959</v>
      </c>
      <c r="C310" s="51" t="s">
        <v>1174</v>
      </c>
      <c r="D310" s="51">
        <v>10050504</v>
      </c>
      <c r="E310" s="51" t="s">
        <v>3305</v>
      </c>
      <c r="F310" s="51" t="s">
        <v>1173</v>
      </c>
      <c r="G310" s="51" t="s">
        <v>258</v>
      </c>
      <c r="H310" s="51" t="s">
        <v>24</v>
      </c>
      <c r="I310" s="51" t="s">
        <v>258</v>
      </c>
      <c r="J310" s="53">
        <v>10.53</v>
      </c>
      <c r="K310" s="55">
        <v>100</v>
      </c>
      <c r="L310" s="55">
        <v>1751</v>
      </c>
      <c r="M310" s="55">
        <v>24</v>
      </c>
      <c r="N310" s="57">
        <v>0.57020000000000004</v>
      </c>
      <c r="O310" s="51"/>
      <c r="P310" s="53"/>
      <c r="Q310" s="55"/>
      <c r="R310" s="53"/>
      <c r="S310" s="53"/>
      <c r="T310" s="59"/>
      <c r="U310" s="55"/>
    </row>
    <row r="311" spans="1:21" x14ac:dyDescent="0.35">
      <c r="A311" s="50">
        <v>4004121</v>
      </c>
      <c r="B311" s="50" t="s">
        <v>1961</v>
      </c>
      <c r="C311" s="50" t="s">
        <v>1174</v>
      </c>
      <c r="D311" s="50">
        <v>10050801</v>
      </c>
      <c r="E311" s="50" t="s">
        <v>3321</v>
      </c>
      <c r="F311" s="50" t="s">
        <v>1173</v>
      </c>
      <c r="G311" s="50" t="s">
        <v>258</v>
      </c>
      <c r="H311" s="50"/>
      <c r="I311" s="50" t="s">
        <v>258</v>
      </c>
      <c r="J311" s="52">
        <v>20.62</v>
      </c>
      <c r="K311" s="54">
        <v>320</v>
      </c>
      <c r="L311" s="54">
        <v>1720</v>
      </c>
      <c r="M311" s="54">
        <v>24</v>
      </c>
      <c r="N311" s="56">
        <v>0.59970000000000001</v>
      </c>
      <c r="O311" s="50"/>
      <c r="P311" s="52">
        <v>23400</v>
      </c>
      <c r="Q311" s="54">
        <v>15</v>
      </c>
      <c r="R311" s="52">
        <v>12</v>
      </c>
      <c r="S311" s="52">
        <v>168</v>
      </c>
      <c r="T311" s="58"/>
      <c r="U311" s="54"/>
    </row>
    <row r="312" spans="1:21" x14ac:dyDescent="0.35">
      <c r="A312" s="51">
        <v>4004123</v>
      </c>
      <c r="B312" s="51" t="s">
        <v>1963</v>
      </c>
      <c r="C312" s="51" t="s">
        <v>1174</v>
      </c>
      <c r="D312" s="51">
        <v>10050104</v>
      </c>
      <c r="E312" s="51" t="s">
        <v>3291</v>
      </c>
      <c r="F312" s="51" t="s">
        <v>1173</v>
      </c>
      <c r="G312" s="51" t="s">
        <v>258</v>
      </c>
      <c r="H312" s="51"/>
      <c r="I312" s="51" t="s">
        <v>258</v>
      </c>
      <c r="J312" s="53">
        <v>5.41</v>
      </c>
      <c r="K312" s="55">
        <v>320</v>
      </c>
      <c r="L312" s="55">
        <v>205</v>
      </c>
      <c r="M312" s="55">
        <v>15</v>
      </c>
      <c r="N312" s="57">
        <v>1.0617000000000001</v>
      </c>
      <c r="O312" s="51"/>
      <c r="P312" s="53">
        <v>2100</v>
      </c>
      <c r="Q312" s="55">
        <v>1</v>
      </c>
      <c r="R312" s="53">
        <v>1</v>
      </c>
      <c r="S312" s="53">
        <v>1</v>
      </c>
      <c r="T312" s="59"/>
      <c r="U312" s="55"/>
    </row>
    <row r="313" spans="1:21" x14ac:dyDescent="0.35">
      <c r="A313" s="50">
        <v>4004124</v>
      </c>
      <c r="B313" s="50" t="s">
        <v>1965</v>
      </c>
      <c r="C313" s="50" t="s">
        <v>1174</v>
      </c>
      <c r="D313" s="50">
        <v>10050105</v>
      </c>
      <c r="E313" s="50" t="s">
        <v>3292</v>
      </c>
      <c r="F313" s="50" t="s">
        <v>1173</v>
      </c>
      <c r="G313" s="50" t="s">
        <v>258</v>
      </c>
      <c r="H313" s="50"/>
      <c r="I313" s="50" t="s">
        <v>258</v>
      </c>
      <c r="J313" s="52">
        <v>6.94</v>
      </c>
      <c r="K313" s="54">
        <v>513</v>
      </c>
      <c r="L313" s="54">
        <v>850</v>
      </c>
      <c r="M313" s="54">
        <v>23</v>
      </c>
      <c r="N313" s="56">
        <v>0.49690000000000001</v>
      </c>
      <c r="O313" s="50"/>
      <c r="P313" s="52">
        <v>7040</v>
      </c>
      <c r="Q313" s="54">
        <v>6</v>
      </c>
      <c r="R313" s="52">
        <v>8</v>
      </c>
      <c r="S313" s="52">
        <v>48</v>
      </c>
      <c r="T313" s="58"/>
      <c r="U313" s="54"/>
    </row>
    <row r="314" spans="1:21" x14ac:dyDescent="0.35">
      <c r="A314" s="51">
        <v>4004137</v>
      </c>
      <c r="B314" s="51" t="s">
        <v>1967</v>
      </c>
      <c r="C314" s="51" t="s">
        <v>1174</v>
      </c>
      <c r="D314" s="51">
        <v>10050607</v>
      </c>
      <c r="E314" s="51" t="s">
        <v>3315</v>
      </c>
      <c r="F314" s="51" t="s">
        <v>1173</v>
      </c>
      <c r="G314" s="51" t="s">
        <v>289</v>
      </c>
      <c r="H314" s="51" t="s">
        <v>141</v>
      </c>
      <c r="I314" s="51" t="s">
        <v>258</v>
      </c>
      <c r="J314" s="53">
        <v>14.7</v>
      </c>
      <c r="K314" s="55">
        <v>222</v>
      </c>
      <c r="L314" s="55">
        <v>13087</v>
      </c>
      <c r="M314" s="55">
        <v>24</v>
      </c>
      <c r="N314" s="57">
        <v>0.2036</v>
      </c>
      <c r="O314" s="51"/>
      <c r="P314" s="53"/>
      <c r="Q314" s="55"/>
      <c r="R314" s="53"/>
      <c r="S314" s="53"/>
      <c r="T314" s="59"/>
      <c r="U314" s="55"/>
    </row>
    <row r="315" spans="1:21" x14ac:dyDescent="0.35">
      <c r="A315" s="50">
        <v>4004147</v>
      </c>
      <c r="B315" s="50" t="s">
        <v>1969</v>
      </c>
      <c r="C315" s="50" t="s">
        <v>1174</v>
      </c>
      <c r="D315" s="50">
        <v>10030906</v>
      </c>
      <c r="E315" s="50" t="s">
        <v>3274</v>
      </c>
      <c r="F315" s="50" t="s">
        <v>1179</v>
      </c>
      <c r="G315" s="50" t="s">
        <v>258</v>
      </c>
      <c r="H315" s="50"/>
      <c r="I315" s="50" t="s">
        <v>258</v>
      </c>
      <c r="J315" s="52">
        <v>1.0831</v>
      </c>
      <c r="K315" s="54">
        <v>594</v>
      </c>
      <c r="L315" s="54">
        <v>16605</v>
      </c>
      <c r="M315" s="54">
        <v>24</v>
      </c>
      <c r="N315" s="56">
        <v>0.3463</v>
      </c>
      <c r="O315" s="50"/>
      <c r="P315" s="52">
        <v>10640</v>
      </c>
      <c r="Q315" s="54">
        <v>37</v>
      </c>
      <c r="R315" s="52">
        <v>7</v>
      </c>
      <c r="S315" s="52">
        <v>266</v>
      </c>
      <c r="T315" s="58"/>
      <c r="U315" s="54"/>
    </row>
    <row r="316" spans="1:21" x14ac:dyDescent="0.35">
      <c r="A316" s="51">
        <v>4004150</v>
      </c>
      <c r="B316" s="51" t="s">
        <v>1973</v>
      </c>
      <c r="C316" s="51" t="s">
        <v>1174</v>
      </c>
      <c r="D316" s="51">
        <v>10040101</v>
      </c>
      <c r="E316" s="51" t="s">
        <v>3279</v>
      </c>
      <c r="F316" s="51" t="s">
        <v>1173</v>
      </c>
      <c r="G316" s="51" t="s">
        <v>271</v>
      </c>
      <c r="H316" s="51" t="s">
        <v>141</v>
      </c>
      <c r="I316" s="51" t="s">
        <v>258</v>
      </c>
      <c r="J316" s="53">
        <v>57.02</v>
      </c>
      <c r="K316" s="55">
        <v>608</v>
      </c>
      <c r="L316" s="55">
        <v>6076</v>
      </c>
      <c r="M316" s="55">
        <v>24</v>
      </c>
      <c r="N316" s="57">
        <v>0.58009999999999995</v>
      </c>
      <c r="O316" s="51"/>
      <c r="P316" s="53">
        <v>342676</v>
      </c>
      <c r="Q316" s="55">
        <v>29</v>
      </c>
      <c r="R316" s="53">
        <v>200</v>
      </c>
      <c r="S316" s="53">
        <v>6200</v>
      </c>
      <c r="T316" s="59">
        <v>3</v>
      </c>
      <c r="U316" s="55">
        <v>1</v>
      </c>
    </row>
    <row r="317" spans="1:21" x14ac:dyDescent="0.35">
      <c r="A317" s="50">
        <v>4004157</v>
      </c>
      <c r="B317" s="50" t="s">
        <v>1977</v>
      </c>
      <c r="C317" s="50" t="s">
        <v>1174</v>
      </c>
      <c r="D317" s="50">
        <v>10050108</v>
      </c>
      <c r="E317" s="50" t="s">
        <v>3293</v>
      </c>
      <c r="F317" s="50" t="s">
        <v>1173</v>
      </c>
      <c r="G317" s="50" t="s">
        <v>271</v>
      </c>
      <c r="H317" s="50" t="s">
        <v>24</v>
      </c>
      <c r="I317" s="50" t="s">
        <v>258</v>
      </c>
      <c r="J317" s="52">
        <v>265.97000000000003</v>
      </c>
      <c r="K317" s="54">
        <v>40</v>
      </c>
      <c r="L317" s="54">
        <v>2675</v>
      </c>
      <c r="M317" s="54">
        <v>24</v>
      </c>
      <c r="N317" s="56">
        <v>0.17960000000000001</v>
      </c>
      <c r="O317" s="50"/>
      <c r="P317" s="52"/>
      <c r="Q317" s="54"/>
      <c r="R317" s="52"/>
      <c r="S317" s="52"/>
      <c r="T317" s="58"/>
      <c r="U317" s="54"/>
    </row>
    <row r="318" spans="1:21" x14ac:dyDescent="0.35">
      <c r="A318" s="51">
        <v>4004166</v>
      </c>
      <c r="B318" s="51" t="s">
        <v>1979</v>
      </c>
      <c r="C318" s="51" t="s">
        <v>1174</v>
      </c>
      <c r="D318" s="51">
        <v>10050801</v>
      </c>
      <c r="E318" s="51" t="s">
        <v>3321</v>
      </c>
      <c r="F318" s="51" t="s">
        <v>1178</v>
      </c>
      <c r="G318" s="51" t="s">
        <v>289</v>
      </c>
      <c r="H318" s="51" t="s">
        <v>141</v>
      </c>
      <c r="I318" s="51" t="s">
        <v>258</v>
      </c>
      <c r="J318" s="53">
        <v>15.83</v>
      </c>
      <c r="K318" s="55">
        <v>128</v>
      </c>
      <c r="L318" s="55">
        <v>6322</v>
      </c>
      <c r="M318" s="55">
        <v>24</v>
      </c>
      <c r="N318" s="57">
        <v>0.2762</v>
      </c>
      <c r="O318" s="51"/>
      <c r="P318" s="53"/>
      <c r="Q318" s="55"/>
      <c r="R318" s="53"/>
      <c r="S318" s="53"/>
      <c r="T318" s="59"/>
      <c r="U318" s="55"/>
    </row>
    <row r="319" spans="1:21" x14ac:dyDescent="0.35">
      <c r="A319" s="50">
        <v>4004168</v>
      </c>
      <c r="B319" s="50" t="s">
        <v>1981</v>
      </c>
      <c r="C319" s="50" t="s">
        <v>1174</v>
      </c>
      <c r="D319" s="50">
        <v>10050108</v>
      </c>
      <c r="E319" s="50" t="s">
        <v>3293</v>
      </c>
      <c r="F319" s="50" t="s">
        <v>1173</v>
      </c>
      <c r="G319" s="50" t="s">
        <v>258</v>
      </c>
      <c r="H319" s="50"/>
      <c r="I319" s="50" t="s">
        <v>258</v>
      </c>
      <c r="J319" s="52">
        <v>122.37</v>
      </c>
      <c r="K319" s="54">
        <v>53</v>
      </c>
      <c r="L319" s="54">
        <v>79</v>
      </c>
      <c r="M319" s="54">
        <v>14</v>
      </c>
      <c r="N319" s="56">
        <v>1.0793999999999999</v>
      </c>
      <c r="O319" s="50"/>
      <c r="P319" s="52">
        <v>9003.48</v>
      </c>
      <c r="Q319" s="54">
        <v>9</v>
      </c>
      <c r="R319" s="52">
        <v>1</v>
      </c>
      <c r="S319" s="52">
        <v>9</v>
      </c>
      <c r="T319" s="58"/>
      <c r="U319" s="54"/>
    </row>
    <row r="320" spans="1:21" x14ac:dyDescent="0.35">
      <c r="A320" s="51">
        <v>4004200</v>
      </c>
      <c r="B320" s="51" t="s">
        <v>1985</v>
      </c>
      <c r="C320" s="51" t="s">
        <v>1174</v>
      </c>
      <c r="D320" s="51">
        <v>10050404</v>
      </c>
      <c r="E320" s="51" t="s">
        <v>3301</v>
      </c>
      <c r="F320" s="51" t="s">
        <v>1173</v>
      </c>
      <c r="G320" s="51" t="s">
        <v>258</v>
      </c>
      <c r="H320" s="51"/>
      <c r="I320" s="51" t="s">
        <v>258</v>
      </c>
      <c r="J320" s="53">
        <v>0.64839999999999998</v>
      </c>
      <c r="K320" s="55">
        <v>180</v>
      </c>
      <c r="L320" s="55">
        <v>1170</v>
      </c>
      <c r="M320" s="55">
        <v>19</v>
      </c>
      <c r="N320" s="57">
        <v>0.84850000000000003</v>
      </c>
      <c r="O320" s="51"/>
      <c r="P320" s="53">
        <v>207</v>
      </c>
      <c r="Q320" s="55">
        <v>14</v>
      </c>
      <c r="R320" s="53">
        <v>3</v>
      </c>
      <c r="S320" s="53">
        <v>39</v>
      </c>
      <c r="T320" s="59"/>
      <c r="U320" s="55"/>
    </row>
    <row r="321" spans="1:21" x14ac:dyDescent="0.35">
      <c r="A321" s="50">
        <v>4004201</v>
      </c>
      <c r="B321" s="50" t="s">
        <v>1987</v>
      </c>
      <c r="C321" s="50" t="s">
        <v>1174</v>
      </c>
      <c r="D321" s="50">
        <v>10050404</v>
      </c>
      <c r="E321" s="50" t="s">
        <v>3301</v>
      </c>
      <c r="F321" s="50" t="s">
        <v>1173</v>
      </c>
      <c r="G321" s="50" t="s">
        <v>258</v>
      </c>
      <c r="H321" s="50"/>
      <c r="I321" s="50" t="s">
        <v>258</v>
      </c>
      <c r="J321" s="52">
        <v>0.8347</v>
      </c>
      <c r="K321" s="54">
        <v>180</v>
      </c>
      <c r="L321" s="54">
        <v>1530</v>
      </c>
      <c r="M321" s="54">
        <v>20</v>
      </c>
      <c r="N321" s="56">
        <v>0.80730000000000002</v>
      </c>
      <c r="O321" s="50"/>
      <c r="P321" s="52">
        <v>372</v>
      </c>
      <c r="Q321" s="54">
        <v>13</v>
      </c>
      <c r="R321" s="52">
        <v>4</v>
      </c>
      <c r="S321" s="52">
        <v>52</v>
      </c>
      <c r="T321" s="58"/>
      <c r="U321" s="54"/>
    </row>
    <row r="322" spans="1:21" x14ac:dyDescent="0.35">
      <c r="A322" s="51">
        <v>4004203</v>
      </c>
      <c r="B322" s="51" t="s">
        <v>1989</v>
      </c>
      <c r="C322" s="51" t="s">
        <v>1174</v>
      </c>
      <c r="D322" s="51">
        <v>10030801</v>
      </c>
      <c r="E322" s="51" t="s">
        <v>3266</v>
      </c>
      <c r="F322" s="51" t="s">
        <v>1173</v>
      </c>
      <c r="G322" s="51" t="s">
        <v>258</v>
      </c>
      <c r="H322" s="51"/>
      <c r="I322" s="51" t="s">
        <v>258</v>
      </c>
      <c r="J322" s="53">
        <v>0.54810000000000003</v>
      </c>
      <c r="K322" s="55">
        <v>3500</v>
      </c>
      <c r="L322" s="55">
        <v>8500</v>
      </c>
      <c r="M322" s="55">
        <v>20</v>
      </c>
      <c r="N322" s="57">
        <v>1.1811</v>
      </c>
      <c r="O322" s="51"/>
      <c r="P322" s="53">
        <v>3870</v>
      </c>
      <c r="Q322" s="55">
        <v>4</v>
      </c>
      <c r="R322" s="53">
        <v>1</v>
      </c>
      <c r="S322" s="53">
        <v>4</v>
      </c>
      <c r="T322" s="59"/>
      <c r="U322" s="55"/>
    </row>
    <row r="323" spans="1:21" x14ac:dyDescent="0.35">
      <c r="A323" s="50">
        <v>4004205</v>
      </c>
      <c r="B323" s="50" t="s">
        <v>1991</v>
      </c>
      <c r="C323" s="50" t="s">
        <v>1174</v>
      </c>
      <c r="D323" s="50">
        <v>10050109</v>
      </c>
      <c r="E323" s="50" t="s">
        <v>3294</v>
      </c>
      <c r="F323" s="50" t="s">
        <v>1173</v>
      </c>
      <c r="G323" s="50" t="s">
        <v>289</v>
      </c>
      <c r="H323" s="50"/>
      <c r="I323" s="50" t="s">
        <v>258</v>
      </c>
      <c r="J323" s="52">
        <v>3.56</v>
      </c>
      <c r="K323" s="54">
        <v>560</v>
      </c>
      <c r="L323" s="54">
        <v>25580</v>
      </c>
      <c r="M323" s="54">
        <v>24</v>
      </c>
      <c r="N323" s="56">
        <v>0.2414</v>
      </c>
      <c r="O323" s="50"/>
      <c r="P323" s="52"/>
      <c r="Q323" s="54"/>
      <c r="R323" s="52"/>
      <c r="S323" s="52"/>
      <c r="T323" s="58"/>
      <c r="U323" s="54"/>
    </row>
    <row r="324" spans="1:21" x14ac:dyDescent="0.35">
      <c r="A324" s="51">
        <v>4004236</v>
      </c>
      <c r="B324" s="51" t="s">
        <v>1993</v>
      </c>
      <c r="C324" s="51" t="s">
        <v>1174</v>
      </c>
      <c r="D324" s="51">
        <v>10050801</v>
      </c>
      <c r="E324" s="51" t="s">
        <v>3321</v>
      </c>
      <c r="F324" s="51" t="s">
        <v>1173</v>
      </c>
      <c r="G324" s="51" t="s">
        <v>258</v>
      </c>
      <c r="H324" s="51"/>
      <c r="I324" s="51" t="s">
        <v>258</v>
      </c>
      <c r="J324" s="53">
        <v>11.35</v>
      </c>
      <c r="K324" s="55">
        <v>130</v>
      </c>
      <c r="L324" s="55">
        <v>4770</v>
      </c>
      <c r="M324" s="55">
        <v>24</v>
      </c>
      <c r="N324" s="57">
        <v>0.28770000000000001</v>
      </c>
      <c r="O324" s="51"/>
      <c r="P324" s="53"/>
      <c r="Q324" s="55"/>
      <c r="R324" s="53"/>
      <c r="S324" s="53"/>
      <c r="T324" s="59"/>
      <c r="U324" s="55"/>
    </row>
    <row r="325" spans="1:21" x14ac:dyDescent="0.35">
      <c r="A325" s="50">
        <v>4004237</v>
      </c>
      <c r="B325" s="50" t="s">
        <v>1995</v>
      </c>
      <c r="C325" s="50" t="s">
        <v>1174</v>
      </c>
      <c r="D325" s="50">
        <v>10050308</v>
      </c>
      <c r="E325" s="50" t="s">
        <v>3299</v>
      </c>
      <c r="F325" s="50" t="s">
        <v>1173</v>
      </c>
      <c r="G325" s="50" t="s">
        <v>258</v>
      </c>
      <c r="H325" s="50"/>
      <c r="I325" s="50" t="s">
        <v>258</v>
      </c>
      <c r="J325" s="52">
        <v>1.0406</v>
      </c>
      <c r="K325" s="54">
        <v>1200</v>
      </c>
      <c r="L325" s="54">
        <v>6900</v>
      </c>
      <c r="M325" s="54">
        <v>20</v>
      </c>
      <c r="N325" s="56">
        <v>0.86560000000000004</v>
      </c>
      <c r="O325" s="50"/>
      <c r="P325" s="52">
        <v>8220</v>
      </c>
      <c r="Q325" s="54">
        <v>4</v>
      </c>
      <c r="R325" s="52">
        <v>1</v>
      </c>
      <c r="S325" s="52">
        <v>4</v>
      </c>
      <c r="T325" s="58"/>
      <c r="U325" s="54"/>
    </row>
    <row r="326" spans="1:21" x14ac:dyDescent="0.35">
      <c r="A326" s="51">
        <v>4004238</v>
      </c>
      <c r="B326" s="51" t="s">
        <v>1997</v>
      </c>
      <c r="C326" s="51" t="s">
        <v>1174</v>
      </c>
      <c r="D326" s="51">
        <v>10050104</v>
      </c>
      <c r="E326" s="51" t="s">
        <v>3291</v>
      </c>
      <c r="F326" s="51" t="s">
        <v>1173</v>
      </c>
      <c r="G326" s="51" t="s">
        <v>258</v>
      </c>
      <c r="H326" s="51" t="s">
        <v>24</v>
      </c>
      <c r="I326" s="51" t="s">
        <v>258</v>
      </c>
      <c r="J326" s="53">
        <v>16.579999999999998</v>
      </c>
      <c r="K326" s="55">
        <v>130</v>
      </c>
      <c r="L326" s="55">
        <v>590</v>
      </c>
      <c r="M326" s="55">
        <v>20</v>
      </c>
      <c r="N326" s="57">
        <v>0.75170000000000003</v>
      </c>
      <c r="O326" s="51"/>
      <c r="P326" s="53">
        <v>10800</v>
      </c>
      <c r="Q326" s="55">
        <v>7</v>
      </c>
      <c r="R326" s="53">
        <v>2.29</v>
      </c>
      <c r="S326" s="53">
        <v>16</v>
      </c>
      <c r="T326" s="59"/>
      <c r="U326" s="55"/>
    </row>
    <row r="327" spans="1:21" x14ac:dyDescent="0.35">
      <c r="A327" s="50">
        <v>4004240</v>
      </c>
      <c r="B327" s="50" t="s">
        <v>1999</v>
      </c>
      <c r="C327" s="50" t="s">
        <v>1174</v>
      </c>
      <c r="D327" s="50">
        <v>10050801</v>
      </c>
      <c r="E327" s="50" t="s">
        <v>3321</v>
      </c>
      <c r="F327" s="50" t="s">
        <v>1173</v>
      </c>
      <c r="G327" s="50" t="s">
        <v>258</v>
      </c>
      <c r="H327" s="50"/>
      <c r="I327" s="50" t="s">
        <v>258</v>
      </c>
      <c r="J327" s="52">
        <v>1.03</v>
      </c>
      <c r="K327" s="54">
        <v>1200</v>
      </c>
      <c r="L327" s="54">
        <v>31150</v>
      </c>
      <c r="M327" s="54">
        <v>24</v>
      </c>
      <c r="N327" s="56">
        <v>0.32790000000000002</v>
      </c>
      <c r="O327" s="50"/>
      <c r="P327" s="52">
        <v>22680</v>
      </c>
      <c r="Q327" s="54">
        <v>41</v>
      </c>
      <c r="R327" s="52">
        <v>12.29</v>
      </c>
      <c r="S327" s="52">
        <v>504</v>
      </c>
      <c r="T327" s="58"/>
      <c r="U327" s="54"/>
    </row>
    <row r="328" spans="1:21" x14ac:dyDescent="0.35">
      <c r="A328" s="51">
        <v>4004241</v>
      </c>
      <c r="B328" s="51" t="s">
        <v>2001</v>
      </c>
      <c r="C328" s="51" t="s">
        <v>1174</v>
      </c>
      <c r="D328" s="51">
        <v>10050801</v>
      </c>
      <c r="E328" s="51" t="s">
        <v>3321</v>
      </c>
      <c r="F328" s="51" t="s">
        <v>1173</v>
      </c>
      <c r="G328" s="51" t="s">
        <v>258</v>
      </c>
      <c r="H328" s="51"/>
      <c r="I328" s="51" t="s">
        <v>258</v>
      </c>
      <c r="J328" s="53">
        <v>1.83</v>
      </c>
      <c r="K328" s="55">
        <v>500</v>
      </c>
      <c r="L328" s="55">
        <v>17260</v>
      </c>
      <c r="M328" s="55">
        <v>24</v>
      </c>
      <c r="N328" s="57">
        <v>0.36499999999999999</v>
      </c>
      <c r="O328" s="51"/>
      <c r="P328" s="53">
        <v>27550</v>
      </c>
      <c r="Q328" s="55">
        <v>29</v>
      </c>
      <c r="R328" s="53">
        <v>5</v>
      </c>
      <c r="S328" s="53">
        <v>145</v>
      </c>
      <c r="T328" s="59"/>
      <c r="U328" s="55"/>
    </row>
    <row r="329" spans="1:21" x14ac:dyDescent="0.35">
      <c r="A329" s="50">
        <v>4004246</v>
      </c>
      <c r="B329" s="50" t="s">
        <v>2003</v>
      </c>
      <c r="C329" s="50" t="s">
        <v>1174</v>
      </c>
      <c r="D329" s="50">
        <v>10050504</v>
      </c>
      <c r="E329" s="50" t="s">
        <v>3305</v>
      </c>
      <c r="F329" s="50" t="s">
        <v>1173</v>
      </c>
      <c r="G329" s="50" t="s">
        <v>258</v>
      </c>
      <c r="H329" s="50" t="s">
        <v>24</v>
      </c>
      <c r="I329" s="50"/>
      <c r="J329" s="52">
        <v>11.11</v>
      </c>
      <c r="K329" s="54">
        <v>1400</v>
      </c>
      <c r="L329" s="54">
        <v>7690</v>
      </c>
      <c r="M329" s="54">
        <v>12</v>
      </c>
      <c r="N329" s="56">
        <v>1.8127</v>
      </c>
      <c r="O329" s="50"/>
      <c r="P329" s="52">
        <v>9600</v>
      </c>
      <c r="Q329" s="54">
        <v>1</v>
      </c>
      <c r="R329" s="52">
        <v>12</v>
      </c>
      <c r="S329" s="52">
        <v>12</v>
      </c>
      <c r="T329" s="58"/>
      <c r="U329" s="54"/>
    </row>
    <row r="330" spans="1:21" x14ac:dyDescent="0.35">
      <c r="A330" s="51">
        <v>4004247</v>
      </c>
      <c r="B330" s="51" t="s">
        <v>2005</v>
      </c>
      <c r="C330" s="51" t="s">
        <v>1174</v>
      </c>
      <c r="D330" s="51">
        <v>10050504</v>
      </c>
      <c r="E330" s="51" t="s">
        <v>3305</v>
      </c>
      <c r="F330" s="51" t="s">
        <v>1173</v>
      </c>
      <c r="G330" s="51" t="s">
        <v>258</v>
      </c>
      <c r="H330" s="51" t="s">
        <v>141</v>
      </c>
      <c r="I330" s="51"/>
      <c r="J330" s="53">
        <v>8</v>
      </c>
      <c r="K330" s="55">
        <v>1090</v>
      </c>
      <c r="L330" s="55">
        <v>1170</v>
      </c>
      <c r="M330" s="55">
        <v>7</v>
      </c>
      <c r="N330" s="57">
        <v>3.2854000000000001</v>
      </c>
      <c r="O330" s="51"/>
      <c r="P330" s="53"/>
      <c r="Q330" s="55"/>
      <c r="R330" s="53"/>
      <c r="S330" s="53"/>
      <c r="T330" s="59"/>
      <c r="U330" s="55"/>
    </row>
    <row r="331" spans="1:21" x14ac:dyDescent="0.35">
      <c r="A331" s="50">
        <v>4004248</v>
      </c>
      <c r="B331" s="50" t="s">
        <v>2007</v>
      </c>
      <c r="C331" s="50" t="s">
        <v>1174</v>
      </c>
      <c r="D331" s="50">
        <v>10060107</v>
      </c>
      <c r="E331" s="50" t="s">
        <v>3325</v>
      </c>
      <c r="F331" s="50" t="s">
        <v>1173</v>
      </c>
      <c r="G331" s="50" t="s">
        <v>258</v>
      </c>
      <c r="H331" s="50"/>
      <c r="I331" s="50"/>
      <c r="J331" s="52">
        <v>8</v>
      </c>
      <c r="K331" s="54">
        <v>2070</v>
      </c>
      <c r="L331" s="54">
        <v>240</v>
      </c>
      <c r="M331" s="54">
        <v>5</v>
      </c>
      <c r="N331" s="56">
        <v>2.7538</v>
      </c>
      <c r="O331" s="50" t="s">
        <v>3230</v>
      </c>
      <c r="P331" s="52">
        <v>9600</v>
      </c>
      <c r="Q331" s="54">
        <v>1</v>
      </c>
      <c r="R331" s="52">
        <v>12</v>
      </c>
      <c r="S331" s="52">
        <v>12</v>
      </c>
      <c r="T331" s="58"/>
      <c r="U331" s="54"/>
    </row>
    <row r="332" spans="1:21" x14ac:dyDescent="0.35">
      <c r="A332" s="51">
        <v>4004250</v>
      </c>
      <c r="B332" s="51" t="s">
        <v>2009</v>
      </c>
      <c r="C332" s="51" t="s">
        <v>1174</v>
      </c>
      <c r="D332" s="51">
        <v>10050504</v>
      </c>
      <c r="E332" s="51" t="s">
        <v>3305</v>
      </c>
      <c r="F332" s="51" t="s">
        <v>1173</v>
      </c>
      <c r="G332" s="51" t="s">
        <v>289</v>
      </c>
      <c r="H332" s="51" t="s">
        <v>24</v>
      </c>
      <c r="I332" s="51" t="s">
        <v>258</v>
      </c>
      <c r="J332" s="53">
        <v>35.53</v>
      </c>
      <c r="K332" s="55">
        <v>1439</v>
      </c>
      <c r="L332" s="55">
        <v>14481</v>
      </c>
      <c r="M332" s="55">
        <v>20</v>
      </c>
      <c r="N332" s="57">
        <v>0.72319999999999995</v>
      </c>
      <c r="O332" s="51"/>
      <c r="P332" s="53">
        <v>96000</v>
      </c>
      <c r="Q332" s="55">
        <v>5</v>
      </c>
      <c r="R332" s="53">
        <v>15</v>
      </c>
      <c r="S332" s="53">
        <v>75</v>
      </c>
      <c r="T332" s="59"/>
      <c r="U332" s="55"/>
    </row>
    <row r="333" spans="1:21" x14ac:dyDescent="0.35">
      <c r="A333" s="50">
        <v>4004259</v>
      </c>
      <c r="B333" s="50" t="s">
        <v>2011</v>
      </c>
      <c r="C333" s="50" t="s">
        <v>1174</v>
      </c>
      <c r="D333" s="50">
        <v>10050505</v>
      </c>
      <c r="E333" s="50" t="s">
        <v>3306</v>
      </c>
      <c r="F333" s="50" t="s">
        <v>1173</v>
      </c>
      <c r="G333" s="50" t="s">
        <v>258</v>
      </c>
      <c r="H333" s="50" t="s">
        <v>24</v>
      </c>
      <c r="I333" s="50" t="s">
        <v>258</v>
      </c>
      <c r="J333" s="52">
        <v>16.54</v>
      </c>
      <c r="K333" s="54">
        <v>71</v>
      </c>
      <c r="L333" s="54">
        <v>450</v>
      </c>
      <c r="M333" s="54">
        <v>21</v>
      </c>
      <c r="N333" s="56">
        <v>0.71489999999999998</v>
      </c>
      <c r="O333" s="50"/>
      <c r="P333" s="52">
        <v>695</v>
      </c>
      <c r="Q333" s="54">
        <v>2</v>
      </c>
      <c r="R333" s="52">
        <v>1</v>
      </c>
      <c r="S333" s="52">
        <v>2</v>
      </c>
      <c r="T333" s="58"/>
      <c r="U333" s="54"/>
    </row>
    <row r="334" spans="1:21" x14ac:dyDescent="0.35">
      <c r="A334" s="51">
        <v>4004262</v>
      </c>
      <c r="B334" s="51" t="s">
        <v>2013</v>
      </c>
      <c r="C334" s="51" t="s">
        <v>1174</v>
      </c>
      <c r="D334" s="51">
        <v>10039999</v>
      </c>
      <c r="E334" s="51" t="s">
        <v>3278</v>
      </c>
      <c r="F334" s="51" t="s">
        <v>1178</v>
      </c>
      <c r="G334" s="51" t="s">
        <v>258</v>
      </c>
      <c r="H334" s="51" t="s">
        <v>24</v>
      </c>
      <c r="I334" s="51" t="s">
        <v>258</v>
      </c>
      <c r="J334" s="53">
        <v>45.74</v>
      </c>
      <c r="K334" s="55">
        <v>40</v>
      </c>
      <c r="L334" s="55">
        <v>940</v>
      </c>
      <c r="M334" s="55">
        <v>24</v>
      </c>
      <c r="N334" s="57">
        <v>0.45379999999999998</v>
      </c>
      <c r="O334" s="51"/>
      <c r="P334" s="53">
        <v>33702.300000000003</v>
      </c>
      <c r="Q334" s="55">
        <v>12</v>
      </c>
      <c r="R334" s="53">
        <v>3.25</v>
      </c>
      <c r="S334" s="53">
        <v>39</v>
      </c>
      <c r="T334" s="59"/>
      <c r="U334" s="55"/>
    </row>
    <row r="335" spans="1:21" x14ac:dyDescent="0.35">
      <c r="A335" s="50">
        <v>4004269</v>
      </c>
      <c r="B335" s="50" t="s">
        <v>2015</v>
      </c>
      <c r="C335" s="50" t="s">
        <v>1174</v>
      </c>
      <c r="D335" s="50">
        <v>10050606</v>
      </c>
      <c r="E335" s="50" t="s">
        <v>3314</v>
      </c>
      <c r="F335" s="50" t="s">
        <v>1173</v>
      </c>
      <c r="G335" s="50" t="s">
        <v>258</v>
      </c>
      <c r="H335" s="50" t="s">
        <v>141</v>
      </c>
      <c r="I335" s="50" t="s">
        <v>258</v>
      </c>
      <c r="J335" s="52">
        <v>1.1048</v>
      </c>
      <c r="K335" s="54">
        <v>2310</v>
      </c>
      <c r="L335" s="54">
        <v>8300</v>
      </c>
      <c r="M335" s="54">
        <v>14</v>
      </c>
      <c r="N335" s="56">
        <v>1.1921999999999999</v>
      </c>
      <c r="O335" s="50"/>
      <c r="P335" s="52">
        <v>10560</v>
      </c>
      <c r="Q335" s="54">
        <v>8</v>
      </c>
      <c r="R335" s="52">
        <v>12</v>
      </c>
      <c r="S335" s="52">
        <v>96</v>
      </c>
      <c r="T335" s="58"/>
      <c r="U335" s="54"/>
    </row>
    <row r="336" spans="1:21" x14ac:dyDescent="0.35">
      <c r="A336" s="51">
        <v>4004276</v>
      </c>
      <c r="B336" s="51" t="s">
        <v>2019</v>
      </c>
      <c r="C336" s="51" t="s">
        <v>1174</v>
      </c>
      <c r="D336" s="51">
        <v>10050109</v>
      </c>
      <c r="E336" s="51" t="s">
        <v>3294</v>
      </c>
      <c r="F336" s="51" t="s">
        <v>1173</v>
      </c>
      <c r="G336" s="51" t="s">
        <v>271</v>
      </c>
      <c r="H336" s="51"/>
      <c r="I336" s="51" t="s">
        <v>289</v>
      </c>
      <c r="J336" s="53">
        <v>10.59</v>
      </c>
      <c r="K336" s="55">
        <v>110</v>
      </c>
      <c r="L336" s="55">
        <v>79465</v>
      </c>
      <c r="M336" s="55">
        <v>24</v>
      </c>
      <c r="N336" s="57">
        <v>0.14219999999999999</v>
      </c>
      <c r="O336" s="51"/>
      <c r="P336" s="53"/>
      <c r="Q336" s="55"/>
      <c r="R336" s="53"/>
      <c r="S336" s="53"/>
      <c r="T336" s="59"/>
      <c r="U336" s="55"/>
    </row>
    <row r="337" spans="1:21" x14ac:dyDescent="0.35">
      <c r="A337" s="50">
        <v>4004280</v>
      </c>
      <c r="B337" s="50" t="s">
        <v>2021</v>
      </c>
      <c r="C337" s="50" t="s">
        <v>1174</v>
      </c>
      <c r="D337" s="50">
        <v>10050801</v>
      </c>
      <c r="E337" s="50" t="s">
        <v>3321</v>
      </c>
      <c r="F337" s="50" t="s">
        <v>1173</v>
      </c>
      <c r="G337" s="50" t="s">
        <v>258</v>
      </c>
      <c r="H337" s="50"/>
      <c r="I337" s="50" t="s">
        <v>258</v>
      </c>
      <c r="J337" s="52">
        <v>4.3</v>
      </c>
      <c r="K337" s="54">
        <v>970</v>
      </c>
      <c r="L337" s="54">
        <v>5140</v>
      </c>
      <c r="M337" s="54">
        <v>24</v>
      </c>
      <c r="N337" s="56">
        <v>0.57830000000000004</v>
      </c>
      <c r="O337" s="50"/>
      <c r="P337" s="52">
        <v>19266</v>
      </c>
      <c r="Q337" s="54">
        <v>13</v>
      </c>
      <c r="R337" s="52">
        <v>13</v>
      </c>
      <c r="S337" s="52">
        <v>169</v>
      </c>
      <c r="T337" s="58"/>
      <c r="U337" s="54"/>
    </row>
    <row r="338" spans="1:21" x14ac:dyDescent="0.35">
      <c r="A338" s="51">
        <v>4004281</v>
      </c>
      <c r="B338" s="51" t="s">
        <v>2023</v>
      </c>
      <c r="C338" s="51" t="s">
        <v>1174</v>
      </c>
      <c r="D338" s="51">
        <v>10050801</v>
      </c>
      <c r="E338" s="51" t="s">
        <v>3321</v>
      </c>
      <c r="F338" s="51" t="s">
        <v>1173</v>
      </c>
      <c r="G338" s="51" t="s">
        <v>258</v>
      </c>
      <c r="H338" s="51"/>
      <c r="I338" s="51" t="s">
        <v>258</v>
      </c>
      <c r="J338" s="53">
        <v>6.56</v>
      </c>
      <c r="K338" s="55">
        <v>500</v>
      </c>
      <c r="L338" s="55">
        <v>1255</v>
      </c>
      <c r="M338" s="55">
        <v>24</v>
      </c>
      <c r="N338" s="57">
        <v>0.82620000000000005</v>
      </c>
      <c r="O338" s="51"/>
      <c r="P338" s="53">
        <v>7872</v>
      </c>
      <c r="Q338" s="55">
        <v>6</v>
      </c>
      <c r="R338" s="53">
        <v>20</v>
      </c>
      <c r="S338" s="53">
        <v>120</v>
      </c>
      <c r="T338" s="59"/>
      <c r="U338" s="55"/>
    </row>
    <row r="339" spans="1:21" x14ac:dyDescent="0.35">
      <c r="A339" s="50">
        <v>4004319</v>
      </c>
      <c r="B339" s="50" t="s">
        <v>2025</v>
      </c>
      <c r="C339" s="50" t="s">
        <v>1174</v>
      </c>
      <c r="D339" s="50">
        <v>10050103</v>
      </c>
      <c r="E339" s="50" t="s">
        <v>3290</v>
      </c>
      <c r="F339" s="50" t="s">
        <v>1173</v>
      </c>
      <c r="G339" s="50" t="s">
        <v>289</v>
      </c>
      <c r="H339" s="50"/>
      <c r="I339" s="50" t="s">
        <v>258</v>
      </c>
      <c r="J339" s="52">
        <v>31.78</v>
      </c>
      <c r="K339" s="54">
        <v>90</v>
      </c>
      <c r="L339" s="54">
        <v>4460</v>
      </c>
      <c r="M339" s="54">
        <v>24</v>
      </c>
      <c r="N339" s="56">
        <v>0.26679999999999998</v>
      </c>
      <c r="O339" s="50"/>
      <c r="P339" s="52"/>
      <c r="Q339" s="54"/>
      <c r="R339" s="52"/>
      <c r="S339" s="52"/>
      <c r="T339" s="58"/>
      <c r="U339" s="54"/>
    </row>
    <row r="340" spans="1:21" x14ac:dyDescent="0.35">
      <c r="A340" s="51">
        <v>4004353</v>
      </c>
      <c r="B340" s="51" t="s">
        <v>2031</v>
      </c>
      <c r="C340" s="51" t="s">
        <v>1174</v>
      </c>
      <c r="D340" s="51">
        <v>10030904</v>
      </c>
      <c r="E340" s="51" t="s">
        <v>3272</v>
      </c>
      <c r="F340" s="51" t="s">
        <v>1173</v>
      </c>
      <c r="G340" s="51" t="s">
        <v>258</v>
      </c>
      <c r="H340" s="51" t="s">
        <v>141</v>
      </c>
      <c r="I340" s="51" t="s">
        <v>258</v>
      </c>
      <c r="J340" s="53">
        <v>18.32</v>
      </c>
      <c r="K340" s="55">
        <v>345</v>
      </c>
      <c r="L340" s="55">
        <v>4947</v>
      </c>
      <c r="M340" s="55">
        <v>24</v>
      </c>
      <c r="N340" s="57">
        <v>0.34699999999999998</v>
      </c>
      <c r="O340" s="51"/>
      <c r="P340" s="53"/>
      <c r="Q340" s="55"/>
      <c r="R340" s="53"/>
      <c r="S340" s="53"/>
      <c r="T340" s="59"/>
      <c r="U340" s="55"/>
    </row>
    <row r="341" spans="1:21" x14ac:dyDescent="0.35">
      <c r="A341" s="50">
        <v>4004354</v>
      </c>
      <c r="B341" s="50" t="s">
        <v>2033</v>
      </c>
      <c r="C341" s="50" t="s">
        <v>1174</v>
      </c>
      <c r="D341" s="50">
        <v>10030904</v>
      </c>
      <c r="E341" s="50" t="s">
        <v>3272</v>
      </c>
      <c r="F341" s="50" t="s">
        <v>1173</v>
      </c>
      <c r="G341" s="50" t="s">
        <v>289</v>
      </c>
      <c r="H341" s="50" t="s">
        <v>141</v>
      </c>
      <c r="I341" s="50" t="s">
        <v>258</v>
      </c>
      <c r="J341" s="52">
        <v>18.18</v>
      </c>
      <c r="K341" s="54">
        <v>225</v>
      </c>
      <c r="L341" s="54">
        <v>16287</v>
      </c>
      <c r="M341" s="54">
        <v>24</v>
      </c>
      <c r="N341" s="56">
        <v>0.1585</v>
      </c>
      <c r="O341" s="50"/>
      <c r="P341" s="52"/>
      <c r="Q341" s="54"/>
      <c r="R341" s="52"/>
      <c r="S341" s="52"/>
      <c r="T341" s="58"/>
      <c r="U341" s="54"/>
    </row>
    <row r="342" spans="1:21" x14ac:dyDescent="0.35">
      <c r="A342" s="51">
        <v>4004355</v>
      </c>
      <c r="B342" s="51" t="s">
        <v>2035</v>
      </c>
      <c r="C342" s="51" t="s">
        <v>1174</v>
      </c>
      <c r="D342" s="51">
        <v>10030904</v>
      </c>
      <c r="E342" s="51" t="s">
        <v>3272</v>
      </c>
      <c r="F342" s="51" t="s">
        <v>1173</v>
      </c>
      <c r="G342" s="51" t="s">
        <v>258</v>
      </c>
      <c r="H342" s="51" t="s">
        <v>141</v>
      </c>
      <c r="I342" s="51" t="s">
        <v>258</v>
      </c>
      <c r="J342" s="53">
        <v>18.12</v>
      </c>
      <c r="K342" s="55">
        <v>250</v>
      </c>
      <c r="L342" s="55">
        <v>3710</v>
      </c>
      <c r="M342" s="55">
        <v>24</v>
      </c>
      <c r="N342" s="57">
        <v>0.42599999999999999</v>
      </c>
      <c r="O342" s="51"/>
      <c r="P342" s="53"/>
      <c r="Q342" s="55"/>
      <c r="R342" s="53"/>
      <c r="S342" s="53"/>
      <c r="T342" s="59"/>
      <c r="U342" s="55"/>
    </row>
    <row r="343" spans="1:21" x14ac:dyDescent="0.35">
      <c r="A343" s="50">
        <v>4004359</v>
      </c>
      <c r="B343" s="50" t="s">
        <v>2037</v>
      </c>
      <c r="C343" s="50" t="s">
        <v>1174</v>
      </c>
      <c r="D343" s="50">
        <v>10050801</v>
      </c>
      <c r="E343" s="50" t="s">
        <v>3321</v>
      </c>
      <c r="F343" s="50" t="s">
        <v>1181</v>
      </c>
      <c r="G343" s="50" t="s">
        <v>258</v>
      </c>
      <c r="H343" s="50"/>
      <c r="I343" s="50" t="s">
        <v>258</v>
      </c>
      <c r="J343" s="52">
        <v>26.8</v>
      </c>
      <c r="K343" s="54">
        <v>33</v>
      </c>
      <c r="L343" s="54">
        <v>1095</v>
      </c>
      <c r="M343" s="54">
        <v>24</v>
      </c>
      <c r="N343" s="56">
        <v>0.40060000000000001</v>
      </c>
      <c r="O343" s="50"/>
      <c r="P343" s="52">
        <v>21732.76</v>
      </c>
      <c r="Q343" s="54">
        <v>16</v>
      </c>
      <c r="R343" s="52">
        <v>3.88</v>
      </c>
      <c r="S343" s="52">
        <v>66</v>
      </c>
      <c r="T343" s="58"/>
      <c r="U343" s="54"/>
    </row>
    <row r="344" spans="1:21" x14ac:dyDescent="0.35">
      <c r="A344" s="51">
        <v>4004360</v>
      </c>
      <c r="B344" s="51" t="s">
        <v>2039</v>
      </c>
      <c r="C344" s="51" t="s">
        <v>1174</v>
      </c>
      <c r="D344" s="51">
        <v>10050607</v>
      </c>
      <c r="E344" s="51" t="s">
        <v>3315</v>
      </c>
      <c r="F344" s="51" t="s">
        <v>1173</v>
      </c>
      <c r="G344" s="51" t="s">
        <v>289</v>
      </c>
      <c r="H344" s="51" t="s">
        <v>24</v>
      </c>
      <c r="I344" s="51" t="s">
        <v>258</v>
      </c>
      <c r="J344" s="53">
        <v>7.75</v>
      </c>
      <c r="K344" s="55">
        <v>1000</v>
      </c>
      <c r="L344" s="55">
        <v>27330</v>
      </c>
      <c r="M344" s="55">
        <v>24</v>
      </c>
      <c r="N344" s="57">
        <v>0.29060000000000002</v>
      </c>
      <c r="O344" s="51"/>
      <c r="P344" s="53">
        <v>203375</v>
      </c>
      <c r="Q344" s="55">
        <v>53</v>
      </c>
      <c r="R344" s="53">
        <v>1.06</v>
      </c>
      <c r="S344" s="53">
        <v>56</v>
      </c>
      <c r="T344" s="59"/>
      <c r="U344" s="55"/>
    </row>
    <row r="345" spans="1:21" x14ac:dyDescent="0.35">
      <c r="A345" s="50">
        <v>4004377</v>
      </c>
      <c r="B345" s="50" t="s">
        <v>2041</v>
      </c>
      <c r="C345" s="50" t="s">
        <v>1174</v>
      </c>
      <c r="D345" s="50">
        <v>10050609</v>
      </c>
      <c r="E345" s="50" t="s">
        <v>3317</v>
      </c>
      <c r="F345" s="50" t="s">
        <v>1173</v>
      </c>
      <c r="G345" s="50" t="s">
        <v>258</v>
      </c>
      <c r="H345" s="50" t="s">
        <v>141</v>
      </c>
      <c r="I345" s="50" t="s">
        <v>258</v>
      </c>
      <c r="J345" s="52">
        <v>25.12</v>
      </c>
      <c r="K345" s="54">
        <v>40</v>
      </c>
      <c r="L345" s="54">
        <v>2328</v>
      </c>
      <c r="M345" s="54">
        <v>24</v>
      </c>
      <c r="N345" s="56">
        <v>0.2646</v>
      </c>
      <c r="O345" s="50"/>
      <c r="P345" s="52">
        <v>43190</v>
      </c>
      <c r="Q345" s="54">
        <v>14</v>
      </c>
      <c r="R345" s="52">
        <v>4</v>
      </c>
      <c r="S345" s="52">
        <v>56</v>
      </c>
      <c r="T345" s="58"/>
      <c r="U345" s="54"/>
    </row>
    <row r="346" spans="1:21" x14ac:dyDescent="0.35">
      <c r="A346" s="51">
        <v>4004385</v>
      </c>
      <c r="B346" s="51" t="s">
        <v>2043</v>
      </c>
      <c r="C346" s="51" t="s">
        <v>1174</v>
      </c>
      <c r="D346" s="51">
        <v>10050109</v>
      </c>
      <c r="E346" s="51" t="s">
        <v>3294</v>
      </c>
      <c r="F346" s="51" t="s">
        <v>1173</v>
      </c>
      <c r="G346" s="51" t="s">
        <v>271</v>
      </c>
      <c r="H346" s="51"/>
      <c r="I346" s="51" t="s">
        <v>289</v>
      </c>
      <c r="J346" s="53">
        <v>4.76</v>
      </c>
      <c r="K346" s="55">
        <v>1770</v>
      </c>
      <c r="L346" s="55">
        <v>145030</v>
      </c>
      <c r="M346" s="55">
        <v>24</v>
      </c>
      <c r="N346" s="57">
        <v>0.16</v>
      </c>
      <c r="O346" s="51"/>
      <c r="P346" s="53"/>
      <c r="Q346" s="55"/>
      <c r="R346" s="53"/>
      <c r="S346" s="53"/>
      <c r="T346" s="59"/>
      <c r="U346" s="55"/>
    </row>
    <row r="347" spans="1:21" x14ac:dyDescent="0.35">
      <c r="A347" s="50">
        <v>4004397</v>
      </c>
      <c r="B347" s="50" t="s">
        <v>2047</v>
      </c>
      <c r="C347" s="50" t="s">
        <v>1174</v>
      </c>
      <c r="D347" s="50">
        <v>10050607</v>
      </c>
      <c r="E347" s="50" t="s">
        <v>3315</v>
      </c>
      <c r="F347" s="50" t="s">
        <v>1173</v>
      </c>
      <c r="G347" s="50" t="s">
        <v>258</v>
      </c>
      <c r="H347" s="50" t="s">
        <v>141</v>
      </c>
      <c r="I347" s="50" t="s">
        <v>258</v>
      </c>
      <c r="J347" s="52">
        <v>11.45</v>
      </c>
      <c r="K347" s="54">
        <v>420</v>
      </c>
      <c r="L347" s="54">
        <v>3170</v>
      </c>
      <c r="M347" s="54">
        <v>16</v>
      </c>
      <c r="N347" s="56">
        <v>1.1120000000000001</v>
      </c>
      <c r="O347" s="50"/>
      <c r="P347" s="52">
        <v>35869.68</v>
      </c>
      <c r="Q347" s="54">
        <v>12</v>
      </c>
      <c r="R347" s="52">
        <v>1.23</v>
      </c>
      <c r="S347" s="52">
        <v>16</v>
      </c>
      <c r="T347" s="58"/>
      <c r="U347" s="54"/>
    </row>
    <row r="348" spans="1:21" x14ac:dyDescent="0.35">
      <c r="A348" s="51">
        <v>4004401</v>
      </c>
      <c r="B348" s="51" t="s">
        <v>2049</v>
      </c>
      <c r="C348" s="51" t="s">
        <v>1174</v>
      </c>
      <c r="D348" s="51">
        <v>10030906</v>
      </c>
      <c r="E348" s="51" t="s">
        <v>3274</v>
      </c>
      <c r="F348" s="51" t="s">
        <v>1177</v>
      </c>
      <c r="G348" s="51" t="s">
        <v>271</v>
      </c>
      <c r="H348" s="51"/>
      <c r="I348" s="51" t="s">
        <v>258</v>
      </c>
      <c r="J348" s="53">
        <v>56.37</v>
      </c>
      <c r="K348" s="55">
        <v>327</v>
      </c>
      <c r="L348" s="55">
        <v>12304</v>
      </c>
      <c r="M348" s="55">
        <v>24</v>
      </c>
      <c r="N348" s="57">
        <v>0.25609999999999999</v>
      </c>
      <c r="O348" s="51"/>
      <c r="P348" s="53"/>
      <c r="Q348" s="55"/>
      <c r="R348" s="53"/>
      <c r="S348" s="53"/>
      <c r="T348" s="59"/>
      <c r="U348" s="55"/>
    </row>
    <row r="349" spans="1:21" x14ac:dyDescent="0.35">
      <c r="A349" s="50">
        <v>4004408</v>
      </c>
      <c r="B349" s="50" t="s">
        <v>2051</v>
      </c>
      <c r="C349" s="50" t="s">
        <v>1174</v>
      </c>
      <c r="D349" s="50">
        <v>10050607</v>
      </c>
      <c r="E349" s="50" t="s">
        <v>3315</v>
      </c>
      <c r="F349" s="50" t="s">
        <v>1173</v>
      </c>
      <c r="G349" s="50" t="s">
        <v>258</v>
      </c>
      <c r="H349" s="50" t="s">
        <v>24</v>
      </c>
      <c r="I349" s="50" t="s">
        <v>258</v>
      </c>
      <c r="J349" s="52">
        <v>17</v>
      </c>
      <c r="K349" s="54">
        <v>155</v>
      </c>
      <c r="L349" s="54">
        <v>2189</v>
      </c>
      <c r="M349" s="54">
        <v>23</v>
      </c>
      <c r="N349" s="56">
        <v>0.4798</v>
      </c>
      <c r="O349" s="50"/>
      <c r="P349" s="52">
        <v>39039</v>
      </c>
      <c r="Q349" s="54">
        <v>26</v>
      </c>
      <c r="R349" s="52">
        <v>2</v>
      </c>
      <c r="S349" s="52">
        <v>52</v>
      </c>
      <c r="T349" s="58"/>
      <c r="U349" s="54"/>
    </row>
    <row r="350" spans="1:21" x14ac:dyDescent="0.35">
      <c r="A350" s="51">
        <v>4004410</v>
      </c>
      <c r="B350" s="51" t="s">
        <v>2053</v>
      </c>
      <c r="C350" s="51" t="s">
        <v>1174</v>
      </c>
      <c r="D350" s="51">
        <v>10060510</v>
      </c>
      <c r="E350" s="51" t="s">
        <v>3331</v>
      </c>
      <c r="F350" s="51" t="s">
        <v>1173</v>
      </c>
      <c r="G350" s="51" t="s">
        <v>271</v>
      </c>
      <c r="H350" s="51" t="s">
        <v>24</v>
      </c>
      <c r="I350" s="51" t="s">
        <v>258</v>
      </c>
      <c r="J350" s="53">
        <v>22</v>
      </c>
      <c r="K350" s="55">
        <v>528</v>
      </c>
      <c r="L350" s="55">
        <v>28085</v>
      </c>
      <c r="M350" s="55">
        <v>24</v>
      </c>
      <c r="N350" s="57">
        <v>0.1467</v>
      </c>
      <c r="O350" s="51"/>
      <c r="P350" s="53"/>
      <c r="Q350" s="55"/>
      <c r="R350" s="53"/>
      <c r="S350" s="53"/>
      <c r="T350" s="59"/>
      <c r="U350" s="55"/>
    </row>
    <row r="351" spans="1:21" x14ac:dyDescent="0.35">
      <c r="A351" s="50">
        <v>4004437</v>
      </c>
      <c r="B351" s="50" t="s">
        <v>2057</v>
      </c>
      <c r="C351" s="50" t="s">
        <v>1174</v>
      </c>
      <c r="D351" s="50">
        <v>10050404</v>
      </c>
      <c r="E351" s="50" t="s">
        <v>3301</v>
      </c>
      <c r="F351" s="50" t="s">
        <v>1173</v>
      </c>
      <c r="G351" s="50" t="s">
        <v>289</v>
      </c>
      <c r="H351" s="50" t="s">
        <v>141</v>
      </c>
      <c r="I351" s="50" t="s">
        <v>258</v>
      </c>
      <c r="J351" s="52">
        <v>27.91</v>
      </c>
      <c r="K351" s="54">
        <v>170</v>
      </c>
      <c r="L351" s="54">
        <v>6835</v>
      </c>
      <c r="M351" s="54">
        <v>24</v>
      </c>
      <c r="N351" s="56">
        <v>0.15909999999999999</v>
      </c>
      <c r="O351" s="50"/>
      <c r="P351" s="52"/>
      <c r="Q351" s="54"/>
      <c r="R351" s="52"/>
      <c r="S351" s="52"/>
      <c r="T351" s="58"/>
      <c r="U351" s="54"/>
    </row>
    <row r="352" spans="1:21" x14ac:dyDescent="0.35">
      <c r="A352" s="51">
        <v>4004438</v>
      </c>
      <c r="B352" s="51" t="s">
        <v>2059</v>
      </c>
      <c r="C352" s="51" t="s">
        <v>1174</v>
      </c>
      <c r="D352" s="51">
        <v>10050404</v>
      </c>
      <c r="E352" s="51" t="s">
        <v>3301</v>
      </c>
      <c r="F352" s="51" t="s">
        <v>1173</v>
      </c>
      <c r="G352" s="51" t="s">
        <v>271</v>
      </c>
      <c r="H352" s="51" t="s">
        <v>24</v>
      </c>
      <c r="I352" s="51" t="s">
        <v>258</v>
      </c>
      <c r="J352" s="53">
        <v>28.06</v>
      </c>
      <c r="K352" s="55">
        <v>190</v>
      </c>
      <c r="L352" s="55">
        <v>18375</v>
      </c>
      <c r="M352" s="55">
        <v>24</v>
      </c>
      <c r="N352" s="57">
        <v>0.1</v>
      </c>
      <c r="O352" s="51"/>
      <c r="P352" s="53"/>
      <c r="Q352" s="55"/>
      <c r="R352" s="53"/>
      <c r="S352" s="53"/>
      <c r="T352" s="59"/>
      <c r="U352" s="55"/>
    </row>
    <row r="353" spans="1:21" x14ac:dyDescent="0.35">
      <c r="A353" s="50">
        <v>4004439</v>
      </c>
      <c r="B353" s="50" t="s">
        <v>2061</v>
      </c>
      <c r="C353" s="50" t="s">
        <v>1174</v>
      </c>
      <c r="D353" s="50">
        <v>10050404</v>
      </c>
      <c r="E353" s="50" t="s">
        <v>3301</v>
      </c>
      <c r="F353" s="50" t="s">
        <v>1173</v>
      </c>
      <c r="G353" s="50" t="s">
        <v>289</v>
      </c>
      <c r="H353" s="50" t="s">
        <v>24</v>
      </c>
      <c r="I353" s="50" t="s">
        <v>258</v>
      </c>
      <c r="J353" s="52">
        <v>27.53</v>
      </c>
      <c r="K353" s="54">
        <v>75</v>
      </c>
      <c r="L353" s="54">
        <v>4055</v>
      </c>
      <c r="M353" s="54">
        <v>24</v>
      </c>
      <c r="N353" s="56">
        <v>0.31519999999999998</v>
      </c>
      <c r="O353" s="50"/>
      <c r="P353" s="52"/>
      <c r="Q353" s="54"/>
      <c r="R353" s="52"/>
      <c r="S353" s="52"/>
      <c r="T353" s="58"/>
      <c r="U353" s="54"/>
    </row>
    <row r="354" spans="1:21" x14ac:dyDescent="0.35">
      <c r="A354" s="51">
        <v>4004440</v>
      </c>
      <c r="B354" s="51" t="s">
        <v>2063</v>
      </c>
      <c r="C354" s="51" t="s">
        <v>1174</v>
      </c>
      <c r="D354" s="51">
        <v>10050404</v>
      </c>
      <c r="E354" s="51" t="s">
        <v>3301</v>
      </c>
      <c r="F354" s="51" t="s">
        <v>1173</v>
      </c>
      <c r="G354" s="51" t="s">
        <v>258</v>
      </c>
      <c r="H354" s="51"/>
      <c r="I354" s="51" t="s">
        <v>258</v>
      </c>
      <c r="J354" s="53">
        <v>22.16</v>
      </c>
      <c r="K354" s="55">
        <v>75</v>
      </c>
      <c r="L354" s="55">
        <v>950</v>
      </c>
      <c r="M354" s="55">
        <v>24</v>
      </c>
      <c r="N354" s="57">
        <v>0.47810000000000002</v>
      </c>
      <c r="O354" s="51"/>
      <c r="P354" s="53">
        <v>15018</v>
      </c>
      <c r="Q354" s="55">
        <v>6</v>
      </c>
      <c r="R354" s="53">
        <v>20</v>
      </c>
      <c r="S354" s="53">
        <v>120</v>
      </c>
      <c r="T354" s="59"/>
      <c r="U354" s="55"/>
    </row>
    <row r="355" spans="1:21" x14ac:dyDescent="0.35">
      <c r="A355" s="50">
        <v>4004441</v>
      </c>
      <c r="B355" s="50" t="s">
        <v>2065</v>
      </c>
      <c r="C355" s="50" t="s">
        <v>1174</v>
      </c>
      <c r="D355" s="50">
        <v>10050404</v>
      </c>
      <c r="E355" s="50" t="s">
        <v>3301</v>
      </c>
      <c r="F355" s="50" t="s">
        <v>1173</v>
      </c>
      <c r="G355" s="50" t="s">
        <v>258</v>
      </c>
      <c r="H355" s="50" t="s">
        <v>141</v>
      </c>
      <c r="I355" s="50" t="s">
        <v>258</v>
      </c>
      <c r="J355" s="52">
        <v>23.68</v>
      </c>
      <c r="K355" s="54">
        <v>75</v>
      </c>
      <c r="L355" s="54">
        <v>135</v>
      </c>
      <c r="M355" s="54">
        <v>12</v>
      </c>
      <c r="N355" s="56">
        <v>1.1276999999999999</v>
      </c>
      <c r="O355" s="50"/>
      <c r="P355" s="52">
        <v>2592.7199999999998</v>
      </c>
      <c r="Q355" s="54">
        <v>3</v>
      </c>
      <c r="R355" s="52">
        <v>6</v>
      </c>
      <c r="S355" s="52">
        <v>18</v>
      </c>
      <c r="T355" s="58"/>
      <c r="U355" s="54"/>
    </row>
    <row r="356" spans="1:21" x14ac:dyDescent="0.35">
      <c r="A356" s="51">
        <v>4004447</v>
      </c>
      <c r="B356" s="51" t="s">
        <v>2067</v>
      </c>
      <c r="C356" s="51" t="s">
        <v>1174</v>
      </c>
      <c r="D356" s="51">
        <v>10050801</v>
      </c>
      <c r="E356" s="51" t="s">
        <v>3321</v>
      </c>
      <c r="F356" s="51" t="s">
        <v>1179</v>
      </c>
      <c r="G356" s="51" t="s">
        <v>258</v>
      </c>
      <c r="H356" s="51"/>
      <c r="I356" s="51"/>
      <c r="J356" s="53">
        <v>0.80010000000000003</v>
      </c>
      <c r="K356" s="55">
        <v>605</v>
      </c>
      <c r="L356" s="55">
        <v>3950</v>
      </c>
      <c r="M356" s="55">
        <v>17</v>
      </c>
      <c r="N356" s="57">
        <v>0.97060000000000002</v>
      </c>
      <c r="O356" s="51"/>
      <c r="P356" s="53">
        <v>3000</v>
      </c>
      <c r="Q356" s="55">
        <v>11</v>
      </c>
      <c r="R356" s="53">
        <v>6.82</v>
      </c>
      <c r="S356" s="53">
        <v>75</v>
      </c>
      <c r="T356" s="59"/>
      <c r="U356" s="55"/>
    </row>
    <row r="357" spans="1:21" x14ac:dyDescent="0.35">
      <c r="A357" s="50">
        <v>4004450</v>
      </c>
      <c r="B357" s="50" t="s">
        <v>2069</v>
      </c>
      <c r="C357" s="50" t="s">
        <v>1174</v>
      </c>
      <c r="D357" s="50">
        <v>10050801</v>
      </c>
      <c r="E357" s="50" t="s">
        <v>3321</v>
      </c>
      <c r="F357" s="50" t="s">
        <v>1173</v>
      </c>
      <c r="G357" s="50" t="s">
        <v>258</v>
      </c>
      <c r="H357" s="50"/>
      <c r="I357" s="50" t="s">
        <v>258</v>
      </c>
      <c r="J357" s="52">
        <v>7</v>
      </c>
      <c r="K357" s="54">
        <v>435</v>
      </c>
      <c r="L357" s="54">
        <v>1170</v>
      </c>
      <c r="M357" s="54">
        <v>24</v>
      </c>
      <c r="N357" s="56">
        <v>0.54369999999999996</v>
      </c>
      <c r="O357" s="50"/>
      <c r="P357" s="52">
        <v>8028</v>
      </c>
      <c r="Q357" s="54">
        <v>5</v>
      </c>
      <c r="R357" s="52">
        <v>24</v>
      </c>
      <c r="S357" s="52">
        <v>120</v>
      </c>
      <c r="T357" s="58"/>
      <c r="U357" s="54"/>
    </row>
    <row r="358" spans="1:21" x14ac:dyDescent="0.35">
      <c r="A358" s="51">
        <v>4004451</v>
      </c>
      <c r="B358" s="51" t="s">
        <v>2071</v>
      </c>
      <c r="C358" s="51" t="s">
        <v>1174</v>
      </c>
      <c r="D358" s="51">
        <v>10050801</v>
      </c>
      <c r="E358" s="51" t="s">
        <v>3321</v>
      </c>
      <c r="F358" s="51" t="s">
        <v>1173</v>
      </c>
      <c r="G358" s="51" t="s">
        <v>258</v>
      </c>
      <c r="H358" s="51"/>
      <c r="I358" s="51" t="s">
        <v>258</v>
      </c>
      <c r="J358" s="53">
        <v>22.02</v>
      </c>
      <c r="K358" s="55">
        <v>70</v>
      </c>
      <c r="L358" s="55">
        <v>535</v>
      </c>
      <c r="M358" s="55">
        <v>23</v>
      </c>
      <c r="N358" s="57">
        <v>0.66339999999999999</v>
      </c>
      <c r="O358" s="51"/>
      <c r="P358" s="53">
        <v>11440</v>
      </c>
      <c r="Q358" s="55">
        <v>13</v>
      </c>
      <c r="R358" s="53">
        <v>8</v>
      </c>
      <c r="S358" s="53">
        <v>96</v>
      </c>
      <c r="T358" s="59"/>
      <c r="U358" s="55"/>
    </row>
    <row r="359" spans="1:21" x14ac:dyDescent="0.35">
      <c r="A359" s="50">
        <v>4004453</v>
      </c>
      <c r="B359" s="50" t="s">
        <v>2073</v>
      </c>
      <c r="C359" s="50" t="s">
        <v>1174</v>
      </c>
      <c r="D359" s="50">
        <v>10050801</v>
      </c>
      <c r="E359" s="50" t="s">
        <v>3321</v>
      </c>
      <c r="F359" s="50" t="s">
        <v>1173</v>
      </c>
      <c r="G359" s="50" t="s">
        <v>258</v>
      </c>
      <c r="H359" s="50"/>
      <c r="I359" s="50" t="s">
        <v>258</v>
      </c>
      <c r="J359" s="52">
        <v>0.83399999999999996</v>
      </c>
      <c r="K359" s="54">
        <v>500</v>
      </c>
      <c r="L359" s="54">
        <v>14951</v>
      </c>
      <c r="M359" s="54">
        <v>24</v>
      </c>
      <c r="N359" s="56">
        <v>0.33979999999999999</v>
      </c>
      <c r="O359" s="50"/>
      <c r="P359" s="52">
        <v>10452</v>
      </c>
      <c r="Q359" s="54">
        <v>51</v>
      </c>
      <c r="R359" s="52">
        <v>6.12</v>
      </c>
      <c r="S359" s="52">
        <v>306</v>
      </c>
      <c r="T359" s="58"/>
      <c r="U359" s="54"/>
    </row>
    <row r="360" spans="1:21" x14ac:dyDescent="0.35">
      <c r="A360" s="51">
        <v>4004674</v>
      </c>
      <c r="B360" s="51" t="s">
        <v>2077</v>
      </c>
      <c r="C360" s="51" t="s">
        <v>1174</v>
      </c>
      <c r="D360" s="51">
        <v>10050801</v>
      </c>
      <c r="E360" s="51" t="s">
        <v>3321</v>
      </c>
      <c r="F360" s="51" t="s">
        <v>1178</v>
      </c>
      <c r="G360" s="51" t="s">
        <v>258</v>
      </c>
      <c r="H360" s="51" t="s">
        <v>141</v>
      </c>
      <c r="I360" s="51" t="s">
        <v>258</v>
      </c>
      <c r="J360" s="53">
        <v>7.22</v>
      </c>
      <c r="K360" s="55">
        <v>230</v>
      </c>
      <c r="L360" s="55">
        <v>1750</v>
      </c>
      <c r="M360" s="55">
        <v>23</v>
      </c>
      <c r="N360" s="57">
        <v>0.51690000000000003</v>
      </c>
      <c r="O360" s="51"/>
      <c r="P360" s="53">
        <v>13872</v>
      </c>
      <c r="Q360" s="55">
        <v>12</v>
      </c>
      <c r="R360" s="53">
        <v>16</v>
      </c>
      <c r="S360" s="53">
        <v>192</v>
      </c>
      <c r="T360" s="59"/>
      <c r="U360" s="55"/>
    </row>
    <row r="361" spans="1:21" x14ac:dyDescent="0.35">
      <c r="A361" s="50">
        <v>4004679</v>
      </c>
      <c r="B361" s="50" t="s">
        <v>2079</v>
      </c>
      <c r="C361" s="50" t="s">
        <v>1174</v>
      </c>
      <c r="D361" s="50">
        <v>10050104</v>
      </c>
      <c r="E361" s="50" t="s">
        <v>3291</v>
      </c>
      <c r="F361" s="50" t="s">
        <v>1173</v>
      </c>
      <c r="G361" s="50" t="s">
        <v>258</v>
      </c>
      <c r="H361" s="50" t="s">
        <v>24</v>
      </c>
      <c r="I361" s="50" t="s">
        <v>258</v>
      </c>
      <c r="J361" s="52">
        <v>34</v>
      </c>
      <c r="K361" s="54">
        <v>220</v>
      </c>
      <c r="L361" s="54">
        <v>370</v>
      </c>
      <c r="M361" s="54">
        <v>12</v>
      </c>
      <c r="N361" s="56">
        <v>1.2132000000000001</v>
      </c>
      <c r="O361" s="50"/>
      <c r="P361" s="52">
        <v>13600</v>
      </c>
      <c r="Q361" s="54">
        <v>2</v>
      </c>
      <c r="R361" s="52">
        <v>2</v>
      </c>
      <c r="S361" s="52">
        <v>4</v>
      </c>
      <c r="T361" s="58"/>
      <c r="U361" s="54"/>
    </row>
    <row r="362" spans="1:21" x14ac:dyDescent="0.35">
      <c r="A362" s="51">
        <v>4004809</v>
      </c>
      <c r="B362" s="51" t="s">
        <v>2085</v>
      </c>
      <c r="C362" s="51" t="s">
        <v>1174</v>
      </c>
      <c r="D362" s="51">
        <v>10059999</v>
      </c>
      <c r="E362" s="51" t="s">
        <v>3322</v>
      </c>
      <c r="F362" s="51" t="s">
        <v>1173</v>
      </c>
      <c r="G362" s="51" t="s">
        <v>271</v>
      </c>
      <c r="H362" s="51"/>
      <c r="I362" s="51" t="s">
        <v>258</v>
      </c>
      <c r="J362" s="53">
        <v>192.44</v>
      </c>
      <c r="K362" s="55">
        <v>210</v>
      </c>
      <c r="L362" s="55">
        <v>7220</v>
      </c>
      <c r="M362" s="55">
        <v>24</v>
      </c>
      <c r="N362" s="57">
        <v>0.224</v>
      </c>
      <c r="O362" s="51"/>
      <c r="P362" s="53">
        <v>602640</v>
      </c>
      <c r="Q362" s="55">
        <v>9</v>
      </c>
      <c r="R362" s="53">
        <v>12</v>
      </c>
      <c r="S362" s="53">
        <v>108</v>
      </c>
      <c r="T362" s="59"/>
      <c r="U362" s="55"/>
    </row>
    <row r="363" spans="1:21" x14ac:dyDescent="0.35">
      <c r="A363" s="50">
        <v>4004825</v>
      </c>
      <c r="B363" s="50" t="s">
        <v>2089</v>
      </c>
      <c r="C363" s="50" t="s">
        <v>1174</v>
      </c>
      <c r="D363" s="50">
        <v>10050701</v>
      </c>
      <c r="E363" s="50" t="s">
        <v>3320</v>
      </c>
      <c r="F363" s="50" t="s">
        <v>1173</v>
      </c>
      <c r="G363" s="50" t="s">
        <v>271</v>
      </c>
      <c r="H363" s="50"/>
      <c r="I363" s="50" t="s">
        <v>258</v>
      </c>
      <c r="J363" s="52">
        <v>41.23</v>
      </c>
      <c r="K363" s="54">
        <v>2200</v>
      </c>
      <c r="L363" s="54">
        <v>33400</v>
      </c>
      <c r="M363" s="54">
        <v>24</v>
      </c>
      <c r="N363" s="56">
        <v>0.31180000000000002</v>
      </c>
      <c r="O363" s="50"/>
      <c r="P363" s="52">
        <v>1374600</v>
      </c>
      <c r="Q363" s="54">
        <v>55</v>
      </c>
      <c r="R363" s="52">
        <v>16.8</v>
      </c>
      <c r="S363" s="52">
        <v>918</v>
      </c>
      <c r="T363" s="58"/>
      <c r="U363" s="54"/>
    </row>
    <row r="364" spans="1:21" x14ac:dyDescent="0.35">
      <c r="A364" s="51">
        <v>4004843</v>
      </c>
      <c r="B364" s="51" t="s">
        <v>2091</v>
      </c>
      <c r="C364" s="51" t="s">
        <v>1174</v>
      </c>
      <c r="D364" s="51">
        <v>10059999</v>
      </c>
      <c r="E364" s="51" t="s">
        <v>3322</v>
      </c>
      <c r="F364" s="51" t="s">
        <v>1173</v>
      </c>
      <c r="G364" s="51" t="s">
        <v>258</v>
      </c>
      <c r="H364" s="51"/>
      <c r="I364" s="51" t="s">
        <v>258</v>
      </c>
      <c r="J364" s="53">
        <v>2.4049</v>
      </c>
      <c r="K364" s="55">
        <v>165</v>
      </c>
      <c r="L364" s="55">
        <v>320</v>
      </c>
      <c r="M364" s="55">
        <v>9</v>
      </c>
      <c r="N364" s="57">
        <v>1.9922</v>
      </c>
      <c r="O364" s="51"/>
      <c r="P364" s="53">
        <v>643.5</v>
      </c>
      <c r="Q364" s="55">
        <v>3</v>
      </c>
      <c r="R364" s="53">
        <v>1</v>
      </c>
      <c r="S364" s="53">
        <v>3</v>
      </c>
      <c r="T364" s="59">
        <v>3</v>
      </c>
      <c r="U364" s="55">
        <v>1</v>
      </c>
    </row>
    <row r="365" spans="1:21" x14ac:dyDescent="0.35">
      <c r="A365" s="50">
        <v>4004889</v>
      </c>
      <c r="B365" s="50" t="s">
        <v>2093</v>
      </c>
      <c r="C365" s="50" t="s">
        <v>1174</v>
      </c>
      <c r="D365" s="50">
        <v>10050801</v>
      </c>
      <c r="E365" s="50" t="s">
        <v>3321</v>
      </c>
      <c r="F365" s="50" t="s">
        <v>1173</v>
      </c>
      <c r="G365" s="50" t="s">
        <v>258</v>
      </c>
      <c r="H365" s="50"/>
      <c r="I365" s="50"/>
      <c r="J365" s="52">
        <v>18.5</v>
      </c>
      <c r="K365" s="54">
        <v>70</v>
      </c>
      <c r="L365" s="54">
        <v>3460</v>
      </c>
      <c r="M365" s="54">
        <v>24</v>
      </c>
      <c r="N365" s="56">
        <v>0.2369</v>
      </c>
      <c r="O365" s="50"/>
      <c r="P365" s="52">
        <v>60680</v>
      </c>
      <c r="Q365" s="54">
        <v>40</v>
      </c>
      <c r="R365" s="52">
        <v>8.1999999999999993</v>
      </c>
      <c r="S365" s="52">
        <v>328</v>
      </c>
      <c r="T365" s="58"/>
      <c r="U365" s="54"/>
    </row>
    <row r="366" spans="1:21" x14ac:dyDescent="0.35">
      <c r="A366" s="51">
        <v>4004891</v>
      </c>
      <c r="B366" s="51" t="s">
        <v>2095</v>
      </c>
      <c r="C366" s="51" t="s">
        <v>1174</v>
      </c>
      <c r="D366" s="51">
        <v>10050801</v>
      </c>
      <c r="E366" s="51" t="s">
        <v>3321</v>
      </c>
      <c r="F366" s="51" t="s">
        <v>1173</v>
      </c>
      <c r="G366" s="51" t="s">
        <v>258</v>
      </c>
      <c r="H366" s="51"/>
      <c r="I366" s="51"/>
      <c r="J366" s="53">
        <v>72.525300000000001</v>
      </c>
      <c r="K366" s="55">
        <v>139</v>
      </c>
      <c r="L366" s="55">
        <v>2935</v>
      </c>
      <c r="M366" s="55">
        <v>24</v>
      </c>
      <c r="N366" s="57">
        <v>0.32669999999999999</v>
      </c>
      <c r="O366" s="51"/>
      <c r="P366" s="53">
        <v>168740</v>
      </c>
      <c r="Q366" s="55">
        <v>30</v>
      </c>
      <c r="R366" s="53">
        <v>7.87</v>
      </c>
      <c r="S366" s="53">
        <v>236</v>
      </c>
      <c r="T366" s="59"/>
      <c r="U366" s="55"/>
    </row>
    <row r="367" spans="1:21" x14ac:dyDescent="0.35">
      <c r="A367" s="50">
        <v>4004920</v>
      </c>
      <c r="B367" s="50" t="s">
        <v>2097</v>
      </c>
      <c r="C367" s="50" t="s">
        <v>1174</v>
      </c>
      <c r="D367" s="50">
        <v>10050801</v>
      </c>
      <c r="E367" s="50" t="s">
        <v>3321</v>
      </c>
      <c r="F367" s="50" t="s">
        <v>1173</v>
      </c>
      <c r="G367" s="50"/>
      <c r="H367" s="50" t="s">
        <v>141</v>
      </c>
      <c r="I367" s="50"/>
      <c r="J367" s="52">
        <v>29.54</v>
      </c>
      <c r="K367" s="54">
        <v>170</v>
      </c>
      <c r="L367" s="54">
        <v>3160</v>
      </c>
      <c r="M367" s="54">
        <v>24</v>
      </c>
      <c r="N367" s="56">
        <v>0.29060000000000002</v>
      </c>
      <c r="O367" s="50"/>
      <c r="P367" s="52">
        <v>68782</v>
      </c>
      <c r="Q367" s="54">
        <v>17</v>
      </c>
      <c r="R367" s="52">
        <v>14</v>
      </c>
      <c r="S367" s="52">
        <v>238</v>
      </c>
      <c r="T367" s="58"/>
      <c r="U367" s="54"/>
    </row>
    <row r="368" spans="1:21" x14ac:dyDescent="0.35">
      <c r="A368" s="51">
        <v>4004963</v>
      </c>
      <c r="B368" s="51" t="s">
        <v>2099</v>
      </c>
      <c r="C368" s="51" t="s">
        <v>1174</v>
      </c>
      <c r="D368" s="51">
        <v>10050305</v>
      </c>
      <c r="E368" s="51" t="s">
        <v>3297</v>
      </c>
      <c r="F368" s="51" t="s">
        <v>1173</v>
      </c>
      <c r="G368" s="51"/>
      <c r="H368" s="51"/>
      <c r="I368" s="51" t="s">
        <v>258</v>
      </c>
      <c r="J368" s="53">
        <v>75</v>
      </c>
      <c r="K368" s="55">
        <v>96</v>
      </c>
      <c r="L368" s="55">
        <v>421</v>
      </c>
      <c r="M368" s="55">
        <v>6</v>
      </c>
      <c r="N368" s="57">
        <v>2.3525</v>
      </c>
      <c r="O368" s="51"/>
      <c r="P368" s="53">
        <v>36900</v>
      </c>
      <c r="Q368" s="55">
        <v>11</v>
      </c>
      <c r="R368" s="53">
        <v>3.73</v>
      </c>
      <c r="S368" s="53">
        <v>59</v>
      </c>
      <c r="T368" s="59"/>
      <c r="U368" s="55"/>
    </row>
    <row r="369" spans="1:21" x14ac:dyDescent="0.35">
      <c r="A369" s="50">
        <v>4004972</v>
      </c>
      <c r="B369" s="50" t="s">
        <v>2105</v>
      </c>
      <c r="C369" s="50" t="s">
        <v>1174</v>
      </c>
      <c r="D369" s="50">
        <v>10050104</v>
      </c>
      <c r="E369" s="50" t="s">
        <v>3291</v>
      </c>
      <c r="F369" s="50" t="s">
        <v>1173</v>
      </c>
      <c r="G369" s="50" t="s">
        <v>271</v>
      </c>
      <c r="H369" s="50" t="s">
        <v>24</v>
      </c>
      <c r="I369" s="50" t="s">
        <v>258</v>
      </c>
      <c r="J369" s="52">
        <v>50.99</v>
      </c>
      <c r="K369" s="54">
        <v>150</v>
      </c>
      <c r="L369" s="54">
        <v>5790</v>
      </c>
      <c r="M369" s="54">
        <v>24</v>
      </c>
      <c r="N369" s="56">
        <v>0.2014</v>
      </c>
      <c r="O369" s="50"/>
      <c r="P369" s="52"/>
      <c r="Q369" s="54"/>
      <c r="R369" s="52"/>
      <c r="S369" s="52"/>
      <c r="T369" s="58"/>
      <c r="U369" s="54"/>
    </row>
    <row r="370" spans="1:21" x14ac:dyDescent="0.35">
      <c r="A370" s="51">
        <v>4004973</v>
      </c>
      <c r="B370" s="51" t="s">
        <v>2107</v>
      </c>
      <c r="C370" s="51" t="s">
        <v>1174</v>
      </c>
      <c r="D370" s="51">
        <v>10050104</v>
      </c>
      <c r="E370" s="51" t="s">
        <v>3291</v>
      </c>
      <c r="F370" s="51" t="s">
        <v>1173</v>
      </c>
      <c r="G370" s="51" t="s">
        <v>289</v>
      </c>
      <c r="H370" s="51" t="s">
        <v>24</v>
      </c>
      <c r="I370" s="51" t="s">
        <v>258</v>
      </c>
      <c r="J370" s="53">
        <v>49.37</v>
      </c>
      <c r="K370" s="55">
        <v>90</v>
      </c>
      <c r="L370" s="55">
        <v>2400</v>
      </c>
      <c r="M370" s="55">
        <v>24</v>
      </c>
      <c r="N370" s="57">
        <v>0.28139999999999998</v>
      </c>
      <c r="O370" s="51"/>
      <c r="P370" s="53"/>
      <c r="Q370" s="55"/>
      <c r="R370" s="53"/>
      <c r="S370" s="53"/>
      <c r="T370" s="59"/>
      <c r="U370" s="55"/>
    </row>
    <row r="371" spans="1:21" x14ac:dyDescent="0.35">
      <c r="A371" s="50">
        <v>4005020</v>
      </c>
      <c r="B371" s="50" t="s">
        <v>2109</v>
      </c>
      <c r="C371" s="50" t="s">
        <v>1174</v>
      </c>
      <c r="D371" s="50">
        <v>10050104</v>
      </c>
      <c r="E371" s="50" t="s">
        <v>3291</v>
      </c>
      <c r="F371" s="50" t="s">
        <v>1173</v>
      </c>
      <c r="G371" s="50" t="s">
        <v>258</v>
      </c>
      <c r="H371" s="50"/>
      <c r="I371" s="50" t="s">
        <v>258</v>
      </c>
      <c r="J371" s="52">
        <v>47.77</v>
      </c>
      <c r="K371" s="54">
        <v>110</v>
      </c>
      <c r="L371" s="54">
        <v>710</v>
      </c>
      <c r="M371" s="54">
        <v>24</v>
      </c>
      <c r="N371" s="56">
        <v>0.53869999999999996</v>
      </c>
      <c r="O371" s="50"/>
      <c r="P371" s="52">
        <v>31450</v>
      </c>
      <c r="Q371" s="54">
        <v>14</v>
      </c>
      <c r="R371" s="52">
        <v>5</v>
      </c>
      <c r="S371" s="52">
        <v>70</v>
      </c>
      <c r="T371" s="58"/>
      <c r="U371" s="54"/>
    </row>
    <row r="372" spans="1:21" x14ac:dyDescent="0.35">
      <c r="A372" s="51">
        <v>4005032</v>
      </c>
      <c r="B372" s="51" t="s">
        <v>2111</v>
      </c>
      <c r="C372" s="51" t="s">
        <v>1174</v>
      </c>
      <c r="D372" s="51">
        <v>10050505</v>
      </c>
      <c r="E372" s="51" t="s">
        <v>3306</v>
      </c>
      <c r="F372" s="51" t="s">
        <v>1173</v>
      </c>
      <c r="G372" s="51" t="s">
        <v>258</v>
      </c>
      <c r="H372" s="51" t="s">
        <v>24</v>
      </c>
      <c r="I372" s="51" t="s">
        <v>258</v>
      </c>
      <c r="J372" s="53">
        <v>28</v>
      </c>
      <c r="K372" s="55">
        <v>56</v>
      </c>
      <c r="L372" s="55">
        <v>382</v>
      </c>
      <c r="M372" s="55">
        <v>21</v>
      </c>
      <c r="N372" s="57">
        <v>0.80420000000000003</v>
      </c>
      <c r="O372" s="51"/>
      <c r="P372" s="53">
        <v>13030</v>
      </c>
      <c r="Q372" s="55">
        <v>7</v>
      </c>
      <c r="R372" s="53">
        <v>0.71</v>
      </c>
      <c r="S372" s="53">
        <v>5</v>
      </c>
      <c r="T372" s="59"/>
      <c r="U372" s="55"/>
    </row>
    <row r="373" spans="1:21" x14ac:dyDescent="0.35">
      <c r="A373" s="50">
        <v>4005052</v>
      </c>
      <c r="B373" s="50" t="s">
        <v>2113</v>
      </c>
      <c r="C373" s="50" t="s">
        <v>1174</v>
      </c>
      <c r="D373" s="50">
        <v>10050101</v>
      </c>
      <c r="E373" s="50" t="s">
        <v>3288</v>
      </c>
      <c r="F373" s="50" t="s">
        <v>1173</v>
      </c>
      <c r="G373" s="50"/>
      <c r="H373" s="50"/>
      <c r="I373" s="50"/>
      <c r="J373" s="52">
        <v>45</v>
      </c>
      <c r="K373" s="54">
        <v>88</v>
      </c>
      <c r="L373" s="54">
        <v>176</v>
      </c>
      <c r="M373" s="54">
        <v>3</v>
      </c>
      <c r="N373" s="56">
        <v>2.9359999999999999</v>
      </c>
      <c r="O373" s="50" t="s">
        <v>3230</v>
      </c>
      <c r="P373" s="52">
        <v>11520</v>
      </c>
      <c r="Q373" s="54">
        <v>6</v>
      </c>
      <c r="R373" s="52">
        <v>5.33</v>
      </c>
      <c r="S373" s="52">
        <v>32</v>
      </c>
      <c r="T373" s="58"/>
      <c r="U373" s="54"/>
    </row>
    <row r="374" spans="1:21" x14ac:dyDescent="0.35">
      <c r="A374" s="51">
        <v>4005446</v>
      </c>
      <c r="B374" s="51" t="s">
        <v>2115</v>
      </c>
      <c r="C374" s="51" t="s">
        <v>1174</v>
      </c>
      <c r="D374" s="51">
        <v>10050505</v>
      </c>
      <c r="E374" s="51" t="s">
        <v>3306</v>
      </c>
      <c r="F374" s="51" t="s">
        <v>1173</v>
      </c>
      <c r="G374" s="51" t="s">
        <v>258</v>
      </c>
      <c r="H374" s="51" t="s">
        <v>24</v>
      </c>
      <c r="I374" s="51"/>
      <c r="J374" s="53">
        <v>219.94</v>
      </c>
      <c r="K374" s="55">
        <v>120</v>
      </c>
      <c r="L374" s="55">
        <v>940</v>
      </c>
      <c r="M374" s="55">
        <v>18</v>
      </c>
      <c r="N374" s="57">
        <v>0.81379999999999997</v>
      </c>
      <c r="O374" s="51"/>
      <c r="P374" s="53">
        <v>164800</v>
      </c>
      <c r="Q374" s="55">
        <v>11</v>
      </c>
      <c r="R374" s="53">
        <v>4</v>
      </c>
      <c r="S374" s="53">
        <v>44</v>
      </c>
      <c r="T374" s="59"/>
      <c r="U374" s="55"/>
    </row>
    <row r="375" spans="1:21" x14ac:dyDescent="0.35">
      <c r="A375" s="50">
        <v>4005449</v>
      </c>
      <c r="B375" s="50" t="s">
        <v>2117</v>
      </c>
      <c r="C375" s="50" t="s">
        <v>1174</v>
      </c>
      <c r="D375" s="50">
        <v>10050109</v>
      </c>
      <c r="E375" s="50" t="s">
        <v>3294</v>
      </c>
      <c r="F375" s="50" t="s">
        <v>1173</v>
      </c>
      <c r="G375" s="50" t="s">
        <v>258</v>
      </c>
      <c r="H375" s="50"/>
      <c r="I375" s="50"/>
      <c r="J375" s="52">
        <v>68.900000000000006</v>
      </c>
      <c r="K375" s="54">
        <v>165</v>
      </c>
      <c r="L375" s="54">
        <v>435</v>
      </c>
      <c r="M375" s="54">
        <v>13</v>
      </c>
      <c r="N375" s="56">
        <v>1.0738000000000001</v>
      </c>
      <c r="O375" s="50"/>
      <c r="P375" s="52">
        <v>27560</v>
      </c>
      <c r="Q375" s="54">
        <v>4</v>
      </c>
      <c r="R375" s="52">
        <v>4</v>
      </c>
      <c r="S375" s="52">
        <v>16</v>
      </c>
      <c r="T375" s="58"/>
      <c r="U375" s="54"/>
    </row>
    <row r="376" spans="1:21" x14ac:dyDescent="0.35">
      <c r="A376" s="51">
        <v>4005503</v>
      </c>
      <c r="B376" s="51" t="s">
        <v>2125</v>
      </c>
      <c r="C376" s="51" t="s">
        <v>1174</v>
      </c>
      <c r="D376" s="51">
        <v>10050109</v>
      </c>
      <c r="E376" s="51" t="s">
        <v>3294</v>
      </c>
      <c r="F376" s="51" t="s">
        <v>1173</v>
      </c>
      <c r="G376" s="51" t="s">
        <v>271</v>
      </c>
      <c r="H376" s="51" t="s">
        <v>24</v>
      </c>
      <c r="I376" s="51"/>
      <c r="J376" s="53">
        <v>2.4</v>
      </c>
      <c r="K376" s="55">
        <v>4020</v>
      </c>
      <c r="L376" s="55">
        <v>263379</v>
      </c>
      <c r="M376" s="55">
        <v>24</v>
      </c>
      <c r="N376" s="57">
        <v>0.12189999999999999</v>
      </c>
      <c r="O376" s="51"/>
      <c r="P376" s="53">
        <v>592.20000000000005</v>
      </c>
      <c r="Q376" s="55">
        <v>1</v>
      </c>
      <c r="R376" s="53">
        <v>4</v>
      </c>
      <c r="S376" s="53">
        <v>4</v>
      </c>
      <c r="T376" s="59"/>
      <c r="U376" s="55"/>
    </row>
    <row r="377" spans="1:21" x14ac:dyDescent="0.35">
      <c r="A377" s="50">
        <v>4005583</v>
      </c>
      <c r="B377" s="50" t="s">
        <v>2127</v>
      </c>
      <c r="C377" s="50" t="s">
        <v>1174</v>
      </c>
      <c r="D377" s="50">
        <v>10040101</v>
      </c>
      <c r="E377" s="50" t="s">
        <v>3279</v>
      </c>
      <c r="F377" s="50" t="s">
        <v>1173</v>
      </c>
      <c r="G377" s="50" t="s">
        <v>271</v>
      </c>
      <c r="H377" s="50" t="s">
        <v>141</v>
      </c>
      <c r="I377" s="50" t="s">
        <v>271</v>
      </c>
      <c r="J377" s="52">
        <v>3.28</v>
      </c>
      <c r="K377" s="54">
        <v>28080</v>
      </c>
      <c r="L377" s="54">
        <v>547412</v>
      </c>
      <c r="M377" s="54">
        <v>24</v>
      </c>
      <c r="N377" s="56">
        <v>0.68379999999999996</v>
      </c>
      <c r="O377" s="50"/>
      <c r="P377" s="52">
        <v>1329919.2</v>
      </c>
      <c r="Q377" s="54">
        <v>11</v>
      </c>
      <c r="R377" s="52">
        <v>697.73</v>
      </c>
      <c r="S377" s="52">
        <v>8372.7999999999993</v>
      </c>
      <c r="T377" s="58"/>
      <c r="U377" s="54"/>
    </row>
    <row r="378" spans="1:21" x14ac:dyDescent="0.35">
      <c r="A378" s="51">
        <v>4005584</v>
      </c>
      <c r="B378" s="51" t="s">
        <v>2129</v>
      </c>
      <c r="C378" s="51" t="s">
        <v>1174</v>
      </c>
      <c r="D378" s="51">
        <v>10040101</v>
      </c>
      <c r="E378" s="51" t="s">
        <v>3279</v>
      </c>
      <c r="F378" s="51" t="s">
        <v>1173</v>
      </c>
      <c r="G378" s="51" t="s">
        <v>271</v>
      </c>
      <c r="H378" s="51" t="s">
        <v>141</v>
      </c>
      <c r="I378" s="51" t="s">
        <v>271</v>
      </c>
      <c r="J378" s="53">
        <v>3.24</v>
      </c>
      <c r="K378" s="55">
        <v>14760</v>
      </c>
      <c r="L378" s="55">
        <v>358060</v>
      </c>
      <c r="M378" s="55">
        <v>24</v>
      </c>
      <c r="N378" s="57">
        <v>0.3009</v>
      </c>
      <c r="O378" s="51"/>
      <c r="P378" s="53">
        <v>882723</v>
      </c>
      <c r="Q378" s="55">
        <v>28</v>
      </c>
      <c r="R378" s="53">
        <v>201.44</v>
      </c>
      <c r="S378" s="53">
        <v>5640.4</v>
      </c>
      <c r="T378" s="59"/>
      <c r="U378" s="55"/>
    </row>
    <row r="379" spans="1:21" x14ac:dyDescent="0.35">
      <c r="A379" s="50">
        <v>4005783</v>
      </c>
      <c r="B379" s="50" t="s">
        <v>2131</v>
      </c>
      <c r="C379" s="50" t="s">
        <v>1174</v>
      </c>
      <c r="D379" s="50">
        <v>10050505</v>
      </c>
      <c r="E379" s="50" t="s">
        <v>3306</v>
      </c>
      <c r="F379" s="50" t="s">
        <v>1173</v>
      </c>
      <c r="G379" s="50" t="s">
        <v>258</v>
      </c>
      <c r="H379" s="50"/>
      <c r="I379" s="50"/>
      <c r="J379" s="52">
        <v>190.38</v>
      </c>
      <c r="K379" s="54">
        <v>98</v>
      </c>
      <c r="L379" s="54">
        <v>142</v>
      </c>
      <c r="M379" s="54">
        <v>7</v>
      </c>
      <c r="N379" s="56">
        <v>1.8137000000000001</v>
      </c>
      <c r="O379" s="50"/>
      <c r="P379" s="52">
        <v>17600</v>
      </c>
      <c r="Q379" s="54">
        <v>1</v>
      </c>
      <c r="R379" s="52">
        <v>4</v>
      </c>
      <c r="S379" s="52">
        <v>4</v>
      </c>
      <c r="T379" s="58"/>
      <c r="U379" s="54"/>
    </row>
    <row r="380" spans="1:21" x14ac:dyDescent="0.35">
      <c r="A380" s="51">
        <v>4005791</v>
      </c>
      <c r="B380" s="51" t="s">
        <v>2133</v>
      </c>
      <c r="C380" s="51" t="s">
        <v>1174</v>
      </c>
      <c r="D380" s="51">
        <v>10040101</v>
      </c>
      <c r="E380" s="51" t="s">
        <v>3279</v>
      </c>
      <c r="F380" s="51" t="s">
        <v>1173</v>
      </c>
      <c r="G380" s="51" t="s">
        <v>289</v>
      </c>
      <c r="H380" s="51" t="s">
        <v>141</v>
      </c>
      <c r="I380" s="51" t="s">
        <v>258</v>
      </c>
      <c r="J380" s="53">
        <v>1.28</v>
      </c>
      <c r="K380" s="55">
        <v>11000</v>
      </c>
      <c r="L380" s="55">
        <v>111702</v>
      </c>
      <c r="M380" s="55">
        <v>24</v>
      </c>
      <c r="N380" s="57">
        <v>0.35499999999999998</v>
      </c>
      <c r="O380" s="51"/>
      <c r="P380" s="53">
        <v>120600</v>
      </c>
      <c r="Q380" s="55">
        <v>24</v>
      </c>
      <c r="R380" s="53">
        <v>4</v>
      </c>
      <c r="S380" s="53">
        <v>96</v>
      </c>
      <c r="T380" s="59"/>
      <c r="U380" s="55"/>
    </row>
    <row r="381" spans="1:21" x14ac:dyDescent="0.35">
      <c r="A381" s="50">
        <v>4005792</v>
      </c>
      <c r="B381" s="50" t="s">
        <v>2135</v>
      </c>
      <c r="C381" s="50" t="s">
        <v>1174</v>
      </c>
      <c r="D381" s="50">
        <v>10050701</v>
      </c>
      <c r="E381" s="50" t="s">
        <v>3320</v>
      </c>
      <c r="F381" s="50" t="s">
        <v>1173</v>
      </c>
      <c r="G381" s="50" t="s">
        <v>258</v>
      </c>
      <c r="H381" s="50"/>
      <c r="I381" s="50" t="s">
        <v>258</v>
      </c>
      <c r="J381" s="52">
        <v>0.1</v>
      </c>
      <c r="K381" s="54">
        <v>100</v>
      </c>
      <c r="L381" s="54">
        <v>2222</v>
      </c>
      <c r="M381" s="54">
        <v>23</v>
      </c>
      <c r="N381" s="56">
        <v>0.52210000000000001</v>
      </c>
      <c r="O381" s="50"/>
      <c r="P381" s="52">
        <v>492</v>
      </c>
      <c r="Q381" s="54">
        <v>37</v>
      </c>
      <c r="R381" s="52">
        <v>6</v>
      </c>
      <c r="S381" s="52">
        <v>222</v>
      </c>
      <c r="T381" s="58"/>
      <c r="U381" s="54"/>
    </row>
    <row r="382" spans="1:21" x14ac:dyDescent="0.35">
      <c r="A382" s="51">
        <v>4005868</v>
      </c>
      <c r="B382" s="51" t="s">
        <v>2137</v>
      </c>
      <c r="C382" s="51" t="s">
        <v>1174</v>
      </c>
      <c r="D382" s="51">
        <v>10030908</v>
      </c>
      <c r="E382" s="51" t="s">
        <v>3276</v>
      </c>
      <c r="F382" s="51" t="s">
        <v>1173</v>
      </c>
      <c r="G382" s="51" t="s">
        <v>289</v>
      </c>
      <c r="H382" s="51"/>
      <c r="I382" s="51" t="s">
        <v>258</v>
      </c>
      <c r="J382" s="53">
        <v>17.86</v>
      </c>
      <c r="K382" s="55">
        <v>324</v>
      </c>
      <c r="L382" s="55">
        <v>3492</v>
      </c>
      <c r="M382" s="55">
        <v>20</v>
      </c>
      <c r="N382" s="57">
        <v>0.7742</v>
      </c>
      <c r="O382" s="51"/>
      <c r="P382" s="53">
        <v>67508</v>
      </c>
      <c r="Q382" s="55">
        <v>15</v>
      </c>
      <c r="R382" s="53">
        <v>7</v>
      </c>
      <c r="S382" s="53">
        <v>105</v>
      </c>
      <c r="T382" s="59"/>
      <c r="U382" s="55"/>
    </row>
    <row r="383" spans="1:21" x14ac:dyDescent="0.35">
      <c r="A383" s="50">
        <v>4005876</v>
      </c>
      <c r="B383" s="50" t="s">
        <v>2139</v>
      </c>
      <c r="C383" s="50" t="s">
        <v>1174</v>
      </c>
      <c r="D383" s="50">
        <v>10030908</v>
      </c>
      <c r="E383" s="50" t="s">
        <v>3276</v>
      </c>
      <c r="F383" s="50" t="s">
        <v>1173</v>
      </c>
      <c r="G383" s="50"/>
      <c r="H383" s="50" t="s">
        <v>24</v>
      </c>
      <c r="I383" s="50"/>
      <c r="J383" s="52">
        <v>36.42</v>
      </c>
      <c r="K383" s="54">
        <v>936</v>
      </c>
      <c r="L383" s="54">
        <v>4464</v>
      </c>
      <c r="M383" s="54">
        <v>19</v>
      </c>
      <c r="N383" s="56">
        <v>0.6532</v>
      </c>
      <c r="O383" s="50"/>
      <c r="P383" s="52">
        <v>199274</v>
      </c>
      <c r="Q383" s="54">
        <v>17</v>
      </c>
      <c r="R383" s="52">
        <v>8.94</v>
      </c>
      <c r="S383" s="52">
        <v>152</v>
      </c>
      <c r="T383" s="58"/>
      <c r="U383" s="54"/>
    </row>
    <row r="384" spans="1:21" x14ac:dyDescent="0.35">
      <c r="A384" s="51">
        <v>4005880</v>
      </c>
      <c r="B384" s="51" t="s">
        <v>2141</v>
      </c>
      <c r="C384" s="51" t="s">
        <v>1174</v>
      </c>
      <c r="D384" s="51">
        <v>10030908</v>
      </c>
      <c r="E384" s="51" t="s">
        <v>3276</v>
      </c>
      <c r="F384" s="51" t="s">
        <v>1173</v>
      </c>
      <c r="G384" s="51" t="s">
        <v>289</v>
      </c>
      <c r="H384" s="51"/>
      <c r="I384" s="51" t="s">
        <v>258</v>
      </c>
      <c r="J384" s="53">
        <v>35.69</v>
      </c>
      <c r="K384" s="55">
        <v>432</v>
      </c>
      <c r="L384" s="55">
        <v>3348</v>
      </c>
      <c r="M384" s="55">
        <v>23</v>
      </c>
      <c r="N384" s="57">
        <v>0.58809999999999996</v>
      </c>
      <c r="O384" s="51"/>
      <c r="P384" s="53">
        <v>123360</v>
      </c>
      <c r="Q384" s="55">
        <v>16</v>
      </c>
      <c r="R384" s="53">
        <v>6</v>
      </c>
      <c r="S384" s="53">
        <v>96</v>
      </c>
      <c r="T384" s="59"/>
      <c r="U384" s="55"/>
    </row>
    <row r="385" spans="1:21" x14ac:dyDescent="0.35">
      <c r="A385" s="50">
        <v>4005881</v>
      </c>
      <c r="B385" s="50" t="s">
        <v>2143</v>
      </c>
      <c r="C385" s="50" t="s">
        <v>1174</v>
      </c>
      <c r="D385" s="50">
        <v>10030908</v>
      </c>
      <c r="E385" s="50" t="s">
        <v>3276</v>
      </c>
      <c r="F385" s="50" t="s">
        <v>1173</v>
      </c>
      <c r="G385" s="50" t="s">
        <v>258</v>
      </c>
      <c r="H385" s="50"/>
      <c r="I385" s="50" t="s">
        <v>258</v>
      </c>
      <c r="J385" s="52">
        <v>16.61</v>
      </c>
      <c r="K385" s="54">
        <v>324</v>
      </c>
      <c r="L385" s="54">
        <v>1512</v>
      </c>
      <c r="M385" s="54">
        <v>15</v>
      </c>
      <c r="N385" s="56">
        <v>1.1693</v>
      </c>
      <c r="O385" s="50"/>
      <c r="P385" s="52">
        <v>23918</v>
      </c>
      <c r="Q385" s="54">
        <v>10</v>
      </c>
      <c r="R385" s="52">
        <v>4</v>
      </c>
      <c r="S385" s="52">
        <v>40</v>
      </c>
      <c r="T385" s="58"/>
      <c r="U385" s="54"/>
    </row>
    <row r="386" spans="1:21" x14ac:dyDescent="0.35">
      <c r="A386" s="51">
        <v>4005883</v>
      </c>
      <c r="B386" s="51" t="s">
        <v>2145</v>
      </c>
      <c r="C386" s="51" t="s">
        <v>1174</v>
      </c>
      <c r="D386" s="51">
        <v>10030908</v>
      </c>
      <c r="E386" s="51" t="s">
        <v>3276</v>
      </c>
      <c r="F386" s="51" t="s">
        <v>1173</v>
      </c>
      <c r="G386" s="51" t="s">
        <v>258</v>
      </c>
      <c r="H386" s="51"/>
      <c r="I386" s="51" t="s">
        <v>258</v>
      </c>
      <c r="J386" s="53">
        <v>45.95</v>
      </c>
      <c r="K386" s="55">
        <v>408</v>
      </c>
      <c r="L386" s="55">
        <v>1224</v>
      </c>
      <c r="M386" s="55">
        <v>18</v>
      </c>
      <c r="N386" s="57">
        <v>0.89400000000000002</v>
      </c>
      <c r="O386" s="51"/>
      <c r="P386" s="53">
        <v>52944</v>
      </c>
      <c r="Q386" s="55">
        <v>6</v>
      </c>
      <c r="R386" s="53">
        <v>8</v>
      </c>
      <c r="S386" s="53">
        <v>48</v>
      </c>
      <c r="T386" s="59"/>
      <c r="U386" s="55"/>
    </row>
    <row r="387" spans="1:21" x14ac:dyDescent="0.35">
      <c r="A387" s="50">
        <v>4005885</v>
      </c>
      <c r="B387" s="50" t="s">
        <v>2147</v>
      </c>
      <c r="C387" s="50" t="s">
        <v>1174</v>
      </c>
      <c r="D387" s="50">
        <v>10030908</v>
      </c>
      <c r="E387" s="50" t="s">
        <v>3276</v>
      </c>
      <c r="F387" s="50" t="s">
        <v>1173</v>
      </c>
      <c r="G387" s="50" t="s">
        <v>258</v>
      </c>
      <c r="H387" s="50"/>
      <c r="I387" s="50" t="s">
        <v>258</v>
      </c>
      <c r="J387" s="52">
        <v>19.11</v>
      </c>
      <c r="K387" s="54">
        <v>432</v>
      </c>
      <c r="L387" s="54">
        <v>1872</v>
      </c>
      <c r="M387" s="54">
        <v>13</v>
      </c>
      <c r="N387" s="56">
        <v>0.9577</v>
      </c>
      <c r="O387" s="50"/>
      <c r="P387" s="52">
        <v>33024</v>
      </c>
      <c r="Q387" s="54">
        <v>6</v>
      </c>
      <c r="R387" s="52">
        <v>8</v>
      </c>
      <c r="S387" s="52">
        <v>48</v>
      </c>
      <c r="T387" s="58"/>
      <c r="U387" s="54"/>
    </row>
    <row r="388" spans="1:21" x14ac:dyDescent="0.35">
      <c r="A388" s="51">
        <v>4005925</v>
      </c>
      <c r="B388" s="51" t="s">
        <v>2149</v>
      </c>
      <c r="C388" s="51" t="s">
        <v>1174</v>
      </c>
      <c r="D388" s="51">
        <v>10030905</v>
      </c>
      <c r="E388" s="51" t="s">
        <v>3273</v>
      </c>
      <c r="F388" s="51" t="s">
        <v>1173</v>
      </c>
      <c r="G388" s="51"/>
      <c r="H388" s="51" t="s">
        <v>24</v>
      </c>
      <c r="I388" s="51"/>
      <c r="J388" s="53">
        <v>13.75</v>
      </c>
      <c r="K388" s="55">
        <v>336</v>
      </c>
      <c r="L388" s="55">
        <v>96</v>
      </c>
      <c r="M388" s="55">
        <v>3</v>
      </c>
      <c r="N388" s="57">
        <v>2.8283999999999998</v>
      </c>
      <c r="O388" s="51" t="s">
        <v>3230</v>
      </c>
      <c r="P388" s="53">
        <v>6602.2</v>
      </c>
      <c r="Q388" s="55">
        <v>3</v>
      </c>
      <c r="R388" s="53">
        <v>5</v>
      </c>
      <c r="S388" s="53">
        <v>20</v>
      </c>
      <c r="T388" s="59"/>
      <c r="U388" s="55"/>
    </row>
    <row r="389" spans="1:21" x14ac:dyDescent="0.35">
      <c r="A389" s="50">
        <v>4005949</v>
      </c>
      <c r="B389" s="50" t="s">
        <v>2151</v>
      </c>
      <c r="C389" s="50" t="s">
        <v>1174</v>
      </c>
      <c r="D389" s="50">
        <v>10050102</v>
      </c>
      <c r="E389" s="50" t="s">
        <v>3289</v>
      </c>
      <c r="F389" s="50" t="s">
        <v>1173</v>
      </c>
      <c r="G389" s="50" t="s">
        <v>258</v>
      </c>
      <c r="H389" s="50" t="s">
        <v>24</v>
      </c>
      <c r="I389" s="50" t="s">
        <v>258</v>
      </c>
      <c r="J389" s="52">
        <v>25.55</v>
      </c>
      <c r="K389" s="54">
        <v>150</v>
      </c>
      <c r="L389" s="54">
        <v>3550</v>
      </c>
      <c r="M389" s="54">
        <v>24</v>
      </c>
      <c r="N389" s="56">
        <v>0.3044</v>
      </c>
      <c r="O389" s="50"/>
      <c r="P389" s="52">
        <v>75870</v>
      </c>
      <c r="Q389" s="54">
        <v>27</v>
      </c>
      <c r="R389" s="52">
        <v>4</v>
      </c>
      <c r="S389" s="52">
        <v>108</v>
      </c>
      <c r="T389" s="58"/>
      <c r="U389" s="54"/>
    </row>
    <row r="390" spans="1:21" x14ac:dyDescent="0.35">
      <c r="A390" s="51">
        <v>4005955</v>
      </c>
      <c r="B390" s="51" t="s">
        <v>2153</v>
      </c>
      <c r="C390" s="51" t="s">
        <v>1174</v>
      </c>
      <c r="D390" s="51">
        <v>10050606</v>
      </c>
      <c r="E390" s="51" t="s">
        <v>3314</v>
      </c>
      <c r="F390" s="51" t="s">
        <v>1173</v>
      </c>
      <c r="G390" s="51" t="s">
        <v>289</v>
      </c>
      <c r="H390" s="51"/>
      <c r="I390" s="51" t="s">
        <v>258</v>
      </c>
      <c r="J390" s="53">
        <v>6.37</v>
      </c>
      <c r="K390" s="55">
        <v>750</v>
      </c>
      <c r="L390" s="55">
        <v>17500</v>
      </c>
      <c r="M390" s="55">
        <v>24</v>
      </c>
      <c r="N390" s="57">
        <v>0.59409999999999996</v>
      </c>
      <c r="O390" s="51"/>
      <c r="P390" s="53">
        <v>94012.44</v>
      </c>
      <c r="Q390" s="55">
        <v>24</v>
      </c>
      <c r="R390" s="53">
        <v>11.88</v>
      </c>
      <c r="S390" s="53">
        <v>297</v>
      </c>
      <c r="T390" s="59"/>
      <c r="U390" s="55"/>
    </row>
    <row r="391" spans="1:21" x14ac:dyDescent="0.35">
      <c r="A391" s="50">
        <v>4006009</v>
      </c>
      <c r="B391" s="50" t="s">
        <v>2159</v>
      </c>
      <c r="C391" s="50" t="s">
        <v>1174</v>
      </c>
      <c r="D391" s="50">
        <v>10030908</v>
      </c>
      <c r="E391" s="50" t="s">
        <v>3276</v>
      </c>
      <c r="F391" s="50" t="s">
        <v>1173</v>
      </c>
      <c r="G391" s="50"/>
      <c r="H391" s="50" t="s">
        <v>24</v>
      </c>
      <c r="I391" s="50"/>
      <c r="J391" s="52">
        <v>37.75</v>
      </c>
      <c r="K391" s="54">
        <v>216</v>
      </c>
      <c r="L391" s="54">
        <v>1697</v>
      </c>
      <c r="M391" s="54">
        <v>15</v>
      </c>
      <c r="N391" s="56">
        <v>1.2598</v>
      </c>
      <c r="O391" s="50"/>
      <c r="P391" s="52">
        <v>73386</v>
      </c>
      <c r="Q391" s="54">
        <v>17</v>
      </c>
      <c r="R391" s="52">
        <v>3.18</v>
      </c>
      <c r="S391" s="52">
        <v>54</v>
      </c>
      <c r="T391" s="58"/>
      <c r="U391" s="54"/>
    </row>
    <row r="392" spans="1:21" x14ac:dyDescent="0.35">
      <c r="A392" s="51">
        <v>4006012</v>
      </c>
      <c r="B392" s="51" t="s">
        <v>2161</v>
      </c>
      <c r="C392" s="51" t="s">
        <v>1174</v>
      </c>
      <c r="D392" s="51">
        <v>10050404</v>
      </c>
      <c r="E392" s="51" t="s">
        <v>3301</v>
      </c>
      <c r="F392" s="51" t="s">
        <v>1173</v>
      </c>
      <c r="G392" s="51" t="s">
        <v>271</v>
      </c>
      <c r="H392" s="51"/>
      <c r="I392" s="51" t="s">
        <v>258</v>
      </c>
      <c r="J392" s="53">
        <v>70.58</v>
      </c>
      <c r="K392" s="55">
        <v>684</v>
      </c>
      <c r="L392" s="55">
        <v>5716</v>
      </c>
      <c r="M392" s="55">
        <v>24</v>
      </c>
      <c r="N392" s="57">
        <v>0.2268</v>
      </c>
      <c r="O392" s="51"/>
      <c r="P392" s="53">
        <v>364356</v>
      </c>
      <c r="Q392" s="55">
        <v>31</v>
      </c>
      <c r="R392" s="53">
        <v>16.03</v>
      </c>
      <c r="S392" s="53">
        <v>497</v>
      </c>
      <c r="T392" s="59"/>
      <c r="U392" s="55"/>
    </row>
    <row r="393" spans="1:21" x14ac:dyDescent="0.35">
      <c r="A393" s="50">
        <v>4006014</v>
      </c>
      <c r="B393" s="50" t="s">
        <v>2163</v>
      </c>
      <c r="C393" s="50" t="s">
        <v>1174</v>
      </c>
      <c r="D393" s="50">
        <v>10030908</v>
      </c>
      <c r="E393" s="50" t="s">
        <v>3276</v>
      </c>
      <c r="F393" s="50" t="s">
        <v>1173</v>
      </c>
      <c r="G393" s="50" t="s">
        <v>258</v>
      </c>
      <c r="H393" s="50"/>
      <c r="I393" s="50" t="s">
        <v>258</v>
      </c>
      <c r="J393" s="52">
        <v>10.220000000000001</v>
      </c>
      <c r="K393" s="54">
        <v>504</v>
      </c>
      <c r="L393" s="54">
        <v>5580</v>
      </c>
      <c r="M393" s="54">
        <v>24</v>
      </c>
      <c r="N393" s="56">
        <v>0.54369999999999996</v>
      </c>
      <c r="O393" s="50"/>
      <c r="P393" s="52">
        <v>57399</v>
      </c>
      <c r="Q393" s="54">
        <v>25</v>
      </c>
      <c r="R393" s="52">
        <v>6.24</v>
      </c>
      <c r="S393" s="52">
        <v>156</v>
      </c>
      <c r="T393" s="58"/>
      <c r="U393" s="54"/>
    </row>
    <row r="394" spans="1:21" x14ac:dyDescent="0.35">
      <c r="A394" s="51">
        <v>4006023</v>
      </c>
      <c r="B394" s="51" t="s">
        <v>2165</v>
      </c>
      <c r="C394" s="51" t="s">
        <v>1174</v>
      </c>
      <c r="D394" s="51">
        <v>10030908</v>
      </c>
      <c r="E394" s="51" t="s">
        <v>3276</v>
      </c>
      <c r="F394" s="51" t="s">
        <v>1173</v>
      </c>
      <c r="G394" s="51" t="s">
        <v>289</v>
      </c>
      <c r="H394" s="51"/>
      <c r="I394" s="51" t="s">
        <v>258</v>
      </c>
      <c r="J394" s="53">
        <v>33.17</v>
      </c>
      <c r="K394" s="55">
        <v>288</v>
      </c>
      <c r="L394" s="55">
        <v>5184</v>
      </c>
      <c r="M394" s="55">
        <v>24</v>
      </c>
      <c r="N394" s="57">
        <v>0.35249999999999998</v>
      </c>
      <c r="O394" s="51"/>
      <c r="P394" s="53">
        <v>167160</v>
      </c>
      <c r="Q394" s="55">
        <v>28</v>
      </c>
      <c r="R394" s="53">
        <v>15</v>
      </c>
      <c r="S394" s="53">
        <v>420</v>
      </c>
      <c r="T394" s="59"/>
      <c r="U394" s="55"/>
    </row>
    <row r="395" spans="1:21" x14ac:dyDescent="0.35">
      <c r="A395" s="50">
        <v>4006027</v>
      </c>
      <c r="B395" s="50" t="s">
        <v>2169</v>
      </c>
      <c r="C395" s="50" t="s">
        <v>1174</v>
      </c>
      <c r="D395" s="50">
        <v>10030908</v>
      </c>
      <c r="E395" s="50" t="s">
        <v>3276</v>
      </c>
      <c r="F395" s="50" t="s">
        <v>1173</v>
      </c>
      <c r="G395" s="50" t="s">
        <v>271</v>
      </c>
      <c r="H395" s="50"/>
      <c r="I395" s="50" t="s">
        <v>258</v>
      </c>
      <c r="J395" s="52">
        <v>17.39</v>
      </c>
      <c r="K395" s="54">
        <v>1404</v>
      </c>
      <c r="L395" s="54">
        <v>12744</v>
      </c>
      <c r="M395" s="54">
        <v>24</v>
      </c>
      <c r="N395" s="56">
        <v>0.33110000000000001</v>
      </c>
      <c r="O395" s="50"/>
      <c r="P395" s="52">
        <v>225368</v>
      </c>
      <c r="Q395" s="54">
        <v>36</v>
      </c>
      <c r="R395" s="52">
        <v>10</v>
      </c>
      <c r="S395" s="52">
        <v>360</v>
      </c>
      <c r="T395" s="58"/>
      <c r="U395" s="54"/>
    </row>
    <row r="396" spans="1:21" x14ac:dyDescent="0.35">
      <c r="A396" s="51">
        <v>4006037</v>
      </c>
      <c r="B396" s="51" t="s">
        <v>2171</v>
      </c>
      <c r="C396" s="51" t="s">
        <v>1174</v>
      </c>
      <c r="D396" s="51">
        <v>10030908</v>
      </c>
      <c r="E396" s="51" t="s">
        <v>3276</v>
      </c>
      <c r="F396" s="51" t="s">
        <v>1173</v>
      </c>
      <c r="G396" s="51" t="s">
        <v>258</v>
      </c>
      <c r="H396" s="51"/>
      <c r="I396" s="51" t="s">
        <v>258</v>
      </c>
      <c r="J396" s="53">
        <v>18.38</v>
      </c>
      <c r="K396" s="55">
        <v>216</v>
      </c>
      <c r="L396" s="55">
        <v>108</v>
      </c>
      <c r="M396" s="55">
        <v>2</v>
      </c>
      <c r="N396" s="57">
        <v>3.5118999999999998</v>
      </c>
      <c r="O396" s="51" t="s">
        <v>3230</v>
      </c>
      <c r="P396" s="53">
        <v>2064</v>
      </c>
      <c r="Q396" s="55">
        <v>1</v>
      </c>
      <c r="R396" s="53">
        <v>3</v>
      </c>
      <c r="S396" s="53">
        <v>3</v>
      </c>
      <c r="T396" s="59"/>
      <c r="U396" s="55"/>
    </row>
    <row r="397" spans="1:21" x14ac:dyDescent="0.35">
      <c r="A397" s="50">
        <v>4006043</v>
      </c>
      <c r="B397" s="50" t="s">
        <v>2173</v>
      </c>
      <c r="C397" s="50" t="s">
        <v>1174</v>
      </c>
      <c r="D397" s="50">
        <v>10050109</v>
      </c>
      <c r="E397" s="50" t="s">
        <v>3294</v>
      </c>
      <c r="F397" s="50" t="s">
        <v>1173</v>
      </c>
      <c r="G397" s="50" t="s">
        <v>289</v>
      </c>
      <c r="H397" s="50"/>
      <c r="I397" s="50" t="s">
        <v>258</v>
      </c>
      <c r="J397" s="52">
        <v>0.73729999999999996</v>
      </c>
      <c r="K397" s="54">
        <v>2900</v>
      </c>
      <c r="L397" s="54">
        <v>173340</v>
      </c>
      <c r="M397" s="54">
        <v>24</v>
      </c>
      <c r="N397" s="56">
        <v>0.14729999999999999</v>
      </c>
      <c r="O397" s="50"/>
      <c r="P397" s="52"/>
      <c r="Q397" s="54"/>
      <c r="R397" s="52"/>
      <c r="S397" s="52"/>
      <c r="T397" s="58"/>
      <c r="U397" s="54"/>
    </row>
    <row r="398" spans="1:21" x14ac:dyDescent="0.35">
      <c r="A398" s="51">
        <v>4006062</v>
      </c>
      <c r="B398" s="51" t="s">
        <v>2177</v>
      </c>
      <c r="C398" s="51" t="s">
        <v>1174</v>
      </c>
      <c r="D398" s="51">
        <v>10030908</v>
      </c>
      <c r="E398" s="51" t="s">
        <v>3276</v>
      </c>
      <c r="F398" s="51" t="s">
        <v>1173</v>
      </c>
      <c r="G398" s="51" t="s">
        <v>258</v>
      </c>
      <c r="H398" s="51"/>
      <c r="I398" s="51" t="s">
        <v>258</v>
      </c>
      <c r="J398" s="53">
        <v>19.11</v>
      </c>
      <c r="K398" s="55">
        <v>144</v>
      </c>
      <c r="L398" s="55">
        <v>756</v>
      </c>
      <c r="M398" s="55">
        <v>12</v>
      </c>
      <c r="N398" s="57">
        <v>1.5230999999999999</v>
      </c>
      <c r="O398" s="51"/>
      <c r="P398" s="53">
        <v>17887</v>
      </c>
      <c r="Q398" s="55">
        <v>12</v>
      </c>
      <c r="R398" s="53">
        <v>2</v>
      </c>
      <c r="S398" s="53">
        <v>26</v>
      </c>
      <c r="T398" s="59"/>
      <c r="U398" s="55"/>
    </row>
    <row r="399" spans="1:21" x14ac:dyDescent="0.35">
      <c r="A399" s="50">
        <v>4006066</v>
      </c>
      <c r="B399" s="50" t="s">
        <v>2179</v>
      </c>
      <c r="C399" s="50" t="s">
        <v>1174</v>
      </c>
      <c r="D399" s="50">
        <v>10030908</v>
      </c>
      <c r="E399" s="50" t="s">
        <v>3276</v>
      </c>
      <c r="F399" s="50" t="s">
        <v>1173</v>
      </c>
      <c r="G399" s="50" t="s">
        <v>258</v>
      </c>
      <c r="H399" s="50"/>
      <c r="I399" s="50" t="s">
        <v>258</v>
      </c>
      <c r="J399" s="52">
        <v>10.220000000000001</v>
      </c>
      <c r="K399" s="54">
        <v>288</v>
      </c>
      <c r="L399" s="54">
        <v>1764</v>
      </c>
      <c r="M399" s="54">
        <v>24</v>
      </c>
      <c r="N399" s="56">
        <v>0.4577</v>
      </c>
      <c r="O399" s="50"/>
      <c r="P399" s="52">
        <v>17662</v>
      </c>
      <c r="Q399" s="54">
        <v>12</v>
      </c>
      <c r="R399" s="52">
        <v>4</v>
      </c>
      <c r="S399" s="52">
        <v>48</v>
      </c>
      <c r="T399" s="58"/>
      <c r="U399" s="54"/>
    </row>
    <row r="400" spans="1:21" x14ac:dyDescent="0.35">
      <c r="A400" s="51">
        <v>4006072</v>
      </c>
      <c r="B400" s="51" t="s">
        <v>2181</v>
      </c>
      <c r="C400" s="51" t="s">
        <v>1174</v>
      </c>
      <c r="D400" s="51">
        <v>10030908</v>
      </c>
      <c r="E400" s="51" t="s">
        <v>3276</v>
      </c>
      <c r="F400" s="51" t="s">
        <v>1173</v>
      </c>
      <c r="G400" s="51"/>
      <c r="H400" s="51" t="s">
        <v>24</v>
      </c>
      <c r="I400" s="51"/>
      <c r="J400" s="53">
        <v>47.17</v>
      </c>
      <c r="K400" s="55">
        <v>144</v>
      </c>
      <c r="L400" s="55">
        <v>432</v>
      </c>
      <c r="M400" s="55">
        <v>5</v>
      </c>
      <c r="N400" s="57">
        <v>2</v>
      </c>
      <c r="O400" s="51" t="s">
        <v>3230</v>
      </c>
      <c r="P400" s="53">
        <v>27168</v>
      </c>
      <c r="Q400" s="55">
        <v>6</v>
      </c>
      <c r="R400" s="53">
        <v>2</v>
      </c>
      <c r="S400" s="53">
        <v>16</v>
      </c>
      <c r="T400" s="59"/>
      <c r="U400" s="55"/>
    </row>
    <row r="401" spans="1:21" x14ac:dyDescent="0.35">
      <c r="A401" s="50">
        <v>4006088</v>
      </c>
      <c r="B401" s="50" t="s">
        <v>2183</v>
      </c>
      <c r="C401" s="50" t="s">
        <v>1174</v>
      </c>
      <c r="D401" s="50">
        <v>10030908</v>
      </c>
      <c r="E401" s="50" t="s">
        <v>3276</v>
      </c>
      <c r="F401" s="50" t="s">
        <v>1173</v>
      </c>
      <c r="G401" s="50" t="s">
        <v>289</v>
      </c>
      <c r="H401" s="50"/>
      <c r="I401" s="50" t="s">
        <v>258</v>
      </c>
      <c r="J401" s="52">
        <v>10.25</v>
      </c>
      <c r="K401" s="54">
        <v>732</v>
      </c>
      <c r="L401" s="54">
        <v>12600</v>
      </c>
      <c r="M401" s="54">
        <v>24</v>
      </c>
      <c r="N401" s="56">
        <v>0.28000000000000003</v>
      </c>
      <c r="O401" s="50"/>
      <c r="P401" s="52">
        <v>130194</v>
      </c>
      <c r="Q401" s="54">
        <v>47</v>
      </c>
      <c r="R401" s="52">
        <v>22.06</v>
      </c>
      <c r="S401" s="52">
        <v>1059</v>
      </c>
      <c r="T401" s="58"/>
      <c r="U401" s="54"/>
    </row>
    <row r="402" spans="1:21" x14ac:dyDescent="0.35">
      <c r="A402" s="51">
        <v>4006094</v>
      </c>
      <c r="B402" s="51" t="s">
        <v>2185</v>
      </c>
      <c r="C402" s="51" t="s">
        <v>1174</v>
      </c>
      <c r="D402" s="51">
        <v>10030908</v>
      </c>
      <c r="E402" s="51" t="s">
        <v>3276</v>
      </c>
      <c r="F402" s="51" t="s">
        <v>1173</v>
      </c>
      <c r="G402" s="51" t="s">
        <v>289</v>
      </c>
      <c r="H402" s="51"/>
      <c r="I402" s="51" t="s">
        <v>258</v>
      </c>
      <c r="J402" s="53">
        <v>11.47</v>
      </c>
      <c r="K402" s="55">
        <v>396</v>
      </c>
      <c r="L402" s="55">
        <v>8646</v>
      </c>
      <c r="M402" s="55">
        <v>24</v>
      </c>
      <c r="N402" s="57">
        <v>0.1946</v>
      </c>
      <c r="O402" s="51"/>
      <c r="P402" s="53">
        <v>99108</v>
      </c>
      <c r="Q402" s="55">
        <v>40</v>
      </c>
      <c r="R402" s="53">
        <v>6</v>
      </c>
      <c r="S402" s="53">
        <v>240</v>
      </c>
      <c r="T402" s="59"/>
      <c r="U402" s="55"/>
    </row>
    <row r="403" spans="1:21" x14ac:dyDescent="0.35">
      <c r="A403" s="50">
        <v>4006098</v>
      </c>
      <c r="B403" s="50" t="s">
        <v>2187</v>
      </c>
      <c r="C403" s="50" t="s">
        <v>1174</v>
      </c>
      <c r="D403" s="50">
        <v>10030908</v>
      </c>
      <c r="E403" s="50" t="s">
        <v>3276</v>
      </c>
      <c r="F403" s="50" t="s">
        <v>1173</v>
      </c>
      <c r="G403" s="50" t="s">
        <v>258</v>
      </c>
      <c r="H403" s="50"/>
      <c r="I403" s="50" t="s">
        <v>258</v>
      </c>
      <c r="J403" s="52">
        <v>11.47</v>
      </c>
      <c r="K403" s="54">
        <v>612</v>
      </c>
      <c r="L403" s="54">
        <v>7992</v>
      </c>
      <c r="M403" s="54">
        <v>24</v>
      </c>
      <c r="N403" s="56">
        <v>0.36430000000000001</v>
      </c>
      <c r="O403" s="50"/>
      <c r="P403" s="52">
        <v>91677</v>
      </c>
      <c r="Q403" s="54">
        <v>37</v>
      </c>
      <c r="R403" s="52">
        <v>6</v>
      </c>
      <c r="S403" s="52">
        <v>222</v>
      </c>
      <c r="T403" s="58"/>
      <c r="U403" s="54"/>
    </row>
    <row r="404" spans="1:21" x14ac:dyDescent="0.35">
      <c r="A404" s="51">
        <v>4006157</v>
      </c>
      <c r="B404" s="51" t="s">
        <v>2193</v>
      </c>
      <c r="C404" s="51" t="s">
        <v>1174</v>
      </c>
      <c r="D404" s="51">
        <v>10050104</v>
      </c>
      <c r="E404" s="51" t="s">
        <v>3291</v>
      </c>
      <c r="F404" s="51" t="s">
        <v>1173</v>
      </c>
      <c r="G404" s="51" t="s">
        <v>289</v>
      </c>
      <c r="H404" s="51" t="s">
        <v>24</v>
      </c>
      <c r="I404" s="51" t="s">
        <v>258</v>
      </c>
      <c r="J404" s="53">
        <v>14.23</v>
      </c>
      <c r="K404" s="55">
        <v>75</v>
      </c>
      <c r="L404" s="55">
        <v>2330</v>
      </c>
      <c r="M404" s="55">
        <v>24</v>
      </c>
      <c r="N404" s="57">
        <v>0.42799999999999999</v>
      </c>
      <c r="O404" s="51"/>
      <c r="P404" s="53">
        <v>64890</v>
      </c>
      <c r="Q404" s="55">
        <v>11</v>
      </c>
      <c r="R404" s="53">
        <v>23.32</v>
      </c>
      <c r="S404" s="53">
        <v>256.5</v>
      </c>
      <c r="T404" s="59"/>
      <c r="U404" s="55"/>
    </row>
    <row r="405" spans="1:21" x14ac:dyDescent="0.35">
      <c r="A405" s="50">
        <v>4006159</v>
      </c>
      <c r="B405" s="50" t="s">
        <v>2195</v>
      </c>
      <c r="C405" s="50" t="s">
        <v>1174</v>
      </c>
      <c r="D405" s="50">
        <v>10030805</v>
      </c>
      <c r="E405" s="50" t="s">
        <v>3267</v>
      </c>
      <c r="F405" s="50" t="s">
        <v>1173</v>
      </c>
      <c r="G405" s="50" t="s">
        <v>258</v>
      </c>
      <c r="H405" s="50"/>
      <c r="I405" s="50" t="s">
        <v>289</v>
      </c>
      <c r="J405" s="52">
        <v>1.32</v>
      </c>
      <c r="K405" s="54">
        <v>2800</v>
      </c>
      <c r="L405" s="54">
        <v>24000</v>
      </c>
      <c r="M405" s="54">
        <v>21</v>
      </c>
      <c r="N405" s="56">
        <v>0.61099999999999999</v>
      </c>
      <c r="O405" s="50"/>
      <c r="P405" s="52">
        <v>31884.62</v>
      </c>
      <c r="Q405" s="54">
        <v>25</v>
      </c>
      <c r="R405" s="52">
        <v>2.35</v>
      </c>
      <c r="S405" s="52">
        <v>61</v>
      </c>
      <c r="T405" s="58"/>
      <c r="U405" s="54"/>
    </row>
    <row r="406" spans="1:21" x14ac:dyDescent="0.35">
      <c r="A406" s="51">
        <v>4006161</v>
      </c>
      <c r="B406" s="51" t="s">
        <v>2197</v>
      </c>
      <c r="C406" s="51" t="s">
        <v>1174</v>
      </c>
      <c r="D406" s="51">
        <v>10050801</v>
      </c>
      <c r="E406" s="51" t="s">
        <v>3321</v>
      </c>
      <c r="F406" s="51" t="s">
        <v>1173</v>
      </c>
      <c r="G406" s="51" t="s">
        <v>289</v>
      </c>
      <c r="H406" s="51"/>
      <c r="I406" s="51" t="s">
        <v>258</v>
      </c>
      <c r="J406" s="53">
        <v>11.94</v>
      </c>
      <c r="K406" s="55">
        <v>604</v>
      </c>
      <c r="L406" s="55">
        <v>29138</v>
      </c>
      <c r="M406" s="55">
        <v>24</v>
      </c>
      <c r="N406" s="57">
        <v>0.1595</v>
      </c>
      <c r="O406" s="51"/>
      <c r="P406" s="53"/>
      <c r="Q406" s="55"/>
      <c r="R406" s="53"/>
      <c r="S406" s="53"/>
      <c r="T406" s="59"/>
      <c r="U406" s="55"/>
    </row>
    <row r="407" spans="1:21" x14ac:dyDescent="0.35">
      <c r="A407" s="50">
        <v>4006168</v>
      </c>
      <c r="B407" s="50" t="s">
        <v>2205</v>
      </c>
      <c r="C407" s="50" t="s">
        <v>1174</v>
      </c>
      <c r="D407" s="50">
        <v>10050701</v>
      </c>
      <c r="E407" s="50" t="s">
        <v>3320</v>
      </c>
      <c r="F407" s="50" t="s">
        <v>1173</v>
      </c>
      <c r="G407" s="50" t="s">
        <v>258</v>
      </c>
      <c r="H407" s="50"/>
      <c r="I407" s="50" t="s">
        <v>258</v>
      </c>
      <c r="J407" s="52">
        <v>0.1</v>
      </c>
      <c r="K407" s="54">
        <v>145</v>
      </c>
      <c r="L407" s="54">
        <v>2220</v>
      </c>
      <c r="M407" s="54">
        <v>24</v>
      </c>
      <c r="N407" s="56">
        <v>0.42730000000000001</v>
      </c>
      <c r="O407" s="50"/>
      <c r="P407" s="52">
        <v>205.2</v>
      </c>
      <c r="Q407" s="54">
        <v>36</v>
      </c>
      <c r="R407" s="52">
        <v>12</v>
      </c>
      <c r="S407" s="52">
        <v>432</v>
      </c>
      <c r="T407" s="58"/>
      <c r="U407" s="54"/>
    </row>
    <row r="408" spans="1:21" x14ac:dyDescent="0.35">
      <c r="A408" s="51">
        <v>4006169</v>
      </c>
      <c r="B408" s="51" t="s">
        <v>2207</v>
      </c>
      <c r="C408" s="51" t="s">
        <v>1174</v>
      </c>
      <c r="D408" s="51">
        <v>10050701</v>
      </c>
      <c r="E408" s="51" t="s">
        <v>3320</v>
      </c>
      <c r="F408" s="51" t="s">
        <v>1173</v>
      </c>
      <c r="G408" s="51" t="s">
        <v>258</v>
      </c>
      <c r="H408" s="51"/>
      <c r="I408" s="51" t="s">
        <v>258</v>
      </c>
      <c r="J408" s="53">
        <v>0.01</v>
      </c>
      <c r="K408" s="55">
        <v>125</v>
      </c>
      <c r="L408" s="55">
        <v>975</v>
      </c>
      <c r="M408" s="55">
        <v>23</v>
      </c>
      <c r="N408" s="57">
        <v>0.51400000000000001</v>
      </c>
      <c r="O408" s="51"/>
      <c r="P408" s="53">
        <v>88.8</v>
      </c>
      <c r="Q408" s="55">
        <v>12</v>
      </c>
      <c r="R408" s="53">
        <v>16</v>
      </c>
      <c r="S408" s="53">
        <v>192</v>
      </c>
      <c r="T408" s="59"/>
      <c r="U408" s="55"/>
    </row>
    <row r="409" spans="1:21" x14ac:dyDescent="0.35">
      <c r="A409" s="50">
        <v>4006170</v>
      </c>
      <c r="B409" s="50" t="s">
        <v>2209</v>
      </c>
      <c r="C409" s="50" t="s">
        <v>1174</v>
      </c>
      <c r="D409" s="50">
        <v>10050504</v>
      </c>
      <c r="E409" s="50" t="s">
        <v>3305</v>
      </c>
      <c r="F409" s="50" t="s">
        <v>1173</v>
      </c>
      <c r="G409" s="50" t="s">
        <v>258</v>
      </c>
      <c r="H409" s="50"/>
      <c r="I409" s="50" t="s">
        <v>258</v>
      </c>
      <c r="J409" s="52">
        <v>15</v>
      </c>
      <c r="K409" s="54">
        <v>150</v>
      </c>
      <c r="L409" s="54">
        <v>330</v>
      </c>
      <c r="M409" s="54">
        <v>19</v>
      </c>
      <c r="N409" s="56">
        <v>1.0458000000000001</v>
      </c>
      <c r="O409" s="50"/>
      <c r="P409" s="52">
        <v>3000</v>
      </c>
      <c r="Q409" s="54">
        <v>2</v>
      </c>
      <c r="R409" s="52">
        <v>1</v>
      </c>
      <c r="S409" s="52">
        <v>2</v>
      </c>
      <c r="T409" s="58"/>
      <c r="U409" s="54"/>
    </row>
    <row r="410" spans="1:21" x14ac:dyDescent="0.35">
      <c r="A410" s="51">
        <v>4006171</v>
      </c>
      <c r="B410" s="51" t="s">
        <v>2211</v>
      </c>
      <c r="C410" s="51" t="s">
        <v>1174</v>
      </c>
      <c r="D410" s="51">
        <v>10050504</v>
      </c>
      <c r="E410" s="51" t="s">
        <v>3305</v>
      </c>
      <c r="F410" s="51" t="s">
        <v>1173</v>
      </c>
      <c r="G410" s="51" t="s">
        <v>258</v>
      </c>
      <c r="H410" s="51"/>
      <c r="I410" s="51" t="s">
        <v>258</v>
      </c>
      <c r="J410" s="53">
        <v>16</v>
      </c>
      <c r="K410" s="55">
        <v>270</v>
      </c>
      <c r="L410" s="55">
        <v>250</v>
      </c>
      <c r="M410" s="55">
        <v>11</v>
      </c>
      <c r="N410" s="57">
        <v>1.3428</v>
      </c>
      <c r="O410" s="51"/>
      <c r="P410" s="53">
        <v>4800</v>
      </c>
      <c r="Q410" s="55">
        <v>3</v>
      </c>
      <c r="R410" s="53">
        <v>4</v>
      </c>
      <c r="S410" s="53">
        <v>12</v>
      </c>
      <c r="T410" s="59"/>
      <c r="U410" s="55"/>
    </row>
    <row r="411" spans="1:21" x14ac:dyDescent="0.35">
      <c r="A411" s="50">
        <v>4006174</v>
      </c>
      <c r="B411" s="50" t="s">
        <v>2215</v>
      </c>
      <c r="C411" s="50" t="s">
        <v>1174</v>
      </c>
      <c r="D411" s="50">
        <v>10050109</v>
      </c>
      <c r="E411" s="50" t="s">
        <v>3294</v>
      </c>
      <c r="F411" s="50" t="s">
        <v>1173</v>
      </c>
      <c r="G411" s="50" t="s">
        <v>258</v>
      </c>
      <c r="H411" s="50"/>
      <c r="I411" s="50" t="s">
        <v>258</v>
      </c>
      <c r="J411" s="52">
        <v>0.61</v>
      </c>
      <c r="K411" s="54">
        <v>1600</v>
      </c>
      <c r="L411" s="54">
        <v>46420</v>
      </c>
      <c r="M411" s="54">
        <v>24</v>
      </c>
      <c r="N411" s="56">
        <v>0.18990000000000001</v>
      </c>
      <c r="O411" s="50"/>
      <c r="P411" s="52">
        <v>21374.52</v>
      </c>
      <c r="Q411" s="54">
        <v>21</v>
      </c>
      <c r="R411" s="52">
        <v>17.899999999999999</v>
      </c>
      <c r="S411" s="52">
        <v>396</v>
      </c>
      <c r="T411" s="58"/>
      <c r="U411" s="54"/>
    </row>
    <row r="412" spans="1:21" x14ac:dyDescent="0.35">
      <c r="A412" s="51">
        <v>4006176</v>
      </c>
      <c r="B412" s="51" t="s">
        <v>2219</v>
      </c>
      <c r="C412" s="51" t="s">
        <v>1174</v>
      </c>
      <c r="D412" s="51">
        <v>10030904</v>
      </c>
      <c r="E412" s="51" t="s">
        <v>3272</v>
      </c>
      <c r="F412" s="51" t="s">
        <v>1173</v>
      </c>
      <c r="G412" s="51" t="s">
        <v>258</v>
      </c>
      <c r="H412" s="51" t="s">
        <v>141</v>
      </c>
      <c r="I412" s="51" t="s">
        <v>271</v>
      </c>
      <c r="J412" s="53">
        <v>0.01</v>
      </c>
      <c r="K412" s="55">
        <v>7715</v>
      </c>
      <c r="L412" s="55">
        <v>1474893</v>
      </c>
      <c r="M412" s="55">
        <v>24</v>
      </c>
      <c r="N412" s="57">
        <v>0.1401</v>
      </c>
      <c r="O412" s="51"/>
      <c r="P412" s="53"/>
      <c r="Q412" s="55"/>
      <c r="R412" s="53"/>
      <c r="S412" s="53"/>
      <c r="T412" s="59"/>
      <c r="U412" s="55"/>
    </row>
    <row r="413" spans="1:21" x14ac:dyDescent="0.35">
      <c r="A413" s="50">
        <v>4006177</v>
      </c>
      <c r="B413" s="50" t="s">
        <v>2221</v>
      </c>
      <c r="C413" s="50" t="s">
        <v>1174</v>
      </c>
      <c r="D413" s="50">
        <v>10050801</v>
      </c>
      <c r="E413" s="50" t="s">
        <v>3321</v>
      </c>
      <c r="F413" s="50" t="s">
        <v>1173</v>
      </c>
      <c r="G413" s="50" t="s">
        <v>258</v>
      </c>
      <c r="H413" s="50"/>
      <c r="I413" s="50" t="s">
        <v>258</v>
      </c>
      <c r="J413" s="52">
        <v>22.66</v>
      </c>
      <c r="K413" s="54">
        <v>230</v>
      </c>
      <c r="L413" s="54">
        <v>3040</v>
      </c>
      <c r="M413" s="54">
        <v>24</v>
      </c>
      <c r="N413" s="56">
        <v>0.31219999999999998</v>
      </c>
      <c r="O413" s="50"/>
      <c r="P413" s="52">
        <v>36480</v>
      </c>
      <c r="Q413" s="54">
        <v>38</v>
      </c>
      <c r="R413" s="52">
        <v>8</v>
      </c>
      <c r="S413" s="52">
        <v>296</v>
      </c>
      <c r="T413" s="58"/>
      <c r="U413" s="54"/>
    </row>
    <row r="414" spans="1:21" x14ac:dyDescent="0.35">
      <c r="A414" s="51">
        <v>4006185</v>
      </c>
      <c r="B414" s="51" t="s">
        <v>2225</v>
      </c>
      <c r="C414" s="51" t="s">
        <v>1174</v>
      </c>
      <c r="D414" s="51">
        <v>10060499</v>
      </c>
      <c r="E414" s="51" t="s">
        <v>3329</v>
      </c>
      <c r="F414" s="51" t="s">
        <v>1173</v>
      </c>
      <c r="G414" s="51" t="s">
        <v>258</v>
      </c>
      <c r="H414" s="51"/>
      <c r="I414" s="51" t="s">
        <v>258</v>
      </c>
      <c r="J414" s="53">
        <v>28.01</v>
      </c>
      <c r="K414" s="55">
        <v>160</v>
      </c>
      <c r="L414" s="55">
        <v>1180</v>
      </c>
      <c r="M414" s="55">
        <v>23</v>
      </c>
      <c r="N414" s="57">
        <v>0.56289999999999996</v>
      </c>
      <c r="O414" s="51"/>
      <c r="P414" s="53">
        <v>34020</v>
      </c>
      <c r="Q414" s="55">
        <v>20</v>
      </c>
      <c r="R414" s="53">
        <v>3</v>
      </c>
      <c r="S414" s="53">
        <v>60</v>
      </c>
      <c r="T414" s="59"/>
      <c r="U414" s="55"/>
    </row>
    <row r="415" spans="1:21" x14ac:dyDescent="0.35">
      <c r="A415" s="50">
        <v>4006187</v>
      </c>
      <c r="B415" s="50" t="s">
        <v>2227</v>
      </c>
      <c r="C415" s="50" t="s">
        <v>1174</v>
      </c>
      <c r="D415" s="50">
        <v>10050603</v>
      </c>
      <c r="E415" s="50" t="s">
        <v>3311</v>
      </c>
      <c r="F415" s="50" t="s">
        <v>1173</v>
      </c>
      <c r="G415" s="50" t="s">
        <v>258</v>
      </c>
      <c r="H415" s="50" t="s">
        <v>141</v>
      </c>
      <c r="I415" s="50" t="s">
        <v>258</v>
      </c>
      <c r="J415" s="52">
        <v>14.48</v>
      </c>
      <c r="K415" s="54">
        <v>280</v>
      </c>
      <c r="L415" s="54">
        <v>970</v>
      </c>
      <c r="M415" s="54">
        <v>21</v>
      </c>
      <c r="N415" s="56">
        <v>1.0701000000000001</v>
      </c>
      <c r="O415" s="50"/>
      <c r="P415" s="52">
        <v>13800</v>
      </c>
      <c r="Q415" s="54">
        <v>8</v>
      </c>
      <c r="R415" s="52">
        <v>4.13</v>
      </c>
      <c r="S415" s="52">
        <v>33</v>
      </c>
      <c r="T415" s="58"/>
      <c r="U415" s="54"/>
    </row>
    <row r="416" spans="1:21" x14ac:dyDescent="0.35">
      <c r="A416" s="51">
        <v>4006188</v>
      </c>
      <c r="B416" s="51" t="s">
        <v>2229</v>
      </c>
      <c r="C416" s="51" t="s">
        <v>1174</v>
      </c>
      <c r="D416" s="51">
        <v>10050603</v>
      </c>
      <c r="E416" s="51" t="s">
        <v>3311</v>
      </c>
      <c r="F416" s="51" t="s">
        <v>1173</v>
      </c>
      <c r="G416" s="51" t="s">
        <v>258</v>
      </c>
      <c r="H416" s="51" t="s">
        <v>24</v>
      </c>
      <c r="I416" s="51" t="s">
        <v>258</v>
      </c>
      <c r="J416" s="53">
        <v>12.65</v>
      </c>
      <c r="K416" s="55">
        <v>390</v>
      </c>
      <c r="L416" s="55">
        <v>8070</v>
      </c>
      <c r="M416" s="55">
        <v>24</v>
      </c>
      <c r="N416" s="57">
        <v>0.28000000000000003</v>
      </c>
      <c r="O416" s="51"/>
      <c r="P416" s="53">
        <v>99360</v>
      </c>
      <c r="Q416" s="55">
        <v>33</v>
      </c>
      <c r="R416" s="53">
        <v>6.55</v>
      </c>
      <c r="S416" s="53">
        <v>216</v>
      </c>
      <c r="T416" s="59"/>
      <c r="U416" s="55"/>
    </row>
    <row r="417" spans="1:21" x14ac:dyDescent="0.35">
      <c r="A417" s="50">
        <v>4006193</v>
      </c>
      <c r="B417" s="50" t="s">
        <v>2231</v>
      </c>
      <c r="C417" s="50" t="s">
        <v>1174</v>
      </c>
      <c r="D417" s="50">
        <v>10050104</v>
      </c>
      <c r="E417" s="50" t="s">
        <v>3291</v>
      </c>
      <c r="F417" s="50" t="s">
        <v>1173</v>
      </c>
      <c r="G417" s="50" t="s">
        <v>258</v>
      </c>
      <c r="H417" s="50" t="s">
        <v>24</v>
      </c>
      <c r="I417" s="50" t="s">
        <v>258</v>
      </c>
      <c r="J417" s="52">
        <v>21.06</v>
      </c>
      <c r="K417" s="54">
        <v>290</v>
      </c>
      <c r="L417" s="54">
        <v>350</v>
      </c>
      <c r="M417" s="54">
        <v>15</v>
      </c>
      <c r="N417" s="56">
        <v>0.98929999999999996</v>
      </c>
      <c r="O417" s="50"/>
      <c r="P417" s="52">
        <v>9200</v>
      </c>
      <c r="Q417" s="54">
        <v>2</v>
      </c>
      <c r="R417" s="52">
        <v>11</v>
      </c>
      <c r="S417" s="52">
        <v>22</v>
      </c>
      <c r="T417" s="58"/>
      <c r="U417" s="54"/>
    </row>
    <row r="418" spans="1:21" x14ac:dyDescent="0.35">
      <c r="A418" s="51">
        <v>4006210</v>
      </c>
      <c r="B418" s="51" t="s">
        <v>2233</v>
      </c>
      <c r="C418" s="51" t="s">
        <v>1174</v>
      </c>
      <c r="D418" s="51">
        <v>10030102</v>
      </c>
      <c r="E418" s="51" t="s">
        <v>3254</v>
      </c>
      <c r="F418" s="51" t="s">
        <v>1173</v>
      </c>
      <c r="G418" s="51" t="s">
        <v>289</v>
      </c>
      <c r="H418" s="51"/>
      <c r="I418" s="51" t="s">
        <v>258</v>
      </c>
      <c r="J418" s="53">
        <v>104.98</v>
      </c>
      <c r="K418" s="55">
        <v>90</v>
      </c>
      <c r="L418" s="55">
        <v>3409</v>
      </c>
      <c r="M418" s="55">
        <v>24</v>
      </c>
      <c r="N418" s="57">
        <v>0.2114</v>
      </c>
      <c r="O418" s="51"/>
      <c r="P418" s="53">
        <v>171961.3</v>
      </c>
      <c r="Q418" s="55">
        <v>43</v>
      </c>
      <c r="R418" s="53">
        <v>7</v>
      </c>
      <c r="S418" s="53">
        <v>301</v>
      </c>
      <c r="T418" s="59"/>
      <c r="U418" s="55"/>
    </row>
    <row r="419" spans="1:21" x14ac:dyDescent="0.35">
      <c r="A419" s="50">
        <v>4006235</v>
      </c>
      <c r="B419" s="50" t="s">
        <v>2235</v>
      </c>
      <c r="C419" s="50" t="s">
        <v>1174</v>
      </c>
      <c r="D419" s="50">
        <v>10030906</v>
      </c>
      <c r="E419" s="50" t="s">
        <v>3274</v>
      </c>
      <c r="F419" s="50" t="s">
        <v>1173</v>
      </c>
      <c r="G419" s="50"/>
      <c r="H419" s="50" t="s">
        <v>24</v>
      </c>
      <c r="I419" s="50"/>
      <c r="J419" s="52">
        <v>1890</v>
      </c>
      <c r="K419" s="54">
        <v>222</v>
      </c>
      <c r="L419" s="54">
        <v>651</v>
      </c>
      <c r="M419" s="54">
        <v>17</v>
      </c>
      <c r="N419" s="56">
        <v>0.82709999999999995</v>
      </c>
      <c r="O419" s="50"/>
      <c r="P419" s="52">
        <v>1632960</v>
      </c>
      <c r="Q419" s="54">
        <v>7</v>
      </c>
      <c r="R419" s="52">
        <v>18</v>
      </c>
      <c r="S419" s="52">
        <v>144</v>
      </c>
      <c r="T419" s="58"/>
      <c r="U419" s="54"/>
    </row>
    <row r="420" spans="1:21" x14ac:dyDescent="0.35">
      <c r="A420" s="51">
        <v>4006236</v>
      </c>
      <c r="B420" s="51" t="s">
        <v>2237</v>
      </c>
      <c r="C420" s="51" t="s">
        <v>1174</v>
      </c>
      <c r="D420" s="51">
        <v>10030906</v>
      </c>
      <c r="E420" s="51" t="s">
        <v>3274</v>
      </c>
      <c r="F420" s="51" t="s">
        <v>1173</v>
      </c>
      <c r="G420" s="51"/>
      <c r="H420" s="51" t="s">
        <v>24</v>
      </c>
      <c r="I420" s="51"/>
      <c r="J420" s="53">
        <v>1000</v>
      </c>
      <c r="K420" s="55">
        <v>15</v>
      </c>
      <c r="L420" s="55">
        <v>1016</v>
      </c>
      <c r="M420" s="55">
        <v>19</v>
      </c>
      <c r="N420" s="57">
        <v>0.60729999999999995</v>
      </c>
      <c r="O420" s="51"/>
      <c r="P420" s="53">
        <v>450000</v>
      </c>
      <c r="Q420" s="55">
        <v>4</v>
      </c>
      <c r="R420" s="53">
        <v>37.5</v>
      </c>
      <c r="S420" s="53">
        <v>150</v>
      </c>
      <c r="T420" s="59"/>
      <c r="U420" s="55"/>
    </row>
    <row r="421" spans="1:21" x14ac:dyDescent="0.35">
      <c r="A421" s="50">
        <v>4006332</v>
      </c>
      <c r="B421" s="50" t="s">
        <v>2239</v>
      </c>
      <c r="C421" s="50" t="s">
        <v>1174</v>
      </c>
      <c r="D421" s="50">
        <v>10060499</v>
      </c>
      <c r="E421" s="50" t="s">
        <v>3329</v>
      </c>
      <c r="F421" s="50" t="s">
        <v>1173</v>
      </c>
      <c r="G421" s="50" t="s">
        <v>258</v>
      </c>
      <c r="H421" s="50"/>
      <c r="I421" s="50" t="s">
        <v>258</v>
      </c>
      <c r="J421" s="52">
        <v>1E-4</v>
      </c>
      <c r="K421" s="54">
        <v>230</v>
      </c>
      <c r="L421" s="54">
        <v>2510</v>
      </c>
      <c r="M421" s="54">
        <v>24</v>
      </c>
      <c r="N421" s="56">
        <v>0.5222</v>
      </c>
      <c r="O421" s="50"/>
      <c r="P421" s="52">
        <v>2.1</v>
      </c>
      <c r="Q421" s="54">
        <v>25</v>
      </c>
      <c r="R421" s="52">
        <v>10</v>
      </c>
      <c r="S421" s="52">
        <v>280</v>
      </c>
      <c r="T421" s="58"/>
      <c r="U421" s="54"/>
    </row>
    <row r="422" spans="1:21" x14ac:dyDescent="0.35">
      <c r="A422" s="51">
        <v>4006333</v>
      </c>
      <c r="B422" s="51" t="s">
        <v>2241</v>
      </c>
      <c r="C422" s="51" t="s">
        <v>1174</v>
      </c>
      <c r="D422" s="51">
        <v>10060499</v>
      </c>
      <c r="E422" s="51" t="s">
        <v>3329</v>
      </c>
      <c r="F422" s="51" t="s">
        <v>1173</v>
      </c>
      <c r="G422" s="51" t="s">
        <v>258</v>
      </c>
      <c r="H422" s="51"/>
      <c r="I422" s="51" t="s">
        <v>258</v>
      </c>
      <c r="J422" s="53">
        <v>0.01</v>
      </c>
      <c r="K422" s="55">
        <v>120</v>
      </c>
      <c r="L422" s="55">
        <v>2705</v>
      </c>
      <c r="M422" s="55">
        <v>24</v>
      </c>
      <c r="N422" s="57">
        <v>0.37709999999999999</v>
      </c>
      <c r="O422" s="51"/>
      <c r="P422" s="53">
        <v>3.78</v>
      </c>
      <c r="Q422" s="55">
        <v>39</v>
      </c>
      <c r="R422" s="53">
        <v>14</v>
      </c>
      <c r="S422" s="53">
        <v>588</v>
      </c>
      <c r="T422" s="59"/>
      <c r="U422" s="55"/>
    </row>
    <row r="423" spans="1:21" x14ac:dyDescent="0.35">
      <c r="A423" s="50">
        <v>4006341</v>
      </c>
      <c r="B423" s="50" t="s">
        <v>2247</v>
      </c>
      <c r="C423" s="50" t="s">
        <v>1174</v>
      </c>
      <c r="D423" s="50">
        <v>10060502</v>
      </c>
      <c r="E423" s="50" t="s">
        <v>3330</v>
      </c>
      <c r="F423" s="50" t="s">
        <v>1173</v>
      </c>
      <c r="G423" s="50"/>
      <c r="H423" s="50" t="s">
        <v>24</v>
      </c>
      <c r="I423" s="50"/>
      <c r="J423" s="52">
        <v>6.87</v>
      </c>
      <c r="K423" s="54">
        <v>350</v>
      </c>
      <c r="L423" s="54">
        <v>901</v>
      </c>
      <c r="M423" s="54">
        <v>7</v>
      </c>
      <c r="N423" s="56">
        <v>1.9708000000000001</v>
      </c>
      <c r="O423" s="50"/>
      <c r="P423" s="52">
        <v>9948</v>
      </c>
      <c r="Q423" s="54">
        <v>3</v>
      </c>
      <c r="R423" s="52">
        <v>1</v>
      </c>
      <c r="S423" s="52">
        <v>3</v>
      </c>
      <c r="T423" s="58"/>
      <c r="U423" s="54"/>
    </row>
    <row r="424" spans="1:21" x14ac:dyDescent="0.35">
      <c r="A424" s="51">
        <v>4006367</v>
      </c>
      <c r="B424" s="51" t="s">
        <v>2249</v>
      </c>
      <c r="C424" s="51" t="s">
        <v>1174</v>
      </c>
      <c r="D424" s="51">
        <v>10030899</v>
      </c>
      <c r="E424" s="51" t="s">
        <v>3268</v>
      </c>
      <c r="F424" s="51" t="s">
        <v>1173</v>
      </c>
      <c r="G424" s="51" t="s">
        <v>271</v>
      </c>
      <c r="H424" s="51"/>
      <c r="I424" s="51" t="s">
        <v>271</v>
      </c>
      <c r="J424" s="53">
        <v>7.45</v>
      </c>
      <c r="K424" s="55">
        <v>1500</v>
      </c>
      <c r="L424" s="55">
        <v>78650</v>
      </c>
      <c r="M424" s="55">
        <v>24</v>
      </c>
      <c r="N424" s="57">
        <v>0.1236</v>
      </c>
      <c r="O424" s="51"/>
      <c r="P424" s="53">
        <v>549960</v>
      </c>
      <c r="Q424" s="55">
        <v>38</v>
      </c>
      <c r="R424" s="53">
        <v>18.739999999999998</v>
      </c>
      <c r="S424" s="53">
        <v>692</v>
      </c>
      <c r="T424" s="59"/>
      <c r="U424" s="55"/>
    </row>
    <row r="425" spans="1:21" x14ac:dyDescent="0.35">
      <c r="A425" s="50">
        <v>4006368</v>
      </c>
      <c r="B425" s="50" t="s">
        <v>2251</v>
      </c>
      <c r="C425" s="50" t="s">
        <v>1174</v>
      </c>
      <c r="D425" s="50">
        <v>10030899</v>
      </c>
      <c r="E425" s="50" t="s">
        <v>3268</v>
      </c>
      <c r="F425" s="50" t="s">
        <v>1173</v>
      </c>
      <c r="G425" s="50" t="s">
        <v>271</v>
      </c>
      <c r="H425" s="50"/>
      <c r="I425" s="50" t="s">
        <v>258</v>
      </c>
      <c r="J425" s="52">
        <v>10.76</v>
      </c>
      <c r="K425" s="54">
        <v>1900</v>
      </c>
      <c r="L425" s="54">
        <v>30476</v>
      </c>
      <c r="M425" s="54">
        <v>24</v>
      </c>
      <c r="N425" s="56">
        <v>0.15310000000000001</v>
      </c>
      <c r="O425" s="50"/>
      <c r="P425" s="52">
        <v>317588.8</v>
      </c>
      <c r="Q425" s="54">
        <v>40</v>
      </c>
      <c r="R425" s="52">
        <v>10</v>
      </c>
      <c r="S425" s="52">
        <v>400</v>
      </c>
      <c r="T425" s="58"/>
      <c r="U425" s="54"/>
    </row>
    <row r="426" spans="1:21" x14ac:dyDescent="0.35">
      <c r="A426" s="51">
        <v>4006370</v>
      </c>
      <c r="B426" s="51" t="s">
        <v>2253</v>
      </c>
      <c r="C426" s="51" t="s">
        <v>1174</v>
      </c>
      <c r="D426" s="51">
        <v>10030899</v>
      </c>
      <c r="E426" s="51" t="s">
        <v>3268</v>
      </c>
      <c r="F426" s="51" t="s">
        <v>1173</v>
      </c>
      <c r="G426" s="51" t="s">
        <v>289</v>
      </c>
      <c r="H426" s="51"/>
      <c r="I426" s="51" t="s">
        <v>289</v>
      </c>
      <c r="J426" s="53">
        <v>1.35</v>
      </c>
      <c r="K426" s="55">
        <v>5000</v>
      </c>
      <c r="L426" s="55">
        <v>155500</v>
      </c>
      <c r="M426" s="55">
        <v>24</v>
      </c>
      <c r="N426" s="57">
        <v>0.2127</v>
      </c>
      <c r="O426" s="51"/>
      <c r="P426" s="53">
        <v>205056</v>
      </c>
      <c r="Q426" s="55">
        <v>65</v>
      </c>
      <c r="R426" s="53">
        <v>2</v>
      </c>
      <c r="S426" s="53">
        <v>128</v>
      </c>
      <c r="T426" s="59"/>
      <c r="U426" s="55"/>
    </row>
    <row r="427" spans="1:21" x14ac:dyDescent="0.35">
      <c r="A427" s="50">
        <v>4006372</v>
      </c>
      <c r="B427" s="50" t="s">
        <v>2255</v>
      </c>
      <c r="C427" s="50" t="s">
        <v>1174</v>
      </c>
      <c r="D427" s="50">
        <v>10030899</v>
      </c>
      <c r="E427" s="50" t="s">
        <v>3268</v>
      </c>
      <c r="F427" s="50" t="s">
        <v>1173</v>
      </c>
      <c r="G427" s="50" t="s">
        <v>258</v>
      </c>
      <c r="H427" s="50"/>
      <c r="I427" s="50" t="s">
        <v>258</v>
      </c>
      <c r="J427" s="52">
        <v>1.89</v>
      </c>
      <c r="K427" s="54">
        <v>700</v>
      </c>
      <c r="L427" s="54">
        <v>2100</v>
      </c>
      <c r="M427" s="54">
        <v>8</v>
      </c>
      <c r="N427" s="56">
        <v>2.2208000000000001</v>
      </c>
      <c r="O427" s="50"/>
      <c r="P427" s="52">
        <v>3330</v>
      </c>
      <c r="Q427" s="54">
        <v>3</v>
      </c>
      <c r="R427" s="52">
        <v>1</v>
      </c>
      <c r="S427" s="52">
        <v>3</v>
      </c>
      <c r="T427" s="58"/>
      <c r="U427" s="54"/>
    </row>
    <row r="428" spans="1:21" x14ac:dyDescent="0.35">
      <c r="A428" s="51">
        <v>4006375</v>
      </c>
      <c r="B428" s="51" t="s">
        <v>2257</v>
      </c>
      <c r="C428" s="51" t="s">
        <v>1174</v>
      </c>
      <c r="D428" s="51">
        <v>10030899</v>
      </c>
      <c r="E428" s="51" t="s">
        <v>3268</v>
      </c>
      <c r="F428" s="51" t="s">
        <v>1173</v>
      </c>
      <c r="G428" s="51" t="s">
        <v>258</v>
      </c>
      <c r="H428" s="51"/>
      <c r="I428" s="51" t="s">
        <v>258</v>
      </c>
      <c r="J428" s="53">
        <v>0.74319999999999997</v>
      </c>
      <c r="K428" s="55">
        <v>1300</v>
      </c>
      <c r="L428" s="55">
        <v>28400</v>
      </c>
      <c r="M428" s="55">
        <v>23</v>
      </c>
      <c r="N428" s="57">
        <v>0.44090000000000001</v>
      </c>
      <c r="O428" s="51"/>
      <c r="P428" s="53">
        <v>20808</v>
      </c>
      <c r="Q428" s="55">
        <v>16</v>
      </c>
      <c r="R428" s="53">
        <v>1</v>
      </c>
      <c r="S428" s="53">
        <v>15</v>
      </c>
      <c r="T428" s="59"/>
      <c r="U428" s="55"/>
    </row>
    <row r="429" spans="1:21" x14ac:dyDescent="0.35">
      <c r="A429" s="50">
        <v>4006377</v>
      </c>
      <c r="B429" s="50" t="s">
        <v>2259</v>
      </c>
      <c r="C429" s="50" t="s">
        <v>1174</v>
      </c>
      <c r="D429" s="50">
        <v>10030899</v>
      </c>
      <c r="E429" s="50" t="s">
        <v>3268</v>
      </c>
      <c r="F429" s="50" t="s">
        <v>1173</v>
      </c>
      <c r="G429" s="50" t="s">
        <v>258</v>
      </c>
      <c r="H429" s="50"/>
      <c r="I429" s="50" t="s">
        <v>258</v>
      </c>
      <c r="J429" s="52">
        <v>0.23</v>
      </c>
      <c r="K429" s="54">
        <v>4000</v>
      </c>
      <c r="L429" s="54">
        <v>31900</v>
      </c>
      <c r="M429" s="54">
        <v>24</v>
      </c>
      <c r="N429" s="56">
        <v>1.02</v>
      </c>
      <c r="O429" s="50"/>
      <c r="P429" s="52">
        <v>6432</v>
      </c>
      <c r="Q429" s="54">
        <v>11</v>
      </c>
      <c r="R429" s="52">
        <v>1</v>
      </c>
      <c r="S429" s="52">
        <v>12</v>
      </c>
      <c r="T429" s="58"/>
      <c r="U429" s="54"/>
    </row>
    <row r="430" spans="1:21" x14ac:dyDescent="0.35">
      <c r="A430" s="51">
        <v>4006378</v>
      </c>
      <c r="B430" s="51" t="s">
        <v>2261</v>
      </c>
      <c r="C430" s="51" t="s">
        <v>1174</v>
      </c>
      <c r="D430" s="51">
        <v>10030899</v>
      </c>
      <c r="E430" s="51" t="s">
        <v>3268</v>
      </c>
      <c r="F430" s="51" t="s">
        <v>1173</v>
      </c>
      <c r="G430" s="51" t="s">
        <v>258</v>
      </c>
      <c r="H430" s="51"/>
      <c r="I430" s="51" t="s">
        <v>258</v>
      </c>
      <c r="J430" s="53">
        <v>1.88</v>
      </c>
      <c r="K430" s="55">
        <v>1700</v>
      </c>
      <c r="L430" s="55">
        <v>5300</v>
      </c>
      <c r="M430" s="55">
        <v>17</v>
      </c>
      <c r="N430" s="57">
        <v>0.89600000000000002</v>
      </c>
      <c r="O430" s="51"/>
      <c r="P430" s="53">
        <v>11124</v>
      </c>
      <c r="Q430" s="55">
        <v>5</v>
      </c>
      <c r="R430" s="53">
        <v>2</v>
      </c>
      <c r="S430" s="53">
        <v>10</v>
      </c>
      <c r="T430" s="59"/>
      <c r="U430" s="55"/>
    </row>
    <row r="431" spans="1:21" x14ac:dyDescent="0.35">
      <c r="A431" s="50">
        <v>4006380</v>
      </c>
      <c r="B431" s="50" t="s">
        <v>2263</v>
      </c>
      <c r="C431" s="50" t="s">
        <v>1174</v>
      </c>
      <c r="D431" s="50">
        <v>10030899</v>
      </c>
      <c r="E431" s="50" t="s">
        <v>3268</v>
      </c>
      <c r="F431" s="50" t="s">
        <v>1173</v>
      </c>
      <c r="G431" s="50" t="s">
        <v>258</v>
      </c>
      <c r="H431" s="50"/>
      <c r="I431" s="50" t="s">
        <v>258</v>
      </c>
      <c r="J431" s="52">
        <v>0.88</v>
      </c>
      <c r="K431" s="54">
        <v>3900</v>
      </c>
      <c r="L431" s="54">
        <v>85300</v>
      </c>
      <c r="M431" s="54">
        <v>24</v>
      </c>
      <c r="N431" s="56">
        <v>0.23069999999999999</v>
      </c>
      <c r="O431" s="50"/>
      <c r="P431" s="52">
        <v>72252</v>
      </c>
      <c r="Q431" s="54">
        <v>47</v>
      </c>
      <c r="R431" s="52">
        <v>3</v>
      </c>
      <c r="S431" s="52">
        <v>135</v>
      </c>
      <c r="T431" s="58"/>
      <c r="U431" s="54"/>
    </row>
    <row r="432" spans="1:21" x14ac:dyDescent="0.35">
      <c r="A432" s="51">
        <v>4006381</v>
      </c>
      <c r="B432" s="51" t="s">
        <v>2265</v>
      </c>
      <c r="C432" s="51" t="s">
        <v>1174</v>
      </c>
      <c r="D432" s="51">
        <v>10030899</v>
      </c>
      <c r="E432" s="51" t="s">
        <v>3268</v>
      </c>
      <c r="F432" s="51" t="s">
        <v>1173</v>
      </c>
      <c r="G432" s="51" t="s">
        <v>258</v>
      </c>
      <c r="H432" s="51"/>
      <c r="I432" s="51" t="s">
        <v>258</v>
      </c>
      <c r="J432" s="53">
        <v>0.38</v>
      </c>
      <c r="K432" s="55">
        <v>1300</v>
      </c>
      <c r="L432" s="55">
        <v>19300</v>
      </c>
      <c r="M432" s="55">
        <v>24</v>
      </c>
      <c r="N432" s="57">
        <v>0.64059999999999995</v>
      </c>
      <c r="O432" s="51"/>
      <c r="P432" s="53">
        <v>7560</v>
      </c>
      <c r="Q432" s="55">
        <v>17</v>
      </c>
      <c r="R432" s="53">
        <v>1</v>
      </c>
      <c r="S432" s="53">
        <v>17</v>
      </c>
      <c r="T432" s="59"/>
      <c r="U432" s="55"/>
    </row>
    <row r="433" spans="1:21" x14ac:dyDescent="0.35">
      <c r="A433" s="50">
        <v>4006406</v>
      </c>
      <c r="B433" s="50" t="s">
        <v>2269</v>
      </c>
      <c r="C433" s="50" t="s">
        <v>1174</v>
      </c>
      <c r="D433" s="50">
        <v>10060502</v>
      </c>
      <c r="E433" s="50" t="s">
        <v>3330</v>
      </c>
      <c r="F433" s="50" t="s">
        <v>1173</v>
      </c>
      <c r="G433" s="50" t="s">
        <v>271</v>
      </c>
      <c r="H433" s="50"/>
      <c r="I433" s="50" t="s">
        <v>289</v>
      </c>
      <c r="J433" s="52">
        <v>9.7200000000000006</v>
      </c>
      <c r="K433" s="54">
        <v>3400</v>
      </c>
      <c r="L433" s="54">
        <v>108920</v>
      </c>
      <c r="M433" s="54">
        <v>24</v>
      </c>
      <c r="N433" s="56">
        <v>0.2056</v>
      </c>
      <c r="O433" s="50"/>
      <c r="P433" s="52"/>
      <c r="Q433" s="54"/>
      <c r="R433" s="52"/>
      <c r="S433" s="52"/>
      <c r="T433" s="58"/>
      <c r="U433" s="54"/>
    </row>
    <row r="434" spans="1:21" x14ac:dyDescent="0.35">
      <c r="A434" s="51">
        <v>4006431</v>
      </c>
      <c r="B434" s="51" t="s">
        <v>2275</v>
      </c>
      <c r="C434" s="51" t="s">
        <v>1174</v>
      </c>
      <c r="D434" s="51">
        <v>10050604</v>
      </c>
      <c r="E434" s="51" t="s">
        <v>3312</v>
      </c>
      <c r="F434" s="51" t="s">
        <v>1180</v>
      </c>
      <c r="G434" s="51" t="s">
        <v>271</v>
      </c>
      <c r="H434" s="51" t="s">
        <v>141</v>
      </c>
      <c r="I434" s="51" t="s">
        <v>258</v>
      </c>
      <c r="J434" s="53">
        <v>13.28</v>
      </c>
      <c r="K434" s="55">
        <v>300</v>
      </c>
      <c r="L434" s="55">
        <v>31950</v>
      </c>
      <c r="M434" s="55">
        <v>24</v>
      </c>
      <c r="N434" s="57">
        <v>0.26600000000000001</v>
      </c>
      <c r="O434" s="51"/>
      <c r="P434" s="53"/>
      <c r="Q434" s="55"/>
      <c r="R434" s="53"/>
      <c r="S434" s="53"/>
      <c r="T434" s="59"/>
      <c r="U434" s="55"/>
    </row>
    <row r="435" spans="1:21" x14ac:dyDescent="0.35">
      <c r="A435" s="50">
        <v>4006432</v>
      </c>
      <c r="B435" s="50" t="s">
        <v>2277</v>
      </c>
      <c r="C435" s="50" t="s">
        <v>1174</v>
      </c>
      <c r="D435" s="50">
        <v>10050604</v>
      </c>
      <c r="E435" s="50" t="s">
        <v>3312</v>
      </c>
      <c r="F435" s="50" t="s">
        <v>1180</v>
      </c>
      <c r="G435" s="50" t="s">
        <v>289</v>
      </c>
      <c r="H435" s="50" t="s">
        <v>141</v>
      </c>
      <c r="I435" s="50" t="s">
        <v>258</v>
      </c>
      <c r="J435" s="52">
        <v>13.28</v>
      </c>
      <c r="K435" s="54">
        <v>375</v>
      </c>
      <c r="L435" s="54">
        <v>17700</v>
      </c>
      <c r="M435" s="54">
        <v>24</v>
      </c>
      <c r="N435" s="56">
        <v>0.21010000000000001</v>
      </c>
      <c r="O435" s="50"/>
      <c r="P435" s="52"/>
      <c r="Q435" s="54"/>
      <c r="R435" s="52"/>
      <c r="S435" s="52"/>
      <c r="T435" s="58"/>
      <c r="U435" s="54"/>
    </row>
    <row r="436" spans="1:21" x14ac:dyDescent="0.35">
      <c r="A436" s="51">
        <v>4006464</v>
      </c>
      <c r="B436" s="51" t="s">
        <v>2283</v>
      </c>
      <c r="C436" s="51" t="s">
        <v>1174</v>
      </c>
      <c r="D436" s="51">
        <v>10050401</v>
      </c>
      <c r="E436" s="51" t="s">
        <v>3300</v>
      </c>
      <c r="F436" s="51" t="s">
        <v>1173</v>
      </c>
      <c r="G436" s="51" t="s">
        <v>258</v>
      </c>
      <c r="H436" s="51"/>
      <c r="I436" s="51" t="s">
        <v>258</v>
      </c>
      <c r="J436" s="53">
        <v>7.53</v>
      </c>
      <c r="K436" s="55">
        <v>337</v>
      </c>
      <c r="L436" s="55">
        <v>855</v>
      </c>
      <c r="M436" s="55">
        <v>24</v>
      </c>
      <c r="N436" s="57">
        <v>0.49080000000000001</v>
      </c>
      <c r="O436" s="51"/>
      <c r="P436" s="53">
        <v>1897.5</v>
      </c>
      <c r="Q436" s="55">
        <v>1</v>
      </c>
      <c r="R436" s="53">
        <v>1</v>
      </c>
      <c r="S436" s="53">
        <v>1</v>
      </c>
      <c r="T436" s="59"/>
      <c r="U436" s="55"/>
    </row>
    <row r="437" spans="1:21" x14ac:dyDescent="0.35">
      <c r="A437" s="50">
        <v>4006501</v>
      </c>
      <c r="B437" s="50" t="s">
        <v>2291</v>
      </c>
      <c r="C437" s="50" t="s">
        <v>1174</v>
      </c>
      <c r="D437" s="50">
        <v>10050801</v>
      </c>
      <c r="E437" s="50" t="s">
        <v>3321</v>
      </c>
      <c r="F437" s="50" t="s">
        <v>1173</v>
      </c>
      <c r="G437" s="50" t="s">
        <v>289</v>
      </c>
      <c r="H437" s="50"/>
      <c r="I437" s="50" t="s">
        <v>289</v>
      </c>
      <c r="J437" s="52">
        <v>0.57199999999999995</v>
      </c>
      <c r="K437" s="54">
        <v>4800</v>
      </c>
      <c r="L437" s="54">
        <v>383040</v>
      </c>
      <c r="M437" s="54">
        <v>24</v>
      </c>
      <c r="N437" s="56">
        <v>0.12690000000000001</v>
      </c>
      <c r="O437" s="50"/>
      <c r="P437" s="52"/>
      <c r="Q437" s="54"/>
      <c r="R437" s="52"/>
      <c r="S437" s="52"/>
      <c r="T437" s="58">
        <v>3</v>
      </c>
      <c r="U437" s="54">
        <v>1</v>
      </c>
    </row>
    <row r="438" spans="1:21" x14ac:dyDescent="0.35">
      <c r="A438" s="51">
        <v>4006502</v>
      </c>
      <c r="B438" s="51" t="s">
        <v>2293</v>
      </c>
      <c r="C438" s="51" t="s">
        <v>1174</v>
      </c>
      <c r="D438" s="51">
        <v>10050609</v>
      </c>
      <c r="E438" s="51" t="s">
        <v>3317</v>
      </c>
      <c r="F438" s="51" t="s">
        <v>1173</v>
      </c>
      <c r="G438" s="51" t="s">
        <v>258</v>
      </c>
      <c r="H438" s="51"/>
      <c r="I438" s="51" t="s">
        <v>258</v>
      </c>
      <c r="J438" s="53">
        <v>55</v>
      </c>
      <c r="K438" s="55">
        <v>20</v>
      </c>
      <c r="L438" s="55">
        <v>270</v>
      </c>
      <c r="M438" s="55">
        <v>18</v>
      </c>
      <c r="N438" s="57">
        <v>0.73980000000000001</v>
      </c>
      <c r="O438" s="51"/>
      <c r="P438" s="53"/>
      <c r="Q438" s="55"/>
      <c r="R438" s="53"/>
      <c r="S438" s="53"/>
      <c r="T438" s="59"/>
      <c r="U438" s="55"/>
    </row>
    <row r="439" spans="1:21" x14ac:dyDescent="0.35">
      <c r="A439" s="50">
        <v>4006504</v>
      </c>
      <c r="B439" s="50" t="s">
        <v>2295</v>
      </c>
      <c r="C439" s="50" t="s">
        <v>1174</v>
      </c>
      <c r="D439" s="50">
        <v>10050108</v>
      </c>
      <c r="E439" s="50" t="s">
        <v>3293</v>
      </c>
      <c r="F439" s="50" t="s">
        <v>1173</v>
      </c>
      <c r="G439" s="50" t="s">
        <v>289</v>
      </c>
      <c r="H439" s="50" t="s">
        <v>141</v>
      </c>
      <c r="I439" s="50" t="s">
        <v>258</v>
      </c>
      <c r="J439" s="52">
        <v>1.0367</v>
      </c>
      <c r="K439" s="54">
        <v>2100</v>
      </c>
      <c r="L439" s="54">
        <v>190200</v>
      </c>
      <c r="M439" s="54">
        <v>24</v>
      </c>
      <c r="N439" s="56">
        <v>0.1142</v>
      </c>
      <c r="O439" s="50"/>
      <c r="P439" s="52"/>
      <c r="Q439" s="54"/>
      <c r="R439" s="52"/>
      <c r="S439" s="52"/>
      <c r="T439" s="58"/>
      <c r="U439" s="54"/>
    </row>
    <row r="440" spans="1:21" x14ac:dyDescent="0.35">
      <c r="A440" s="51">
        <v>4006529</v>
      </c>
      <c r="B440" s="51" t="s">
        <v>2297</v>
      </c>
      <c r="C440" s="51" t="s">
        <v>1174</v>
      </c>
      <c r="D440" s="51">
        <v>10050504</v>
      </c>
      <c r="E440" s="51" t="s">
        <v>3305</v>
      </c>
      <c r="F440" s="51" t="s">
        <v>1173</v>
      </c>
      <c r="G440" s="51" t="s">
        <v>258</v>
      </c>
      <c r="H440" s="51"/>
      <c r="I440" s="51"/>
      <c r="J440" s="53">
        <v>23</v>
      </c>
      <c r="K440" s="55">
        <v>270</v>
      </c>
      <c r="L440" s="55">
        <v>170</v>
      </c>
      <c r="M440" s="55">
        <v>13</v>
      </c>
      <c r="N440" s="57">
        <v>1.1145</v>
      </c>
      <c r="O440" s="51"/>
      <c r="P440" s="53">
        <v>4600</v>
      </c>
      <c r="Q440" s="55">
        <v>2</v>
      </c>
      <c r="R440" s="53">
        <v>1</v>
      </c>
      <c r="S440" s="53">
        <v>2</v>
      </c>
      <c r="T440" s="59"/>
      <c r="U440" s="55"/>
    </row>
    <row r="441" spans="1:21" x14ac:dyDescent="0.35">
      <c r="A441" s="50">
        <v>4006543</v>
      </c>
      <c r="B441" s="50" t="s">
        <v>2299</v>
      </c>
      <c r="C441" s="50" t="s">
        <v>1174</v>
      </c>
      <c r="D441" s="50">
        <v>10050801</v>
      </c>
      <c r="E441" s="50" t="s">
        <v>3321</v>
      </c>
      <c r="F441" s="50" t="s">
        <v>1173</v>
      </c>
      <c r="G441" s="50" t="s">
        <v>271</v>
      </c>
      <c r="H441" s="50"/>
      <c r="I441" s="50" t="s">
        <v>271</v>
      </c>
      <c r="J441" s="52">
        <v>0.35560000000000003</v>
      </c>
      <c r="K441" s="54">
        <v>17400</v>
      </c>
      <c r="L441" s="54">
        <v>1603322</v>
      </c>
      <c r="M441" s="54">
        <v>24</v>
      </c>
      <c r="N441" s="56">
        <v>0.1731</v>
      </c>
      <c r="O441" s="50"/>
      <c r="P441" s="52"/>
      <c r="Q441" s="54"/>
      <c r="R441" s="52"/>
      <c r="S441" s="52"/>
      <c r="T441" s="58"/>
      <c r="U441" s="54"/>
    </row>
    <row r="442" spans="1:21" x14ac:dyDescent="0.35">
      <c r="A442" s="51">
        <v>4006545</v>
      </c>
      <c r="B442" s="51" t="s">
        <v>2301</v>
      </c>
      <c r="C442" s="51" t="s">
        <v>1174</v>
      </c>
      <c r="D442" s="51">
        <v>10050801</v>
      </c>
      <c r="E442" s="51" t="s">
        <v>3321</v>
      </c>
      <c r="F442" s="51" t="s">
        <v>1173</v>
      </c>
      <c r="G442" s="51" t="s">
        <v>289</v>
      </c>
      <c r="H442" s="51"/>
      <c r="I442" s="51" t="s">
        <v>289</v>
      </c>
      <c r="J442" s="53">
        <v>0.29149999999999998</v>
      </c>
      <c r="K442" s="55">
        <v>12700</v>
      </c>
      <c r="L442" s="55">
        <v>287780</v>
      </c>
      <c r="M442" s="55">
        <v>24</v>
      </c>
      <c r="N442" s="57">
        <v>0.3019</v>
      </c>
      <c r="O442" s="51"/>
      <c r="P442" s="53">
        <v>88600</v>
      </c>
      <c r="Q442" s="55">
        <v>25</v>
      </c>
      <c r="R442" s="53">
        <v>10</v>
      </c>
      <c r="S442" s="53">
        <v>250</v>
      </c>
      <c r="T442" s="59"/>
      <c r="U442" s="55"/>
    </row>
    <row r="443" spans="1:21" x14ac:dyDescent="0.35">
      <c r="A443" s="50">
        <v>4006546</v>
      </c>
      <c r="B443" s="50" t="s">
        <v>2303</v>
      </c>
      <c r="C443" s="50" t="s">
        <v>1174</v>
      </c>
      <c r="D443" s="50">
        <v>10060206</v>
      </c>
      <c r="E443" s="50" t="s">
        <v>3327</v>
      </c>
      <c r="F443" s="50" t="s">
        <v>1173</v>
      </c>
      <c r="G443" s="50" t="s">
        <v>258</v>
      </c>
      <c r="H443" s="50"/>
      <c r="I443" s="50" t="s">
        <v>258</v>
      </c>
      <c r="J443" s="52">
        <v>13.35</v>
      </c>
      <c r="K443" s="54">
        <v>180</v>
      </c>
      <c r="L443" s="54">
        <v>5194</v>
      </c>
      <c r="M443" s="54">
        <v>20</v>
      </c>
      <c r="N443" s="56">
        <v>0.90839999999999999</v>
      </c>
      <c r="O443" s="50"/>
      <c r="P443" s="52">
        <v>34944</v>
      </c>
      <c r="Q443" s="54">
        <v>7</v>
      </c>
      <c r="R443" s="52">
        <v>2</v>
      </c>
      <c r="S443" s="52">
        <v>14</v>
      </c>
      <c r="T443" s="58"/>
      <c r="U443" s="54"/>
    </row>
    <row r="444" spans="1:21" x14ac:dyDescent="0.35">
      <c r="A444" s="51">
        <v>4006560</v>
      </c>
      <c r="B444" s="51" t="s">
        <v>2305</v>
      </c>
      <c r="C444" s="51" t="s">
        <v>1174</v>
      </c>
      <c r="D444" s="51">
        <v>10060510</v>
      </c>
      <c r="E444" s="51" t="s">
        <v>3331</v>
      </c>
      <c r="F444" s="51" t="s">
        <v>1173</v>
      </c>
      <c r="G444" s="51" t="s">
        <v>289</v>
      </c>
      <c r="H444" s="51" t="s">
        <v>141</v>
      </c>
      <c r="I444" s="51"/>
      <c r="J444" s="53">
        <v>482.38</v>
      </c>
      <c r="K444" s="55">
        <v>42</v>
      </c>
      <c r="L444" s="55">
        <v>1682</v>
      </c>
      <c r="M444" s="55">
        <v>24</v>
      </c>
      <c r="N444" s="57">
        <v>0.25940000000000002</v>
      </c>
      <c r="O444" s="51"/>
      <c r="P444" s="53">
        <v>887714</v>
      </c>
      <c r="Q444" s="55">
        <v>51</v>
      </c>
      <c r="R444" s="53">
        <v>2</v>
      </c>
      <c r="S444" s="53">
        <v>101</v>
      </c>
      <c r="T444" s="59">
        <v>5</v>
      </c>
      <c r="U444" s="55">
        <v>1</v>
      </c>
    </row>
    <row r="445" spans="1:21" x14ac:dyDescent="0.35">
      <c r="A445" s="50">
        <v>4006561</v>
      </c>
      <c r="B445" s="50" t="s">
        <v>2307</v>
      </c>
      <c r="C445" s="50" t="s">
        <v>1174</v>
      </c>
      <c r="D445" s="50">
        <v>10060502</v>
      </c>
      <c r="E445" s="50" t="s">
        <v>3330</v>
      </c>
      <c r="F445" s="50" t="s">
        <v>1173</v>
      </c>
      <c r="G445" s="50" t="s">
        <v>258</v>
      </c>
      <c r="H445" s="50" t="s">
        <v>141</v>
      </c>
      <c r="I445" s="50"/>
      <c r="J445" s="52">
        <v>254.4</v>
      </c>
      <c r="K445" s="54">
        <v>140</v>
      </c>
      <c r="L445" s="54">
        <v>4030</v>
      </c>
      <c r="M445" s="54">
        <v>24</v>
      </c>
      <c r="N445" s="56">
        <v>0.2326</v>
      </c>
      <c r="O445" s="50"/>
      <c r="P445" s="52">
        <v>938832</v>
      </c>
      <c r="Q445" s="54">
        <v>14</v>
      </c>
      <c r="R445" s="52">
        <v>24</v>
      </c>
      <c r="S445" s="52">
        <v>336</v>
      </c>
      <c r="T445" s="58">
        <v>5</v>
      </c>
      <c r="U445" s="54">
        <v>1</v>
      </c>
    </row>
    <row r="446" spans="1:21" x14ac:dyDescent="0.35">
      <c r="A446" s="51">
        <v>4006565</v>
      </c>
      <c r="B446" s="51" t="s">
        <v>2309</v>
      </c>
      <c r="C446" s="51" t="s">
        <v>1174</v>
      </c>
      <c r="D446" s="51">
        <v>10030908</v>
      </c>
      <c r="E446" s="51" t="s">
        <v>3276</v>
      </c>
      <c r="F446" s="51" t="s">
        <v>1173</v>
      </c>
      <c r="G446" s="51"/>
      <c r="H446" s="51"/>
      <c r="I446" s="51"/>
      <c r="J446" s="53">
        <v>18.920000000000002</v>
      </c>
      <c r="K446" s="55">
        <v>324</v>
      </c>
      <c r="L446" s="55">
        <v>2460</v>
      </c>
      <c r="M446" s="55">
        <v>20</v>
      </c>
      <c r="N446" s="57">
        <v>1.4908999999999999</v>
      </c>
      <c r="O446" s="51"/>
      <c r="P446" s="53">
        <v>50394</v>
      </c>
      <c r="Q446" s="55">
        <v>11</v>
      </c>
      <c r="R446" s="53">
        <v>20.18</v>
      </c>
      <c r="S446" s="53">
        <v>211</v>
      </c>
      <c r="T446" s="59"/>
      <c r="U446" s="55"/>
    </row>
    <row r="447" spans="1:21" x14ac:dyDescent="0.35">
      <c r="A447" s="50">
        <v>4006590</v>
      </c>
      <c r="B447" s="50" t="s">
        <v>2311</v>
      </c>
      <c r="C447" s="50" t="s">
        <v>1174</v>
      </c>
      <c r="D447" s="50">
        <v>10050505</v>
      </c>
      <c r="E447" s="50" t="s">
        <v>3306</v>
      </c>
      <c r="F447" s="50" t="s">
        <v>1173</v>
      </c>
      <c r="G447" s="50" t="s">
        <v>258</v>
      </c>
      <c r="H447" s="50"/>
      <c r="I447" s="50"/>
      <c r="J447" s="52">
        <v>19</v>
      </c>
      <c r="K447" s="54">
        <v>97</v>
      </c>
      <c r="L447" s="54">
        <v>7730</v>
      </c>
      <c r="M447" s="54">
        <v>24</v>
      </c>
      <c r="N447" s="56">
        <v>0.21540000000000001</v>
      </c>
      <c r="O447" s="50"/>
      <c r="P447" s="52"/>
      <c r="Q447" s="54"/>
      <c r="R447" s="52"/>
      <c r="S447" s="52"/>
      <c r="T447" s="58"/>
      <c r="U447" s="54"/>
    </row>
    <row r="448" spans="1:21" x14ac:dyDescent="0.35">
      <c r="A448" s="51">
        <v>4006665</v>
      </c>
      <c r="B448" s="51" t="s">
        <v>2317</v>
      </c>
      <c r="C448" s="51" t="s">
        <v>1174</v>
      </c>
      <c r="D448" s="51">
        <v>10050801</v>
      </c>
      <c r="E448" s="51" t="s">
        <v>3321</v>
      </c>
      <c r="F448" s="51" t="s">
        <v>1173</v>
      </c>
      <c r="G448" s="51"/>
      <c r="H448" s="51" t="s">
        <v>24</v>
      </c>
      <c r="I448" s="51" t="s">
        <v>258</v>
      </c>
      <c r="J448" s="53">
        <v>8.86</v>
      </c>
      <c r="K448" s="55">
        <v>3200</v>
      </c>
      <c r="L448" s="55">
        <v>400</v>
      </c>
      <c r="M448" s="55">
        <v>1</v>
      </c>
      <c r="N448" s="57">
        <v>4.7957999999999998</v>
      </c>
      <c r="O448" s="51" t="s">
        <v>3230</v>
      </c>
      <c r="P448" s="53">
        <v>31680</v>
      </c>
      <c r="Q448" s="55">
        <v>2</v>
      </c>
      <c r="R448" s="53">
        <v>9</v>
      </c>
      <c r="S448" s="53">
        <v>18</v>
      </c>
      <c r="T448" s="59"/>
      <c r="U448" s="55"/>
    </row>
    <row r="449" spans="1:21" x14ac:dyDescent="0.35">
      <c r="A449" s="50">
        <v>4006678</v>
      </c>
      <c r="B449" s="50" t="s">
        <v>2319</v>
      </c>
      <c r="C449" s="50" t="s">
        <v>1174</v>
      </c>
      <c r="D449" s="50">
        <v>10050801</v>
      </c>
      <c r="E449" s="50" t="s">
        <v>3321</v>
      </c>
      <c r="F449" s="50" t="s">
        <v>1178</v>
      </c>
      <c r="G449" s="50" t="s">
        <v>258</v>
      </c>
      <c r="H449" s="50"/>
      <c r="I449" s="50" t="s">
        <v>258</v>
      </c>
      <c r="J449" s="52">
        <v>7.57</v>
      </c>
      <c r="K449" s="54">
        <v>145</v>
      </c>
      <c r="L449" s="54">
        <v>878</v>
      </c>
      <c r="M449" s="54">
        <v>22</v>
      </c>
      <c r="N449" s="56">
        <v>0.67659999999999998</v>
      </c>
      <c r="O449" s="50"/>
      <c r="P449" s="52">
        <v>4862.3999999999996</v>
      </c>
      <c r="Q449" s="54">
        <v>10</v>
      </c>
      <c r="R449" s="52">
        <v>8</v>
      </c>
      <c r="S449" s="52">
        <v>80</v>
      </c>
      <c r="T449" s="58">
        <v>3</v>
      </c>
      <c r="U449" s="54">
        <v>1</v>
      </c>
    </row>
    <row r="450" spans="1:21" x14ac:dyDescent="0.35">
      <c r="A450" s="51">
        <v>4006755</v>
      </c>
      <c r="B450" s="51" t="s">
        <v>2321</v>
      </c>
      <c r="C450" s="51" t="s">
        <v>1174</v>
      </c>
      <c r="D450" s="51">
        <v>10050109</v>
      </c>
      <c r="E450" s="51" t="s">
        <v>3294</v>
      </c>
      <c r="F450" s="51" t="s">
        <v>1173</v>
      </c>
      <c r="G450" s="51" t="s">
        <v>289</v>
      </c>
      <c r="H450" s="51"/>
      <c r="I450" s="51" t="s">
        <v>258</v>
      </c>
      <c r="J450" s="53">
        <v>23.91</v>
      </c>
      <c r="K450" s="55">
        <v>464</v>
      </c>
      <c r="L450" s="55">
        <v>3335</v>
      </c>
      <c r="M450" s="55">
        <v>21</v>
      </c>
      <c r="N450" s="57">
        <v>0.62029999999999996</v>
      </c>
      <c r="O450" s="51"/>
      <c r="P450" s="53">
        <v>65709.52</v>
      </c>
      <c r="Q450" s="55">
        <v>7</v>
      </c>
      <c r="R450" s="53">
        <v>4</v>
      </c>
      <c r="S450" s="53">
        <v>28</v>
      </c>
      <c r="T450" s="59"/>
      <c r="U450" s="55"/>
    </row>
    <row r="451" spans="1:21" x14ac:dyDescent="0.35">
      <c r="A451" s="50">
        <v>4006758</v>
      </c>
      <c r="B451" s="50" t="s">
        <v>2323</v>
      </c>
      <c r="C451" s="50" t="s">
        <v>1174</v>
      </c>
      <c r="D451" s="50">
        <v>10060502</v>
      </c>
      <c r="E451" s="50" t="s">
        <v>3330</v>
      </c>
      <c r="F451" s="50" t="s">
        <v>1173</v>
      </c>
      <c r="G451" s="50" t="s">
        <v>289</v>
      </c>
      <c r="H451" s="50" t="s">
        <v>141</v>
      </c>
      <c r="I451" s="50"/>
      <c r="J451" s="52">
        <v>195.08</v>
      </c>
      <c r="K451" s="54">
        <v>304</v>
      </c>
      <c r="L451" s="54">
        <v>4155</v>
      </c>
      <c r="M451" s="54">
        <v>24</v>
      </c>
      <c r="N451" s="56">
        <v>0.30149999999999999</v>
      </c>
      <c r="O451" s="50"/>
      <c r="P451" s="52">
        <v>877320</v>
      </c>
      <c r="Q451" s="54">
        <v>23</v>
      </c>
      <c r="R451" s="52">
        <v>18.61</v>
      </c>
      <c r="S451" s="52">
        <v>418</v>
      </c>
      <c r="T451" s="58">
        <v>5</v>
      </c>
      <c r="U451" s="54">
        <v>1</v>
      </c>
    </row>
    <row r="452" spans="1:21" x14ac:dyDescent="0.35">
      <c r="A452" s="51">
        <v>4006770</v>
      </c>
      <c r="B452" s="51" t="s">
        <v>2325</v>
      </c>
      <c r="C452" s="51" t="s">
        <v>1174</v>
      </c>
      <c r="D452" s="51">
        <v>10030908</v>
      </c>
      <c r="E452" s="51" t="s">
        <v>3276</v>
      </c>
      <c r="F452" s="51" t="s">
        <v>1173</v>
      </c>
      <c r="G452" s="51" t="s">
        <v>258</v>
      </c>
      <c r="H452" s="51" t="s">
        <v>24</v>
      </c>
      <c r="I452" s="51" t="s">
        <v>258</v>
      </c>
      <c r="J452" s="53">
        <v>11.47</v>
      </c>
      <c r="K452" s="55">
        <v>576</v>
      </c>
      <c r="L452" s="55">
        <v>5042</v>
      </c>
      <c r="M452" s="55">
        <v>24</v>
      </c>
      <c r="N452" s="57">
        <v>0.56179999999999997</v>
      </c>
      <c r="O452" s="51"/>
      <c r="P452" s="53">
        <v>60702</v>
      </c>
      <c r="Q452" s="55">
        <v>36</v>
      </c>
      <c r="R452" s="53">
        <v>3.97</v>
      </c>
      <c r="S452" s="53">
        <v>147</v>
      </c>
      <c r="T452" s="59"/>
      <c r="U452" s="55"/>
    </row>
    <row r="453" spans="1:21" x14ac:dyDescent="0.35">
      <c r="A453" s="50">
        <v>4006771</v>
      </c>
      <c r="B453" s="50" t="s">
        <v>2327</v>
      </c>
      <c r="C453" s="50" t="s">
        <v>1174</v>
      </c>
      <c r="D453" s="50">
        <v>10030908</v>
      </c>
      <c r="E453" s="50" t="s">
        <v>3276</v>
      </c>
      <c r="F453" s="50" t="s">
        <v>1173</v>
      </c>
      <c r="G453" s="50" t="s">
        <v>289</v>
      </c>
      <c r="H453" s="50"/>
      <c r="I453" s="50" t="s">
        <v>258</v>
      </c>
      <c r="J453" s="52">
        <v>11.47</v>
      </c>
      <c r="K453" s="54">
        <v>827</v>
      </c>
      <c r="L453" s="54">
        <v>11557</v>
      </c>
      <c r="M453" s="54">
        <v>24</v>
      </c>
      <c r="N453" s="56">
        <v>0.35389999999999999</v>
      </c>
      <c r="O453" s="50"/>
      <c r="P453" s="52">
        <v>131322</v>
      </c>
      <c r="Q453" s="54">
        <v>51</v>
      </c>
      <c r="R453" s="52">
        <v>6.12</v>
      </c>
      <c r="S453" s="52">
        <v>318</v>
      </c>
      <c r="T453" s="58"/>
      <c r="U453" s="54"/>
    </row>
    <row r="454" spans="1:21" x14ac:dyDescent="0.35">
      <c r="A454" s="51">
        <v>4006775</v>
      </c>
      <c r="B454" s="51" t="s">
        <v>2329</v>
      </c>
      <c r="C454" s="51" t="s">
        <v>1174</v>
      </c>
      <c r="D454" s="51">
        <v>10030908</v>
      </c>
      <c r="E454" s="51" t="s">
        <v>3276</v>
      </c>
      <c r="F454" s="51" t="s">
        <v>1173</v>
      </c>
      <c r="G454" s="51" t="s">
        <v>258</v>
      </c>
      <c r="H454" s="51"/>
      <c r="I454" s="51" t="s">
        <v>258</v>
      </c>
      <c r="J454" s="53">
        <v>36.97</v>
      </c>
      <c r="K454" s="55">
        <v>396</v>
      </c>
      <c r="L454" s="55">
        <v>1692</v>
      </c>
      <c r="M454" s="55">
        <v>18</v>
      </c>
      <c r="N454" s="57">
        <v>0.93789999999999996</v>
      </c>
      <c r="O454" s="51"/>
      <c r="P454" s="53">
        <v>59897.5</v>
      </c>
      <c r="Q454" s="55">
        <v>9</v>
      </c>
      <c r="R454" s="53">
        <v>5</v>
      </c>
      <c r="S454" s="53">
        <v>45</v>
      </c>
      <c r="T454" s="59"/>
      <c r="U454" s="55"/>
    </row>
    <row r="455" spans="1:21" x14ac:dyDescent="0.35">
      <c r="A455" s="50">
        <v>4006778</v>
      </c>
      <c r="B455" s="50" t="s">
        <v>2331</v>
      </c>
      <c r="C455" s="50" t="s">
        <v>1174</v>
      </c>
      <c r="D455" s="50">
        <v>10030908</v>
      </c>
      <c r="E455" s="50" t="s">
        <v>3276</v>
      </c>
      <c r="F455" s="50" t="s">
        <v>1173</v>
      </c>
      <c r="G455" s="50" t="s">
        <v>289</v>
      </c>
      <c r="H455" s="50"/>
      <c r="I455" s="50" t="s">
        <v>258</v>
      </c>
      <c r="J455" s="52">
        <v>22.94</v>
      </c>
      <c r="K455" s="54">
        <v>648</v>
      </c>
      <c r="L455" s="54">
        <v>5190</v>
      </c>
      <c r="M455" s="54">
        <v>19</v>
      </c>
      <c r="N455" s="56">
        <v>0.90780000000000005</v>
      </c>
      <c r="O455" s="50"/>
      <c r="P455" s="52">
        <v>116470.75</v>
      </c>
      <c r="Q455" s="54">
        <v>18</v>
      </c>
      <c r="R455" s="52">
        <v>6.71</v>
      </c>
      <c r="S455" s="52">
        <v>141</v>
      </c>
      <c r="T455" s="58"/>
      <c r="U455" s="54"/>
    </row>
    <row r="456" spans="1:21" x14ac:dyDescent="0.35">
      <c r="A456" s="51">
        <v>4006780</v>
      </c>
      <c r="B456" s="51" t="s">
        <v>2333</v>
      </c>
      <c r="C456" s="51" t="s">
        <v>1174</v>
      </c>
      <c r="D456" s="51">
        <v>10030908</v>
      </c>
      <c r="E456" s="51" t="s">
        <v>3276</v>
      </c>
      <c r="F456" s="51" t="s">
        <v>1173</v>
      </c>
      <c r="G456" s="51" t="s">
        <v>258</v>
      </c>
      <c r="H456" s="51"/>
      <c r="I456" s="51" t="s">
        <v>258</v>
      </c>
      <c r="J456" s="53">
        <v>33.17</v>
      </c>
      <c r="K456" s="55">
        <v>168</v>
      </c>
      <c r="L456" s="55">
        <v>1596</v>
      </c>
      <c r="M456" s="55">
        <v>23</v>
      </c>
      <c r="N456" s="57">
        <v>0.45700000000000002</v>
      </c>
      <c r="O456" s="51"/>
      <c r="P456" s="53">
        <v>51732.5</v>
      </c>
      <c r="Q456" s="55">
        <v>26</v>
      </c>
      <c r="R456" s="53">
        <v>5</v>
      </c>
      <c r="S456" s="53">
        <v>130</v>
      </c>
      <c r="T456" s="59"/>
      <c r="U456" s="55"/>
    </row>
    <row r="457" spans="1:21" x14ac:dyDescent="0.35">
      <c r="A457" s="50">
        <v>4006795</v>
      </c>
      <c r="B457" s="50" t="s">
        <v>2335</v>
      </c>
      <c r="C457" s="50" t="s">
        <v>1174</v>
      </c>
      <c r="D457" s="50">
        <v>10050801</v>
      </c>
      <c r="E457" s="50" t="s">
        <v>3321</v>
      </c>
      <c r="F457" s="50" t="s">
        <v>1178</v>
      </c>
      <c r="G457" s="50" t="s">
        <v>289</v>
      </c>
      <c r="H457" s="50"/>
      <c r="I457" s="50" t="s">
        <v>258</v>
      </c>
      <c r="J457" s="52">
        <v>77.44</v>
      </c>
      <c r="K457" s="54">
        <v>92</v>
      </c>
      <c r="L457" s="54">
        <v>478</v>
      </c>
      <c r="M457" s="54">
        <v>21</v>
      </c>
      <c r="N457" s="56">
        <v>0.66369999999999996</v>
      </c>
      <c r="O457" s="50"/>
      <c r="P457" s="52">
        <v>38556</v>
      </c>
      <c r="Q457" s="54">
        <v>17</v>
      </c>
      <c r="R457" s="52">
        <v>3</v>
      </c>
      <c r="S457" s="52">
        <v>51</v>
      </c>
      <c r="T457" s="58"/>
      <c r="U457" s="54"/>
    </row>
    <row r="458" spans="1:21" x14ac:dyDescent="0.35">
      <c r="A458" s="51">
        <v>4007769</v>
      </c>
      <c r="B458" s="51" t="s">
        <v>2337</v>
      </c>
      <c r="C458" s="51" t="s">
        <v>1174</v>
      </c>
      <c r="D458" s="51">
        <v>10030908</v>
      </c>
      <c r="E458" s="51" t="s">
        <v>3276</v>
      </c>
      <c r="F458" s="51" t="s">
        <v>1173</v>
      </c>
      <c r="G458" s="51"/>
      <c r="H458" s="51" t="s">
        <v>24</v>
      </c>
      <c r="I458" s="51"/>
      <c r="J458" s="53">
        <v>36.42</v>
      </c>
      <c r="K458" s="55">
        <v>648</v>
      </c>
      <c r="L458" s="55">
        <v>3744</v>
      </c>
      <c r="M458" s="55">
        <v>19</v>
      </c>
      <c r="N458" s="57">
        <v>0.69120000000000004</v>
      </c>
      <c r="O458" s="51"/>
      <c r="P458" s="53">
        <v>157320</v>
      </c>
      <c r="Q458" s="55">
        <v>21</v>
      </c>
      <c r="R458" s="53">
        <v>5.71</v>
      </c>
      <c r="S458" s="53">
        <v>120</v>
      </c>
      <c r="T458" s="59"/>
      <c r="U458" s="55"/>
    </row>
    <row r="459" spans="1:21" x14ac:dyDescent="0.35">
      <c r="A459" s="50">
        <v>4007774</v>
      </c>
      <c r="B459" s="50" t="s">
        <v>2339</v>
      </c>
      <c r="C459" s="50" t="s">
        <v>1174</v>
      </c>
      <c r="D459" s="50">
        <v>10030908</v>
      </c>
      <c r="E459" s="50" t="s">
        <v>3276</v>
      </c>
      <c r="F459" s="50" t="s">
        <v>1173</v>
      </c>
      <c r="G459" s="50"/>
      <c r="H459" s="50" t="s">
        <v>24</v>
      </c>
      <c r="I459" s="50"/>
      <c r="J459" s="52">
        <v>20.64</v>
      </c>
      <c r="K459" s="54">
        <v>1606</v>
      </c>
      <c r="L459" s="54">
        <v>4801</v>
      </c>
      <c r="M459" s="54">
        <v>19</v>
      </c>
      <c r="N459" s="56">
        <v>0.92049999999999998</v>
      </c>
      <c r="O459" s="50"/>
      <c r="P459" s="52">
        <v>133740</v>
      </c>
      <c r="Q459" s="54">
        <v>22</v>
      </c>
      <c r="R459" s="52">
        <v>8.18</v>
      </c>
      <c r="S459" s="52">
        <v>180</v>
      </c>
      <c r="T459" s="58"/>
      <c r="U459" s="54"/>
    </row>
    <row r="460" spans="1:21" x14ac:dyDescent="0.35">
      <c r="A460" s="51">
        <v>4007817</v>
      </c>
      <c r="B460" s="51" t="s">
        <v>2343</v>
      </c>
      <c r="C460" s="51" t="s">
        <v>1174</v>
      </c>
      <c r="D460" s="51">
        <v>10050701</v>
      </c>
      <c r="E460" s="51" t="s">
        <v>3320</v>
      </c>
      <c r="F460" s="51" t="s">
        <v>1173</v>
      </c>
      <c r="G460" s="51" t="s">
        <v>258</v>
      </c>
      <c r="H460" s="51"/>
      <c r="I460" s="51" t="s">
        <v>258</v>
      </c>
      <c r="J460" s="53">
        <v>0.01</v>
      </c>
      <c r="K460" s="55">
        <v>120</v>
      </c>
      <c r="L460" s="55">
        <v>840</v>
      </c>
      <c r="M460" s="55">
        <v>20</v>
      </c>
      <c r="N460" s="57">
        <v>0.63890000000000002</v>
      </c>
      <c r="O460" s="51"/>
      <c r="P460" s="53">
        <v>84</v>
      </c>
      <c r="Q460" s="55">
        <v>9</v>
      </c>
      <c r="R460" s="53">
        <v>3.11</v>
      </c>
      <c r="S460" s="53">
        <v>28</v>
      </c>
      <c r="T460" s="59"/>
      <c r="U460" s="55"/>
    </row>
    <row r="461" spans="1:21" x14ac:dyDescent="0.35">
      <c r="A461" s="50">
        <v>4007818</v>
      </c>
      <c r="B461" s="50" t="s">
        <v>2345</v>
      </c>
      <c r="C461" s="50" t="s">
        <v>1174</v>
      </c>
      <c r="D461" s="50">
        <v>10050701</v>
      </c>
      <c r="E461" s="50" t="s">
        <v>3320</v>
      </c>
      <c r="F461" s="50" t="s">
        <v>1173</v>
      </c>
      <c r="G461" s="50" t="s">
        <v>258</v>
      </c>
      <c r="H461" s="50"/>
      <c r="I461" s="50" t="s">
        <v>258</v>
      </c>
      <c r="J461" s="52">
        <v>0.01</v>
      </c>
      <c r="K461" s="54">
        <v>210</v>
      </c>
      <c r="L461" s="54">
        <v>900</v>
      </c>
      <c r="M461" s="54">
        <v>17</v>
      </c>
      <c r="N461" s="56">
        <v>0.87180000000000002</v>
      </c>
      <c r="O461" s="50"/>
      <c r="P461" s="52">
        <v>84.6</v>
      </c>
      <c r="Q461" s="54">
        <v>14</v>
      </c>
      <c r="R461" s="52">
        <v>2</v>
      </c>
      <c r="S461" s="52">
        <v>30</v>
      </c>
      <c r="T461" s="58"/>
      <c r="U461" s="54"/>
    </row>
    <row r="462" spans="1:21" x14ac:dyDescent="0.35">
      <c r="A462" s="51">
        <v>4007825</v>
      </c>
      <c r="B462" s="51" t="s">
        <v>2347</v>
      </c>
      <c r="C462" s="51" t="s">
        <v>1174</v>
      </c>
      <c r="D462" s="51">
        <v>10050306</v>
      </c>
      <c r="E462" s="51" t="s">
        <v>3298</v>
      </c>
      <c r="F462" s="51" t="s">
        <v>1173</v>
      </c>
      <c r="G462" s="51" t="s">
        <v>258</v>
      </c>
      <c r="H462" s="51"/>
      <c r="I462" s="51" t="s">
        <v>258</v>
      </c>
      <c r="J462" s="53">
        <v>9.99</v>
      </c>
      <c r="K462" s="55">
        <v>499</v>
      </c>
      <c r="L462" s="55">
        <v>3740</v>
      </c>
      <c r="M462" s="55">
        <v>24</v>
      </c>
      <c r="N462" s="57">
        <v>0.32969999999999999</v>
      </c>
      <c r="O462" s="51"/>
      <c r="P462" s="53">
        <v>40000</v>
      </c>
      <c r="Q462" s="55">
        <v>8</v>
      </c>
      <c r="R462" s="53">
        <v>100</v>
      </c>
      <c r="S462" s="53">
        <v>700</v>
      </c>
      <c r="T462" s="59"/>
      <c r="U462" s="55"/>
    </row>
    <row r="463" spans="1:21" x14ac:dyDescent="0.35">
      <c r="A463" s="50">
        <v>4007843</v>
      </c>
      <c r="B463" s="50" t="s">
        <v>2349</v>
      </c>
      <c r="C463" s="50" t="s">
        <v>1174</v>
      </c>
      <c r="D463" s="50">
        <v>10050109</v>
      </c>
      <c r="E463" s="50" t="s">
        <v>3294</v>
      </c>
      <c r="F463" s="50" t="s">
        <v>1173</v>
      </c>
      <c r="G463" s="50" t="s">
        <v>289</v>
      </c>
      <c r="H463" s="50"/>
      <c r="I463" s="50" t="s">
        <v>258</v>
      </c>
      <c r="J463" s="52">
        <v>1.48</v>
      </c>
      <c r="K463" s="54">
        <v>1390</v>
      </c>
      <c r="L463" s="54">
        <v>119834</v>
      </c>
      <c r="M463" s="54">
        <v>24</v>
      </c>
      <c r="N463" s="56">
        <v>0.1462</v>
      </c>
      <c r="O463" s="50"/>
      <c r="P463" s="52"/>
      <c r="Q463" s="54"/>
      <c r="R463" s="52"/>
      <c r="S463" s="52"/>
      <c r="T463" s="58"/>
      <c r="U463" s="54"/>
    </row>
    <row r="464" spans="1:21" x14ac:dyDescent="0.35">
      <c r="A464" s="51">
        <v>4008002</v>
      </c>
      <c r="B464" s="51" t="s">
        <v>2355</v>
      </c>
      <c r="C464" s="51" t="s">
        <v>1174</v>
      </c>
      <c r="D464" s="51">
        <v>10050108</v>
      </c>
      <c r="E464" s="51" t="s">
        <v>3293</v>
      </c>
      <c r="F464" s="51" t="s">
        <v>1173</v>
      </c>
      <c r="G464" s="51" t="s">
        <v>258</v>
      </c>
      <c r="H464" s="51"/>
      <c r="I464" s="51" t="s">
        <v>258</v>
      </c>
      <c r="J464" s="53">
        <v>445.16</v>
      </c>
      <c r="K464" s="55">
        <v>93</v>
      </c>
      <c r="L464" s="55">
        <v>25</v>
      </c>
      <c r="M464" s="55">
        <v>4</v>
      </c>
      <c r="N464" s="57">
        <v>2.3917000000000002</v>
      </c>
      <c r="O464" s="51" t="s">
        <v>3230</v>
      </c>
      <c r="P464" s="53">
        <v>18976</v>
      </c>
      <c r="Q464" s="55">
        <v>2</v>
      </c>
      <c r="R464" s="53">
        <v>4</v>
      </c>
      <c r="S464" s="53">
        <v>8</v>
      </c>
      <c r="T464" s="59"/>
      <c r="U464" s="55"/>
    </row>
    <row r="465" spans="1:21" x14ac:dyDescent="0.35">
      <c r="A465" s="50">
        <v>4008010</v>
      </c>
      <c r="B465" s="50" t="s">
        <v>2357</v>
      </c>
      <c r="C465" s="50" t="s">
        <v>1174</v>
      </c>
      <c r="D465" s="50">
        <v>10050501</v>
      </c>
      <c r="E465" s="50" t="s">
        <v>3302</v>
      </c>
      <c r="F465" s="50" t="s">
        <v>1173</v>
      </c>
      <c r="G465" s="50" t="s">
        <v>258</v>
      </c>
      <c r="H465" s="50"/>
      <c r="I465" s="50" t="s">
        <v>258</v>
      </c>
      <c r="J465" s="52">
        <v>12.58</v>
      </c>
      <c r="K465" s="54">
        <v>249</v>
      </c>
      <c r="L465" s="54">
        <v>1190</v>
      </c>
      <c r="M465" s="54">
        <v>14</v>
      </c>
      <c r="N465" s="56">
        <v>1.3282</v>
      </c>
      <c r="O465" s="50"/>
      <c r="P465" s="52">
        <v>13708.4</v>
      </c>
      <c r="Q465" s="54">
        <v>6</v>
      </c>
      <c r="R465" s="52">
        <v>2</v>
      </c>
      <c r="S465" s="52">
        <v>12</v>
      </c>
      <c r="T465" s="58">
        <v>4</v>
      </c>
      <c r="U465" s="54">
        <v>2</v>
      </c>
    </row>
    <row r="466" spans="1:21" x14ac:dyDescent="0.35">
      <c r="A466" s="51">
        <v>4008022</v>
      </c>
      <c r="B466" s="51" t="s">
        <v>2359</v>
      </c>
      <c r="C466" s="51" t="s">
        <v>1174</v>
      </c>
      <c r="D466" s="51">
        <v>10050102</v>
      </c>
      <c r="E466" s="51" t="s">
        <v>3289</v>
      </c>
      <c r="F466" s="51" t="s">
        <v>1175</v>
      </c>
      <c r="G466" s="51" t="s">
        <v>258</v>
      </c>
      <c r="H466" s="51" t="s">
        <v>24</v>
      </c>
      <c r="I466" s="51" t="s">
        <v>258</v>
      </c>
      <c r="J466" s="53">
        <v>54.78</v>
      </c>
      <c r="K466" s="55">
        <v>40</v>
      </c>
      <c r="L466" s="55">
        <v>320</v>
      </c>
      <c r="M466" s="55">
        <v>13</v>
      </c>
      <c r="N466" s="57">
        <v>1.0307999999999999</v>
      </c>
      <c r="O466" s="51"/>
      <c r="P466" s="53"/>
      <c r="Q466" s="55"/>
      <c r="R466" s="53"/>
      <c r="S466" s="53"/>
      <c r="T466" s="59"/>
      <c r="U466" s="55"/>
    </row>
    <row r="467" spans="1:21" x14ac:dyDescent="0.35">
      <c r="A467" s="50">
        <v>4008023</v>
      </c>
      <c r="B467" s="50" t="s">
        <v>2361</v>
      </c>
      <c r="C467" s="50" t="s">
        <v>1174</v>
      </c>
      <c r="D467" s="50">
        <v>10050102</v>
      </c>
      <c r="E467" s="50" t="s">
        <v>3289</v>
      </c>
      <c r="F467" s="50" t="s">
        <v>1173</v>
      </c>
      <c r="G467" s="50" t="s">
        <v>258</v>
      </c>
      <c r="H467" s="50" t="s">
        <v>24</v>
      </c>
      <c r="I467" s="50" t="s">
        <v>258</v>
      </c>
      <c r="J467" s="52">
        <v>9.25</v>
      </c>
      <c r="K467" s="54">
        <v>300</v>
      </c>
      <c r="L467" s="54">
        <v>600</v>
      </c>
      <c r="M467" s="54">
        <v>15</v>
      </c>
      <c r="N467" s="56">
        <v>1</v>
      </c>
      <c r="O467" s="50"/>
      <c r="P467" s="52">
        <v>5550</v>
      </c>
      <c r="Q467" s="54">
        <v>6</v>
      </c>
      <c r="R467" s="52">
        <v>4</v>
      </c>
      <c r="S467" s="52">
        <v>24</v>
      </c>
      <c r="T467" s="58"/>
      <c r="U467" s="54"/>
    </row>
    <row r="468" spans="1:21" x14ac:dyDescent="0.35">
      <c r="A468" s="51">
        <v>4008033</v>
      </c>
      <c r="B468" s="51" t="s">
        <v>2369</v>
      </c>
      <c r="C468" s="51" t="s">
        <v>1174</v>
      </c>
      <c r="D468" s="51">
        <v>10050606</v>
      </c>
      <c r="E468" s="51" t="s">
        <v>3314</v>
      </c>
      <c r="F468" s="51" t="s">
        <v>1173</v>
      </c>
      <c r="G468" s="51" t="s">
        <v>258</v>
      </c>
      <c r="H468" s="51" t="s">
        <v>141</v>
      </c>
      <c r="I468" s="51" t="s">
        <v>258</v>
      </c>
      <c r="J468" s="53">
        <v>0.01</v>
      </c>
      <c r="K468" s="55">
        <v>38</v>
      </c>
      <c r="L468" s="55">
        <v>65</v>
      </c>
      <c r="M468" s="55">
        <v>17</v>
      </c>
      <c r="N468" s="57">
        <v>1.2175</v>
      </c>
      <c r="O468" s="51"/>
      <c r="P468" s="53">
        <v>0.64</v>
      </c>
      <c r="Q468" s="55">
        <v>4</v>
      </c>
      <c r="R468" s="53">
        <v>16</v>
      </c>
      <c r="S468" s="53">
        <v>64</v>
      </c>
      <c r="T468" s="59"/>
      <c r="U468" s="55"/>
    </row>
    <row r="469" spans="1:21" x14ac:dyDescent="0.35">
      <c r="A469" s="50">
        <v>4008034</v>
      </c>
      <c r="B469" s="50" t="s">
        <v>2371</v>
      </c>
      <c r="C469" s="50" t="s">
        <v>1174</v>
      </c>
      <c r="D469" s="50">
        <v>10050606</v>
      </c>
      <c r="E469" s="50" t="s">
        <v>3314</v>
      </c>
      <c r="F469" s="50" t="s">
        <v>1173</v>
      </c>
      <c r="G469" s="50" t="s">
        <v>289</v>
      </c>
      <c r="H469" s="50" t="s">
        <v>141</v>
      </c>
      <c r="I469" s="50" t="s">
        <v>258</v>
      </c>
      <c r="J469" s="52">
        <v>57.83</v>
      </c>
      <c r="K469" s="54">
        <v>180</v>
      </c>
      <c r="L469" s="54">
        <v>1600</v>
      </c>
      <c r="M469" s="54">
        <v>23</v>
      </c>
      <c r="N469" s="56">
        <v>0.50990000000000002</v>
      </c>
      <c r="O469" s="50"/>
      <c r="P469" s="52">
        <v>85700.52</v>
      </c>
      <c r="Q469" s="54">
        <v>26</v>
      </c>
      <c r="R469" s="52">
        <v>3.12</v>
      </c>
      <c r="S469" s="52">
        <v>78</v>
      </c>
      <c r="T469" s="58"/>
      <c r="U469" s="54"/>
    </row>
    <row r="470" spans="1:21" x14ac:dyDescent="0.35">
      <c r="A470" s="51">
        <v>4008076</v>
      </c>
      <c r="B470" s="51" t="s">
        <v>2377</v>
      </c>
      <c r="C470" s="51" t="s">
        <v>1174</v>
      </c>
      <c r="D470" s="51">
        <v>10050404</v>
      </c>
      <c r="E470" s="51" t="s">
        <v>3301</v>
      </c>
      <c r="F470" s="51" t="s">
        <v>1173</v>
      </c>
      <c r="G470" s="51" t="s">
        <v>258</v>
      </c>
      <c r="H470" s="51"/>
      <c r="I470" s="51" t="s">
        <v>258</v>
      </c>
      <c r="J470" s="53">
        <v>0.7923</v>
      </c>
      <c r="K470" s="55">
        <v>135</v>
      </c>
      <c r="L470" s="55">
        <v>1060</v>
      </c>
      <c r="M470" s="55">
        <v>23</v>
      </c>
      <c r="N470" s="57">
        <v>0.62319999999999998</v>
      </c>
      <c r="O470" s="51"/>
      <c r="P470" s="53">
        <v>240</v>
      </c>
      <c r="Q470" s="55">
        <v>7</v>
      </c>
      <c r="R470" s="53">
        <v>5</v>
      </c>
      <c r="S470" s="53">
        <v>35</v>
      </c>
      <c r="T470" s="59"/>
      <c r="U470" s="55"/>
    </row>
    <row r="471" spans="1:21" x14ac:dyDescent="0.35">
      <c r="A471" s="50">
        <v>4008077</v>
      </c>
      <c r="B471" s="50" t="s">
        <v>2379</v>
      </c>
      <c r="C471" s="50" t="s">
        <v>1174</v>
      </c>
      <c r="D471" s="50">
        <v>10050404</v>
      </c>
      <c r="E471" s="50" t="s">
        <v>3301</v>
      </c>
      <c r="F471" s="50" t="s">
        <v>1173</v>
      </c>
      <c r="G471" s="50" t="s">
        <v>258</v>
      </c>
      <c r="H471" s="50"/>
      <c r="I471" s="50" t="s">
        <v>258</v>
      </c>
      <c r="J471" s="52">
        <v>9.9900000000000003E-2</v>
      </c>
      <c r="K471" s="54">
        <v>135</v>
      </c>
      <c r="L471" s="54">
        <v>660</v>
      </c>
      <c r="M471" s="54">
        <v>17</v>
      </c>
      <c r="N471" s="56">
        <v>1.2376</v>
      </c>
      <c r="O471" s="50"/>
      <c r="P471" s="52">
        <v>63</v>
      </c>
      <c r="Q471" s="54">
        <v>7</v>
      </c>
      <c r="R471" s="52">
        <v>3</v>
      </c>
      <c r="S471" s="52">
        <v>21</v>
      </c>
      <c r="T471" s="58"/>
      <c r="U471" s="54"/>
    </row>
    <row r="472" spans="1:21" x14ac:dyDescent="0.35">
      <c r="A472" s="51">
        <v>4008079</v>
      </c>
      <c r="B472" s="51" t="s">
        <v>2381</v>
      </c>
      <c r="C472" s="51" t="s">
        <v>1174</v>
      </c>
      <c r="D472" s="51">
        <v>10060502</v>
      </c>
      <c r="E472" s="51" t="s">
        <v>3330</v>
      </c>
      <c r="F472" s="51" t="s">
        <v>1173</v>
      </c>
      <c r="G472" s="51" t="s">
        <v>258</v>
      </c>
      <c r="H472" s="51"/>
      <c r="I472" s="51" t="s">
        <v>258</v>
      </c>
      <c r="J472" s="53">
        <v>6.9</v>
      </c>
      <c r="K472" s="55">
        <v>850</v>
      </c>
      <c r="L472" s="55">
        <v>14551</v>
      </c>
      <c r="M472" s="55">
        <v>24</v>
      </c>
      <c r="N472" s="57">
        <v>0.4042</v>
      </c>
      <c r="O472" s="51"/>
      <c r="P472" s="53">
        <v>93365.4</v>
      </c>
      <c r="Q472" s="55">
        <v>25</v>
      </c>
      <c r="R472" s="53">
        <v>10</v>
      </c>
      <c r="S472" s="53">
        <v>250</v>
      </c>
      <c r="T472" s="59"/>
      <c r="U472" s="55"/>
    </row>
    <row r="473" spans="1:21" x14ac:dyDescent="0.35">
      <c r="A473" s="50">
        <v>4008095</v>
      </c>
      <c r="B473" s="50" t="s">
        <v>2383</v>
      </c>
      <c r="C473" s="50" t="s">
        <v>1174</v>
      </c>
      <c r="D473" s="50">
        <v>10030899</v>
      </c>
      <c r="E473" s="50" t="s">
        <v>3268</v>
      </c>
      <c r="F473" s="50" t="s">
        <v>1173</v>
      </c>
      <c r="G473" s="50" t="s">
        <v>258</v>
      </c>
      <c r="H473" s="50"/>
      <c r="I473" s="50" t="s">
        <v>258</v>
      </c>
      <c r="J473" s="52">
        <v>2</v>
      </c>
      <c r="K473" s="54">
        <v>1600</v>
      </c>
      <c r="L473" s="54">
        <v>16600</v>
      </c>
      <c r="M473" s="54">
        <v>20</v>
      </c>
      <c r="N473" s="56">
        <v>0.63970000000000005</v>
      </c>
      <c r="O473" s="50"/>
      <c r="P473" s="52">
        <v>32306</v>
      </c>
      <c r="Q473" s="54">
        <v>20</v>
      </c>
      <c r="R473" s="52">
        <v>2.0299999999999998</v>
      </c>
      <c r="S473" s="52">
        <v>40.5</v>
      </c>
      <c r="T473" s="58"/>
      <c r="U473" s="54"/>
    </row>
    <row r="474" spans="1:21" x14ac:dyDescent="0.35">
      <c r="A474" s="51">
        <v>4008096</v>
      </c>
      <c r="B474" s="51" t="s">
        <v>2385</v>
      </c>
      <c r="C474" s="51" t="s">
        <v>1174</v>
      </c>
      <c r="D474" s="51">
        <v>10030899</v>
      </c>
      <c r="E474" s="51" t="s">
        <v>3268</v>
      </c>
      <c r="F474" s="51" t="s">
        <v>1173</v>
      </c>
      <c r="G474" s="51" t="s">
        <v>271</v>
      </c>
      <c r="H474" s="51"/>
      <c r="I474" s="51" t="s">
        <v>289</v>
      </c>
      <c r="J474" s="53">
        <v>4.79</v>
      </c>
      <c r="K474" s="55">
        <v>5166</v>
      </c>
      <c r="L474" s="55">
        <v>57610</v>
      </c>
      <c r="M474" s="55">
        <v>24</v>
      </c>
      <c r="N474" s="57">
        <v>0.12889999999999999</v>
      </c>
      <c r="O474" s="51"/>
      <c r="P474" s="53">
        <v>264202.8</v>
      </c>
      <c r="Q474" s="55">
        <v>29</v>
      </c>
      <c r="R474" s="53">
        <v>14.97</v>
      </c>
      <c r="S474" s="53">
        <v>433.87299999999999</v>
      </c>
      <c r="T474" s="59"/>
      <c r="U474" s="55"/>
    </row>
    <row r="475" spans="1:21" x14ac:dyDescent="0.35">
      <c r="A475" s="50">
        <v>4008099</v>
      </c>
      <c r="B475" s="50" t="s">
        <v>2387</v>
      </c>
      <c r="C475" s="50" t="s">
        <v>1174</v>
      </c>
      <c r="D475" s="50">
        <v>10030899</v>
      </c>
      <c r="E475" s="50" t="s">
        <v>3268</v>
      </c>
      <c r="F475" s="50" t="s">
        <v>1173</v>
      </c>
      <c r="G475" s="50" t="s">
        <v>258</v>
      </c>
      <c r="H475" s="50"/>
      <c r="I475" s="50" t="s">
        <v>258</v>
      </c>
      <c r="J475" s="52">
        <v>14.56</v>
      </c>
      <c r="K475" s="54">
        <v>500</v>
      </c>
      <c r="L475" s="54">
        <v>7652</v>
      </c>
      <c r="M475" s="54">
        <v>24</v>
      </c>
      <c r="N475" s="56">
        <v>0.28239999999999998</v>
      </c>
      <c r="O475" s="50"/>
      <c r="P475" s="52">
        <v>107666</v>
      </c>
      <c r="Q475" s="54">
        <v>37</v>
      </c>
      <c r="R475" s="52">
        <v>4.1100000000000003</v>
      </c>
      <c r="S475" s="52">
        <v>152</v>
      </c>
      <c r="T475" s="58"/>
      <c r="U475" s="54"/>
    </row>
    <row r="476" spans="1:21" x14ac:dyDescent="0.35">
      <c r="A476" s="51">
        <v>4008100</v>
      </c>
      <c r="B476" s="51" t="s">
        <v>2389</v>
      </c>
      <c r="C476" s="51" t="s">
        <v>1174</v>
      </c>
      <c r="D476" s="51">
        <v>10030899</v>
      </c>
      <c r="E476" s="51" t="s">
        <v>3268</v>
      </c>
      <c r="F476" s="51" t="s">
        <v>1178</v>
      </c>
      <c r="G476" s="51" t="s">
        <v>258</v>
      </c>
      <c r="H476" s="51"/>
      <c r="I476" s="51" t="s">
        <v>258</v>
      </c>
      <c r="J476" s="53">
        <v>0.01</v>
      </c>
      <c r="K476" s="55">
        <v>12</v>
      </c>
      <c r="L476" s="55">
        <v>64</v>
      </c>
      <c r="M476" s="55">
        <v>20</v>
      </c>
      <c r="N476" s="57">
        <v>0.67310000000000003</v>
      </c>
      <c r="O476" s="51"/>
      <c r="P476" s="53">
        <v>24170.15</v>
      </c>
      <c r="Q476" s="55">
        <v>5</v>
      </c>
      <c r="R476" s="53">
        <v>6.6</v>
      </c>
      <c r="S476" s="53">
        <v>53</v>
      </c>
      <c r="T476" s="59"/>
      <c r="U476" s="55"/>
    </row>
    <row r="477" spans="1:21" x14ac:dyDescent="0.35">
      <c r="A477" s="50">
        <v>4008106</v>
      </c>
      <c r="B477" s="50" t="s">
        <v>2391</v>
      </c>
      <c r="C477" s="50" t="s">
        <v>1174</v>
      </c>
      <c r="D477" s="50">
        <v>10040101</v>
      </c>
      <c r="E477" s="50" t="s">
        <v>3279</v>
      </c>
      <c r="F477" s="50" t="s">
        <v>1173</v>
      </c>
      <c r="G477" s="50" t="s">
        <v>258</v>
      </c>
      <c r="H477" s="50" t="s">
        <v>141</v>
      </c>
      <c r="I477" s="50" t="s">
        <v>258</v>
      </c>
      <c r="J477" s="52">
        <v>1.1738</v>
      </c>
      <c r="K477" s="54">
        <v>1300</v>
      </c>
      <c r="L477" s="54">
        <v>6600</v>
      </c>
      <c r="M477" s="54">
        <v>23</v>
      </c>
      <c r="N477" s="56">
        <v>0.82150000000000001</v>
      </c>
      <c r="O477" s="50"/>
      <c r="P477" s="52">
        <v>6971.28</v>
      </c>
      <c r="Q477" s="54">
        <v>5</v>
      </c>
      <c r="R477" s="52">
        <v>24</v>
      </c>
      <c r="S477" s="52">
        <v>120</v>
      </c>
      <c r="T477" s="58"/>
      <c r="U477" s="54"/>
    </row>
    <row r="478" spans="1:21" x14ac:dyDescent="0.35">
      <c r="A478" s="51">
        <v>4008108</v>
      </c>
      <c r="B478" s="51" t="s">
        <v>2393</v>
      </c>
      <c r="C478" s="51" t="s">
        <v>1174</v>
      </c>
      <c r="D478" s="51">
        <v>10030903</v>
      </c>
      <c r="E478" s="51" t="s">
        <v>3271</v>
      </c>
      <c r="F478" s="51" t="s">
        <v>1173</v>
      </c>
      <c r="G478" s="51" t="s">
        <v>289</v>
      </c>
      <c r="H478" s="51"/>
      <c r="I478" s="51" t="s">
        <v>258</v>
      </c>
      <c r="J478" s="53">
        <v>43.04</v>
      </c>
      <c r="K478" s="55">
        <v>54</v>
      </c>
      <c r="L478" s="55">
        <v>4670</v>
      </c>
      <c r="M478" s="55">
        <v>24</v>
      </c>
      <c r="N478" s="57">
        <v>0.18060000000000001</v>
      </c>
      <c r="O478" s="51"/>
      <c r="P478" s="53">
        <v>74200</v>
      </c>
      <c r="Q478" s="55">
        <v>14</v>
      </c>
      <c r="R478" s="53">
        <v>2</v>
      </c>
      <c r="S478" s="53">
        <v>28</v>
      </c>
      <c r="T478" s="59"/>
      <c r="U478" s="55"/>
    </row>
    <row r="479" spans="1:21" x14ac:dyDescent="0.35">
      <c r="A479" s="50">
        <v>4008109</v>
      </c>
      <c r="B479" s="50" t="s">
        <v>2395</v>
      </c>
      <c r="C479" s="50" t="s">
        <v>1174</v>
      </c>
      <c r="D479" s="50">
        <v>10050801</v>
      </c>
      <c r="E479" s="50" t="s">
        <v>3321</v>
      </c>
      <c r="F479" s="50" t="s">
        <v>1173</v>
      </c>
      <c r="G479" s="50" t="s">
        <v>289</v>
      </c>
      <c r="H479" s="50"/>
      <c r="I479" s="50" t="s">
        <v>289</v>
      </c>
      <c r="J479" s="52">
        <v>4.95</v>
      </c>
      <c r="K479" s="54">
        <v>250</v>
      </c>
      <c r="L479" s="54">
        <v>25325</v>
      </c>
      <c r="M479" s="54">
        <v>24</v>
      </c>
      <c r="N479" s="56">
        <v>0.24329999999999999</v>
      </c>
      <c r="O479" s="50"/>
      <c r="P479" s="52"/>
      <c r="Q479" s="54"/>
      <c r="R479" s="52"/>
      <c r="S479" s="52"/>
      <c r="T479" s="58"/>
      <c r="U479" s="54"/>
    </row>
    <row r="480" spans="1:21" x14ac:dyDescent="0.35">
      <c r="A480" s="51">
        <v>4008110</v>
      </c>
      <c r="B480" s="51" t="s">
        <v>2397</v>
      </c>
      <c r="C480" s="51" t="s">
        <v>1174</v>
      </c>
      <c r="D480" s="51">
        <v>10050102</v>
      </c>
      <c r="E480" s="51" t="s">
        <v>3289</v>
      </c>
      <c r="F480" s="51" t="s">
        <v>1173</v>
      </c>
      <c r="G480" s="51" t="s">
        <v>258</v>
      </c>
      <c r="H480" s="51"/>
      <c r="I480" s="51" t="s">
        <v>258</v>
      </c>
      <c r="J480" s="53">
        <v>3.44</v>
      </c>
      <c r="K480" s="55">
        <v>350</v>
      </c>
      <c r="L480" s="55">
        <v>6100</v>
      </c>
      <c r="M480" s="55">
        <v>23</v>
      </c>
      <c r="N480" s="57">
        <v>0.50770000000000004</v>
      </c>
      <c r="O480" s="51"/>
      <c r="P480" s="53">
        <v>20636.400000000001</v>
      </c>
      <c r="Q480" s="55">
        <v>36</v>
      </c>
      <c r="R480" s="53">
        <v>3</v>
      </c>
      <c r="S480" s="53">
        <v>114</v>
      </c>
      <c r="T480" s="59">
        <v>3</v>
      </c>
      <c r="U480" s="55">
        <v>1</v>
      </c>
    </row>
    <row r="481" spans="1:21" x14ac:dyDescent="0.35">
      <c r="A481" s="50">
        <v>4008121</v>
      </c>
      <c r="B481" s="50" t="s">
        <v>2399</v>
      </c>
      <c r="C481" s="50" t="s">
        <v>1174</v>
      </c>
      <c r="D481" s="50">
        <v>10040901</v>
      </c>
      <c r="E481" s="50" t="s">
        <v>3286</v>
      </c>
      <c r="F481" s="50" t="s">
        <v>1173</v>
      </c>
      <c r="G481" s="50" t="s">
        <v>289</v>
      </c>
      <c r="H481" s="50" t="s">
        <v>141</v>
      </c>
      <c r="I481" s="50" t="s">
        <v>258</v>
      </c>
      <c r="J481" s="52">
        <v>65</v>
      </c>
      <c r="K481" s="54">
        <v>80</v>
      </c>
      <c r="L481" s="54">
        <v>3640</v>
      </c>
      <c r="M481" s="54">
        <v>24</v>
      </c>
      <c r="N481" s="56">
        <v>0.39639999999999997</v>
      </c>
      <c r="O481" s="50"/>
      <c r="P481" s="52">
        <v>236600</v>
      </c>
      <c r="Q481" s="54">
        <v>25</v>
      </c>
      <c r="R481" s="52">
        <v>14.56</v>
      </c>
      <c r="S481" s="52">
        <v>364</v>
      </c>
      <c r="T481" s="58"/>
      <c r="U481" s="54"/>
    </row>
    <row r="482" spans="1:21" x14ac:dyDescent="0.35">
      <c r="A482" s="51">
        <v>4008122</v>
      </c>
      <c r="B482" s="51" t="s">
        <v>2401</v>
      </c>
      <c r="C482" s="51" t="s">
        <v>1174</v>
      </c>
      <c r="D482" s="51">
        <v>10050701</v>
      </c>
      <c r="E482" s="51" t="s">
        <v>3320</v>
      </c>
      <c r="F482" s="51" t="s">
        <v>1173</v>
      </c>
      <c r="G482" s="51" t="s">
        <v>258</v>
      </c>
      <c r="H482" s="51"/>
      <c r="I482" s="51" t="s">
        <v>258</v>
      </c>
      <c r="J482" s="53">
        <v>9.5500000000000002E-2</v>
      </c>
      <c r="K482" s="55">
        <v>100</v>
      </c>
      <c r="L482" s="55">
        <v>2020</v>
      </c>
      <c r="M482" s="55">
        <v>23</v>
      </c>
      <c r="N482" s="57">
        <v>0.47510000000000002</v>
      </c>
      <c r="O482" s="51"/>
      <c r="P482" s="53">
        <v>181</v>
      </c>
      <c r="Q482" s="55">
        <v>20</v>
      </c>
      <c r="R482" s="53">
        <v>10</v>
      </c>
      <c r="S482" s="53">
        <v>220</v>
      </c>
      <c r="T482" s="59">
        <v>3</v>
      </c>
      <c r="U482" s="55">
        <v>1</v>
      </c>
    </row>
    <row r="483" spans="1:21" x14ac:dyDescent="0.35">
      <c r="A483" s="50">
        <v>4008123</v>
      </c>
      <c r="B483" s="50" t="s">
        <v>2403</v>
      </c>
      <c r="C483" s="50" t="s">
        <v>1174</v>
      </c>
      <c r="D483" s="50">
        <v>10050701</v>
      </c>
      <c r="E483" s="50" t="s">
        <v>3320</v>
      </c>
      <c r="F483" s="50" t="s">
        <v>1173</v>
      </c>
      <c r="G483" s="50" t="s">
        <v>258</v>
      </c>
      <c r="H483" s="50"/>
      <c r="I483" s="50" t="s">
        <v>258</v>
      </c>
      <c r="J483" s="52">
        <v>83.12</v>
      </c>
      <c r="K483" s="54">
        <v>67</v>
      </c>
      <c r="L483" s="54">
        <v>1403</v>
      </c>
      <c r="M483" s="54">
        <v>24</v>
      </c>
      <c r="N483" s="56">
        <v>0.44600000000000001</v>
      </c>
      <c r="O483" s="50"/>
      <c r="P483" s="52">
        <v>86200</v>
      </c>
      <c r="Q483" s="54">
        <v>35</v>
      </c>
      <c r="R483" s="52">
        <v>4</v>
      </c>
      <c r="S483" s="52">
        <v>140</v>
      </c>
      <c r="T483" s="58"/>
      <c r="U483" s="54"/>
    </row>
    <row r="484" spans="1:21" x14ac:dyDescent="0.35">
      <c r="A484" s="51">
        <v>4008133</v>
      </c>
      <c r="B484" s="51" t="s">
        <v>2407</v>
      </c>
      <c r="C484" s="51" t="s">
        <v>1174</v>
      </c>
      <c r="D484" s="51">
        <v>10030903</v>
      </c>
      <c r="E484" s="51" t="s">
        <v>3271</v>
      </c>
      <c r="F484" s="51" t="s">
        <v>1173</v>
      </c>
      <c r="G484" s="51" t="s">
        <v>258</v>
      </c>
      <c r="H484" s="51"/>
      <c r="I484" s="51" t="s">
        <v>258</v>
      </c>
      <c r="J484" s="53">
        <v>186.33</v>
      </c>
      <c r="K484" s="55">
        <v>84</v>
      </c>
      <c r="L484" s="55">
        <v>24</v>
      </c>
      <c r="M484" s="55">
        <v>4</v>
      </c>
      <c r="N484" s="57">
        <v>2.2361</v>
      </c>
      <c r="O484" s="51" t="s">
        <v>3230</v>
      </c>
      <c r="P484" s="53">
        <v>4560</v>
      </c>
      <c r="Q484" s="55">
        <v>1</v>
      </c>
      <c r="R484" s="53">
        <v>4</v>
      </c>
      <c r="S484" s="53">
        <v>4</v>
      </c>
      <c r="T484" s="59"/>
      <c r="U484" s="55"/>
    </row>
    <row r="485" spans="1:21" x14ac:dyDescent="0.35">
      <c r="A485" s="50">
        <v>4008142</v>
      </c>
      <c r="B485" s="50" t="s">
        <v>2409</v>
      </c>
      <c r="C485" s="50" t="s">
        <v>1174</v>
      </c>
      <c r="D485" s="50">
        <v>10050801</v>
      </c>
      <c r="E485" s="50" t="s">
        <v>3321</v>
      </c>
      <c r="F485" s="50" t="s">
        <v>1173</v>
      </c>
      <c r="G485" s="50" t="s">
        <v>258</v>
      </c>
      <c r="H485" s="50"/>
      <c r="I485" s="50" t="s">
        <v>258</v>
      </c>
      <c r="J485" s="52">
        <v>18.53</v>
      </c>
      <c r="K485" s="54">
        <v>110</v>
      </c>
      <c r="L485" s="54">
        <v>700</v>
      </c>
      <c r="M485" s="54">
        <v>24</v>
      </c>
      <c r="N485" s="56">
        <v>0.52290000000000003</v>
      </c>
      <c r="O485" s="50"/>
      <c r="P485" s="52">
        <v>12950</v>
      </c>
      <c r="Q485" s="54">
        <v>14</v>
      </c>
      <c r="R485" s="52">
        <v>5</v>
      </c>
      <c r="S485" s="52">
        <v>70</v>
      </c>
      <c r="T485" s="58"/>
      <c r="U485" s="54"/>
    </row>
    <row r="486" spans="1:21" x14ac:dyDescent="0.35">
      <c r="A486" s="51">
        <v>4008143</v>
      </c>
      <c r="B486" s="51" t="s">
        <v>2411</v>
      </c>
      <c r="C486" s="51" t="s">
        <v>1174</v>
      </c>
      <c r="D486" s="51">
        <v>10050801</v>
      </c>
      <c r="E486" s="51" t="s">
        <v>3321</v>
      </c>
      <c r="F486" s="51" t="s">
        <v>1173</v>
      </c>
      <c r="G486" s="51" t="s">
        <v>258</v>
      </c>
      <c r="H486" s="51"/>
      <c r="I486" s="51" t="s">
        <v>258</v>
      </c>
      <c r="J486" s="53">
        <v>31.5</v>
      </c>
      <c r="K486" s="55">
        <v>80</v>
      </c>
      <c r="L486" s="55">
        <v>330</v>
      </c>
      <c r="M486" s="55">
        <v>17</v>
      </c>
      <c r="N486" s="57">
        <v>0.91059999999999997</v>
      </c>
      <c r="O486" s="51"/>
      <c r="P486" s="53">
        <v>10080</v>
      </c>
      <c r="Q486" s="55">
        <v>8</v>
      </c>
      <c r="R486" s="53">
        <v>4</v>
      </c>
      <c r="S486" s="53">
        <v>32</v>
      </c>
      <c r="T486" s="59"/>
      <c r="U486" s="55"/>
    </row>
    <row r="487" spans="1:21" x14ac:dyDescent="0.35">
      <c r="A487" s="50">
        <v>4008145</v>
      </c>
      <c r="B487" s="50" t="s">
        <v>2413</v>
      </c>
      <c r="C487" s="50" t="s">
        <v>1174</v>
      </c>
      <c r="D487" s="50">
        <v>20040901</v>
      </c>
      <c r="E487" s="50" t="s">
        <v>3340</v>
      </c>
      <c r="F487" s="50" t="s">
        <v>1173</v>
      </c>
      <c r="G487" s="50" t="s">
        <v>258</v>
      </c>
      <c r="H487" s="50"/>
      <c r="I487" s="50" t="s">
        <v>258</v>
      </c>
      <c r="J487" s="52">
        <v>10.61</v>
      </c>
      <c r="K487" s="54">
        <v>2100</v>
      </c>
      <c r="L487" s="54">
        <v>11450</v>
      </c>
      <c r="M487" s="54">
        <v>21</v>
      </c>
      <c r="N487" s="56">
        <v>0.77370000000000005</v>
      </c>
      <c r="O487" s="50"/>
      <c r="P487" s="52">
        <v>63051.519999999997</v>
      </c>
      <c r="Q487" s="54">
        <v>19</v>
      </c>
      <c r="R487" s="52">
        <v>4</v>
      </c>
      <c r="S487" s="52">
        <v>76</v>
      </c>
      <c r="T487" s="58">
        <v>3</v>
      </c>
      <c r="U487" s="54">
        <v>1</v>
      </c>
    </row>
    <row r="488" spans="1:21" x14ac:dyDescent="0.35">
      <c r="A488" s="51">
        <v>4008148</v>
      </c>
      <c r="B488" s="51" t="s">
        <v>2415</v>
      </c>
      <c r="C488" s="51" t="s">
        <v>1174</v>
      </c>
      <c r="D488" s="51">
        <v>20040901</v>
      </c>
      <c r="E488" s="51" t="s">
        <v>3340</v>
      </c>
      <c r="F488" s="51" t="s">
        <v>1173</v>
      </c>
      <c r="G488" s="51" t="s">
        <v>258</v>
      </c>
      <c r="H488" s="51"/>
      <c r="I488" s="51" t="s">
        <v>258</v>
      </c>
      <c r="J488" s="53">
        <v>1.1293</v>
      </c>
      <c r="K488" s="55">
        <v>2360</v>
      </c>
      <c r="L488" s="55">
        <v>137050</v>
      </c>
      <c r="M488" s="55">
        <v>24</v>
      </c>
      <c r="N488" s="57">
        <v>0.1636</v>
      </c>
      <c r="O488" s="51"/>
      <c r="P488" s="53"/>
      <c r="Q488" s="55"/>
      <c r="R488" s="53"/>
      <c r="S488" s="53"/>
      <c r="T488" s="59"/>
      <c r="U488" s="55"/>
    </row>
    <row r="489" spans="1:21" x14ac:dyDescent="0.35">
      <c r="A489" s="50">
        <v>4008152</v>
      </c>
      <c r="B489" s="50" t="s">
        <v>2417</v>
      </c>
      <c r="C489" s="50" t="s">
        <v>1174</v>
      </c>
      <c r="D489" s="50">
        <v>10050404</v>
      </c>
      <c r="E489" s="50" t="s">
        <v>3301</v>
      </c>
      <c r="F489" s="50" t="s">
        <v>1173</v>
      </c>
      <c r="G489" s="50" t="s">
        <v>289</v>
      </c>
      <c r="H489" s="50"/>
      <c r="I489" s="50" t="s">
        <v>258</v>
      </c>
      <c r="J489" s="52">
        <v>197.35</v>
      </c>
      <c r="K489" s="54">
        <v>50</v>
      </c>
      <c r="L489" s="54">
        <v>230</v>
      </c>
      <c r="M489" s="54">
        <v>16</v>
      </c>
      <c r="N489" s="56">
        <v>0.82379999999999998</v>
      </c>
      <c r="O489" s="50"/>
      <c r="P489" s="52">
        <v>73800</v>
      </c>
      <c r="Q489" s="54">
        <v>12</v>
      </c>
      <c r="R489" s="52">
        <v>2</v>
      </c>
      <c r="S489" s="52">
        <v>22</v>
      </c>
      <c r="T489" s="58">
        <v>3</v>
      </c>
      <c r="U489" s="54">
        <v>1</v>
      </c>
    </row>
    <row r="490" spans="1:21" x14ac:dyDescent="0.35">
      <c r="A490" s="51">
        <v>4008157</v>
      </c>
      <c r="B490" s="51" t="s">
        <v>2419</v>
      </c>
      <c r="C490" s="51" t="s">
        <v>1174</v>
      </c>
      <c r="D490" s="51">
        <v>10030903</v>
      </c>
      <c r="E490" s="51" t="s">
        <v>3271</v>
      </c>
      <c r="F490" s="51" t="s">
        <v>1173</v>
      </c>
      <c r="G490" s="51" t="s">
        <v>258</v>
      </c>
      <c r="H490" s="51"/>
      <c r="I490" s="51" t="s">
        <v>258</v>
      </c>
      <c r="J490" s="53">
        <v>6.02</v>
      </c>
      <c r="K490" s="55">
        <v>229</v>
      </c>
      <c r="L490" s="55">
        <v>246</v>
      </c>
      <c r="M490" s="55">
        <v>24</v>
      </c>
      <c r="N490" s="57">
        <v>0.44550000000000001</v>
      </c>
      <c r="O490" s="51"/>
      <c r="P490" s="53">
        <v>1188.75</v>
      </c>
      <c r="Q490" s="55">
        <v>2</v>
      </c>
      <c r="R490" s="53">
        <v>3</v>
      </c>
      <c r="S490" s="53">
        <v>6</v>
      </c>
      <c r="T490" s="59"/>
      <c r="U490" s="55"/>
    </row>
    <row r="491" spans="1:21" x14ac:dyDescent="0.35">
      <c r="A491" s="50">
        <v>4008161</v>
      </c>
      <c r="B491" s="50" t="s">
        <v>2423</v>
      </c>
      <c r="C491" s="50" t="s">
        <v>1174</v>
      </c>
      <c r="D491" s="50">
        <v>10050505</v>
      </c>
      <c r="E491" s="50" t="s">
        <v>3306</v>
      </c>
      <c r="F491" s="50" t="s">
        <v>1173</v>
      </c>
      <c r="G491" s="50" t="s">
        <v>271</v>
      </c>
      <c r="H491" s="50"/>
      <c r="I491" s="50" t="s">
        <v>258</v>
      </c>
      <c r="J491" s="52">
        <v>3.83</v>
      </c>
      <c r="K491" s="54">
        <v>365</v>
      </c>
      <c r="L491" s="54">
        <v>20768</v>
      </c>
      <c r="M491" s="54">
        <v>24</v>
      </c>
      <c r="N491" s="56">
        <v>0.24199999999999999</v>
      </c>
      <c r="O491" s="50"/>
      <c r="P491" s="52"/>
      <c r="Q491" s="54"/>
      <c r="R491" s="52"/>
      <c r="S491" s="52"/>
      <c r="T491" s="58"/>
      <c r="U491" s="54"/>
    </row>
    <row r="492" spans="1:21" x14ac:dyDescent="0.35">
      <c r="A492" s="51">
        <v>4008184</v>
      </c>
      <c r="B492" s="51" t="s">
        <v>2425</v>
      </c>
      <c r="C492" s="51" t="s">
        <v>1174</v>
      </c>
      <c r="D492" s="51">
        <v>10050801</v>
      </c>
      <c r="E492" s="51" t="s">
        <v>3321</v>
      </c>
      <c r="F492" s="51" t="s">
        <v>1178</v>
      </c>
      <c r="G492" s="51" t="s">
        <v>271</v>
      </c>
      <c r="H492" s="51"/>
      <c r="I492" s="51" t="s">
        <v>258</v>
      </c>
      <c r="J492" s="53">
        <v>46.97</v>
      </c>
      <c r="K492" s="55">
        <v>85</v>
      </c>
      <c r="L492" s="55">
        <v>7022</v>
      </c>
      <c r="M492" s="55">
        <v>24</v>
      </c>
      <c r="N492" s="57">
        <v>0.17369999999999999</v>
      </c>
      <c r="O492" s="51"/>
      <c r="P492" s="53"/>
      <c r="Q492" s="55"/>
      <c r="R492" s="53"/>
      <c r="S492" s="53"/>
      <c r="T492" s="59"/>
      <c r="U492" s="55"/>
    </row>
    <row r="493" spans="1:21" x14ac:dyDescent="0.35">
      <c r="A493" s="50">
        <v>4008194</v>
      </c>
      <c r="B493" s="50" t="s">
        <v>2427</v>
      </c>
      <c r="C493" s="50" t="s">
        <v>1174</v>
      </c>
      <c r="D493" s="50">
        <v>10050801</v>
      </c>
      <c r="E493" s="50" t="s">
        <v>3321</v>
      </c>
      <c r="F493" s="50" t="s">
        <v>1178</v>
      </c>
      <c r="G493" s="50" t="s">
        <v>258</v>
      </c>
      <c r="H493" s="50"/>
      <c r="I493" s="50" t="s">
        <v>258</v>
      </c>
      <c r="J493" s="52">
        <v>5</v>
      </c>
      <c r="K493" s="54">
        <v>158</v>
      </c>
      <c r="L493" s="54">
        <v>838</v>
      </c>
      <c r="M493" s="54">
        <v>22</v>
      </c>
      <c r="N493" s="56">
        <v>0.70089999999999997</v>
      </c>
      <c r="O493" s="50"/>
      <c r="P493" s="52">
        <v>3960</v>
      </c>
      <c r="Q493" s="54">
        <v>7</v>
      </c>
      <c r="R493" s="52">
        <v>9.43</v>
      </c>
      <c r="S493" s="52">
        <v>66</v>
      </c>
      <c r="T493" s="58"/>
      <c r="U493" s="54"/>
    </row>
    <row r="494" spans="1:21" x14ac:dyDescent="0.35">
      <c r="A494" s="51">
        <v>4008197</v>
      </c>
      <c r="B494" s="51" t="s">
        <v>2429</v>
      </c>
      <c r="C494" s="51" t="s">
        <v>1174</v>
      </c>
      <c r="D494" s="51">
        <v>10050801</v>
      </c>
      <c r="E494" s="51" t="s">
        <v>3321</v>
      </c>
      <c r="F494" s="51" t="s">
        <v>1178</v>
      </c>
      <c r="G494" s="51" t="s">
        <v>258</v>
      </c>
      <c r="H494" s="51"/>
      <c r="I494" s="51" t="s">
        <v>258</v>
      </c>
      <c r="J494" s="53">
        <v>14.5</v>
      </c>
      <c r="K494" s="55">
        <v>36</v>
      </c>
      <c r="L494" s="55">
        <v>1784</v>
      </c>
      <c r="M494" s="55">
        <v>24</v>
      </c>
      <c r="N494" s="57">
        <v>0.32400000000000001</v>
      </c>
      <c r="O494" s="51"/>
      <c r="P494" s="53">
        <v>21460</v>
      </c>
      <c r="Q494" s="55">
        <v>37</v>
      </c>
      <c r="R494" s="53">
        <v>10</v>
      </c>
      <c r="S494" s="53">
        <v>370</v>
      </c>
      <c r="T494" s="59"/>
      <c r="U494" s="55"/>
    </row>
    <row r="495" spans="1:21" x14ac:dyDescent="0.35">
      <c r="A495" s="50">
        <v>4008198</v>
      </c>
      <c r="B495" s="50" t="s">
        <v>2431</v>
      </c>
      <c r="C495" s="50" t="s">
        <v>1174</v>
      </c>
      <c r="D495" s="50">
        <v>10050801</v>
      </c>
      <c r="E495" s="50" t="s">
        <v>3321</v>
      </c>
      <c r="F495" s="50" t="s">
        <v>1178</v>
      </c>
      <c r="G495" s="50" t="s">
        <v>258</v>
      </c>
      <c r="H495" s="50"/>
      <c r="I495" s="50" t="s">
        <v>258</v>
      </c>
      <c r="J495" s="52">
        <v>15.12</v>
      </c>
      <c r="K495" s="54">
        <v>222</v>
      </c>
      <c r="L495" s="54">
        <v>972</v>
      </c>
      <c r="M495" s="54">
        <v>24</v>
      </c>
      <c r="N495" s="56">
        <v>0.43459999999999999</v>
      </c>
      <c r="O495" s="50"/>
      <c r="P495" s="52">
        <v>16092</v>
      </c>
      <c r="Q495" s="54">
        <v>9</v>
      </c>
      <c r="R495" s="52">
        <v>20</v>
      </c>
      <c r="S495" s="52">
        <v>180</v>
      </c>
      <c r="T495" s="58"/>
      <c r="U495" s="54"/>
    </row>
    <row r="496" spans="1:21" x14ac:dyDescent="0.35">
      <c r="A496" s="51">
        <v>4008201</v>
      </c>
      <c r="B496" s="51" t="s">
        <v>2433</v>
      </c>
      <c r="C496" s="51" t="s">
        <v>1174</v>
      </c>
      <c r="D496" s="51">
        <v>10050404</v>
      </c>
      <c r="E496" s="51" t="s">
        <v>3301</v>
      </c>
      <c r="F496" s="51" t="s">
        <v>1173</v>
      </c>
      <c r="G496" s="51" t="s">
        <v>271</v>
      </c>
      <c r="H496" s="51"/>
      <c r="I496" s="51" t="s">
        <v>258</v>
      </c>
      <c r="J496" s="53">
        <v>16.54</v>
      </c>
      <c r="K496" s="55">
        <v>646</v>
      </c>
      <c r="L496" s="55">
        <v>39504</v>
      </c>
      <c r="M496" s="55">
        <v>24</v>
      </c>
      <c r="N496" s="57">
        <v>0.19070000000000001</v>
      </c>
      <c r="O496" s="51"/>
      <c r="P496" s="53"/>
      <c r="Q496" s="55"/>
      <c r="R496" s="53"/>
      <c r="S496" s="53"/>
      <c r="T496" s="59"/>
      <c r="U496" s="55"/>
    </row>
    <row r="497" spans="1:21" x14ac:dyDescent="0.35">
      <c r="A497" s="50">
        <v>4008204</v>
      </c>
      <c r="B497" s="50" t="s">
        <v>2437</v>
      </c>
      <c r="C497" s="50" t="s">
        <v>1174</v>
      </c>
      <c r="D497" s="50">
        <v>10050701</v>
      </c>
      <c r="E497" s="50" t="s">
        <v>3320</v>
      </c>
      <c r="F497" s="50" t="s">
        <v>1173</v>
      </c>
      <c r="G497" s="50" t="s">
        <v>258</v>
      </c>
      <c r="H497" s="50"/>
      <c r="I497" s="50" t="s">
        <v>258</v>
      </c>
      <c r="J497" s="52">
        <v>0.01</v>
      </c>
      <c r="K497" s="54">
        <v>60</v>
      </c>
      <c r="L497" s="54">
        <v>80</v>
      </c>
      <c r="M497" s="54">
        <v>8</v>
      </c>
      <c r="N497" s="56">
        <v>2.0156000000000001</v>
      </c>
      <c r="O497" s="50"/>
      <c r="P497" s="52">
        <v>3780.06</v>
      </c>
      <c r="Q497" s="54">
        <v>3</v>
      </c>
      <c r="R497" s="52">
        <v>6</v>
      </c>
      <c r="S497" s="52">
        <v>24</v>
      </c>
      <c r="T497" s="58">
        <v>3</v>
      </c>
      <c r="U497" s="54">
        <v>1</v>
      </c>
    </row>
    <row r="498" spans="1:21" x14ac:dyDescent="0.35">
      <c r="A498" s="51">
        <v>4008206</v>
      </c>
      <c r="B498" s="51" t="s">
        <v>2439</v>
      </c>
      <c r="C498" s="51" t="s">
        <v>1174</v>
      </c>
      <c r="D498" s="51">
        <v>10050404</v>
      </c>
      <c r="E498" s="51" t="s">
        <v>3301</v>
      </c>
      <c r="F498" s="51" t="s">
        <v>1173</v>
      </c>
      <c r="G498" s="51" t="s">
        <v>258</v>
      </c>
      <c r="H498" s="51" t="s">
        <v>24</v>
      </c>
      <c r="I498" s="51" t="s">
        <v>258</v>
      </c>
      <c r="J498" s="53">
        <v>101.59</v>
      </c>
      <c r="K498" s="55">
        <v>90</v>
      </c>
      <c r="L498" s="55">
        <v>345</v>
      </c>
      <c r="M498" s="55">
        <v>22</v>
      </c>
      <c r="N498" s="57">
        <v>0.65310000000000001</v>
      </c>
      <c r="O498" s="51"/>
      <c r="P498" s="53">
        <v>33402.839999999997</v>
      </c>
      <c r="Q498" s="55">
        <v>11</v>
      </c>
      <c r="R498" s="53">
        <v>6</v>
      </c>
      <c r="S498" s="53">
        <v>66</v>
      </c>
      <c r="T498" s="59"/>
      <c r="U498" s="55"/>
    </row>
    <row r="499" spans="1:21" x14ac:dyDescent="0.35">
      <c r="A499" s="50">
        <v>4008211</v>
      </c>
      <c r="B499" s="50" t="s">
        <v>2443</v>
      </c>
      <c r="C499" s="50" t="s">
        <v>1174</v>
      </c>
      <c r="D499" s="50">
        <v>10050404</v>
      </c>
      <c r="E499" s="50" t="s">
        <v>3301</v>
      </c>
      <c r="F499" s="50" t="s">
        <v>1173</v>
      </c>
      <c r="G499" s="50" t="s">
        <v>258</v>
      </c>
      <c r="H499" s="50"/>
      <c r="I499" s="50" t="s">
        <v>258</v>
      </c>
      <c r="J499" s="52">
        <v>198.13</v>
      </c>
      <c r="K499" s="54">
        <v>90</v>
      </c>
      <c r="L499" s="54">
        <v>680</v>
      </c>
      <c r="M499" s="54">
        <v>19</v>
      </c>
      <c r="N499" s="56">
        <v>1.1295999999999999</v>
      </c>
      <c r="O499" s="50"/>
      <c r="P499" s="52">
        <v>117884.4</v>
      </c>
      <c r="Q499" s="54">
        <v>6</v>
      </c>
      <c r="R499" s="52">
        <v>2</v>
      </c>
      <c r="S499" s="52">
        <v>12</v>
      </c>
      <c r="T499" s="58"/>
      <c r="U499" s="54"/>
    </row>
    <row r="500" spans="1:21" x14ac:dyDescent="0.35">
      <c r="A500" s="51">
        <v>4008212</v>
      </c>
      <c r="B500" s="51" t="s">
        <v>2445</v>
      </c>
      <c r="C500" s="51" t="s">
        <v>1174</v>
      </c>
      <c r="D500" s="51">
        <v>10050404</v>
      </c>
      <c r="E500" s="51" t="s">
        <v>3301</v>
      </c>
      <c r="F500" s="51" t="s">
        <v>1173</v>
      </c>
      <c r="G500" s="51" t="s">
        <v>258</v>
      </c>
      <c r="H500" s="51"/>
      <c r="I500" s="51" t="s">
        <v>258</v>
      </c>
      <c r="J500" s="53">
        <v>111.58</v>
      </c>
      <c r="K500" s="55">
        <v>50</v>
      </c>
      <c r="L500" s="55">
        <v>1340</v>
      </c>
      <c r="M500" s="55">
        <v>24</v>
      </c>
      <c r="N500" s="57">
        <v>0.32050000000000001</v>
      </c>
      <c r="O500" s="51"/>
      <c r="P500" s="53">
        <v>216468.8</v>
      </c>
      <c r="Q500" s="55">
        <v>11</v>
      </c>
      <c r="R500" s="53">
        <v>2</v>
      </c>
      <c r="S500" s="53">
        <v>22</v>
      </c>
      <c r="T500" s="59"/>
      <c r="U500" s="55"/>
    </row>
    <row r="501" spans="1:21" x14ac:dyDescent="0.35">
      <c r="A501" s="50">
        <v>4008213</v>
      </c>
      <c r="B501" s="50" t="s">
        <v>2447</v>
      </c>
      <c r="C501" s="50" t="s">
        <v>1174</v>
      </c>
      <c r="D501" s="50">
        <v>10050404</v>
      </c>
      <c r="E501" s="50" t="s">
        <v>3301</v>
      </c>
      <c r="F501" s="50" t="s">
        <v>1173</v>
      </c>
      <c r="G501" s="50" t="s">
        <v>258</v>
      </c>
      <c r="H501" s="50"/>
      <c r="I501" s="50" t="s">
        <v>258</v>
      </c>
      <c r="J501" s="52">
        <v>106.21</v>
      </c>
      <c r="K501" s="54">
        <v>75</v>
      </c>
      <c r="L501" s="54">
        <v>1215</v>
      </c>
      <c r="M501" s="54">
        <v>24</v>
      </c>
      <c r="N501" s="56">
        <v>0.42609999999999998</v>
      </c>
      <c r="O501" s="50"/>
      <c r="P501" s="52">
        <v>196647.7</v>
      </c>
      <c r="Q501" s="54">
        <v>10</v>
      </c>
      <c r="R501" s="52">
        <v>2</v>
      </c>
      <c r="S501" s="52">
        <v>20</v>
      </c>
      <c r="T501" s="58"/>
      <c r="U501" s="54"/>
    </row>
    <row r="502" spans="1:21" x14ac:dyDescent="0.35">
      <c r="A502" s="51">
        <v>4008214</v>
      </c>
      <c r="B502" s="51" t="s">
        <v>2449</v>
      </c>
      <c r="C502" s="51" t="s">
        <v>1174</v>
      </c>
      <c r="D502" s="51">
        <v>10050404</v>
      </c>
      <c r="E502" s="51" t="s">
        <v>3301</v>
      </c>
      <c r="F502" s="51" t="s">
        <v>1173</v>
      </c>
      <c r="G502" s="51" t="s">
        <v>258</v>
      </c>
      <c r="H502" s="51"/>
      <c r="I502" s="51" t="s">
        <v>258</v>
      </c>
      <c r="J502" s="53">
        <v>151.85</v>
      </c>
      <c r="K502" s="55">
        <v>110</v>
      </c>
      <c r="L502" s="55">
        <v>330</v>
      </c>
      <c r="M502" s="55">
        <v>19</v>
      </c>
      <c r="N502" s="57">
        <v>0.86080000000000001</v>
      </c>
      <c r="O502" s="51"/>
      <c r="P502" s="53">
        <v>19821.099999999999</v>
      </c>
      <c r="Q502" s="55">
        <v>1</v>
      </c>
      <c r="R502" s="53">
        <v>2</v>
      </c>
      <c r="S502" s="53">
        <v>2</v>
      </c>
      <c r="T502" s="59"/>
      <c r="U502" s="55"/>
    </row>
    <row r="503" spans="1:21" x14ac:dyDescent="0.35">
      <c r="A503" s="50">
        <v>4008239</v>
      </c>
      <c r="B503" s="50" t="s">
        <v>2457</v>
      </c>
      <c r="C503" s="50" t="s">
        <v>1174</v>
      </c>
      <c r="D503" s="50">
        <v>10050801</v>
      </c>
      <c r="E503" s="50" t="s">
        <v>3321</v>
      </c>
      <c r="F503" s="50" t="s">
        <v>1178</v>
      </c>
      <c r="G503" s="50" t="s">
        <v>289</v>
      </c>
      <c r="H503" s="50"/>
      <c r="I503" s="50" t="s">
        <v>258</v>
      </c>
      <c r="J503" s="52">
        <v>52.22</v>
      </c>
      <c r="K503" s="54">
        <v>91</v>
      </c>
      <c r="L503" s="54">
        <v>4112</v>
      </c>
      <c r="M503" s="54">
        <v>24</v>
      </c>
      <c r="N503" s="56">
        <v>0.441</v>
      </c>
      <c r="O503" s="50"/>
      <c r="P503" s="52"/>
      <c r="Q503" s="54"/>
      <c r="R503" s="52"/>
      <c r="S503" s="52"/>
      <c r="T503" s="58"/>
      <c r="U503" s="54"/>
    </row>
    <row r="504" spans="1:21" x14ac:dyDescent="0.35">
      <c r="A504" s="51">
        <v>4008247</v>
      </c>
      <c r="B504" s="51" t="s">
        <v>2461</v>
      </c>
      <c r="C504" s="51" t="s">
        <v>1174</v>
      </c>
      <c r="D504" s="51">
        <v>10050108</v>
      </c>
      <c r="E504" s="51" t="s">
        <v>3293</v>
      </c>
      <c r="F504" s="51" t="s">
        <v>1173</v>
      </c>
      <c r="G504" s="51" t="s">
        <v>289</v>
      </c>
      <c r="H504" s="51"/>
      <c r="I504" s="51" t="s">
        <v>258</v>
      </c>
      <c r="J504" s="53">
        <v>11.57</v>
      </c>
      <c r="K504" s="55">
        <v>1350</v>
      </c>
      <c r="L504" s="55">
        <v>15150</v>
      </c>
      <c r="M504" s="55">
        <v>24</v>
      </c>
      <c r="N504" s="57">
        <v>0.40250000000000002</v>
      </c>
      <c r="O504" s="51"/>
      <c r="P504" s="53">
        <v>135000</v>
      </c>
      <c r="Q504" s="55">
        <v>35</v>
      </c>
      <c r="R504" s="53">
        <v>8</v>
      </c>
      <c r="S504" s="53">
        <v>288</v>
      </c>
      <c r="T504" s="59"/>
      <c r="U504" s="55"/>
    </row>
    <row r="505" spans="1:21" x14ac:dyDescent="0.35">
      <c r="A505" s="50">
        <v>4008254</v>
      </c>
      <c r="B505" s="50" t="s">
        <v>2467</v>
      </c>
      <c r="C505" s="50" t="s">
        <v>1174</v>
      </c>
      <c r="D505" s="50">
        <v>10050108</v>
      </c>
      <c r="E505" s="50" t="s">
        <v>3293</v>
      </c>
      <c r="F505" s="50" t="s">
        <v>1173</v>
      </c>
      <c r="G505" s="50" t="s">
        <v>258</v>
      </c>
      <c r="H505" s="50"/>
      <c r="I505" s="50" t="s">
        <v>258</v>
      </c>
      <c r="J505" s="52">
        <v>151.56</v>
      </c>
      <c r="K505" s="54">
        <v>123</v>
      </c>
      <c r="L505" s="54">
        <v>559</v>
      </c>
      <c r="M505" s="54">
        <v>24</v>
      </c>
      <c r="N505" s="56">
        <v>0.52790000000000004</v>
      </c>
      <c r="O505" s="50"/>
      <c r="P505" s="52">
        <v>68541.600000000006</v>
      </c>
      <c r="Q505" s="54">
        <v>15</v>
      </c>
      <c r="R505" s="52">
        <v>4</v>
      </c>
      <c r="S505" s="52">
        <v>60</v>
      </c>
      <c r="T505" s="58"/>
      <c r="U505" s="54"/>
    </row>
    <row r="506" spans="1:21" x14ac:dyDescent="0.35">
      <c r="A506" s="51">
        <v>4008258</v>
      </c>
      <c r="B506" s="51" t="s">
        <v>2469</v>
      </c>
      <c r="C506" s="51" t="s">
        <v>1174</v>
      </c>
      <c r="D506" s="51">
        <v>10030904</v>
      </c>
      <c r="E506" s="51" t="s">
        <v>3272</v>
      </c>
      <c r="F506" s="51" t="s">
        <v>1173</v>
      </c>
      <c r="G506" s="51" t="s">
        <v>258</v>
      </c>
      <c r="H506" s="51" t="s">
        <v>141</v>
      </c>
      <c r="I506" s="51" t="s">
        <v>258</v>
      </c>
      <c r="J506" s="53">
        <v>18.010000000000002</v>
      </c>
      <c r="K506" s="55">
        <v>410</v>
      </c>
      <c r="L506" s="55">
        <v>1134</v>
      </c>
      <c r="M506" s="55">
        <v>22</v>
      </c>
      <c r="N506" s="57">
        <v>0.6905</v>
      </c>
      <c r="O506" s="51"/>
      <c r="P506" s="53">
        <v>4530</v>
      </c>
      <c r="Q506" s="55">
        <v>1</v>
      </c>
      <c r="R506" s="53">
        <v>12</v>
      </c>
      <c r="S506" s="53">
        <v>12</v>
      </c>
      <c r="T506" s="59"/>
      <c r="U506" s="55"/>
    </row>
    <row r="507" spans="1:21" x14ac:dyDescent="0.35">
      <c r="A507" s="50">
        <v>4008259</v>
      </c>
      <c r="B507" s="50" t="s">
        <v>2471</v>
      </c>
      <c r="C507" s="50" t="s">
        <v>1174</v>
      </c>
      <c r="D507" s="50">
        <v>10050108</v>
      </c>
      <c r="E507" s="50" t="s">
        <v>3293</v>
      </c>
      <c r="F507" s="50" t="s">
        <v>1173</v>
      </c>
      <c r="G507" s="50" t="s">
        <v>289</v>
      </c>
      <c r="H507" s="50"/>
      <c r="I507" s="50" t="s">
        <v>271</v>
      </c>
      <c r="J507" s="52">
        <v>11.65</v>
      </c>
      <c r="K507" s="54">
        <v>180</v>
      </c>
      <c r="L507" s="54">
        <v>12925</v>
      </c>
      <c r="M507" s="54">
        <v>24</v>
      </c>
      <c r="N507" s="56">
        <v>0.27400000000000002</v>
      </c>
      <c r="O507" s="50"/>
      <c r="P507" s="52"/>
      <c r="Q507" s="54"/>
      <c r="R507" s="52"/>
      <c r="S507" s="52"/>
      <c r="T507" s="58"/>
      <c r="U507" s="54"/>
    </row>
    <row r="508" spans="1:21" x14ac:dyDescent="0.35">
      <c r="A508" s="51">
        <v>4008263</v>
      </c>
      <c r="B508" s="51" t="s">
        <v>2473</v>
      </c>
      <c r="C508" s="51" t="s">
        <v>1174</v>
      </c>
      <c r="D508" s="51">
        <v>10060499</v>
      </c>
      <c r="E508" s="51" t="s">
        <v>3329</v>
      </c>
      <c r="F508" s="51" t="s">
        <v>1173</v>
      </c>
      <c r="G508" s="51" t="s">
        <v>258</v>
      </c>
      <c r="H508" s="51"/>
      <c r="I508" s="51" t="s">
        <v>258</v>
      </c>
      <c r="J508" s="53">
        <v>0.29959999999999998</v>
      </c>
      <c r="K508" s="55">
        <v>150</v>
      </c>
      <c r="L508" s="55">
        <v>720</v>
      </c>
      <c r="M508" s="55">
        <v>14</v>
      </c>
      <c r="N508" s="57">
        <v>1.1901999999999999</v>
      </c>
      <c r="O508" s="51"/>
      <c r="P508" s="53">
        <v>210</v>
      </c>
      <c r="Q508" s="55">
        <v>6</v>
      </c>
      <c r="R508" s="53">
        <v>4</v>
      </c>
      <c r="S508" s="53">
        <v>24</v>
      </c>
      <c r="T508" s="59"/>
      <c r="U508" s="55"/>
    </row>
    <row r="509" spans="1:21" x14ac:dyDescent="0.35">
      <c r="A509" s="50">
        <v>4008265</v>
      </c>
      <c r="B509" s="50" t="s">
        <v>2475</v>
      </c>
      <c r="C509" s="50" t="s">
        <v>1174</v>
      </c>
      <c r="D509" s="50">
        <v>10050609</v>
      </c>
      <c r="E509" s="50" t="s">
        <v>3317</v>
      </c>
      <c r="F509" s="50" t="s">
        <v>1173</v>
      </c>
      <c r="G509" s="50" t="s">
        <v>258</v>
      </c>
      <c r="H509" s="50"/>
      <c r="I509" s="50" t="s">
        <v>258</v>
      </c>
      <c r="J509" s="52">
        <v>22.62</v>
      </c>
      <c r="K509" s="54">
        <v>193</v>
      </c>
      <c r="L509" s="54">
        <v>549</v>
      </c>
      <c r="M509" s="54">
        <v>11</v>
      </c>
      <c r="N509" s="56">
        <v>1.4147000000000001</v>
      </c>
      <c r="O509" s="50"/>
      <c r="P509" s="52">
        <v>8875</v>
      </c>
      <c r="Q509" s="54">
        <v>5</v>
      </c>
      <c r="R509" s="52">
        <v>1.8</v>
      </c>
      <c r="S509" s="52">
        <v>9</v>
      </c>
      <c r="T509" s="58"/>
      <c r="U509" s="54"/>
    </row>
    <row r="510" spans="1:21" x14ac:dyDescent="0.35">
      <c r="A510" s="51">
        <v>4008266</v>
      </c>
      <c r="B510" s="51" t="s">
        <v>2477</v>
      </c>
      <c r="C510" s="51" t="s">
        <v>1174</v>
      </c>
      <c r="D510" s="51">
        <v>10050609</v>
      </c>
      <c r="E510" s="51" t="s">
        <v>3317</v>
      </c>
      <c r="F510" s="51" t="s">
        <v>1173</v>
      </c>
      <c r="G510" s="51" t="s">
        <v>258</v>
      </c>
      <c r="H510" s="51"/>
      <c r="I510" s="51" t="s">
        <v>258</v>
      </c>
      <c r="J510" s="53">
        <v>10.66</v>
      </c>
      <c r="K510" s="55">
        <v>60</v>
      </c>
      <c r="L510" s="55">
        <v>2742</v>
      </c>
      <c r="M510" s="55">
        <v>24</v>
      </c>
      <c r="N510" s="57">
        <v>0.3821</v>
      </c>
      <c r="O510" s="51"/>
      <c r="P510" s="53">
        <v>2286</v>
      </c>
      <c r="Q510" s="55">
        <v>4</v>
      </c>
      <c r="R510" s="53">
        <v>1</v>
      </c>
      <c r="S510" s="53">
        <v>4</v>
      </c>
      <c r="T510" s="59"/>
      <c r="U510" s="55"/>
    </row>
    <row r="511" spans="1:21" x14ac:dyDescent="0.35">
      <c r="A511" s="50">
        <v>4008267</v>
      </c>
      <c r="B511" s="50" t="s">
        <v>2479</v>
      </c>
      <c r="C511" s="50" t="s">
        <v>1174</v>
      </c>
      <c r="D511" s="50">
        <v>10050506</v>
      </c>
      <c r="E511" s="50" t="s">
        <v>3307</v>
      </c>
      <c r="F511" s="50" t="s">
        <v>1173</v>
      </c>
      <c r="G511" s="50" t="s">
        <v>271</v>
      </c>
      <c r="H511" s="50"/>
      <c r="I511" s="50" t="s">
        <v>258</v>
      </c>
      <c r="J511" s="52">
        <v>25.99</v>
      </c>
      <c r="K511" s="54">
        <v>590</v>
      </c>
      <c r="L511" s="54">
        <v>40005</v>
      </c>
      <c r="M511" s="54">
        <v>24</v>
      </c>
      <c r="N511" s="56">
        <v>0.16059999999999999</v>
      </c>
      <c r="O511" s="50"/>
      <c r="P511" s="52"/>
      <c r="Q511" s="54"/>
      <c r="R511" s="52"/>
      <c r="S511" s="52"/>
      <c r="T511" s="58"/>
      <c r="U511" s="54"/>
    </row>
    <row r="512" spans="1:21" x14ac:dyDescent="0.35">
      <c r="A512" s="51">
        <v>4008272</v>
      </c>
      <c r="B512" s="51" t="s">
        <v>2481</v>
      </c>
      <c r="C512" s="51" t="s">
        <v>1174</v>
      </c>
      <c r="D512" s="51">
        <v>10030903</v>
      </c>
      <c r="E512" s="51" t="s">
        <v>3271</v>
      </c>
      <c r="F512" s="51" t="s">
        <v>1173</v>
      </c>
      <c r="G512" s="51" t="s">
        <v>289</v>
      </c>
      <c r="H512" s="51"/>
      <c r="I512" s="51" t="s">
        <v>258</v>
      </c>
      <c r="J512" s="53">
        <v>98.64</v>
      </c>
      <c r="K512" s="55">
        <v>175</v>
      </c>
      <c r="L512" s="55">
        <v>3900</v>
      </c>
      <c r="M512" s="55">
        <v>24</v>
      </c>
      <c r="N512" s="57">
        <v>0.29120000000000001</v>
      </c>
      <c r="O512" s="51"/>
      <c r="P512" s="53">
        <v>377905</v>
      </c>
      <c r="Q512" s="55">
        <v>40</v>
      </c>
      <c r="R512" s="53">
        <v>1.59</v>
      </c>
      <c r="S512" s="53">
        <v>62.5</v>
      </c>
      <c r="T512" s="59"/>
      <c r="U512" s="55"/>
    </row>
    <row r="513" spans="1:21" x14ac:dyDescent="0.35">
      <c r="A513" s="50">
        <v>4008274</v>
      </c>
      <c r="B513" s="50" t="s">
        <v>2483</v>
      </c>
      <c r="C513" s="50" t="s">
        <v>1174</v>
      </c>
      <c r="D513" s="50">
        <v>10050108</v>
      </c>
      <c r="E513" s="50" t="s">
        <v>3293</v>
      </c>
      <c r="F513" s="50" t="s">
        <v>1173</v>
      </c>
      <c r="G513" s="50" t="s">
        <v>258</v>
      </c>
      <c r="H513" s="50"/>
      <c r="I513" s="50" t="s">
        <v>258</v>
      </c>
      <c r="J513" s="52">
        <v>21.9</v>
      </c>
      <c r="K513" s="54">
        <v>39</v>
      </c>
      <c r="L513" s="54">
        <v>857</v>
      </c>
      <c r="M513" s="54">
        <v>10</v>
      </c>
      <c r="N513" s="56">
        <v>1.7209000000000001</v>
      </c>
      <c r="O513" s="50"/>
      <c r="P513" s="52"/>
      <c r="Q513" s="54"/>
      <c r="R513" s="52"/>
      <c r="S513" s="52"/>
      <c r="T513" s="58"/>
      <c r="U513" s="54"/>
    </row>
    <row r="514" spans="1:21" x14ac:dyDescent="0.35">
      <c r="A514" s="51">
        <v>4008276</v>
      </c>
      <c r="B514" s="51" t="s">
        <v>2485</v>
      </c>
      <c r="C514" s="51" t="s">
        <v>1174</v>
      </c>
      <c r="D514" s="51">
        <v>10050103</v>
      </c>
      <c r="E514" s="51" t="s">
        <v>3290</v>
      </c>
      <c r="F514" s="51" t="s">
        <v>1173</v>
      </c>
      <c r="G514" s="51" t="s">
        <v>258</v>
      </c>
      <c r="H514" s="51" t="s">
        <v>24</v>
      </c>
      <c r="I514" s="51" t="s">
        <v>258</v>
      </c>
      <c r="J514" s="53">
        <v>137.16</v>
      </c>
      <c r="K514" s="55">
        <v>163</v>
      </c>
      <c r="L514" s="55">
        <v>330</v>
      </c>
      <c r="M514" s="55">
        <v>18</v>
      </c>
      <c r="N514" s="57">
        <v>1.2150000000000001</v>
      </c>
      <c r="O514" s="51"/>
      <c r="P514" s="53">
        <v>24000</v>
      </c>
      <c r="Q514" s="55">
        <v>3</v>
      </c>
      <c r="R514" s="53">
        <v>2</v>
      </c>
      <c r="S514" s="53">
        <v>6</v>
      </c>
      <c r="T514" s="59">
        <v>3</v>
      </c>
      <c r="U514" s="55">
        <v>1</v>
      </c>
    </row>
    <row r="515" spans="1:21" x14ac:dyDescent="0.35">
      <c r="A515" s="50">
        <v>4008277</v>
      </c>
      <c r="B515" s="50" t="s">
        <v>2487</v>
      </c>
      <c r="C515" s="50" t="s">
        <v>1174</v>
      </c>
      <c r="D515" s="50">
        <v>10060511</v>
      </c>
      <c r="E515" s="50" t="s">
        <v>3332</v>
      </c>
      <c r="F515" s="50" t="s">
        <v>1173</v>
      </c>
      <c r="G515" s="50" t="s">
        <v>258</v>
      </c>
      <c r="H515" s="50"/>
      <c r="I515" s="50" t="s">
        <v>258</v>
      </c>
      <c r="J515" s="52">
        <v>85.08</v>
      </c>
      <c r="K515" s="54">
        <v>169</v>
      </c>
      <c r="L515" s="54">
        <v>38</v>
      </c>
      <c r="M515" s="54">
        <v>3</v>
      </c>
      <c r="N515" s="56">
        <v>2.8938000000000001</v>
      </c>
      <c r="O515" s="50" t="s">
        <v>3230</v>
      </c>
      <c r="P515" s="52"/>
      <c r="Q515" s="54"/>
      <c r="R515" s="52"/>
      <c r="S515" s="52"/>
      <c r="T515" s="58"/>
      <c r="U515" s="54"/>
    </row>
    <row r="516" spans="1:21" x14ac:dyDescent="0.35">
      <c r="A516" s="51">
        <v>4008278</v>
      </c>
      <c r="B516" s="51" t="s">
        <v>2489</v>
      </c>
      <c r="C516" s="51" t="s">
        <v>1174</v>
      </c>
      <c r="D516" s="51">
        <v>10060511</v>
      </c>
      <c r="E516" s="51" t="s">
        <v>3332</v>
      </c>
      <c r="F516" s="51" t="s">
        <v>1173</v>
      </c>
      <c r="G516" s="51" t="s">
        <v>258</v>
      </c>
      <c r="H516" s="51"/>
      <c r="I516" s="51" t="s">
        <v>258</v>
      </c>
      <c r="J516" s="53">
        <v>460.92</v>
      </c>
      <c r="K516" s="55">
        <v>160</v>
      </c>
      <c r="L516" s="55">
        <v>98</v>
      </c>
      <c r="M516" s="55">
        <v>9</v>
      </c>
      <c r="N516" s="57">
        <v>1.5127999999999999</v>
      </c>
      <c r="O516" s="51"/>
      <c r="P516" s="53">
        <v>48448</v>
      </c>
      <c r="Q516" s="55">
        <v>2</v>
      </c>
      <c r="R516" s="53">
        <v>3</v>
      </c>
      <c r="S516" s="53">
        <v>6</v>
      </c>
      <c r="T516" s="59"/>
      <c r="U516" s="55"/>
    </row>
    <row r="517" spans="1:21" x14ac:dyDescent="0.35">
      <c r="A517" s="50">
        <v>4008279</v>
      </c>
      <c r="B517" s="50" t="s">
        <v>2491</v>
      </c>
      <c r="C517" s="50" t="s">
        <v>1174</v>
      </c>
      <c r="D517" s="50">
        <v>10060511</v>
      </c>
      <c r="E517" s="50" t="s">
        <v>3332</v>
      </c>
      <c r="F517" s="50" t="s">
        <v>1173</v>
      </c>
      <c r="G517" s="50" t="s">
        <v>271</v>
      </c>
      <c r="H517" s="50" t="s">
        <v>24</v>
      </c>
      <c r="I517" s="50" t="s">
        <v>258</v>
      </c>
      <c r="J517" s="52">
        <v>493.45</v>
      </c>
      <c r="K517" s="54">
        <v>131</v>
      </c>
      <c r="L517" s="54">
        <v>2522</v>
      </c>
      <c r="M517" s="54">
        <v>24</v>
      </c>
      <c r="N517" s="56">
        <v>0.33810000000000001</v>
      </c>
      <c r="O517" s="50"/>
      <c r="P517" s="52"/>
      <c r="Q517" s="54"/>
      <c r="R517" s="52"/>
      <c r="S517" s="52"/>
      <c r="T517" s="58"/>
      <c r="U517" s="54"/>
    </row>
    <row r="518" spans="1:21" x14ac:dyDescent="0.35">
      <c r="A518" s="51">
        <v>4008280</v>
      </c>
      <c r="B518" s="51" t="s">
        <v>2493</v>
      </c>
      <c r="C518" s="51" t="s">
        <v>1174</v>
      </c>
      <c r="D518" s="51">
        <v>10050103</v>
      </c>
      <c r="E518" s="51" t="s">
        <v>3290</v>
      </c>
      <c r="F518" s="51" t="s">
        <v>1173</v>
      </c>
      <c r="G518" s="51"/>
      <c r="H518" s="51" t="s">
        <v>24</v>
      </c>
      <c r="I518" s="51" t="s">
        <v>258</v>
      </c>
      <c r="J518" s="53">
        <v>419.22</v>
      </c>
      <c r="K518" s="55">
        <v>56</v>
      </c>
      <c r="L518" s="55">
        <v>480</v>
      </c>
      <c r="M518" s="55">
        <v>18</v>
      </c>
      <c r="N518" s="57">
        <v>0.90980000000000005</v>
      </c>
      <c r="O518" s="51"/>
      <c r="P518" s="53">
        <v>276280</v>
      </c>
      <c r="Q518" s="55">
        <v>8</v>
      </c>
      <c r="R518" s="53">
        <v>3.63</v>
      </c>
      <c r="S518" s="53">
        <v>31</v>
      </c>
      <c r="T518" s="59"/>
      <c r="U518" s="55"/>
    </row>
    <row r="519" spans="1:21" x14ac:dyDescent="0.35">
      <c r="A519" s="50">
        <v>4008289</v>
      </c>
      <c r="B519" s="50" t="s">
        <v>2495</v>
      </c>
      <c r="C519" s="50" t="s">
        <v>1174</v>
      </c>
      <c r="D519" s="50">
        <v>10030908</v>
      </c>
      <c r="E519" s="50" t="s">
        <v>3276</v>
      </c>
      <c r="F519" s="50" t="s">
        <v>1173</v>
      </c>
      <c r="G519" s="50" t="s">
        <v>258</v>
      </c>
      <c r="H519" s="50" t="s">
        <v>141</v>
      </c>
      <c r="I519" s="50" t="s">
        <v>258</v>
      </c>
      <c r="J519" s="52">
        <v>10.220000000000001</v>
      </c>
      <c r="K519" s="54">
        <v>288</v>
      </c>
      <c r="L519" s="54">
        <v>3420</v>
      </c>
      <c r="M519" s="54">
        <v>24</v>
      </c>
      <c r="N519" s="56">
        <v>0.4582</v>
      </c>
      <c r="O519" s="50"/>
      <c r="P519" s="52">
        <v>35324</v>
      </c>
      <c r="Q519" s="54">
        <v>24</v>
      </c>
      <c r="R519" s="52">
        <v>4</v>
      </c>
      <c r="S519" s="52">
        <v>95</v>
      </c>
      <c r="T519" s="58"/>
      <c r="U519" s="54"/>
    </row>
    <row r="520" spans="1:21" x14ac:dyDescent="0.35">
      <c r="A520" s="51">
        <v>4008291</v>
      </c>
      <c r="B520" s="51" t="s">
        <v>2499</v>
      </c>
      <c r="C520" s="51" t="s">
        <v>1174</v>
      </c>
      <c r="D520" s="51">
        <v>10030908</v>
      </c>
      <c r="E520" s="51" t="s">
        <v>3276</v>
      </c>
      <c r="F520" s="51" t="s">
        <v>1173</v>
      </c>
      <c r="G520" s="51" t="s">
        <v>258</v>
      </c>
      <c r="H520" s="51"/>
      <c r="I520" s="51" t="s">
        <v>258</v>
      </c>
      <c r="J520" s="53">
        <v>17.86</v>
      </c>
      <c r="K520" s="55">
        <v>504</v>
      </c>
      <c r="L520" s="55">
        <v>2088</v>
      </c>
      <c r="M520" s="55">
        <v>18</v>
      </c>
      <c r="N520" s="57">
        <v>0.83550000000000002</v>
      </c>
      <c r="O520" s="51"/>
      <c r="P520" s="53">
        <v>38574</v>
      </c>
      <c r="Q520" s="55">
        <v>15</v>
      </c>
      <c r="R520" s="53">
        <v>4</v>
      </c>
      <c r="S520" s="53">
        <v>60</v>
      </c>
      <c r="T520" s="59"/>
      <c r="U520" s="55"/>
    </row>
    <row r="521" spans="1:21" x14ac:dyDescent="0.35">
      <c r="A521" s="50">
        <v>4008292</v>
      </c>
      <c r="B521" s="50" t="s">
        <v>2501</v>
      </c>
      <c r="C521" s="50" t="s">
        <v>1174</v>
      </c>
      <c r="D521" s="50">
        <v>10030908</v>
      </c>
      <c r="E521" s="50" t="s">
        <v>3276</v>
      </c>
      <c r="F521" s="50" t="s">
        <v>1173</v>
      </c>
      <c r="G521" s="50" t="s">
        <v>258</v>
      </c>
      <c r="H521" s="50"/>
      <c r="I521" s="50" t="s">
        <v>258</v>
      </c>
      <c r="J521" s="52">
        <v>17.86</v>
      </c>
      <c r="K521" s="54">
        <v>216</v>
      </c>
      <c r="L521" s="54">
        <v>4285</v>
      </c>
      <c r="M521" s="54">
        <v>24</v>
      </c>
      <c r="N521" s="56">
        <v>0.5252</v>
      </c>
      <c r="O521" s="50"/>
      <c r="P521" s="52">
        <v>77157</v>
      </c>
      <c r="Q521" s="54">
        <v>38</v>
      </c>
      <c r="R521" s="52">
        <v>3</v>
      </c>
      <c r="S521" s="52">
        <v>120</v>
      </c>
      <c r="T521" s="58"/>
      <c r="U521" s="54"/>
    </row>
    <row r="522" spans="1:21" x14ac:dyDescent="0.35">
      <c r="A522" s="51">
        <v>4008295</v>
      </c>
      <c r="B522" s="51" t="s">
        <v>2503</v>
      </c>
      <c r="C522" s="51" t="s">
        <v>1174</v>
      </c>
      <c r="D522" s="51">
        <v>10050801</v>
      </c>
      <c r="E522" s="51" t="s">
        <v>3321</v>
      </c>
      <c r="F522" s="51" t="s">
        <v>1173</v>
      </c>
      <c r="G522" s="51"/>
      <c r="H522" s="51" t="s">
        <v>24</v>
      </c>
      <c r="I522" s="51" t="s">
        <v>258</v>
      </c>
      <c r="J522" s="53">
        <v>8.8000000000000007</v>
      </c>
      <c r="K522" s="55">
        <v>1800</v>
      </c>
      <c r="L522" s="55">
        <v>200</v>
      </c>
      <c r="M522" s="55">
        <v>1</v>
      </c>
      <c r="N522" s="57">
        <v>4.7957999999999998</v>
      </c>
      <c r="O522" s="51" t="s">
        <v>3230</v>
      </c>
      <c r="P522" s="53">
        <v>31680</v>
      </c>
      <c r="Q522" s="55">
        <v>2</v>
      </c>
      <c r="R522" s="53">
        <v>9</v>
      </c>
      <c r="S522" s="53">
        <v>15</v>
      </c>
      <c r="T522" s="59"/>
      <c r="U522" s="55"/>
    </row>
    <row r="523" spans="1:21" x14ac:dyDescent="0.35">
      <c r="A523" s="50">
        <v>4008296</v>
      </c>
      <c r="B523" s="50" t="s">
        <v>2505</v>
      </c>
      <c r="C523" s="50" t="s">
        <v>1174</v>
      </c>
      <c r="D523" s="50">
        <v>10050801</v>
      </c>
      <c r="E523" s="50" t="s">
        <v>3321</v>
      </c>
      <c r="F523" s="50" t="s">
        <v>1179</v>
      </c>
      <c r="G523" s="50" t="s">
        <v>258</v>
      </c>
      <c r="H523" s="50"/>
      <c r="I523" s="50" t="s">
        <v>258</v>
      </c>
      <c r="J523" s="52">
        <v>4.13</v>
      </c>
      <c r="K523" s="54">
        <v>449</v>
      </c>
      <c r="L523" s="54">
        <v>12660</v>
      </c>
      <c r="M523" s="54">
        <v>24</v>
      </c>
      <c r="N523" s="56">
        <v>0.30880000000000002</v>
      </c>
      <c r="O523" s="50"/>
      <c r="P523" s="52"/>
      <c r="Q523" s="54"/>
      <c r="R523" s="52"/>
      <c r="S523" s="52"/>
      <c r="T523" s="58"/>
      <c r="U523" s="54"/>
    </row>
    <row r="524" spans="1:21" x14ac:dyDescent="0.35">
      <c r="A524" s="51">
        <v>4008308</v>
      </c>
      <c r="B524" s="51" t="s">
        <v>2513</v>
      </c>
      <c r="C524" s="51" t="s">
        <v>1174</v>
      </c>
      <c r="D524" s="51">
        <v>10050601</v>
      </c>
      <c r="E524" s="51" t="s">
        <v>3309</v>
      </c>
      <c r="F524" s="51" t="s">
        <v>1173</v>
      </c>
      <c r="G524" s="51" t="s">
        <v>289</v>
      </c>
      <c r="H524" s="51" t="s">
        <v>24</v>
      </c>
      <c r="I524" s="51" t="s">
        <v>258</v>
      </c>
      <c r="J524" s="53">
        <v>212.97</v>
      </c>
      <c r="K524" s="55">
        <v>25</v>
      </c>
      <c r="L524" s="55">
        <v>550</v>
      </c>
      <c r="M524" s="55">
        <v>22</v>
      </c>
      <c r="N524" s="57">
        <v>0.50749999999999995</v>
      </c>
      <c r="O524" s="51"/>
      <c r="P524" s="53"/>
      <c r="Q524" s="55"/>
      <c r="R524" s="53"/>
      <c r="S524" s="53"/>
      <c r="T524" s="59"/>
      <c r="U524" s="55"/>
    </row>
    <row r="525" spans="1:21" x14ac:dyDescent="0.35">
      <c r="A525" s="50">
        <v>4008314</v>
      </c>
      <c r="B525" s="50" t="s">
        <v>2515</v>
      </c>
      <c r="C525" s="50" t="s">
        <v>1174</v>
      </c>
      <c r="D525" s="50">
        <v>10050603</v>
      </c>
      <c r="E525" s="50" t="s">
        <v>3311</v>
      </c>
      <c r="F525" s="50" t="s">
        <v>1173</v>
      </c>
      <c r="G525" s="50" t="s">
        <v>271</v>
      </c>
      <c r="H525" s="50" t="s">
        <v>141</v>
      </c>
      <c r="I525" s="50" t="s">
        <v>258</v>
      </c>
      <c r="J525" s="52">
        <v>26.59</v>
      </c>
      <c r="K525" s="54">
        <v>119</v>
      </c>
      <c r="L525" s="54">
        <v>7344</v>
      </c>
      <c r="M525" s="54">
        <v>24</v>
      </c>
      <c r="N525" s="56">
        <v>0.19109999999999999</v>
      </c>
      <c r="O525" s="50"/>
      <c r="P525" s="52"/>
      <c r="Q525" s="54"/>
      <c r="R525" s="52"/>
      <c r="S525" s="52"/>
      <c r="T525" s="58"/>
      <c r="U525" s="54"/>
    </row>
    <row r="526" spans="1:21" x14ac:dyDescent="0.35">
      <c r="A526" s="51">
        <v>4008327</v>
      </c>
      <c r="B526" s="51" t="s">
        <v>2517</v>
      </c>
      <c r="C526" s="51" t="s">
        <v>1174</v>
      </c>
      <c r="D526" s="51">
        <v>10050603</v>
      </c>
      <c r="E526" s="51" t="s">
        <v>3311</v>
      </c>
      <c r="F526" s="51" t="s">
        <v>1173</v>
      </c>
      <c r="G526" s="51" t="s">
        <v>258</v>
      </c>
      <c r="H526" s="51" t="s">
        <v>141</v>
      </c>
      <c r="I526" s="51" t="s">
        <v>258</v>
      </c>
      <c r="J526" s="53">
        <v>52.69</v>
      </c>
      <c r="K526" s="55">
        <v>70</v>
      </c>
      <c r="L526" s="55">
        <v>460</v>
      </c>
      <c r="M526" s="55">
        <v>22</v>
      </c>
      <c r="N526" s="57">
        <v>0.63749999999999996</v>
      </c>
      <c r="O526" s="51"/>
      <c r="P526" s="53">
        <v>22390</v>
      </c>
      <c r="Q526" s="55">
        <v>11</v>
      </c>
      <c r="R526" s="53">
        <v>1</v>
      </c>
      <c r="S526" s="53">
        <v>11</v>
      </c>
      <c r="T526" s="59"/>
      <c r="U526" s="55"/>
    </row>
    <row r="527" spans="1:21" x14ac:dyDescent="0.35">
      <c r="A527" s="50">
        <v>4008328</v>
      </c>
      <c r="B527" s="50" t="s">
        <v>2519</v>
      </c>
      <c r="C527" s="50" t="s">
        <v>1174</v>
      </c>
      <c r="D527" s="50">
        <v>10030904</v>
      </c>
      <c r="E527" s="50" t="s">
        <v>3272</v>
      </c>
      <c r="F527" s="50" t="s">
        <v>1173</v>
      </c>
      <c r="G527" s="50" t="s">
        <v>289</v>
      </c>
      <c r="H527" s="50" t="s">
        <v>141</v>
      </c>
      <c r="I527" s="50" t="s">
        <v>289</v>
      </c>
      <c r="J527" s="52">
        <v>0.1061</v>
      </c>
      <c r="K527" s="54">
        <v>13980</v>
      </c>
      <c r="L527" s="54">
        <v>697150</v>
      </c>
      <c r="M527" s="54">
        <v>24</v>
      </c>
      <c r="N527" s="56">
        <v>0.153</v>
      </c>
      <c r="O527" s="50"/>
      <c r="P527" s="52"/>
      <c r="Q527" s="54"/>
      <c r="R527" s="52"/>
      <c r="S527" s="52"/>
      <c r="T527" s="58"/>
      <c r="U527" s="54"/>
    </row>
    <row r="528" spans="1:21" x14ac:dyDescent="0.35">
      <c r="A528" s="51">
        <v>4008334</v>
      </c>
      <c r="B528" s="51" t="s">
        <v>2527</v>
      </c>
      <c r="C528" s="51" t="s">
        <v>1174</v>
      </c>
      <c r="D528" s="51">
        <v>10050801</v>
      </c>
      <c r="E528" s="51" t="s">
        <v>3321</v>
      </c>
      <c r="F528" s="51" t="s">
        <v>1178</v>
      </c>
      <c r="G528" s="51" t="s">
        <v>258</v>
      </c>
      <c r="H528" s="51"/>
      <c r="I528" s="51" t="s">
        <v>258</v>
      </c>
      <c r="J528" s="53">
        <v>7.06</v>
      </c>
      <c r="K528" s="55">
        <v>179</v>
      </c>
      <c r="L528" s="55">
        <v>509</v>
      </c>
      <c r="M528" s="55">
        <v>13</v>
      </c>
      <c r="N528" s="57">
        <v>1.6655</v>
      </c>
      <c r="O528" s="51"/>
      <c r="P528" s="53"/>
      <c r="Q528" s="55"/>
      <c r="R528" s="53"/>
      <c r="S528" s="53"/>
      <c r="T528" s="59"/>
      <c r="U528" s="55"/>
    </row>
    <row r="529" spans="1:21" x14ac:dyDescent="0.35">
      <c r="A529" s="50">
        <v>4008335</v>
      </c>
      <c r="B529" s="50" t="s">
        <v>2529</v>
      </c>
      <c r="C529" s="50" t="s">
        <v>1174</v>
      </c>
      <c r="D529" s="50">
        <v>10030904</v>
      </c>
      <c r="E529" s="50" t="s">
        <v>3272</v>
      </c>
      <c r="F529" s="50" t="s">
        <v>1173</v>
      </c>
      <c r="G529" s="50" t="s">
        <v>271</v>
      </c>
      <c r="H529" s="50" t="s">
        <v>141</v>
      </c>
      <c r="I529" s="50" t="s">
        <v>289</v>
      </c>
      <c r="J529" s="52">
        <v>0.19450000000000001</v>
      </c>
      <c r="K529" s="54">
        <v>13760</v>
      </c>
      <c r="L529" s="54">
        <v>2518360</v>
      </c>
      <c r="M529" s="54">
        <v>24</v>
      </c>
      <c r="N529" s="56">
        <v>6.5100000000000005E-2</v>
      </c>
      <c r="O529" s="50"/>
      <c r="P529" s="52"/>
      <c r="Q529" s="54"/>
      <c r="R529" s="52"/>
      <c r="S529" s="52"/>
      <c r="T529" s="58"/>
      <c r="U529" s="54"/>
    </row>
    <row r="530" spans="1:21" x14ac:dyDescent="0.35">
      <c r="A530" s="51">
        <v>4008336</v>
      </c>
      <c r="B530" s="51" t="s">
        <v>2531</v>
      </c>
      <c r="C530" s="51" t="s">
        <v>1174</v>
      </c>
      <c r="D530" s="51">
        <v>10030904</v>
      </c>
      <c r="E530" s="51" t="s">
        <v>3272</v>
      </c>
      <c r="F530" s="51" t="s">
        <v>1173</v>
      </c>
      <c r="G530" s="51" t="s">
        <v>289</v>
      </c>
      <c r="H530" s="51" t="s">
        <v>141</v>
      </c>
      <c r="I530" s="51" t="s">
        <v>271</v>
      </c>
      <c r="J530" s="53">
        <v>0.17069999999999999</v>
      </c>
      <c r="K530" s="55">
        <v>14160</v>
      </c>
      <c r="L530" s="55">
        <v>1337350</v>
      </c>
      <c r="M530" s="55">
        <v>24</v>
      </c>
      <c r="N530" s="57">
        <v>9.4799999999999995E-2</v>
      </c>
      <c r="O530" s="51"/>
      <c r="P530" s="53"/>
      <c r="Q530" s="55"/>
      <c r="R530" s="53"/>
      <c r="S530" s="53"/>
      <c r="T530" s="59"/>
      <c r="U530" s="55"/>
    </row>
    <row r="531" spans="1:21" x14ac:dyDescent="0.35">
      <c r="A531" s="50">
        <v>4008337</v>
      </c>
      <c r="B531" s="50" t="s">
        <v>2533</v>
      </c>
      <c r="C531" s="50" t="s">
        <v>1174</v>
      </c>
      <c r="D531" s="50">
        <v>10030904</v>
      </c>
      <c r="E531" s="50" t="s">
        <v>3272</v>
      </c>
      <c r="F531" s="50" t="s">
        <v>1173</v>
      </c>
      <c r="G531" s="50" t="s">
        <v>271</v>
      </c>
      <c r="H531" s="50" t="s">
        <v>141</v>
      </c>
      <c r="I531" s="50" t="s">
        <v>289</v>
      </c>
      <c r="J531" s="52">
        <v>2.4700000000000002</v>
      </c>
      <c r="K531" s="54">
        <v>5105</v>
      </c>
      <c r="L531" s="54">
        <v>197600</v>
      </c>
      <c r="M531" s="54">
        <v>24</v>
      </c>
      <c r="N531" s="56">
        <v>0.1825</v>
      </c>
      <c r="O531" s="50"/>
      <c r="P531" s="52"/>
      <c r="Q531" s="54"/>
      <c r="R531" s="52"/>
      <c r="S531" s="52"/>
      <c r="T531" s="58"/>
      <c r="U531" s="54"/>
    </row>
    <row r="532" spans="1:21" x14ac:dyDescent="0.35">
      <c r="A532" s="51">
        <v>4008338</v>
      </c>
      <c r="B532" s="51" t="s">
        <v>2535</v>
      </c>
      <c r="C532" s="51" t="s">
        <v>1174</v>
      </c>
      <c r="D532" s="51">
        <v>10050506</v>
      </c>
      <c r="E532" s="51" t="s">
        <v>3307</v>
      </c>
      <c r="F532" s="51" t="s">
        <v>1173</v>
      </c>
      <c r="G532" s="51" t="s">
        <v>258</v>
      </c>
      <c r="H532" s="51"/>
      <c r="I532" s="51" t="s">
        <v>258</v>
      </c>
      <c r="J532" s="53">
        <v>65</v>
      </c>
      <c r="K532" s="55">
        <v>50</v>
      </c>
      <c r="L532" s="55">
        <v>1030</v>
      </c>
      <c r="M532" s="55">
        <v>24</v>
      </c>
      <c r="N532" s="57">
        <v>0.37140000000000001</v>
      </c>
      <c r="O532" s="51"/>
      <c r="P532" s="53"/>
      <c r="Q532" s="55"/>
      <c r="R532" s="53"/>
      <c r="S532" s="53"/>
      <c r="T532" s="59"/>
      <c r="U532" s="55"/>
    </row>
    <row r="533" spans="1:21" x14ac:dyDescent="0.35">
      <c r="A533" s="50">
        <v>4008339</v>
      </c>
      <c r="B533" s="50" t="s">
        <v>2537</v>
      </c>
      <c r="C533" s="50" t="s">
        <v>1174</v>
      </c>
      <c r="D533" s="50">
        <v>10050801</v>
      </c>
      <c r="E533" s="50" t="s">
        <v>3321</v>
      </c>
      <c r="F533" s="50" t="s">
        <v>1173</v>
      </c>
      <c r="G533" s="50" t="s">
        <v>271</v>
      </c>
      <c r="H533" s="50" t="s">
        <v>141</v>
      </c>
      <c r="I533" s="50" t="s">
        <v>289</v>
      </c>
      <c r="J533" s="52">
        <v>2.31</v>
      </c>
      <c r="K533" s="54">
        <v>2800</v>
      </c>
      <c r="L533" s="54">
        <v>101300</v>
      </c>
      <c r="M533" s="54">
        <v>24</v>
      </c>
      <c r="N533" s="56">
        <v>0.50970000000000004</v>
      </c>
      <c r="O533" s="50"/>
      <c r="P533" s="52"/>
      <c r="Q533" s="54"/>
      <c r="R533" s="52"/>
      <c r="S533" s="52"/>
      <c r="T533" s="58"/>
      <c r="U533" s="54"/>
    </row>
    <row r="534" spans="1:21" x14ac:dyDescent="0.35">
      <c r="A534" s="51">
        <v>4008340</v>
      </c>
      <c r="B534" s="51" t="s">
        <v>2539</v>
      </c>
      <c r="C534" s="51" t="s">
        <v>1174</v>
      </c>
      <c r="D534" s="51">
        <v>10030904</v>
      </c>
      <c r="E534" s="51" t="s">
        <v>3272</v>
      </c>
      <c r="F534" s="51" t="s">
        <v>1173</v>
      </c>
      <c r="G534" s="51" t="s">
        <v>289</v>
      </c>
      <c r="H534" s="51" t="s">
        <v>141</v>
      </c>
      <c r="I534" s="51" t="s">
        <v>289</v>
      </c>
      <c r="J534" s="53">
        <v>0.34399999999999997</v>
      </c>
      <c r="K534" s="55">
        <v>10200</v>
      </c>
      <c r="L534" s="55">
        <v>889660</v>
      </c>
      <c r="M534" s="55">
        <v>24</v>
      </c>
      <c r="N534" s="57">
        <v>8.7300000000000003E-2</v>
      </c>
      <c r="O534" s="51"/>
      <c r="P534" s="53"/>
      <c r="Q534" s="55"/>
      <c r="R534" s="53"/>
      <c r="S534" s="53"/>
      <c r="T534" s="59"/>
      <c r="U534" s="55"/>
    </row>
    <row r="535" spans="1:21" x14ac:dyDescent="0.35">
      <c r="A535" s="50">
        <v>4008343</v>
      </c>
      <c r="B535" s="50" t="s">
        <v>2543</v>
      </c>
      <c r="C535" s="50" t="s">
        <v>1174</v>
      </c>
      <c r="D535" s="50">
        <v>10050801</v>
      </c>
      <c r="E535" s="50" t="s">
        <v>3321</v>
      </c>
      <c r="F535" s="50" t="s">
        <v>1173</v>
      </c>
      <c r="G535" s="50" t="s">
        <v>258</v>
      </c>
      <c r="H535" s="50"/>
      <c r="I535" s="50" t="s">
        <v>258</v>
      </c>
      <c r="J535" s="52">
        <v>1.7</v>
      </c>
      <c r="K535" s="54">
        <v>480</v>
      </c>
      <c r="L535" s="54">
        <v>14400</v>
      </c>
      <c r="M535" s="54">
        <v>24</v>
      </c>
      <c r="N535" s="56">
        <v>0.2208</v>
      </c>
      <c r="O535" s="50"/>
      <c r="P535" s="52"/>
      <c r="Q535" s="54"/>
      <c r="R535" s="52"/>
      <c r="S535" s="52"/>
      <c r="T535" s="58"/>
      <c r="U535" s="54"/>
    </row>
    <row r="536" spans="1:21" x14ac:dyDescent="0.35">
      <c r="A536" s="51">
        <v>4008345</v>
      </c>
      <c r="B536" s="51" t="s">
        <v>2545</v>
      </c>
      <c r="C536" s="51" t="s">
        <v>1174</v>
      </c>
      <c r="D536" s="51">
        <v>10060510</v>
      </c>
      <c r="E536" s="51" t="s">
        <v>3331</v>
      </c>
      <c r="F536" s="51" t="s">
        <v>1178</v>
      </c>
      <c r="G536" s="51" t="s">
        <v>289</v>
      </c>
      <c r="H536" s="51"/>
      <c r="I536" s="51" t="s">
        <v>258</v>
      </c>
      <c r="J536" s="53">
        <v>31.48</v>
      </c>
      <c r="K536" s="55">
        <v>120</v>
      </c>
      <c r="L536" s="55">
        <v>5201</v>
      </c>
      <c r="M536" s="55">
        <v>24</v>
      </c>
      <c r="N536" s="57">
        <v>0.34499999999999997</v>
      </c>
      <c r="O536" s="51"/>
      <c r="P536" s="53">
        <v>103740</v>
      </c>
      <c r="Q536" s="55">
        <v>35</v>
      </c>
      <c r="R536" s="53">
        <v>6</v>
      </c>
      <c r="S536" s="53">
        <v>210</v>
      </c>
      <c r="T536" s="59"/>
      <c r="U536" s="55"/>
    </row>
    <row r="537" spans="1:21" x14ac:dyDescent="0.35">
      <c r="A537" s="50">
        <v>4008346</v>
      </c>
      <c r="B537" s="50" t="s">
        <v>2547</v>
      </c>
      <c r="C537" s="50" t="s">
        <v>1174</v>
      </c>
      <c r="D537" s="50">
        <v>10050801</v>
      </c>
      <c r="E537" s="50" t="s">
        <v>3321</v>
      </c>
      <c r="F537" s="50" t="s">
        <v>1173</v>
      </c>
      <c r="G537" s="50" t="s">
        <v>258</v>
      </c>
      <c r="H537" s="50"/>
      <c r="I537" s="50" t="s">
        <v>258</v>
      </c>
      <c r="J537" s="52">
        <v>0.2417</v>
      </c>
      <c r="K537" s="54">
        <v>8450</v>
      </c>
      <c r="L537" s="54">
        <v>101659</v>
      </c>
      <c r="M537" s="54">
        <v>22</v>
      </c>
      <c r="N537" s="56">
        <v>0.42859999999999998</v>
      </c>
      <c r="O537" s="50"/>
      <c r="P537" s="52">
        <v>29820.5</v>
      </c>
      <c r="Q537" s="54">
        <v>17</v>
      </c>
      <c r="R537" s="52">
        <v>1.06</v>
      </c>
      <c r="S537" s="52">
        <v>18</v>
      </c>
      <c r="T537" s="58"/>
      <c r="U537" s="54"/>
    </row>
    <row r="538" spans="1:21" x14ac:dyDescent="0.35">
      <c r="A538" s="51">
        <v>4008347</v>
      </c>
      <c r="B538" s="51" t="s">
        <v>2549</v>
      </c>
      <c r="C538" s="51" t="s">
        <v>1174</v>
      </c>
      <c r="D538" s="51">
        <v>10050801</v>
      </c>
      <c r="E538" s="51" t="s">
        <v>3321</v>
      </c>
      <c r="F538" s="51" t="s">
        <v>1173</v>
      </c>
      <c r="G538" s="51" t="s">
        <v>258</v>
      </c>
      <c r="H538" s="51"/>
      <c r="I538" s="51" t="s">
        <v>258</v>
      </c>
      <c r="J538" s="53">
        <v>0.5</v>
      </c>
      <c r="K538" s="55">
        <v>3400</v>
      </c>
      <c r="L538" s="55">
        <v>3900</v>
      </c>
      <c r="M538" s="55">
        <v>12</v>
      </c>
      <c r="N538" s="57">
        <v>1.2786999999999999</v>
      </c>
      <c r="O538" s="51"/>
      <c r="P538" s="53">
        <v>2000</v>
      </c>
      <c r="Q538" s="55">
        <v>2</v>
      </c>
      <c r="R538" s="53">
        <v>20</v>
      </c>
      <c r="S538" s="53">
        <v>40</v>
      </c>
      <c r="T538" s="59"/>
      <c r="U538" s="55"/>
    </row>
    <row r="539" spans="1:21" x14ac:dyDescent="0.35">
      <c r="A539" s="50">
        <v>4008354</v>
      </c>
      <c r="B539" s="50" t="s">
        <v>2551</v>
      </c>
      <c r="C539" s="50" t="s">
        <v>1174</v>
      </c>
      <c r="D539" s="50">
        <v>10050108</v>
      </c>
      <c r="E539" s="50" t="s">
        <v>3293</v>
      </c>
      <c r="F539" s="50" t="s">
        <v>1173</v>
      </c>
      <c r="G539" s="50" t="s">
        <v>258</v>
      </c>
      <c r="H539" s="50"/>
      <c r="I539" s="50" t="s">
        <v>258</v>
      </c>
      <c r="J539" s="52">
        <v>229.65</v>
      </c>
      <c r="K539" s="54">
        <v>90</v>
      </c>
      <c r="L539" s="54">
        <v>125</v>
      </c>
      <c r="M539" s="54">
        <v>12</v>
      </c>
      <c r="N539" s="56">
        <v>1.1913</v>
      </c>
      <c r="O539" s="50"/>
      <c r="P539" s="52">
        <v>31160</v>
      </c>
      <c r="Q539" s="54">
        <v>7</v>
      </c>
      <c r="R539" s="52">
        <v>2</v>
      </c>
      <c r="S539" s="52">
        <v>14</v>
      </c>
      <c r="T539" s="58"/>
      <c r="U539" s="54"/>
    </row>
    <row r="540" spans="1:21" x14ac:dyDescent="0.35">
      <c r="A540" s="51">
        <v>4008377</v>
      </c>
      <c r="B540" s="51" t="s">
        <v>2553</v>
      </c>
      <c r="C540" s="51" t="s">
        <v>1174</v>
      </c>
      <c r="D540" s="51">
        <v>10050108</v>
      </c>
      <c r="E540" s="51" t="s">
        <v>3293</v>
      </c>
      <c r="F540" s="51" t="s">
        <v>1173</v>
      </c>
      <c r="G540" s="51" t="s">
        <v>258</v>
      </c>
      <c r="H540" s="51"/>
      <c r="I540" s="51" t="s">
        <v>258</v>
      </c>
      <c r="J540" s="53">
        <v>50.33</v>
      </c>
      <c r="K540" s="55">
        <v>72</v>
      </c>
      <c r="L540" s="55">
        <v>144</v>
      </c>
      <c r="M540" s="55">
        <v>8</v>
      </c>
      <c r="N540" s="57">
        <v>1.633</v>
      </c>
      <c r="O540" s="51"/>
      <c r="P540" s="53"/>
      <c r="Q540" s="55"/>
      <c r="R540" s="53"/>
      <c r="S540" s="53"/>
      <c r="T540" s="59"/>
      <c r="U540" s="55"/>
    </row>
    <row r="541" spans="1:21" x14ac:dyDescent="0.35">
      <c r="A541" s="50">
        <v>4008378</v>
      </c>
      <c r="B541" s="50" t="s">
        <v>2555</v>
      </c>
      <c r="C541" s="50" t="s">
        <v>1174</v>
      </c>
      <c r="D541" s="50">
        <v>10050108</v>
      </c>
      <c r="E541" s="50" t="s">
        <v>3293</v>
      </c>
      <c r="F541" s="50" t="s">
        <v>1173</v>
      </c>
      <c r="G541" s="50" t="s">
        <v>258</v>
      </c>
      <c r="H541" s="50"/>
      <c r="I541" s="50" t="s">
        <v>258</v>
      </c>
      <c r="J541" s="52">
        <v>62.27</v>
      </c>
      <c r="K541" s="54">
        <v>240</v>
      </c>
      <c r="L541" s="54">
        <v>840</v>
      </c>
      <c r="M541" s="54">
        <v>22</v>
      </c>
      <c r="N541" s="56">
        <v>0.68510000000000004</v>
      </c>
      <c r="O541" s="50"/>
      <c r="P541" s="52">
        <v>44544</v>
      </c>
      <c r="Q541" s="54">
        <v>8</v>
      </c>
      <c r="R541" s="52">
        <v>8</v>
      </c>
      <c r="S541" s="52">
        <v>64</v>
      </c>
      <c r="T541" s="58"/>
      <c r="U541" s="54"/>
    </row>
    <row r="542" spans="1:21" x14ac:dyDescent="0.35">
      <c r="A542" s="51">
        <v>4008379</v>
      </c>
      <c r="B542" s="51" t="s">
        <v>2557</v>
      </c>
      <c r="C542" s="51" t="s">
        <v>1174</v>
      </c>
      <c r="D542" s="51">
        <v>10050108</v>
      </c>
      <c r="E542" s="51" t="s">
        <v>3293</v>
      </c>
      <c r="F542" s="51" t="s">
        <v>1173</v>
      </c>
      <c r="G542" s="51" t="s">
        <v>289</v>
      </c>
      <c r="H542" s="51"/>
      <c r="I542" s="51" t="s">
        <v>258</v>
      </c>
      <c r="J542" s="53">
        <v>60.68</v>
      </c>
      <c r="K542" s="55">
        <v>120</v>
      </c>
      <c r="L542" s="55">
        <v>2016</v>
      </c>
      <c r="M542" s="55">
        <v>24</v>
      </c>
      <c r="N542" s="57">
        <v>0.55330000000000001</v>
      </c>
      <c r="O542" s="51"/>
      <c r="P542" s="53">
        <v>101463.76</v>
      </c>
      <c r="Q542" s="55">
        <v>42</v>
      </c>
      <c r="R542" s="53">
        <v>3.98</v>
      </c>
      <c r="S542" s="53">
        <v>167</v>
      </c>
      <c r="T542" s="59"/>
      <c r="U542" s="55"/>
    </row>
    <row r="543" spans="1:21" x14ac:dyDescent="0.35">
      <c r="A543" s="50">
        <v>4008380</v>
      </c>
      <c r="B543" s="50" t="s">
        <v>2559</v>
      </c>
      <c r="C543" s="50" t="s">
        <v>1174</v>
      </c>
      <c r="D543" s="50">
        <v>10050108</v>
      </c>
      <c r="E543" s="50" t="s">
        <v>3293</v>
      </c>
      <c r="F543" s="50" t="s">
        <v>1173</v>
      </c>
      <c r="G543" s="50" t="s">
        <v>271</v>
      </c>
      <c r="H543" s="50" t="s">
        <v>24</v>
      </c>
      <c r="I543" s="50" t="s">
        <v>258</v>
      </c>
      <c r="J543" s="52">
        <v>69.02</v>
      </c>
      <c r="K543" s="54">
        <v>156</v>
      </c>
      <c r="L543" s="54">
        <v>7116</v>
      </c>
      <c r="M543" s="54">
        <v>24</v>
      </c>
      <c r="N543" s="56">
        <v>0.1595</v>
      </c>
      <c r="O543" s="50"/>
      <c r="P543" s="52">
        <v>404276.88</v>
      </c>
      <c r="Q543" s="54">
        <v>47</v>
      </c>
      <c r="R543" s="52">
        <v>12.26</v>
      </c>
      <c r="S543" s="52">
        <v>576</v>
      </c>
      <c r="T543" s="58"/>
      <c r="U543" s="54"/>
    </row>
    <row r="544" spans="1:21" x14ac:dyDescent="0.35">
      <c r="A544" s="51">
        <v>4008387</v>
      </c>
      <c r="B544" s="51" t="s">
        <v>2561</v>
      </c>
      <c r="C544" s="51" t="s">
        <v>1174</v>
      </c>
      <c r="D544" s="51">
        <v>10050104</v>
      </c>
      <c r="E544" s="51" t="s">
        <v>3291</v>
      </c>
      <c r="F544" s="51" t="s">
        <v>1173</v>
      </c>
      <c r="G544" s="51" t="s">
        <v>258</v>
      </c>
      <c r="H544" s="51"/>
      <c r="I544" s="51" t="s">
        <v>258</v>
      </c>
      <c r="J544" s="53">
        <v>79.3</v>
      </c>
      <c r="K544" s="55">
        <v>30</v>
      </c>
      <c r="L544" s="55">
        <v>795</v>
      </c>
      <c r="M544" s="55">
        <v>23</v>
      </c>
      <c r="N544" s="57">
        <v>0.53690000000000004</v>
      </c>
      <c r="O544" s="51"/>
      <c r="P544" s="53"/>
      <c r="Q544" s="55"/>
      <c r="R544" s="53"/>
      <c r="S544" s="53"/>
      <c r="T544" s="59"/>
      <c r="U544" s="55"/>
    </row>
    <row r="545" spans="1:21" x14ac:dyDescent="0.35">
      <c r="A545" s="50">
        <v>4008388</v>
      </c>
      <c r="B545" s="50" t="s">
        <v>2563</v>
      </c>
      <c r="C545" s="50" t="s">
        <v>1174</v>
      </c>
      <c r="D545" s="50">
        <v>10050108</v>
      </c>
      <c r="E545" s="50" t="s">
        <v>3293</v>
      </c>
      <c r="F545" s="50" t="s">
        <v>1173</v>
      </c>
      <c r="G545" s="50" t="s">
        <v>258</v>
      </c>
      <c r="H545" s="50"/>
      <c r="I545" s="50" t="s">
        <v>258</v>
      </c>
      <c r="J545" s="52">
        <v>4.2</v>
      </c>
      <c r="K545" s="54">
        <v>700</v>
      </c>
      <c r="L545" s="54">
        <v>9990</v>
      </c>
      <c r="M545" s="54">
        <v>24</v>
      </c>
      <c r="N545" s="56">
        <v>0.38479999999999998</v>
      </c>
      <c r="O545" s="50"/>
      <c r="P545" s="52">
        <v>40320</v>
      </c>
      <c r="Q545" s="54">
        <v>47</v>
      </c>
      <c r="R545" s="52">
        <v>8.17</v>
      </c>
      <c r="S545" s="52">
        <v>384</v>
      </c>
      <c r="T545" s="58"/>
      <c r="U545" s="54"/>
    </row>
    <row r="546" spans="1:21" x14ac:dyDescent="0.35">
      <c r="A546" s="51">
        <v>4008411</v>
      </c>
      <c r="B546" s="51" t="s">
        <v>2565</v>
      </c>
      <c r="C546" s="51" t="s">
        <v>1174</v>
      </c>
      <c r="D546" s="51">
        <v>10050103</v>
      </c>
      <c r="E546" s="51" t="s">
        <v>3290</v>
      </c>
      <c r="F546" s="51" t="s">
        <v>1173</v>
      </c>
      <c r="G546" s="51" t="s">
        <v>289</v>
      </c>
      <c r="H546" s="51"/>
      <c r="I546" s="51" t="s">
        <v>258</v>
      </c>
      <c r="J546" s="53">
        <v>112.67</v>
      </c>
      <c r="K546" s="55">
        <v>57</v>
      </c>
      <c r="L546" s="55">
        <v>1124</v>
      </c>
      <c r="M546" s="55">
        <v>24</v>
      </c>
      <c r="N546" s="57">
        <v>0.38469999999999999</v>
      </c>
      <c r="O546" s="51"/>
      <c r="P546" s="53"/>
      <c r="Q546" s="55"/>
      <c r="R546" s="53"/>
      <c r="S546" s="53"/>
      <c r="T546" s="59">
        <v>5</v>
      </c>
      <c r="U546" s="55">
        <v>1</v>
      </c>
    </row>
    <row r="547" spans="1:21" x14ac:dyDescent="0.35">
      <c r="A547" s="50">
        <v>4008412</v>
      </c>
      <c r="B547" s="50" t="s">
        <v>2567</v>
      </c>
      <c r="C547" s="50" t="s">
        <v>1174</v>
      </c>
      <c r="D547" s="50">
        <v>10040101</v>
      </c>
      <c r="E547" s="50" t="s">
        <v>3279</v>
      </c>
      <c r="F547" s="50" t="s">
        <v>1173</v>
      </c>
      <c r="G547" s="50" t="s">
        <v>258</v>
      </c>
      <c r="H547" s="50" t="s">
        <v>141</v>
      </c>
      <c r="I547" s="50" t="s">
        <v>289</v>
      </c>
      <c r="J547" s="52">
        <v>2.56</v>
      </c>
      <c r="K547" s="54">
        <v>2050</v>
      </c>
      <c r="L547" s="54">
        <v>42700</v>
      </c>
      <c r="M547" s="54">
        <v>24</v>
      </c>
      <c r="N547" s="56">
        <v>0.44579999999999997</v>
      </c>
      <c r="O547" s="50"/>
      <c r="P547" s="52"/>
      <c r="Q547" s="54"/>
      <c r="R547" s="52"/>
      <c r="S547" s="52"/>
      <c r="T547" s="58">
        <v>4.5</v>
      </c>
      <c r="U547" s="54">
        <v>2</v>
      </c>
    </row>
    <row r="548" spans="1:21" x14ac:dyDescent="0.35">
      <c r="A548" s="51">
        <v>4008413</v>
      </c>
      <c r="B548" s="51" t="s">
        <v>2569</v>
      </c>
      <c r="C548" s="51" t="s">
        <v>1174</v>
      </c>
      <c r="D548" s="51">
        <v>10050404</v>
      </c>
      <c r="E548" s="51" t="s">
        <v>3301</v>
      </c>
      <c r="F548" s="51" t="s">
        <v>1173</v>
      </c>
      <c r="G548" s="51" t="s">
        <v>258</v>
      </c>
      <c r="H548" s="51"/>
      <c r="I548" s="51" t="s">
        <v>258</v>
      </c>
      <c r="J548" s="53">
        <v>0.92</v>
      </c>
      <c r="K548" s="55">
        <v>160</v>
      </c>
      <c r="L548" s="55">
        <v>5860</v>
      </c>
      <c r="M548" s="55">
        <v>24</v>
      </c>
      <c r="N548" s="57">
        <v>0.1913</v>
      </c>
      <c r="O548" s="51"/>
      <c r="P548" s="53"/>
      <c r="Q548" s="55"/>
      <c r="R548" s="53"/>
      <c r="S548" s="53"/>
      <c r="T548" s="59">
        <v>3</v>
      </c>
      <c r="U548" s="55">
        <v>1</v>
      </c>
    </row>
    <row r="549" spans="1:21" x14ac:dyDescent="0.35">
      <c r="A549" s="50">
        <v>4008419</v>
      </c>
      <c r="B549" s="50" t="s">
        <v>2573</v>
      </c>
      <c r="C549" s="50" t="s">
        <v>1174</v>
      </c>
      <c r="D549" s="50">
        <v>10060502</v>
      </c>
      <c r="E549" s="50" t="s">
        <v>3330</v>
      </c>
      <c r="F549" s="50" t="s">
        <v>1173</v>
      </c>
      <c r="G549" s="50" t="s">
        <v>258</v>
      </c>
      <c r="H549" s="50"/>
      <c r="I549" s="50" t="s">
        <v>258</v>
      </c>
      <c r="J549" s="52">
        <v>5.77</v>
      </c>
      <c r="K549" s="54">
        <v>852</v>
      </c>
      <c r="L549" s="54">
        <v>7301</v>
      </c>
      <c r="M549" s="54">
        <v>24</v>
      </c>
      <c r="N549" s="56">
        <v>0.18</v>
      </c>
      <c r="O549" s="50"/>
      <c r="P549" s="52">
        <v>30347</v>
      </c>
      <c r="Q549" s="54">
        <v>12</v>
      </c>
      <c r="R549" s="52">
        <v>2.25</v>
      </c>
      <c r="S549" s="52">
        <v>27</v>
      </c>
      <c r="T549" s="58">
        <v>3</v>
      </c>
      <c r="U549" s="54">
        <v>1</v>
      </c>
    </row>
    <row r="550" spans="1:21" x14ac:dyDescent="0.35">
      <c r="A550" s="51">
        <v>4008431</v>
      </c>
      <c r="B550" s="51" t="s">
        <v>2575</v>
      </c>
      <c r="C550" s="51" t="s">
        <v>1174</v>
      </c>
      <c r="D550" s="51">
        <v>10050801</v>
      </c>
      <c r="E550" s="51" t="s">
        <v>3321</v>
      </c>
      <c r="F550" s="51" t="s">
        <v>1178</v>
      </c>
      <c r="G550" s="51" t="s">
        <v>258</v>
      </c>
      <c r="H550" s="51"/>
      <c r="I550" s="51" t="s">
        <v>258</v>
      </c>
      <c r="J550" s="53">
        <v>4.4400000000000004</v>
      </c>
      <c r="K550" s="55">
        <v>435</v>
      </c>
      <c r="L550" s="55">
        <v>634</v>
      </c>
      <c r="M550" s="55">
        <v>10</v>
      </c>
      <c r="N550" s="57">
        <v>2.1044</v>
      </c>
      <c r="O550" s="51"/>
      <c r="P550" s="53">
        <v>1068</v>
      </c>
      <c r="Q550" s="55">
        <v>1</v>
      </c>
      <c r="R550" s="53">
        <v>12</v>
      </c>
      <c r="S550" s="53">
        <v>12</v>
      </c>
      <c r="T550" s="59"/>
      <c r="U550" s="55"/>
    </row>
    <row r="551" spans="1:21" x14ac:dyDescent="0.35">
      <c r="A551" s="50">
        <v>4008436</v>
      </c>
      <c r="B551" s="50" t="s">
        <v>2579</v>
      </c>
      <c r="C551" s="50" t="s">
        <v>1174</v>
      </c>
      <c r="D551" s="50">
        <v>10080401</v>
      </c>
      <c r="E551" s="50" t="s">
        <v>3336</v>
      </c>
      <c r="F551" s="50" t="s">
        <v>1173</v>
      </c>
      <c r="G551" s="50" t="s">
        <v>271</v>
      </c>
      <c r="H551" s="50" t="s">
        <v>141</v>
      </c>
      <c r="I551" s="50" t="s">
        <v>258</v>
      </c>
      <c r="J551" s="52">
        <v>17.78</v>
      </c>
      <c r="K551" s="54">
        <v>886</v>
      </c>
      <c r="L551" s="54">
        <v>12285</v>
      </c>
      <c r="M551" s="54">
        <v>24</v>
      </c>
      <c r="N551" s="56">
        <v>0.30730000000000002</v>
      </c>
      <c r="O551" s="50"/>
      <c r="P551" s="52">
        <v>250681.2</v>
      </c>
      <c r="Q551" s="54">
        <v>20</v>
      </c>
      <c r="R551" s="52">
        <v>19.399999999999999</v>
      </c>
      <c r="S551" s="52">
        <v>388</v>
      </c>
      <c r="T551" s="58">
        <v>3</v>
      </c>
      <c r="U551" s="54">
        <v>1</v>
      </c>
    </row>
    <row r="552" spans="1:21" x14ac:dyDescent="0.35">
      <c r="A552" s="51">
        <v>4008438</v>
      </c>
      <c r="B552" s="51" t="s">
        <v>2581</v>
      </c>
      <c r="C552" s="51" t="s">
        <v>1174</v>
      </c>
      <c r="D552" s="51">
        <v>10030899</v>
      </c>
      <c r="E552" s="51" t="s">
        <v>3268</v>
      </c>
      <c r="F552" s="51" t="s">
        <v>1173</v>
      </c>
      <c r="G552" s="51" t="s">
        <v>289</v>
      </c>
      <c r="H552" s="51"/>
      <c r="I552" s="51" t="s">
        <v>289</v>
      </c>
      <c r="J552" s="53">
        <v>2.7</v>
      </c>
      <c r="K552" s="55">
        <v>8200</v>
      </c>
      <c r="L552" s="55">
        <v>123100</v>
      </c>
      <c r="M552" s="55">
        <v>24</v>
      </c>
      <c r="N552" s="57">
        <v>0.1681</v>
      </c>
      <c r="O552" s="51"/>
      <c r="P552" s="53">
        <v>330480</v>
      </c>
      <c r="Q552" s="55">
        <v>51</v>
      </c>
      <c r="R552" s="53">
        <v>58.82</v>
      </c>
      <c r="S552" s="53">
        <v>3012</v>
      </c>
      <c r="T552" s="59">
        <v>2.5</v>
      </c>
      <c r="U552" s="55">
        <v>2</v>
      </c>
    </row>
    <row r="553" spans="1:21" x14ac:dyDescent="0.35">
      <c r="A553" s="50">
        <v>4008439</v>
      </c>
      <c r="B553" s="50" t="s">
        <v>2583</v>
      </c>
      <c r="C553" s="50" t="s">
        <v>1174</v>
      </c>
      <c r="D553" s="50">
        <v>10030899</v>
      </c>
      <c r="E553" s="50" t="s">
        <v>3268</v>
      </c>
      <c r="F553" s="50" t="s">
        <v>1173</v>
      </c>
      <c r="G553" s="50" t="s">
        <v>258</v>
      </c>
      <c r="H553" s="50"/>
      <c r="I553" s="50" t="s">
        <v>258</v>
      </c>
      <c r="J553" s="52">
        <v>2.7</v>
      </c>
      <c r="K553" s="54">
        <v>2000</v>
      </c>
      <c r="L553" s="54">
        <v>21200</v>
      </c>
      <c r="M553" s="54">
        <v>24</v>
      </c>
      <c r="N553" s="56">
        <v>0.3634</v>
      </c>
      <c r="O553" s="50"/>
      <c r="P553" s="52">
        <v>59220</v>
      </c>
      <c r="Q553" s="54">
        <v>15</v>
      </c>
      <c r="R553" s="52">
        <v>7.47</v>
      </c>
      <c r="S553" s="52">
        <v>112</v>
      </c>
      <c r="T553" s="58">
        <v>5</v>
      </c>
      <c r="U553" s="54">
        <v>2</v>
      </c>
    </row>
    <row r="554" spans="1:21" x14ac:dyDescent="0.35">
      <c r="A554" s="51">
        <v>4008441</v>
      </c>
      <c r="B554" s="51" t="s">
        <v>2587</v>
      </c>
      <c r="C554" s="51" t="s">
        <v>1174</v>
      </c>
      <c r="D554" s="51">
        <v>10060502</v>
      </c>
      <c r="E554" s="51" t="s">
        <v>3330</v>
      </c>
      <c r="F554" s="51" t="s">
        <v>1173</v>
      </c>
      <c r="G554" s="51" t="s">
        <v>289</v>
      </c>
      <c r="H554" s="51"/>
      <c r="I554" s="51" t="s">
        <v>258</v>
      </c>
      <c r="J554" s="53">
        <v>62</v>
      </c>
      <c r="K554" s="55">
        <v>370</v>
      </c>
      <c r="L554" s="55">
        <v>1980</v>
      </c>
      <c r="M554" s="55">
        <v>24</v>
      </c>
      <c r="N554" s="57">
        <v>0.61529999999999996</v>
      </c>
      <c r="O554" s="51"/>
      <c r="P554" s="53">
        <v>111600</v>
      </c>
      <c r="Q554" s="55">
        <v>18</v>
      </c>
      <c r="R554" s="53">
        <v>100</v>
      </c>
      <c r="S554" s="53">
        <v>1800</v>
      </c>
      <c r="T554" s="59">
        <v>3</v>
      </c>
      <c r="U554" s="55">
        <v>1</v>
      </c>
    </row>
    <row r="555" spans="1:21" x14ac:dyDescent="0.35">
      <c r="A555" s="50">
        <v>4008446</v>
      </c>
      <c r="B555" s="50" t="s">
        <v>2589</v>
      </c>
      <c r="C555" s="50" t="s">
        <v>1174</v>
      </c>
      <c r="D555" s="50">
        <v>10030903</v>
      </c>
      <c r="E555" s="50" t="s">
        <v>3271</v>
      </c>
      <c r="F555" s="50" t="s">
        <v>1173</v>
      </c>
      <c r="G555" s="50" t="s">
        <v>271</v>
      </c>
      <c r="H555" s="50"/>
      <c r="I555" s="50" t="s">
        <v>258</v>
      </c>
      <c r="J555" s="52">
        <v>196.99</v>
      </c>
      <c r="K555" s="54">
        <v>30</v>
      </c>
      <c r="L555" s="54">
        <v>168</v>
      </c>
      <c r="M555" s="54">
        <v>12</v>
      </c>
      <c r="N555" s="56">
        <v>1.2454000000000001</v>
      </c>
      <c r="O555" s="50"/>
      <c r="P555" s="52"/>
      <c r="Q555" s="54"/>
      <c r="R555" s="52"/>
      <c r="S555" s="52"/>
      <c r="T555" s="58"/>
      <c r="U555" s="54"/>
    </row>
    <row r="556" spans="1:21" x14ac:dyDescent="0.35">
      <c r="A556" s="51">
        <v>4008447</v>
      </c>
      <c r="B556" s="51" t="s">
        <v>2591</v>
      </c>
      <c r="C556" s="51" t="s">
        <v>1174</v>
      </c>
      <c r="D556" s="51">
        <v>10030908</v>
      </c>
      <c r="E556" s="51" t="s">
        <v>3276</v>
      </c>
      <c r="F556" s="51" t="s">
        <v>1173</v>
      </c>
      <c r="G556" s="51" t="s">
        <v>289</v>
      </c>
      <c r="H556" s="51"/>
      <c r="I556" s="51" t="s">
        <v>258</v>
      </c>
      <c r="J556" s="53">
        <v>19.11</v>
      </c>
      <c r="K556" s="55">
        <v>396</v>
      </c>
      <c r="L556" s="55">
        <v>4500</v>
      </c>
      <c r="M556" s="55">
        <v>24</v>
      </c>
      <c r="N556" s="57">
        <v>0.50490000000000002</v>
      </c>
      <c r="O556" s="51"/>
      <c r="P556" s="53">
        <v>85304</v>
      </c>
      <c r="Q556" s="55">
        <v>31</v>
      </c>
      <c r="R556" s="53">
        <v>4</v>
      </c>
      <c r="S556" s="53">
        <v>124</v>
      </c>
      <c r="T556" s="59"/>
      <c r="U556" s="55"/>
    </row>
    <row r="557" spans="1:21" x14ac:dyDescent="0.35">
      <c r="A557" s="50">
        <v>4008448</v>
      </c>
      <c r="B557" s="50" t="s">
        <v>2593</v>
      </c>
      <c r="C557" s="50" t="s">
        <v>1174</v>
      </c>
      <c r="D557" s="50">
        <v>10030908</v>
      </c>
      <c r="E557" s="50" t="s">
        <v>3276</v>
      </c>
      <c r="F557" s="50" t="s">
        <v>1173</v>
      </c>
      <c r="G557" s="50" t="s">
        <v>289</v>
      </c>
      <c r="H557" s="50"/>
      <c r="I557" s="50" t="s">
        <v>258</v>
      </c>
      <c r="J557" s="52">
        <v>20.420000000000002</v>
      </c>
      <c r="K557" s="54">
        <v>612</v>
      </c>
      <c r="L557" s="54">
        <v>7776</v>
      </c>
      <c r="M557" s="54">
        <v>24</v>
      </c>
      <c r="N557" s="56">
        <v>0.38490000000000002</v>
      </c>
      <c r="O557" s="50"/>
      <c r="P557" s="52">
        <v>159495</v>
      </c>
      <c r="Q557" s="54">
        <v>31</v>
      </c>
      <c r="R557" s="52">
        <v>7</v>
      </c>
      <c r="S557" s="52">
        <v>217</v>
      </c>
      <c r="T557" s="58"/>
      <c r="U557" s="54"/>
    </row>
    <row r="558" spans="1:21" x14ac:dyDescent="0.35">
      <c r="A558" s="51">
        <v>4008449</v>
      </c>
      <c r="B558" s="51" t="s">
        <v>2595</v>
      </c>
      <c r="C558" s="51" t="s">
        <v>1174</v>
      </c>
      <c r="D558" s="51">
        <v>10030908</v>
      </c>
      <c r="E558" s="51" t="s">
        <v>3276</v>
      </c>
      <c r="F558" s="51" t="s">
        <v>1173</v>
      </c>
      <c r="G558" s="51" t="s">
        <v>258</v>
      </c>
      <c r="H558" s="51"/>
      <c r="I558" s="51" t="s">
        <v>258</v>
      </c>
      <c r="J558" s="53">
        <v>25.25</v>
      </c>
      <c r="K558" s="55">
        <v>288</v>
      </c>
      <c r="L558" s="55">
        <v>648</v>
      </c>
      <c r="M558" s="55">
        <v>12</v>
      </c>
      <c r="N558" s="57">
        <v>1.2323</v>
      </c>
      <c r="O558" s="51"/>
      <c r="P558" s="53">
        <v>14576</v>
      </c>
      <c r="Q558" s="55">
        <v>4</v>
      </c>
      <c r="R558" s="53">
        <v>4</v>
      </c>
      <c r="S558" s="53">
        <v>20</v>
      </c>
      <c r="T558" s="59"/>
      <c r="U558" s="55"/>
    </row>
    <row r="559" spans="1:21" x14ac:dyDescent="0.35">
      <c r="A559" s="50">
        <v>4008451</v>
      </c>
      <c r="B559" s="50" t="s">
        <v>2599</v>
      </c>
      <c r="C559" s="50" t="s">
        <v>1174</v>
      </c>
      <c r="D559" s="50">
        <v>10030908</v>
      </c>
      <c r="E559" s="50" t="s">
        <v>3276</v>
      </c>
      <c r="F559" s="50" t="s">
        <v>1173</v>
      </c>
      <c r="G559" s="50" t="s">
        <v>258</v>
      </c>
      <c r="H559" s="50"/>
      <c r="I559" s="50" t="s">
        <v>258</v>
      </c>
      <c r="J559" s="52">
        <v>15.28</v>
      </c>
      <c r="K559" s="54">
        <v>216</v>
      </c>
      <c r="L559" s="54">
        <v>1944</v>
      </c>
      <c r="M559" s="54">
        <v>20</v>
      </c>
      <c r="N559" s="56">
        <v>0.69389999999999996</v>
      </c>
      <c r="O559" s="50"/>
      <c r="P559" s="52">
        <v>30250</v>
      </c>
      <c r="Q559" s="54">
        <v>23</v>
      </c>
      <c r="R559" s="52">
        <v>2.39</v>
      </c>
      <c r="S559" s="52">
        <v>59</v>
      </c>
      <c r="T559" s="58"/>
      <c r="U559" s="54"/>
    </row>
    <row r="560" spans="1:21" x14ac:dyDescent="0.35">
      <c r="A560" s="51">
        <v>4008453</v>
      </c>
      <c r="B560" s="51" t="s">
        <v>2603</v>
      </c>
      <c r="C560" s="51" t="s">
        <v>1174</v>
      </c>
      <c r="D560" s="51">
        <v>10030908</v>
      </c>
      <c r="E560" s="51" t="s">
        <v>3276</v>
      </c>
      <c r="F560" s="51" t="s">
        <v>1173</v>
      </c>
      <c r="G560" s="51" t="s">
        <v>258</v>
      </c>
      <c r="H560" s="51"/>
      <c r="I560" s="51" t="s">
        <v>258</v>
      </c>
      <c r="J560" s="53">
        <v>19.11</v>
      </c>
      <c r="K560" s="55">
        <v>504</v>
      </c>
      <c r="L560" s="55">
        <v>3492</v>
      </c>
      <c r="M560" s="55">
        <v>22</v>
      </c>
      <c r="N560" s="57">
        <v>0.69430000000000003</v>
      </c>
      <c r="O560" s="51"/>
      <c r="P560" s="53">
        <v>66042</v>
      </c>
      <c r="Q560" s="55">
        <v>16</v>
      </c>
      <c r="R560" s="53">
        <v>6</v>
      </c>
      <c r="S560" s="53">
        <v>96</v>
      </c>
      <c r="T560" s="59"/>
      <c r="U560" s="55"/>
    </row>
    <row r="561" spans="1:21" x14ac:dyDescent="0.35">
      <c r="A561" s="50">
        <v>4008454</v>
      </c>
      <c r="B561" s="50" t="s">
        <v>2605</v>
      </c>
      <c r="C561" s="50" t="s">
        <v>1174</v>
      </c>
      <c r="D561" s="50">
        <v>10030908</v>
      </c>
      <c r="E561" s="50" t="s">
        <v>3276</v>
      </c>
      <c r="F561" s="50" t="s">
        <v>1173</v>
      </c>
      <c r="G561" s="50" t="s">
        <v>289</v>
      </c>
      <c r="H561" s="50"/>
      <c r="I561" s="50" t="s">
        <v>258</v>
      </c>
      <c r="J561" s="52">
        <v>17.86</v>
      </c>
      <c r="K561" s="54">
        <v>432</v>
      </c>
      <c r="L561" s="54">
        <v>4500</v>
      </c>
      <c r="M561" s="54">
        <v>23</v>
      </c>
      <c r="N561" s="56">
        <v>0.65339999999999998</v>
      </c>
      <c r="O561" s="50"/>
      <c r="P561" s="52">
        <v>77154</v>
      </c>
      <c r="Q561" s="54">
        <v>20</v>
      </c>
      <c r="R561" s="52">
        <v>6</v>
      </c>
      <c r="S561" s="52">
        <v>122</v>
      </c>
      <c r="T561" s="58"/>
      <c r="U561" s="54"/>
    </row>
    <row r="562" spans="1:21" x14ac:dyDescent="0.35">
      <c r="A562" s="51">
        <v>4008455</v>
      </c>
      <c r="B562" s="51" t="s">
        <v>2607</v>
      </c>
      <c r="C562" s="51" t="s">
        <v>1174</v>
      </c>
      <c r="D562" s="51">
        <v>10030908</v>
      </c>
      <c r="E562" s="51" t="s">
        <v>3276</v>
      </c>
      <c r="F562" s="51" t="s">
        <v>1173</v>
      </c>
      <c r="G562" s="51" t="s">
        <v>258</v>
      </c>
      <c r="H562" s="51"/>
      <c r="I562" s="51" t="s">
        <v>258</v>
      </c>
      <c r="J562" s="53">
        <v>19.11</v>
      </c>
      <c r="K562" s="55">
        <v>288</v>
      </c>
      <c r="L562" s="55">
        <v>2268</v>
      </c>
      <c r="M562" s="55">
        <v>15</v>
      </c>
      <c r="N562" s="57">
        <v>0.87160000000000004</v>
      </c>
      <c r="O562" s="51"/>
      <c r="P562" s="53">
        <v>44032</v>
      </c>
      <c r="Q562" s="55">
        <v>8</v>
      </c>
      <c r="R562" s="53">
        <v>8</v>
      </c>
      <c r="S562" s="53">
        <v>64</v>
      </c>
      <c r="T562" s="59"/>
      <c r="U562" s="55"/>
    </row>
    <row r="563" spans="1:21" x14ac:dyDescent="0.35">
      <c r="A563" s="50">
        <v>4008456</v>
      </c>
      <c r="B563" s="50" t="s">
        <v>2609</v>
      </c>
      <c r="C563" s="50" t="s">
        <v>1174</v>
      </c>
      <c r="D563" s="50">
        <v>10030908</v>
      </c>
      <c r="E563" s="50" t="s">
        <v>3276</v>
      </c>
      <c r="F563" s="50" t="s">
        <v>1173</v>
      </c>
      <c r="G563" s="50" t="s">
        <v>258</v>
      </c>
      <c r="H563" s="50"/>
      <c r="I563" s="50" t="s">
        <v>258</v>
      </c>
      <c r="J563" s="52">
        <v>17.850000000000001</v>
      </c>
      <c r="K563" s="54">
        <v>252</v>
      </c>
      <c r="L563" s="54">
        <v>612</v>
      </c>
      <c r="M563" s="54">
        <v>7</v>
      </c>
      <c r="N563" s="56">
        <v>2.0164</v>
      </c>
      <c r="O563" s="50"/>
      <c r="P563" s="52">
        <v>12858</v>
      </c>
      <c r="Q563" s="54">
        <v>5</v>
      </c>
      <c r="R563" s="52">
        <v>4</v>
      </c>
      <c r="S563" s="52">
        <v>20</v>
      </c>
      <c r="T563" s="58"/>
      <c r="U563" s="54"/>
    </row>
    <row r="564" spans="1:21" x14ac:dyDescent="0.35">
      <c r="A564" s="51">
        <v>4008457</v>
      </c>
      <c r="B564" s="51" t="s">
        <v>2611</v>
      </c>
      <c r="C564" s="51" t="s">
        <v>1174</v>
      </c>
      <c r="D564" s="51">
        <v>10030908</v>
      </c>
      <c r="E564" s="51" t="s">
        <v>3276</v>
      </c>
      <c r="F564" s="51" t="s">
        <v>1173</v>
      </c>
      <c r="G564" s="51" t="s">
        <v>258</v>
      </c>
      <c r="H564" s="51"/>
      <c r="I564" s="51" t="s">
        <v>258</v>
      </c>
      <c r="J564" s="53">
        <v>26.8</v>
      </c>
      <c r="K564" s="55">
        <v>432</v>
      </c>
      <c r="L564" s="55">
        <v>2520</v>
      </c>
      <c r="M564" s="55">
        <v>19</v>
      </c>
      <c r="N564" s="57">
        <v>0.8216</v>
      </c>
      <c r="O564" s="51"/>
      <c r="P564" s="53">
        <v>69480</v>
      </c>
      <c r="Q564" s="55">
        <v>12</v>
      </c>
      <c r="R564" s="53">
        <v>6</v>
      </c>
      <c r="S564" s="53">
        <v>70</v>
      </c>
      <c r="T564" s="59"/>
      <c r="U564" s="55"/>
    </row>
    <row r="565" spans="1:21" x14ac:dyDescent="0.35">
      <c r="A565" s="50">
        <v>4008458</v>
      </c>
      <c r="B565" s="50" t="s">
        <v>2613</v>
      </c>
      <c r="C565" s="50" t="s">
        <v>1174</v>
      </c>
      <c r="D565" s="50">
        <v>10030908</v>
      </c>
      <c r="E565" s="50" t="s">
        <v>3276</v>
      </c>
      <c r="F565" s="50" t="s">
        <v>1173</v>
      </c>
      <c r="G565" s="50" t="s">
        <v>258</v>
      </c>
      <c r="H565" s="50" t="s">
        <v>24</v>
      </c>
      <c r="I565" s="50" t="s">
        <v>258</v>
      </c>
      <c r="J565" s="52">
        <v>168.58</v>
      </c>
      <c r="K565" s="54">
        <v>180</v>
      </c>
      <c r="L565" s="54">
        <v>2184</v>
      </c>
      <c r="M565" s="54">
        <v>19</v>
      </c>
      <c r="N565" s="56">
        <v>0.59330000000000005</v>
      </c>
      <c r="O565" s="50"/>
      <c r="P565" s="52">
        <v>445060</v>
      </c>
      <c r="Q565" s="54">
        <v>43</v>
      </c>
      <c r="R565" s="52">
        <v>4.78</v>
      </c>
      <c r="S565" s="52">
        <v>213</v>
      </c>
      <c r="T565" s="58"/>
      <c r="U565" s="54"/>
    </row>
    <row r="566" spans="1:21" x14ac:dyDescent="0.35">
      <c r="A566" s="51">
        <v>4008460</v>
      </c>
      <c r="B566" s="51" t="s">
        <v>2617</v>
      </c>
      <c r="C566" s="51" t="s">
        <v>1174</v>
      </c>
      <c r="D566" s="51">
        <v>10030908</v>
      </c>
      <c r="E566" s="51" t="s">
        <v>3276</v>
      </c>
      <c r="F566" s="51" t="s">
        <v>1173</v>
      </c>
      <c r="G566" s="51" t="s">
        <v>258</v>
      </c>
      <c r="H566" s="51"/>
      <c r="I566" s="51" t="s">
        <v>258</v>
      </c>
      <c r="J566" s="53">
        <v>25.5</v>
      </c>
      <c r="K566" s="55">
        <v>180</v>
      </c>
      <c r="L566" s="55">
        <v>1188</v>
      </c>
      <c r="M566" s="55">
        <v>13</v>
      </c>
      <c r="N566" s="57">
        <v>1.2025999999999999</v>
      </c>
      <c r="O566" s="51"/>
      <c r="P566" s="53">
        <v>29374</v>
      </c>
      <c r="Q566" s="55">
        <v>8</v>
      </c>
      <c r="R566" s="53">
        <v>4</v>
      </c>
      <c r="S566" s="53">
        <v>32</v>
      </c>
      <c r="T566" s="59"/>
      <c r="U566" s="55"/>
    </row>
    <row r="567" spans="1:21" x14ac:dyDescent="0.35">
      <c r="A567" s="50">
        <v>4008461</v>
      </c>
      <c r="B567" s="50" t="s">
        <v>2619</v>
      </c>
      <c r="C567" s="50" t="s">
        <v>1174</v>
      </c>
      <c r="D567" s="50">
        <v>10030908</v>
      </c>
      <c r="E567" s="50" t="s">
        <v>3276</v>
      </c>
      <c r="F567" s="50" t="s">
        <v>1173</v>
      </c>
      <c r="G567" s="50" t="s">
        <v>258</v>
      </c>
      <c r="H567" s="50"/>
      <c r="I567" s="50" t="s">
        <v>258</v>
      </c>
      <c r="J567" s="52">
        <v>24.18</v>
      </c>
      <c r="K567" s="54">
        <v>180</v>
      </c>
      <c r="L567" s="54">
        <v>504</v>
      </c>
      <c r="M567" s="54">
        <v>7</v>
      </c>
      <c r="N567" s="56">
        <v>1.9742999999999999</v>
      </c>
      <c r="O567" s="50"/>
      <c r="P567" s="52">
        <v>12221</v>
      </c>
      <c r="Q567" s="54">
        <v>7</v>
      </c>
      <c r="R567" s="52">
        <v>2</v>
      </c>
      <c r="S567" s="52">
        <v>14</v>
      </c>
      <c r="T567" s="58"/>
      <c r="U567" s="54"/>
    </row>
    <row r="568" spans="1:21" x14ac:dyDescent="0.35">
      <c r="A568" s="51">
        <v>4008462</v>
      </c>
      <c r="B568" s="51" t="s">
        <v>2621</v>
      </c>
      <c r="C568" s="51" t="s">
        <v>1174</v>
      </c>
      <c r="D568" s="51">
        <v>10030908</v>
      </c>
      <c r="E568" s="51" t="s">
        <v>3276</v>
      </c>
      <c r="F568" s="51" t="s">
        <v>1173</v>
      </c>
      <c r="G568" s="51" t="s">
        <v>271</v>
      </c>
      <c r="H568" s="51"/>
      <c r="I568" s="51" t="s">
        <v>258</v>
      </c>
      <c r="J568" s="53">
        <v>35.69</v>
      </c>
      <c r="K568" s="55">
        <v>431</v>
      </c>
      <c r="L568" s="55">
        <v>8858</v>
      </c>
      <c r="M568" s="55">
        <v>23</v>
      </c>
      <c r="N568" s="57">
        <v>0.33710000000000001</v>
      </c>
      <c r="O568" s="51"/>
      <c r="P568" s="53">
        <v>314825</v>
      </c>
      <c r="Q568" s="55">
        <v>35</v>
      </c>
      <c r="R568" s="53">
        <v>7</v>
      </c>
      <c r="S568" s="53">
        <v>245</v>
      </c>
      <c r="T568" s="59"/>
      <c r="U568" s="55"/>
    </row>
    <row r="569" spans="1:21" x14ac:dyDescent="0.35">
      <c r="A569" s="50">
        <v>4008463</v>
      </c>
      <c r="B569" s="50" t="s">
        <v>2623</v>
      </c>
      <c r="C569" s="50" t="s">
        <v>1174</v>
      </c>
      <c r="D569" s="50">
        <v>10030908</v>
      </c>
      <c r="E569" s="50" t="s">
        <v>3276</v>
      </c>
      <c r="F569" s="50" t="s">
        <v>1173</v>
      </c>
      <c r="G569" s="50" t="s">
        <v>258</v>
      </c>
      <c r="H569" s="50"/>
      <c r="I569" s="50" t="s">
        <v>258</v>
      </c>
      <c r="J569" s="52">
        <v>20.41</v>
      </c>
      <c r="K569" s="54">
        <v>324</v>
      </c>
      <c r="L569" s="54">
        <v>880</v>
      </c>
      <c r="M569" s="54">
        <v>17</v>
      </c>
      <c r="N569" s="56">
        <v>0.89049999999999996</v>
      </c>
      <c r="O569" s="50"/>
      <c r="P569" s="52">
        <v>22050</v>
      </c>
      <c r="Q569" s="54">
        <v>5</v>
      </c>
      <c r="R569" s="52">
        <v>18</v>
      </c>
      <c r="S569" s="52">
        <v>90</v>
      </c>
      <c r="T569" s="58"/>
      <c r="U569" s="54"/>
    </row>
    <row r="570" spans="1:21" x14ac:dyDescent="0.35">
      <c r="A570" s="51">
        <v>4008464</v>
      </c>
      <c r="B570" s="51" t="s">
        <v>2625</v>
      </c>
      <c r="C570" s="51" t="s">
        <v>1174</v>
      </c>
      <c r="D570" s="51">
        <v>10030908</v>
      </c>
      <c r="E570" s="51" t="s">
        <v>3276</v>
      </c>
      <c r="F570" s="51" t="s">
        <v>1173</v>
      </c>
      <c r="G570" s="51" t="s">
        <v>258</v>
      </c>
      <c r="H570" s="51"/>
      <c r="I570" s="51" t="s">
        <v>258</v>
      </c>
      <c r="J570" s="53">
        <v>53.62</v>
      </c>
      <c r="K570" s="55">
        <v>156</v>
      </c>
      <c r="L570" s="55">
        <v>516</v>
      </c>
      <c r="M570" s="55">
        <v>17</v>
      </c>
      <c r="N570" s="57">
        <v>1.1160000000000001</v>
      </c>
      <c r="O570" s="51"/>
      <c r="P570" s="53">
        <v>25716</v>
      </c>
      <c r="Q570" s="55">
        <v>10</v>
      </c>
      <c r="R570" s="53">
        <v>4</v>
      </c>
      <c r="S570" s="53">
        <v>40</v>
      </c>
      <c r="T570" s="59"/>
      <c r="U570" s="55"/>
    </row>
    <row r="571" spans="1:21" x14ac:dyDescent="0.35">
      <c r="A571" s="50">
        <v>4008465</v>
      </c>
      <c r="B571" s="50" t="s">
        <v>2627</v>
      </c>
      <c r="C571" s="50" t="s">
        <v>1174</v>
      </c>
      <c r="D571" s="50">
        <v>10040106</v>
      </c>
      <c r="E571" s="50" t="s">
        <v>3282</v>
      </c>
      <c r="F571" s="50" t="s">
        <v>1173</v>
      </c>
      <c r="G571" s="50" t="s">
        <v>271</v>
      </c>
      <c r="H571" s="50" t="s">
        <v>141</v>
      </c>
      <c r="I571" s="50" t="s">
        <v>258</v>
      </c>
      <c r="J571" s="52">
        <v>3.27</v>
      </c>
      <c r="K571" s="54">
        <v>12500</v>
      </c>
      <c r="L571" s="54">
        <v>125150</v>
      </c>
      <c r="M571" s="54">
        <v>24</v>
      </c>
      <c r="N571" s="56">
        <v>0.34350000000000003</v>
      </c>
      <c r="O571" s="50"/>
      <c r="P571" s="52">
        <v>326924</v>
      </c>
      <c r="Q571" s="54">
        <v>28</v>
      </c>
      <c r="R571" s="52">
        <v>69.790000000000006</v>
      </c>
      <c r="S571" s="52">
        <v>2024</v>
      </c>
      <c r="T571" s="58"/>
      <c r="U571" s="54"/>
    </row>
    <row r="572" spans="1:21" x14ac:dyDescent="0.35">
      <c r="A572" s="51">
        <v>4008466</v>
      </c>
      <c r="B572" s="51" t="s">
        <v>2629</v>
      </c>
      <c r="C572" s="51" t="s">
        <v>1174</v>
      </c>
      <c r="D572" s="51">
        <v>10040106</v>
      </c>
      <c r="E572" s="51" t="s">
        <v>3282</v>
      </c>
      <c r="F572" s="51" t="s">
        <v>1173</v>
      </c>
      <c r="G572" s="51" t="s">
        <v>271</v>
      </c>
      <c r="H572" s="51" t="s">
        <v>141</v>
      </c>
      <c r="I572" s="51" t="s">
        <v>258</v>
      </c>
      <c r="J572" s="53">
        <v>3.28</v>
      </c>
      <c r="K572" s="55">
        <v>12350</v>
      </c>
      <c r="L572" s="55">
        <v>339500</v>
      </c>
      <c r="M572" s="55">
        <v>24</v>
      </c>
      <c r="N572" s="57">
        <v>0.16700000000000001</v>
      </c>
      <c r="O572" s="51"/>
      <c r="P572" s="53"/>
      <c r="Q572" s="55"/>
      <c r="R572" s="53"/>
      <c r="S572" s="53"/>
      <c r="T572" s="59"/>
      <c r="U572" s="55"/>
    </row>
    <row r="573" spans="1:21" x14ac:dyDescent="0.35">
      <c r="A573" s="50">
        <v>4008471</v>
      </c>
      <c r="B573" s="50" t="s">
        <v>2639</v>
      </c>
      <c r="C573" s="50" t="s">
        <v>1174</v>
      </c>
      <c r="D573" s="50">
        <v>10050801</v>
      </c>
      <c r="E573" s="50" t="s">
        <v>3321</v>
      </c>
      <c r="F573" s="50" t="s">
        <v>1173</v>
      </c>
      <c r="G573" s="50" t="s">
        <v>258</v>
      </c>
      <c r="H573" s="50"/>
      <c r="I573" s="50" t="s">
        <v>258</v>
      </c>
      <c r="J573" s="52">
        <v>24.61</v>
      </c>
      <c r="K573" s="54">
        <v>230</v>
      </c>
      <c r="L573" s="54">
        <v>190</v>
      </c>
      <c r="M573" s="54">
        <v>10</v>
      </c>
      <c r="N573" s="56">
        <v>1.2621</v>
      </c>
      <c r="O573" s="50"/>
      <c r="P573" s="52">
        <v>8100</v>
      </c>
      <c r="Q573" s="54">
        <v>3</v>
      </c>
      <c r="R573" s="52">
        <v>10</v>
      </c>
      <c r="S573" s="52">
        <v>30</v>
      </c>
      <c r="T573" s="58"/>
      <c r="U573" s="54"/>
    </row>
    <row r="574" spans="1:21" x14ac:dyDescent="0.35">
      <c r="A574" s="51">
        <v>4008473</v>
      </c>
      <c r="B574" s="51" t="s">
        <v>2643</v>
      </c>
      <c r="C574" s="51" t="s">
        <v>1174</v>
      </c>
      <c r="D574" s="51">
        <v>10060499</v>
      </c>
      <c r="E574" s="51" t="s">
        <v>3329</v>
      </c>
      <c r="F574" s="51" t="s">
        <v>1173</v>
      </c>
      <c r="G574" s="51" t="s">
        <v>258</v>
      </c>
      <c r="H574" s="51"/>
      <c r="I574" s="51" t="s">
        <v>258</v>
      </c>
      <c r="J574" s="53">
        <v>0.50380000000000003</v>
      </c>
      <c r="K574" s="55">
        <v>100</v>
      </c>
      <c r="L574" s="55">
        <v>470</v>
      </c>
      <c r="M574" s="55">
        <v>19</v>
      </c>
      <c r="N574" s="57">
        <v>0.75849999999999995</v>
      </c>
      <c r="O574" s="51"/>
      <c r="P574" s="53">
        <v>255</v>
      </c>
      <c r="Q574" s="55">
        <v>16</v>
      </c>
      <c r="R574" s="53">
        <v>3</v>
      </c>
      <c r="S574" s="53">
        <v>48</v>
      </c>
      <c r="T574" s="59"/>
      <c r="U574" s="55"/>
    </row>
    <row r="575" spans="1:21" x14ac:dyDescent="0.35">
      <c r="A575" s="50">
        <v>4008475</v>
      </c>
      <c r="B575" s="50" t="s">
        <v>2647</v>
      </c>
      <c r="C575" s="50" t="s">
        <v>1174</v>
      </c>
      <c r="D575" s="50">
        <v>10050701</v>
      </c>
      <c r="E575" s="50" t="s">
        <v>3320</v>
      </c>
      <c r="F575" s="50" t="s">
        <v>1173</v>
      </c>
      <c r="G575" s="50" t="s">
        <v>258</v>
      </c>
      <c r="H575" s="50"/>
      <c r="I575" s="50" t="s">
        <v>258</v>
      </c>
      <c r="J575" s="52">
        <v>1E-3</v>
      </c>
      <c r="K575" s="54">
        <v>140</v>
      </c>
      <c r="L575" s="54">
        <v>120</v>
      </c>
      <c r="M575" s="54">
        <v>6</v>
      </c>
      <c r="N575" s="56">
        <v>2.2361</v>
      </c>
      <c r="O575" s="50"/>
      <c r="P575" s="52">
        <v>0.1</v>
      </c>
      <c r="Q575" s="54">
        <v>3</v>
      </c>
      <c r="R575" s="52">
        <v>5</v>
      </c>
      <c r="S575" s="52">
        <v>15</v>
      </c>
      <c r="T575" s="58"/>
      <c r="U575" s="54"/>
    </row>
    <row r="576" spans="1:21" x14ac:dyDescent="0.35">
      <c r="A576" s="51">
        <v>4008476</v>
      </c>
      <c r="B576" s="51" t="s">
        <v>2649</v>
      </c>
      <c r="C576" s="51" t="s">
        <v>1174</v>
      </c>
      <c r="D576" s="51">
        <v>10060499</v>
      </c>
      <c r="E576" s="51" t="s">
        <v>3329</v>
      </c>
      <c r="F576" s="51" t="s">
        <v>1173</v>
      </c>
      <c r="G576" s="51" t="s">
        <v>258</v>
      </c>
      <c r="H576" s="51"/>
      <c r="I576" s="51" t="s">
        <v>258</v>
      </c>
      <c r="J576" s="53">
        <v>3</v>
      </c>
      <c r="K576" s="55">
        <v>120</v>
      </c>
      <c r="L576" s="55">
        <v>330</v>
      </c>
      <c r="M576" s="55">
        <v>7</v>
      </c>
      <c r="N576" s="57">
        <v>1.6638999999999999</v>
      </c>
      <c r="O576" s="51"/>
      <c r="P576" s="53">
        <v>30</v>
      </c>
      <c r="Q576" s="55">
        <v>5</v>
      </c>
      <c r="R576" s="53">
        <v>2</v>
      </c>
      <c r="S576" s="53">
        <v>10</v>
      </c>
      <c r="T576" s="59"/>
      <c r="U576" s="55"/>
    </row>
    <row r="577" spans="1:21" x14ac:dyDescent="0.35">
      <c r="A577" s="50">
        <v>4008481</v>
      </c>
      <c r="B577" s="50" t="s">
        <v>2653</v>
      </c>
      <c r="C577" s="50" t="s">
        <v>1174</v>
      </c>
      <c r="D577" s="50">
        <v>10050801</v>
      </c>
      <c r="E577" s="50" t="s">
        <v>3321</v>
      </c>
      <c r="F577" s="50" t="s">
        <v>1178</v>
      </c>
      <c r="G577" s="50" t="s">
        <v>258</v>
      </c>
      <c r="H577" s="50"/>
      <c r="I577" s="50" t="s">
        <v>258</v>
      </c>
      <c r="J577" s="52">
        <v>5.21</v>
      </c>
      <c r="K577" s="54">
        <v>228</v>
      </c>
      <c r="L577" s="54">
        <v>360</v>
      </c>
      <c r="M577" s="54">
        <v>8</v>
      </c>
      <c r="N577" s="56">
        <v>1.8654999999999999</v>
      </c>
      <c r="O577" s="50"/>
      <c r="P577" s="52">
        <v>1882.8</v>
      </c>
      <c r="Q577" s="54">
        <v>5</v>
      </c>
      <c r="R577" s="52">
        <v>6</v>
      </c>
      <c r="S577" s="52">
        <v>30</v>
      </c>
      <c r="T577" s="58"/>
      <c r="U577" s="54"/>
    </row>
    <row r="578" spans="1:21" x14ac:dyDescent="0.35">
      <c r="A578" s="51">
        <v>4008490</v>
      </c>
      <c r="B578" s="51" t="s">
        <v>2659</v>
      </c>
      <c r="C578" s="51" t="s">
        <v>1174</v>
      </c>
      <c r="D578" s="51">
        <v>10050104</v>
      </c>
      <c r="E578" s="51" t="s">
        <v>3291</v>
      </c>
      <c r="F578" s="51" t="s">
        <v>1175</v>
      </c>
      <c r="G578" s="51" t="s">
        <v>258</v>
      </c>
      <c r="H578" s="51" t="s">
        <v>24</v>
      </c>
      <c r="I578" s="51" t="s">
        <v>258</v>
      </c>
      <c r="J578" s="53">
        <v>84.21</v>
      </c>
      <c r="K578" s="55">
        <v>20</v>
      </c>
      <c r="L578" s="55">
        <v>610</v>
      </c>
      <c r="M578" s="55">
        <v>23</v>
      </c>
      <c r="N578" s="57">
        <v>0.58989999999999998</v>
      </c>
      <c r="O578" s="51"/>
      <c r="P578" s="53"/>
      <c r="Q578" s="55"/>
      <c r="R578" s="53"/>
      <c r="S578" s="53"/>
      <c r="T578" s="59"/>
      <c r="U578" s="55"/>
    </row>
    <row r="579" spans="1:21" x14ac:dyDescent="0.35">
      <c r="A579" s="50">
        <v>4008506</v>
      </c>
      <c r="B579" s="50" t="s">
        <v>2663</v>
      </c>
      <c r="C579" s="50" t="s">
        <v>1174</v>
      </c>
      <c r="D579" s="50">
        <v>10050604</v>
      </c>
      <c r="E579" s="50" t="s">
        <v>3312</v>
      </c>
      <c r="F579" s="50" t="s">
        <v>1180</v>
      </c>
      <c r="G579" s="50"/>
      <c r="H579" s="50"/>
      <c r="I579" s="50" t="s">
        <v>258</v>
      </c>
      <c r="J579" s="52">
        <v>4.83</v>
      </c>
      <c r="K579" s="54">
        <v>750</v>
      </c>
      <c r="L579" s="54">
        <v>17950</v>
      </c>
      <c r="M579" s="54">
        <v>19</v>
      </c>
      <c r="N579" s="56">
        <v>0.67720000000000002</v>
      </c>
      <c r="O579" s="50"/>
      <c r="P579" s="52">
        <v>90887.08</v>
      </c>
      <c r="Q579" s="54">
        <v>31</v>
      </c>
      <c r="R579" s="52">
        <v>2</v>
      </c>
      <c r="S579" s="52">
        <v>62</v>
      </c>
      <c r="T579" s="58"/>
      <c r="U579" s="54"/>
    </row>
    <row r="580" spans="1:21" x14ac:dyDescent="0.35">
      <c r="A580" s="51">
        <v>4008507</v>
      </c>
      <c r="B580" s="51" t="s">
        <v>2665</v>
      </c>
      <c r="C580" s="51" t="s">
        <v>1174</v>
      </c>
      <c r="D580" s="51">
        <v>10050604</v>
      </c>
      <c r="E580" s="51" t="s">
        <v>3312</v>
      </c>
      <c r="F580" s="51" t="s">
        <v>1180</v>
      </c>
      <c r="G580" s="51"/>
      <c r="H580" s="51"/>
      <c r="I580" s="51" t="s">
        <v>258</v>
      </c>
      <c r="J580" s="53">
        <v>4.83</v>
      </c>
      <c r="K580" s="55">
        <v>1500</v>
      </c>
      <c r="L580" s="55">
        <v>21250</v>
      </c>
      <c r="M580" s="55">
        <v>23</v>
      </c>
      <c r="N580" s="57">
        <v>0.37930000000000003</v>
      </c>
      <c r="O580" s="51"/>
      <c r="P580" s="53">
        <v>113550.54</v>
      </c>
      <c r="Q580" s="55">
        <v>33</v>
      </c>
      <c r="R580" s="53">
        <v>2.11</v>
      </c>
      <c r="S580" s="53">
        <v>76</v>
      </c>
      <c r="T580" s="59"/>
      <c r="U580" s="55"/>
    </row>
    <row r="581" spans="1:21" x14ac:dyDescent="0.35">
      <c r="A581" s="50">
        <v>4008508</v>
      </c>
      <c r="B581" s="50" t="s">
        <v>2667</v>
      </c>
      <c r="C581" s="50" t="s">
        <v>1174</v>
      </c>
      <c r="D581" s="50">
        <v>10050604</v>
      </c>
      <c r="E581" s="50" t="s">
        <v>3312</v>
      </c>
      <c r="F581" s="50" t="s">
        <v>1180</v>
      </c>
      <c r="G581" s="50"/>
      <c r="H581" s="50"/>
      <c r="I581" s="50" t="s">
        <v>258</v>
      </c>
      <c r="J581" s="52">
        <v>4.83</v>
      </c>
      <c r="K581" s="54">
        <v>1250</v>
      </c>
      <c r="L581" s="54">
        <v>20950</v>
      </c>
      <c r="M581" s="54">
        <v>24</v>
      </c>
      <c r="N581" s="56">
        <v>0.4199</v>
      </c>
      <c r="O581" s="50"/>
      <c r="P581" s="52">
        <v>113966.44</v>
      </c>
      <c r="Q581" s="54">
        <v>29</v>
      </c>
      <c r="R581" s="52">
        <v>2.2999999999999998</v>
      </c>
      <c r="S581" s="52">
        <v>76</v>
      </c>
      <c r="T581" s="58"/>
      <c r="U581" s="54"/>
    </row>
    <row r="582" spans="1:21" x14ac:dyDescent="0.35">
      <c r="A582" s="51">
        <v>4008511</v>
      </c>
      <c r="B582" s="51" t="s">
        <v>2671</v>
      </c>
      <c r="C582" s="51" t="s">
        <v>1174</v>
      </c>
      <c r="D582" s="51">
        <v>10060103</v>
      </c>
      <c r="E582" s="51" t="s">
        <v>3324</v>
      </c>
      <c r="F582" s="51" t="s">
        <v>1173</v>
      </c>
      <c r="G582" s="51"/>
      <c r="H582" s="51"/>
      <c r="I582" s="51" t="s">
        <v>258</v>
      </c>
      <c r="J582" s="53">
        <v>93.73</v>
      </c>
      <c r="K582" s="55">
        <v>22</v>
      </c>
      <c r="L582" s="55">
        <v>106</v>
      </c>
      <c r="M582" s="55">
        <v>5</v>
      </c>
      <c r="N582" s="57">
        <v>2.8877000000000002</v>
      </c>
      <c r="O582" s="51" t="s">
        <v>3230</v>
      </c>
      <c r="P582" s="53">
        <v>10200</v>
      </c>
      <c r="Q582" s="55">
        <v>6</v>
      </c>
      <c r="R582" s="53">
        <v>1.1100000000000001</v>
      </c>
      <c r="S582" s="53">
        <v>10</v>
      </c>
      <c r="T582" s="59"/>
      <c r="U582" s="55"/>
    </row>
    <row r="583" spans="1:21" x14ac:dyDescent="0.35">
      <c r="A583" s="50">
        <v>4008530</v>
      </c>
      <c r="B583" s="50" t="s">
        <v>2673</v>
      </c>
      <c r="C583" s="50" t="s">
        <v>1174</v>
      </c>
      <c r="D583" s="50">
        <v>10060102</v>
      </c>
      <c r="E583" s="50" t="s">
        <v>3323</v>
      </c>
      <c r="F583" s="50" t="s">
        <v>1173</v>
      </c>
      <c r="G583" s="50"/>
      <c r="H583" s="50" t="s">
        <v>24</v>
      </c>
      <c r="I583" s="50" t="s">
        <v>258</v>
      </c>
      <c r="J583" s="52">
        <v>0.01</v>
      </c>
      <c r="K583" s="54">
        <v>85</v>
      </c>
      <c r="L583" s="54">
        <v>7631</v>
      </c>
      <c r="M583" s="54">
        <v>21</v>
      </c>
      <c r="N583" s="56">
        <v>0.62739999999999996</v>
      </c>
      <c r="O583" s="50"/>
      <c r="P583" s="52"/>
      <c r="Q583" s="54"/>
      <c r="R583" s="52"/>
      <c r="S583" s="52"/>
      <c r="T583" s="58"/>
      <c r="U583" s="54"/>
    </row>
    <row r="584" spans="1:21" x14ac:dyDescent="0.35">
      <c r="A584" s="51">
        <v>4008559</v>
      </c>
      <c r="B584" s="51" t="s">
        <v>2679</v>
      </c>
      <c r="C584" s="51" t="s">
        <v>1174</v>
      </c>
      <c r="D584" s="51">
        <v>10030903</v>
      </c>
      <c r="E584" s="51" t="s">
        <v>3271</v>
      </c>
      <c r="F584" s="51" t="s">
        <v>1173</v>
      </c>
      <c r="G584" s="51" t="s">
        <v>258</v>
      </c>
      <c r="H584" s="51"/>
      <c r="I584" s="51" t="s">
        <v>258</v>
      </c>
      <c r="J584" s="53">
        <v>15</v>
      </c>
      <c r="K584" s="55">
        <v>100</v>
      </c>
      <c r="L584" s="55">
        <v>925</v>
      </c>
      <c r="M584" s="55">
        <v>13</v>
      </c>
      <c r="N584" s="57">
        <v>1.1479999999999999</v>
      </c>
      <c r="O584" s="51"/>
      <c r="P584" s="53">
        <v>14500</v>
      </c>
      <c r="Q584" s="55">
        <v>9</v>
      </c>
      <c r="R584" s="53">
        <v>4</v>
      </c>
      <c r="S584" s="53">
        <v>36</v>
      </c>
      <c r="T584" s="59"/>
      <c r="U584" s="55"/>
    </row>
    <row r="585" spans="1:21" x14ac:dyDescent="0.35">
      <c r="A585" s="50">
        <v>4008589</v>
      </c>
      <c r="B585" s="50" t="s">
        <v>2683</v>
      </c>
      <c r="C585" s="50" t="s">
        <v>1174</v>
      </c>
      <c r="D585" s="50">
        <v>10050504</v>
      </c>
      <c r="E585" s="50" t="s">
        <v>3305</v>
      </c>
      <c r="F585" s="50" t="s">
        <v>1173</v>
      </c>
      <c r="G585" s="50" t="s">
        <v>258</v>
      </c>
      <c r="H585" s="50"/>
      <c r="I585" s="50" t="s">
        <v>258</v>
      </c>
      <c r="J585" s="52">
        <v>141.75</v>
      </c>
      <c r="K585" s="54">
        <v>60</v>
      </c>
      <c r="L585" s="54">
        <v>355</v>
      </c>
      <c r="M585" s="54">
        <v>16</v>
      </c>
      <c r="N585" s="56">
        <v>1.1231</v>
      </c>
      <c r="O585" s="50"/>
      <c r="P585" s="52">
        <v>49150</v>
      </c>
      <c r="Q585" s="54">
        <v>5</v>
      </c>
      <c r="R585" s="52">
        <v>14</v>
      </c>
      <c r="S585" s="52">
        <v>90</v>
      </c>
      <c r="T585" s="58"/>
      <c r="U585" s="54"/>
    </row>
    <row r="586" spans="1:21" x14ac:dyDescent="0.35">
      <c r="A586" s="51">
        <v>4008609</v>
      </c>
      <c r="B586" s="51" t="s">
        <v>2685</v>
      </c>
      <c r="C586" s="51" t="s">
        <v>1174</v>
      </c>
      <c r="D586" s="51">
        <v>10030908</v>
      </c>
      <c r="E586" s="51" t="s">
        <v>3276</v>
      </c>
      <c r="F586" s="51" t="s">
        <v>1173</v>
      </c>
      <c r="G586" s="51" t="s">
        <v>258</v>
      </c>
      <c r="H586" s="51"/>
      <c r="I586" s="51" t="s">
        <v>258</v>
      </c>
      <c r="J586" s="53">
        <v>20.34</v>
      </c>
      <c r="K586" s="55">
        <v>144</v>
      </c>
      <c r="L586" s="55">
        <v>492</v>
      </c>
      <c r="M586" s="55">
        <v>6</v>
      </c>
      <c r="N586" s="57">
        <v>2.4104000000000001</v>
      </c>
      <c r="O586" s="51"/>
      <c r="P586" s="53">
        <v>7350</v>
      </c>
      <c r="Q586" s="55">
        <v>5</v>
      </c>
      <c r="R586" s="53">
        <v>6</v>
      </c>
      <c r="S586" s="53">
        <v>30</v>
      </c>
      <c r="T586" s="59"/>
      <c r="U586" s="55"/>
    </row>
    <row r="587" spans="1:21" x14ac:dyDescent="0.35">
      <c r="A587" s="50">
        <v>4009078</v>
      </c>
      <c r="B587" s="50" t="s">
        <v>2689</v>
      </c>
      <c r="C587" s="50" t="s">
        <v>1174</v>
      </c>
      <c r="D587" s="50">
        <v>10050505</v>
      </c>
      <c r="E587" s="50" t="s">
        <v>3306</v>
      </c>
      <c r="F587" s="50" t="s">
        <v>1173</v>
      </c>
      <c r="G587" s="50" t="s">
        <v>271</v>
      </c>
      <c r="H587" s="50"/>
      <c r="I587" s="50" t="s">
        <v>258</v>
      </c>
      <c r="J587" s="52">
        <v>9.6</v>
      </c>
      <c r="K587" s="54">
        <v>638</v>
      </c>
      <c r="L587" s="54">
        <v>42890</v>
      </c>
      <c r="M587" s="54">
        <v>24</v>
      </c>
      <c r="N587" s="56">
        <v>0.20399999999999999</v>
      </c>
      <c r="O587" s="50"/>
      <c r="P587" s="52">
        <v>193480</v>
      </c>
      <c r="Q587" s="54">
        <v>5</v>
      </c>
      <c r="R587" s="52">
        <v>1600</v>
      </c>
      <c r="S587" s="52">
        <v>8000</v>
      </c>
      <c r="T587" s="58"/>
      <c r="U587" s="54"/>
    </row>
    <row r="588" spans="1:21" x14ac:dyDescent="0.35">
      <c r="A588" s="51">
        <v>4009081</v>
      </c>
      <c r="B588" s="51" t="s">
        <v>2691</v>
      </c>
      <c r="C588" s="51" t="s">
        <v>1174</v>
      </c>
      <c r="D588" s="51">
        <v>10030703</v>
      </c>
      <c r="E588" s="51" t="s">
        <v>3265</v>
      </c>
      <c r="F588" s="51" t="s">
        <v>1175</v>
      </c>
      <c r="G588" s="51" t="s">
        <v>271</v>
      </c>
      <c r="H588" s="51"/>
      <c r="I588" s="51" t="s">
        <v>271</v>
      </c>
      <c r="J588" s="53">
        <v>216</v>
      </c>
      <c r="K588" s="55">
        <v>180</v>
      </c>
      <c r="L588" s="55">
        <v>4026</v>
      </c>
      <c r="M588" s="55">
        <v>24</v>
      </c>
      <c r="N588" s="57">
        <v>0.4597</v>
      </c>
      <c r="O588" s="51"/>
      <c r="P588" s="53">
        <v>916510</v>
      </c>
      <c r="Q588" s="55">
        <v>30</v>
      </c>
      <c r="R588" s="53">
        <v>7.3</v>
      </c>
      <c r="S588" s="53">
        <v>219</v>
      </c>
      <c r="T588" s="59"/>
      <c r="U588" s="55"/>
    </row>
    <row r="589" spans="1:21" x14ac:dyDescent="0.35">
      <c r="A589" s="50">
        <v>4009084</v>
      </c>
      <c r="B589" s="50" t="s">
        <v>2695</v>
      </c>
      <c r="C589" s="50" t="s">
        <v>1174</v>
      </c>
      <c r="D589" s="50">
        <v>10050103</v>
      </c>
      <c r="E589" s="50" t="s">
        <v>3290</v>
      </c>
      <c r="F589" s="50" t="s">
        <v>1173</v>
      </c>
      <c r="G589" s="50" t="s">
        <v>271</v>
      </c>
      <c r="H589" s="50" t="s">
        <v>24</v>
      </c>
      <c r="I589" s="50" t="s">
        <v>289</v>
      </c>
      <c r="J589" s="52">
        <v>53.68</v>
      </c>
      <c r="K589" s="54">
        <v>270</v>
      </c>
      <c r="L589" s="54">
        <v>34854</v>
      </c>
      <c r="M589" s="54">
        <v>24</v>
      </c>
      <c r="N589" s="56">
        <v>0.18940000000000001</v>
      </c>
      <c r="O589" s="50"/>
      <c r="P589" s="52"/>
      <c r="Q589" s="54"/>
      <c r="R589" s="52"/>
      <c r="S589" s="52"/>
      <c r="T589" s="58"/>
      <c r="U589" s="54"/>
    </row>
    <row r="590" spans="1:21" x14ac:dyDescent="0.35">
      <c r="A590" s="51">
        <v>4009092</v>
      </c>
      <c r="B590" s="51" t="s">
        <v>2705</v>
      </c>
      <c r="C590" s="51" t="s">
        <v>1174</v>
      </c>
      <c r="D590" s="51">
        <v>10050602</v>
      </c>
      <c r="E590" s="51" t="s">
        <v>3310</v>
      </c>
      <c r="F590" s="51" t="s">
        <v>1173</v>
      </c>
      <c r="G590" s="51" t="s">
        <v>271</v>
      </c>
      <c r="H590" s="51"/>
      <c r="I590" s="51" t="s">
        <v>258</v>
      </c>
      <c r="J590" s="53">
        <v>344.95</v>
      </c>
      <c r="K590" s="55">
        <v>65</v>
      </c>
      <c r="L590" s="55">
        <v>2340</v>
      </c>
      <c r="M590" s="55">
        <v>24</v>
      </c>
      <c r="N590" s="57">
        <v>0.22109999999999999</v>
      </c>
      <c r="O590" s="51"/>
      <c r="P590" s="53"/>
      <c r="Q590" s="55"/>
      <c r="R590" s="53"/>
      <c r="S590" s="53"/>
      <c r="T590" s="59"/>
      <c r="U590" s="55"/>
    </row>
    <row r="591" spans="1:21" x14ac:dyDescent="0.35">
      <c r="A591" s="50">
        <v>4009221</v>
      </c>
      <c r="B591" s="50" t="s">
        <v>2707</v>
      </c>
      <c r="C591" s="50" t="s">
        <v>1174</v>
      </c>
      <c r="D591" s="50">
        <v>10050108</v>
      </c>
      <c r="E591" s="50" t="s">
        <v>3293</v>
      </c>
      <c r="F591" s="50" t="s">
        <v>1173</v>
      </c>
      <c r="G591" s="50" t="s">
        <v>271</v>
      </c>
      <c r="H591" s="50"/>
      <c r="I591" s="50"/>
      <c r="J591" s="52">
        <v>426.38</v>
      </c>
      <c r="K591" s="54">
        <v>115</v>
      </c>
      <c r="L591" s="54">
        <v>1010</v>
      </c>
      <c r="M591" s="54">
        <v>24</v>
      </c>
      <c r="N591" s="56">
        <v>0.21940000000000001</v>
      </c>
      <c r="O591" s="50"/>
      <c r="P591" s="52">
        <v>296400</v>
      </c>
      <c r="Q591" s="54">
        <v>11</v>
      </c>
      <c r="R591" s="52">
        <v>12.73</v>
      </c>
      <c r="S591" s="52">
        <v>140</v>
      </c>
      <c r="T591" s="58"/>
      <c r="U591" s="54"/>
    </row>
    <row r="592" spans="1:21" x14ac:dyDescent="0.35">
      <c r="A592" s="51">
        <v>4009223</v>
      </c>
      <c r="B592" s="51" t="s">
        <v>2709</v>
      </c>
      <c r="C592" s="51" t="s">
        <v>1174</v>
      </c>
      <c r="D592" s="51">
        <v>10050108</v>
      </c>
      <c r="E592" s="51" t="s">
        <v>3293</v>
      </c>
      <c r="F592" s="51" t="s">
        <v>1173</v>
      </c>
      <c r="G592" s="51" t="s">
        <v>289</v>
      </c>
      <c r="H592" s="51"/>
      <c r="I592" s="51"/>
      <c r="J592" s="53">
        <v>312.89</v>
      </c>
      <c r="K592" s="55">
        <v>26</v>
      </c>
      <c r="L592" s="55">
        <v>534</v>
      </c>
      <c r="M592" s="55">
        <v>24</v>
      </c>
      <c r="N592" s="57">
        <v>0.43580000000000002</v>
      </c>
      <c r="O592" s="51"/>
      <c r="P592" s="53">
        <v>150155</v>
      </c>
      <c r="Q592" s="55">
        <v>10</v>
      </c>
      <c r="R592" s="53">
        <v>10</v>
      </c>
      <c r="S592" s="53">
        <v>110</v>
      </c>
      <c r="T592" s="59"/>
      <c r="U592" s="55"/>
    </row>
    <row r="593" spans="1:21" x14ac:dyDescent="0.35">
      <c r="A593" s="50">
        <v>4009225</v>
      </c>
      <c r="B593" s="50" t="s">
        <v>2711</v>
      </c>
      <c r="C593" s="50" t="s">
        <v>1174</v>
      </c>
      <c r="D593" s="50">
        <v>10050108</v>
      </c>
      <c r="E593" s="50" t="s">
        <v>3293</v>
      </c>
      <c r="F593" s="50" t="s">
        <v>1173</v>
      </c>
      <c r="G593" s="50" t="s">
        <v>258</v>
      </c>
      <c r="H593" s="50"/>
      <c r="I593" s="50" t="s">
        <v>258</v>
      </c>
      <c r="J593" s="52">
        <v>583.71</v>
      </c>
      <c r="K593" s="54">
        <v>60</v>
      </c>
      <c r="L593" s="54">
        <v>40</v>
      </c>
      <c r="M593" s="54">
        <v>4</v>
      </c>
      <c r="N593" s="56">
        <v>2.6926000000000001</v>
      </c>
      <c r="O593" s="50" t="s">
        <v>3230</v>
      </c>
      <c r="P593" s="52"/>
      <c r="Q593" s="54"/>
      <c r="R593" s="52"/>
      <c r="S593" s="52"/>
      <c r="T593" s="58">
        <v>5</v>
      </c>
      <c r="U593" s="54">
        <v>1</v>
      </c>
    </row>
    <row r="594" spans="1:21" x14ac:dyDescent="0.35">
      <c r="A594" s="51">
        <v>4009250</v>
      </c>
      <c r="B594" s="51" t="s">
        <v>2717</v>
      </c>
      <c r="C594" s="51" t="s">
        <v>1174</v>
      </c>
      <c r="D594" s="51">
        <v>10030903</v>
      </c>
      <c r="E594" s="51" t="s">
        <v>3271</v>
      </c>
      <c r="F594" s="51" t="s">
        <v>1173</v>
      </c>
      <c r="G594" s="51" t="s">
        <v>271</v>
      </c>
      <c r="H594" s="51"/>
      <c r="I594" s="51" t="s">
        <v>258</v>
      </c>
      <c r="J594" s="53">
        <v>114.99</v>
      </c>
      <c r="K594" s="55">
        <v>192</v>
      </c>
      <c r="L594" s="55">
        <v>3426</v>
      </c>
      <c r="M594" s="55">
        <v>24</v>
      </c>
      <c r="N594" s="57">
        <v>0.22700000000000001</v>
      </c>
      <c r="O594" s="51"/>
      <c r="P594" s="53">
        <v>335616</v>
      </c>
      <c r="Q594" s="55">
        <v>37</v>
      </c>
      <c r="R594" s="53">
        <v>8</v>
      </c>
      <c r="S594" s="53">
        <v>296</v>
      </c>
      <c r="T594" s="59"/>
      <c r="U594" s="55"/>
    </row>
    <row r="595" spans="1:21" x14ac:dyDescent="0.35">
      <c r="A595" s="50">
        <v>4009251</v>
      </c>
      <c r="B595" s="50" t="s">
        <v>2719</v>
      </c>
      <c r="C595" s="50" t="s">
        <v>1174</v>
      </c>
      <c r="D595" s="50">
        <v>10050505</v>
      </c>
      <c r="E595" s="50" t="s">
        <v>3306</v>
      </c>
      <c r="F595" s="50" t="s">
        <v>1173</v>
      </c>
      <c r="G595" s="50" t="s">
        <v>258</v>
      </c>
      <c r="H595" s="50"/>
      <c r="I595" s="50"/>
      <c r="J595" s="52">
        <v>194.29</v>
      </c>
      <c r="K595" s="54">
        <v>100</v>
      </c>
      <c r="L595" s="54">
        <v>360</v>
      </c>
      <c r="M595" s="54">
        <v>10</v>
      </c>
      <c r="N595" s="56">
        <v>1.3472</v>
      </c>
      <c r="O595" s="50"/>
      <c r="P595" s="52">
        <v>56000</v>
      </c>
      <c r="Q595" s="54">
        <v>4</v>
      </c>
      <c r="R595" s="52">
        <v>4</v>
      </c>
      <c r="S595" s="52">
        <v>16</v>
      </c>
      <c r="T595" s="58"/>
      <c r="U595" s="54"/>
    </row>
    <row r="596" spans="1:21" x14ac:dyDescent="0.35">
      <c r="A596" s="51">
        <v>4009254</v>
      </c>
      <c r="B596" s="51" t="s">
        <v>2721</v>
      </c>
      <c r="C596" s="51" t="s">
        <v>1174</v>
      </c>
      <c r="D596" s="51">
        <v>10050609</v>
      </c>
      <c r="E596" s="51" t="s">
        <v>3317</v>
      </c>
      <c r="F596" s="51" t="s">
        <v>1173</v>
      </c>
      <c r="G596" s="51" t="s">
        <v>258</v>
      </c>
      <c r="H596" s="51"/>
      <c r="I596" s="51"/>
      <c r="J596" s="53">
        <v>65</v>
      </c>
      <c r="K596" s="55">
        <v>22</v>
      </c>
      <c r="L596" s="55">
        <v>1412</v>
      </c>
      <c r="M596" s="55">
        <v>24</v>
      </c>
      <c r="N596" s="57">
        <v>0.45960000000000001</v>
      </c>
      <c r="O596" s="51"/>
      <c r="P596" s="53">
        <v>79350</v>
      </c>
      <c r="Q596" s="55">
        <v>27</v>
      </c>
      <c r="R596" s="53">
        <v>5</v>
      </c>
      <c r="S596" s="53">
        <v>135</v>
      </c>
      <c r="T596" s="59"/>
      <c r="U596" s="55"/>
    </row>
    <row r="597" spans="1:21" x14ac:dyDescent="0.35">
      <c r="A597" s="50">
        <v>4009256</v>
      </c>
      <c r="B597" s="50" t="s">
        <v>2725</v>
      </c>
      <c r="C597" s="50" t="s">
        <v>1174</v>
      </c>
      <c r="D597" s="50">
        <v>10030506</v>
      </c>
      <c r="E597" s="50" t="s">
        <v>3263</v>
      </c>
      <c r="F597" s="50" t="s">
        <v>1173</v>
      </c>
      <c r="G597" s="50" t="s">
        <v>271</v>
      </c>
      <c r="H597" s="50"/>
      <c r="I597" s="50" t="s">
        <v>258</v>
      </c>
      <c r="J597" s="52">
        <v>215</v>
      </c>
      <c r="K597" s="54">
        <v>96</v>
      </c>
      <c r="L597" s="54">
        <v>4308</v>
      </c>
      <c r="M597" s="54">
        <v>24</v>
      </c>
      <c r="N597" s="56">
        <v>0.1779</v>
      </c>
      <c r="O597" s="50"/>
      <c r="P597" s="52">
        <v>792000</v>
      </c>
      <c r="Q597" s="54">
        <v>42</v>
      </c>
      <c r="R597" s="52">
        <v>16</v>
      </c>
      <c r="S597" s="52">
        <v>672</v>
      </c>
      <c r="T597" s="58"/>
      <c r="U597" s="54"/>
    </row>
    <row r="598" spans="1:21" x14ac:dyDescent="0.35">
      <c r="A598" s="51">
        <v>4009257</v>
      </c>
      <c r="B598" s="51" t="s">
        <v>2727</v>
      </c>
      <c r="C598" s="51" t="s">
        <v>1174</v>
      </c>
      <c r="D598" s="51">
        <v>10030903</v>
      </c>
      <c r="E598" s="51" t="s">
        <v>3271</v>
      </c>
      <c r="F598" s="51" t="s">
        <v>1173</v>
      </c>
      <c r="G598" s="51" t="s">
        <v>271</v>
      </c>
      <c r="H598" s="51"/>
      <c r="I598" s="51" t="s">
        <v>258</v>
      </c>
      <c r="J598" s="53">
        <v>185</v>
      </c>
      <c r="K598" s="55">
        <v>210</v>
      </c>
      <c r="L598" s="55">
        <v>3924</v>
      </c>
      <c r="M598" s="55">
        <v>24</v>
      </c>
      <c r="N598" s="57">
        <v>0.20380000000000001</v>
      </c>
      <c r="O598" s="51"/>
      <c r="P598" s="53">
        <v>630600</v>
      </c>
      <c r="Q598" s="55">
        <v>32</v>
      </c>
      <c r="R598" s="53">
        <v>20</v>
      </c>
      <c r="S598" s="53">
        <v>640</v>
      </c>
      <c r="T598" s="59"/>
      <c r="U598" s="55"/>
    </row>
    <row r="599" spans="1:21" x14ac:dyDescent="0.35">
      <c r="A599" s="50">
        <v>4009261</v>
      </c>
      <c r="B599" s="50" t="s">
        <v>2729</v>
      </c>
      <c r="C599" s="50" t="s">
        <v>1174</v>
      </c>
      <c r="D599" s="50">
        <v>10030907</v>
      </c>
      <c r="E599" s="50" t="s">
        <v>3275</v>
      </c>
      <c r="F599" s="50" t="s">
        <v>1173</v>
      </c>
      <c r="G599" s="50" t="s">
        <v>289</v>
      </c>
      <c r="H599" s="50"/>
      <c r="I599" s="50" t="s">
        <v>258</v>
      </c>
      <c r="J599" s="52">
        <v>115</v>
      </c>
      <c r="K599" s="54">
        <v>204</v>
      </c>
      <c r="L599" s="54">
        <v>3516</v>
      </c>
      <c r="M599" s="54">
        <v>24</v>
      </c>
      <c r="N599" s="56">
        <v>0.30459999999999998</v>
      </c>
      <c r="O599" s="50"/>
      <c r="P599" s="52">
        <v>345600</v>
      </c>
      <c r="Q599" s="54">
        <v>36</v>
      </c>
      <c r="R599" s="52">
        <v>8</v>
      </c>
      <c r="S599" s="52">
        <v>288</v>
      </c>
      <c r="T599" s="58"/>
      <c r="U599" s="54"/>
    </row>
    <row r="600" spans="1:21" x14ac:dyDescent="0.35">
      <c r="A600" s="51">
        <v>4009476</v>
      </c>
      <c r="B600" s="51" t="s">
        <v>2731</v>
      </c>
      <c r="C600" s="51" t="s">
        <v>1174</v>
      </c>
      <c r="D600" s="51">
        <v>10050609</v>
      </c>
      <c r="E600" s="51" t="s">
        <v>3317</v>
      </c>
      <c r="F600" s="51" t="s">
        <v>1173</v>
      </c>
      <c r="G600" s="51" t="s">
        <v>289</v>
      </c>
      <c r="H600" s="51"/>
      <c r="I600" s="51"/>
      <c r="J600" s="53">
        <v>81.84</v>
      </c>
      <c r="K600" s="55">
        <v>180</v>
      </c>
      <c r="L600" s="55">
        <v>2445</v>
      </c>
      <c r="M600" s="55">
        <v>24</v>
      </c>
      <c r="N600" s="57">
        <v>0.29799999999999999</v>
      </c>
      <c r="O600" s="51"/>
      <c r="P600" s="53">
        <v>197625</v>
      </c>
      <c r="Q600" s="55">
        <v>15</v>
      </c>
      <c r="R600" s="53">
        <v>25.83</v>
      </c>
      <c r="S600" s="53">
        <v>397.5</v>
      </c>
      <c r="T600" s="59"/>
      <c r="U600" s="55"/>
    </row>
    <row r="601" spans="1:21" x14ac:dyDescent="0.35">
      <c r="A601" s="50">
        <v>4009745</v>
      </c>
      <c r="B601" s="50" t="s">
        <v>2741</v>
      </c>
      <c r="C601" s="50" t="s">
        <v>1174</v>
      </c>
      <c r="D601" s="50">
        <v>10050108</v>
      </c>
      <c r="E601" s="50" t="s">
        <v>3293</v>
      </c>
      <c r="F601" s="50" t="s">
        <v>1173</v>
      </c>
      <c r="G601" s="50" t="s">
        <v>258</v>
      </c>
      <c r="H601" s="50"/>
      <c r="I601" s="50" t="s">
        <v>271</v>
      </c>
      <c r="J601" s="52">
        <v>23.92</v>
      </c>
      <c r="K601" s="54">
        <v>380</v>
      </c>
      <c r="L601" s="54">
        <v>4500</v>
      </c>
      <c r="M601" s="54">
        <v>24</v>
      </c>
      <c r="N601" s="56">
        <v>0.33279999999999998</v>
      </c>
      <c r="O601" s="50"/>
      <c r="P601" s="52">
        <v>89960</v>
      </c>
      <c r="Q601" s="54">
        <v>11</v>
      </c>
      <c r="R601" s="52">
        <v>18.18</v>
      </c>
      <c r="S601" s="52">
        <v>200</v>
      </c>
      <c r="T601" s="58"/>
      <c r="U601" s="54"/>
    </row>
    <row r="602" spans="1:21" x14ac:dyDescent="0.35">
      <c r="A602" s="51">
        <v>4009895</v>
      </c>
      <c r="B602" s="51" t="s">
        <v>2747</v>
      </c>
      <c r="C602" s="51" t="s">
        <v>1174</v>
      </c>
      <c r="D602" s="51">
        <v>10060103</v>
      </c>
      <c r="E602" s="51" t="s">
        <v>3324</v>
      </c>
      <c r="F602" s="51" t="s">
        <v>1173</v>
      </c>
      <c r="G602" s="51" t="s">
        <v>258</v>
      </c>
      <c r="H602" s="51"/>
      <c r="I602" s="51" t="s">
        <v>289</v>
      </c>
      <c r="J602" s="53">
        <v>83.63</v>
      </c>
      <c r="K602" s="55">
        <v>100</v>
      </c>
      <c r="L602" s="55">
        <v>310</v>
      </c>
      <c r="M602" s="55">
        <v>6</v>
      </c>
      <c r="N602" s="57">
        <v>2.0813000000000001</v>
      </c>
      <c r="O602" s="51"/>
      <c r="P602" s="53">
        <v>20970</v>
      </c>
      <c r="Q602" s="55">
        <v>4</v>
      </c>
      <c r="R602" s="53">
        <v>2</v>
      </c>
      <c r="S602" s="53">
        <v>10</v>
      </c>
      <c r="T602" s="59"/>
      <c r="U602" s="55"/>
    </row>
    <row r="603" spans="1:21" x14ac:dyDescent="0.35">
      <c r="A603" s="50">
        <v>4009898</v>
      </c>
      <c r="B603" s="50" t="s">
        <v>2753</v>
      </c>
      <c r="C603" s="50" t="s">
        <v>1174</v>
      </c>
      <c r="D603" s="50">
        <v>10050609</v>
      </c>
      <c r="E603" s="50" t="s">
        <v>3317</v>
      </c>
      <c r="F603" s="50" t="s">
        <v>1173</v>
      </c>
      <c r="G603" s="50" t="s">
        <v>258</v>
      </c>
      <c r="H603" s="50"/>
      <c r="I603" s="50"/>
      <c r="J603" s="52">
        <v>66.64</v>
      </c>
      <c r="K603" s="54">
        <v>270</v>
      </c>
      <c r="L603" s="54">
        <v>1125</v>
      </c>
      <c r="M603" s="54">
        <v>20</v>
      </c>
      <c r="N603" s="56">
        <v>0.56169999999999998</v>
      </c>
      <c r="O603" s="50"/>
      <c r="P603" s="52">
        <v>65585</v>
      </c>
      <c r="Q603" s="54">
        <v>10</v>
      </c>
      <c r="R603" s="52">
        <v>4</v>
      </c>
      <c r="S603" s="52">
        <v>40</v>
      </c>
      <c r="T603" s="58"/>
      <c r="U603" s="54"/>
    </row>
    <row r="604" spans="1:21" x14ac:dyDescent="0.35">
      <c r="A604" s="51">
        <v>4009899</v>
      </c>
      <c r="B604" s="51" t="s">
        <v>2755</v>
      </c>
      <c r="C604" s="51" t="s">
        <v>1174</v>
      </c>
      <c r="D604" s="51">
        <v>10050609</v>
      </c>
      <c r="E604" s="51" t="s">
        <v>3317</v>
      </c>
      <c r="F604" s="51" t="s">
        <v>1173</v>
      </c>
      <c r="G604" s="51" t="s">
        <v>289</v>
      </c>
      <c r="H604" s="51"/>
      <c r="I604" s="51"/>
      <c r="J604" s="53">
        <v>66.959999999999994</v>
      </c>
      <c r="K604" s="55">
        <v>290</v>
      </c>
      <c r="L604" s="55">
        <v>4226</v>
      </c>
      <c r="M604" s="55">
        <v>24</v>
      </c>
      <c r="N604" s="57">
        <v>0.2334</v>
      </c>
      <c r="O604" s="51"/>
      <c r="P604" s="53">
        <v>269048</v>
      </c>
      <c r="Q604" s="55">
        <v>41</v>
      </c>
      <c r="R604" s="53">
        <v>4</v>
      </c>
      <c r="S604" s="53">
        <v>160</v>
      </c>
      <c r="T604" s="59"/>
      <c r="U604" s="55"/>
    </row>
    <row r="605" spans="1:21" x14ac:dyDescent="0.35">
      <c r="A605" s="50">
        <v>4009909</v>
      </c>
      <c r="B605" s="50" t="s">
        <v>2765</v>
      </c>
      <c r="C605" s="50" t="s">
        <v>1174</v>
      </c>
      <c r="D605" s="50">
        <v>10060206</v>
      </c>
      <c r="E605" s="50" t="s">
        <v>3327</v>
      </c>
      <c r="F605" s="50" t="s">
        <v>1173</v>
      </c>
      <c r="G605" s="50" t="s">
        <v>289</v>
      </c>
      <c r="H605" s="50" t="s">
        <v>141</v>
      </c>
      <c r="I605" s="50"/>
      <c r="J605" s="52">
        <v>44</v>
      </c>
      <c r="K605" s="54">
        <v>264</v>
      </c>
      <c r="L605" s="54">
        <v>5688</v>
      </c>
      <c r="M605" s="54">
        <v>24</v>
      </c>
      <c r="N605" s="56">
        <v>0.41060000000000002</v>
      </c>
      <c r="O605" s="50"/>
      <c r="P605" s="52">
        <v>249216</v>
      </c>
      <c r="Q605" s="54">
        <v>58</v>
      </c>
      <c r="R605" s="52">
        <v>4.07</v>
      </c>
      <c r="S605" s="52">
        <v>232</v>
      </c>
      <c r="T605" s="58"/>
      <c r="U605" s="54"/>
    </row>
    <row r="606" spans="1:21" x14ac:dyDescent="0.35">
      <c r="A606" s="51">
        <v>4009910</v>
      </c>
      <c r="B606" s="51" t="s">
        <v>2767</v>
      </c>
      <c r="C606" s="51" t="s">
        <v>1174</v>
      </c>
      <c r="D606" s="51">
        <v>10050108</v>
      </c>
      <c r="E606" s="51" t="s">
        <v>3293</v>
      </c>
      <c r="F606" s="51" t="s">
        <v>1173</v>
      </c>
      <c r="G606" s="51" t="s">
        <v>258</v>
      </c>
      <c r="H606" s="51"/>
      <c r="I606" s="51"/>
      <c r="J606" s="53">
        <v>78.97</v>
      </c>
      <c r="K606" s="55">
        <v>275</v>
      </c>
      <c r="L606" s="55">
        <v>1725</v>
      </c>
      <c r="M606" s="55">
        <v>21</v>
      </c>
      <c r="N606" s="57">
        <v>0.62150000000000005</v>
      </c>
      <c r="O606" s="51"/>
      <c r="P606" s="53">
        <v>102507</v>
      </c>
      <c r="Q606" s="55">
        <v>16</v>
      </c>
      <c r="R606" s="53">
        <v>4.38</v>
      </c>
      <c r="S606" s="53">
        <v>70</v>
      </c>
      <c r="T606" s="59"/>
      <c r="U606" s="55"/>
    </row>
    <row r="607" spans="1:21" x14ac:dyDescent="0.35">
      <c r="A607" s="50">
        <v>4009911</v>
      </c>
      <c r="B607" s="50" t="s">
        <v>2769</v>
      </c>
      <c r="C607" s="50" t="s">
        <v>1174</v>
      </c>
      <c r="D607" s="50">
        <v>10050108</v>
      </c>
      <c r="E607" s="50" t="s">
        <v>3293</v>
      </c>
      <c r="F607" s="50" t="s">
        <v>1173</v>
      </c>
      <c r="G607" s="50" t="s">
        <v>289</v>
      </c>
      <c r="H607" s="50"/>
      <c r="I607" s="50"/>
      <c r="J607" s="52">
        <v>81.8</v>
      </c>
      <c r="K607" s="54">
        <v>75</v>
      </c>
      <c r="L607" s="54">
        <v>1650</v>
      </c>
      <c r="M607" s="54">
        <v>21</v>
      </c>
      <c r="N607" s="56">
        <v>0.61429999999999996</v>
      </c>
      <c r="O607" s="50"/>
      <c r="P607" s="52">
        <v>95060</v>
      </c>
      <c r="Q607" s="54">
        <v>13</v>
      </c>
      <c r="R607" s="52">
        <v>4</v>
      </c>
      <c r="S607" s="52">
        <v>56</v>
      </c>
      <c r="T607" s="58"/>
      <c r="U607" s="54"/>
    </row>
    <row r="608" spans="1:21" x14ac:dyDescent="0.35">
      <c r="A608" s="51">
        <v>4009912</v>
      </c>
      <c r="B608" s="51" t="s">
        <v>2771</v>
      </c>
      <c r="C608" s="51" t="s">
        <v>1174</v>
      </c>
      <c r="D608" s="51">
        <v>10050108</v>
      </c>
      <c r="E608" s="51" t="s">
        <v>3293</v>
      </c>
      <c r="F608" s="51" t="s">
        <v>1173</v>
      </c>
      <c r="G608" s="51" t="s">
        <v>258</v>
      </c>
      <c r="H608" s="51"/>
      <c r="I608" s="51" t="s">
        <v>289</v>
      </c>
      <c r="J608" s="53">
        <v>35.4</v>
      </c>
      <c r="K608" s="55">
        <v>450</v>
      </c>
      <c r="L608" s="55">
        <v>3750</v>
      </c>
      <c r="M608" s="55">
        <v>23</v>
      </c>
      <c r="N608" s="57">
        <v>0.6552</v>
      </c>
      <c r="O608" s="51"/>
      <c r="P608" s="53">
        <v>134528.98000000001</v>
      </c>
      <c r="Q608" s="55">
        <v>36</v>
      </c>
      <c r="R608" s="53">
        <v>2.17</v>
      </c>
      <c r="S608" s="53">
        <v>74</v>
      </c>
      <c r="T608" s="59"/>
      <c r="U608" s="55"/>
    </row>
    <row r="609" spans="1:21" x14ac:dyDescent="0.35">
      <c r="A609" s="50">
        <v>4009913</v>
      </c>
      <c r="B609" s="50" t="s">
        <v>2773</v>
      </c>
      <c r="C609" s="50" t="s">
        <v>1174</v>
      </c>
      <c r="D609" s="50">
        <v>10050108</v>
      </c>
      <c r="E609" s="50" t="s">
        <v>3293</v>
      </c>
      <c r="F609" s="50" t="s">
        <v>1173</v>
      </c>
      <c r="G609" s="50" t="s">
        <v>258</v>
      </c>
      <c r="H609" s="50"/>
      <c r="I609" s="50" t="s">
        <v>289</v>
      </c>
      <c r="J609" s="52">
        <v>39.42</v>
      </c>
      <c r="K609" s="54">
        <v>400</v>
      </c>
      <c r="L609" s="54">
        <v>3650</v>
      </c>
      <c r="M609" s="54">
        <v>24</v>
      </c>
      <c r="N609" s="56">
        <v>0.4884</v>
      </c>
      <c r="O609" s="50"/>
      <c r="P609" s="52">
        <v>126311.44</v>
      </c>
      <c r="Q609" s="54">
        <v>36</v>
      </c>
      <c r="R609" s="52">
        <v>2.0499999999999998</v>
      </c>
      <c r="S609" s="52">
        <v>76</v>
      </c>
      <c r="T609" s="58"/>
      <c r="U609" s="54"/>
    </row>
    <row r="610" spans="1:21" x14ac:dyDescent="0.35">
      <c r="A610" s="51">
        <v>4015482</v>
      </c>
      <c r="B610" s="51" t="s">
        <v>2779</v>
      </c>
      <c r="C610" s="51" t="s">
        <v>1174</v>
      </c>
      <c r="D610" s="51">
        <v>10050801</v>
      </c>
      <c r="E610" s="51" t="s">
        <v>3321</v>
      </c>
      <c r="F610" s="51" t="s">
        <v>1178</v>
      </c>
      <c r="G610" s="51" t="s">
        <v>258</v>
      </c>
      <c r="H610" s="51"/>
      <c r="I610" s="51" t="s">
        <v>258</v>
      </c>
      <c r="J610" s="53">
        <v>1.76</v>
      </c>
      <c r="K610" s="55">
        <v>440</v>
      </c>
      <c r="L610" s="55">
        <v>3950</v>
      </c>
      <c r="M610" s="55">
        <v>24</v>
      </c>
      <c r="N610" s="57">
        <v>0.32200000000000001</v>
      </c>
      <c r="O610" s="51"/>
      <c r="P610" s="53">
        <v>14520</v>
      </c>
      <c r="Q610" s="55">
        <v>20</v>
      </c>
      <c r="R610" s="53">
        <v>8</v>
      </c>
      <c r="S610" s="53">
        <v>152</v>
      </c>
      <c r="T610" s="59"/>
      <c r="U610" s="55"/>
    </row>
    <row r="611" spans="1:21" x14ac:dyDescent="0.35">
      <c r="A611" s="50">
        <v>4015483</v>
      </c>
      <c r="B611" s="50" t="s">
        <v>2781</v>
      </c>
      <c r="C611" s="50" t="s">
        <v>1174</v>
      </c>
      <c r="D611" s="50">
        <v>10050801</v>
      </c>
      <c r="E611" s="50" t="s">
        <v>3321</v>
      </c>
      <c r="F611" s="50" t="s">
        <v>1178</v>
      </c>
      <c r="G611" s="50" t="s">
        <v>258</v>
      </c>
      <c r="H611" s="50"/>
      <c r="I611" s="50" t="s">
        <v>258</v>
      </c>
      <c r="J611" s="52">
        <v>1.39</v>
      </c>
      <c r="K611" s="54">
        <v>455</v>
      </c>
      <c r="L611" s="54">
        <v>6540</v>
      </c>
      <c r="M611" s="54">
        <v>24</v>
      </c>
      <c r="N611" s="56">
        <v>0.25940000000000002</v>
      </c>
      <c r="O611" s="50"/>
      <c r="P611" s="52">
        <v>19470</v>
      </c>
      <c r="Q611" s="54">
        <v>33</v>
      </c>
      <c r="R611" s="52">
        <v>2</v>
      </c>
      <c r="S611" s="52">
        <v>64</v>
      </c>
      <c r="T611" s="58"/>
      <c r="U611" s="54"/>
    </row>
    <row r="612" spans="1:21" x14ac:dyDescent="0.35">
      <c r="A612" s="51">
        <v>4030760</v>
      </c>
      <c r="B612" s="51" t="s">
        <v>2791</v>
      </c>
      <c r="C612" s="51" t="s">
        <v>1174</v>
      </c>
      <c r="D612" s="51">
        <v>10030908</v>
      </c>
      <c r="E612" s="51" t="s">
        <v>3276</v>
      </c>
      <c r="F612" s="51" t="s">
        <v>1173</v>
      </c>
      <c r="G612" s="51"/>
      <c r="H612" s="51" t="s">
        <v>24</v>
      </c>
      <c r="I612" s="51"/>
      <c r="J612" s="53">
        <v>32.53</v>
      </c>
      <c r="K612" s="55">
        <v>144</v>
      </c>
      <c r="L612" s="55">
        <v>72</v>
      </c>
      <c r="M612" s="55">
        <v>2</v>
      </c>
      <c r="N612" s="57">
        <v>3.3166000000000002</v>
      </c>
      <c r="O612" s="51" t="s">
        <v>3230</v>
      </c>
      <c r="P612" s="53">
        <v>7026</v>
      </c>
      <c r="Q612" s="55">
        <v>3</v>
      </c>
      <c r="R612" s="53">
        <v>2</v>
      </c>
      <c r="S612" s="53">
        <v>6</v>
      </c>
      <c r="T612" s="59"/>
      <c r="U612" s="55"/>
    </row>
    <row r="613" spans="1:21" x14ac:dyDescent="0.35">
      <c r="A613" s="50">
        <v>4032343</v>
      </c>
      <c r="B613" s="50" t="s">
        <v>2793</v>
      </c>
      <c r="C613" s="50" t="s">
        <v>1174</v>
      </c>
      <c r="D613" s="50">
        <v>10060510</v>
      </c>
      <c r="E613" s="50" t="s">
        <v>3331</v>
      </c>
      <c r="F613" s="50" t="s">
        <v>1173</v>
      </c>
      <c r="G613" s="50" t="s">
        <v>258</v>
      </c>
      <c r="H613" s="50"/>
      <c r="I613" s="50"/>
      <c r="J613" s="52">
        <v>398.6</v>
      </c>
      <c r="K613" s="54">
        <v>90</v>
      </c>
      <c r="L613" s="54">
        <v>830</v>
      </c>
      <c r="M613" s="54">
        <v>23</v>
      </c>
      <c r="N613" s="56">
        <v>0.63560000000000005</v>
      </c>
      <c r="O613" s="50"/>
      <c r="P613" s="52">
        <v>313896</v>
      </c>
      <c r="Q613" s="54">
        <v>15</v>
      </c>
      <c r="R613" s="52">
        <v>5.2</v>
      </c>
      <c r="S613" s="52">
        <v>78</v>
      </c>
      <c r="T613" s="58">
        <v>5</v>
      </c>
      <c r="U613" s="54">
        <v>1</v>
      </c>
    </row>
    <row r="614" spans="1:21" x14ac:dyDescent="0.35">
      <c r="A614" s="51">
        <v>4032344</v>
      </c>
      <c r="B614" s="51" t="s">
        <v>2795</v>
      </c>
      <c r="C614" s="51" t="s">
        <v>1174</v>
      </c>
      <c r="D614" s="51">
        <v>10060510</v>
      </c>
      <c r="E614" s="51" t="s">
        <v>3331</v>
      </c>
      <c r="F614" s="51" t="s">
        <v>1173</v>
      </c>
      <c r="G614" s="51" t="s">
        <v>258</v>
      </c>
      <c r="H614" s="51"/>
      <c r="I614" s="51"/>
      <c r="J614" s="53">
        <v>559.04999999999995</v>
      </c>
      <c r="K614" s="55">
        <v>10</v>
      </c>
      <c r="L614" s="55">
        <v>189</v>
      </c>
      <c r="M614" s="55">
        <v>17</v>
      </c>
      <c r="N614" s="57">
        <v>0.8921</v>
      </c>
      <c r="O614" s="51"/>
      <c r="P614" s="53">
        <v>96844</v>
      </c>
      <c r="Q614" s="55">
        <v>11</v>
      </c>
      <c r="R614" s="53">
        <v>2</v>
      </c>
      <c r="S614" s="53">
        <v>22</v>
      </c>
      <c r="T614" s="59">
        <v>5</v>
      </c>
      <c r="U614" s="55">
        <v>1</v>
      </c>
    </row>
    <row r="615" spans="1:21" x14ac:dyDescent="0.35">
      <c r="A615" s="50">
        <v>4033645</v>
      </c>
      <c r="B615" s="50" t="s">
        <v>2807</v>
      </c>
      <c r="C615" s="50" t="s">
        <v>1174</v>
      </c>
      <c r="D615" s="50">
        <v>10030906</v>
      </c>
      <c r="E615" s="50" t="s">
        <v>3274</v>
      </c>
      <c r="F615" s="50" t="s">
        <v>1173</v>
      </c>
      <c r="G615" s="50"/>
      <c r="H615" s="50" t="s">
        <v>24</v>
      </c>
      <c r="I615" s="50"/>
      <c r="J615" s="52">
        <v>1740</v>
      </c>
      <c r="K615" s="54">
        <v>114</v>
      </c>
      <c r="L615" s="54">
        <v>174</v>
      </c>
      <c r="M615" s="54">
        <v>8</v>
      </c>
      <c r="N615" s="56">
        <v>1.8958999999999999</v>
      </c>
      <c r="O615" s="50"/>
      <c r="P615" s="52">
        <v>522000</v>
      </c>
      <c r="Q615" s="54">
        <v>4</v>
      </c>
      <c r="R615" s="52">
        <v>12.5</v>
      </c>
      <c r="S615" s="52">
        <v>50</v>
      </c>
      <c r="T615" s="58"/>
      <c r="U615" s="54"/>
    </row>
    <row r="616" spans="1:21" x14ac:dyDescent="0.35">
      <c r="A616" s="51">
        <v>4033646</v>
      </c>
      <c r="B616" s="51" t="s">
        <v>2809</v>
      </c>
      <c r="C616" s="51" t="s">
        <v>1174</v>
      </c>
      <c r="D616" s="51">
        <v>10030906</v>
      </c>
      <c r="E616" s="51" t="s">
        <v>3274</v>
      </c>
      <c r="F616" s="51" t="s">
        <v>1173</v>
      </c>
      <c r="G616" s="51"/>
      <c r="H616" s="51" t="s">
        <v>24</v>
      </c>
      <c r="I616" s="51"/>
      <c r="J616" s="53">
        <v>1890</v>
      </c>
      <c r="K616" s="55">
        <v>132</v>
      </c>
      <c r="L616" s="55">
        <v>594</v>
      </c>
      <c r="M616" s="55">
        <v>16</v>
      </c>
      <c r="N616" s="57">
        <v>0.91059999999999997</v>
      </c>
      <c r="O616" s="51"/>
      <c r="P616" s="53">
        <v>1360800</v>
      </c>
      <c r="Q616" s="55">
        <v>11</v>
      </c>
      <c r="R616" s="53">
        <v>10.91</v>
      </c>
      <c r="S616" s="53">
        <v>120</v>
      </c>
      <c r="T616" s="59"/>
      <c r="U616" s="55"/>
    </row>
    <row r="617" spans="1:21" x14ac:dyDescent="0.35">
      <c r="A617" s="50">
        <v>4033674</v>
      </c>
      <c r="B617" s="50" t="s">
        <v>2813</v>
      </c>
      <c r="C617" s="50" t="s">
        <v>1174</v>
      </c>
      <c r="D617" s="50">
        <v>10050801</v>
      </c>
      <c r="E617" s="50" t="s">
        <v>3321</v>
      </c>
      <c r="F617" s="50" t="s">
        <v>1173</v>
      </c>
      <c r="G617" s="50" t="s">
        <v>258</v>
      </c>
      <c r="H617" s="50"/>
      <c r="I617" s="50"/>
      <c r="J617" s="52">
        <v>453.51</v>
      </c>
      <c r="K617" s="54">
        <v>195</v>
      </c>
      <c r="L617" s="54">
        <v>2741</v>
      </c>
      <c r="M617" s="54">
        <v>24</v>
      </c>
      <c r="N617" s="56">
        <v>0.72309999999999997</v>
      </c>
      <c r="O617" s="50"/>
      <c r="P617" s="52">
        <v>1909440</v>
      </c>
      <c r="Q617" s="54">
        <v>42</v>
      </c>
      <c r="R617" s="52">
        <v>10.62</v>
      </c>
      <c r="S617" s="52">
        <v>468</v>
      </c>
      <c r="T617" s="58"/>
      <c r="U617" s="54"/>
    </row>
    <row r="618" spans="1:21" x14ac:dyDescent="0.35">
      <c r="A618" s="51">
        <v>4033704</v>
      </c>
      <c r="B618" s="51" t="s">
        <v>2815</v>
      </c>
      <c r="C618" s="51" t="s">
        <v>1174</v>
      </c>
      <c r="D618" s="51">
        <v>10050108</v>
      </c>
      <c r="E618" s="51" t="s">
        <v>3293</v>
      </c>
      <c r="F618" s="51" t="s">
        <v>1177</v>
      </c>
      <c r="G618" s="51"/>
      <c r="H618" s="51"/>
      <c r="I618" s="51"/>
      <c r="J618" s="53">
        <v>402.91</v>
      </c>
      <c r="K618" s="55">
        <v>12</v>
      </c>
      <c r="L618" s="55">
        <v>302</v>
      </c>
      <c r="M618" s="55">
        <v>22</v>
      </c>
      <c r="N618" s="57">
        <v>0.58840000000000003</v>
      </c>
      <c r="O618" s="51"/>
      <c r="P618" s="53">
        <v>101425</v>
      </c>
      <c r="Q618" s="55">
        <v>13</v>
      </c>
      <c r="R618" s="53">
        <v>2.12</v>
      </c>
      <c r="S618" s="53">
        <v>30.75</v>
      </c>
      <c r="T618" s="59"/>
      <c r="U618" s="55"/>
    </row>
    <row r="619" spans="1:21" x14ac:dyDescent="0.35">
      <c r="A619" s="50">
        <v>4035929</v>
      </c>
      <c r="B619" s="50" t="s">
        <v>2821</v>
      </c>
      <c r="C619" s="50" t="s">
        <v>1174</v>
      </c>
      <c r="D619" s="50">
        <v>10080601</v>
      </c>
      <c r="E619" s="50" t="s">
        <v>3337</v>
      </c>
      <c r="F619" s="50" t="s">
        <v>1173</v>
      </c>
      <c r="G619" s="50"/>
      <c r="H619" s="50" t="s">
        <v>24</v>
      </c>
      <c r="I619" s="50" t="s">
        <v>258</v>
      </c>
      <c r="J619" s="52">
        <v>282.74</v>
      </c>
      <c r="K619" s="54">
        <v>65</v>
      </c>
      <c r="L619" s="54">
        <v>230</v>
      </c>
      <c r="M619" s="54">
        <v>19</v>
      </c>
      <c r="N619" s="56">
        <v>0.91510000000000002</v>
      </c>
      <c r="O619" s="50"/>
      <c r="P619" s="52">
        <v>23010</v>
      </c>
      <c r="Q619" s="54">
        <v>7</v>
      </c>
      <c r="R619" s="52">
        <v>6</v>
      </c>
      <c r="S619" s="52">
        <v>42</v>
      </c>
      <c r="T619" s="58"/>
      <c r="U619" s="54"/>
    </row>
    <row r="620" spans="1:21" x14ac:dyDescent="0.35">
      <c r="A620" s="51">
        <v>4035930</v>
      </c>
      <c r="B620" s="51" t="s">
        <v>2823</v>
      </c>
      <c r="C620" s="51" t="s">
        <v>1174</v>
      </c>
      <c r="D620" s="51">
        <v>10080601</v>
      </c>
      <c r="E620" s="51" t="s">
        <v>3337</v>
      </c>
      <c r="F620" s="51" t="s">
        <v>1173</v>
      </c>
      <c r="G620" s="51"/>
      <c r="H620" s="51" t="s">
        <v>24</v>
      </c>
      <c r="I620" s="51" t="s">
        <v>258</v>
      </c>
      <c r="J620" s="53">
        <v>387.82</v>
      </c>
      <c r="K620" s="55">
        <v>55</v>
      </c>
      <c r="L620" s="55">
        <v>934</v>
      </c>
      <c r="M620" s="55">
        <v>24</v>
      </c>
      <c r="N620" s="57">
        <v>0.52449999999999997</v>
      </c>
      <c r="O620" s="51"/>
      <c r="P620" s="53">
        <v>120180</v>
      </c>
      <c r="Q620" s="55">
        <v>29</v>
      </c>
      <c r="R620" s="53">
        <v>5.28</v>
      </c>
      <c r="S620" s="53">
        <v>153</v>
      </c>
      <c r="T620" s="59"/>
      <c r="U620" s="55"/>
    </row>
    <row r="621" spans="1:21" x14ac:dyDescent="0.35">
      <c r="A621" s="50">
        <v>4035931</v>
      </c>
      <c r="B621" s="50" t="s">
        <v>2825</v>
      </c>
      <c r="C621" s="50" t="s">
        <v>1174</v>
      </c>
      <c r="D621" s="50">
        <v>10080601</v>
      </c>
      <c r="E621" s="50" t="s">
        <v>3337</v>
      </c>
      <c r="F621" s="50" t="s">
        <v>1173</v>
      </c>
      <c r="G621" s="50"/>
      <c r="H621" s="50" t="s">
        <v>24</v>
      </c>
      <c r="I621" s="50" t="s">
        <v>258</v>
      </c>
      <c r="J621" s="52">
        <v>383.49</v>
      </c>
      <c r="K621" s="54">
        <v>65</v>
      </c>
      <c r="L621" s="54">
        <v>616</v>
      </c>
      <c r="M621" s="54">
        <v>24</v>
      </c>
      <c r="N621" s="56">
        <v>0.61839999999999995</v>
      </c>
      <c r="O621" s="50"/>
      <c r="P621" s="52">
        <v>96300</v>
      </c>
      <c r="Q621" s="54">
        <v>21</v>
      </c>
      <c r="R621" s="52">
        <v>5.14</v>
      </c>
      <c r="S621" s="52">
        <v>114</v>
      </c>
      <c r="T621" s="58"/>
      <c r="U621" s="54"/>
    </row>
    <row r="622" spans="1:21" x14ac:dyDescent="0.35">
      <c r="A622" s="51">
        <v>4035935</v>
      </c>
      <c r="B622" s="51" t="s">
        <v>2829</v>
      </c>
      <c r="C622" s="51" t="s">
        <v>1174</v>
      </c>
      <c r="D622" s="51">
        <v>10080601</v>
      </c>
      <c r="E622" s="51" t="s">
        <v>3337</v>
      </c>
      <c r="F622" s="51" t="s">
        <v>1173</v>
      </c>
      <c r="G622" s="51"/>
      <c r="H622" s="51" t="s">
        <v>24</v>
      </c>
      <c r="I622" s="51"/>
      <c r="J622" s="53">
        <v>117.98</v>
      </c>
      <c r="K622" s="55">
        <v>500</v>
      </c>
      <c r="L622" s="55">
        <v>160</v>
      </c>
      <c r="M622" s="55">
        <v>4</v>
      </c>
      <c r="N622" s="57">
        <v>2.4748999999999999</v>
      </c>
      <c r="O622" s="51" t="s">
        <v>3230</v>
      </c>
      <c r="P622" s="53">
        <v>117982</v>
      </c>
      <c r="Q622" s="55">
        <v>1</v>
      </c>
      <c r="R622" s="53">
        <v>20</v>
      </c>
      <c r="S622" s="53">
        <v>20</v>
      </c>
      <c r="T622" s="59">
        <v>5</v>
      </c>
      <c r="U622" s="55">
        <v>1</v>
      </c>
    </row>
    <row r="623" spans="1:21" x14ac:dyDescent="0.35">
      <c r="A623" s="50">
        <v>4035953</v>
      </c>
      <c r="B623" s="50" t="s">
        <v>2834</v>
      </c>
      <c r="C623" s="50" t="s">
        <v>1174</v>
      </c>
      <c r="D623" s="50">
        <v>10030703</v>
      </c>
      <c r="E623" s="50" t="s">
        <v>3265</v>
      </c>
      <c r="F623" s="50" t="s">
        <v>1173</v>
      </c>
      <c r="G623" s="50"/>
      <c r="H623" s="50" t="s">
        <v>24</v>
      </c>
      <c r="I623" s="50"/>
      <c r="J623" s="52">
        <v>315.18</v>
      </c>
      <c r="K623" s="54">
        <v>8</v>
      </c>
      <c r="L623" s="54">
        <v>126</v>
      </c>
      <c r="M623" s="54">
        <v>16</v>
      </c>
      <c r="N623" s="56">
        <v>0.9496</v>
      </c>
      <c r="O623" s="50"/>
      <c r="P623" s="52">
        <v>42359</v>
      </c>
      <c r="Q623" s="54">
        <v>27</v>
      </c>
      <c r="R623" s="52">
        <v>4.83</v>
      </c>
      <c r="S623" s="52">
        <v>140</v>
      </c>
      <c r="T623" s="58"/>
      <c r="U623" s="54"/>
    </row>
    <row r="624" spans="1:21" x14ac:dyDescent="0.35">
      <c r="A624" s="51">
        <v>4035954</v>
      </c>
      <c r="B624" s="51" t="s">
        <v>2836</v>
      </c>
      <c r="C624" s="51" t="s">
        <v>1174</v>
      </c>
      <c r="D624" s="51">
        <v>10030703</v>
      </c>
      <c r="E624" s="51" t="s">
        <v>3265</v>
      </c>
      <c r="F624" s="51" t="s">
        <v>1173</v>
      </c>
      <c r="G624" s="51"/>
      <c r="H624" s="51" t="s">
        <v>24</v>
      </c>
      <c r="I624" s="51"/>
      <c r="J624" s="53">
        <v>315.92</v>
      </c>
      <c r="K624" s="55">
        <v>144</v>
      </c>
      <c r="L624" s="55">
        <v>1815</v>
      </c>
      <c r="M624" s="55">
        <v>23</v>
      </c>
      <c r="N624" s="57">
        <v>0.3246</v>
      </c>
      <c r="O624" s="51"/>
      <c r="P624" s="53">
        <v>580142.88</v>
      </c>
      <c r="Q624" s="55">
        <v>20</v>
      </c>
      <c r="R624" s="53">
        <v>82.96</v>
      </c>
      <c r="S624" s="53">
        <v>1908</v>
      </c>
      <c r="T624" s="59"/>
      <c r="U624" s="55"/>
    </row>
    <row r="625" spans="1:21" x14ac:dyDescent="0.35">
      <c r="A625" s="50">
        <v>4035956</v>
      </c>
      <c r="B625" s="50" t="s">
        <v>2838</v>
      </c>
      <c r="C625" s="50" t="s">
        <v>1174</v>
      </c>
      <c r="D625" s="50">
        <v>10030703</v>
      </c>
      <c r="E625" s="50" t="s">
        <v>3265</v>
      </c>
      <c r="F625" s="50" t="s">
        <v>1173</v>
      </c>
      <c r="G625" s="50"/>
      <c r="H625" s="50" t="s">
        <v>24</v>
      </c>
      <c r="I625" s="50"/>
      <c r="J625" s="52">
        <v>315.31</v>
      </c>
      <c r="K625" s="54">
        <v>100</v>
      </c>
      <c r="L625" s="54">
        <v>529</v>
      </c>
      <c r="M625" s="54">
        <v>23</v>
      </c>
      <c r="N625" s="56">
        <v>0.47249999999999998</v>
      </c>
      <c r="O625" s="50"/>
      <c r="P625" s="52">
        <v>193719.84</v>
      </c>
      <c r="Q625" s="54">
        <v>14</v>
      </c>
      <c r="R625" s="52">
        <v>37.409999999999997</v>
      </c>
      <c r="S625" s="52">
        <v>636</v>
      </c>
      <c r="T625" s="58"/>
      <c r="U625" s="54"/>
    </row>
    <row r="626" spans="1:21" x14ac:dyDescent="0.35">
      <c r="A626" s="51">
        <v>4035957</v>
      </c>
      <c r="B626" s="51" t="s">
        <v>2840</v>
      </c>
      <c r="C626" s="51" t="s">
        <v>1174</v>
      </c>
      <c r="D626" s="51">
        <v>10030703</v>
      </c>
      <c r="E626" s="51" t="s">
        <v>3265</v>
      </c>
      <c r="F626" s="51" t="s">
        <v>1173</v>
      </c>
      <c r="G626" s="51"/>
      <c r="H626" s="51" t="s">
        <v>24</v>
      </c>
      <c r="I626" s="51"/>
      <c r="J626" s="53">
        <v>316.11</v>
      </c>
      <c r="K626" s="55">
        <v>91</v>
      </c>
      <c r="L626" s="55">
        <v>858</v>
      </c>
      <c r="M626" s="55">
        <v>24</v>
      </c>
      <c r="N626" s="57">
        <v>0.32540000000000002</v>
      </c>
      <c r="O626" s="51"/>
      <c r="P626" s="53">
        <v>300446.40000000002</v>
      </c>
      <c r="Q626" s="55">
        <v>23</v>
      </c>
      <c r="R626" s="53">
        <v>39.36</v>
      </c>
      <c r="S626" s="53">
        <v>984</v>
      </c>
      <c r="T626" s="59"/>
      <c r="U626" s="55"/>
    </row>
    <row r="627" spans="1:21" x14ac:dyDescent="0.35">
      <c r="A627" s="50">
        <v>4035958</v>
      </c>
      <c r="B627" s="50" t="s">
        <v>2842</v>
      </c>
      <c r="C627" s="50" t="s">
        <v>1174</v>
      </c>
      <c r="D627" s="50">
        <v>10030703</v>
      </c>
      <c r="E627" s="50" t="s">
        <v>3265</v>
      </c>
      <c r="F627" s="50" t="s">
        <v>1173</v>
      </c>
      <c r="G627" s="50"/>
      <c r="H627" s="50" t="s">
        <v>24</v>
      </c>
      <c r="I627" s="50"/>
      <c r="J627" s="52">
        <v>314.04000000000002</v>
      </c>
      <c r="K627" s="54">
        <v>30</v>
      </c>
      <c r="L627" s="54">
        <v>150</v>
      </c>
      <c r="M627" s="54">
        <v>12</v>
      </c>
      <c r="N627" s="56">
        <v>1.3107</v>
      </c>
      <c r="O627" s="50"/>
      <c r="P627" s="52">
        <v>54688.5</v>
      </c>
      <c r="Q627" s="54">
        <v>14</v>
      </c>
      <c r="R627" s="52">
        <v>10.59</v>
      </c>
      <c r="S627" s="52">
        <v>180</v>
      </c>
      <c r="T627" s="58"/>
      <c r="U627" s="54"/>
    </row>
    <row r="628" spans="1:21" x14ac:dyDescent="0.35">
      <c r="A628" s="51">
        <v>4035959</v>
      </c>
      <c r="B628" s="51" t="s">
        <v>2844</v>
      </c>
      <c r="C628" s="51" t="s">
        <v>1174</v>
      </c>
      <c r="D628" s="51">
        <v>10030703</v>
      </c>
      <c r="E628" s="51" t="s">
        <v>3265</v>
      </c>
      <c r="F628" s="51" t="s">
        <v>1173</v>
      </c>
      <c r="G628" s="51"/>
      <c r="H628" s="51" t="s">
        <v>24</v>
      </c>
      <c r="I628" s="51"/>
      <c r="J628" s="53">
        <v>316.16000000000003</v>
      </c>
      <c r="K628" s="55">
        <v>17</v>
      </c>
      <c r="L628" s="55">
        <v>320</v>
      </c>
      <c r="M628" s="55">
        <v>20</v>
      </c>
      <c r="N628" s="57">
        <v>0.60840000000000005</v>
      </c>
      <c r="O628" s="51"/>
      <c r="P628" s="53">
        <v>106412.4</v>
      </c>
      <c r="Q628" s="55">
        <v>29</v>
      </c>
      <c r="R628" s="53">
        <v>10.78</v>
      </c>
      <c r="S628" s="53">
        <v>345</v>
      </c>
      <c r="T628" s="59"/>
      <c r="U628" s="55"/>
    </row>
    <row r="629" spans="1:21" x14ac:dyDescent="0.35">
      <c r="A629" s="50">
        <v>4035960</v>
      </c>
      <c r="B629" s="50" t="s">
        <v>2846</v>
      </c>
      <c r="C629" s="50" t="s">
        <v>1174</v>
      </c>
      <c r="D629" s="50">
        <v>10030703</v>
      </c>
      <c r="E629" s="50" t="s">
        <v>3265</v>
      </c>
      <c r="F629" s="50" t="s">
        <v>1173</v>
      </c>
      <c r="G629" s="50"/>
      <c r="H629" s="50" t="s">
        <v>24</v>
      </c>
      <c r="I629" s="50"/>
      <c r="J629" s="52">
        <v>70.89</v>
      </c>
      <c r="K629" s="54">
        <v>4</v>
      </c>
      <c r="L629" s="54">
        <v>265</v>
      </c>
      <c r="M629" s="54">
        <v>15</v>
      </c>
      <c r="N629" s="56">
        <v>0.93330000000000002</v>
      </c>
      <c r="O629" s="50"/>
      <c r="P629" s="52">
        <v>19301.2</v>
      </c>
      <c r="Q629" s="54">
        <v>19</v>
      </c>
      <c r="R629" s="52">
        <v>4.24</v>
      </c>
      <c r="S629" s="52">
        <v>92</v>
      </c>
      <c r="T629" s="58"/>
      <c r="U629" s="54"/>
    </row>
    <row r="630" spans="1:21" x14ac:dyDescent="0.35">
      <c r="A630" s="51">
        <v>4035963</v>
      </c>
      <c r="B630" s="51" t="s">
        <v>2687</v>
      </c>
      <c r="C630" s="51" t="s">
        <v>1174</v>
      </c>
      <c r="D630" s="51">
        <v>10060102</v>
      </c>
      <c r="E630" s="51" t="s">
        <v>3323</v>
      </c>
      <c r="F630" s="51" t="s">
        <v>1173</v>
      </c>
      <c r="G630" s="51"/>
      <c r="H630" s="51" t="s">
        <v>24</v>
      </c>
      <c r="I630" s="51" t="s">
        <v>258</v>
      </c>
      <c r="J630" s="53">
        <v>243.81</v>
      </c>
      <c r="K630" s="55">
        <v>360</v>
      </c>
      <c r="L630" s="55">
        <v>1810</v>
      </c>
      <c r="M630" s="55">
        <v>24</v>
      </c>
      <c r="N630" s="57">
        <v>0.42280000000000001</v>
      </c>
      <c r="O630" s="51"/>
      <c r="P630" s="53">
        <v>511681.4</v>
      </c>
      <c r="Q630" s="55">
        <v>19</v>
      </c>
      <c r="R630" s="53">
        <v>10.7</v>
      </c>
      <c r="S630" s="53">
        <v>224</v>
      </c>
      <c r="T630" s="59"/>
      <c r="U630" s="55"/>
    </row>
    <row r="631" spans="1:21" x14ac:dyDescent="0.35">
      <c r="A631" s="50">
        <v>4035971</v>
      </c>
      <c r="B631" s="50" t="s">
        <v>2851</v>
      </c>
      <c r="C631" s="50" t="s">
        <v>1174</v>
      </c>
      <c r="D631" s="50">
        <v>10030703</v>
      </c>
      <c r="E631" s="50" t="s">
        <v>3265</v>
      </c>
      <c r="F631" s="50" t="s">
        <v>1173</v>
      </c>
      <c r="G631" s="50"/>
      <c r="H631" s="50" t="s">
        <v>24</v>
      </c>
      <c r="I631" s="50"/>
      <c r="J631" s="52">
        <v>71.95</v>
      </c>
      <c r="K631" s="54">
        <v>485</v>
      </c>
      <c r="L631" s="54">
        <v>4275</v>
      </c>
      <c r="M631" s="54">
        <v>24</v>
      </c>
      <c r="N631" s="56">
        <v>0.32340000000000002</v>
      </c>
      <c r="O631" s="50"/>
      <c r="P631" s="52">
        <v>337844.6</v>
      </c>
      <c r="Q631" s="54">
        <v>18</v>
      </c>
      <c r="R631" s="52">
        <v>48.25</v>
      </c>
      <c r="S631" s="52">
        <v>921</v>
      </c>
      <c r="T631" s="58"/>
      <c r="U631" s="54"/>
    </row>
    <row r="632" spans="1:21" x14ac:dyDescent="0.35">
      <c r="A632" s="51">
        <v>4035972</v>
      </c>
      <c r="B632" s="51" t="s">
        <v>2853</v>
      </c>
      <c r="C632" s="51" t="s">
        <v>1174</v>
      </c>
      <c r="D632" s="51">
        <v>10030703</v>
      </c>
      <c r="E632" s="51" t="s">
        <v>3265</v>
      </c>
      <c r="F632" s="51" t="s">
        <v>1173</v>
      </c>
      <c r="G632" s="51"/>
      <c r="H632" s="51" t="s">
        <v>24</v>
      </c>
      <c r="I632" s="51"/>
      <c r="J632" s="53">
        <v>72.61</v>
      </c>
      <c r="K632" s="55">
        <v>405</v>
      </c>
      <c r="L632" s="55">
        <v>1621</v>
      </c>
      <c r="M632" s="55">
        <v>20</v>
      </c>
      <c r="N632" s="57">
        <v>0.63919999999999999</v>
      </c>
      <c r="O632" s="51"/>
      <c r="P632" s="53">
        <v>139501.44</v>
      </c>
      <c r="Q632" s="55">
        <v>12</v>
      </c>
      <c r="R632" s="53">
        <v>30.46</v>
      </c>
      <c r="S632" s="53">
        <v>396</v>
      </c>
      <c r="T632" s="59"/>
      <c r="U632" s="55"/>
    </row>
    <row r="633" spans="1:21" x14ac:dyDescent="0.35">
      <c r="A633" s="50">
        <v>4035973</v>
      </c>
      <c r="B633" s="50" t="s">
        <v>2855</v>
      </c>
      <c r="C633" s="50" t="s">
        <v>1174</v>
      </c>
      <c r="D633" s="50">
        <v>10030703</v>
      </c>
      <c r="E633" s="50" t="s">
        <v>3265</v>
      </c>
      <c r="F633" s="50" t="s">
        <v>1173</v>
      </c>
      <c r="G633" s="50"/>
      <c r="H633" s="50" t="s">
        <v>24</v>
      </c>
      <c r="I633" s="50"/>
      <c r="J633" s="52">
        <v>248.51</v>
      </c>
      <c r="K633" s="54">
        <v>282</v>
      </c>
      <c r="L633" s="54">
        <v>2932</v>
      </c>
      <c r="M633" s="54">
        <v>23</v>
      </c>
      <c r="N633" s="56">
        <v>0.34839999999999999</v>
      </c>
      <c r="O633" s="50"/>
      <c r="P633" s="52">
        <v>748379.73</v>
      </c>
      <c r="Q633" s="54">
        <v>33</v>
      </c>
      <c r="R633" s="52">
        <v>82.14</v>
      </c>
      <c r="S633" s="52">
        <v>2957</v>
      </c>
      <c r="T633" s="58"/>
      <c r="U633" s="54"/>
    </row>
    <row r="634" spans="1:21" x14ac:dyDescent="0.35">
      <c r="A634" s="51">
        <v>4035974</v>
      </c>
      <c r="B634" s="51" t="s">
        <v>2857</v>
      </c>
      <c r="C634" s="51" t="s">
        <v>1174</v>
      </c>
      <c r="D634" s="51">
        <v>10030703</v>
      </c>
      <c r="E634" s="51" t="s">
        <v>3265</v>
      </c>
      <c r="F634" s="51" t="s">
        <v>1176</v>
      </c>
      <c r="G634" s="51"/>
      <c r="H634" s="51" t="s">
        <v>24</v>
      </c>
      <c r="I634" s="51"/>
      <c r="J634" s="53">
        <v>4620</v>
      </c>
      <c r="K634" s="55">
        <v>10</v>
      </c>
      <c r="L634" s="55">
        <v>90</v>
      </c>
      <c r="M634" s="55">
        <v>23</v>
      </c>
      <c r="N634" s="57">
        <v>0.38679999999999998</v>
      </c>
      <c r="O634" s="51"/>
      <c r="P634" s="53">
        <v>445560</v>
      </c>
      <c r="Q634" s="55">
        <v>14</v>
      </c>
      <c r="R634" s="53">
        <v>7</v>
      </c>
      <c r="S634" s="53">
        <v>383</v>
      </c>
      <c r="T634" s="59"/>
      <c r="U634" s="55"/>
    </row>
    <row r="635" spans="1:21" x14ac:dyDescent="0.35">
      <c r="A635" s="50">
        <v>4036481</v>
      </c>
      <c r="B635" s="50" t="s">
        <v>2859</v>
      </c>
      <c r="C635" s="50" t="s">
        <v>1174</v>
      </c>
      <c r="D635" s="50">
        <v>10030703</v>
      </c>
      <c r="E635" s="50" t="s">
        <v>3265</v>
      </c>
      <c r="F635" s="50" t="s">
        <v>1173</v>
      </c>
      <c r="G635" s="50"/>
      <c r="H635" s="50" t="s">
        <v>24</v>
      </c>
      <c r="I635" s="50"/>
      <c r="J635" s="52">
        <v>73.349999999999994</v>
      </c>
      <c r="K635" s="54">
        <v>143</v>
      </c>
      <c r="L635" s="54">
        <v>2835</v>
      </c>
      <c r="M635" s="54">
        <v>21</v>
      </c>
      <c r="N635" s="56">
        <v>0.4824</v>
      </c>
      <c r="O635" s="50"/>
      <c r="P635" s="52">
        <v>234864.84</v>
      </c>
      <c r="Q635" s="54">
        <v>10</v>
      </c>
      <c r="R635" s="52">
        <v>67.3</v>
      </c>
      <c r="S635" s="52">
        <v>673</v>
      </c>
      <c r="T635" s="58"/>
      <c r="U635" s="54"/>
    </row>
    <row r="636" spans="1:21" x14ac:dyDescent="0.35">
      <c r="A636" s="51">
        <v>4036668</v>
      </c>
      <c r="B636" s="51" t="s">
        <v>2861</v>
      </c>
      <c r="C636" s="51" t="s">
        <v>1174</v>
      </c>
      <c r="D636" s="51">
        <v>10030908</v>
      </c>
      <c r="E636" s="51" t="s">
        <v>3276</v>
      </c>
      <c r="F636" s="51" t="s">
        <v>1173</v>
      </c>
      <c r="G636" s="51"/>
      <c r="H636" s="51"/>
      <c r="I636" s="51"/>
      <c r="J636" s="53">
        <v>42.72</v>
      </c>
      <c r="K636" s="55">
        <v>180</v>
      </c>
      <c r="L636" s="55">
        <v>648</v>
      </c>
      <c r="M636" s="55">
        <v>9</v>
      </c>
      <c r="N636" s="57">
        <v>1.4530000000000001</v>
      </c>
      <c r="O636" s="51"/>
      <c r="P636" s="53">
        <v>36912</v>
      </c>
      <c r="Q636" s="55">
        <v>5</v>
      </c>
      <c r="R636" s="53">
        <v>4</v>
      </c>
      <c r="S636" s="53">
        <v>24</v>
      </c>
      <c r="T636" s="59"/>
      <c r="U636" s="55"/>
    </row>
    <row r="637" spans="1:21" x14ac:dyDescent="0.35">
      <c r="A637" s="50">
        <v>4036669</v>
      </c>
      <c r="B637" s="50" t="s">
        <v>2863</v>
      </c>
      <c r="C637" s="50" t="s">
        <v>1174</v>
      </c>
      <c r="D637" s="50">
        <v>10030908</v>
      </c>
      <c r="E637" s="50" t="s">
        <v>3276</v>
      </c>
      <c r="F637" s="50" t="s">
        <v>1173</v>
      </c>
      <c r="G637" s="50"/>
      <c r="H637" s="50" t="s">
        <v>24</v>
      </c>
      <c r="I637" s="50"/>
      <c r="J637" s="52">
        <v>36.42</v>
      </c>
      <c r="K637" s="54">
        <v>864</v>
      </c>
      <c r="L637" s="54">
        <v>4464</v>
      </c>
      <c r="M637" s="54">
        <v>19</v>
      </c>
      <c r="N637" s="56">
        <v>0.6411</v>
      </c>
      <c r="O637" s="50"/>
      <c r="P637" s="52">
        <v>190095</v>
      </c>
      <c r="Q637" s="54">
        <v>25</v>
      </c>
      <c r="R637" s="52">
        <v>5.58</v>
      </c>
      <c r="S637" s="52">
        <v>145</v>
      </c>
      <c r="T637" s="58"/>
      <c r="U637" s="54"/>
    </row>
    <row r="638" spans="1:21" x14ac:dyDescent="0.35">
      <c r="A638" s="51">
        <v>4036670</v>
      </c>
      <c r="B638" s="51" t="s">
        <v>2865</v>
      </c>
      <c r="C638" s="51" t="s">
        <v>1174</v>
      </c>
      <c r="D638" s="51">
        <v>10030908</v>
      </c>
      <c r="E638" s="51" t="s">
        <v>3276</v>
      </c>
      <c r="F638" s="51" t="s">
        <v>1173</v>
      </c>
      <c r="G638" s="51"/>
      <c r="H638" s="51" t="s">
        <v>24</v>
      </c>
      <c r="I638" s="51"/>
      <c r="J638" s="53">
        <v>37.11</v>
      </c>
      <c r="K638" s="55">
        <v>144</v>
      </c>
      <c r="L638" s="55">
        <v>216</v>
      </c>
      <c r="M638" s="55">
        <v>2</v>
      </c>
      <c r="N638" s="57">
        <v>3.5118999999999998</v>
      </c>
      <c r="O638" s="51" t="s">
        <v>3230</v>
      </c>
      <c r="P638" s="53">
        <v>13360</v>
      </c>
      <c r="Q638" s="55">
        <v>4</v>
      </c>
      <c r="R638" s="53">
        <v>2</v>
      </c>
      <c r="S638" s="53">
        <v>10</v>
      </c>
      <c r="T638" s="59"/>
      <c r="U638" s="55"/>
    </row>
    <row r="639" spans="1:21" x14ac:dyDescent="0.35">
      <c r="A639" s="50">
        <v>4036671</v>
      </c>
      <c r="B639" s="50" t="s">
        <v>2867</v>
      </c>
      <c r="C639" s="50" t="s">
        <v>1174</v>
      </c>
      <c r="D639" s="50">
        <v>10030908</v>
      </c>
      <c r="E639" s="50" t="s">
        <v>3276</v>
      </c>
      <c r="F639" s="50" t="s">
        <v>1173</v>
      </c>
      <c r="G639" s="50"/>
      <c r="H639" s="50" t="s">
        <v>24</v>
      </c>
      <c r="I639" s="50"/>
      <c r="J639" s="52">
        <v>32.53</v>
      </c>
      <c r="K639" s="54">
        <v>504</v>
      </c>
      <c r="L639" s="54">
        <v>3060</v>
      </c>
      <c r="M639" s="54">
        <v>16</v>
      </c>
      <c r="N639" s="56">
        <v>1.0406</v>
      </c>
      <c r="O639" s="50"/>
      <c r="P639" s="52">
        <v>121784</v>
      </c>
      <c r="Q639" s="54">
        <v>36</v>
      </c>
      <c r="R639" s="52">
        <v>2.54</v>
      </c>
      <c r="S639" s="52">
        <v>104</v>
      </c>
      <c r="T639" s="58"/>
      <c r="U639" s="54"/>
    </row>
    <row r="640" spans="1:21" x14ac:dyDescent="0.35">
      <c r="A640" s="51">
        <v>4036672</v>
      </c>
      <c r="B640" s="51" t="s">
        <v>2869</v>
      </c>
      <c r="C640" s="51" t="s">
        <v>1174</v>
      </c>
      <c r="D640" s="51">
        <v>10030908</v>
      </c>
      <c r="E640" s="51" t="s">
        <v>3276</v>
      </c>
      <c r="F640" s="51" t="s">
        <v>1173</v>
      </c>
      <c r="G640" s="51"/>
      <c r="H640" s="51" t="s">
        <v>24</v>
      </c>
      <c r="I640" s="51"/>
      <c r="J640" s="53">
        <v>38.28</v>
      </c>
      <c r="K640" s="55">
        <v>180</v>
      </c>
      <c r="L640" s="55">
        <v>792</v>
      </c>
      <c r="M640" s="55">
        <v>6</v>
      </c>
      <c r="N640" s="57">
        <v>2.0144000000000002</v>
      </c>
      <c r="O640" s="51"/>
      <c r="P640" s="53">
        <v>38584</v>
      </c>
      <c r="Q640" s="55">
        <v>11</v>
      </c>
      <c r="R640" s="53">
        <v>2.15</v>
      </c>
      <c r="S640" s="53">
        <v>28</v>
      </c>
      <c r="T640" s="59"/>
      <c r="U640" s="55"/>
    </row>
    <row r="641" spans="1:21" x14ac:dyDescent="0.35">
      <c r="A641" s="50">
        <v>4036673</v>
      </c>
      <c r="B641" s="50" t="s">
        <v>2871</v>
      </c>
      <c r="C641" s="50" t="s">
        <v>1174</v>
      </c>
      <c r="D641" s="50">
        <v>10030908</v>
      </c>
      <c r="E641" s="50" t="s">
        <v>3276</v>
      </c>
      <c r="F641" s="50" t="s">
        <v>1173</v>
      </c>
      <c r="G641" s="50"/>
      <c r="H641" s="50" t="s">
        <v>24</v>
      </c>
      <c r="I641" s="50"/>
      <c r="J641" s="52">
        <v>35.69</v>
      </c>
      <c r="K641" s="54">
        <v>180</v>
      </c>
      <c r="L641" s="54">
        <v>504</v>
      </c>
      <c r="M641" s="54">
        <v>6</v>
      </c>
      <c r="N641" s="56">
        <v>1.7786</v>
      </c>
      <c r="O641" s="50"/>
      <c r="P641" s="52">
        <v>23130</v>
      </c>
      <c r="Q641" s="54">
        <v>6</v>
      </c>
      <c r="R641" s="52">
        <v>3</v>
      </c>
      <c r="S641" s="52">
        <v>18</v>
      </c>
      <c r="T641" s="58"/>
      <c r="U641" s="54"/>
    </row>
    <row r="642" spans="1:21" x14ac:dyDescent="0.35">
      <c r="A642" s="51">
        <v>4036674</v>
      </c>
      <c r="B642" s="51" t="s">
        <v>2873</v>
      </c>
      <c r="C642" s="51" t="s">
        <v>1174</v>
      </c>
      <c r="D642" s="51">
        <v>10030906</v>
      </c>
      <c r="E642" s="51" t="s">
        <v>3274</v>
      </c>
      <c r="F642" s="51" t="s">
        <v>1173</v>
      </c>
      <c r="G642" s="51"/>
      <c r="H642" s="51" t="s">
        <v>24</v>
      </c>
      <c r="I642" s="51" t="s">
        <v>24</v>
      </c>
      <c r="J642" s="53">
        <v>1740</v>
      </c>
      <c r="K642" s="55">
        <v>168</v>
      </c>
      <c r="L642" s="55">
        <v>1098</v>
      </c>
      <c r="M642" s="55">
        <v>18</v>
      </c>
      <c r="N642" s="57">
        <v>0.69069999999999998</v>
      </c>
      <c r="O642" s="51"/>
      <c r="P642" s="53">
        <v>2192400</v>
      </c>
      <c r="Q642" s="55">
        <v>20</v>
      </c>
      <c r="R642" s="53">
        <v>10.5</v>
      </c>
      <c r="S642" s="53">
        <v>200</v>
      </c>
      <c r="T642" s="59"/>
      <c r="U642" s="55"/>
    </row>
    <row r="643" spans="1:21" x14ac:dyDescent="0.35">
      <c r="A643" s="50">
        <v>4036675</v>
      </c>
      <c r="B643" s="50" t="s">
        <v>2875</v>
      </c>
      <c r="C643" s="50" t="s">
        <v>1174</v>
      </c>
      <c r="D643" s="50">
        <v>10030906</v>
      </c>
      <c r="E643" s="50" t="s">
        <v>3274</v>
      </c>
      <c r="F643" s="50" t="s">
        <v>1173</v>
      </c>
      <c r="G643" s="50"/>
      <c r="H643" s="50" t="s">
        <v>24</v>
      </c>
      <c r="I643" s="50" t="s">
        <v>24</v>
      </c>
      <c r="J643" s="52">
        <v>279</v>
      </c>
      <c r="K643" s="54">
        <v>90</v>
      </c>
      <c r="L643" s="54">
        <v>966</v>
      </c>
      <c r="M643" s="54">
        <v>13</v>
      </c>
      <c r="N643" s="56">
        <v>1.1201000000000001</v>
      </c>
      <c r="O643" s="50"/>
      <c r="P643" s="52">
        <v>301320</v>
      </c>
      <c r="Q643" s="54">
        <v>26</v>
      </c>
      <c r="R643" s="52">
        <v>6.67</v>
      </c>
      <c r="S643" s="52">
        <v>176</v>
      </c>
      <c r="T643" s="58"/>
      <c r="U643" s="54"/>
    </row>
    <row r="644" spans="1:21" x14ac:dyDescent="0.35">
      <c r="A644" s="51">
        <v>4036677</v>
      </c>
      <c r="B644" s="51" t="s">
        <v>2877</v>
      </c>
      <c r="C644" s="51" t="s">
        <v>1174</v>
      </c>
      <c r="D644" s="51">
        <v>10030906</v>
      </c>
      <c r="E644" s="51" t="s">
        <v>3274</v>
      </c>
      <c r="F644" s="51" t="s">
        <v>1173</v>
      </c>
      <c r="G644" s="51"/>
      <c r="H644" s="51" t="s">
        <v>24</v>
      </c>
      <c r="I644" s="51"/>
      <c r="J644" s="53">
        <v>2090</v>
      </c>
      <c r="K644" s="55">
        <v>114</v>
      </c>
      <c r="L644" s="55">
        <v>714</v>
      </c>
      <c r="M644" s="55">
        <v>13</v>
      </c>
      <c r="N644" s="57">
        <v>1.0159</v>
      </c>
      <c r="O644" s="51"/>
      <c r="P644" s="53">
        <v>1805760</v>
      </c>
      <c r="Q644" s="55">
        <v>21</v>
      </c>
      <c r="R644" s="53">
        <v>6.86</v>
      </c>
      <c r="S644" s="53">
        <v>144</v>
      </c>
      <c r="T644" s="59"/>
      <c r="U644" s="55"/>
    </row>
    <row r="645" spans="1:21" x14ac:dyDescent="0.35">
      <c r="A645" s="50">
        <v>4036744</v>
      </c>
      <c r="B645" s="50" t="s">
        <v>2889</v>
      </c>
      <c r="C645" s="50" t="s">
        <v>1174</v>
      </c>
      <c r="D645" s="50">
        <v>10050103</v>
      </c>
      <c r="E645" s="50" t="s">
        <v>3290</v>
      </c>
      <c r="F645" s="50" t="s">
        <v>1173</v>
      </c>
      <c r="G645" s="50"/>
      <c r="H645" s="50" t="s">
        <v>24</v>
      </c>
      <c r="I645" s="50" t="s">
        <v>24</v>
      </c>
      <c r="J645" s="52">
        <v>70.2</v>
      </c>
      <c r="K645" s="54">
        <v>200</v>
      </c>
      <c r="L645" s="54">
        <v>5312</v>
      </c>
      <c r="M645" s="54">
        <v>21</v>
      </c>
      <c r="N645" s="56">
        <v>0.70109999999999995</v>
      </c>
      <c r="O645" s="50"/>
      <c r="P645" s="52">
        <v>330249.8</v>
      </c>
      <c r="Q645" s="54">
        <v>15</v>
      </c>
      <c r="R645" s="52">
        <v>8.99</v>
      </c>
      <c r="S645" s="52">
        <v>163.4</v>
      </c>
      <c r="T645" s="58"/>
      <c r="U645" s="54"/>
    </row>
    <row r="646" spans="1:21" x14ac:dyDescent="0.35">
      <c r="A646" s="51">
        <v>4036755</v>
      </c>
      <c r="B646" s="51" t="s">
        <v>2891</v>
      </c>
      <c r="C646" s="51" t="s">
        <v>1174</v>
      </c>
      <c r="D646" s="51">
        <v>10030908</v>
      </c>
      <c r="E646" s="51" t="s">
        <v>3276</v>
      </c>
      <c r="F646" s="51" t="s">
        <v>1173</v>
      </c>
      <c r="G646" s="51"/>
      <c r="H646" s="51" t="s">
        <v>24</v>
      </c>
      <c r="I646" s="51" t="s">
        <v>24</v>
      </c>
      <c r="J646" s="53">
        <v>144.16999999999999</v>
      </c>
      <c r="K646" s="55">
        <v>504</v>
      </c>
      <c r="L646" s="55">
        <v>1584</v>
      </c>
      <c r="M646" s="55">
        <v>18</v>
      </c>
      <c r="N646" s="57">
        <v>0.9</v>
      </c>
      <c r="O646" s="51"/>
      <c r="P646" s="53">
        <v>285450</v>
      </c>
      <c r="Q646" s="55">
        <v>9</v>
      </c>
      <c r="R646" s="53">
        <v>6.11</v>
      </c>
      <c r="S646" s="53">
        <v>55</v>
      </c>
      <c r="T646" s="59"/>
      <c r="U646" s="55"/>
    </row>
    <row r="647" spans="1:21" x14ac:dyDescent="0.35">
      <c r="A647" s="50">
        <v>4036757</v>
      </c>
      <c r="B647" s="50" t="s">
        <v>2895</v>
      </c>
      <c r="C647" s="50" t="s">
        <v>1174</v>
      </c>
      <c r="D647" s="50">
        <v>10030908</v>
      </c>
      <c r="E647" s="50" t="s">
        <v>3276</v>
      </c>
      <c r="F647" s="50" t="s">
        <v>1173</v>
      </c>
      <c r="G647" s="50"/>
      <c r="H647" s="50" t="s">
        <v>24</v>
      </c>
      <c r="I647" s="50" t="s">
        <v>24</v>
      </c>
      <c r="J647" s="52">
        <v>45</v>
      </c>
      <c r="K647" s="54">
        <v>396</v>
      </c>
      <c r="L647" s="54">
        <v>1692</v>
      </c>
      <c r="M647" s="54">
        <v>17</v>
      </c>
      <c r="N647" s="56">
        <v>0.92620000000000002</v>
      </c>
      <c r="O647" s="50"/>
      <c r="P647" s="52">
        <v>97198.15</v>
      </c>
      <c r="Q647" s="54">
        <v>11</v>
      </c>
      <c r="R647" s="52">
        <v>5.45</v>
      </c>
      <c r="S647" s="52">
        <v>60</v>
      </c>
      <c r="T647" s="58"/>
      <c r="U647" s="54"/>
    </row>
    <row r="648" spans="1:21" x14ac:dyDescent="0.35">
      <c r="A648" s="51">
        <v>4036758</v>
      </c>
      <c r="B648" s="51" t="s">
        <v>2897</v>
      </c>
      <c r="C648" s="51" t="s">
        <v>1174</v>
      </c>
      <c r="D648" s="51">
        <v>10030908</v>
      </c>
      <c r="E648" s="51" t="s">
        <v>3276</v>
      </c>
      <c r="F648" s="51" t="s">
        <v>1173</v>
      </c>
      <c r="G648" s="51"/>
      <c r="H648" s="51" t="s">
        <v>24</v>
      </c>
      <c r="I648" s="51" t="s">
        <v>24</v>
      </c>
      <c r="J648" s="53">
        <v>43.42</v>
      </c>
      <c r="K648" s="55">
        <v>252</v>
      </c>
      <c r="L648" s="55">
        <v>1152</v>
      </c>
      <c r="M648" s="55">
        <v>16</v>
      </c>
      <c r="N648" s="57">
        <v>0.91</v>
      </c>
      <c r="O648" s="51"/>
      <c r="P648" s="53">
        <v>59394</v>
      </c>
      <c r="Q648" s="55">
        <v>17</v>
      </c>
      <c r="R648" s="53">
        <v>2.2400000000000002</v>
      </c>
      <c r="S648" s="53">
        <v>38</v>
      </c>
      <c r="T648" s="59"/>
      <c r="U648" s="55"/>
    </row>
    <row r="649" spans="1:21" x14ac:dyDescent="0.35">
      <c r="A649" s="50">
        <v>4036771</v>
      </c>
      <c r="B649" s="50" t="s">
        <v>2899</v>
      </c>
      <c r="C649" s="50" t="s">
        <v>1174</v>
      </c>
      <c r="D649" s="50">
        <v>10030908</v>
      </c>
      <c r="E649" s="50" t="s">
        <v>3276</v>
      </c>
      <c r="F649" s="50" t="s">
        <v>1173</v>
      </c>
      <c r="G649" s="50"/>
      <c r="H649" s="50" t="s">
        <v>24</v>
      </c>
      <c r="I649" s="50" t="s">
        <v>24</v>
      </c>
      <c r="J649" s="52">
        <v>170.25</v>
      </c>
      <c r="K649" s="54">
        <v>84</v>
      </c>
      <c r="L649" s="54">
        <v>120</v>
      </c>
      <c r="M649" s="54">
        <v>4</v>
      </c>
      <c r="N649" s="56">
        <v>2.6758000000000002</v>
      </c>
      <c r="O649" s="50" t="s">
        <v>3230</v>
      </c>
      <c r="P649" s="52">
        <v>36774</v>
      </c>
      <c r="Q649" s="54">
        <v>5</v>
      </c>
      <c r="R649" s="52">
        <v>3</v>
      </c>
      <c r="S649" s="52">
        <v>18</v>
      </c>
      <c r="T649" s="58"/>
      <c r="U649" s="54"/>
    </row>
    <row r="650" spans="1:21" x14ac:dyDescent="0.35">
      <c r="A650" s="51">
        <v>4036772</v>
      </c>
      <c r="B650" s="51" t="s">
        <v>2901</v>
      </c>
      <c r="C650" s="51" t="s">
        <v>1174</v>
      </c>
      <c r="D650" s="51">
        <v>10030908</v>
      </c>
      <c r="E650" s="51" t="s">
        <v>3276</v>
      </c>
      <c r="F650" s="51" t="s">
        <v>1173</v>
      </c>
      <c r="G650" s="51"/>
      <c r="H650" s="51" t="s">
        <v>24</v>
      </c>
      <c r="I650" s="51" t="s">
        <v>24</v>
      </c>
      <c r="J650" s="53">
        <v>229.5</v>
      </c>
      <c r="K650" s="55">
        <v>360</v>
      </c>
      <c r="L650" s="55">
        <v>1764</v>
      </c>
      <c r="M650" s="55">
        <v>18</v>
      </c>
      <c r="N650" s="57">
        <v>0.64849999999999997</v>
      </c>
      <c r="O650" s="51"/>
      <c r="P650" s="53">
        <v>479196</v>
      </c>
      <c r="Q650" s="55">
        <v>25</v>
      </c>
      <c r="R650" s="53">
        <v>6.96</v>
      </c>
      <c r="S650" s="53">
        <v>174</v>
      </c>
      <c r="T650" s="59"/>
      <c r="U650" s="55"/>
    </row>
    <row r="651" spans="1:21" x14ac:dyDescent="0.35">
      <c r="A651" s="50">
        <v>4036777</v>
      </c>
      <c r="B651" s="50" t="s">
        <v>2907</v>
      </c>
      <c r="C651" s="50" t="s">
        <v>1174</v>
      </c>
      <c r="D651" s="50">
        <v>10030908</v>
      </c>
      <c r="E651" s="50" t="s">
        <v>3276</v>
      </c>
      <c r="F651" s="50" t="s">
        <v>1173</v>
      </c>
      <c r="G651" s="50"/>
      <c r="H651" s="50" t="s">
        <v>24</v>
      </c>
      <c r="I651" s="50" t="s">
        <v>24</v>
      </c>
      <c r="J651" s="52">
        <v>20.64</v>
      </c>
      <c r="K651" s="54">
        <v>540</v>
      </c>
      <c r="L651" s="54">
        <v>2160</v>
      </c>
      <c r="M651" s="54">
        <v>13</v>
      </c>
      <c r="N651" s="56">
        <v>1.3012999999999999</v>
      </c>
      <c r="O651" s="50"/>
      <c r="P651" s="52">
        <v>56468</v>
      </c>
      <c r="Q651" s="54">
        <v>7</v>
      </c>
      <c r="R651" s="52">
        <v>10.86</v>
      </c>
      <c r="S651" s="52">
        <v>76</v>
      </c>
      <c r="T651" s="58"/>
      <c r="U651" s="54"/>
    </row>
    <row r="652" spans="1:21" x14ac:dyDescent="0.35">
      <c r="A652" s="51">
        <v>4036778</v>
      </c>
      <c r="B652" s="51" t="s">
        <v>2909</v>
      </c>
      <c r="C652" s="51" t="s">
        <v>1174</v>
      </c>
      <c r="D652" s="51">
        <v>10030908</v>
      </c>
      <c r="E652" s="51" t="s">
        <v>3276</v>
      </c>
      <c r="F652" s="51" t="s">
        <v>1173</v>
      </c>
      <c r="G652" s="51"/>
      <c r="H652" s="51" t="s">
        <v>24</v>
      </c>
      <c r="I652" s="51" t="s">
        <v>24</v>
      </c>
      <c r="J652" s="53">
        <v>22.06</v>
      </c>
      <c r="K652" s="55">
        <v>612</v>
      </c>
      <c r="L652" s="55">
        <v>7092</v>
      </c>
      <c r="M652" s="55">
        <v>18</v>
      </c>
      <c r="N652" s="57">
        <v>0.79730000000000001</v>
      </c>
      <c r="O652" s="51"/>
      <c r="P652" s="53">
        <v>171504</v>
      </c>
      <c r="Q652" s="55">
        <v>34</v>
      </c>
      <c r="R652" s="53">
        <v>6.35</v>
      </c>
      <c r="S652" s="53">
        <v>211</v>
      </c>
      <c r="T652" s="59"/>
      <c r="U652" s="55"/>
    </row>
    <row r="653" spans="1:21" x14ac:dyDescent="0.35">
      <c r="A653" s="50">
        <v>4036779</v>
      </c>
      <c r="B653" s="50" t="s">
        <v>2911</v>
      </c>
      <c r="C653" s="50" t="s">
        <v>1174</v>
      </c>
      <c r="D653" s="50">
        <v>10030908</v>
      </c>
      <c r="E653" s="50" t="s">
        <v>3276</v>
      </c>
      <c r="F653" s="50" t="s">
        <v>1173</v>
      </c>
      <c r="G653" s="50"/>
      <c r="H653" s="50" t="s">
        <v>24</v>
      </c>
      <c r="I653" s="50" t="s">
        <v>24</v>
      </c>
      <c r="J653" s="52">
        <v>23.39</v>
      </c>
      <c r="K653" s="54">
        <v>180</v>
      </c>
      <c r="L653" s="54">
        <v>756</v>
      </c>
      <c r="M653" s="54">
        <v>10</v>
      </c>
      <c r="N653" s="56">
        <v>1.4498</v>
      </c>
      <c r="O653" s="50"/>
      <c r="P653" s="52">
        <v>23576</v>
      </c>
      <c r="Q653" s="54">
        <v>10</v>
      </c>
      <c r="R653" s="52">
        <v>2.5499999999999998</v>
      </c>
      <c r="S653" s="52">
        <v>26</v>
      </c>
      <c r="T653" s="58"/>
      <c r="U653" s="54"/>
    </row>
    <row r="654" spans="1:21" x14ac:dyDescent="0.35">
      <c r="A654" s="51">
        <v>4036780</v>
      </c>
      <c r="B654" s="51" t="s">
        <v>2913</v>
      </c>
      <c r="C654" s="51" t="s">
        <v>1174</v>
      </c>
      <c r="D654" s="51">
        <v>10030908</v>
      </c>
      <c r="E654" s="51" t="s">
        <v>3276</v>
      </c>
      <c r="F654" s="51" t="s">
        <v>1173</v>
      </c>
      <c r="G654" s="51"/>
      <c r="H654" s="51" t="s">
        <v>24</v>
      </c>
      <c r="I654" s="51"/>
      <c r="J654" s="53">
        <v>47.11</v>
      </c>
      <c r="K654" s="55">
        <v>1836</v>
      </c>
      <c r="L654" s="55">
        <v>7997</v>
      </c>
      <c r="M654" s="55">
        <v>18</v>
      </c>
      <c r="N654" s="57">
        <v>0.82530000000000003</v>
      </c>
      <c r="O654" s="51"/>
      <c r="P654" s="53">
        <v>468096</v>
      </c>
      <c r="Q654" s="55">
        <v>37</v>
      </c>
      <c r="R654" s="53">
        <v>7.26</v>
      </c>
      <c r="S654" s="53">
        <v>276</v>
      </c>
      <c r="T654" s="59"/>
      <c r="U654" s="55"/>
    </row>
    <row r="655" spans="1:21" x14ac:dyDescent="0.35">
      <c r="A655" s="50">
        <v>4038552</v>
      </c>
      <c r="B655" s="50" t="s">
        <v>2927</v>
      </c>
      <c r="C655" s="50" t="s">
        <v>1174</v>
      </c>
      <c r="D655" s="50">
        <v>10050108</v>
      </c>
      <c r="E655" s="50" t="s">
        <v>3293</v>
      </c>
      <c r="F655" s="50" t="s">
        <v>1173</v>
      </c>
      <c r="G655" s="50"/>
      <c r="H655" s="50" t="s">
        <v>24</v>
      </c>
      <c r="I655" s="50"/>
      <c r="J655" s="52">
        <v>972.41</v>
      </c>
      <c r="K655" s="54">
        <v>42</v>
      </c>
      <c r="L655" s="54">
        <v>28</v>
      </c>
      <c r="M655" s="54">
        <v>7</v>
      </c>
      <c r="N655" s="56">
        <v>1.7613000000000001</v>
      </c>
      <c r="O655" s="50"/>
      <c r="P655" s="52">
        <v>56720</v>
      </c>
      <c r="Q655" s="54">
        <v>2</v>
      </c>
      <c r="R655" s="52">
        <v>30</v>
      </c>
      <c r="S655" s="52">
        <v>60</v>
      </c>
      <c r="T655" s="58">
        <v>3</v>
      </c>
      <c r="U655" s="54">
        <v>1</v>
      </c>
    </row>
    <row r="656" spans="1:21" x14ac:dyDescent="0.35">
      <c r="A656" s="51">
        <v>4038553</v>
      </c>
      <c r="B656" s="51" t="s">
        <v>2929</v>
      </c>
      <c r="C656" s="51" t="s">
        <v>1174</v>
      </c>
      <c r="D656" s="51">
        <v>10030398</v>
      </c>
      <c r="E656" s="51" t="s">
        <v>3257</v>
      </c>
      <c r="F656" s="51" t="s">
        <v>1173</v>
      </c>
      <c r="G656" s="51"/>
      <c r="H656" s="51" t="s">
        <v>24</v>
      </c>
      <c r="I656" s="51"/>
      <c r="J656" s="53">
        <v>198.87</v>
      </c>
      <c r="K656" s="55">
        <v>140</v>
      </c>
      <c r="L656" s="55">
        <v>560</v>
      </c>
      <c r="M656" s="55">
        <v>13</v>
      </c>
      <c r="N656" s="57">
        <v>1.04</v>
      </c>
      <c r="O656" s="51"/>
      <c r="P656" s="53">
        <v>138956.4</v>
      </c>
      <c r="Q656" s="55">
        <v>10</v>
      </c>
      <c r="R656" s="53">
        <v>3.6</v>
      </c>
      <c r="S656" s="53">
        <v>45</v>
      </c>
      <c r="T656" s="59"/>
      <c r="U656" s="55"/>
    </row>
    <row r="657" spans="1:21" x14ac:dyDescent="0.35">
      <c r="A657" s="50">
        <v>4038555</v>
      </c>
      <c r="B657" s="50" t="s">
        <v>2933</v>
      </c>
      <c r="C657" s="50" t="s">
        <v>1174</v>
      </c>
      <c r="D657" s="50">
        <v>10030398</v>
      </c>
      <c r="E657" s="50" t="s">
        <v>3257</v>
      </c>
      <c r="F657" s="50" t="s">
        <v>1173</v>
      </c>
      <c r="G657" s="50"/>
      <c r="H657" s="50" t="s">
        <v>24</v>
      </c>
      <c r="I657" s="50"/>
      <c r="J657" s="52">
        <v>122.73</v>
      </c>
      <c r="K657" s="54">
        <v>100</v>
      </c>
      <c r="L657" s="54">
        <v>560</v>
      </c>
      <c r="M657" s="54">
        <v>14</v>
      </c>
      <c r="N657" s="56">
        <v>1.1779999999999999</v>
      </c>
      <c r="O657" s="50"/>
      <c r="P657" s="52">
        <v>79862.399999999994</v>
      </c>
      <c r="Q657" s="54">
        <v>10</v>
      </c>
      <c r="R657" s="52">
        <v>3.3</v>
      </c>
      <c r="S657" s="52">
        <v>33</v>
      </c>
      <c r="T657" s="58"/>
      <c r="U657" s="54"/>
    </row>
    <row r="658" spans="1:21" x14ac:dyDescent="0.35">
      <c r="A658" s="51">
        <v>4038558</v>
      </c>
      <c r="B658" s="51" t="s">
        <v>2939</v>
      </c>
      <c r="C658" s="51" t="s">
        <v>1174</v>
      </c>
      <c r="D658" s="51">
        <v>10030904</v>
      </c>
      <c r="E658" s="51" t="s">
        <v>3272</v>
      </c>
      <c r="F658" s="51" t="s">
        <v>1173</v>
      </c>
      <c r="G658" s="51"/>
      <c r="H658" s="51" t="s">
        <v>24</v>
      </c>
      <c r="I658" s="51"/>
      <c r="J658" s="53">
        <v>499</v>
      </c>
      <c r="K658" s="55">
        <v>175</v>
      </c>
      <c r="L658" s="55">
        <v>850</v>
      </c>
      <c r="M658" s="55">
        <v>17</v>
      </c>
      <c r="N658" s="57">
        <v>0.69510000000000005</v>
      </c>
      <c r="O658" s="51"/>
      <c r="P658" s="53">
        <v>523950</v>
      </c>
      <c r="Q658" s="55">
        <v>14</v>
      </c>
      <c r="R658" s="53">
        <v>75</v>
      </c>
      <c r="S658" s="53">
        <v>1050</v>
      </c>
      <c r="T658" s="59"/>
      <c r="U658" s="55"/>
    </row>
    <row r="659" spans="1:21" x14ac:dyDescent="0.35">
      <c r="A659" s="50">
        <v>4038559</v>
      </c>
      <c r="B659" s="50" t="s">
        <v>2941</v>
      </c>
      <c r="C659" s="50" t="s">
        <v>1174</v>
      </c>
      <c r="D659" s="50">
        <v>10030398</v>
      </c>
      <c r="E659" s="50" t="s">
        <v>3257</v>
      </c>
      <c r="F659" s="50" t="s">
        <v>1173</v>
      </c>
      <c r="G659" s="50"/>
      <c r="H659" s="50" t="s">
        <v>24</v>
      </c>
      <c r="I659" s="50"/>
      <c r="J659" s="52">
        <v>190.6</v>
      </c>
      <c r="K659" s="54">
        <v>96</v>
      </c>
      <c r="L659" s="54">
        <v>336</v>
      </c>
      <c r="M659" s="54">
        <v>12</v>
      </c>
      <c r="N659" s="56">
        <v>1.1517999999999999</v>
      </c>
      <c r="O659" s="50"/>
      <c r="P659" s="52">
        <v>81403.320000000007</v>
      </c>
      <c r="Q659" s="54">
        <v>8</v>
      </c>
      <c r="R659" s="52">
        <v>4.5</v>
      </c>
      <c r="S659" s="52">
        <v>36</v>
      </c>
      <c r="T659" s="58"/>
      <c r="U659" s="54"/>
    </row>
    <row r="660" spans="1:21" x14ac:dyDescent="0.35">
      <c r="A660" s="51">
        <v>4038560</v>
      </c>
      <c r="B660" s="51" t="s">
        <v>2943</v>
      </c>
      <c r="C660" s="51" t="s">
        <v>1174</v>
      </c>
      <c r="D660" s="51">
        <v>10030398</v>
      </c>
      <c r="E660" s="51" t="s">
        <v>3257</v>
      </c>
      <c r="F660" s="51" t="s">
        <v>1173</v>
      </c>
      <c r="G660" s="51"/>
      <c r="H660" s="51" t="s">
        <v>24</v>
      </c>
      <c r="I660" s="51"/>
      <c r="J660" s="53">
        <v>168.73</v>
      </c>
      <c r="K660" s="55">
        <v>408</v>
      </c>
      <c r="L660" s="55">
        <v>2040</v>
      </c>
      <c r="M660" s="55">
        <v>19</v>
      </c>
      <c r="N660" s="57">
        <v>0.55269999999999997</v>
      </c>
      <c r="O660" s="51"/>
      <c r="P660" s="53">
        <v>438632.4</v>
      </c>
      <c r="Q660" s="55">
        <v>33</v>
      </c>
      <c r="R660" s="53">
        <v>5.88</v>
      </c>
      <c r="S660" s="53">
        <v>200</v>
      </c>
      <c r="T660" s="59"/>
      <c r="U660" s="55"/>
    </row>
    <row r="661" spans="1:21" x14ac:dyDescent="0.35">
      <c r="A661" s="50">
        <v>4038567</v>
      </c>
      <c r="B661" s="50" t="s">
        <v>2957</v>
      </c>
      <c r="C661" s="50" t="s">
        <v>1174</v>
      </c>
      <c r="D661" s="50">
        <v>10030398</v>
      </c>
      <c r="E661" s="50" t="s">
        <v>3257</v>
      </c>
      <c r="F661" s="50" t="s">
        <v>1173</v>
      </c>
      <c r="G661" s="50"/>
      <c r="H661" s="50" t="s">
        <v>24</v>
      </c>
      <c r="I661" s="50"/>
      <c r="J661" s="52">
        <v>360.1</v>
      </c>
      <c r="K661" s="54">
        <v>29</v>
      </c>
      <c r="L661" s="54">
        <v>132</v>
      </c>
      <c r="M661" s="54">
        <v>6</v>
      </c>
      <c r="N661" s="56">
        <v>2.0449000000000002</v>
      </c>
      <c r="O661" s="50"/>
      <c r="P661" s="52">
        <v>122331</v>
      </c>
      <c r="Q661" s="54">
        <v>4</v>
      </c>
      <c r="R661" s="52">
        <v>8.5</v>
      </c>
      <c r="S661" s="52">
        <v>24</v>
      </c>
      <c r="T661" s="58"/>
      <c r="U661" s="54"/>
    </row>
    <row r="662" spans="1:21" x14ac:dyDescent="0.35">
      <c r="A662" s="51">
        <v>4038571</v>
      </c>
      <c r="B662" s="51" t="s">
        <v>2965</v>
      </c>
      <c r="C662" s="51" t="s">
        <v>1174</v>
      </c>
      <c r="D662" s="51">
        <v>20040598</v>
      </c>
      <c r="E662" s="51" t="s">
        <v>3339</v>
      </c>
      <c r="F662" s="51" t="s">
        <v>1173</v>
      </c>
      <c r="G662" s="51"/>
      <c r="H662" s="51" t="s">
        <v>24</v>
      </c>
      <c r="I662" s="51"/>
      <c r="J662" s="53">
        <v>137.99</v>
      </c>
      <c r="K662" s="55">
        <v>108</v>
      </c>
      <c r="L662" s="55">
        <v>378</v>
      </c>
      <c r="M662" s="55">
        <v>14</v>
      </c>
      <c r="N662" s="57">
        <v>0.98860000000000003</v>
      </c>
      <c r="O662" s="51"/>
      <c r="P662" s="53">
        <v>65136</v>
      </c>
      <c r="Q662" s="55">
        <v>16</v>
      </c>
      <c r="R662" s="53">
        <v>4.71</v>
      </c>
      <c r="S662" s="53">
        <v>80</v>
      </c>
      <c r="T662" s="59"/>
      <c r="U662" s="55"/>
    </row>
    <row r="663" spans="1:21" x14ac:dyDescent="0.35">
      <c r="A663" s="50">
        <v>4038574</v>
      </c>
      <c r="B663" s="50" t="s">
        <v>2971</v>
      </c>
      <c r="C663" s="50" t="s">
        <v>1174</v>
      </c>
      <c r="D663" s="50">
        <v>10050108</v>
      </c>
      <c r="E663" s="50" t="s">
        <v>3293</v>
      </c>
      <c r="F663" s="50" t="s">
        <v>1173</v>
      </c>
      <c r="G663" s="50"/>
      <c r="H663" s="50" t="s">
        <v>24</v>
      </c>
      <c r="I663" s="50"/>
      <c r="J663" s="52">
        <v>316.63</v>
      </c>
      <c r="K663" s="54">
        <v>170</v>
      </c>
      <c r="L663" s="54">
        <v>290</v>
      </c>
      <c r="M663" s="54">
        <v>10</v>
      </c>
      <c r="N663" s="56">
        <v>1.3720000000000001</v>
      </c>
      <c r="O663" s="50"/>
      <c r="P663" s="52">
        <v>123840</v>
      </c>
      <c r="Q663" s="54">
        <v>5</v>
      </c>
      <c r="R663" s="52">
        <v>8.4</v>
      </c>
      <c r="S663" s="52">
        <v>42</v>
      </c>
      <c r="T663" s="58">
        <v>3</v>
      </c>
      <c r="U663" s="54">
        <v>1</v>
      </c>
    </row>
    <row r="664" spans="1:21" x14ac:dyDescent="0.35">
      <c r="A664" s="51">
        <v>4038582</v>
      </c>
      <c r="B664" s="51" t="s">
        <v>2987</v>
      </c>
      <c r="C664" s="51" t="s">
        <v>1174</v>
      </c>
      <c r="D664" s="51">
        <v>10030904</v>
      </c>
      <c r="E664" s="51" t="s">
        <v>3272</v>
      </c>
      <c r="F664" s="51" t="s">
        <v>1173</v>
      </c>
      <c r="G664" s="51"/>
      <c r="H664" s="51" t="s">
        <v>24</v>
      </c>
      <c r="I664" s="51"/>
      <c r="J664" s="53">
        <v>161.96</v>
      </c>
      <c r="K664" s="55">
        <v>100</v>
      </c>
      <c r="L664" s="55">
        <v>390</v>
      </c>
      <c r="M664" s="55">
        <v>14</v>
      </c>
      <c r="N664" s="57">
        <v>1.0329999999999999</v>
      </c>
      <c r="O664" s="51"/>
      <c r="P664" s="53">
        <v>74542.92</v>
      </c>
      <c r="Q664" s="55">
        <v>10</v>
      </c>
      <c r="R664" s="53">
        <v>4.8</v>
      </c>
      <c r="S664" s="53">
        <v>52</v>
      </c>
      <c r="T664" s="59"/>
      <c r="U664" s="55"/>
    </row>
    <row r="665" spans="1:21" x14ac:dyDescent="0.35">
      <c r="A665" s="50">
        <v>4038586</v>
      </c>
      <c r="B665" s="50" t="s">
        <v>2995</v>
      </c>
      <c r="C665" s="50" t="s">
        <v>1174</v>
      </c>
      <c r="D665" s="50">
        <v>10050108</v>
      </c>
      <c r="E665" s="50" t="s">
        <v>3293</v>
      </c>
      <c r="F665" s="50" t="s">
        <v>1173</v>
      </c>
      <c r="G665" s="50"/>
      <c r="H665" s="50" t="s">
        <v>24</v>
      </c>
      <c r="I665" s="50"/>
      <c r="J665" s="52">
        <v>326.8</v>
      </c>
      <c r="K665" s="54">
        <v>30</v>
      </c>
      <c r="L665" s="54">
        <v>410</v>
      </c>
      <c r="M665" s="54">
        <v>16</v>
      </c>
      <c r="N665" s="56">
        <v>0.78320000000000001</v>
      </c>
      <c r="O665" s="50"/>
      <c r="P665" s="52">
        <v>145400</v>
      </c>
      <c r="Q665" s="54">
        <v>10</v>
      </c>
      <c r="R665" s="52">
        <v>5</v>
      </c>
      <c r="S665" s="52">
        <v>45</v>
      </c>
      <c r="T665" s="58">
        <v>3</v>
      </c>
      <c r="U665" s="54">
        <v>1</v>
      </c>
    </row>
    <row r="666" spans="1:21" x14ac:dyDescent="0.35">
      <c r="A666" s="51">
        <v>4038643</v>
      </c>
      <c r="B666" s="51" t="s">
        <v>2997</v>
      </c>
      <c r="C666" s="51" t="s">
        <v>1174</v>
      </c>
      <c r="D666" s="51">
        <v>10050606</v>
      </c>
      <c r="E666" s="51" t="s">
        <v>3314</v>
      </c>
      <c r="F666" s="51" t="s">
        <v>1173</v>
      </c>
      <c r="G666" s="51"/>
      <c r="H666" s="51" t="s">
        <v>24</v>
      </c>
      <c r="I666" s="51"/>
      <c r="J666" s="53">
        <v>6.45</v>
      </c>
      <c r="K666" s="55">
        <v>550</v>
      </c>
      <c r="L666" s="55">
        <v>700</v>
      </c>
      <c r="M666" s="55">
        <v>7</v>
      </c>
      <c r="N666" s="57">
        <v>1.6351</v>
      </c>
      <c r="O666" s="51"/>
      <c r="P666" s="53">
        <v>9672</v>
      </c>
      <c r="Q666" s="55">
        <v>3</v>
      </c>
      <c r="R666" s="53">
        <v>1</v>
      </c>
      <c r="S666" s="53">
        <v>3</v>
      </c>
      <c r="T666" s="59"/>
      <c r="U666" s="55"/>
    </row>
    <row r="667" spans="1:21" x14ac:dyDescent="0.35">
      <c r="A667" s="50">
        <v>4038735</v>
      </c>
      <c r="B667" s="50" t="s">
        <v>3013</v>
      </c>
      <c r="C667" s="50" t="s">
        <v>1174</v>
      </c>
      <c r="D667" s="50">
        <v>10050701</v>
      </c>
      <c r="E667" s="50" t="s">
        <v>3320</v>
      </c>
      <c r="F667" s="50" t="s">
        <v>1173</v>
      </c>
      <c r="G667" s="50"/>
      <c r="H667" s="50" t="s">
        <v>141</v>
      </c>
      <c r="I667" s="50"/>
      <c r="J667" s="52">
        <v>0.1</v>
      </c>
      <c r="K667" s="54">
        <v>180</v>
      </c>
      <c r="L667" s="54">
        <v>30</v>
      </c>
      <c r="M667" s="54">
        <v>2</v>
      </c>
      <c r="N667" s="56">
        <v>3.5118999999999998</v>
      </c>
      <c r="O667" s="50" t="s">
        <v>3230</v>
      </c>
      <c r="P667" s="52">
        <v>2.1</v>
      </c>
      <c r="Q667" s="54">
        <v>1</v>
      </c>
      <c r="R667" s="52">
        <v>21</v>
      </c>
      <c r="S667" s="52">
        <v>21</v>
      </c>
      <c r="T667" s="58"/>
      <c r="U667" s="54"/>
    </row>
    <row r="668" spans="1:21" x14ac:dyDescent="0.35">
      <c r="A668" s="51">
        <v>4038736</v>
      </c>
      <c r="B668" s="51" t="s">
        <v>3015</v>
      </c>
      <c r="C668" s="51" t="s">
        <v>1174</v>
      </c>
      <c r="D668" s="51">
        <v>10050701</v>
      </c>
      <c r="E668" s="51" t="s">
        <v>3320</v>
      </c>
      <c r="F668" s="51" t="s">
        <v>1173</v>
      </c>
      <c r="G668" s="51"/>
      <c r="H668" s="51" t="s">
        <v>141</v>
      </c>
      <c r="I668" s="51"/>
      <c r="J668" s="53">
        <v>0.01</v>
      </c>
      <c r="K668" s="55">
        <v>110</v>
      </c>
      <c r="L668" s="55">
        <v>50</v>
      </c>
      <c r="M668" s="55">
        <v>3</v>
      </c>
      <c r="N668" s="57">
        <v>2.7641</v>
      </c>
      <c r="O668" s="51" t="s">
        <v>3230</v>
      </c>
      <c r="P668" s="53">
        <v>1.6</v>
      </c>
      <c r="Q668" s="55">
        <v>3</v>
      </c>
      <c r="R668" s="53">
        <v>5.33</v>
      </c>
      <c r="S668" s="53">
        <v>16</v>
      </c>
      <c r="T668" s="59"/>
      <c r="U668" s="55"/>
    </row>
    <row r="669" spans="1:21" x14ac:dyDescent="0.35">
      <c r="A669" s="50">
        <v>4038742</v>
      </c>
      <c r="B669" s="50" t="s">
        <v>3019</v>
      </c>
      <c r="C669" s="50" t="s">
        <v>1174</v>
      </c>
      <c r="D669" s="50">
        <v>10050701</v>
      </c>
      <c r="E669" s="50" t="s">
        <v>3320</v>
      </c>
      <c r="F669" s="50" t="s">
        <v>1173</v>
      </c>
      <c r="G669" s="50"/>
      <c r="H669" s="50" t="s">
        <v>141</v>
      </c>
      <c r="I669" s="50"/>
      <c r="J669" s="52">
        <v>0.01</v>
      </c>
      <c r="K669" s="54">
        <v>110</v>
      </c>
      <c r="L669" s="54">
        <v>291</v>
      </c>
      <c r="M669" s="54">
        <v>13</v>
      </c>
      <c r="N669" s="56">
        <v>1.2108000000000001</v>
      </c>
      <c r="O669" s="50"/>
      <c r="P669" s="52">
        <v>1.2</v>
      </c>
      <c r="Q669" s="54">
        <v>6</v>
      </c>
      <c r="R669" s="52">
        <v>6</v>
      </c>
      <c r="S669" s="52">
        <v>48</v>
      </c>
      <c r="T669" s="58"/>
      <c r="U669" s="54"/>
    </row>
    <row r="670" spans="1:21" x14ac:dyDescent="0.35">
      <c r="A670" s="51">
        <v>4038743</v>
      </c>
      <c r="B670" s="51" t="s">
        <v>3021</v>
      </c>
      <c r="C670" s="51" t="s">
        <v>1174</v>
      </c>
      <c r="D670" s="51">
        <v>10050701</v>
      </c>
      <c r="E670" s="51" t="s">
        <v>3320</v>
      </c>
      <c r="F670" s="51" t="s">
        <v>1173</v>
      </c>
      <c r="G670" s="51"/>
      <c r="H670" s="51" t="s">
        <v>141</v>
      </c>
      <c r="I670" s="51"/>
      <c r="J670" s="53">
        <v>0.01</v>
      </c>
      <c r="K670" s="55">
        <v>90</v>
      </c>
      <c r="L670" s="55">
        <v>201</v>
      </c>
      <c r="M670" s="55">
        <v>13</v>
      </c>
      <c r="N670" s="57">
        <v>1.2229000000000001</v>
      </c>
      <c r="O670" s="51"/>
      <c r="P670" s="53">
        <v>1.8</v>
      </c>
      <c r="Q670" s="55">
        <v>5</v>
      </c>
      <c r="R670" s="53">
        <v>6</v>
      </c>
      <c r="S670" s="53">
        <v>36</v>
      </c>
      <c r="T670" s="59"/>
      <c r="U670" s="55"/>
    </row>
    <row r="671" spans="1:21" x14ac:dyDescent="0.35">
      <c r="A671" s="50">
        <v>4043184</v>
      </c>
      <c r="B671" s="50" t="s">
        <v>3045</v>
      </c>
      <c r="C671" s="50" t="s">
        <v>1174</v>
      </c>
      <c r="D671" s="50">
        <v>10050404</v>
      </c>
      <c r="E671" s="50" t="s">
        <v>3301</v>
      </c>
      <c r="F671" s="50" t="s">
        <v>1173</v>
      </c>
      <c r="G671" s="50"/>
      <c r="H671" s="50" t="s">
        <v>24</v>
      </c>
      <c r="I671" s="50" t="s">
        <v>141</v>
      </c>
      <c r="J671" s="52">
        <v>112.69</v>
      </c>
      <c r="K671" s="54">
        <v>176</v>
      </c>
      <c r="L671" s="54">
        <v>265</v>
      </c>
      <c r="M671" s="54">
        <v>11</v>
      </c>
      <c r="N671" s="56">
        <v>1.2806999999999999</v>
      </c>
      <c r="O671" s="50"/>
      <c r="P671" s="52">
        <v>61433</v>
      </c>
      <c r="Q671" s="54">
        <v>4</v>
      </c>
      <c r="R671" s="52">
        <v>20</v>
      </c>
      <c r="S671" s="52">
        <v>72</v>
      </c>
      <c r="T671" s="58"/>
      <c r="U671" s="54"/>
    </row>
    <row r="672" spans="1:21" x14ac:dyDescent="0.35">
      <c r="A672" s="51">
        <v>4044449</v>
      </c>
      <c r="B672" s="51" t="s">
        <v>3047</v>
      </c>
      <c r="C672" s="51" t="s">
        <v>1174</v>
      </c>
      <c r="D672" s="51">
        <v>10050606</v>
      </c>
      <c r="E672" s="51" t="s">
        <v>3314</v>
      </c>
      <c r="F672" s="51" t="s">
        <v>1173</v>
      </c>
      <c r="G672" s="51"/>
      <c r="H672" s="51" t="s">
        <v>24</v>
      </c>
      <c r="I672" s="51"/>
      <c r="J672" s="53">
        <v>1204.32</v>
      </c>
      <c r="K672" s="55">
        <v>112</v>
      </c>
      <c r="L672" s="55">
        <v>12</v>
      </c>
      <c r="M672" s="55">
        <v>1</v>
      </c>
      <c r="N672" s="57">
        <v>4.7957999999999998</v>
      </c>
      <c r="O672" s="51" t="s">
        <v>3230</v>
      </c>
      <c r="P672" s="53">
        <v>180648</v>
      </c>
      <c r="Q672" s="55">
        <v>2</v>
      </c>
      <c r="R672" s="53">
        <v>75</v>
      </c>
      <c r="S672" s="53">
        <v>150</v>
      </c>
      <c r="T672" s="59"/>
      <c r="U672" s="55"/>
    </row>
    <row r="673" spans="1:21" x14ac:dyDescent="0.35">
      <c r="A673" s="50">
        <v>4044453</v>
      </c>
      <c r="B673" s="50" t="s">
        <v>3051</v>
      </c>
      <c r="C673" s="50" t="s">
        <v>1174</v>
      </c>
      <c r="D673" s="50">
        <v>10030906</v>
      </c>
      <c r="E673" s="50" t="s">
        <v>3274</v>
      </c>
      <c r="F673" s="50" t="s">
        <v>1173</v>
      </c>
      <c r="G673" s="50"/>
      <c r="H673" s="50"/>
      <c r="I673" s="50"/>
      <c r="J673" s="52">
        <v>7.58</v>
      </c>
      <c r="K673" s="54">
        <v>1400</v>
      </c>
      <c r="L673" s="54">
        <v>1000</v>
      </c>
      <c r="M673" s="54">
        <v>3</v>
      </c>
      <c r="N673" s="56">
        <v>3.0918999999999999</v>
      </c>
      <c r="O673" s="50" t="s">
        <v>3230</v>
      </c>
      <c r="P673" s="52">
        <v>15150.6</v>
      </c>
      <c r="Q673" s="54">
        <v>1</v>
      </c>
      <c r="R673" s="52">
        <v>10</v>
      </c>
      <c r="S673" s="52">
        <v>10</v>
      </c>
      <c r="T673" s="58"/>
      <c r="U673" s="54"/>
    </row>
    <row r="674" spans="1:21" x14ac:dyDescent="0.35">
      <c r="A674" s="51">
        <v>4044460</v>
      </c>
      <c r="B674" s="51" t="s">
        <v>3053</v>
      </c>
      <c r="C674" s="51" t="s">
        <v>1174</v>
      </c>
      <c r="D674" s="51">
        <v>10060202</v>
      </c>
      <c r="E674" s="51" t="s">
        <v>3326</v>
      </c>
      <c r="F674" s="51" t="s">
        <v>1173</v>
      </c>
      <c r="G674" s="51"/>
      <c r="H674" s="51" t="s">
        <v>24</v>
      </c>
      <c r="I674" s="51"/>
      <c r="J674" s="53">
        <v>160.02000000000001</v>
      </c>
      <c r="K674" s="55">
        <v>180</v>
      </c>
      <c r="L674" s="55">
        <v>540</v>
      </c>
      <c r="M674" s="55">
        <v>4</v>
      </c>
      <c r="N674" s="57">
        <v>2.3805000000000001</v>
      </c>
      <c r="O674" s="51" t="s">
        <v>3230</v>
      </c>
      <c r="P674" s="53">
        <v>115216</v>
      </c>
      <c r="Q674" s="55">
        <v>5</v>
      </c>
      <c r="R674" s="53">
        <v>1.33</v>
      </c>
      <c r="S674" s="53">
        <v>8</v>
      </c>
      <c r="T674" s="59"/>
      <c r="U674" s="55"/>
    </row>
    <row r="675" spans="1:21" x14ac:dyDescent="0.35">
      <c r="A675" s="50">
        <v>4044461</v>
      </c>
      <c r="B675" s="50" t="s">
        <v>3055</v>
      </c>
      <c r="C675" s="50" t="s">
        <v>1174</v>
      </c>
      <c r="D675" s="50">
        <v>10030904</v>
      </c>
      <c r="E675" s="50" t="s">
        <v>3272</v>
      </c>
      <c r="F675" s="50" t="s">
        <v>1173</v>
      </c>
      <c r="G675" s="50"/>
      <c r="H675" s="50" t="s">
        <v>24</v>
      </c>
      <c r="I675" s="50"/>
      <c r="J675" s="52">
        <v>331.76</v>
      </c>
      <c r="K675" s="54">
        <v>504</v>
      </c>
      <c r="L675" s="54">
        <v>96</v>
      </c>
      <c r="M675" s="54">
        <v>2</v>
      </c>
      <c r="N675" s="56">
        <v>3.4278</v>
      </c>
      <c r="O675" s="50" t="s">
        <v>3230</v>
      </c>
      <c r="P675" s="52">
        <v>143322.12</v>
      </c>
      <c r="Q675" s="54">
        <v>2</v>
      </c>
      <c r="R675" s="52">
        <v>12</v>
      </c>
      <c r="S675" s="52">
        <v>36</v>
      </c>
      <c r="T675" s="58"/>
      <c r="U675" s="54"/>
    </row>
    <row r="676" spans="1:21" x14ac:dyDescent="0.35">
      <c r="A676" s="51">
        <v>4044462</v>
      </c>
      <c r="B676" s="51" t="s">
        <v>3057</v>
      </c>
      <c r="C676" s="51" t="s">
        <v>1174</v>
      </c>
      <c r="D676" s="51">
        <v>10030904</v>
      </c>
      <c r="E676" s="51" t="s">
        <v>3272</v>
      </c>
      <c r="F676" s="51" t="s">
        <v>1173</v>
      </c>
      <c r="G676" s="51"/>
      <c r="H676" s="51" t="s">
        <v>24</v>
      </c>
      <c r="I676" s="51"/>
      <c r="J676" s="53">
        <v>426.65</v>
      </c>
      <c r="K676" s="55">
        <v>66</v>
      </c>
      <c r="L676" s="55">
        <v>152</v>
      </c>
      <c r="M676" s="55">
        <v>4</v>
      </c>
      <c r="N676" s="57">
        <v>2.4336000000000002</v>
      </c>
      <c r="O676" s="51" t="s">
        <v>3230</v>
      </c>
      <c r="P676" s="53">
        <v>84476.04</v>
      </c>
      <c r="Q676" s="55">
        <v>1</v>
      </c>
      <c r="R676" s="53">
        <v>33</v>
      </c>
      <c r="S676" s="53">
        <v>33</v>
      </c>
      <c r="T676" s="59"/>
      <c r="U676" s="55"/>
    </row>
    <row r="677" spans="1:21" x14ac:dyDescent="0.35">
      <c r="A677" s="50">
        <v>4044466</v>
      </c>
      <c r="B677" s="50" t="s">
        <v>3059</v>
      </c>
      <c r="C677" s="50" t="s">
        <v>1174</v>
      </c>
      <c r="D677" s="50">
        <v>10030905</v>
      </c>
      <c r="E677" s="50" t="s">
        <v>3273</v>
      </c>
      <c r="F677" s="50" t="s">
        <v>1173</v>
      </c>
      <c r="G677" s="50"/>
      <c r="H677" s="50" t="s">
        <v>24</v>
      </c>
      <c r="I677" s="50"/>
      <c r="J677" s="52">
        <v>1884.79</v>
      </c>
      <c r="K677" s="54">
        <v>31</v>
      </c>
      <c r="L677" s="54">
        <v>173</v>
      </c>
      <c r="M677" s="54">
        <v>7</v>
      </c>
      <c r="N677" s="56">
        <v>1.7878000000000001</v>
      </c>
      <c r="O677" s="50"/>
      <c r="P677" s="52">
        <v>336960</v>
      </c>
      <c r="Q677" s="54">
        <v>5</v>
      </c>
      <c r="R677" s="52">
        <v>36</v>
      </c>
      <c r="S677" s="52">
        <v>180</v>
      </c>
      <c r="T677" s="58"/>
      <c r="U677" s="54"/>
    </row>
    <row r="678" spans="1:21" x14ac:dyDescent="0.35">
      <c r="A678" s="51">
        <v>4044863</v>
      </c>
      <c r="B678" s="51" t="s">
        <v>3061</v>
      </c>
      <c r="C678" s="51" t="s">
        <v>1174</v>
      </c>
      <c r="D678" s="51">
        <v>10070398</v>
      </c>
      <c r="E678" s="51" t="s">
        <v>3334</v>
      </c>
      <c r="F678" s="51" t="s">
        <v>1173</v>
      </c>
      <c r="G678" s="51"/>
      <c r="H678" s="51" t="s">
        <v>24</v>
      </c>
      <c r="I678" s="51"/>
      <c r="J678" s="53">
        <v>110</v>
      </c>
      <c r="K678" s="55">
        <v>260</v>
      </c>
      <c r="L678" s="55">
        <v>130</v>
      </c>
      <c r="M678" s="55">
        <v>3</v>
      </c>
      <c r="N678" s="57">
        <v>2.6636000000000002</v>
      </c>
      <c r="O678" s="51" t="s">
        <v>3230</v>
      </c>
      <c r="P678" s="53">
        <v>44000</v>
      </c>
      <c r="Q678" s="55">
        <v>2</v>
      </c>
      <c r="R678" s="53">
        <v>20</v>
      </c>
      <c r="S678" s="53">
        <v>40</v>
      </c>
      <c r="T678" s="59"/>
      <c r="U678" s="55"/>
    </row>
    <row r="679" spans="1:21" x14ac:dyDescent="0.35">
      <c r="A679" s="50">
        <v>4044864</v>
      </c>
      <c r="B679" s="50" t="s">
        <v>3063</v>
      </c>
      <c r="C679" s="50" t="s">
        <v>1174</v>
      </c>
      <c r="D679" s="50">
        <v>10070398</v>
      </c>
      <c r="E679" s="50" t="s">
        <v>3334</v>
      </c>
      <c r="F679" s="50" t="s">
        <v>1173</v>
      </c>
      <c r="G679" s="50"/>
      <c r="H679" s="50" t="s">
        <v>24</v>
      </c>
      <c r="I679" s="50"/>
      <c r="J679" s="52">
        <v>110</v>
      </c>
      <c r="K679" s="54">
        <v>290</v>
      </c>
      <c r="L679" s="54">
        <v>300</v>
      </c>
      <c r="M679" s="54">
        <v>4</v>
      </c>
      <c r="N679" s="56">
        <v>2.4792000000000001</v>
      </c>
      <c r="O679" s="50" t="s">
        <v>3230</v>
      </c>
      <c r="P679" s="52">
        <v>55000</v>
      </c>
      <c r="Q679" s="54">
        <v>3</v>
      </c>
      <c r="R679" s="52">
        <v>16.670000000000002</v>
      </c>
      <c r="S679" s="52">
        <v>50</v>
      </c>
      <c r="T679" s="58"/>
      <c r="U679" s="54"/>
    </row>
    <row r="680" spans="1:21" x14ac:dyDescent="0.35">
      <c r="A680" s="51">
        <v>4045014</v>
      </c>
      <c r="B680" s="51" t="s">
        <v>3067</v>
      </c>
      <c r="C680" s="51" t="s">
        <v>1174</v>
      </c>
      <c r="D680" s="51">
        <v>10050603</v>
      </c>
      <c r="E680" s="51" t="s">
        <v>3311</v>
      </c>
      <c r="F680" s="51" t="s">
        <v>1173</v>
      </c>
      <c r="G680" s="51"/>
      <c r="H680" s="51" t="s">
        <v>24</v>
      </c>
      <c r="I680" s="51"/>
      <c r="J680" s="53">
        <v>46.2</v>
      </c>
      <c r="K680" s="55">
        <v>590</v>
      </c>
      <c r="L680" s="55">
        <v>480</v>
      </c>
      <c r="M680" s="55">
        <v>4</v>
      </c>
      <c r="N680" s="57">
        <v>2.4537</v>
      </c>
      <c r="O680" s="51" t="s">
        <v>3230</v>
      </c>
      <c r="P680" s="53">
        <v>33264</v>
      </c>
      <c r="Q680" s="55">
        <v>2</v>
      </c>
      <c r="R680" s="53">
        <v>9</v>
      </c>
      <c r="S680" s="53">
        <v>15</v>
      </c>
      <c r="T680" s="59"/>
      <c r="U680" s="55"/>
    </row>
    <row r="681" spans="1:21" x14ac:dyDescent="0.35">
      <c r="A681" s="50">
        <v>4045015</v>
      </c>
      <c r="B681" s="50" t="s">
        <v>3069</v>
      </c>
      <c r="C681" s="50" t="s">
        <v>1174</v>
      </c>
      <c r="D681" s="50">
        <v>10060399</v>
      </c>
      <c r="E681" s="50" t="s">
        <v>3328</v>
      </c>
      <c r="F681" s="50" t="s">
        <v>1173</v>
      </c>
      <c r="G681" s="50"/>
      <c r="H681" s="50" t="s">
        <v>24</v>
      </c>
      <c r="I681" s="50"/>
      <c r="J681" s="52">
        <v>1721.2</v>
      </c>
      <c r="K681" s="54">
        <v>2</v>
      </c>
      <c r="L681" s="54"/>
      <c r="M681" s="54"/>
      <c r="N681" s="56"/>
      <c r="O681" s="50"/>
      <c r="P681" s="52">
        <v>3442.4</v>
      </c>
      <c r="Q681" s="54">
        <v>1</v>
      </c>
      <c r="R681" s="52">
        <v>2</v>
      </c>
      <c r="S681" s="52">
        <v>2</v>
      </c>
      <c r="T681" s="58"/>
      <c r="U681" s="54"/>
    </row>
    <row r="682" spans="1:21" x14ac:dyDescent="0.35">
      <c r="A682" s="51">
        <v>4045018</v>
      </c>
      <c r="B682" s="51" t="s">
        <v>3073</v>
      </c>
      <c r="C682" s="51" t="s">
        <v>1174</v>
      </c>
      <c r="D682" s="51">
        <v>10030403</v>
      </c>
      <c r="E682" s="51" t="s">
        <v>3258</v>
      </c>
      <c r="F682" s="51" t="s">
        <v>1173</v>
      </c>
      <c r="G682" s="51"/>
      <c r="H682" s="51" t="s">
        <v>24</v>
      </c>
      <c r="I682" s="51"/>
      <c r="J682" s="53">
        <v>1914</v>
      </c>
      <c r="K682" s="55">
        <v>2</v>
      </c>
      <c r="L682" s="55"/>
      <c r="M682" s="55"/>
      <c r="N682" s="57"/>
      <c r="O682" s="51"/>
      <c r="P682" s="53">
        <v>4090.8</v>
      </c>
      <c r="Q682" s="55">
        <v>1</v>
      </c>
      <c r="R682" s="53">
        <v>2</v>
      </c>
      <c r="S682" s="53">
        <v>2</v>
      </c>
      <c r="T682" s="59"/>
      <c r="U682" s="55"/>
    </row>
    <row r="683" spans="1:21" x14ac:dyDescent="0.35">
      <c r="A683" s="50">
        <v>4045020</v>
      </c>
      <c r="B683" s="50" t="s">
        <v>3077</v>
      </c>
      <c r="C683" s="50" t="s">
        <v>1174</v>
      </c>
      <c r="D683" s="50">
        <v>10050109</v>
      </c>
      <c r="E683" s="50" t="s">
        <v>3294</v>
      </c>
      <c r="F683" s="50" t="s">
        <v>1173</v>
      </c>
      <c r="G683" s="50"/>
      <c r="H683" s="50" t="s">
        <v>24</v>
      </c>
      <c r="I683" s="50"/>
      <c r="J683" s="52">
        <v>0.28000000000000003</v>
      </c>
      <c r="K683" s="54">
        <v>1100</v>
      </c>
      <c r="L683" s="54">
        <v>2300</v>
      </c>
      <c r="M683" s="54">
        <v>4</v>
      </c>
      <c r="N683" s="56">
        <v>3.0194999999999999</v>
      </c>
      <c r="O683" s="50" t="s">
        <v>3230</v>
      </c>
      <c r="P683" s="52">
        <v>852.6</v>
      </c>
      <c r="Q683" s="54">
        <v>6</v>
      </c>
      <c r="R683" s="52">
        <v>4.29</v>
      </c>
      <c r="S683" s="52">
        <v>26</v>
      </c>
      <c r="T683" s="58"/>
      <c r="U683" s="54"/>
    </row>
    <row r="684" spans="1:21" x14ac:dyDescent="0.35">
      <c r="A684" s="51">
        <v>4045021</v>
      </c>
      <c r="B684" s="51" t="s">
        <v>3079</v>
      </c>
      <c r="C684" s="51" t="s">
        <v>1174</v>
      </c>
      <c r="D684" s="51">
        <v>10030904</v>
      </c>
      <c r="E684" s="51" t="s">
        <v>3272</v>
      </c>
      <c r="F684" s="51" t="s">
        <v>1173</v>
      </c>
      <c r="G684" s="51"/>
      <c r="H684" s="51" t="s">
        <v>24</v>
      </c>
      <c r="I684" s="51"/>
      <c r="J684" s="53">
        <v>1546.67</v>
      </c>
      <c r="K684" s="55">
        <v>5</v>
      </c>
      <c r="L684" s="55"/>
      <c r="M684" s="55"/>
      <c r="N684" s="57"/>
      <c r="O684" s="51"/>
      <c r="P684" s="53">
        <v>7733.35</v>
      </c>
      <c r="Q684" s="55">
        <v>1</v>
      </c>
      <c r="R684" s="53">
        <v>5</v>
      </c>
      <c r="S684" s="53">
        <v>10</v>
      </c>
      <c r="T684" s="59"/>
      <c r="U684" s="55"/>
    </row>
    <row r="685" spans="1:21" x14ac:dyDescent="0.35">
      <c r="A685" s="50">
        <v>4045024</v>
      </c>
      <c r="B685" s="50" t="s">
        <v>3081</v>
      </c>
      <c r="C685" s="50" t="s">
        <v>1174</v>
      </c>
      <c r="D685" s="50">
        <v>10030904</v>
      </c>
      <c r="E685" s="50" t="s">
        <v>3272</v>
      </c>
      <c r="F685" s="50" t="s">
        <v>1173</v>
      </c>
      <c r="G685" s="50"/>
      <c r="H685" s="50" t="s">
        <v>24</v>
      </c>
      <c r="I685" s="50"/>
      <c r="J685" s="52">
        <v>1964.93</v>
      </c>
      <c r="K685" s="54">
        <v>5</v>
      </c>
      <c r="L685" s="54"/>
      <c r="M685" s="54"/>
      <c r="N685" s="56"/>
      <c r="O685" s="50"/>
      <c r="P685" s="52">
        <v>9824.65</v>
      </c>
      <c r="Q685" s="54">
        <v>1</v>
      </c>
      <c r="R685" s="52">
        <v>5</v>
      </c>
      <c r="S685" s="52">
        <v>5</v>
      </c>
      <c r="T685" s="58"/>
      <c r="U685" s="54"/>
    </row>
    <row r="686" spans="1:21" x14ac:dyDescent="0.35">
      <c r="A686" s="51">
        <v>4045025</v>
      </c>
      <c r="B686" s="51" t="s">
        <v>3083</v>
      </c>
      <c r="C686" s="51" t="s">
        <v>1174</v>
      </c>
      <c r="D686" s="51">
        <v>10050305</v>
      </c>
      <c r="E686" s="51" t="s">
        <v>3297</v>
      </c>
      <c r="F686" s="51" t="s">
        <v>1173</v>
      </c>
      <c r="G686" s="51"/>
      <c r="H686" s="51"/>
      <c r="I686" s="51"/>
      <c r="J686" s="53">
        <v>593.41999999999996</v>
      </c>
      <c r="K686" s="55">
        <v>65</v>
      </c>
      <c r="L686" s="55">
        <v>130</v>
      </c>
      <c r="M686" s="55">
        <v>7</v>
      </c>
      <c r="N686" s="57">
        <v>1.8251999999999999</v>
      </c>
      <c r="O686" s="51"/>
      <c r="P686" s="53">
        <v>124034.92</v>
      </c>
      <c r="Q686" s="55">
        <v>9</v>
      </c>
      <c r="R686" s="53">
        <v>4.67</v>
      </c>
      <c r="S686" s="53">
        <v>42</v>
      </c>
      <c r="T686" s="59"/>
      <c r="U686" s="55"/>
    </row>
    <row r="687" spans="1:21" x14ac:dyDescent="0.35">
      <c r="A687" s="50">
        <v>4045026</v>
      </c>
      <c r="B687" s="50" t="s">
        <v>3085</v>
      </c>
      <c r="C687" s="50" t="s">
        <v>1174</v>
      </c>
      <c r="D687" s="50">
        <v>10050305</v>
      </c>
      <c r="E687" s="50" t="s">
        <v>3297</v>
      </c>
      <c r="F687" s="50" t="s">
        <v>1173</v>
      </c>
      <c r="G687" s="50"/>
      <c r="H687" s="50"/>
      <c r="I687" s="50"/>
      <c r="J687" s="52">
        <v>1458.53</v>
      </c>
      <c r="K687" s="54">
        <v>36</v>
      </c>
      <c r="L687" s="54">
        <v>85</v>
      </c>
      <c r="M687" s="54">
        <v>5</v>
      </c>
      <c r="N687" s="56">
        <v>2.1364000000000001</v>
      </c>
      <c r="O687" s="50" t="s">
        <v>3230</v>
      </c>
      <c r="P687" s="52">
        <v>188349.7</v>
      </c>
      <c r="Q687" s="54">
        <v>10</v>
      </c>
      <c r="R687" s="52">
        <v>13</v>
      </c>
      <c r="S687" s="52">
        <v>130</v>
      </c>
      <c r="T687" s="58"/>
      <c r="U687" s="54"/>
    </row>
    <row r="688" spans="1:21" x14ac:dyDescent="0.35">
      <c r="A688" s="51">
        <v>4045027</v>
      </c>
      <c r="B688" s="51" t="s">
        <v>3087</v>
      </c>
      <c r="C688" s="51" t="s">
        <v>1174</v>
      </c>
      <c r="D688" s="51">
        <v>10050801</v>
      </c>
      <c r="E688" s="51" t="s">
        <v>3321</v>
      </c>
      <c r="F688" s="51" t="s">
        <v>1173</v>
      </c>
      <c r="G688" s="51"/>
      <c r="H688" s="51" t="s">
        <v>24</v>
      </c>
      <c r="I688" s="51"/>
      <c r="J688" s="53">
        <v>12.5</v>
      </c>
      <c r="K688" s="55">
        <v>1000</v>
      </c>
      <c r="L688" s="55"/>
      <c r="M688" s="55"/>
      <c r="N688" s="57"/>
      <c r="O688" s="51"/>
      <c r="P688" s="53">
        <v>12500</v>
      </c>
      <c r="Q688" s="55">
        <v>1</v>
      </c>
      <c r="R688" s="53">
        <v>5</v>
      </c>
      <c r="S688" s="53">
        <v>4</v>
      </c>
      <c r="T688" s="59"/>
      <c r="U688" s="55"/>
    </row>
    <row r="689" spans="1:21" x14ac:dyDescent="0.35">
      <c r="A689" s="50">
        <v>4045028</v>
      </c>
      <c r="B689" s="50" t="s">
        <v>3089</v>
      </c>
      <c r="C689" s="50" t="s">
        <v>1174</v>
      </c>
      <c r="D689" s="50">
        <v>10050801</v>
      </c>
      <c r="E689" s="50" t="s">
        <v>3321</v>
      </c>
      <c r="F689" s="50" t="s">
        <v>1173</v>
      </c>
      <c r="G689" s="50"/>
      <c r="H689" s="50" t="s">
        <v>24</v>
      </c>
      <c r="I689" s="50"/>
      <c r="J689" s="52">
        <v>12.58</v>
      </c>
      <c r="K689" s="54">
        <v>4200</v>
      </c>
      <c r="L689" s="54"/>
      <c r="M689" s="54"/>
      <c r="N689" s="56"/>
      <c r="O689" s="50"/>
      <c r="P689" s="52">
        <v>25000</v>
      </c>
      <c r="Q689" s="54">
        <v>1</v>
      </c>
      <c r="R689" s="52">
        <v>10</v>
      </c>
      <c r="S689" s="52">
        <v>20</v>
      </c>
      <c r="T689" s="58"/>
      <c r="U689" s="54"/>
    </row>
    <row r="690" spans="1:21" x14ac:dyDescent="0.35">
      <c r="A690" s="51">
        <v>4045029</v>
      </c>
      <c r="B690" s="51" t="s">
        <v>3091</v>
      </c>
      <c r="C690" s="51" t="s">
        <v>1174</v>
      </c>
      <c r="D690" s="51">
        <v>10050801</v>
      </c>
      <c r="E690" s="51" t="s">
        <v>3321</v>
      </c>
      <c r="F690" s="51" t="s">
        <v>1173</v>
      </c>
      <c r="G690" s="51"/>
      <c r="H690" s="51" t="s">
        <v>24</v>
      </c>
      <c r="I690" s="51"/>
      <c r="J690" s="53">
        <v>8.8800000000000008</v>
      </c>
      <c r="K690" s="55">
        <v>4160</v>
      </c>
      <c r="L690" s="55"/>
      <c r="M690" s="55"/>
      <c r="N690" s="57"/>
      <c r="O690" s="51"/>
      <c r="P690" s="53">
        <v>21120</v>
      </c>
      <c r="Q690" s="55">
        <v>1</v>
      </c>
      <c r="R690" s="53">
        <v>12</v>
      </c>
      <c r="S690" s="53">
        <v>12</v>
      </c>
      <c r="T690" s="59"/>
      <c r="U690" s="55"/>
    </row>
    <row r="691" spans="1:21" x14ac:dyDescent="0.35">
      <c r="A691" s="50">
        <v>4045032</v>
      </c>
      <c r="B691" s="50" t="s">
        <v>3097</v>
      </c>
      <c r="C691" s="50" t="s">
        <v>1174</v>
      </c>
      <c r="D691" s="50">
        <v>10060399</v>
      </c>
      <c r="E691" s="50" t="s">
        <v>3328</v>
      </c>
      <c r="F691" s="50" t="s">
        <v>1173</v>
      </c>
      <c r="G691" s="50"/>
      <c r="H691" s="50" t="s">
        <v>24</v>
      </c>
      <c r="I691" s="50"/>
      <c r="J691" s="52">
        <v>87000</v>
      </c>
      <c r="K691" s="54">
        <v>2</v>
      </c>
      <c r="L691" s="54"/>
      <c r="M691" s="54"/>
      <c r="N691" s="56"/>
      <c r="O691" s="50"/>
      <c r="P691" s="52">
        <v>174000</v>
      </c>
      <c r="Q691" s="54">
        <v>1</v>
      </c>
      <c r="R691" s="52">
        <v>2</v>
      </c>
      <c r="S691" s="52">
        <v>2</v>
      </c>
      <c r="T691" s="58"/>
      <c r="U691" s="54"/>
    </row>
    <row r="692" spans="1:21" x14ac:dyDescent="0.35">
      <c r="A692" s="51">
        <v>4045033</v>
      </c>
      <c r="B692" s="51" t="s">
        <v>3099</v>
      </c>
      <c r="C692" s="51" t="s">
        <v>1174</v>
      </c>
      <c r="D692" s="51">
        <v>10030508</v>
      </c>
      <c r="E692" s="51" t="s">
        <v>3264</v>
      </c>
      <c r="F692" s="51" t="s">
        <v>1173</v>
      </c>
      <c r="G692" s="51"/>
      <c r="H692" s="51" t="s">
        <v>24</v>
      </c>
      <c r="I692" s="51"/>
      <c r="J692" s="53">
        <v>3466</v>
      </c>
      <c r="K692" s="55">
        <v>12</v>
      </c>
      <c r="L692" s="55">
        <v>10</v>
      </c>
      <c r="M692" s="55">
        <v>3</v>
      </c>
      <c r="N692" s="57">
        <v>2.8496000000000001</v>
      </c>
      <c r="O692" s="51" t="s">
        <v>3230</v>
      </c>
      <c r="P692" s="53">
        <v>76252</v>
      </c>
      <c r="Q692" s="55">
        <v>3</v>
      </c>
      <c r="R692" s="53">
        <v>7.33</v>
      </c>
      <c r="S692" s="53">
        <v>34</v>
      </c>
      <c r="T692" s="59"/>
      <c r="U692" s="55"/>
    </row>
    <row r="693" spans="1:21" x14ac:dyDescent="0.35">
      <c r="A693" s="50">
        <v>4045034</v>
      </c>
      <c r="B693" s="50" t="s">
        <v>3101</v>
      </c>
      <c r="C693" s="50" t="s">
        <v>1174</v>
      </c>
      <c r="D693" s="50">
        <v>10030508</v>
      </c>
      <c r="E693" s="50" t="s">
        <v>3264</v>
      </c>
      <c r="F693" s="50" t="s">
        <v>1173</v>
      </c>
      <c r="G693" s="50"/>
      <c r="H693" s="50" t="s">
        <v>24</v>
      </c>
      <c r="I693" s="50"/>
      <c r="J693" s="52">
        <v>3466</v>
      </c>
      <c r="K693" s="54">
        <v>10</v>
      </c>
      <c r="L693" s="54">
        <v>2</v>
      </c>
      <c r="M693" s="54">
        <v>1</v>
      </c>
      <c r="N693" s="56">
        <v>4.7957999999999998</v>
      </c>
      <c r="O693" s="50" t="s">
        <v>3230</v>
      </c>
      <c r="P693" s="52">
        <v>41592</v>
      </c>
      <c r="Q693" s="54">
        <v>1</v>
      </c>
      <c r="R693" s="52">
        <v>12</v>
      </c>
      <c r="S693" s="52">
        <v>22</v>
      </c>
      <c r="T693" s="58"/>
      <c r="U693" s="54"/>
    </row>
    <row r="694" spans="1:21" x14ac:dyDescent="0.35">
      <c r="A694" s="51">
        <v>4045035</v>
      </c>
      <c r="B694" s="51" t="s">
        <v>3103</v>
      </c>
      <c r="C694" s="51" t="s">
        <v>1174</v>
      </c>
      <c r="D694" s="51">
        <v>10030508</v>
      </c>
      <c r="E694" s="51" t="s">
        <v>3264</v>
      </c>
      <c r="F694" s="51" t="s">
        <v>1173</v>
      </c>
      <c r="G694" s="51"/>
      <c r="H694" s="51" t="s">
        <v>24</v>
      </c>
      <c r="I694" s="51"/>
      <c r="J694" s="53">
        <v>3466</v>
      </c>
      <c r="K694" s="55">
        <v>10</v>
      </c>
      <c r="L694" s="55"/>
      <c r="M694" s="55"/>
      <c r="N694" s="57"/>
      <c r="O694" s="51"/>
      <c r="P694" s="53">
        <v>41592</v>
      </c>
      <c r="Q694" s="55">
        <v>1</v>
      </c>
      <c r="R694" s="53">
        <v>12</v>
      </c>
      <c r="S694" s="53">
        <v>24</v>
      </c>
      <c r="T694" s="59"/>
      <c r="U694" s="55"/>
    </row>
    <row r="695" spans="1:21" x14ac:dyDescent="0.35">
      <c r="A695" s="50">
        <v>4045037</v>
      </c>
      <c r="B695" s="50" t="s">
        <v>3105</v>
      </c>
      <c r="C695" s="50" t="s">
        <v>1174</v>
      </c>
      <c r="D695" s="50">
        <v>10030508</v>
      </c>
      <c r="E695" s="50" t="s">
        <v>3264</v>
      </c>
      <c r="F695" s="50" t="s">
        <v>1173</v>
      </c>
      <c r="G695" s="50"/>
      <c r="H695" s="50" t="s">
        <v>24</v>
      </c>
      <c r="I695" s="50"/>
      <c r="J695" s="52">
        <v>3466</v>
      </c>
      <c r="K695" s="54">
        <v>12</v>
      </c>
      <c r="L695" s="54"/>
      <c r="M695" s="54"/>
      <c r="N695" s="56"/>
      <c r="O695" s="50"/>
      <c r="P695" s="52">
        <v>41592</v>
      </c>
      <c r="Q695" s="54">
        <v>1</v>
      </c>
      <c r="R695" s="52">
        <v>12</v>
      </c>
      <c r="S695" s="52">
        <v>24</v>
      </c>
      <c r="T695" s="58"/>
      <c r="U695" s="54"/>
    </row>
    <row r="696" spans="1:21" x14ac:dyDescent="0.35">
      <c r="A696" s="51">
        <v>4045038</v>
      </c>
      <c r="B696" s="51" t="s">
        <v>3107</v>
      </c>
      <c r="C696" s="51" t="s">
        <v>1174</v>
      </c>
      <c r="D696" s="51">
        <v>10030508</v>
      </c>
      <c r="E696" s="51" t="s">
        <v>3264</v>
      </c>
      <c r="F696" s="51" t="s">
        <v>1173</v>
      </c>
      <c r="G696" s="51"/>
      <c r="H696" s="51" t="s">
        <v>24</v>
      </c>
      <c r="I696" s="51"/>
      <c r="J696" s="53">
        <v>3466</v>
      </c>
      <c r="K696" s="55">
        <v>7</v>
      </c>
      <c r="L696" s="55">
        <v>3</v>
      </c>
      <c r="M696" s="55">
        <v>1</v>
      </c>
      <c r="N696" s="57">
        <v>4.7957999999999998</v>
      </c>
      <c r="O696" s="51" t="s">
        <v>3230</v>
      </c>
      <c r="P696" s="53">
        <v>58922</v>
      </c>
      <c r="Q696" s="55">
        <v>2</v>
      </c>
      <c r="R696" s="53">
        <v>8.5</v>
      </c>
      <c r="S696" s="53">
        <v>29</v>
      </c>
      <c r="T696" s="59"/>
      <c r="U696" s="55"/>
    </row>
    <row r="697" spans="1:21" x14ac:dyDescent="0.35">
      <c r="A697" s="50">
        <v>4045039</v>
      </c>
      <c r="B697" s="50" t="s">
        <v>3109</v>
      </c>
      <c r="C697" s="50" t="s">
        <v>1174</v>
      </c>
      <c r="D697" s="50">
        <v>10030508</v>
      </c>
      <c r="E697" s="50" t="s">
        <v>3264</v>
      </c>
      <c r="F697" s="50" t="s">
        <v>1173</v>
      </c>
      <c r="G697" s="50"/>
      <c r="H697" s="50" t="s">
        <v>24</v>
      </c>
      <c r="I697" s="50"/>
      <c r="J697" s="52">
        <v>3466</v>
      </c>
      <c r="K697" s="54">
        <v>9</v>
      </c>
      <c r="L697" s="54"/>
      <c r="M697" s="54"/>
      <c r="N697" s="56"/>
      <c r="O697" s="50"/>
      <c r="P697" s="52">
        <v>41592</v>
      </c>
      <c r="Q697" s="54">
        <v>1</v>
      </c>
      <c r="R697" s="52">
        <v>12</v>
      </c>
      <c r="S697" s="52">
        <v>12</v>
      </c>
      <c r="T697" s="58"/>
      <c r="U697" s="54"/>
    </row>
    <row r="698" spans="1:21" x14ac:dyDescent="0.35">
      <c r="A698" s="51">
        <v>4045042</v>
      </c>
      <c r="B698" s="51" t="s">
        <v>3111</v>
      </c>
      <c r="C698" s="51" t="s">
        <v>1174</v>
      </c>
      <c r="D698" s="51">
        <v>10050102</v>
      </c>
      <c r="E698" s="51" t="s">
        <v>3289</v>
      </c>
      <c r="F698" s="51" t="s">
        <v>1173</v>
      </c>
      <c r="G698" s="51"/>
      <c r="H698" s="51" t="s">
        <v>24</v>
      </c>
      <c r="I698" s="51"/>
      <c r="J698" s="53">
        <v>119438.31</v>
      </c>
      <c r="K698" s="55">
        <v>2</v>
      </c>
      <c r="L698" s="55">
        <v>3</v>
      </c>
      <c r="M698" s="55">
        <v>3</v>
      </c>
      <c r="N698" s="57">
        <v>2.6457999999999999</v>
      </c>
      <c r="O698" s="51" t="s">
        <v>3230</v>
      </c>
      <c r="P698" s="53">
        <v>610506.48</v>
      </c>
      <c r="Q698" s="55">
        <v>4</v>
      </c>
      <c r="R698" s="53">
        <v>1.25</v>
      </c>
      <c r="S698" s="53">
        <v>6</v>
      </c>
      <c r="T698" s="59"/>
      <c r="U698" s="55"/>
    </row>
    <row r="699" spans="1:21" x14ac:dyDescent="0.35">
      <c r="A699" s="50">
        <v>4045055</v>
      </c>
      <c r="B699" s="50" t="s">
        <v>3113</v>
      </c>
      <c r="C699" s="50" t="s">
        <v>1174</v>
      </c>
      <c r="D699" s="50">
        <v>10030904</v>
      </c>
      <c r="E699" s="50" t="s">
        <v>3272</v>
      </c>
      <c r="F699" s="50" t="s">
        <v>1173</v>
      </c>
      <c r="G699" s="50"/>
      <c r="H699" s="50" t="s">
        <v>24</v>
      </c>
      <c r="I699" s="50"/>
      <c r="J699" s="52">
        <v>3520</v>
      </c>
      <c r="K699" s="54">
        <v>2</v>
      </c>
      <c r="L699" s="54"/>
      <c r="M699" s="54"/>
      <c r="N699" s="56"/>
      <c r="O699" s="50"/>
      <c r="P699" s="52">
        <v>7040</v>
      </c>
      <c r="Q699" s="54">
        <v>1</v>
      </c>
      <c r="R699" s="52">
        <v>2</v>
      </c>
      <c r="S699" s="52">
        <v>2</v>
      </c>
      <c r="T699" s="58"/>
      <c r="U699" s="54"/>
    </row>
    <row r="700" spans="1:21" x14ac:dyDescent="0.35">
      <c r="A700" s="51">
        <v>4045056</v>
      </c>
      <c r="B700" s="51" t="s">
        <v>3115</v>
      </c>
      <c r="C700" s="51" t="s">
        <v>1174</v>
      </c>
      <c r="D700" s="51">
        <v>10030904</v>
      </c>
      <c r="E700" s="51" t="s">
        <v>3272</v>
      </c>
      <c r="F700" s="51" t="s">
        <v>1173</v>
      </c>
      <c r="G700" s="51"/>
      <c r="H700" s="51" t="s">
        <v>24</v>
      </c>
      <c r="I700" s="51"/>
      <c r="J700" s="53">
        <v>3520</v>
      </c>
      <c r="K700" s="55">
        <v>2</v>
      </c>
      <c r="L700" s="55"/>
      <c r="M700" s="55"/>
      <c r="N700" s="57"/>
      <c r="O700" s="51"/>
      <c r="P700" s="53">
        <v>7040</v>
      </c>
      <c r="Q700" s="55">
        <v>1</v>
      </c>
      <c r="R700" s="53">
        <v>2</v>
      </c>
      <c r="S700" s="53">
        <v>2</v>
      </c>
      <c r="T700" s="59"/>
      <c r="U700" s="55"/>
    </row>
    <row r="701" spans="1:21" x14ac:dyDescent="0.35">
      <c r="A701" s="50">
        <v>4045057</v>
      </c>
      <c r="B701" s="50" t="s">
        <v>3117</v>
      </c>
      <c r="C701" s="50" t="s">
        <v>1174</v>
      </c>
      <c r="D701" s="50">
        <v>10030904</v>
      </c>
      <c r="E701" s="50" t="s">
        <v>3272</v>
      </c>
      <c r="F701" s="50" t="s">
        <v>1173</v>
      </c>
      <c r="G701" s="50"/>
      <c r="H701" s="50" t="s">
        <v>24</v>
      </c>
      <c r="I701" s="50"/>
      <c r="J701" s="52">
        <v>3520</v>
      </c>
      <c r="K701" s="54">
        <v>2</v>
      </c>
      <c r="L701" s="54"/>
      <c r="M701" s="54"/>
      <c r="N701" s="56"/>
      <c r="O701" s="50"/>
      <c r="P701" s="52">
        <v>7040</v>
      </c>
      <c r="Q701" s="54">
        <v>1</v>
      </c>
      <c r="R701" s="52">
        <v>2</v>
      </c>
      <c r="S701" s="52">
        <v>2</v>
      </c>
      <c r="T701" s="58"/>
      <c r="U701" s="54"/>
    </row>
    <row r="702" spans="1:21" x14ac:dyDescent="0.35">
      <c r="A702" s="51">
        <v>4045068</v>
      </c>
      <c r="B702" s="51" t="s">
        <v>3121</v>
      </c>
      <c r="C702" s="51" t="s">
        <v>1174</v>
      </c>
      <c r="D702" s="51">
        <v>10030905</v>
      </c>
      <c r="E702" s="51" t="s">
        <v>3273</v>
      </c>
      <c r="F702" s="51" t="s">
        <v>1173</v>
      </c>
      <c r="G702" s="51"/>
      <c r="H702" s="51" t="s">
        <v>24</v>
      </c>
      <c r="I702" s="51"/>
      <c r="J702" s="53">
        <v>44.94</v>
      </c>
      <c r="K702" s="55">
        <v>158</v>
      </c>
      <c r="L702" s="55">
        <v>740</v>
      </c>
      <c r="M702" s="55">
        <v>4</v>
      </c>
      <c r="N702" s="57">
        <v>2.5051000000000001</v>
      </c>
      <c r="O702" s="51" t="s">
        <v>3230</v>
      </c>
      <c r="P702" s="53">
        <v>49434</v>
      </c>
      <c r="Q702" s="55">
        <v>5</v>
      </c>
      <c r="R702" s="53">
        <v>5</v>
      </c>
      <c r="S702" s="53">
        <v>55</v>
      </c>
      <c r="T702" s="59"/>
      <c r="U702" s="55"/>
    </row>
    <row r="703" spans="1:21" x14ac:dyDescent="0.35">
      <c r="A703" s="50">
        <v>4045081</v>
      </c>
      <c r="B703" s="50" t="s">
        <v>3123</v>
      </c>
      <c r="C703" s="50" t="s">
        <v>1174</v>
      </c>
      <c r="D703" s="50">
        <v>10030905</v>
      </c>
      <c r="E703" s="50" t="s">
        <v>3273</v>
      </c>
      <c r="F703" s="50" t="s">
        <v>1173</v>
      </c>
      <c r="G703" s="50"/>
      <c r="H703" s="50" t="s">
        <v>24</v>
      </c>
      <c r="I703" s="50"/>
      <c r="J703" s="52">
        <v>368.4</v>
      </c>
      <c r="K703" s="54">
        <v>490</v>
      </c>
      <c r="L703" s="54">
        <v>260</v>
      </c>
      <c r="M703" s="54">
        <v>6</v>
      </c>
      <c r="N703" s="56">
        <v>2.0798000000000001</v>
      </c>
      <c r="O703" s="50"/>
      <c r="P703" s="52">
        <v>294720</v>
      </c>
      <c r="Q703" s="54">
        <v>2</v>
      </c>
      <c r="R703" s="52">
        <v>20</v>
      </c>
      <c r="S703" s="52">
        <v>80</v>
      </c>
      <c r="T703" s="58"/>
      <c r="U703" s="54"/>
    </row>
    <row r="704" spans="1:21" x14ac:dyDescent="0.35">
      <c r="A704" s="51">
        <v>4045333</v>
      </c>
      <c r="B704" s="51" t="s">
        <v>3125</v>
      </c>
      <c r="C704" s="51" t="s">
        <v>1174</v>
      </c>
      <c r="D704" s="51">
        <v>10030303</v>
      </c>
      <c r="E704" s="51" t="s">
        <v>3256</v>
      </c>
      <c r="F704" s="51" t="s">
        <v>1173</v>
      </c>
      <c r="G704" s="51"/>
      <c r="H704" s="51" t="s">
        <v>24</v>
      </c>
      <c r="I704" s="51"/>
      <c r="J704" s="53">
        <v>14394.63</v>
      </c>
      <c r="K704" s="55">
        <v>33</v>
      </c>
      <c r="L704" s="55">
        <v>11</v>
      </c>
      <c r="M704" s="55">
        <v>1</v>
      </c>
      <c r="N704" s="57">
        <v>4.7957999999999998</v>
      </c>
      <c r="O704" s="51" t="s">
        <v>3230</v>
      </c>
      <c r="P704" s="53">
        <v>719731.5</v>
      </c>
      <c r="Q704" s="55">
        <v>1</v>
      </c>
      <c r="R704" s="53">
        <v>50</v>
      </c>
      <c r="S704" s="53">
        <v>50</v>
      </c>
      <c r="T704" s="59"/>
      <c r="U704" s="55"/>
    </row>
    <row r="705" spans="1:21" x14ac:dyDescent="0.35">
      <c r="A705" s="50">
        <v>4045334</v>
      </c>
      <c r="B705" s="50" t="s">
        <v>3127</v>
      </c>
      <c r="C705" s="50" t="s">
        <v>1174</v>
      </c>
      <c r="D705" s="50">
        <v>10030303</v>
      </c>
      <c r="E705" s="50" t="s">
        <v>3256</v>
      </c>
      <c r="F705" s="50" t="s">
        <v>1173</v>
      </c>
      <c r="G705" s="50"/>
      <c r="H705" s="50" t="s">
        <v>24</v>
      </c>
      <c r="I705" s="50"/>
      <c r="J705" s="52">
        <v>1667.98</v>
      </c>
      <c r="K705" s="54">
        <v>31</v>
      </c>
      <c r="L705" s="54">
        <v>4</v>
      </c>
      <c r="M705" s="54">
        <v>1</v>
      </c>
      <c r="N705" s="56">
        <v>4.7957999999999998</v>
      </c>
      <c r="O705" s="50" t="s">
        <v>3230</v>
      </c>
      <c r="P705" s="52">
        <v>66719.199999999997</v>
      </c>
      <c r="Q705" s="54">
        <v>2</v>
      </c>
      <c r="R705" s="52">
        <v>20</v>
      </c>
      <c r="S705" s="52">
        <v>40</v>
      </c>
      <c r="T705" s="58"/>
      <c r="U705" s="54"/>
    </row>
    <row r="706" spans="1:21" x14ac:dyDescent="0.35">
      <c r="A706" s="51">
        <v>4045335</v>
      </c>
      <c r="B706" s="51" t="s">
        <v>3129</v>
      </c>
      <c r="C706" s="51" t="s">
        <v>1174</v>
      </c>
      <c r="D706" s="51">
        <v>10030303</v>
      </c>
      <c r="E706" s="51" t="s">
        <v>3256</v>
      </c>
      <c r="F706" s="51" t="s">
        <v>1173</v>
      </c>
      <c r="G706" s="51"/>
      <c r="H706" s="51" t="s">
        <v>24</v>
      </c>
      <c r="I706" s="51"/>
      <c r="J706" s="53">
        <v>1667.98</v>
      </c>
      <c r="K706" s="55">
        <v>26</v>
      </c>
      <c r="L706" s="55">
        <v>10</v>
      </c>
      <c r="M706" s="55">
        <v>2</v>
      </c>
      <c r="N706" s="57">
        <v>3.3166000000000002</v>
      </c>
      <c r="O706" s="51" t="s">
        <v>3230</v>
      </c>
      <c r="P706" s="53">
        <v>50039.4</v>
      </c>
      <c r="Q706" s="55">
        <v>1</v>
      </c>
      <c r="R706" s="53">
        <v>30</v>
      </c>
      <c r="S706" s="53">
        <v>30</v>
      </c>
      <c r="T706" s="59"/>
      <c r="U706" s="55"/>
    </row>
    <row r="707" spans="1:21" x14ac:dyDescent="0.35">
      <c r="A707" s="50">
        <v>4045337</v>
      </c>
      <c r="B707" s="50" t="s">
        <v>3131</v>
      </c>
      <c r="C707" s="50" t="s">
        <v>1174</v>
      </c>
      <c r="D707" s="50">
        <v>10039999</v>
      </c>
      <c r="E707" s="50" t="s">
        <v>3278</v>
      </c>
      <c r="F707" s="50" t="s">
        <v>1173</v>
      </c>
      <c r="G707" s="50"/>
      <c r="H707" s="50"/>
      <c r="I707" s="50"/>
      <c r="J707" s="52">
        <v>2413</v>
      </c>
      <c r="K707" s="54">
        <v>15</v>
      </c>
      <c r="L707" s="54">
        <v>25</v>
      </c>
      <c r="M707" s="54">
        <v>4</v>
      </c>
      <c r="N707" s="56">
        <v>2.3917000000000002</v>
      </c>
      <c r="O707" s="50" t="s">
        <v>3230</v>
      </c>
      <c r="P707" s="52">
        <v>96520</v>
      </c>
      <c r="Q707" s="54">
        <v>3</v>
      </c>
      <c r="R707" s="52">
        <v>2.67</v>
      </c>
      <c r="S707" s="52">
        <v>8</v>
      </c>
      <c r="T707" s="58"/>
      <c r="U707" s="54"/>
    </row>
    <row r="708" spans="1:21" x14ac:dyDescent="0.35">
      <c r="A708" s="51">
        <v>4045338</v>
      </c>
      <c r="B708" s="51" t="s">
        <v>3133</v>
      </c>
      <c r="C708" s="51" t="s">
        <v>1174</v>
      </c>
      <c r="D708" s="51">
        <v>10039999</v>
      </c>
      <c r="E708" s="51" t="s">
        <v>3278</v>
      </c>
      <c r="F708" s="51" t="s">
        <v>1173</v>
      </c>
      <c r="G708" s="51"/>
      <c r="H708" s="51" t="s">
        <v>24</v>
      </c>
      <c r="I708" s="51"/>
      <c r="J708" s="53">
        <v>5067</v>
      </c>
      <c r="K708" s="55">
        <v>15</v>
      </c>
      <c r="L708" s="55">
        <v>30</v>
      </c>
      <c r="M708" s="55">
        <v>4</v>
      </c>
      <c r="N708" s="57">
        <v>2.3805000000000001</v>
      </c>
      <c r="O708" s="51" t="s">
        <v>3230</v>
      </c>
      <c r="P708" s="53">
        <v>253350</v>
      </c>
      <c r="Q708" s="55">
        <v>4</v>
      </c>
      <c r="R708" s="53">
        <v>2.5</v>
      </c>
      <c r="S708" s="53">
        <v>10</v>
      </c>
      <c r="T708" s="59"/>
      <c r="U708" s="55"/>
    </row>
    <row r="709" spans="1:21" x14ac:dyDescent="0.35">
      <c r="A709" s="50">
        <v>4045339</v>
      </c>
      <c r="B709" s="50" t="s">
        <v>3135</v>
      </c>
      <c r="C709" s="50" t="s">
        <v>1174</v>
      </c>
      <c r="D709" s="50">
        <v>10039999</v>
      </c>
      <c r="E709" s="50" t="s">
        <v>3278</v>
      </c>
      <c r="F709" s="50" t="s">
        <v>1173</v>
      </c>
      <c r="G709" s="50"/>
      <c r="H709" s="50"/>
      <c r="I709" s="50"/>
      <c r="J709" s="52">
        <v>812</v>
      </c>
      <c r="K709" s="54">
        <v>15</v>
      </c>
      <c r="L709" s="54">
        <v>30</v>
      </c>
      <c r="M709" s="54">
        <v>4</v>
      </c>
      <c r="N709" s="56">
        <v>2.3805000000000001</v>
      </c>
      <c r="O709" s="50" t="s">
        <v>3230</v>
      </c>
      <c r="P709" s="52">
        <v>40600</v>
      </c>
      <c r="Q709" s="54">
        <v>4</v>
      </c>
      <c r="R709" s="52">
        <v>2.5</v>
      </c>
      <c r="S709" s="52">
        <v>10</v>
      </c>
      <c r="T709" s="58"/>
      <c r="U709" s="54"/>
    </row>
    <row r="710" spans="1:21" x14ac:dyDescent="0.35">
      <c r="A710" s="51">
        <v>4045373</v>
      </c>
      <c r="B710" s="51" t="s">
        <v>3139</v>
      </c>
      <c r="C710" s="51" t="s">
        <v>1174</v>
      </c>
      <c r="D710" s="51">
        <v>10030303</v>
      </c>
      <c r="E710" s="51" t="s">
        <v>3256</v>
      </c>
      <c r="F710" s="51" t="s">
        <v>1173</v>
      </c>
      <c r="G710" s="51"/>
      <c r="H710" s="51"/>
      <c r="I710" s="51" t="s">
        <v>258</v>
      </c>
      <c r="J710" s="53">
        <v>5786</v>
      </c>
      <c r="K710" s="55">
        <v>30</v>
      </c>
      <c r="L710" s="55"/>
      <c r="M710" s="55"/>
      <c r="N710" s="57"/>
      <c r="O710" s="51"/>
      <c r="P710" s="53">
        <v>174204.9</v>
      </c>
      <c r="Q710" s="55">
        <v>1</v>
      </c>
      <c r="R710" s="53">
        <v>10</v>
      </c>
      <c r="S710" s="53">
        <v>30</v>
      </c>
      <c r="T710" s="59"/>
      <c r="U710" s="55"/>
    </row>
    <row r="711" spans="1:21" x14ac:dyDescent="0.35">
      <c r="A711" s="50">
        <v>4046090</v>
      </c>
      <c r="B711" s="50" t="s">
        <v>3143</v>
      </c>
      <c r="C711" s="50" t="s">
        <v>1174</v>
      </c>
      <c r="D711" s="50">
        <v>10060399</v>
      </c>
      <c r="E711" s="50" t="s">
        <v>3328</v>
      </c>
      <c r="F711" s="50" t="s">
        <v>1173</v>
      </c>
      <c r="G711" s="50"/>
      <c r="H711" s="50" t="s">
        <v>24</v>
      </c>
      <c r="I711" s="50"/>
      <c r="J711" s="52">
        <v>7650</v>
      </c>
      <c r="K711" s="54">
        <v>2</v>
      </c>
      <c r="L711" s="54"/>
      <c r="M711" s="54"/>
      <c r="N711" s="56"/>
      <c r="O711" s="50"/>
      <c r="P711" s="52">
        <v>15300</v>
      </c>
      <c r="Q711" s="54">
        <v>1</v>
      </c>
      <c r="R711" s="52">
        <v>2</v>
      </c>
      <c r="S711" s="52">
        <v>2</v>
      </c>
      <c r="T711" s="58"/>
      <c r="U711" s="54"/>
    </row>
    <row r="712" spans="1:21" x14ac:dyDescent="0.35">
      <c r="A712" s="51">
        <v>4046091</v>
      </c>
      <c r="B712" s="51" t="s">
        <v>3145</v>
      </c>
      <c r="C712" s="51" t="s">
        <v>1174</v>
      </c>
      <c r="D712" s="51">
        <v>10060399</v>
      </c>
      <c r="E712" s="51" t="s">
        <v>3328</v>
      </c>
      <c r="F712" s="51" t="s">
        <v>1175</v>
      </c>
      <c r="G712" s="51"/>
      <c r="H712" s="51" t="s">
        <v>24</v>
      </c>
      <c r="I712" s="51"/>
      <c r="J712" s="53">
        <v>260</v>
      </c>
      <c r="K712" s="55">
        <v>1</v>
      </c>
      <c r="L712" s="55">
        <v>1</v>
      </c>
      <c r="M712" s="55">
        <v>1</v>
      </c>
      <c r="N712" s="57">
        <v>4.7957999999999998</v>
      </c>
      <c r="O712" s="51" t="s">
        <v>3230</v>
      </c>
      <c r="P712" s="53">
        <v>520</v>
      </c>
      <c r="Q712" s="55">
        <v>2</v>
      </c>
      <c r="R712" s="53">
        <v>1</v>
      </c>
      <c r="S712" s="53">
        <v>2</v>
      </c>
      <c r="T712" s="59"/>
      <c r="U712" s="55"/>
    </row>
    <row r="713" spans="1:21" x14ac:dyDescent="0.35">
      <c r="A713" s="50">
        <v>4046092</v>
      </c>
      <c r="B713" s="50" t="s">
        <v>3147</v>
      </c>
      <c r="C713" s="50" t="s">
        <v>1174</v>
      </c>
      <c r="D713" s="50">
        <v>10060399</v>
      </c>
      <c r="E713" s="50" t="s">
        <v>3328</v>
      </c>
      <c r="F713" s="50" t="s">
        <v>1175</v>
      </c>
      <c r="G713" s="50"/>
      <c r="H713" s="50" t="s">
        <v>24</v>
      </c>
      <c r="I713" s="50"/>
      <c r="J713" s="52">
        <v>3892.78</v>
      </c>
      <c r="K713" s="54">
        <v>1</v>
      </c>
      <c r="L713" s="54"/>
      <c r="M713" s="54"/>
      <c r="N713" s="56"/>
      <c r="O713" s="50"/>
      <c r="P713" s="52">
        <v>3892.78</v>
      </c>
      <c r="Q713" s="54">
        <v>1</v>
      </c>
      <c r="R713" s="52">
        <v>1</v>
      </c>
      <c r="S713" s="52">
        <v>1</v>
      </c>
      <c r="T713" s="58"/>
      <c r="U713" s="54"/>
    </row>
    <row r="714" spans="1:21" x14ac:dyDescent="0.35">
      <c r="A714" s="51">
        <v>4046093</v>
      </c>
      <c r="B714" s="51" t="s">
        <v>3149</v>
      </c>
      <c r="C714" s="51" t="s">
        <v>1174</v>
      </c>
      <c r="D714" s="51">
        <v>10030405</v>
      </c>
      <c r="E714" s="51" t="s">
        <v>3260</v>
      </c>
      <c r="F714" s="51" t="s">
        <v>1173</v>
      </c>
      <c r="G714" s="51"/>
      <c r="H714" s="51"/>
      <c r="I714" s="51"/>
      <c r="J714" s="53"/>
      <c r="K714" s="55">
        <v>27</v>
      </c>
      <c r="L714" s="55">
        <v>3</v>
      </c>
      <c r="M714" s="55">
        <v>1</v>
      </c>
      <c r="N714" s="57">
        <v>4.7957999999999998</v>
      </c>
      <c r="O714" s="51" t="s">
        <v>3230</v>
      </c>
      <c r="P714" s="53"/>
      <c r="Q714" s="55"/>
      <c r="R714" s="53"/>
      <c r="S714" s="53"/>
      <c r="T714" s="59"/>
      <c r="U714" s="55"/>
    </row>
    <row r="715" spans="1:21" x14ac:dyDescent="0.35">
      <c r="A715" s="50">
        <v>4046094</v>
      </c>
      <c r="B715" s="50" t="s">
        <v>3151</v>
      </c>
      <c r="C715" s="50" t="s">
        <v>1174</v>
      </c>
      <c r="D715" s="50">
        <v>10030403</v>
      </c>
      <c r="E715" s="50" t="s">
        <v>3258</v>
      </c>
      <c r="F715" s="50" t="s">
        <v>1175</v>
      </c>
      <c r="G715" s="50"/>
      <c r="H715" s="50" t="s">
        <v>24</v>
      </c>
      <c r="I715" s="50"/>
      <c r="J715" s="52">
        <v>1010</v>
      </c>
      <c r="K715" s="54">
        <v>20</v>
      </c>
      <c r="L715" s="54"/>
      <c r="M715" s="54"/>
      <c r="N715" s="56"/>
      <c r="O715" s="50"/>
      <c r="P715" s="52">
        <v>20200</v>
      </c>
      <c r="Q715" s="54">
        <v>1</v>
      </c>
      <c r="R715" s="52">
        <v>10</v>
      </c>
      <c r="S715" s="52">
        <v>20</v>
      </c>
      <c r="T715" s="58"/>
      <c r="U715" s="54"/>
    </row>
    <row r="716" spans="1:21" x14ac:dyDescent="0.35">
      <c r="A716" s="51">
        <v>4048468</v>
      </c>
      <c r="B716" s="51" t="s">
        <v>3187</v>
      </c>
      <c r="C716" s="51" t="s">
        <v>1174</v>
      </c>
      <c r="D716" s="51">
        <v>10030908</v>
      </c>
      <c r="E716" s="51" t="s">
        <v>3276</v>
      </c>
      <c r="F716" s="51" t="s">
        <v>1173</v>
      </c>
      <c r="G716" s="51"/>
      <c r="H716" s="51" t="s">
        <v>24</v>
      </c>
      <c r="I716" s="51"/>
      <c r="J716" s="53">
        <v>87.92</v>
      </c>
      <c r="K716" s="55">
        <v>240</v>
      </c>
      <c r="L716" s="55">
        <v>24</v>
      </c>
      <c r="M716" s="55">
        <v>2</v>
      </c>
      <c r="N716" s="57">
        <v>3.3166000000000002</v>
      </c>
      <c r="O716" s="51" t="s">
        <v>3230</v>
      </c>
      <c r="P716" s="53">
        <v>25320</v>
      </c>
      <c r="Q716" s="55">
        <v>1</v>
      </c>
      <c r="R716" s="53">
        <v>24</v>
      </c>
      <c r="S716" s="53">
        <v>24</v>
      </c>
      <c r="T716" s="59"/>
      <c r="U716" s="55"/>
    </row>
    <row r="717" spans="1:21" x14ac:dyDescent="0.35">
      <c r="A717" s="50">
        <v>4049107</v>
      </c>
      <c r="B717" s="50" t="s">
        <v>3189</v>
      </c>
      <c r="C717" s="50" t="s">
        <v>1174</v>
      </c>
      <c r="D717" s="50">
        <v>10031197</v>
      </c>
      <c r="E717" s="50" t="s">
        <v>3277</v>
      </c>
      <c r="F717" s="50" t="s">
        <v>1173</v>
      </c>
      <c r="G717" s="50"/>
      <c r="H717" s="50"/>
      <c r="I717" s="50"/>
      <c r="J717" s="52">
        <v>33.69</v>
      </c>
      <c r="K717" s="54">
        <v>2664</v>
      </c>
      <c r="L717" s="54"/>
      <c r="M717" s="54"/>
      <c r="N717" s="56"/>
      <c r="O717" s="50"/>
      <c r="P717" s="52"/>
      <c r="Q717" s="54"/>
      <c r="R717" s="52"/>
      <c r="S717" s="52"/>
      <c r="T717" s="58">
        <v>1.5</v>
      </c>
      <c r="U717" s="54">
        <v>2</v>
      </c>
    </row>
    <row r="718" spans="1:21" x14ac:dyDescent="0.35">
      <c r="A718" s="51">
        <v>4049121</v>
      </c>
      <c r="B718" s="51" t="s">
        <v>3191</v>
      </c>
      <c r="C718" s="51" t="s">
        <v>1174</v>
      </c>
      <c r="D718" s="51">
        <v>10030904</v>
      </c>
      <c r="E718" s="51" t="s">
        <v>3272</v>
      </c>
      <c r="F718" s="51" t="s">
        <v>1173</v>
      </c>
      <c r="G718" s="51"/>
      <c r="H718" s="51" t="s">
        <v>24</v>
      </c>
      <c r="I718" s="51"/>
      <c r="J718" s="53">
        <v>157.75</v>
      </c>
      <c r="K718" s="55">
        <v>24</v>
      </c>
      <c r="L718" s="55"/>
      <c r="M718" s="55"/>
      <c r="N718" s="57"/>
      <c r="O718" s="51"/>
      <c r="P718" s="53"/>
      <c r="Q718" s="55"/>
      <c r="R718" s="53"/>
      <c r="S718" s="53"/>
      <c r="T718" s="59"/>
      <c r="U718" s="55"/>
    </row>
    <row r="719" spans="1:21" x14ac:dyDescent="0.35">
      <c r="A719" s="50">
        <v>4049360</v>
      </c>
      <c r="B719" s="50" t="s">
        <v>3193</v>
      </c>
      <c r="C719" s="50" t="s">
        <v>1174</v>
      </c>
      <c r="D719" s="50">
        <v>10040101</v>
      </c>
      <c r="E719" s="50" t="s">
        <v>3279</v>
      </c>
      <c r="F719" s="50" t="s">
        <v>1173</v>
      </c>
      <c r="G719" s="50"/>
      <c r="H719" s="50"/>
      <c r="I719" s="50" t="s">
        <v>271</v>
      </c>
      <c r="J719" s="52">
        <v>2.6402000000000001</v>
      </c>
      <c r="K719" s="54">
        <v>2400</v>
      </c>
      <c r="L719" s="54"/>
      <c r="M719" s="54"/>
      <c r="N719" s="56"/>
      <c r="O719" s="50"/>
      <c r="P719" s="52"/>
      <c r="Q719" s="54"/>
      <c r="R719" s="52"/>
      <c r="S719" s="52"/>
      <c r="T719" s="58"/>
      <c r="U719" s="54"/>
    </row>
  </sheetData>
  <autoFilter ref="A10:U10" xr:uid="{0F755966-72D8-45CF-B275-294DB10084A9}"/>
  <mergeCells count="1">
    <mergeCell ref="A1:U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0A09-F3EB-4451-9694-66D41059A59D}">
  <dimension ref="A1:E18"/>
  <sheetViews>
    <sheetView showGridLines="0" workbookViewId="0">
      <pane ySplit="10" topLeftCell="A11" activePane="bottomLeft" state="frozen"/>
      <selection pane="bottomLeft" sqref="A1:D1"/>
    </sheetView>
  </sheetViews>
  <sheetFormatPr baseColWidth="10" defaultRowHeight="14.5" x14ac:dyDescent="0.35"/>
  <cols>
    <col min="1" max="1" width="30.08984375" bestFit="1" customWidth="1"/>
    <col min="2" max="2" width="14.90625" bestFit="1" customWidth="1"/>
    <col min="3" max="3" width="11.6328125" bestFit="1" customWidth="1"/>
    <col min="4" max="4" width="15.36328125" bestFit="1" customWidth="1"/>
    <col min="5" max="5" width="10.81640625" bestFit="1" customWidth="1"/>
  </cols>
  <sheetData>
    <row r="1" spans="1:5" ht="18.5" x14ac:dyDescent="0.45">
      <c r="A1" s="82" t="s">
        <v>3424</v>
      </c>
      <c r="B1" s="82"/>
      <c r="C1" s="82"/>
      <c r="D1" s="82"/>
      <c r="E1" s="64"/>
    </row>
    <row r="2" spans="1:5" x14ac:dyDescent="0.35">
      <c r="A2" s="78"/>
      <c r="B2" s="78"/>
    </row>
    <row r="3" spans="1:5" x14ac:dyDescent="0.35">
      <c r="A3" s="76" t="s">
        <v>3415</v>
      </c>
      <c r="B3" s="72">
        <f ca="1">TODAY()</f>
        <v>46094</v>
      </c>
      <c r="C3" s="77"/>
    </row>
    <row r="4" spans="1:5" x14ac:dyDescent="0.35">
      <c r="A4" s="76" t="s">
        <v>3406</v>
      </c>
      <c r="B4" s="73">
        <f>COUNTA(MASTERFILE!A11:A719)</f>
        <v>709</v>
      </c>
      <c r="C4" s="77"/>
    </row>
    <row r="5" spans="1:5" x14ac:dyDescent="0.35">
      <c r="A5" s="76" t="s">
        <v>3416</v>
      </c>
      <c r="B5" s="73">
        <f>COUNTIF(MASTERFILE!O11:O719,"NY_ARTIKKEL")</f>
        <v>44</v>
      </c>
      <c r="C5" s="77"/>
    </row>
    <row r="6" spans="1:5" x14ac:dyDescent="0.35">
      <c r="A6" s="76" t="s">
        <v>3417</v>
      </c>
      <c r="B6" s="74" t="s">
        <v>3249</v>
      </c>
      <c r="C6" s="77"/>
    </row>
    <row r="7" spans="1:5" x14ac:dyDescent="0.35">
      <c r="A7" s="76" t="s">
        <v>3418</v>
      </c>
      <c r="B7" s="74" t="s">
        <v>3196</v>
      </c>
      <c r="C7" s="77"/>
    </row>
    <row r="8" spans="1:5" x14ac:dyDescent="0.35">
      <c r="A8" s="76" t="s">
        <v>3419</v>
      </c>
      <c r="B8" s="75">
        <v>0.8</v>
      </c>
      <c r="C8" s="77"/>
    </row>
    <row r="9" spans="1:5" x14ac:dyDescent="0.35">
      <c r="A9" s="79"/>
      <c r="B9" s="79"/>
    </row>
    <row r="10" spans="1:5" x14ac:dyDescent="0.35">
      <c r="A10" s="49" t="s">
        <v>3420</v>
      </c>
      <c r="B10" s="49" t="s">
        <v>1171</v>
      </c>
      <c r="C10" s="49" t="s">
        <v>3407</v>
      </c>
      <c r="D10" s="49" t="s">
        <v>3408</v>
      </c>
      <c r="E10" s="49" t="s">
        <v>3421</v>
      </c>
    </row>
    <row r="11" spans="1:5" x14ac:dyDescent="0.35">
      <c r="A11" s="50" t="s">
        <v>3402</v>
      </c>
      <c r="B11" s="54">
        <f>COUNTIF(MASTERFILE!H11:H719,"&lt;&gt;")</f>
        <v>394</v>
      </c>
      <c r="C11" s="54">
        <f>COUNTA(MASTERFILE!A11:A719)</f>
        <v>709</v>
      </c>
      <c r="D11" s="61">
        <f>B11/C11</f>
        <v>0.55571227080394925</v>
      </c>
      <c r="E11" s="50" t="str">
        <f>IF(D11&gt;=0.8,"✅ OK","⚠️ LAV")</f>
        <v>⚠️ LAV</v>
      </c>
    </row>
    <row r="12" spans="1:5" x14ac:dyDescent="0.35">
      <c r="A12" s="51" t="s">
        <v>3196</v>
      </c>
      <c r="B12" s="55">
        <f>COUNTIF(MASTERFILE!J11:J719,"&lt;&gt;")</f>
        <v>708</v>
      </c>
      <c r="C12" s="55">
        <f>COUNTA(MASTERFILE!A11:A719)</f>
        <v>709</v>
      </c>
      <c r="D12" s="62">
        <f>B12/C12</f>
        <v>0.99858956276445698</v>
      </c>
      <c r="E12" s="51" t="str">
        <f>IF(D12&gt;=0.8,"✅ OK","⚠️ LAV")</f>
        <v>✅ OK</v>
      </c>
    </row>
    <row r="13" spans="1:5" x14ac:dyDescent="0.35">
      <c r="A13" s="50" t="s">
        <v>3229</v>
      </c>
      <c r="B13" s="54">
        <f>COUNTIF(MASTERFILE!N11:N719,"&lt;&gt;")</f>
        <v>687</v>
      </c>
      <c r="C13" s="54">
        <f>COUNTA(MASTERFILE!A11:A719)</f>
        <v>709</v>
      </c>
      <c r="D13" s="61">
        <f>B13/C13</f>
        <v>0.96897038081805364</v>
      </c>
      <c r="E13" s="50" t="str">
        <f>IF(D13&gt;=0.8,"✅ OK","⚠️ LAV")</f>
        <v>✅ OK</v>
      </c>
    </row>
    <row r="14" spans="1:5" x14ac:dyDescent="0.35">
      <c r="A14" s="51" t="s">
        <v>3234</v>
      </c>
      <c r="B14" s="55">
        <f>COUNTIF(MASTERFILE!P11:P719,"&lt;&gt;")</f>
        <v>505</v>
      </c>
      <c r="C14" s="55">
        <f>COUNTA(MASTERFILE!A11:A719)</f>
        <v>709</v>
      </c>
      <c r="D14" s="62">
        <f>B14/C14</f>
        <v>0.71227080394922426</v>
      </c>
      <c r="E14" s="51" t="str">
        <f>IF(D14&gt;=0.8,"✅ OK","⚠️ LAV")</f>
        <v>⚠️ LAV</v>
      </c>
    </row>
    <row r="15" spans="1:5" x14ac:dyDescent="0.35">
      <c r="A15" s="50" t="s">
        <v>3249</v>
      </c>
      <c r="B15" s="54">
        <f>COUNTIF(MASTERFILE!T11:T719,"&lt;&gt;")</f>
        <v>42</v>
      </c>
      <c r="C15" s="54">
        <f>COUNTA(MASTERFILE!A11:A719)</f>
        <v>709</v>
      </c>
      <c r="D15" s="61">
        <f>B15/C15</f>
        <v>5.9238363892806768E-2</v>
      </c>
      <c r="E15" s="50" t="str">
        <f>IF(D15&gt;=0.8,"✅ OK","⚠️ LAV")</f>
        <v>⚠️ LAV</v>
      </c>
    </row>
    <row r="17" spans="1:5" x14ac:dyDescent="0.35">
      <c r="A17" s="28" t="s">
        <v>3409</v>
      </c>
      <c r="B17" s="60"/>
      <c r="C17" s="60"/>
      <c r="D17" s="60"/>
      <c r="E17" s="60"/>
    </row>
    <row r="18" spans="1:5" x14ac:dyDescent="0.35">
      <c r="A18" s="50" t="s">
        <v>3422</v>
      </c>
      <c r="B18" s="54">
        <f>COUNTIF(MASTERFILE!O11:O719,"NY_ARTIKKEL")</f>
        <v>44</v>
      </c>
      <c r="C18" s="50"/>
      <c r="D18" s="50"/>
      <c r="E18" s="50"/>
    </row>
  </sheetData>
  <autoFilter ref="A10:E10" xr:uid="{F8C00A09-F3EB-4451-9694-66D41059A59D}"/>
  <mergeCells count="1">
    <mergeCell ref="A1:D1"/>
  </mergeCells>
  <conditionalFormatting sqref="D11:D15">
    <cfRule type="cellIs" dxfId="2" priority="1" operator="lessThan">
      <formula>0.5</formula>
    </cfRule>
    <cfRule type="cellIs" dxfId="1" priority="2" operator="greaterThanOrEqual">
      <formula>0.8</formula>
    </cfRule>
    <cfRule type="cellIs" dxfId="0" priority="3" operator="between">
      <formula>0.5</formula>
      <formula>0.8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14</vt:i4>
      </vt:variant>
    </vt:vector>
  </HeadingPairs>
  <TitlesOfParts>
    <vt:vector size="14" baseType="lpstr">
      <vt:lpstr>MARD</vt:lpstr>
      <vt:lpstr>MDMA</vt:lpstr>
      <vt:lpstr>MARA</vt:lpstr>
      <vt:lpstr>MAKT</vt:lpstr>
      <vt:lpstr>MARC</vt:lpstr>
      <vt:lpstr>MBEW</vt:lpstr>
      <vt:lpstr>MSEG</vt:lpstr>
      <vt:lpstr>EKKO</vt:lpstr>
      <vt:lpstr>EKPO</vt:lpstr>
      <vt:lpstr>EKBE</vt:lpstr>
      <vt:lpstr>EINA_EINE</vt:lpstr>
      <vt:lpstr>T023T</vt:lpstr>
      <vt:lpstr>MASTERFILE</vt:lpstr>
      <vt:lpstr>KVALITETSRAPPORT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Ekrem Jensen</dc:creator>
  <cp:lastModifiedBy>Thomas Ekrem Jensen</cp:lastModifiedBy>
  <dcterms:created xsi:type="dcterms:W3CDTF">2026-03-06T19:25:08Z</dcterms:created>
  <dcterms:modified xsi:type="dcterms:W3CDTF">2026-03-13T13:56:55Z</dcterms:modified>
</cp:coreProperties>
</file>